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22,10,26 ПОКОМ КИ\дозаказ 24-26,10\"/>
    </mc:Choice>
  </mc:AlternateContent>
  <xr:revisionPtr revIDLastSave="0" documentId="13_ncr:1_{680719BC-0F78-49CC-BA8E-FAEA65EA9BB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N557" i="2"/>
  <c r="BM557" i="2"/>
  <c r="Z557" i="2"/>
  <c r="Y557" i="2"/>
  <c r="BP557" i="2" s="1"/>
  <c r="P557" i="2"/>
  <c r="BO556" i="2"/>
  <c r="BM556" i="2"/>
  <c r="Y556" i="2"/>
  <c r="Y559" i="2" s="1"/>
  <c r="P556" i="2"/>
  <c r="X554" i="2"/>
  <c r="X553" i="2"/>
  <c r="BO552" i="2"/>
  <c r="BM552" i="2"/>
  <c r="Y552" i="2"/>
  <c r="BP552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BN544" i="2" s="1"/>
  <c r="P544" i="2"/>
  <c r="X542" i="2"/>
  <c r="X541" i="2"/>
  <c r="BO540" i="2"/>
  <c r="BM540" i="2"/>
  <c r="Y540" i="2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Z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P513" i="2"/>
  <c r="BO513" i="2"/>
  <c r="BN513" i="2"/>
  <c r="BM513" i="2"/>
  <c r="Z513" i="2"/>
  <c r="Y513" i="2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N499" i="2"/>
  <c r="BM499" i="2"/>
  <c r="Z499" i="2"/>
  <c r="Z500" i="2" s="1"/>
  <c r="Y499" i="2"/>
  <c r="Y500" i="2" s="1"/>
  <c r="P499" i="2"/>
  <c r="X496" i="2"/>
  <c r="Y495" i="2"/>
  <c r="X495" i="2"/>
  <c r="BP494" i="2"/>
  <c r="BO494" i="2"/>
  <c r="BN494" i="2"/>
  <c r="BM494" i="2"/>
  <c r="Z494" i="2"/>
  <c r="Z495" i="2" s="1"/>
  <c r="Y494" i="2"/>
  <c r="Y496" i="2" s="1"/>
  <c r="P494" i="2"/>
  <c r="X492" i="2"/>
  <c r="X491" i="2"/>
  <c r="BO490" i="2"/>
  <c r="BM490" i="2"/>
  <c r="Y490" i="2"/>
  <c r="BN490" i="2" s="1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P469" i="2"/>
  <c r="BO468" i="2"/>
  <c r="BM468" i="2"/>
  <c r="Y468" i="2"/>
  <c r="P468" i="2"/>
  <c r="X465" i="2"/>
  <c r="X464" i="2"/>
  <c r="BO463" i="2"/>
  <c r="BM463" i="2"/>
  <c r="Y463" i="2"/>
  <c r="BP463" i="2" s="1"/>
  <c r="P463" i="2"/>
  <c r="BO462" i="2"/>
  <c r="BM462" i="2"/>
  <c r="Y462" i="2"/>
  <c r="Y464" i="2" s="1"/>
  <c r="P462" i="2"/>
  <c r="X460" i="2"/>
  <c r="X459" i="2"/>
  <c r="BO458" i="2"/>
  <c r="BM458" i="2"/>
  <c r="Y458" i="2"/>
  <c r="BP458" i="2" s="1"/>
  <c r="P458" i="2"/>
  <c r="BO457" i="2"/>
  <c r="BM457" i="2"/>
  <c r="Y457" i="2"/>
  <c r="P457" i="2"/>
  <c r="BO456" i="2"/>
  <c r="BM456" i="2"/>
  <c r="Y456" i="2"/>
  <c r="Y460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P439" i="2"/>
  <c r="BO439" i="2"/>
  <c r="BM439" i="2"/>
  <c r="Y439" i="2"/>
  <c r="BN439" i="2" s="1"/>
  <c r="P439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Y434" i="2" s="1"/>
  <c r="P431" i="2"/>
  <c r="X428" i="2"/>
  <c r="X427" i="2"/>
  <c r="BO426" i="2"/>
  <c r="BM426" i="2"/>
  <c r="Y426" i="2"/>
  <c r="P426" i="2"/>
  <c r="BO425" i="2"/>
  <c r="BM425" i="2"/>
  <c r="Y425" i="2"/>
  <c r="P425" i="2"/>
  <c r="BO424" i="2"/>
  <c r="BM424" i="2"/>
  <c r="Y424" i="2"/>
  <c r="BP424" i="2" s="1"/>
  <c r="P424" i="2"/>
  <c r="X421" i="2"/>
  <c r="X420" i="2"/>
  <c r="BO419" i="2"/>
  <c r="BM419" i="2"/>
  <c r="Y419" i="2"/>
  <c r="Z419" i="2" s="1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P406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P398" i="2"/>
  <c r="BO398" i="2"/>
  <c r="BM398" i="2"/>
  <c r="Y398" i="2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Z382" i="2"/>
  <c r="Y382" i="2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Z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Y356" i="2" s="1"/>
  <c r="P355" i="2"/>
  <c r="X352" i="2"/>
  <c r="X351" i="2"/>
  <c r="BP350" i="2"/>
  <c r="BO350" i="2"/>
  <c r="BN350" i="2"/>
  <c r="BM350" i="2"/>
  <c r="Z350" i="2"/>
  <c r="Y350" i="2"/>
  <c r="P350" i="2"/>
  <c r="BO349" i="2"/>
  <c r="BM349" i="2"/>
  <c r="Y349" i="2"/>
  <c r="P349" i="2"/>
  <c r="BO348" i="2"/>
  <c r="BM348" i="2"/>
  <c r="Y348" i="2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BO341" i="2"/>
  <c r="BM341" i="2"/>
  <c r="Y341" i="2"/>
  <c r="Z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P323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P316" i="2"/>
  <c r="BO316" i="2"/>
  <c r="BN316" i="2"/>
  <c r="BM316" i="2"/>
  <c r="Z316" i="2"/>
  <c r="Y316" i="2"/>
  <c r="P316" i="2"/>
  <c r="BO315" i="2"/>
  <c r="BN315" i="2"/>
  <c r="BM315" i="2"/>
  <c r="Z315" i="2"/>
  <c r="Y315" i="2"/>
  <c r="BP315" i="2" s="1"/>
  <c r="P315" i="2"/>
  <c r="X313" i="2"/>
  <c r="Y312" i="2"/>
  <c r="X312" i="2"/>
  <c r="BP311" i="2"/>
  <c r="BO311" i="2"/>
  <c r="BN311" i="2"/>
  <c r="BM311" i="2"/>
  <c r="Z311" i="2"/>
  <c r="Z312" i="2" s="1"/>
  <c r="Y311" i="2"/>
  <c r="Y313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BP281" i="2" s="1"/>
  <c r="P281" i="2"/>
  <c r="BP280" i="2"/>
  <c r="BO280" i="2"/>
  <c r="BM280" i="2"/>
  <c r="Y280" i="2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BN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X263" i="2"/>
  <c r="X262" i="2"/>
  <c r="BO261" i="2"/>
  <c r="BM261" i="2"/>
  <c r="Y261" i="2"/>
  <c r="BP261" i="2" s="1"/>
  <c r="P261" i="2"/>
  <c r="BO260" i="2"/>
  <c r="BM260" i="2"/>
  <c r="Y260" i="2"/>
  <c r="Y263" i="2" s="1"/>
  <c r="P260" i="2"/>
  <c r="X258" i="2"/>
  <c r="X257" i="2"/>
  <c r="BO256" i="2"/>
  <c r="BM256" i="2"/>
  <c r="Y256" i="2"/>
  <c r="BP256" i="2" s="1"/>
  <c r="P256" i="2"/>
  <c r="BO255" i="2"/>
  <c r="BM255" i="2"/>
  <c r="Y255" i="2"/>
  <c r="Y257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Z245" i="2"/>
  <c r="Y245" i="2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P206" i="2"/>
  <c r="BO206" i="2"/>
  <c r="BM206" i="2"/>
  <c r="Y206" i="2"/>
  <c r="P206" i="2"/>
  <c r="BO205" i="2"/>
  <c r="BM205" i="2"/>
  <c r="Y205" i="2"/>
  <c r="P205" i="2"/>
  <c r="X201" i="2"/>
  <c r="X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N190" i="2"/>
  <c r="BM190" i="2"/>
  <c r="Z190" i="2"/>
  <c r="Y190" i="2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Y174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Y138" i="2" s="1"/>
  <c r="P136" i="2"/>
  <c r="Y133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Y129" i="2" s="1"/>
  <c r="P124" i="2"/>
  <c r="X122" i="2"/>
  <c r="X121" i="2"/>
  <c r="BO120" i="2"/>
  <c r="BM120" i="2"/>
  <c r="Y120" i="2"/>
  <c r="BN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P112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N98" i="2" s="1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BP92" i="2" s="1"/>
  <c r="P92" i="2"/>
  <c r="BP91" i="2"/>
  <c r="BO91" i="2"/>
  <c r="BM91" i="2"/>
  <c r="Y91" i="2"/>
  <c r="P91" i="2"/>
  <c r="BO90" i="2"/>
  <c r="BM90" i="2"/>
  <c r="Y90" i="2"/>
  <c r="P90" i="2"/>
  <c r="BO89" i="2"/>
  <c r="BM89" i="2"/>
  <c r="Y89" i="2"/>
  <c r="Z89" i="2" s="1"/>
  <c r="P89" i="2"/>
  <c r="X86" i="2"/>
  <c r="X85" i="2"/>
  <c r="BO84" i="2"/>
  <c r="BM84" i="2"/>
  <c r="Y84" i="2"/>
  <c r="BP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Y55" i="2" s="1"/>
  <c r="P51" i="2"/>
  <c r="X47" i="2"/>
  <c r="X46" i="2"/>
  <c r="BO45" i="2"/>
  <c r="BM45" i="2"/>
  <c r="Y45" i="2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BN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P35" i="2"/>
  <c r="BO34" i="2"/>
  <c r="BM34" i="2"/>
  <c r="Y34" i="2"/>
  <c r="Y36" i="2" s="1"/>
  <c r="P34" i="2"/>
  <c r="X32" i="2"/>
  <c r="X31" i="2"/>
  <c r="BO30" i="2"/>
  <c r="BM30" i="2"/>
  <c r="Y30" i="2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P26" i="2" s="1"/>
  <c r="P26" i="2"/>
  <c r="X24" i="2"/>
  <c r="X23" i="2"/>
  <c r="BO22" i="2"/>
  <c r="BM22" i="2"/>
  <c r="Y22" i="2"/>
  <c r="BN22" i="2" s="1"/>
  <c r="P22" i="2"/>
  <c r="H10" i="2"/>
  <c r="A9" i="2"/>
  <c r="F10" i="2" s="1"/>
  <c r="D7" i="2"/>
  <c r="Q6" i="2"/>
  <c r="P2" i="2"/>
  <c r="Z62" i="2" l="1"/>
  <c r="BP120" i="2"/>
  <c r="Z159" i="2"/>
  <c r="Z160" i="2" s="1"/>
  <c r="BN159" i="2"/>
  <c r="BP159" i="2"/>
  <c r="Y160" i="2"/>
  <c r="Z164" i="2"/>
  <c r="Z165" i="2"/>
  <c r="BN165" i="2"/>
  <c r="Z229" i="2"/>
  <c r="BN229" i="2"/>
  <c r="Z230" i="2"/>
  <c r="BN230" i="2"/>
  <c r="Z268" i="2"/>
  <c r="Z284" i="2"/>
  <c r="Z373" i="2"/>
  <c r="BN373" i="2"/>
  <c r="BP387" i="2"/>
  <c r="Z463" i="2"/>
  <c r="BN463" i="2"/>
  <c r="Z523" i="2"/>
  <c r="BN523" i="2"/>
  <c r="BP53" i="2"/>
  <c r="BN53" i="2"/>
  <c r="Z53" i="2"/>
  <c r="BP83" i="2"/>
  <c r="BN83" i="2"/>
  <c r="Z83" i="2"/>
  <c r="BP94" i="2"/>
  <c r="BN94" i="2"/>
  <c r="Z94" i="2"/>
  <c r="BP117" i="2"/>
  <c r="BN117" i="2"/>
  <c r="Z117" i="2"/>
  <c r="BP141" i="2"/>
  <c r="BN141" i="2"/>
  <c r="Z141" i="2"/>
  <c r="BN211" i="2"/>
  <c r="Z211" i="2"/>
  <c r="BP282" i="2"/>
  <c r="BN282" i="2"/>
  <c r="Z282" i="2"/>
  <c r="BP325" i="2"/>
  <c r="BN325" i="2"/>
  <c r="Z325" i="2"/>
  <c r="BP326" i="2"/>
  <c r="BN326" i="2"/>
  <c r="Z326" i="2"/>
  <c r="BP327" i="2"/>
  <c r="BN327" i="2"/>
  <c r="Z327" i="2"/>
  <c r="BP364" i="2"/>
  <c r="BN364" i="2"/>
  <c r="Z364" i="2"/>
  <c r="BP384" i="2"/>
  <c r="Z384" i="2"/>
  <c r="BP405" i="2"/>
  <c r="BN405" i="2"/>
  <c r="Z405" i="2"/>
  <c r="BP406" i="2"/>
  <c r="BN406" i="2"/>
  <c r="Z406" i="2"/>
  <c r="BN444" i="2"/>
  <c r="Z444" i="2"/>
  <c r="BP517" i="2"/>
  <c r="Z517" i="2"/>
  <c r="X567" i="2"/>
  <c r="BP30" i="2"/>
  <c r="BN30" i="2"/>
  <c r="Z30" i="2"/>
  <c r="BP64" i="2"/>
  <c r="BN64" i="2"/>
  <c r="Z64" i="2"/>
  <c r="BN90" i="2"/>
  <c r="Z90" i="2"/>
  <c r="BP108" i="2"/>
  <c r="BN108" i="2"/>
  <c r="Z108" i="2"/>
  <c r="BP126" i="2"/>
  <c r="BN126" i="2"/>
  <c r="Z126" i="2"/>
  <c r="BP127" i="2"/>
  <c r="BN127" i="2"/>
  <c r="Z127" i="2"/>
  <c r="BP238" i="2"/>
  <c r="BN238" i="2"/>
  <c r="Z238" i="2"/>
  <c r="BP239" i="2"/>
  <c r="BN239" i="2"/>
  <c r="Z239" i="2"/>
  <c r="BP240" i="2"/>
  <c r="BN240" i="2"/>
  <c r="Z240" i="2"/>
  <c r="Y294" i="2"/>
  <c r="Z291" i="2"/>
  <c r="BP344" i="2"/>
  <c r="BN344" i="2"/>
  <c r="Z344" i="2"/>
  <c r="BP375" i="2"/>
  <c r="BN375" i="2"/>
  <c r="Z375" i="2"/>
  <c r="BP393" i="2"/>
  <c r="BN393" i="2"/>
  <c r="Z393" i="2"/>
  <c r="BP426" i="2"/>
  <c r="BN426" i="2"/>
  <c r="Z426" i="2"/>
  <c r="BP486" i="2"/>
  <c r="BN486" i="2"/>
  <c r="Z486" i="2"/>
  <c r="BP540" i="2"/>
  <c r="Y542" i="2"/>
  <c r="X569" i="2"/>
  <c r="Y68" i="2"/>
  <c r="Y96" i="2"/>
  <c r="Y233" i="2"/>
  <c r="Y248" i="2"/>
  <c r="Y526" i="2"/>
  <c r="J9" i="2"/>
  <c r="Z26" i="2"/>
  <c r="BN26" i="2"/>
  <c r="Y31" i="2"/>
  <c r="BN27" i="2"/>
  <c r="Z28" i="2"/>
  <c r="BN28" i="2"/>
  <c r="BN29" i="2"/>
  <c r="BP29" i="2"/>
  <c r="Z34" i="2"/>
  <c r="BN34" i="2"/>
  <c r="BP34" i="2"/>
  <c r="Z42" i="2"/>
  <c r="Z52" i="2"/>
  <c r="BN52" i="2"/>
  <c r="Z63" i="2"/>
  <c r="BN63" i="2"/>
  <c r="BN72" i="2"/>
  <c r="Z73" i="2"/>
  <c r="BN73" i="2"/>
  <c r="Y79" i="2"/>
  <c r="Y80" i="2"/>
  <c r="BP89" i="2"/>
  <c r="BP90" i="2"/>
  <c r="Z92" i="2"/>
  <c r="BN92" i="2"/>
  <c r="Z98" i="2"/>
  <c r="Z100" i="2"/>
  <c r="BN100" i="2"/>
  <c r="Z107" i="2"/>
  <c r="BN107" i="2"/>
  <c r="Z118" i="2"/>
  <c r="BN118" i="2"/>
  <c r="BN131" i="2"/>
  <c r="BP131" i="2"/>
  <c r="Z136" i="2"/>
  <c r="Z138" i="2" s="1"/>
  <c r="BN136" i="2"/>
  <c r="BP136" i="2"/>
  <c r="Y144" i="2"/>
  <c r="Z142" i="2"/>
  <c r="BN142" i="2"/>
  <c r="Z153" i="2"/>
  <c r="BN153" i="2"/>
  <c r="BN154" i="2"/>
  <c r="BP154" i="2"/>
  <c r="BP167" i="2"/>
  <c r="Z176" i="2"/>
  <c r="BN176" i="2"/>
  <c r="BN177" i="2"/>
  <c r="BP177" i="2"/>
  <c r="BN179" i="2"/>
  <c r="Z184" i="2"/>
  <c r="BN184" i="2"/>
  <c r="Z185" i="2"/>
  <c r="BN185" i="2"/>
  <c r="Y192" i="2"/>
  <c r="BN195" i="2"/>
  <c r="Z208" i="2"/>
  <c r="BN208" i="2"/>
  <c r="Z209" i="2"/>
  <c r="BN209" i="2"/>
  <c r="BP211" i="2"/>
  <c r="Z220" i="2"/>
  <c r="BN220" i="2"/>
  <c r="Z221" i="2"/>
  <c r="BN221" i="2"/>
  <c r="BN222" i="2"/>
  <c r="BP222" i="2"/>
  <c r="BN224" i="2"/>
  <c r="Z225" i="2"/>
  <c r="Y247" i="2"/>
  <c r="BP245" i="2"/>
  <c r="Z256" i="2"/>
  <c r="BN256" i="2"/>
  <c r="Z261" i="2"/>
  <c r="BP268" i="2"/>
  <c r="Z272" i="2"/>
  <c r="BN272" i="2"/>
  <c r="Y288" i="2"/>
  <c r="BN277" i="2"/>
  <c r="BP278" i="2"/>
  <c r="Z281" i="2"/>
  <c r="Z283" i="2"/>
  <c r="BN283" i="2"/>
  <c r="Z292" i="2"/>
  <c r="Z293" i="2" s="1"/>
  <c r="BN292" i="2"/>
  <c r="BN298" i="2"/>
  <c r="Z303" i="2"/>
  <c r="BN303" i="2"/>
  <c r="Y309" i="2"/>
  <c r="BP318" i="2"/>
  <c r="Y319" i="2"/>
  <c r="Y320" i="2"/>
  <c r="Z328" i="2"/>
  <c r="BN335" i="2"/>
  <c r="BP335" i="2"/>
  <c r="F9" i="2"/>
  <c r="A10" i="2"/>
  <c r="BN44" i="2"/>
  <c r="BP44" i="2"/>
  <c r="BN54" i="2"/>
  <c r="BN59" i="2"/>
  <c r="BN65" i="2"/>
  <c r="BN78" i="2"/>
  <c r="BN84" i="2"/>
  <c r="Y95" i="2"/>
  <c r="BN109" i="2"/>
  <c r="BN116" i="2"/>
  <c r="Y143" i="2"/>
  <c r="BN146" i="2"/>
  <c r="Y213" i="2"/>
  <c r="BP225" i="2"/>
  <c r="BN231" i="2"/>
  <c r="Y234" i="2"/>
  <c r="BN244" i="2"/>
  <c r="BN265" i="2"/>
  <c r="BP265" i="2"/>
  <c r="Y274" i="2"/>
  <c r="BN267" i="2"/>
  <c r="BN299" i="2"/>
  <c r="BP299" i="2"/>
  <c r="BN343" i="2"/>
  <c r="Y352" i="2"/>
  <c r="BP348" i="2"/>
  <c r="BN348" i="2"/>
  <c r="Z348" i="2"/>
  <c r="BN341" i="2"/>
  <c r="BP341" i="2"/>
  <c r="Y351" i="2"/>
  <c r="BN349" i="2"/>
  <c r="BP349" i="2"/>
  <c r="BP359" i="2"/>
  <c r="Y360" i="2"/>
  <c r="Y361" i="2"/>
  <c r="Z371" i="2"/>
  <c r="BN371" i="2"/>
  <c r="Z374" i="2"/>
  <c r="Z381" i="2"/>
  <c r="BN381" i="2"/>
  <c r="Z383" i="2"/>
  <c r="BN383" i="2"/>
  <c r="Z385" i="2"/>
  <c r="BN385" i="2"/>
  <c r="BN386" i="2"/>
  <c r="BP386" i="2"/>
  <c r="Z391" i="2"/>
  <c r="BN391" i="2"/>
  <c r="Z394" i="2"/>
  <c r="Y408" i="2"/>
  <c r="BP413" i="2"/>
  <c r="Y414" i="2"/>
  <c r="Z417" i="2"/>
  <c r="Z420" i="2" s="1"/>
  <c r="BN417" i="2"/>
  <c r="BN418" i="2"/>
  <c r="BP418" i="2"/>
  <c r="Z424" i="2"/>
  <c r="BN424" i="2"/>
  <c r="Z432" i="2"/>
  <c r="Z433" i="2"/>
  <c r="Z441" i="2"/>
  <c r="BN441" i="2"/>
  <c r="Z442" i="2"/>
  <c r="BN442" i="2"/>
  <c r="BP444" i="2"/>
  <c r="BN450" i="2"/>
  <c r="Z451" i="2"/>
  <c r="BN451" i="2"/>
  <c r="Z452" i="2"/>
  <c r="BN452" i="2"/>
  <c r="Y459" i="2"/>
  <c r="Y480" i="2"/>
  <c r="Y481" i="2"/>
  <c r="Z488" i="2"/>
  <c r="BN488" i="2"/>
  <c r="BN489" i="2"/>
  <c r="BP489" i="2"/>
  <c r="Y501" i="2"/>
  <c r="BN504" i="2"/>
  <c r="Z511" i="2"/>
  <c r="BN511" i="2"/>
  <c r="BP522" i="2"/>
  <c r="Z531" i="2"/>
  <c r="BN531" i="2"/>
  <c r="Z533" i="2"/>
  <c r="BN533" i="2"/>
  <c r="BN534" i="2"/>
  <c r="BP534" i="2"/>
  <c r="Z544" i="2"/>
  <c r="Z545" i="2" s="1"/>
  <c r="Y554" i="2"/>
  <c r="BN365" i="2"/>
  <c r="BP365" i="2"/>
  <c r="BN376" i="2"/>
  <c r="BP376" i="2"/>
  <c r="BP432" i="2"/>
  <c r="Y454" i="2"/>
  <c r="BN456" i="2"/>
  <c r="BN477" i="2"/>
  <c r="BP477" i="2"/>
  <c r="BN479" i="2"/>
  <c r="BN514" i="2"/>
  <c r="BP514" i="2"/>
  <c r="BN516" i="2"/>
  <c r="BN524" i="2"/>
  <c r="BP524" i="2"/>
  <c r="BN529" i="2"/>
  <c r="BP529" i="2"/>
  <c r="BN548" i="2"/>
  <c r="BP548" i="2"/>
  <c r="Y549" i="2"/>
  <c r="Y550" i="2"/>
  <c r="U575" i="2"/>
  <c r="Y389" i="2"/>
  <c r="Y388" i="2"/>
  <c r="BP382" i="2"/>
  <c r="BN382" i="2"/>
  <c r="Z199" i="2"/>
  <c r="Z200" i="2" s="1"/>
  <c r="Y252" i="2"/>
  <c r="Y251" i="2"/>
  <c r="Y435" i="2"/>
  <c r="BP431" i="2"/>
  <c r="W575" i="2"/>
  <c r="Z431" i="2"/>
  <c r="Y470" i="2"/>
  <c r="Y575" i="2"/>
  <c r="BP468" i="2"/>
  <c r="Y218" i="2"/>
  <c r="BP216" i="2"/>
  <c r="BN216" i="2"/>
  <c r="Z216" i="2"/>
  <c r="Z217" i="2" s="1"/>
  <c r="L575" i="2"/>
  <c r="BP425" i="2"/>
  <c r="V575" i="2"/>
  <c r="BN425" i="2"/>
  <c r="Z468" i="2"/>
  <c r="Z425" i="2"/>
  <c r="BN431" i="2"/>
  <c r="Z445" i="2"/>
  <c r="Z462" i="2"/>
  <c r="Z487" i="2"/>
  <c r="BN517" i="2"/>
  <c r="BN61" i="2"/>
  <c r="Z61" i="2"/>
  <c r="BP61" i="2"/>
  <c r="Z155" i="2"/>
  <c r="Z186" i="2"/>
  <c r="Z207" i="2"/>
  <c r="BP236" i="2"/>
  <c r="BN236" i="2"/>
  <c r="Z236" i="2"/>
  <c r="BP279" i="2"/>
  <c r="BN279" i="2"/>
  <c r="Z279" i="2"/>
  <c r="BP42" i="2"/>
  <c r="C575" i="2"/>
  <c r="Y149" i="2"/>
  <c r="BN166" i="2"/>
  <c r="BN172" i="2"/>
  <c r="Z172" i="2"/>
  <c r="Z180" i="2"/>
  <c r="BN183" i="2"/>
  <c r="BP199" i="2"/>
  <c r="Z210" i="2"/>
  <c r="Z228" i="2"/>
  <c r="BN250" i="2"/>
  <c r="Z271" i="2"/>
  <c r="Z297" i="2"/>
  <c r="BP300" i="2"/>
  <c r="BN300" i="2"/>
  <c r="Z300" i="2"/>
  <c r="BN328" i="2"/>
  <c r="BN374" i="2"/>
  <c r="Z377" i="2"/>
  <c r="Z399" i="2"/>
  <c r="BN468" i="2"/>
  <c r="I575" i="2"/>
  <c r="Y156" i="2"/>
  <c r="Y289" i="2"/>
  <c r="BN45" i="2"/>
  <c r="Z45" i="2"/>
  <c r="Y102" i="2"/>
  <c r="BP98" i="2"/>
  <c r="Z110" i="2"/>
  <c r="Y114" i="2"/>
  <c r="Z146" i="2"/>
  <c r="BP152" i="2"/>
  <c r="BN155" i="2"/>
  <c r="BN186" i="2"/>
  <c r="BN207" i="2"/>
  <c r="Z231" i="2"/>
  <c r="BN276" i="2"/>
  <c r="Y293" i="2"/>
  <c r="BP291" i="2"/>
  <c r="Y345" i="2"/>
  <c r="R575" i="2"/>
  <c r="Y421" i="2"/>
  <c r="Y420" i="2"/>
  <c r="BN419" i="2"/>
  <c r="BN445" i="2"/>
  <c r="BN462" i="2"/>
  <c r="BN487" i="2"/>
  <c r="Z490" i="2"/>
  <c r="Z532" i="2"/>
  <c r="AD575" i="2"/>
  <c r="Y564" i="2"/>
  <c r="Y563" i="2"/>
  <c r="BP562" i="2"/>
  <c r="BN562" i="2"/>
  <c r="BP93" i="2"/>
  <c r="BN93" i="2"/>
  <c r="BN101" i="2"/>
  <c r="Z101" i="2"/>
  <c r="Y122" i="2"/>
  <c r="J575" i="2"/>
  <c r="BN180" i="2"/>
  <c r="Y200" i="2"/>
  <c r="BN210" i="2"/>
  <c r="Y217" i="2"/>
  <c r="BN228" i="2"/>
  <c r="BP250" i="2"/>
  <c r="BN271" i="2"/>
  <c r="BP285" i="2"/>
  <c r="BN399" i="2"/>
  <c r="Y519" i="2"/>
  <c r="Y535" i="2"/>
  <c r="Z562" i="2"/>
  <c r="Z563" i="2" s="1"/>
  <c r="Y379" i="2"/>
  <c r="Y378" i="2"/>
  <c r="BP372" i="2"/>
  <c r="BN372" i="2"/>
  <c r="BP377" i="2"/>
  <c r="BP462" i="2"/>
  <c r="BP469" i="2"/>
  <c r="BN469" i="2"/>
  <c r="Z469" i="2"/>
  <c r="Z512" i="2"/>
  <c r="BN532" i="2"/>
  <c r="Y558" i="2"/>
  <c r="BP556" i="2"/>
  <c r="Z183" i="2"/>
  <c r="Y121" i="2"/>
  <c r="BN152" i="2"/>
  <c r="Z276" i="2"/>
  <c r="Z285" i="2"/>
  <c r="Y304" i="2"/>
  <c r="O575" i="2"/>
  <c r="Y74" i="2"/>
  <c r="BP70" i="2"/>
  <c r="BN70" i="2"/>
  <c r="Z70" i="2"/>
  <c r="Y24" i="2"/>
  <c r="B575" i="2"/>
  <c r="Z27" i="2"/>
  <c r="Z31" i="2" s="1"/>
  <c r="Y37" i="2"/>
  <c r="BP35" i="2"/>
  <c r="BN35" i="2"/>
  <c r="E575" i="2"/>
  <c r="Z93" i="2"/>
  <c r="BN237" i="2"/>
  <c r="Z237" i="2"/>
  <c r="BP276" i="2"/>
  <c r="BN280" i="2"/>
  <c r="Z280" i="2"/>
  <c r="BN329" i="2"/>
  <c r="Z329" i="2"/>
  <c r="Z22" i="2"/>
  <c r="Z23" i="2" s="1"/>
  <c r="Z35" i="2"/>
  <c r="Z36" i="2" s="1"/>
  <c r="BP45" i="2"/>
  <c r="Z59" i="2"/>
  <c r="BN62" i="2"/>
  <c r="Z65" i="2"/>
  <c r="Z84" i="2"/>
  <c r="BP110" i="2"/>
  <c r="Z116" i="2"/>
  <c r="Y128" i="2"/>
  <c r="BP124" i="2"/>
  <c r="BN124" i="2"/>
  <c r="Z124" i="2"/>
  <c r="Z167" i="2"/>
  <c r="Y187" i="2"/>
  <c r="Y197" i="2"/>
  <c r="Y196" i="2"/>
  <c r="BN245" i="2"/>
  <c r="BN291" i="2"/>
  <c r="BP297" i="2"/>
  <c r="BN301" i="2"/>
  <c r="Z301" i="2"/>
  <c r="BN342" i="2"/>
  <c r="Z372" i="2"/>
  <c r="BN394" i="2"/>
  <c r="Z411" i="2"/>
  <c r="Y415" i="2"/>
  <c r="BP446" i="2"/>
  <c r="BN446" i="2"/>
  <c r="Z446" i="2"/>
  <c r="Z457" i="2"/>
  <c r="Y492" i="2"/>
  <c r="Z575" i="2"/>
  <c r="Y491" i="2"/>
  <c r="BP485" i="2"/>
  <c r="BN485" i="2"/>
  <c r="BP490" i="2"/>
  <c r="BP515" i="2"/>
  <c r="BN515" i="2"/>
  <c r="Z556" i="2"/>
  <c r="Z558" i="2" s="1"/>
  <c r="Z195" i="2"/>
  <c r="Z196" i="2" s="1"/>
  <c r="Y201" i="2"/>
  <c r="BN260" i="2"/>
  <c r="Z260" i="2"/>
  <c r="Y262" i="2"/>
  <c r="Z286" i="2"/>
  <c r="Y305" i="2"/>
  <c r="BP323" i="2"/>
  <c r="BN323" i="2"/>
  <c r="Z323" i="2"/>
  <c r="P575" i="2"/>
  <c r="Z336" i="2"/>
  <c r="BP400" i="2"/>
  <c r="BN400" i="2"/>
  <c r="Z400" i="2"/>
  <c r="BP419" i="2"/>
  <c r="Z440" i="2"/>
  <c r="BP443" i="2"/>
  <c r="Z443" i="2"/>
  <c r="Z485" i="2"/>
  <c r="Z505" i="2"/>
  <c r="BN512" i="2"/>
  <c r="Z515" i="2"/>
  <c r="Y67" i="2"/>
  <c r="BP329" i="2"/>
  <c r="BP342" i="2"/>
  <c r="Y368" i="2"/>
  <c r="Y367" i="2"/>
  <c r="BN366" i="2"/>
  <c r="T575" i="2"/>
  <c r="BN411" i="2"/>
  <c r="BN457" i="2"/>
  <c r="BN556" i="2"/>
  <c r="X566" i="2"/>
  <c r="Y173" i="2"/>
  <c r="BP181" i="2"/>
  <c r="BN181" i="2"/>
  <c r="Z181" i="2"/>
  <c r="BP27" i="2"/>
  <c r="Z43" i="2"/>
  <c r="Z111" i="2"/>
  <c r="BP147" i="2"/>
  <c r="BN147" i="2"/>
  <c r="Z147" i="2"/>
  <c r="K575" i="2"/>
  <c r="BP205" i="2"/>
  <c r="BN205" i="2"/>
  <c r="Z205" i="2"/>
  <c r="Z232" i="2"/>
  <c r="BN255" i="2"/>
  <c r="Y258" i="2"/>
  <c r="M575" i="2"/>
  <c r="Y273" i="2"/>
  <c r="BN286" i="2"/>
  <c r="BP301" i="2"/>
  <c r="Z317" i="2"/>
  <c r="BN336" i="2"/>
  <c r="Z366" i="2"/>
  <c r="Z367" i="2" s="1"/>
  <c r="Y396" i="2"/>
  <c r="BP392" i="2"/>
  <c r="Y395" i="2"/>
  <c r="BN392" i="2"/>
  <c r="BN440" i="2"/>
  <c r="BN443" i="2"/>
  <c r="Z478" i="2"/>
  <c r="BN505" i="2"/>
  <c r="BP512" i="2"/>
  <c r="BP530" i="2"/>
  <c r="BN530" i="2"/>
  <c r="BP59" i="2"/>
  <c r="Y75" i="2"/>
  <c r="BN91" i="2"/>
  <c r="Z91" i="2"/>
  <c r="Z95" i="2" s="1"/>
  <c r="Z99" i="2"/>
  <c r="Y103" i="2"/>
  <c r="BN119" i="2"/>
  <c r="BN125" i="2"/>
  <c r="Z125" i="2"/>
  <c r="BN178" i="2"/>
  <c r="Y193" i="2"/>
  <c r="Z223" i="2"/>
  <c r="BP226" i="2"/>
  <c r="BN226" i="2"/>
  <c r="Z226" i="2"/>
  <c r="BP246" i="2"/>
  <c r="BN246" i="2"/>
  <c r="Z246" i="2"/>
  <c r="Z255" i="2"/>
  <c r="BP260" i="2"/>
  <c r="Z266" i="2"/>
  <c r="BP269" i="2"/>
  <c r="BN269" i="2"/>
  <c r="Z269" i="2"/>
  <c r="Z307" i="2"/>
  <c r="Z308" i="2" s="1"/>
  <c r="Y330" i="2"/>
  <c r="Z392" i="2"/>
  <c r="BP457" i="2"/>
  <c r="Y471" i="2"/>
  <c r="Z530" i="2"/>
  <c r="BN317" i="2"/>
  <c r="BN324" i="2"/>
  <c r="Z324" i="2"/>
  <c r="Y448" i="2"/>
  <c r="BP171" i="2"/>
  <c r="BN171" i="2"/>
  <c r="Z171" i="2"/>
  <c r="Z166" i="2"/>
  <c r="Z168" i="2" s="1"/>
  <c r="BN111" i="2"/>
  <c r="Y168" i="2"/>
  <c r="Z66" i="2"/>
  <c r="BP220" i="2"/>
  <c r="BN223" i="2"/>
  <c r="BP232" i="2"/>
  <c r="BN266" i="2"/>
  <c r="Z302" i="2"/>
  <c r="BN307" i="2"/>
  <c r="Y357" i="2"/>
  <c r="BP355" i="2"/>
  <c r="S575" i="2"/>
  <c r="BP366" i="2"/>
  <c r="Y402" i="2"/>
  <c r="Y427" i="2"/>
  <c r="Y475" i="2"/>
  <c r="Y474" i="2"/>
  <c r="BP473" i="2"/>
  <c r="BP478" i="2"/>
  <c r="Z522" i="2"/>
  <c r="Z525" i="2" s="1"/>
  <c r="BP191" i="2"/>
  <c r="BN191" i="2"/>
  <c r="Z191" i="2"/>
  <c r="Z192" i="2" s="1"/>
  <c r="BN71" i="2"/>
  <c r="Z71" i="2"/>
  <c r="Z119" i="2"/>
  <c r="Y157" i="2"/>
  <c r="Z178" i="2"/>
  <c r="Y47" i="2"/>
  <c r="BP22" i="2"/>
  <c r="Y56" i="2"/>
  <c r="D575" i="2"/>
  <c r="BP51" i="2"/>
  <c r="Y86" i="2"/>
  <c r="BP82" i="2"/>
  <c r="Y85" i="2"/>
  <c r="BN82" i="2"/>
  <c r="Y241" i="2"/>
  <c r="Y23" i="2"/>
  <c r="BP43" i="2"/>
  <c r="Z51" i="2"/>
  <c r="BP60" i="2"/>
  <c r="BN60" i="2"/>
  <c r="Z60" i="2"/>
  <c r="Z82" i="2"/>
  <c r="Y113" i="2"/>
  <c r="G575" i="2"/>
  <c r="BP106" i="2"/>
  <c r="Y188" i="2"/>
  <c r="BN182" i="2"/>
  <c r="Z182" i="2"/>
  <c r="X565" i="2"/>
  <c r="Y46" i="2"/>
  <c r="Z77" i="2"/>
  <c r="BP99" i="2"/>
  <c r="Z106" i="2"/>
  <c r="BN206" i="2"/>
  <c r="Z206" i="2"/>
  <c r="Z278" i="2"/>
  <c r="BN281" i="2"/>
  <c r="BN287" i="2"/>
  <c r="Z287" i="2"/>
  <c r="Y331" i="2"/>
  <c r="Y338" i="2"/>
  <c r="Z355" i="2"/>
  <c r="Z356" i="2" s="1"/>
  <c r="BN384" i="2"/>
  <c r="Z387" i="2"/>
  <c r="Y401" i="2"/>
  <c r="BN398" i="2"/>
  <c r="BN433" i="2"/>
  <c r="Z473" i="2"/>
  <c r="Z474" i="2" s="1"/>
  <c r="Y525" i="2"/>
  <c r="Z152" i="2"/>
  <c r="Z120" i="2"/>
  <c r="Y169" i="2"/>
  <c r="BN227" i="2"/>
  <c r="Z227" i="2"/>
  <c r="Y242" i="2"/>
  <c r="BP266" i="2"/>
  <c r="BN270" i="2"/>
  <c r="Z270" i="2"/>
  <c r="BN302" i="2"/>
  <c r="BP307" i="2"/>
  <c r="BP324" i="2"/>
  <c r="Z349" i="2"/>
  <c r="Z398" i="2"/>
  <c r="Z401" i="2" s="1"/>
  <c r="Y409" i="2"/>
  <c r="BP404" i="2"/>
  <c r="Z450" i="2"/>
  <c r="Y453" i="2"/>
  <c r="AA575" i="2"/>
  <c r="Y507" i="2"/>
  <c r="BP503" i="2"/>
  <c r="Y506" i="2"/>
  <c r="BN503" i="2"/>
  <c r="BN522" i="2"/>
  <c r="Y139" i="2"/>
  <c r="H575" i="2"/>
  <c r="BP137" i="2"/>
  <c r="BN137" i="2"/>
  <c r="Y148" i="2"/>
  <c r="Y212" i="2"/>
  <c r="BP255" i="2"/>
  <c r="Y32" i="2"/>
  <c r="BN51" i="2"/>
  <c r="Z54" i="2"/>
  <c r="Z72" i="2"/>
  <c r="BP66" i="2"/>
  <c r="BN89" i="2"/>
  <c r="F575" i="2"/>
  <c r="BN106" i="2"/>
  <c r="Z109" i="2"/>
  <c r="BN112" i="2"/>
  <c r="Z112" i="2"/>
  <c r="Z131" i="2"/>
  <c r="Z132" i="2" s="1"/>
  <c r="BP182" i="2"/>
  <c r="BP190" i="2"/>
  <c r="BN261" i="2"/>
  <c r="BN284" i="2"/>
  <c r="Z318" i="2"/>
  <c r="BP334" i="2"/>
  <c r="Y337" i="2"/>
  <c r="BN334" i="2"/>
  <c r="Z334" i="2"/>
  <c r="Q575" i="2"/>
  <c r="BN355" i="2"/>
  <c r="Z404" i="2"/>
  <c r="BP407" i="2"/>
  <c r="Z407" i="2"/>
  <c r="Y428" i="2"/>
  <c r="Y465" i="2"/>
  <c r="BN473" i="2"/>
  <c r="Z503" i="2"/>
  <c r="Y520" i="2"/>
  <c r="Y546" i="2"/>
  <c r="Y545" i="2"/>
  <c r="BP544" i="2"/>
  <c r="Y536" i="2"/>
  <c r="Z412" i="2"/>
  <c r="Z458" i="2"/>
  <c r="Z518" i="2"/>
  <c r="Y346" i="2"/>
  <c r="BN412" i="2"/>
  <c r="BN458" i="2"/>
  <c r="BN518" i="2"/>
  <c r="Z528" i="2"/>
  <c r="Z535" i="2" s="1"/>
  <c r="Z540" i="2"/>
  <c r="Z541" i="2" s="1"/>
  <c r="Z552" i="2"/>
  <c r="Z553" i="2" s="1"/>
  <c r="X575" i="2"/>
  <c r="H9" i="2"/>
  <c r="Z78" i="2"/>
  <c r="Z179" i="2"/>
  <c r="Z224" i="2"/>
  <c r="Z244" i="2"/>
  <c r="Z267" i="2"/>
  <c r="Z277" i="2"/>
  <c r="Z298" i="2"/>
  <c r="Z343" i="2"/>
  <c r="Z345" i="2" s="1"/>
  <c r="Z456" i="2"/>
  <c r="Z479" i="2"/>
  <c r="Z504" i="2"/>
  <c r="Z516" i="2"/>
  <c r="BN528" i="2"/>
  <c r="BN540" i="2"/>
  <c r="BN552" i="2"/>
  <c r="BP164" i="2"/>
  <c r="Z335" i="2"/>
  <c r="Z359" i="2"/>
  <c r="Z360" i="2" s="1"/>
  <c r="Z413" i="2"/>
  <c r="Z439" i="2"/>
  <c r="BP499" i="2"/>
  <c r="AB575" i="2"/>
  <c r="BP244" i="2"/>
  <c r="Y447" i="2"/>
  <c r="BP456" i="2"/>
  <c r="Y541" i="2"/>
  <c r="Y553" i="2"/>
  <c r="AC575" i="2"/>
  <c r="Z46" i="2" l="1"/>
  <c r="X568" i="2"/>
  <c r="Z491" i="2"/>
  <c r="Z262" i="2"/>
  <c r="Z464" i="2"/>
  <c r="Z434" i="2"/>
  <c r="Z143" i="2"/>
  <c r="Z453" i="2"/>
  <c r="Z351" i="2"/>
  <c r="Z156" i="2"/>
  <c r="Z388" i="2"/>
  <c r="Z173" i="2"/>
  <c r="Z395" i="2"/>
  <c r="Z257" i="2"/>
  <c r="Z102" i="2"/>
  <c r="Z427" i="2"/>
  <c r="Z79" i="2"/>
  <c r="Z187" i="2"/>
  <c r="Z273" i="2"/>
  <c r="Z519" i="2"/>
  <c r="Y566" i="2"/>
  <c r="Z337" i="2"/>
  <c r="Z55" i="2"/>
  <c r="Z233" i="2"/>
  <c r="Z480" i="2"/>
  <c r="Z319" i="2"/>
  <c r="Z330" i="2"/>
  <c r="Z378" i="2"/>
  <c r="Z470" i="2"/>
  <c r="Z128" i="2"/>
  <c r="Z288" i="2"/>
  <c r="Y569" i="2"/>
  <c r="Z241" i="2"/>
  <c r="Z121" i="2"/>
  <c r="Z148" i="2"/>
  <c r="Z304" i="2"/>
  <c r="Z414" i="2"/>
  <c r="Z67" i="2"/>
  <c r="Y565" i="2"/>
  <c r="Z247" i="2"/>
  <c r="Y567" i="2"/>
  <c r="Y568" i="2" s="1"/>
  <c r="Z74" i="2"/>
  <c r="Z408" i="2"/>
  <c r="Z447" i="2"/>
  <c r="Z506" i="2"/>
  <c r="Z212" i="2"/>
  <c r="Z113" i="2"/>
  <c r="Z459" i="2"/>
  <c r="Z85" i="2"/>
  <c r="Z570" i="2" l="1"/>
</calcChain>
</file>

<file path=xl/sharedStrings.xml><?xml version="1.0" encoding="utf-8"?>
<sst xmlns="http://schemas.openxmlformats.org/spreadsheetml/2006/main" count="4283" uniqueCount="914">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</sst>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450" sqref="AA45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46321</v>
      </c>
      <c r="R5" s="988"/>
      <c r="T5" s="989" t="s">
        <v>3</v>
      </c>
      <c r="U5" s="990"/>
      <c r="V5" s="991" t="s">
        <v>878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/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0.41666666666666669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1" t="s">
        <v>59</v>
      </c>
      <c r="B17" s="941" t="s">
        <v>49</v>
      </c>
      <c r="C17" s="973" t="s">
        <v>48</v>
      </c>
      <c r="D17" s="975" t="s">
        <v>50</v>
      </c>
      <c r="E17" s="976"/>
      <c r="F17" s="941" t="s">
        <v>21</v>
      </c>
      <c r="G17" s="941" t="s">
        <v>24</v>
      </c>
      <c r="H17" s="941" t="s">
        <v>22</v>
      </c>
      <c r="I17" s="941" t="s">
        <v>23</v>
      </c>
      <c r="J17" s="941" t="s">
        <v>16</v>
      </c>
      <c r="K17" s="941" t="s">
        <v>66</v>
      </c>
      <c r="L17" s="941" t="s">
        <v>64</v>
      </c>
      <c r="M17" s="941" t="s">
        <v>2</v>
      </c>
      <c r="N17" s="941" t="s">
        <v>63</v>
      </c>
      <c r="O17" s="941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41" t="s">
        <v>6</v>
      </c>
      <c r="X17" s="941" t="s">
        <v>41</v>
      </c>
      <c r="Y17" s="943" t="s">
        <v>54</v>
      </c>
      <c r="Z17" s="945" t="s">
        <v>18</v>
      </c>
      <c r="AA17" s="947" t="s">
        <v>60</v>
      </c>
      <c r="AB17" s="947" t="s">
        <v>19</v>
      </c>
      <c r="AC17" s="947" t="s">
        <v>65</v>
      </c>
      <c r="AD17" s="949" t="s">
        <v>57</v>
      </c>
      <c r="AE17" s="950"/>
      <c r="AF17" s="951"/>
      <c r="AG17" s="82"/>
      <c r="BD17" s="81" t="s">
        <v>62</v>
      </c>
    </row>
    <row r="18" spans="1:68" ht="14.25" customHeight="1" x14ac:dyDescent="0.2">
      <c r="A18" s="942"/>
      <c r="B18" s="942"/>
      <c r="C18" s="974"/>
      <c r="D18" s="977"/>
      <c r="E18" s="978"/>
      <c r="F18" s="942"/>
      <c r="G18" s="942"/>
      <c r="H18" s="942"/>
      <c r="I18" s="942"/>
      <c r="J18" s="942"/>
      <c r="K18" s="942"/>
      <c r="L18" s="942"/>
      <c r="M18" s="942"/>
      <c r="N18" s="942"/>
      <c r="O18" s="942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2"/>
      <c r="X18" s="942"/>
      <c r="Y18" s="944"/>
      <c r="Z18" s="946"/>
      <c r="AA18" s="948"/>
      <c r="AB18" s="948"/>
      <c r="AC18" s="948"/>
      <c r="AD18" s="952"/>
      <c r="AE18" s="953"/>
      <c r="AF18" s="954"/>
      <c r="AG18" s="82"/>
      <c r="BD18" s="81"/>
    </row>
    <row r="19" spans="1:68" ht="27.75" hidden="1" customHeight="1" x14ac:dyDescent="0.2">
      <c r="A19" s="675" t="s">
        <v>76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54"/>
      <c r="AB19" s="54"/>
      <c r="AC19" s="54"/>
    </row>
    <row r="20" spans="1:68" ht="16.5" hidden="1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5"/>
      <c r="AB20" s="65"/>
      <c r="AC20" s="79"/>
    </row>
    <row r="21" spans="1:68" ht="14.25" hidden="1" customHeight="1" x14ac:dyDescent="0.25">
      <c r="A21" s="657" t="s">
        <v>77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8">
        <v>4680115889071</v>
      </c>
      <c r="E22" s="658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60"/>
      <c r="R22" s="660"/>
      <c r="S22" s="660"/>
      <c r="T22" s="66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9"/>
      <c r="P23" s="645" t="s">
        <v>40</v>
      </c>
      <c r="Q23" s="646"/>
      <c r="R23" s="646"/>
      <c r="S23" s="646"/>
      <c r="T23" s="646"/>
      <c r="U23" s="646"/>
      <c r="V23" s="64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49"/>
      <c r="P24" s="645" t="s">
        <v>40</v>
      </c>
      <c r="Q24" s="646"/>
      <c r="R24" s="646"/>
      <c r="S24" s="646"/>
      <c r="T24" s="646"/>
      <c r="U24" s="646"/>
      <c r="V24" s="64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7" t="s">
        <v>83</v>
      </c>
      <c r="B25" s="657"/>
      <c r="C25" s="657"/>
      <c r="D25" s="657"/>
      <c r="E25" s="657"/>
      <c r="F25" s="657"/>
      <c r="G25" s="657"/>
      <c r="H25" s="657"/>
      <c r="I25" s="657"/>
      <c r="J25" s="657"/>
      <c r="K25" s="657"/>
      <c r="L25" s="657"/>
      <c r="M25" s="657"/>
      <c r="N25" s="657"/>
      <c r="O25" s="657"/>
      <c r="P25" s="657"/>
      <c r="Q25" s="657"/>
      <c r="R25" s="657"/>
      <c r="S25" s="657"/>
      <c r="T25" s="657"/>
      <c r="U25" s="657"/>
      <c r="V25" s="657"/>
      <c r="W25" s="657"/>
      <c r="X25" s="657"/>
      <c r="Y25" s="657"/>
      <c r="Z25" s="657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8">
        <v>4680115885912</v>
      </c>
      <c r="E26" s="658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60"/>
      <c r="R26" s="660"/>
      <c r="S26" s="660"/>
      <c r="T26" s="661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8">
        <v>4607091388237</v>
      </c>
      <c r="E27" s="658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60"/>
      <c r="R27" s="660"/>
      <c r="S27" s="660"/>
      <c r="T27" s="66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8">
        <v>4680115887350</v>
      </c>
      <c r="E28" s="658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60"/>
      <c r="R28" s="660"/>
      <c r="S28" s="660"/>
      <c r="T28" s="66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8">
        <v>4680115885905</v>
      </c>
      <c r="E29" s="65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60"/>
      <c r="R29" s="660"/>
      <c r="S29" s="660"/>
      <c r="T29" s="66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8">
        <v>4680115887619</v>
      </c>
      <c r="E30" s="658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60"/>
      <c r="R30" s="660"/>
      <c r="S30" s="660"/>
      <c r="T30" s="66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49"/>
      <c r="P31" s="645" t="s">
        <v>40</v>
      </c>
      <c r="Q31" s="646"/>
      <c r="R31" s="646"/>
      <c r="S31" s="646"/>
      <c r="T31" s="646"/>
      <c r="U31" s="646"/>
      <c r="V31" s="64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45" t="s">
        <v>40</v>
      </c>
      <c r="Q32" s="646"/>
      <c r="R32" s="646"/>
      <c r="S32" s="646"/>
      <c r="T32" s="646"/>
      <c r="U32" s="646"/>
      <c r="V32" s="64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7" t="s">
        <v>101</v>
      </c>
      <c r="B33" s="657"/>
      <c r="C33" s="657"/>
      <c r="D33" s="657"/>
      <c r="E33" s="657"/>
      <c r="F33" s="657"/>
      <c r="G33" s="657"/>
      <c r="H33" s="657"/>
      <c r="I33" s="657"/>
      <c r="J33" s="657"/>
      <c r="K33" s="657"/>
      <c r="L33" s="657"/>
      <c r="M33" s="657"/>
      <c r="N33" s="657"/>
      <c r="O33" s="657"/>
      <c r="P33" s="657"/>
      <c r="Q33" s="657"/>
      <c r="R33" s="657"/>
      <c r="S33" s="657"/>
      <c r="T33" s="657"/>
      <c r="U33" s="657"/>
      <c r="V33" s="657"/>
      <c r="W33" s="657"/>
      <c r="X33" s="657"/>
      <c r="Y33" s="657"/>
      <c r="Z33" s="657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8">
        <v>4680115889262</v>
      </c>
      <c r="E34" s="658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60"/>
      <c r="R34" s="660"/>
      <c r="S34" s="660"/>
      <c r="T34" s="661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8">
        <v>4680115889040</v>
      </c>
      <c r="E35" s="658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4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60"/>
      <c r="R35" s="660"/>
      <c r="S35" s="660"/>
      <c r="T35" s="66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9"/>
      <c r="P36" s="645" t="s">
        <v>40</v>
      </c>
      <c r="Q36" s="646"/>
      <c r="R36" s="646"/>
      <c r="S36" s="646"/>
      <c r="T36" s="646"/>
      <c r="U36" s="646"/>
      <c r="V36" s="647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9"/>
      <c r="P37" s="645" t="s">
        <v>40</v>
      </c>
      <c r="Q37" s="646"/>
      <c r="R37" s="646"/>
      <c r="S37" s="646"/>
      <c r="T37" s="646"/>
      <c r="U37" s="646"/>
      <c r="V37" s="647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75" t="s">
        <v>45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54"/>
      <c r="AB38" s="54"/>
      <c r="AC38" s="54"/>
    </row>
    <row r="39" spans="1:68" ht="16.5" hidden="1" customHeight="1" x14ac:dyDescent="0.25">
      <c r="A39" s="664" t="s">
        <v>112</v>
      </c>
      <c r="B39" s="664"/>
      <c r="C39" s="664"/>
      <c r="D39" s="664"/>
      <c r="E39" s="664"/>
      <c r="F39" s="664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  <c r="Y39" s="664"/>
      <c r="Z39" s="664"/>
      <c r="AA39" s="65"/>
      <c r="AB39" s="65"/>
      <c r="AC39" s="79"/>
    </row>
    <row r="40" spans="1:68" ht="14.25" hidden="1" customHeight="1" x14ac:dyDescent="0.25">
      <c r="A40" s="657" t="s">
        <v>83</v>
      </c>
      <c r="B40" s="657"/>
      <c r="C40" s="657"/>
      <c r="D40" s="657"/>
      <c r="E40" s="657"/>
      <c r="F40" s="657"/>
      <c r="G40" s="657"/>
      <c r="H40" s="657"/>
      <c r="I40" s="657"/>
      <c r="J40" s="657"/>
      <c r="K40" s="657"/>
      <c r="L40" s="657"/>
      <c r="M40" s="657"/>
      <c r="N40" s="657"/>
      <c r="O40" s="657"/>
      <c r="P40" s="657"/>
      <c r="Q40" s="657"/>
      <c r="R40" s="657"/>
      <c r="S40" s="657"/>
      <c r="T40" s="657"/>
      <c r="U40" s="657"/>
      <c r="V40" s="657"/>
      <c r="W40" s="657"/>
      <c r="X40" s="657"/>
      <c r="Y40" s="657"/>
      <c r="Z40" s="657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8">
        <v>4680115889354</v>
      </c>
      <c r="E41" s="65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60"/>
      <c r="R41" s="660"/>
      <c r="S41" s="660"/>
      <c r="T41" s="66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8">
        <v>4680115888463</v>
      </c>
      <c r="E42" s="65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60"/>
      <c r="R42" s="660"/>
      <c r="S42" s="660"/>
      <c r="T42" s="66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8">
        <v>4680115889590</v>
      </c>
      <c r="E43" s="658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60"/>
      <c r="R43" s="660"/>
      <c r="S43" s="660"/>
      <c r="T43" s="66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8">
        <v>4680115888272</v>
      </c>
      <c r="E44" s="65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60"/>
      <c r="R44" s="660"/>
      <c r="S44" s="660"/>
      <c r="T44" s="66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8">
        <v>4680115888364</v>
      </c>
      <c r="E45" s="65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60"/>
      <c r="R45" s="660"/>
      <c r="S45" s="660"/>
      <c r="T45" s="66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9"/>
      <c r="P46" s="645" t="s">
        <v>40</v>
      </c>
      <c r="Q46" s="646"/>
      <c r="R46" s="646"/>
      <c r="S46" s="646"/>
      <c r="T46" s="646"/>
      <c r="U46" s="646"/>
      <c r="V46" s="64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49"/>
      <c r="P47" s="645" t="s">
        <v>40</v>
      </c>
      <c r="Q47" s="646"/>
      <c r="R47" s="646"/>
      <c r="S47" s="646"/>
      <c r="T47" s="646"/>
      <c r="U47" s="646"/>
      <c r="V47" s="64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75" t="s">
        <v>128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54"/>
      <c r="AB48" s="54"/>
      <c r="AC48" s="54"/>
    </row>
    <row r="49" spans="1:68" ht="16.5" hidden="1" customHeight="1" x14ac:dyDescent="0.25">
      <c r="A49" s="664" t="s">
        <v>129</v>
      </c>
      <c r="B49" s="664"/>
      <c r="C49" s="664"/>
      <c r="D49" s="664"/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  <c r="Y49" s="664"/>
      <c r="Z49" s="664"/>
      <c r="AA49" s="65"/>
      <c r="AB49" s="65"/>
      <c r="AC49" s="79"/>
    </row>
    <row r="50" spans="1:68" ht="14.25" hidden="1" customHeight="1" x14ac:dyDescent="0.25">
      <c r="A50" s="657" t="s">
        <v>130</v>
      </c>
      <c r="B50" s="657"/>
      <c r="C50" s="657"/>
      <c r="D50" s="657"/>
      <c r="E50" s="657"/>
      <c r="F50" s="657"/>
      <c r="G50" s="657"/>
      <c r="H50" s="657"/>
      <c r="I50" s="657"/>
      <c r="J50" s="657"/>
      <c r="K50" s="657"/>
      <c r="L50" s="657"/>
      <c r="M50" s="657"/>
      <c r="N50" s="657"/>
      <c r="O50" s="657"/>
      <c r="P50" s="657"/>
      <c r="Q50" s="657"/>
      <c r="R50" s="657"/>
      <c r="S50" s="657"/>
      <c r="T50" s="657"/>
      <c r="U50" s="657"/>
      <c r="V50" s="657"/>
      <c r="W50" s="657"/>
      <c r="X50" s="657"/>
      <c r="Y50" s="657"/>
      <c r="Z50" s="657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8">
        <v>4607091385670</v>
      </c>
      <c r="E51" s="65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60"/>
      <c r="R51" s="660"/>
      <c r="S51" s="660"/>
      <c r="T51" s="661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8">
        <v>4680115887725</v>
      </c>
      <c r="E52" s="65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60"/>
      <c r="R52" s="660"/>
      <c r="S52" s="660"/>
      <c r="T52" s="66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658">
        <v>4607091385687</v>
      </c>
      <c r="E53" s="65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60"/>
      <c r="R53" s="660"/>
      <c r="S53" s="660"/>
      <c r="T53" s="66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8">
        <v>4680115882539</v>
      </c>
      <c r="E54" s="65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60"/>
      <c r="R54" s="660"/>
      <c r="S54" s="660"/>
      <c r="T54" s="66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49"/>
      <c r="P55" s="645" t="s">
        <v>40</v>
      </c>
      <c r="Q55" s="646"/>
      <c r="R55" s="646"/>
      <c r="S55" s="646"/>
      <c r="T55" s="646"/>
      <c r="U55" s="646"/>
      <c r="V55" s="64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49"/>
      <c r="P56" s="645" t="s">
        <v>40</v>
      </c>
      <c r="Q56" s="646"/>
      <c r="R56" s="646"/>
      <c r="S56" s="646"/>
      <c r="T56" s="646"/>
      <c r="U56" s="646"/>
      <c r="V56" s="64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64" t="s">
        <v>145</v>
      </c>
      <c r="B57" s="664"/>
      <c r="C57" s="664"/>
      <c r="D57" s="664"/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  <c r="AA57" s="65"/>
      <c r="AB57" s="65"/>
      <c r="AC57" s="79"/>
    </row>
    <row r="58" spans="1:68" ht="14.25" hidden="1" customHeight="1" x14ac:dyDescent="0.25">
      <c r="A58" s="657" t="s">
        <v>130</v>
      </c>
      <c r="B58" s="657"/>
      <c r="C58" s="657"/>
      <c r="D58" s="657"/>
      <c r="E58" s="657"/>
      <c r="F58" s="657"/>
      <c r="G58" s="657"/>
      <c r="H58" s="657"/>
      <c r="I58" s="657"/>
      <c r="J58" s="657"/>
      <c r="K58" s="657"/>
      <c r="L58" s="657"/>
      <c r="M58" s="657"/>
      <c r="N58" s="657"/>
      <c r="O58" s="657"/>
      <c r="P58" s="657"/>
      <c r="Q58" s="657"/>
      <c r="R58" s="657"/>
      <c r="S58" s="657"/>
      <c r="T58" s="657"/>
      <c r="U58" s="657"/>
      <c r="V58" s="657"/>
      <c r="W58" s="657"/>
      <c r="X58" s="657"/>
      <c r="Y58" s="657"/>
      <c r="Z58" s="657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8">
        <v>4680115885882</v>
      </c>
      <c r="E59" s="65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60"/>
      <c r="R59" s="660"/>
      <c r="S59" s="660"/>
      <c r="T59" s="66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8">
        <v>4680115881426</v>
      </c>
      <c r="E60" s="658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60"/>
      <c r="R60" s="660"/>
      <c r="S60" s="660"/>
      <c r="T60" s="66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658">
        <v>4680115881426</v>
      </c>
      <c r="E61" s="65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60"/>
      <c r="R61" s="660"/>
      <c r="S61" s="660"/>
      <c r="T61" s="66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8">
        <v>4680115880283</v>
      </c>
      <c r="E62" s="65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60"/>
      <c r="R62" s="660"/>
      <c r="S62" s="660"/>
      <c r="T62" s="66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8">
        <v>4680115881525</v>
      </c>
      <c r="E63" s="658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60"/>
      <c r="R63" s="660"/>
      <c r="S63" s="660"/>
      <c r="T63" s="661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8">
        <v>4680115881525</v>
      </c>
      <c r="E64" s="65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60"/>
      <c r="R64" s="660"/>
      <c r="S64" s="660"/>
      <c r="T64" s="66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58">
        <v>4680115885899</v>
      </c>
      <c r="E65" s="65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60"/>
      <c r="R65" s="660"/>
      <c r="S65" s="660"/>
      <c r="T65" s="66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164</v>
      </c>
      <c r="B66" s="63" t="s">
        <v>165</v>
      </c>
      <c r="C66" s="36">
        <v>4301012158</v>
      </c>
      <c r="D66" s="658">
        <v>4680115881419</v>
      </c>
      <c r="E66" s="65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60"/>
      <c r="R66" s="660"/>
      <c r="S66" s="660"/>
      <c r="T66" s="66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49"/>
      <c r="P67" s="645" t="s">
        <v>40</v>
      </c>
      <c r="Q67" s="646"/>
      <c r="R67" s="646"/>
      <c r="S67" s="646"/>
      <c r="T67" s="646"/>
      <c r="U67" s="646"/>
      <c r="V67" s="64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49"/>
      <c r="P68" s="645" t="s">
        <v>40</v>
      </c>
      <c r="Q68" s="646"/>
      <c r="R68" s="646"/>
      <c r="S68" s="646"/>
      <c r="T68" s="646"/>
      <c r="U68" s="646"/>
      <c r="V68" s="64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7" t="s">
        <v>166</v>
      </c>
      <c r="B69" s="657"/>
      <c r="C69" s="657"/>
      <c r="D69" s="657"/>
      <c r="E69" s="657"/>
      <c r="F69" s="657"/>
      <c r="G69" s="657"/>
      <c r="H69" s="657"/>
      <c r="I69" s="657"/>
      <c r="J69" s="657"/>
      <c r="K69" s="657"/>
      <c r="L69" s="657"/>
      <c r="M69" s="657"/>
      <c r="N69" s="657"/>
      <c r="O69" s="657"/>
      <c r="P69" s="657"/>
      <c r="Q69" s="657"/>
      <c r="R69" s="657"/>
      <c r="S69" s="657"/>
      <c r="T69" s="657"/>
      <c r="U69" s="657"/>
      <c r="V69" s="657"/>
      <c r="W69" s="657"/>
      <c r="X69" s="657"/>
      <c r="Y69" s="657"/>
      <c r="Z69" s="657"/>
      <c r="AA69" s="66"/>
      <c r="AB69" s="66"/>
      <c r="AC69" s="80"/>
    </row>
    <row r="70" spans="1:68" ht="27" hidden="1" customHeight="1" x14ac:dyDescent="0.25">
      <c r="A70" s="63" t="s">
        <v>167</v>
      </c>
      <c r="B70" s="63" t="s">
        <v>168</v>
      </c>
      <c r="C70" s="36">
        <v>4301020390</v>
      </c>
      <c r="D70" s="658">
        <v>4680115881440</v>
      </c>
      <c r="E70" s="65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1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60"/>
      <c r="R70" s="660"/>
      <c r="S70" s="660"/>
      <c r="T70" s="661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658">
        <v>4680115885950</v>
      </c>
      <c r="E71" s="65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60"/>
      <c r="R71" s="660"/>
      <c r="S71" s="660"/>
      <c r="T71" s="66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58">
        <v>4680115887688</v>
      </c>
      <c r="E72" s="65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60"/>
      <c r="R72" s="660"/>
      <c r="S72" s="660"/>
      <c r="T72" s="66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176</v>
      </c>
      <c r="B73" s="63" t="s">
        <v>177</v>
      </c>
      <c r="C73" s="36">
        <v>4301020389</v>
      </c>
      <c r="D73" s="658">
        <v>4680115881433</v>
      </c>
      <c r="E73" s="65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60"/>
      <c r="R73" s="660"/>
      <c r="S73" s="660"/>
      <c r="T73" s="661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9"/>
      <c r="P74" s="645" t="s">
        <v>40</v>
      </c>
      <c r="Q74" s="646"/>
      <c r="R74" s="646"/>
      <c r="S74" s="646"/>
      <c r="T74" s="646"/>
      <c r="U74" s="646"/>
      <c r="V74" s="64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45" t="s">
        <v>40</v>
      </c>
      <c r="Q75" s="646"/>
      <c r="R75" s="646"/>
      <c r="S75" s="646"/>
      <c r="T75" s="646"/>
      <c r="U75" s="646"/>
      <c r="V75" s="64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7" t="s">
        <v>83</v>
      </c>
      <c r="B76" s="657"/>
      <c r="C76" s="657"/>
      <c r="D76" s="657"/>
      <c r="E76" s="657"/>
      <c r="F76" s="657"/>
      <c r="G76" s="657"/>
      <c r="H76" s="657"/>
      <c r="I76" s="657"/>
      <c r="J76" s="657"/>
      <c r="K76" s="657"/>
      <c r="L76" s="657"/>
      <c r="M76" s="657"/>
      <c r="N76" s="657"/>
      <c r="O76" s="657"/>
      <c r="P76" s="657"/>
      <c r="Q76" s="657"/>
      <c r="R76" s="657"/>
      <c r="S76" s="657"/>
      <c r="T76" s="657"/>
      <c r="U76" s="657"/>
      <c r="V76" s="657"/>
      <c r="W76" s="657"/>
      <c r="X76" s="657"/>
      <c r="Y76" s="657"/>
      <c r="Z76" s="657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58">
        <v>4680115884311</v>
      </c>
      <c r="E77" s="65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60"/>
      <c r="R77" s="660"/>
      <c r="S77" s="660"/>
      <c r="T77" s="66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658">
        <v>4680115884403</v>
      </c>
      <c r="E78" s="65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60"/>
      <c r="R78" s="660"/>
      <c r="S78" s="660"/>
      <c r="T78" s="66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49"/>
      <c r="P79" s="645" t="s">
        <v>40</v>
      </c>
      <c r="Q79" s="646"/>
      <c r="R79" s="646"/>
      <c r="S79" s="646"/>
      <c r="T79" s="646"/>
      <c r="U79" s="646"/>
      <c r="V79" s="64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49"/>
      <c r="P80" s="645" t="s">
        <v>40</v>
      </c>
      <c r="Q80" s="646"/>
      <c r="R80" s="646"/>
      <c r="S80" s="646"/>
      <c r="T80" s="646"/>
      <c r="U80" s="646"/>
      <c r="V80" s="64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7" t="s">
        <v>184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658">
        <v>4680115881532</v>
      </c>
      <c r="E82" s="65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60"/>
      <c r="R82" s="660"/>
      <c r="S82" s="660"/>
      <c r="T82" s="66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658">
        <v>4680115881532</v>
      </c>
      <c r="E83" s="658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60"/>
      <c r="R83" s="660"/>
      <c r="S83" s="660"/>
      <c r="T83" s="66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658">
        <v>4680115881464</v>
      </c>
      <c r="E84" s="658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60"/>
      <c r="R84" s="660"/>
      <c r="S84" s="660"/>
      <c r="T84" s="661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49"/>
      <c r="P85" s="645" t="s">
        <v>40</v>
      </c>
      <c r="Q85" s="646"/>
      <c r="R85" s="646"/>
      <c r="S85" s="646"/>
      <c r="T85" s="646"/>
      <c r="U85" s="646"/>
      <c r="V85" s="647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9"/>
      <c r="P86" s="645" t="s">
        <v>40</v>
      </c>
      <c r="Q86" s="646"/>
      <c r="R86" s="646"/>
      <c r="S86" s="646"/>
      <c r="T86" s="646"/>
      <c r="U86" s="646"/>
      <c r="V86" s="647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64" t="s">
        <v>192</v>
      </c>
      <c r="B87" s="664"/>
      <c r="C87" s="664"/>
      <c r="D87" s="664"/>
      <c r="E87" s="664"/>
      <c r="F87" s="664"/>
      <c r="G87" s="664"/>
      <c r="H87" s="664"/>
      <c r="I87" s="664"/>
      <c r="J87" s="664"/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  <c r="Y87" s="664"/>
      <c r="Z87" s="664"/>
      <c r="AA87" s="65"/>
      <c r="AB87" s="65"/>
      <c r="AC87" s="79"/>
    </row>
    <row r="88" spans="1:68" ht="14.25" hidden="1" customHeight="1" x14ac:dyDescent="0.25">
      <c r="A88" s="657" t="s">
        <v>130</v>
      </c>
      <c r="B88" s="657"/>
      <c r="C88" s="657"/>
      <c r="D88" s="657"/>
      <c r="E88" s="657"/>
      <c r="F88" s="657"/>
      <c r="G88" s="657"/>
      <c r="H88" s="657"/>
      <c r="I88" s="657"/>
      <c r="J88" s="657"/>
      <c r="K88" s="657"/>
      <c r="L88" s="657"/>
      <c r="M88" s="657"/>
      <c r="N88" s="657"/>
      <c r="O88" s="657"/>
      <c r="P88" s="657"/>
      <c r="Q88" s="657"/>
      <c r="R88" s="657"/>
      <c r="S88" s="657"/>
      <c r="T88" s="657"/>
      <c r="U88" s="657"/>
      <c r="V88" s="657"/>
      <c r="W88" s="657"/>
      <c r="X88" s="657"/>
      <c r="Y88" s="657"/>
      <c r="Z88" s="657"/>
      <c r="AA88" s="66"/>
      <c r="AB88" s="66"/>
      <c r="AC88" s="80"/>
    </row>
    <row r="89" spans="1:68" ht="27" hidden="1" customHeight="1" x14ac:dyDescent="0.25">
      <c r="A89" s="63" t="s">
        <v>193</v>
      </c>
      <c r="B89" s="63" t="s">
        <v>194</v>
      </c>
      <c r="C89" s="36">
        <v>4301011468</v>
      </c>
      <c r="D89" s="658">
        <v>4680115881327</v>
      </c>
      <c r="E89" s="658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60"/>
      <c r="R89" s="660"/>
      <c r="S89" s="660"/>
      <c r="T89" s="661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658">
        <v>4680115881327</v>
      </c>
      <c r="E90" s="658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90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60"/>
      <c r="R90" s="660"/>
      <c r="S90" s="660"/>
      <c r="T90" s="661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658">
        <v>4680115887732</v>
      </c>
      <c r="E91" s="658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90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60"/>
      <c r="R91" s="660"/>
      <c r="S91" s="660"/>
      <c r="T91" s="661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658">
        <v>4680115881518</v>
      </c>
      <c r="E92" s="658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90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60"/>
      <c r="R92" s="660"/>
      <c r="S92" s="660"/>
      <c r="T92" s="661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658">
        <v>4680115881518</v>
      </c>
      <c r="E93" s="658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60"/>
      <c r="R93" s="660"/>
      <c r="S93" s="660"/>
      <c r="T93" s="661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203</v>
      </c>
      <c r="B94" s="63" t="s">
        <v>204</v>
      </c>
      <c r="C94" s="36">
        <v>4301012250</v>
      </c>
      <c r="D94" s="658">
        <v>4680115881303</v>
      </c>
      <c r="E94" s="658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60"/>
      <c r="R94" s="660"/>
      <c r="S94" s="660"/>
      <c r="T94" s="661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64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49"/>
      <c r="P95" s="645" t="s">
        <v>40</v>
      </c>
      <c r="Q95" s="646"/>
      <c r="R95" s="646"/>
      <c r="S95" s="646"/>
      <c r="T95" s="646"/>
      <c r="U95" s="646"/>
      <c r="V95" s="647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49"/>
      <c r="P96" s="645" t="s">
        <v>40</v>
      </c>
      <c r="Q96" s="646"/>
      <c r="R96" s="646"/>
      <c r="S96" s="646"/>
      <c r="T96" s="646"/>
      <c r="U96" s="646"/>
      <c r="V96" s="647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657" t="s">
        <v>83</v>
      </c>
      <c r="B97" s="657"/>
      <c r="C97" s="657"/>
      <c r="D97" s="657"/>
      <c r="E97" s="657"/>
      <c r="F97" s="657"/>
      <c r="G97" s="657"/>
      <c r="H97" s="657"/>
      <c r="I97" s="657"/>
      <c r="J97" s="657"/>
      <c r="K97" s="657"/>
      <c r="L97" s="657"/>
      <c r="M97" s="657"/>
      <c r="N97" s="657"/>
      <c r="O97" s="657"/>
      <c r="P97" s="657"/>
      <c r="Q97" s="657"/>
      <c r="R97" s="657"/>
      <c r="S97" s="657"/>
      <c r="T97" s="657"/>
      <c r="U97" s="657"/>
      <c r="V97" s="657"/>
      <c r="W97" s="657"/>
      <c r="X97" s="657"/>
      <c r="Y97" s="657"/>
      <c r="Z97" s="657"/>
      <c r="AA97" s="66"/>
      <c r="AB97" s="66"/>
      <c r="AC97" s="80"/>
    </row>
    <row r="98" spans="1:68" ht="27" hidden="1" customHeight="1" x14ac:dyDescent="0.25">
      <c r="A98" s="63" t="s">
        <v>205</v>
      </c>
      <c r="B98" s="63" t="s">
        <v>206</v>
      </c>
      <c r="C98" s="36">
        <v>4301052101</v>
      </c>
      <c r="D98" s="658">
        <v>4607091386967</v>
      </c>
      <c r="E98" s="658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60"/>
      <c r="R98" s="660"/>
      <c r="S98" s="660"/>
      <c r="T98" s="66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658">
        <v>4680115884953</v>
      </c>
      <c r="E99" s="658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60"/>
      <c r="R99" s="660"/>
      <c r="S99" s="660"/>
      <c r="T99" s="661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211</v>
      </c>
      <c r="B100" s="63" t="s">
        <v>212</v>
      </c>
      <c r="C100" s="36">
        <v>4301052094</v>
      </c>
      <c r="D100" s="658">
        <v>4607091385731</v>
      </c>
      <c r="E100" s="658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60"/>
      <c r="R100" s="660"/>
      <c r="S100" s="660"/>
      <c r="T100" s="661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658">
        <v>4680115880894</v>
      </c>
      <c r="E101" s="658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0"/>
      <c r="R101" s="660"/>
      <c r="S101" s="660"/>
      <c r="T101" s="661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64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49"/>
      <c r="P102" s="645" t="s">
        <v>40</v>
      </c>
      <c r="Q102" s="646"/>
      <c r="R102" s="646"/>
      <c r="S102" s="646"/>
      <c r="T102" s="646"/>
      <c r="U102" s="646"/>
      <c r="V102" s="647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49"/>
      <c r="P103" s="645" t="s">
        <v>40</v>
      </c>
      <c r="Q103" s="646"/>
      <c r="R103" s="646"/>
      <c r="S103" s="646"/>
      <c r="T103" s="646"/>
      <c r="U103" s="646"/>
      <c r="V103" s="647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664" t="s">
        <v>216</v>
      </c>
      <c r="B104" s="664"/>
      <c r="C104" s="664"/>
      <c r="D104" s="664"/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  <c r="O104" s="664"/>
      <c r="P104" s="664"/>
      <c r="Q104" s="664"/>
      <c r="R104" s="664"/>
      <c r="S104" s="664"/>
      <c r="T104" s="664"/>
      <c r="U104" s="664"/>
      <c r="V104" s="664"/>
      <c r="W104" s="664"/>
      <c r="X104" s="664"/>
      <c r="Y104" s="664"/>
      <c r="Z104" s="664"/>
      <c r="AA104" s="65"/>
      <c r="AB104" s="65"/>
      <c r="AC104" s="79"/>
    </row>
    <row r="105" spans="1:68" ht="14.25" hidden="1" customHeight="1" x14ac:dyDescent="0.25">
      <c r="A105" s="657" t="s">
        <v>130</v>
      </c>
      <c r="B105" s="657"/>
      <c r="C105" s="657"/>
      <c r="D105" s="657"/>
      <c r="E105" s="657"/>
      <c r="F105" s="657"/>
      <c r="G105" s="657"/>
      <c r="H105" s="657"/>
      <c r="I105" s="657"/>
      <c r="J105" s="657"/>
      <c r="K105" s="657"/>
      <c r="L105" s="657"/>
      <c r="M105" s="657"/>
      <c r="N105" s="657"/>
      <c r="O105" s="657"/>
      <c r="P105" s="657"/>
      <c r="Q105" s="657"/>
      <c r="R105" s="657"/>
      <c r="S105" s="657"/>
      <c r="T105" s="657"/>
      <c r="U105" s="657"/>
      <c r="V105" s="657"/>
      <c r="W105" s="657"/>
      <c r="X105" s="657"/>
      <c r="Y105" s="657"/>
      <c r="Z105" s="657"/>
      <c r="AA105" s="66"/>
      <c r="AB105" s="66"/>
      <c r="AC105" s="80"/>
    </row>
    <row r="106" spans="1:68" ht="37.5" hidden="1" customHeight="1" x14ac:dyDescent="0.25">
      <c r="A106" s="63" t="s">
        <v>217</v>
      </c>
      <c r="B106" s="63" t="s">
        <v>218</v>
      </c>
      <c r="C106" s="36">
        <v>4301011514</v>
      </c>
      <c r="D106" s="658">
        <v>4680115882133</v>
      </c>
      <c r="E106" s="658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0"/>
      <c r="R106" s="660"/>
      <c r="S106" s="660"/>
      <c r="T106" s="66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658">
        <v>4680115882133</v>
      </c>
      <c r="E107" s="658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60"/>
      <c r="R107" s="660"/>
      <c r="S107" s="660"/>
      <c r="T107" s="66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658">
        <v>4680115887718</v>
      </c>
      <c r="E108" s="658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0"/>
      <c r="R108" s="660"/>
      <c r="S108" s="660"/>
      <c r="T108" s="66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658">
        <v>4680115880269</v>
      </c>
      <c r="E109" s="658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60"/>
      <c r="R109" s="660"/>
      <c r="S109" s="660"/>
      <c r="T109" s="661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227</v>
      </c>
      <c r="B110" s="63" t="s">
        <v>228</v>
      </c>
      <c r="C110" s="36">
        <v>4301012254</v>
      </c>
      <c r="D110" s="658">
        <v>4680115880429</v>
      </c>
      <c r="E110" s="658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60"/>
      <c r="R110" s="660"/>
      <c r="S110" s="660"/>
      <c r="T110" s="661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658">
        <v>4680115881457</v>
      </c>
      <c r="E111" s="658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0"/>
      <c r="R111" s="660"/>
      <c r="S111" s="660"/>
      <c r="T111" s="661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658">
        <v>4680115889477</v>
      </c>
      <c r="E112" s="658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0"/>
      <c r="R112" s="660"/>
      <c r="S112" s="660"/>
      <c r="T112" s="66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4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49"/>
      <c r="P113" s="645" t="s">
        <v>40</v>
      </c>
      <c r="Q113" s="646"/>
      <c r="R113" s="646"/>
      <c r="S113" s="646"/>
      <c r="T113" s="646"/>
      <c r="U113" s="646"/>
      <c r="V113" s="647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49"/>
      <c r="P114" s="645" t="s">
        <v>40</v>
      </c>
      <c r="Q114" s="646"/>
      <c r="R114" s="646"/>
      <c r="S114" s="646"/>
      <c r="T114" s="646"/>
      <c r="U114" s="646"/>
      <c r="V114" s="647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7" t="s">
        <v>166</v>
      </c>
      <c r="B115" s="657"/>
      <c r="C115" s="657"/>
      <c r="D115" s="657"/>
      <c r="E115" s="657"/>
      <c r="F115" s="657"/>
      <c r="G115" s="657"/>
      <c r="H115" s="657"/>
      <c r="I115" s="657"/>
      <c r="J115" s="657"/>
      <c r="K115" s="657"/>
      <c r="L115" s="657"/>
      <c r="M115" s="657"/>
      <c r="N115" s="657"/>
      <c r="O115" s="657"/>
      <c r="P115" s="657"/>
      <c r="Q115" s="657"/>
      <c r="R115" s="657"/>
      <c r="S115" s="657"/>
      <c r="T115" s="657"/>
      <c r="U115" s="657"/>
      <c r="V115" s="657"/>
      <c r="W115" s="657"/>
      <c r="X115" s="657"/>
      <c r="Y115" s="657"/>
      <c r="Z115" s="657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658">
        <v>4680115881488</v>
      </c>
      <c r="E116" s="658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9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0"/>
      <c r="R116" s="660"/>
      <c r="S116" s="660"/>
      <c r="T116" s="661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658">
        <v>4680115887664</v>
      </c>
      <c r="E117" s="658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0"/>
      <c r="R117" s="660"/>
      <c r="S117" s="660"/>
      <c r="T117" s="661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658">
        <v>4680115887664</v>
      </c>
      <c r="E118" s="658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89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0"/>
      <c r="R118" s="660"/>
      <c r="S118" s="660"/>
      <c r="T118" s="661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658">
        <v>4680115882775</v>
      </c>
      <c r="E119" s="658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8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60"/>
      <c r="R119" s="660"/>
      <c r="S119" s="660"/>
      <c r="T119" s="661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658">
        <v>4680115880658</v>
      </c>
      <c r="E120" s="658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8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60"/>
      <c r="R120" s="660"/>
      <c r="S120" s="660"/>
      <c r="T120" s="661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49"/>
      <c r="P121" s="645" t="s">
        <v>40</v>
      </c>
      <c r="Q121" s="646"/>
      <c r="R121" s="646"/>
      <c r="S121" s="646"/>
      <c r="T121" s="646"/>
      <c r="U121" s="646"/>
      <c r="V121" s="647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45" t="s">
        <v>40</v>
      </c>
      <c r="Q122" s="646"/>
      <c r="R122" s="646"/>
      <c r="S122" s="646"/>
      <c r="T122" s="646"/>
      <c r="U122" s="646"/>
      <c r="V122" s="647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57" t="s">
        <v>83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6"/>
      <c r="AB123" s="66"/>
      <c r="AC123" s="80"/>
    </row>
    <row r="124" spans="1:68" ht="27" hidden="1" customHeight="1" x14ac:dyDescent="0.25">
      <c r="A124" s="63" t="s">
        <v>246</v>
      </c>
      <c r="B124" s="63" t="s">
        <v>247</v>
      </c>
      <c r="C124" s="36">
        <v>4301052088</v>
      </c>
      <c r="D124" s="658">
        <v>4607091385168</v>
      </c>
      <c r="E124" s="658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8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60"/>
      <c r="R124" s="660"/>
      <c r="S124" s="660"/>
      <c r="T124" s="66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658">
        <v>4607091383256</v>
      </c>
      <c r="E125" s="658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60"/>
      <c r="R125" s="660"/>
      <c r="S125" s="660"/>
      <c r="T125" s="66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251</v>
      </c>
      <c r="B126" s="63" t="s">
        <v>252</v>
      </c>
      <c r="C126" s="36">
        <v>4301052086</v>
      </c>
      <c r="D126" s="658">
        <v>4607091385748</v>
      </c>
      <c r="E126" s="658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60"/>
      <c r="R126" s="660"/>
      <c r="S126" s="660"/>
      <c r="T126" s="661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hidden="1" customHeight="1" x14ac:dyDescent="0.25">
      <c r="A127" s="63" t="s">
        <v>253</v>
      </c>
      <c r="B127" s="63" t="s">
        <v>254</v>
      </c>
      <c r="C127" s="36">
        <v>4301052085</v>
      </c>
      <c r="D127" s="658">
        <v>4680115884533</v>
      </c>
      <c r="E127" s="658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60"/>
      <c r="R127" s="660"/>
      <c r="S127" s="660"/>
      <c r="T127" s="661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9"/>
      <c r="P128" s="645" t="s">
        <v>40</v>
      </c>
      <c r="Q128" s="646"/>
      <c r="R128" s="646"/>
      <c r="S128" s="646"/>
      <c r="T128" s="646"/>
      <c r="U128" s="646"/>
      <c r="V128" s="647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hidden="1" x14ac:dyDescent="0.2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9"/>
      <c r="P129" s="645" t="s">
        <v>40</v>
      </c>
      <c r="Q129" s="646"/>
      <c r="R129" s="646"/>
      <c r="S129" s="646"/>
      <c r="T129" s="646"/>
      <c r="U129" s="646"/>
      <c r="V129" s="647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657" t="s">
        <v>184</v>
      </c>
      <c r="B130" s="657"/>
      <c r="C130" s="657"/>
      <c r="D130" s="657"/>
      <c r="E130" s="657"/>
      <c r="F130" s="657"/>
      <c r="G130" s="657"/>
      <c r="H130" s="657"/>
      <c r="I130" s="657"/>
      <c r="J130" s="657"/>
      <c r="K130" s="657"/>
      <c r="L130" s="657"/>
      <c r="M130" s="657"/>
      <c r="N130" s="657"/>
      <c r="O130" s="657"/>
      <c r="P130" s="657"/>
      <c r="Q130" s="657"/>
      <c r="R130" s="657"/>
      <c r="S130" s="657"/>
      <c r="T130" s="657"/>
      <c r="U130" s="657"/>
      <c r="V130" s="657"/>
      <c r="W130" s="657"/>
      <c r="X130" s="657"/>
      <c r="Y130" s="657"/>
      <c r="Z130" s="657"/>
      <c r="AA130" s="66"/>
      <c r="AB130" s="66"/>
      <c r="AC130" s="80"/>
    </row>
    <row r="131" spans="1:68" ht="16.5" hidden="1" customHeight="1" x14ac:dyDescent="0.25">
      <c r="A131" s="63" t="s">
        <v>256</v>
      </c>
      <c r="B131" s="63" t="s">
        <v>257</v>
      </c>
      <c r="C131" s="36">
        <v>4301060525</v>
      </c>
      <c r="D131" s="658">
        <v>4680115880238</v>
      </c>
      <c r="E131" s="658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87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60"/>
      <c r="R131" s="660"/>
      <c r="S131" s="660"/>
      <c r="T131" s="661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45" t="s">
        <v>40</v>
      </c>
      <c r="Q132" s="646"/>
      <c r="R132" s="646"/>
      <c r="S132" s="646"/>
      <c r="T132" s="646"/>
      <c r="U132" s="646"/>
      <c r="V132" s="647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hidden="1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45" t="s">
        <v>40</v>
      </c>
      <c r="Q133" s="646"/>
      <c r="R133" s="646"/>
      <c r="S133" s="646"/>
      <c r="T133" s="646"/>
      <c r="U133" s="646"/>
      <c r="V133" s="647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hidden="1" customHeight="1" x14ac:dyDescent="0.25">
      <c r="A134" s="664" t="s">
        <v>259</v>
      </c>
      <c r="B134" s="664"/>
      <c r="C134" s="664"/>
      <c r="D134" s="664"/>
      <c r="E134" s="664"/>
      <c r="F134" s="664"/>
      <c r="G134" s="664"/>
      <c r="H134" s="664"/>
      <c r="I134" s="664"/>
      <c r="J134" s="664"/>
      <c r="K134" s="664"/>
      <c r="L134" s="664"/>
      <c r="M134" s="664"/>
      <c r="N134" s="664"/>
      <c r="O134" s="664"/>
      <c r="P134" s="664"/>
      <c r="Q134" s="664"/>
      <c r="R134" s="664"/>
      <c r="S134" s="664"/>
      <c r="T134" s="664"/>
      <c r="U134" s="664"/>
      <c r="V134" s="664"/>
      <c r="W134" s="664"/>
      <c r="X134" s="664"/>
      <c r="Y134" s="664"/>
      <c r="Z134" s="664"/>
      <c r="AA134" s="65"/>
      <c r="AB134" s="65"/>
      <c r="AC134" s="79"/>
    </row>
    <row r="135" spans="1:68" ht="14.25" hidden="1" customHeight="1" x14ac:dyDescent="0.25">
      <c r="A135" s="657" t="s">
        <v>130</v>
      </c>
      <c r="B135" s="657"/>
      <c r="C135" s="657"/>
      <c r="D135" s="657"/>
      <c r="E135" s="657"/>
      <c r="F135" s="657"/>
      <c r="G135" s="657"/>
      <c r="H135" s="657"/>
      <c r="I135" s="657"/>
      <c r="J135" s="657"/>
      <c r="K135" s="657"/>
      <c r="L135" s="657"/>
      <c r="M135" s="657"/>
      <c r="N135" s="657"/>
      <c r="O135" s="657"/>
      <c r="P135" s="657"/>
      <c r="Q135" s="657"/>
      <c r="R135" s="657"/>
      <c r="S135" s="657"/>
      <c r="T135" s="657"/>
      <c r="U135" s="657"/>
      <c r="V135" s="657"/>
      <c r="W135" s="657"/>
      <c r="X135" s="657"/>
      <c r="Y135" s="657"/>
      <c r="Z135" s="657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658">
        <v>4680115882577</v>
      </c>
      <c r="E136" s="658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0"/>
      <c r="R136" s="660"/>
      <c r="S136" s="660"/>
      <c r="T136" s="661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260</v>
      </c>
      <c r="B137" s="63" t="s">
        <v>264</v>
      </c>
      <c r="C137" s="36">
        <v>4301011564</v>
      </c>
      <c r="D137" s="658">
        <v>4680115882577</v>
      </c>
      <c r="E137" s="658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0"/>
      <c r="R137" s="660"/>
      <c r="S137" s="660"/>
      <c r="T137" s="661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45" t="s">
        <v>40</v>
      </c>
      <c r="Q138" s="646"/>
      <c r="R138" s="646"/>
      <c r="S138" s="646"/>
      <c r="T138" s="646"/>
      <c r="U138" s="646"/>
      <c r="V138" s="64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9"/>
      <c r="P139" s="645" t="s">
        <v>40</v>
      </c>
      <c r="Q139" s="646"/>
      <c r="R139" s="646"/>
      <c r="S139" s="646"/>
      <c r="T139" s="646"/>
      <c r="U139" s="646"/>
      <c r="V139" s="64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7" t="s">
        <v>77</v>
      </c>
      <c r="B140" s="657"/>
      <c r="C140" s="657"/>
      <c r="D140" s="657"/>
      <c r="E140" s="657"/>
      <c r="F140" s="657"/>
      <c r="G140" s="657"/>
      <c r="H140" s="657"/>
      <c r="I140" s="657"/>
      <c r="J140" s="657"/>
      <c r="K140" s="657"/>
      <c r="L140" s="657"/>
      <c r="M140" s="657"/>
      <c r="N140" s="657"/>
      <c r="O140" s="657"/>
      <c r="P140" s="657"/>
      <c r="Q140" s="657"/>
      <c r="R140" s="657"/>
      <c r="S140" s="657"/>
      <c r="T140" s="657"/>
      <c r="U140" s="657"/>
      <c r="V140" s="657"/>
      <c r="W140" s="657"/>
      <c r="X140" s="657"/>
      <c r="Y140" s="657"/>
      <c r="Z140" s="657"/>
      <c r="AA140" s="66"/>
      <c r="AB140" s="66"/>
      <c r="AC140" s="80"/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658">
        <v>4680115883444</v>
      </c>
      <c r="E141" s="658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0"/>
      <c r="R141" s="660"/>
      <c r="S141" s="660"/>
      <c r="T141" s="661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8">
        <v>4680115883444</v>
      </c>
      <c r="E142" s="658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0"/>
      <c r="R142" s="660"/>
      <c r="S142" s="660"/>
      <c r="T142" s="661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45" t="s">
        <v>40</v>
      </c>
      <c r="Q143" s="646"/>
      <c r="R143" s="646"/>
      <c r="S143" s="646"/>
      <c r="T143" s="646"/>
      <c r="U143" s="646"/>
      <c r="V143" s="647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9"/>
      <c r="P144" s="645" t="s">
        <v>40</v>
      </c>
      <c r="Q144" s="646"/>
      <c r="R144" s="646"/>
      <c r="S144" s="646"/>
      <c r="T144" s="646"/>
      <c r="U144" s="646"/>
      <c r="V144" s="647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7" t="s">
        <v>83</v>
      </c>
      <c r="B145" s="657"/>
      <c r="C145" s="657"/>
      <c r="D145" s="657"/>
      <c r="E145" s="657"/>
      <c r="F145" s="657"/>
      <c r="G145" s="657"/>
      <c r="H145" s="657"/>
      <c r="I145" s="657"/>
      <c r="J145" s="657"/>
      <c r="K145" s="657"/>
      <c r="L145" s="657"/>
      <c r="M145" s="657"/>
      <c r="N145" s="657"/>
      <c r="O145" s="657"/>
      <c r="P145" s="657"/>
      <c r="Q145" s="657"/>
      <c r="R145" s="657"/>
      <c r="S145" s="657"/>
      <c r="T145" s="657"/>
      <c r="U145" s="657"/>
      <c r="V145" s="657"/>
      <c r="W145" s="657"/>
      <c r="X145" s="657"/>
      <c r="Y145" s="657"/>
      <c r="Z145" s="657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4301051476</v>
      </c>
      <c r="D146" s="658">
        <v>4680115882584</v>
      </c>
      <c r="E146" s="658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0"/>
      <c r="R146" s="660"/>
      <c r="S146" s="660"/>
      <c r="T146" s="661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658">
        <v>4680115882584</v>
      </c>
      <c r="E147" s="658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0"/>
      <c r="R147" s="660"/>
      <c r="S147" s="660"/>
      <c r="T147" s="661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64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49"/>
      <c r="P148" s="645" t="s">
        <v>40</v>
      </c>
      <c r="Q148" s="646"/>
      <c r="R148" s="646"/>
      <c r="S148" s="646"/>
      <c r="T148" s="646"/>
      <c r="U148" s="646"/>
      <c r="V148" s="647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49"/>
      <c r="P149" s="645" t="s">
        <v>40</v>
      </c>
      <c r="Q149" s="646"/>
      <c r="R149" s="646"/>
      <c r="S149" s="646"/>
      <c r="T149" s="646"/>
      <c r="U149" s="646"/>
      <c r="V149" s="647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664" t="s">
        <v>272</v>
      </c>
      <c r="B150" s="664"/>
      <c r="C150" s="664"/>
      <c r="D150" s="664"/>
      <c r="E150" s="664"/>
      <c r="F150" s="664"/>
      <c r="G150" s="664"/>
      <c r="H150" s="664"/>
      <c r="I150" s="664"/>
      <c r="J150" s="664"/>
      <c r="K150" s="664"/>
      <c r="L150" s="664"/>
      <c r="M150" s="664"/>
      <c r="N150" s="664"/>
      <c r="O150" s="664"/>
      <c r="P150" s="664"/>
      <c r="Q150" s="664"/>
      <c r="R150" s="664"/>
      <c r="S150" s="664"/>
      <c r="T150" s="664"/>
      <c r="U150" s="664"/>
      <c r="V150" s="664"/>
      <c r="W150" s="664"/>
      <c r="X150" s="664"/>
      <c r="Y150" s="664"/>
      <c r="Z150" s="664"/>
      <c r="AA150" s="65"/>
      <c r="AB150" s="65"/>
      <c r="AC150" s="79"/>
    </row>
    <row r="151" spans="1:68" ht="14.25" hidden="1" customHeight="1" x14ac:dyDescent="0.25">
      <c r="A151" s="657" t="s">
        <v>83</v>
      </c>
      <c r="B151" s="657"/>
      <c r="C151" s="657"/>
      <c r="D151" s="657"/>
      <c r="E151" s="657"/>
      <c r="F151" s="657"/>
      <c r="G151" s="657"/>
      <c r="H151" s="657"/>
      <c r="I151" s="657"/>
      <c r="J151" s="657"/>
      <c r="K151" s="657"/>
      <c r="L151" s="657"/>
      <c r="M151" s="657"/>
      <c r="N151" s="657"/>
      <c r="O151" s="657"/>
      <c r="P151" s="657"/>
      <c r="Q151" s="657"/>
      <c r="R151" s="657"/>
      <c r="S151" s="657"/>
      <c r="T151" s="657"/>
      <c r="U151" s="657"/>
      <c r="V151" s="657"/>
      <c r="W151" s="657"/>
      <c r="X151" s="657"/>
      <c r="Y151" s="657"/>
      <c r="Z151" s="657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658">
        <v>4680115888203</v>
      </c>
      <c r="E152" s="658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0"/>
      <c r="R152" s="660"/>
      <c r="S152" s="660"/>
      <c r="T152" s="66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658">
        <v>4680115888180</v>
      </c>
      <c r="E153" s="658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0"/>
      <c r="R153" s="660"/>
      <c r="S153" s="660"/>
      <c r="T153" s="66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658">
        <v>4680115888197</v>
      </c>
      <c r="E154" s="658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7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0"/>
      <c r="R154" s="660"/>
      <c r="S154" s="660"/>
      <c r="T154" s="661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658">
        <v>4680115888210</v>
      </c>
      <c r="E155" s="658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0"/>
      <c r="R155" s="660"/>
      <c r="S155" s="660"/>
      <c r="T155" s="661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64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9"/>
      <c r="P156" s="645" t="s">
        <v>40</v>
      </c>
      <c r="Q156" s="646"/>
      <c r="R156" s="646"/>
      <c r="S156" s="646"/>
      <c r="T156" s="646"/>
      <c r="U156" s="646"/>
      <c r="V156" s="647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9"/>
      <c r="P157" s="645" t="s">
        <v>40</v>
      </c>
      <c r="Q157" s="646"/>
      <c r="R157" s="646"/>
      <c r="S157" s="646"/>
      <c r="T157" s="646"/>
      <c r="U157" s="646"/>
      <c r="V157" s="647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57" t="s">
        <v>101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658">
        <v>4680115889132</v>
      </c>
      <c r="E159" s="658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0"/>
      <c r="R159" s="660"/>
      <c r="S159" s="660"/>
      <c r="T159" s="66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49"/>
      <c r="P160" s="645" t="s">
        <v>40</v>
      </c>
      <c r="Q160" s="646"/>
      <c r="R160" s="646"/>
      <c r="S160" s="646"/>
      <c r="T160" s="646"/>
      <c r="U160" s="646"/>
      <c r="V160" s="647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9"/>
      <c r="P161" s="645" t="s">
        <v>40</v>
      </c>
      <c r="Q161" s="646"/>
      <c r="R161" s="646"/>
      <c r="S161" s="646"/>
      <c r="T161" s="646"/>
      <c r="U161" s="646"/>
      <c r="V161" s="647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4" t="s">
        <v>128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5"/>
      <c r="AB162" s="65"/>
      <c r="AC162" s="79"/>
    </row>
    <row r="163" spans="1:68" ht="14.25" hidden="1" customHeight="1" x14ac:dyDescent="0.25">
      <c r="A163" s="657" t="s">
        <v>130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658">
        <v>4680115887374</v>
      </c>
      <c r="E164" s="658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0"/>
      <c r="R164" s="660"/>
      <c r="S164" s="660"/>
      <c r="T164" s="661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658">
        <v>4607091384604</v>
      </c>
      <c r="E165" s="658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0"/>
      <c r="R165" s="660"/>
      <c r="S165" s="660"/>
      <c r="T165" s="661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658">
        <v>4607091384604</v>
      </c>
      <c r="E166" s="658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86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0"/>
      <c r="R166" s="660"/>
      <c r="S166" s="660"/>
      <c r="T166" s="661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658">
        <v>4680115888876</v>
      </c>
      <c r="E167" s="658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0"/>
      <c r="R167" s="660"/>
      <c r="S167" s="660"/>
      <c r="T167" s="661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45" t="s">
        <v>40</v>
      </c>
      <c r="Q168" s="646"/>
      <c r="R168" s="646"/>
      <c r="S168" s="646"/>
      <c r="T168" s="646"/>
      <c r="U168" s="646"/>
      <c r="V168" s="647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9"/>
      <c r="P169" s="645" t="s">
        <v>40</v>
      </c>
      <c r="Q169" s="646"/>
      <c r="R169" s="646"/>
      <c r="S169" s="646"/>
      <c r="T169" s="646"/>
      <c r="U169" s="646"/>
      <c r="V169" s="647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57" t="s">
        <v>166</v>
      </c>
      <c r="B170" s="657"/>
      <c r="C170" s="657"/>
      <c r="D170" s="657"/>
      <c r="E170" s="657"/>
      <c r="F170" s="657"/>
      <c r="G170" s="657"/>
      <c r="H170" s="657"/>
      <c r="I170" s="657"/>
      <c r="J170" s="657"/>
      <c r="K170" s="657"/>
      <c r="L170" s="657"/>
      <c r="M170" s="657"/>
      <c r="N170" s="657"/>
      <c r="O170" s="657"/>
      <c r="P170" s="657"/>
      <c r="Q170" s="657"/>
      <c r="R170" s="657"/>
      <c r="S170" s="657"/>
      <c r="T170" s="657"/>
      <c r="U170" s="657"/>
      <c r="V170" s="657"/>
      <c r="W170" s="657"/>
      <c r="X170" s="657"/>
      <c r="Y170" s="657"/>
      <c r="Z170" s="657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658">
        <v>4680115887695</v>
      </c>
      <c r="E171" s="658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0"/>
      <c r="R171" s="660"/>
      <c r="S171" s="660"/>
      <c r="T171" s="661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658">
        <v>4680115889491</v>
      </c>
      <c r="E172" s="658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0"/>
      <c r="R172" s="660"/>
      <c r="S172" s="660"/>
      <c r="T172" s="661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4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49"/>
      <c r="P173" s="645" t="s">
        <v>40</v>
      </c>
      <c r="Q173" s="646"/>
      <c r="R173" s="646"/>
      <c r="S173" s="646"/>
      <c r="T173" s="646"/>
      <c r="U173" s="646"/>
      <c r="V173" s="647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49"/>
      <c r="P174" s="645" t="s">
        <v>40</v>
      </c>
      <c r="Q174" s="646"/>
      <c r="R174" s="646"/>
      <c r="S174" s="646"/>
      <c r="T174" s="646"/>
      <c r="U174" s="646"/>
      <c r="V174" s="647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57" t="s">
        <v>77</v>
      </c>
      <c r="B175" s="657"/>
      <c r="C175" s="657"/>
      <c r="D175" s="657"/>
      <c r="E175" s="657"/>
      <c r="F175" s="657"/>
      <c r="G175" s="657"/>
      <c r="H175" s="657"/>
      <c r="I175" s="657"/>
      <c r="J175" s="657"/>
      <c r="K175" s="657"/>
      <c r="L175" s="657"/>
      <c r="M175" s="657"/>
      <c r="N175" s="657"/>
      <c r="O175" s="657"/>
      <c r="P175" s="657"/>
      <c r="Q175" s="657"/>
      <c r="R175" s="657"/>
      <c r="S175" s="657"/>
      <c r="T175" s="657"/>
      <c r="U175" s="657"/>
      <c r="V175" s="657"/>
      <c r="W175" s="657"/>
      <c r="X175" s="657"/>
      <c r="Y175" s="657"/>
      <c r="Z175" s="657"/>
      <c r="AA175" s="66"/>
      <c r="AB175" s="66"/>
      <c r="AC175" s="80"/>
    </row>
    <row r="176" spans="1:68" ht="27" hidden="1" customHeight="1" x14ac:dyDescent="0.25">
      <c r="A176" s="63" t="s">
        <v>304</v>
      </c>
      <c r="B176" s="63" t="s">
        <v>305</v>
      </c>
      <c r="C176" s="36">
        <v>4301031527</v>
      </c>
      <c r="D176" s="658">
        <v>4680115889613</v>
      </c>
      <c r="E176" s="658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56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60"/>
      <c r="R176" s="660"/>
      <c r="S176" s="660"/>
      <c r="T176" s="66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307</v>
      </c>
      <c r="B177" s="63" t="s">
        <v>308</v>
      </c>
      <c r="C177" s="36">
        <v>4301031496</v>
      </c>
      <c r="D177" s="658">
        <v>4680115887428</v>
      </c>
      <c r="E177" s="658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5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0"/>
      <c r="R177" s="660"/>
      <c r="S177" s="660"/>
      <c r="T177" s="66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658">
        <v>4680115889170</v>
      </c>
      <c r="E178" s="658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0"/>
      <c r="R178" s="660"/>
      <c r="S178" s="660"/>
      <c r="T178" s="661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313</v>
      </c>
      <c r="B179" s="63" t="s">
        <v>314</v>
      </c>
      <c r="C179" s="36">
        <v>4301031522</v>
      </c>
      <c r="D179" s="658">
        <v>4680115887398</v>
      </c>
      <c r="E179" s="658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0"/>
      <c r="R179" s="660"/>
      <c r="S179" s="660"/>
      <c r="T179" s="661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316</v>
      </c>
      <c r="B180" s="63" t="s">
        <v>317</v>
      </c>
      <c r="C180" s="36">
        <v>4301031520</v>
      </c>
      <c r="D180" s="658">
        <v>4680115887336</v>
      </c>
      <c r="E180" s="658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0"/>
      <c r="R180" s="660"/>
      <c r="S180" s="660"/>
      <c r="T180" s="661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319</v>
      </c>
      <c r="B181" s="63" t="s">
        <v>320</v>
      </c>
      <c r="C181" s="36">
        <v>4301031528</v>
      </c>
      <c r="D181" s="658">
        <v>4680115887787</v>
      </c>
      <c r="E181" s="658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0"/>
      <c r="R181" s="660"/>
      <c r="S181" s="660"/>
      <c r="T181" s="661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4301031448</v>
      </c>
      <c r="D182" s="658">
        <v>4680115887503</v>
      </c>
      <c r="E182" s="658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0"/>
      <c r="R182" s="660"/>
      <c r="S182" s="660"/>
      <c r="T182" s="661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658">
        <v>4680115887763</v>
      </c>
      <c r="E183" s="658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0"/>
      <c r="R183" s="660"/>
      <c r="S183" s="660"/>
      <c r="T183" s="661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4301031521</v>
      </c>
      <c r="D184" s="658">
        <v>4680115887480</v>
      </c>
      <c r="E184" s="658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0"/>
      <c r="R184" s="660"/>
      <c r="S184" s="660"/>
      <c r="T184" s="661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658">
        <v>4680115888067</v>
      </c>
      <c r="E185" s="658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0"/>
      <c r="R185" s="660"/>
      <c r="S185" s="660"/>
      <c r="T185" s="661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658">
        <v>4680115887435</v>
      </c>
      <c r="E186" s="658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0"/>
      <c r="R186" s="660"/>
      <c r="S186" s="660"/>
      <c r="T186" s="661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45" t="s">
        <v>40</v>
      </c>
      <c r="Q187" s="646"/>
      <c r="R187" s="646"/>
      <c r="S187" s="646"/>
      <c r="T187" s="646"/>
      <c r="U187" s="646"/>
      <c r="V187" s="647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9"/>
      <c r="P188" s="645" t="s">
        <v>40</v>
      </c>
      <c r="Q188" s="646"/>
      <c r="R188" s="646"/>
      <c r="S188" s="646"/>
      <c r="T188" s="646"/>
      <c r="U188" s="646"/>
      <c r="V188" s="647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57" t="s">
        <v>83</v>
      </c>
      <c r="B189" s="657"/>
      <c r="C189" s="657"/>
      <c r="D189" s="657"/>
      <c r="E189" s="657"/>
      <c r="F189" s="657"/>
      <c r="G189" s="657"/>
      <c r="H189" s="657"/>
      <c r="I189" s="657"/>
      <c r="J189" s="657"/>
      <c r="K189" s="657"/>
      <c r="L189" s="657"/>
      <c r="M189" s="657"/>
      <c r="N189" s="657"/>
      <c r="O189" s="657"/>
      <c r="P189" s="657"/>
      <c r="Q189" s="657"/>
      <c r="R189" s="657"/>
      <c r="S189" s="657"/>
      <c r="T189" s="657"/>
      <c r="U189" s="657"/>
      <c r="V189" s="657"/>
      <c r="W189" s="657"/>
      <c r="X189" s="657"/>
      <c r="Y189" s="657"/>
      <c r="Z189" s="657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658">
        <v>4680115888395</v>
      </c>
      <c r="E190" s="658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0"/>
      <c r="R190" s="660"/>
      <c r="S190" s="660"/>
      <c r="T190" s="661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658">
        <v>4680115888371</v>
      </c>
      <c r="E191" s="658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0"/>
      <c r="R191" s="660"/>
      <c r="S191" s="660"/>
      <c r="T191" s="661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9"/>
      <c r="P192" s="645" t="s">
        <v>40</v>
      </c>
      <c r="Q192" s="646"/>
      <c r="R192" s="646"/>
      <c r="S192" s="646"/>
      <c r="T192" s="646"/>
      <c r="U192" s="646"/>
      <c r="V192" s="64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9"/>
      <c r="P193" s="645" t="s">
        <v>40</v>
      </c>
      <c r="Q193" s="646"/>
      <c r="R193" s="646"/>
      <c r="S193" s="646"/>
      <c r="T193" s="646"/>
      <c r="U193" s="646"/>
      <c r="V193" s="64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57" t="s">
        <v>101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658">
        <v>4680115889026</v>
      </c>
      <c r="E195" s="658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0"/>
      <c r="R195" s="660"/>
      <c r="S195" s="660"/>
      <c r="T195" s="661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4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49"/>
      <c r="P196" s="645" t="s">
        <v>40</v>
      </c>
      <c r="Q196" s="646"/>
      <c r="R196" s="646"/>
      <c r="S196" s="646"/>
      <c r="T196" s="646"/>
      <c r="U196" s="646"/>
      <c r="V196" s="647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9"/>
      <c r="P197" s="645" t="s">
        <v>40</v>
      </c>
      <c r="Q197" s="646"/>
      <c r="R197" s="646"/>
      <c r="S197" s="646"/>
      <c r="T197" s="646"/>
      <c r="U197" s="646"/>
      <c r="V197" s="647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57" t="s">
        <v>344</v>
      </c>
      <c r="B198" s="657"/>
      <c r="C198" s="657"/>
      <c r="D198" s="657"/>
      <c r="E198" s="657"/>
      <c r="F198" s="657"/>
      <c r="G198" s="657"/>
      <c r="H198" s="657"/>
      <c r="I198" s="657"/>
      <c r="J198" s="657"/>
      <c r="K198" s="657"/>
      <c r="L198" s="657"/>
      <c r="M198" s="657"/>
      <c r="N198" s="657"/>
      <c r="O198" s="657"/>
      <c r="P198" s="657"/>
      <c r="Q198" s="657"/>
      <c r="R198" s="657"/>
      <c r="S198" s="657"/>
      <c r="T198" s="657"/>
      <c r="U198" s="657"/>
      <c r="V198" s="657"/>
      <c r="W198" s="657"/>
      <c r="X198" s="657"/>
      <c r="Y198" s="657"/>
      <c r="Z198" s="657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658">
        <v>4680115889033</v>
      </c>
      <c r="E199" s="658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0"/>
      <c r="R199" s="660"/>
      <c r="S199" s="660"/>
      <c r="T199" s="661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4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49"/>
      <c r="P200" s="645" t="s">
        <v>40</v>
      </c>
      <c r="Q200" s="646"/>
      <c r="R200" s="646"/>
      <c r="S200" s="646"/>
      <c r="T200" s="646"/>
      <c r="U200" s="646"/>
      <c r="V200" s="647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49"/>
      <c r="P201" s="645" t="s">
        <v>40</v>
      </c>
      <c r="Q201" s="646"/>
      <c r="R201" s="646"/>
      <c r="S201" s="646"/>
      <c r="T201" s="646"/>
      <c r="U201" s="646"/>
      <c r="V201" s="647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75" t="s">
        <v>348</v>
      </c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  <c r="V202" s="675"/>
      <c r="W202" s="675"/>
      <c r="X202" s="675"/>
      <c r="Y202" s="675"/>
      <c r="Z202" s="675"/>
      <c r="AA202" s="54"/>
      <c r="AB202" s="54"/>
      <c r="AC202" s="54"/>
    </row>
    <row r="203" spans="1:68" ht="16.5" hidden="1" customHeight="1" x14ac:dyDescent="0.25">
      <c r="A203" s="664" t="s">
        <v>349</v>
      </c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  <c r="Z203" s="664"/>
      <c r="AA203" s="65"/>
      <c r="AB203" s="65"/>
      <c r="AC203" s="79"/>
    </row>
    <row r="204" spans="1:68" ht="14.25" hidden="1" customHeight="1" x14ac:dyDescent="0.25">
      <c r="A204" s="657" t="s">
        <v>130</v>
      </c>
      <c r="B204" s="657"/>
      <c r="C204" s="657"/>
      <c r="D204" s="657"/>
      <c r="E204" s="657"/>
      <c r="F204" s="657"/>
      <c r="G204" s="657"/>
      <c r="H204" s="657"/>
      <c r="I204" s="657"/>
      <c r="J204" s="657"/>
      <c r="K204" s="657"/>
      <c r="L204" s="657"/>
      <c r="M204" s="657"/>
      <c r="N204" s="657"/>
      <c r="O204" s="657"/>
      <c r="P204" s="657"/>
      <c r="Q204" s="657"/>
      <c r="R204" s="657"/>
      <c r="S204" s="657"/>
      <c r="T204" s="657"/>
      <c r="U204" s="657"/>
      <c r="V204" s="657"/>
      <c r="W204" s="657"/>
      <c r="X204" s="657"/>
      <c r="Y204" s="657"/>
      <c r="Z204" s="657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658">
        <v>4607091383423</v>
      </c>
      <c r="E205" s="658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0"/>
      <c r="R205" s="660"/>
      <c r="S205" s="660"/>
      <c r="T205" s="661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658">
        <v>4680115888760</v>
      </c>
      <c r="E206" s="658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0"/>
      <c r="R206" s="660"/>
      <c r="S206" s="660"/>
      <c r="T206" s="661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658">
        <v>4680115888807</v>
      </c>
      <c r="E207" s="658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0"/>
      <c r="R207" s="660"/>
      <c r="S207" s="660"/>
      <c r="T207" s="661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658">
        <v>4680115888852</v>
      </c>
      <c r="E208" s="658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0"/>
      <c r="R208" s="660"/>
      <c r="S208" s="660"/>
      <c r="T208" s="661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658">
        <v>4680115886957</v>
      </c>
      <c r="E209" s="658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0"/>
      <c r="R209" s="660"/>
      <c r="S209" s="660"/>
      <c r="T209" s="661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658">
        <v>4680115885660</v>
      </c>
      <c r="E210" s="658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0"/>
      <c r="R210" s="660"/>
      <c r="S210" s="660"/>
      <c r="T210" s="661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658">
        <v>4680115886773</v>
      </c>
      <c r="E211" s="658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0"/>
      <c r="R211" s="660"/>
      <c r="S211" s="660"/>
      <c r="T211" s="661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45" t="s">
        <v>40</v>
      </c>
      <c r="Q212" s="646"/>
      <c r="R212" s="646"/>
      <c r="S212" s="646"/>
      <c r="T212" s="646"/>
      <c r="U212" s="646"/>
      <c r="V212" s="647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9"/>
      <c r="P213" s="645" t="s">
        <v>40</v>
      </c>
      <c r="Q213" s="646"/>
      <c r="R213" s="646"/>
      <c r="S213" s="646"/>
      <c r="T213" s="646"/>
      <c r="U213" s="646"/>
      <c r="V213" s="647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64" t="s">
        <v>370</v>
      </c>
      <c r="B214" s="664"/>
      <c r="C214" s="664"/>
      <c r="D214" s="664"/>
      <c r="E214" s="664"/>
      <c r="F214" s="664"/>
      <c r="G214" s="664"/>
      <c r="H214" s="664"/>
      <c r="I214" s="664"/>
      <c r="J214" s="664"/>
      <c r="K214" s="664"/>
      <c r="L214" s="664"/>
      <c r="M214" s="664"/>
      <c r="N214" s="664"/>
      <c r="O214" s="664"/>
      <c r="P214" s="664"/>
      <c r="Q214" s="664"/>
      <c r="R214" s="664"/>
      <c r="S214" s="664"/>
      <c r="T214" s="664"/>
      <c r="U214" s="664"/>
      <c r="V214" s="664"/>
      <c r="W214" s="664"/>
      <c r="X214" s="664"/>
      <c r="Y214" s="664"/>
      <c r="Z214" s="664"/>
      <c r="AA214" s="65"/>
      <c r="AB214" s="65"/>
      <c r="AC214" s="79"/>
    </row>
    <row r="215" spans="1:68" ht="14.25" hidden="1" customHeight="1" x14ac:dyDescent="0.25">
      <c r="A215" s="657" t="s">
        <v>166</v>
      </c>
      <c r="B215" s="657"/>
      <c r="C215" s="657"/>
      <c r="D215" s="657"/>
      <c r="E215" s="657"/>
      <c r="F215" s="657"/>
      <c r="G215" s="657"/>
      <c r="H215" s="657"/>
      <c r="I215" s="657"/>
      <c r="J215" s="657"/>
      <c r="K215" s="657"/>
      <c r="L215" s="657"/>
      <c r="M215" s="657"/>
      <c r="N215" s="657"/>
      <c r="O215" s="657"/>
      <c r="P215" s="657"/>
      <c r="Q215" s="657"/>
      <c r="R215" s="657"/>
      <c r="S215" s="657"/>
      <c r="T215" s="657"/>
      <c r="U215" s="657"/>
      <c r="V215" s="657"/>
      <c r="W215" s="657"/>
      <c r="X215" s="657"/>
      <c r="Y215" s="657"/>
      <c r="Z215" s="657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658">
        <v>4680115886223</v>
      </c>
      <c r="E216" s="658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0"/>
      <c r="R216" s="660"/>
      <c r="S216" s="660"/>
      <c r="T216" s="661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4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9"/>
      <c r="P217" s="645" t="s">
        <v>40</v>
      </c>
      <c r="Q217" s="646"/>
      <c r="R217" s="646"/>
      <c r="S217" s="646"/>
      <c r="T217" s="646"/>
      <c r="U217" s="646"/>
      <c r="V217" s="647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49"/>
      <c r="P218" s="645" t="s">
        <v>40</v>
      </c>
      <c r="Q218" s="646"/>
      <c r="R218" s="646"/>
      <c r="S218" s="646"/>
      <c r="T218" s="646"/>
      <c r="U218" s="646"/>
      <c r="V218" s="647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57" t="s">
        <v>77</v>
      </c>
      <c r="B219" s="657"/>
      <c r="C219" s="657"/>
      <c r="D219" s="657"/>
      <c r="E219" s="657"/>
      <c r="F219" s="657"/>
      <c r="G219" s="657"/>
      <c r="H219" s="657"/>
      <c r="I219" s="657"/>
      <c r="J219" s="657"/>
      <c r="K219" s="657"/>
      <c r="L219" s="657"/>
      <c r="M219" s="657"/>
      <c r="N219" s="657"/>
      <c r="O219" s="657"/>
      <c r="P219" s="657"/>
      <c r="Q219" s="657"/>
      <c r="R219" s="657"/>
      <c r="S219" s="657"/>
      <c r="T219" s="657"/>
      <c r="U219" s="657"/>
      <c r="V219" s="657"/>
      <c r="W219" s="657"/>
      <c r="X219" s="657"/>
      <c r="Y219" s="657"/>
      <c r="Z219" s="657"/>
      <c r="AA219" s="66"/>
      <c r="AB219" s="66"/>
      <c r="AC219" s="80"/>
    </row>
    <row r="220" spans="1:68" ht="27" hidden="1" customHeight="1" x14ac:dyDescent="0.25">
      <c r="A220" s="63" t="s">
        <v>374</v>
      </c>
      <c r="B220" s="63" t="s">
        <v>375</v>
      </c>
      <c r="C220" s="36">
        <v>4301031191</v>
      </c>
      <c r="D220" s="658">
        <v>4680115880993</v>
      </c>
      <c r="E220" s="658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0"/>
      <c r="R220" s="660"/>
      <c r="S220" s="660"/>
      <c r="T220" s="66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hidden="1" customHeight="1" x14ac:dyDescent="0.25">
      <c r="A221" s="63" t="s">
        <v>377</v>
      </c>
      <c r="B221" s="63" t="s">
        <v>378</v>
      </c>
      <c r="C221" s="36">
        <v>4301031204</v>
      </c>
      <c r="D221" s="658">
        <v>4680115881761</v>
      </c>
      <c r="E221" s="658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0"/>
      <c r="R221" s="660"/>
      <c r="S221" s="660"/>
      <c r="T221" s="66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380</v>
      </c>
      <c r="B222" s="63" t="s">
        <v>381</v>
      </c>
      <c r="C222" s="36">
        <v>4301031532</v>
      </c>
      <c r="D222" s="658">
        <v>4680115881563</v>
      </c>
      <c r="E222" s="658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3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60"/>
      <c r="R222" s="660"/>
      <c r="S222" s="660"/>
      <c r="T222" s="66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hidden="1" customHeight="1" x14ac:dyDescent="0.25">
      <c r="A223" s="63" t="s">
        <v>383</v>
      </c>
      <c r="B223" s="63" t="s">
        <v>384</v>
      </c>
      <c r="C223" s="36">
        <v>4301031447</v>
      </c>
      <c r="D223" s="658">
        <v>4680115887565</v>
      </c>
      <c r="E223" s="658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0"/>
      <c r="R223" s="660"/>
      <c r="S223" s="660"/>
      <c r="T223" s="66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4301031199</v>
      </c>
      <c r="D224" s="658">
        <v>4680115880986</v>
      </c>
      <c r="E224" s="658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0"/>
      <c r="R224" s="660"/>
      <c r="S224" s="660"/>
      <c r="T224" s="66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658">
        <v>4680115887213</v>
      </c>
      <c r="E225" s="658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0"/>
      <c r="R225" s="660"/>
      <c r="S225" s="660"/>
      <c r="T225" s="66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391</v>
      </c>
      <c r="B226" s="63" t="s">
        <v>392</v>
      </c>
      <c r="C226" s="36">
        <v>4301031205</v>
      </c>
      <c r="D226" s="658">
        <v>4680115881785</v>
      </c>
      <c r="E226" s="658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0"/>
      <c r="R226" s="660"/>
      <c r="S226" s="660"/>
      <c r="T226" s="66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658">
        <v>4680115888432</v>
      </c>
      <c r="E227" s="658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0"/>
      <c r="R227" s="660"/>
      <c r="S227" s="660"/>
      <c r="T227" s="661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658">
        <v>4680115886537</v>
      </c>
      <c r="E228" s="658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60"/>
      <c r="R228" s="660"/>
      <c r="S228" s="660"/>
      <c r="T228" s="661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399</v>
      </c>
      <c r="B229" s="63" t="s">
        <v>400</v>
      </c>
      <c r="C229" s="36">
        <v>4301031279</v>
      </c>
      <c r="D229" s="658">
        <v>4680115887596</v>
      </c>
      <c r="E229" s="658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60"/>
      <c r="R229" s="660"/>
      <c r="S229" s="660"/>
      <c r="T229" s="661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hidden="1" customHeight="1" x14ac:dyDescent="0.25">
      <c r="A230" s="63" t="s">
        <v>402</v>
      </c>
      <c r="B230" s="63" t="s">
        <v>403</v>
      </c>
      <c r="C230" s="36">
        <v>4301031530</v>
      </c>
      <c r="D230" s="658">
        <v>4680115881679</v>
      </c>
      <c r="E230" s="658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60"/>
      <c r="R230" s="660"/>
      <c r="S230" s="660"/>
      <c r="T230" s="661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658">
        <v>4680115880191</v>
      </c>
      <c r="E231" s="658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60"/>
      <c r="R231" s="660"/>
      <c r="S231" s="660"/>
      <c r="T231" s="661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8">
        <v>4680115883963</v>
      </c>
      <c r="E232" s="658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60"/>
      <c r="R232" s="660"/>
      <c r="S232" s="660"/>
      <c r="T232" s="661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hidden="1" x14ac:dyDescent="0.2">
      <c r="A233" s="64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49"/>
      <c r="P233" s="645" t="s">
        <v>40</v>
      </c>
      <c r="Q233" s="646"/>
      <c r="R233" s="646"/>
      <c r="S233" s="646"/>
      <c r="T233" s="646"/>
      <c r="U233" s="646"/>
      <c r="V233" s="647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49"/>
      <c r="P234" s="645" t="s">
        <v>40</v>
      </c>
      <c r="Q234" s="646"/>
      <c r="R234" s="646"/>
      <c r="S234" s="646"/>
      <c r="T234" s="646"/>
      <c r="U234" s="646"/>
      <c r="V234" s="647"/>
      <c r="W234" s="42" t="s">
        <v>0</v>
      </c>
      <c r="X234" s="43">
        <f>IFERROR(SUM(X220:X232),"0")</f>
        <v>0</v>
      </c>
      <c r="Y234" s="43">
        <f>IFERROR(SUM(Y220:Y232),"0")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7" t="s">
        <v>83</v>
      </c>
      <c r="B235" s="657"/>
      <c r="C235" s="657"/>
      <c r="D235" s="657"/>
      <c r="E235" s="657"/>
      <c r="F235" s="657"/>
      <c r="G235" s="657"/>
      <c r="H235" s="657"/>
      <c r="I235" s="657"/>
      <c r="J235" s="657"/>
      <c r="K235" s="657"/>
      <c r="L235" s="657"/>
      <c r="M235" s="657"/>
      <c r="N235" s="657"/>
      <c r="O235" s="657"/>
      <c r="P235" s="657"/>
      <c r="Q235" s="657"/>
      <c r="R235" s="657"/>
      <c r="S235" s="657"/>
      <c r="T235" s="657"/>
      <c r="U235" s="657"/>
      <c r="V235" s="657"/>
      <c r="W235" s="657"/>
      <c r="X235" s="657"/>
      <c r="Y235" s="657"/>
      <c r="Z235" s="65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658">
        <v>4680115888692</v>
      </c>
      <c r="E236" s="658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60"/>
      <c r="R236" s="660"/>
      <c r="S236" s="660"/>
      <c r="T236" s="661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658">
        <v>4680115888722</v>
      </c>
      <c r="E237" s="658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60"/>
      <c r="R237" s="660"/>
      <c r="S237" s="660"/>
      <c r="T237" s="661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415</v>
      </c>
      <c r="B238" s="63" t="s">
        <v>416</v>
      </c>
      <c r="C238" s="36">
        <v>4301052276</v>
      </c>
      <c r="D238" s="658">
        <v>4680115888951</v>
      </c>
      <c r="E238" s="658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60"/>
      <c r="R238" s="660"/>
      <c r="S238" s="660"/>
      <c r="T238" s="66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658">
        <v>4680115888975</v>
      </c>
      <c r="E239" s="658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5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60"/>
      <c r="R239" s="660"/>
      <c r="S239" s="660"/>
      <c r="T239" s="66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4301052277</v>
      </c>
      <c r="D240" s="658">
        <v>4680115888982</v>
      </c>
      <c r="E240" s="658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2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60"/>
      <c r="R240" s="660"/>
      <c r="S240" s="660"/>
      <c r="T240" s="66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45" t="s">
        <v>40</v>
      </c>
      <c r="Q241" s="646"/>
      <c r="R241" s="646"/>
      <c r="S241" s="646"/>
      <c r="T241" s="646"/>
      <c r="U241" s="646"/>
      <c r="V241" s="647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45" t="s">
        <v>40</v>
      </c>
      <c r="Q242" s="646"/>
      <c r="R242" s="646"/>
      <c r="S242" s="646"/>
      <c r="T242" s="646"/>
      <c r="U242" s="646"/>
      <c r="V242" s="647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7" t="s">
        <v>101</v>
      </c>
      <c r="B243" s="657"/>
      <c r="C243" s="657"/>
      <c r="D243" s="657"/>
      <c r="E243" s="657"/>
      <c r="F243" s="657"/>
      <c r="G243" s="657"/>
      <c r="H243" s="657"/>
      <c r="I243" s="657"/>
      <c r="J243" s="657"/>
      <c r="K243" s="657"/>
      <c r="L243" s="657"/>
      <c r="M243" s="657"/>
      <c r="N243" s="657"/>
      <c r="O243" s="657"/>
      <c r="P243" s="657"/>
      <c r="Q243" s="657"/>
      <c r="R243" s="657"/>
      <c r="S243" s="657"/>
      <c r="T243" s="657"/>
      <c r="U243" s="657"/>
      <c r="V243" s="657"/>
      <c r="W243" s="657"/>
      <c r="X243" s="657"/>
      <c r="Y243" s="657"/>
      <c r="Z243" s="657"/>
      <c r="AA243" s="66"/>
      <c r="AB243" s="66"/>
      <c r="AC243" s="80"/>
    </row>
    <row r="244" spans="1:68" ht="27" hidden="1" customHeight="1" x14ac:dyDescent="0.25">
      <c r="A244" s="63" t="s">
        <v>422</v>
      </c>
      <c r="B244" s="63" t="s">
        <v>423</v>
      </c>
      <c r="C244" s="36">
        <v>4301032053</v>
      </c>
      <c r="D244" s="658">
        <v>4680115886780</v>
      </c>
      <c r="E244" s="65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60"/>
      <c r="R244" s="660"/>
      <c r="S244" s="660"/>
      <c r="T244" s="66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4301032051</v>
      </c>
      <c r="D245" s="658">
        <v>4680115886742</v>
      </c>
      <c r="E245" s="658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60"/>
      <c r="R245" s="660"/>
      <c r="S245" s="660"/>
      <c r="T245" s="661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4301032052</v>
      </c>
      <c r="D246" s="658">
        <v>4680115886766</v>
      </c>
      <c r="E246" s="658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60"/>
      <c r="R246" s="660"/>
      <c r="S246" s="660"/>
      <c r="T246" s="661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9"/>
      <c r="P247" s="645" t="s">
        <v>40</v>
      </c>
      <c r="Q247" s="646"/>
      <c r="R247" s="646"/>
      <c r="S247" s="646"/>
      <c r="T247" s="646"/>
      <c r="U247" s="646"/>
      <c r="V247" s="647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9"/>
      <c r="P248" s="645" t="s">
        <v>40</v>
      </c>
      <c r="Q248" s="646"/>
      <c r="R248" s="646"/>
      <c r="S248" s="646"/>
      <c r="T248" s="646"/>
      <c r="U248" s="646"/>
      <c r="V248" s="647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7" t="s">
        <v>430</v>
      </c>
      <c r="B249" s="657"/>
      <c r="C249" s="657"/>
      <c r="D249" s="657"/>
      <c r="E249" s="657"/>
      <c r="F249" s="657"/>
      <c r="G249" s="657"/>
      <c r="H249" s="657"/>
      <c r="I249" s="657"/>
      <c r="J249" s="657"/>
      <c r="K249" s="657"/>
      <c r="L249" s="657"/>
      <c r="M249" s="657"/>
      <c r="N249" s="657"/>
      <c r="O249" s="657"/>
      <c r="P249" s="657"/>
      <c r="Q249" s="657"/>
      <c r="R249" s="657"/>
      <c r="S249" s="657"/>
      <c r="T249" s="657"/>
      <c r="U249" s="657"/>
      <c r="V249" s="657"/>
      <c r="W249" s="657"/>
      <c r="X249" s="657"/>
      <c r="Y249" s="657"/>
      <c r="Z249" s="657"/>
      <c r="AA249" s="66"/>
      <c r="AB249" s="66"/>
      <c r="AC249" s="80"/>
    </row>
    <row r="250" spans="1:68" ht="27" hidden="1" customHeight="1" x14ac:dyDescent="0.25">
      <c r="A250" s="63" t="s">
        <v>431</v>
      </c>
      <c r="B250" s="63" t="s">
        <v>432</v>
      </c>
      <c r="C250" s="36">
        <v>4301170013</v>
      </c>
      <c r="D250" s="658">
        <v>4680115886797</v>
      </c>
      <c r="E250" s="658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60"/>
      <c r="R250" s="660"/>
      <c r="S250" s="660"/>
      <c r="T250" s="66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49"/>
      <c r="P251" s="645" t="s">
        <v>40</v>
      </c>
      <c r="Q251" s="646"/>
      <c r="R251" s="646"/>
      <c r="S251" s="646"/>
      <c r="T251" s="646"/>
      <c r="U251" s="646"/>
      <c r="V251" s="647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45" t="s">
        <v>40</v>
      </c>
      <c r="Q252" s="646"/>
      <c r="R252" s="646"/>
      <c r="S252" s="646"/>
      <c r="T252" s="646"/>
      <c r="U252" s="646"/>
      <c r="V252" s="647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64" t="s">
        <v>433</v>
      </c>
      <c r="B253" s="664"/>
      <c r="C253" s="664"/>
      <c r="D253" s="664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4"/>
      <c r="P253" s="664"/>
      <c r="Q253" s="664"/>
      <c r="R253" s="664"/>
      <c r="S253" s="664"/>
      <c r="T253" s="664"/>
      <c r="U253" s="664"/>
      <c r="V253" s="664"/>
      <c r="W253" s="664"/>
      <c r="X253" s="664"/>
      <c r="Y253" s="664"/>
      <c r="Z253" s="664"/>
      <c r="AA253" s="65"/>
      <c r="AB253" s="65"/>
      <c r="AC253" s="79"/>
    </row>
    <row r="254" spans="1:68" ht="14.25" hidden="1" customHeight="1" x14ac:dyDescent="0.25">
      <c r="A254" s="657" t="s">
        <v>130</v>
      </c>
      <c r="B254" s="657"/>
      <c r="C254" s="657"/>
      <c r="D254" s="657"/>
      <c r="E254" s="657"/>
      <c r="F254" s="657"/>
      <c r="G254" s="657"/>
      <c r="H254" s="657"/>
      <c r="I254" s="657"/>
      <c r="J254" s="657"/>
      <c r="K254" s="657"/>
      <c r="L254" s="657"/>
      <c r="M254" s="657"/>
      <c r="N254" s="657"/>
      <c r="O254" s="657"/>
      <c r="P254" s="657"/>
      <c r="Q254" s="657"/>
      <c r="R254" s="657"/>
      <c r="S254" s="657"/>
      <c r="T254" s="657"/>
      <c r="U254" s="657"/>
      <c r="V254" s="657"/>
      <c r="W254" s="657"/>
      <c r="X254" s="657"/>
      <c r="Y254" s="657"/>
      <c r="Z254" s="657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658">
        <v>4680115881402</v>
      </c>
      <c r="E255" s="658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60"/>
      <c r="R255" s="660"/>
      <c r="S255" s="660"/>
      <c r="T255" s="66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658">
        <v>4680115881396</v>
      </c>
      <c r="E256" s="658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60"/>
      <c r="R256" s="660"/>
      <c r="S256" s="660"/>
      <c r="T256" s="661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45" t="s">
        <v>40</v>
      </c>
      <c r="Q257" s="646"/>
      <c r="R257" s="646"/>
      <c r="S257" s="646"/>
      <c r="T257" s="646"/>
      <c r="U257" s="646"/>
      <c r="V257" s="647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45" t="s">
        <v>40</v>
      </c>
      <c r="Q258" s="646"/>
      <c r="R258" s="646"/>
      <c r="S258" s="646"/>
      <c r="T258" s="646"/>
      <c r="U258" s="646"/>
      <c r="V258" s="647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7" t="s">
        <v>166</v>
      </c>
      <c r="B259" s="657"/>
      <c r="C259" s="657"/>
      <c r="D259" s="657"/>
      <c r="E259" s="657"/>
      <c r="F259" s="657"/>
      <c r="G259" s="657"/>
      <c r="H259" s="657"/>
      <c r="I259" s="657"/>
      <c r="J259" s="657"/>
      <c r="K259" s="657"/>
      <c r="L259" s="657"/>
      <c r="M259" s="657"/>
      <c r="N259" s="657"/>
      <c r="O259" s="657"/>
      <c r="P259" s="657"/>
      <c r="Q259" s="657"/>
      <c r="R259" s="657"/>
      <c r="S259" s="657"/>
      <c r="T259" s="657"/>
      <c r="U259" s="657"/>
      <c r="V259" s="657"/>
      <c r="W259" s="657"/>
      <c r="X259" s="657"/>
      <c r="Y259" s="657"/>
      <c r="Z259" s="657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658">
        <v>4680115882935</v>
      </c>
      <c r="E260" s="658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60"/>
      <c r="R260" s="660"/>
      <c r="S260" s="660"/>
      <c r="T260" s="661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658">
        <v>4680115880764</v>
      </c>
      <c r="E261" s="658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60"/>
      <c r="R261" s="660"/>
      <c r="S261" s="660"/>
      <c r="T261" s="661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49"/>
      <c r="P262" s="645" t="s">
        <v>40</v>
      </c>
      <c r="Q262" s="646"/>
      <c r="R262" s="646"/>
      <c r="S262" s="646"/>
      <c r="T262" s="646"/>
      <c r="U262" s="646"/>
      <c r="V262" s="647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49"/>
      <c r="P263" s="645" t="s">
        <v>40</v>
      </c>
      <c r="Q263" s="646"/>
      <c r="R263" s="646"/>
      <c r="S263" s="646"/>
      <c r="T263" s="646"/>
      <c r="U263" s="646"/>
      <c r="V263" s="647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7" t="s">
        <v>77</v>
      </c>
      <c r="B264" s="657"/>
      <c r="C264" s="657"/>
      <c r="D264" s="657"/>
      <c r="E264" s="657"/>
      <c r="F264" s="657"/>
      <c r="G264" s="657"/>
      <c r="H264" s="657"/>
      <c r="I264" s="657"/>
      <c r="J264" s="657"/>
      <c r="K264" s="657"/>
      <c r="L264" s="657"/>
      <c r="M264" s="657"/>
      <c r="N264" s="657"/>
      <c r="O264" s="657"/>
      <c r="P264" s="657"/>
      <c r="Q264" s="657"/>
      <c r="R264" s="657"/>
      <c r="S264" s="657"/>
      <c r="T264" s="657"/>
      <c r="U264" s="657"/>
      <c r="V264" s="657"/>
      <c r="W264" s="657"/>
      <c r="X264" s="657"/>
      <c r="Y264" s="657"/>
      <c r="Z264" s="657"/>
      <c r="AA264" s="66"/>
      <c r="AB264" s="66"/>
      <c r="AC264" s="80"/>
    </row>
    <row r="265" spans="1:68" ht="27" hidden="1" customHeight="1" x14ac:dyDescent="0.25">
      <c r="A265" s="63" t="s">
        <v>444</v>
      </c>
      <c r="B265" s="63" t="s">
        <v>445</v>
      </c>
      <c r="C265" s="36">
        <v>4301031224</v>
      </c>
      <c r="D265" s="658">
        <v>4680115882683</v>
      </c>
      <c r="E265" s="658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60"/>
      <c r="R265" s="660"/>
      <c r="S265" s="660"/>
      <c r="T265" s="66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4301031230</v>
      </c>
      <c r="D266" s="658">
        <v>4680115882690</v>
      </c>
      <c r="E266" s="658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60"/>
      <c r="R266" s="660"/>
      <c r="S266" s="660"/>
      <c r="T266" s="66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450</v>
      </c>
      <c r="B267" s="63" t="s">
        <v>451</v>
      </c>
      <c r="C267" s="36">
        <v>4301031220</v>
      </c>
      <c r="D267" s="658">
        <v>4680115882669</v>
      </c>
      <c r="E267" s="658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60"/>
      <c r="R267" s="660"/>
      <c r="S267" s="660"/>
      <c r="T267" s="661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453</v>
      </c>
      <c r="B268" s="63" t="s">
        <v>454</v>
      </c>
      <c r="C268" s="36">
        <v>4301031221</v>
      </c>
      <c r="D268" s="658">
        <v>4680115882676</v>
      </c>
      <c r="E268" s="658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60"/>
      <c r="R268" s="660"/>
      <c r="S268" s="660"/>
      <c r="T268" s="661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456</v>
      </c>
      <c r="B269" s="63" t="s">
        <v>457</v>
      </c>
      <c r="C269" s="36">
        <v>4301031223</v>
      </c>
      <c r="D269" s="658">
        <v>4680115884014</v>
      </c>
      <c r="E269" s="658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60"/>
      <c r="R269" s="660"/>
      <c r="S269" s="660"/>
      <c r="T269" s="661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458</v>
      </c>
      <c r="B270" s="63" t="s">
        <v>459</v>
      </c>
      <c r="C270" s="36">
        <v>4301031222</v>
      </c>
      <c r="D270" s="658">
        <v>4680115884007</v>
      </c>
      <c r="E270" s="658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60"/>
      <c r="R270" s="660"/>
      <c r="S270" s="660"/>
      <c r="T270" s="66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4301031229</v>
      </c>
      <c r="D271" s="658">
        <v>4680115884038</v>
      </c>
      <c r="E271" s="658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60"/>
      <c r="R271" s="660"/>
      <c r="S271" s="660"/>
      <c r="T271" s="66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4301031225</v>
      </c>
      <c r="D272" s="658">
        <v>4680115884021</v>
      </c>
      <c r="E272" s="658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60"/>
      <c r="R272" s="660"/>
      <c r="S272" s="660"/>
      <c r="T272" s="66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hidden="1" x14ac:dyDescent="0.2">
      <c r="A273" s="64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49"/>
      <c r="P273" s="645" t="s">
        <v>40</v>
      </c>
      <c r="Q273" s="646"/>
      <c r="R273" s="646"/>
      <c r="S273" s="646"/>
      <c r="T273" s="646"/>
      <c r="U273" s="646"/>
      <c r="V273" s="647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49"/>
      <c r="P274" s="645" t="s">
        <v>40</v>
      </c>
      <c r="Q274" s="646"/>
      <c r="R274" s="646"/>
      <c r="S274" s="646"/>
      <c r="T274" s="646"/>
      <c r="U274" s="646"/>
      <c r="V274" s="647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7" t="s">
        <v>83</v>
      </c>
      <c r="B275" s="657"/>
      <c r="C275" s="657"/>
      <c r="D275" s="657"/>
      <c r="E275" s="657"/>
      <c r="F275" s="657"/>
      <c r="G275" s="657"/>
      <c r="H275" s="657"/>
      <c r="I275" s="657"/>
      <c r="J275" s="657"/>
      <c r="K275" s="657"/>
      <c r="L275" s="657"/>
      <c r="M275" s="657"/>
      <c r="N275" s="657"/>
      <c r="O275" s="657"/>
      <c r="P275" s="657"/>
      <c r="Q275" s="657"/>
      <c r="R275" s="657"/>
      <c r="S275" s="657"/>
      <c r="T275" s="657"/>
      <c r="U275" s="657"/>
      <c r="V275" s="657"/>
      <c r="W275" s="657"/>
      <c r="X275" s="657"/>
      <c r="Y275" s="657"/>
      <c r="Z275" s="657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658">
        <v>4680115889873</v>
      </c>
      <c r="E276" s="658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1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60"/>
      <c r="R276" s="660"/>
      <c r="S276" s="660"/>
      <c r="T276" s="661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4301051408</v>
      </c>
      <c r="D277" s="658">
        <v>4680115881594</v>
      </c>
      <c r="E277" s="658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60"/>
      <c r="R277" s="660"/>
      <c r="S277" s="660"/>
      <c r="T277" s="66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4301051411</v>
      </c>
      <c r="D278" s="658">
        <v>4680115881617</v>
      </c>
      <c r="E278" s="658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60"/>
      <c r="R278" s="660"/>
      <c r="S278" s="660"/>
      <c r="T278" s="66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4301051656</v>
      </c>
      <c r="D279" s="658">
        <v>4680115880573</v>
      </c>
      <c r="E279" s="658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60"/>
      <c r="R279" s="660"/>
      <c r="S279" s="660"/>
      <c r="T279" s="66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4301051407</v>
      </c>
      <c r="D280" s="658">
        <v>4680115882195</v>
      </c>
      <c r="E280" s="658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60"/>
      <c r="R280" s="660"/>
      <c r="S280" s="660"/>
      <c r="T280" s="66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658">
        <v>4680115882607</v>
      </c>
      <c r="E281" s="658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60"/>
      <c r="R281" s="660"/>
      <c r="S281" s="660"/>
      <c r="T281" s="66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480</v>
      </c>
      <c r="B282" s="63" t="s">
        <v>481</v>
      </c>
      <c r="C282" s="36">
        <v>4301051666</v>
      </c>
      <c r="D282" s="658">
        <v>4680115880092</v>
      </c>
      <c r="E282" s="658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60"/>
      <c r="R282" s="660"/>
      <c r="S282" s="660"/>
      <c r="T282" s="661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658">
        <v>4680115889064</v>
      </c>
      <c r="E283" s="658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60"/>
      <c r="R283" s="660"/>
      <c r="S283" s="660"/>
      <c r="T283" s="661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485</v>
      </c>
      <c r="B284" s="63" t="s">
        <v>486</v>
      </c>
      <c r="C284" s="36">
        <v>4301051668</v>
      </c>
      <c r="D284" s="658">
        <v>4680115880221</v>
      </c>
      <c r="E284" s="658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60"/>
      <c r="R284" s="660"/>
      <c r="S284" s="660"/>
      <c r="T284" s="661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487</v>
      </c>
      <c r="B285" s="63" t="s">
        <v>488</v>
      </c>
      <c r="C285" s="36">
        <v>4301051945</v>
      </c>
      <c r="D285" s="658">
        <v>4680115880504</v>
      </c>
      <c r="E285" s="65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60"/>
      <c r="R285" s="660"/>
      <c r="S285" s="660"/>
      <c r="T285" s="661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4301051410</v>
      </c>
      <c r="D286" s="658">
        <v>4680115882164</v>
      </c>
      <c r="E286" s="658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60"/>
      <c r="R286" s="660"/>
      <c r="S286" s="660"/>
      <c r="T286" s="661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658">
        <v>4680115888340</v>
      </c>
      <c r="E287" s="658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60"/>
      <c r="R287" s="660"/>
      <c r="S287" s="660"/>
      <c r="T287" s="661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hidden="1" x14ac:dyDescent="0.2">
      <c r="A288" s="64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45" t="s">
        <v>40</v>
      </c>
      <c r="Q288" s="646"/>
      <c r="R288" s="646"/>
      <c r="S288" s="646"/>
      <c r="T288" s="646"/>
      <c r="U288" s="646"/>
      <c r="V288" s="647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45" t="s">
        <v>40</v>
      </c>
      <c r="Q289" s="646"/>
      <c r="R289" s="646"/>
      <c r="S289" s="646"/>
      <c r="T289" s="646"/>
      <c r="U289" s="646"/>
      <c r="V289" s="647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7" t="s">
        <v>184</v>
      </c>
      <c r="B290" s="657"/>
      <c r="C290" s="657"/>
      <c r="D290" s="657"/>
      <c r="E290" s="657"/>
      <c r="F290" s="657"/>
      <c r="G290" s="657"/>
      <c r="H290" s="657"/>
      <c r="I290" s="657"/>
      <c r="J290" s="657"/>
      <c r="K290" s="657"/>
      <c r="L290" s="657"/>
      <c r="M290" s="657"/>
      <c r="N290" s="657"/>
      <c r="O290" s="657"/>
      <c r="P290" s="657"/>
      <c r="Q290" s="657"/>
      <c r="R290" s="657"/>
      <c r="S290" s="657"/>
      <c r="T290" s="657"/>
      <c r="U290" s="657"/>
      <c r="V290" s="657"/>
      <c r="W290" s="657"/>
      <c r="X290" s="657"/>
      <c r="Y290" s="657"/>
      <c r="Z290" s="657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658">
        <v>4680115880818</v>
      </c>
      <c r="E291" s="658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60"/>
      <c r="R291" s="660"/>
      <c r="S291" s="660"/>
      <c r="T291" s="661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4301060389</v>
      </c>
      <c r="D292" s="658">
        <v>4680115880801</v>
      </c>
      <c r="E292" s="658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60"/>
      <c r="R292" s="660"/>
      <c r="S292" s="660"/>
      <c r="T292" s="661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49"/>
      <c r="P293" s="645" t="s">
        <v>40</v>
      </c>
      <c r="Q293" s="646"/>
      <c r="R293" s="646"/>
      <c r="S293" s="646"/>
      <c r="T293" s="646"/>
      <c r="U293" s="646"/>
      <c r="V293" s="647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49"/>
      <c r="P294" s="645" t="s">
        <v>40</v>
      </c>
      <c r="Q294" s="646"/>
      <c r="R294" s="646"/>
      <c r="S294" s="646"/>
      <c r="T294" s="646"/>
      <c r="U294" s="646"/>
      <c r="V294" s="647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64" t="s">
        <v>502</v>
      </c>
      <c r="B295" s="664"/>
      <c r="C295" s="664"/>
      <c r="D295" s="664"/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/>
      <c r="V295" s="664"/>
      <c r="W295" s="664"/>
      <c r="X295" s="664"/>
      <c r="Y295" s="664"/>
      <c r="Z295" s="664"/>
      <c r="AA295" s="65"/>
      <c r="AB295" s="65"/>
      <c r="AC295" s="79"/>
    </row>
    <row r="296" spans="1:68" ht="14.25" hidden="1" customHeight="1" x14ac:dyDescent="0.25">
      <c r="A296" s="657" t="s">
        <v>130</v>
      </c>
      <c r="B296" s="657"/>
      <c r="C296" s="657"/>
      <c r="D296" s="657"/>
      <c r="E296" s="657"/>
      <c r="F296" s="657"/>
      <c r="G296" s="657"/>
      <c r="H296" s="657"/>
      <c r="I296" s="657"/>
      <c r="J296" s="657"/>
      <c r="K296" s="657"/>
      <c r="L296" s="657"/>
      <c r="M296" s="657"/>
      <c r="N296" s="657"/>
      <c r="O296" s="657"/>
      <c r="P296" s="657"/>
      <c r="Q296" s="657"/>
      <c r="R296" s="657"/>
      <c r="S296" s="657"/>
      <c r="T296" s="657"/>
      <c r="U296" s="657"/>
      <c r="V296" s="657"/>
      <c r="W296" s="657"/>
      <c r="X296" s="657"/>
      <c r="Y296" s="657"/>
      <c r="Z296" s="657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658">
        <v>4680115884137</v>
      </c>
      <c r="E297" s="658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60"/>
      <c r="R297" s="660"/>
      <c r="S297" s="660"/>
      <c r="T297" s="66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658">
        <v>4680115884236</v>
      </c>
      <c r="E298" s="658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60"/>
      <c r="R298" s="660"/>
      <c r="S298" s="660"/>
      <c r="T298" s="661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658">
        <v>4680115884175</v>
      </c>
      <c r="E299" s="658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60"/>
      <c r="R299" s="660"/>
      <c r="S299" s="660"/>
      <c r="T299" s="661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4301011824</v>
      </c>
      <c r="D300" s="658">
        <v>4680115884144</v>
      </c>
      <c r="E300" s="658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60"/>
      <c r="R300" s="660"/>
      <c r="S300" s="660"/>
      <c r="T300" s="661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658">
        <v>4680115886551</v>
      </c>
      <c r="E301" s="658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60"/>
      <c r="R301" s="660"/>
      <c r="S301" s="660"/>
      <c r="T301" s="661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658">
        <v>4680115887282</v>
      </c>
      <c r="E302" s="658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79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60"/>
      <c r="R302" s="660"/>
      <c r="S302" s="660"/>
      <c r="T302" s="661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519</v>
      </c>
      <c r="B303" s="63" t="s">
        <v>520</v>
      </c>
      <c r="C303" s="36">
        <v>4301011722</v>
      </c>
      <c r="D303" s="658">
        <v>4680115884205</v>
      </c>
      <c r="E303" s="658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60"/>
      <c r="R303" s="660"/>
      <c r="S303" s="660"/>
      <c r="T303" s="661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45" t="s">
        <v>40</v>
      </c>
      <c r="Q304" s="646"/>
      <c r="R304" s="646"/>
      <c r="S304" s="646"/>
      <c r="T304" s="646"/>
      <c r="U304" s="646"/>
      <c r="V304" s="64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9"/>
      <c r="P305" s="645" t="s">
        <v>40</v>
      </c>
      <c r="Q305" s="646"/>
      <c r="R305" s="646"/>
      <c r="S305" s="646"/>
      <c r="T305" s="646"/>
      <c r="U305" s="646"/>
      <c r="V305" s="64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7" t="s">
        <v>166</v>
      </c>
      <c r="B306" s="657"/>
      <c r="C306" s="657"/>
      <c r="D306" s="657"/>
      <c r="E306" s="657"/>
      <c r="F306" s="657"/>
      <c r="G306" s="657"/>
      <c r="H306" s="657"/>
      <c r="I306" s="657"/>
      <c r="J306" s="657"/>
      <c r="K306" s="657"/>
      <c r="L306" s="657"/>
      <c r="M306" s="657"/>
      <c r="N306" s="657"/>
      <c r="O306" s="657"/>
      <c r="P306" s="657"/>
      <c r="Q306" s="657"/>
      <c r="R306" s="657"/>
      <c r="S306" s="657"/>
      <c r="T306" s="657"/>
      <c r="U306" s="657"/>
      <c r="V306" s="657"/>
      <c r="W306" s="657"/>
      <c r="X306" s="657"/>
      <c r="Y306" s="657"/>
      <c r="Z306" s="657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658">
        <v>4680115885981</v>
      </c>
      <c r="E307" s="658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7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60"/>
      <c r="R307" s="660"/>
      <c r="S307" s="660"/>
      <c r="T307" s="661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45" t="s">
        <v>40</v>
      </c>
      <c r="Q308" s="646"/>
      <c r="R308" s="646"/>
      <c r="S308" s="646"/>
      <c r="T308" s="646"/>
      <c r="U308" s="646"/>
      <c r="V308" s="647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9"/>
      <c r="P309" s="645" t="s">
        <v>40</v>
      </c>
      <c r="Q309" s="646"/>
      <c r="R309" s="646"/>
      <c r="S309" s="646"/>
      <c r="T309" s="646"/>
      <c r="U309" s="646"/>
      <c r="V309" s="647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7" t="s">
        <v>524</v>
      </c>
      <c r="B310" s="657"/>
      <c r="C310" s="657"/>
      <c r="D310" s="657"/>
      <c r="E310" s="657"/>
      <c r="F310" s="657"/>
      <c r="G310" s="657"/>
      <c r="H310" s="657"/>
      <c r="I310" s="657"/>
      <c r="J310" s="657"/>
      <c r="K310" s="657"/>
      <c r="L310" s="657"/>
      <c r="M310" s="657"/>
      <c r="N310" s="657"/>
      <c r="O310" s="657"/>
      <c r="P310" s="657"/>
      <c r="Q310" s="657"/>
      <c r="R310" s="657"/>
      <c r="S310" s="657"/>
      <c r="T310" s="657"/>
      <c r="U310" s="657"/>
      <c r="V310" s="657"/>
      <c r="W310" s="657"/>
      <c r="X310" s="657"/>
      <c r="Y310" s="657"/>
      <c r="Z310" s="657"/>
      <c r="AA310" s="66"/>
      <c r="AB310" s="66"/>
      <c r="AC310" s="80"/>
    </row>
    <row r="311" spans="1:68" ht="27" hidden="1" customHeight="1" x14ac:dyDescent="0.25">
      <c r="A311" s="63" t="s">
        <v>525</v>
      </c>
      <c r="B311" s="63" t="s">
        <v>526</v>
      </c>
      <c r="C311" s="36">
        <v>4301040362</v>
      </c>
      <c r="D311" s="658">
        <v>4680115886803</v>
      </c>
      <c r="E311" s="658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7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60"/>
      <c r="R311" s="660"/>
      <c r="S311" s="660"/>
      <c r="T311" s="66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49"/>
      <c r="P312" s="645" t="s">
        <v>40</v>
      </c>
      <c r="Q312" s="646"/>
      <c r="R312" s="646"/>
      <c r="S312" s="646"/>
      <c r="T312" s="646"/>
      <c r="U312" s="646"/>
      <c r="V312" s="647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49"/>
      <c r="P313" s="645" t="s">
        <v>40</v>
      </c>
      <c r="Q313" s="646"/>
      <c r="R313" s="646"/>
      <c r="S313" s="646"/>
      <c r="T313" s="646"/>
      <c r="U313" s="646"/>
      <c r="V313" s="647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7" t="s">
        <v>344</v>
      </c>
      <c r="B314" s="657"/>
      <c r="C314" s="657"/>
      <c r="D314" s="657"/>
      <c r="E314" s="657"/>
      <c r="F314" s="657"/>
      <c r="G314" s="657"/>
      <c r="H314" s="657"/>
      <c r="I314" s="657"/>
      <c r="J314" s="657"/>
      <c r="K314" s="657"/>
      <c r="L314" s="657"/>
      <c r="M314" s="657"/>
      <c r="N314" s="657"/>
      <c r="O314" s="657"/>
      <c r="P314" s="657"/>
      <c r="Q314" s="657"/>
      <c r="R314" s="657"/>
      <c r="S314" s="657"/>
      <c r="T314" s="657"/>
      <c r="U314" s="657"/>
      <c r="V314" s="657"/>
      <c r="W314" s="657"/>
      <c r="X314" s="657"/>
      <c r="Y314" s="657"/>
      <c r="Z314" s="657"/>
      <c r="AA314" s="66"/>
      <c r="AB314" s="66"/>
      <c r="AC314" s="80"/>
    </row>
    <row r="315" spans="1:68" ht="27" hidden="1" customHeight="1" x14ac:dyDescent="0.25">
      <c r="A315" s="63" t="s">
        <v>528</v>
      </c>
      <c r="B315" s="63" t="s">
        <v>529</v>
      </c>
      <c r="C315" s="36">
        <v>4301041008</v>
      </c>
      <c r="D315" s="658">
        <v>4680115886681</v>
      </c>
      <c r="E315" s="658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7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60"/>
      <c r="R315" s="660"/>
      <c r="S315" s="660"/>
      <c r="T315" s="661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658">
        <v>4680115886735</v>
      </c>
      <c r="E316" s="658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7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60"/>
      <c r="R316" s="660"/>
      <c r="S316" s="660"/>
      <c r="T316" s="66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658">
        <v>4680115886728</v>
      </c>
      <c r="E317" s="658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60"/>
      <c r="R317" s="660"/>
      <c r="S317" s="660"/>
      <c r="T317" s="66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658">
        <v>4680115886711</v>
      </c>
      <c r="E318" s="658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60"/>
      <c r="R318" s="660"/>
      <c r="S318" s="660"/>
      <c r="T318" s="66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4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49"/>
      <c r="P319" s="645" t="s">
        <v>40</v>
      </c>
      <c r="Q319" s="646"/>
      <c r="R319" s="646"/>
      <c r="S319" s="646"/>
      <c r="T319" s="646"/>
      <c r="U319" s="646"/>
      <c r="V319" s="647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9"/>
      <c r="P320" s="645" t="s">
        <v>40</v>
      </c>
      <c r="Q320" s="646"/>
      <c r="R320" s="646"/>
      <c r="S320" s="646"/>
      <c r="T320" s="646"/>
      <c r="U320" s="646"/>
      <c r="V320" s="647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664" t="s">
        <v>537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5"/>
      <c r="AB321" s="65"/>
      <c r="AC321" s="79"/>
    </row>
    <row r="322" spans="1:68" ht="14.25" hidden="1" customHeight="1" x14ac:dyDescent="0.25">
      <c r="A322" s="657" t="s">
        <v>130</v>
      </c>
      <c r="B322" s="657"/>
      <c r="C322" s="657"/>
      <c r="D322" s="657"/>
      <c r="E322" s="657"/>
      <c r="F322" s="657"/>
      <c r="G322" s="657"/>
      <c r="H322" s="657"/>
      <c r="I322" s="657"/>
      <c r="J322" s="657"/>
      <c r="K322" s="657"/>
      <c r="L322" s="657"/>
      <c r="M322" s="657"/>
      <c r="N322" s="657"/>
      <c r="O322" s="657"/>
      <c r="P322" s="657"/>
      <c r="Q322" s="657"/>
      <c r="R322" s="657"/>
      <c r="S322" s="657"/>
      <c r="T322" s="657"/>
      <c r="U322" s="657"/>
      <c r="V322" s="657"/>
      <c r="W322" s="657"/>
      <c r="X322" s="657"/>
      <c r="Y322" s="657"/>
      <c r="Z322" s="657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658">
        <v>4680115885837</v>
      </c>
      <c r="E323" s="658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60"/>
      <c r="R323" s="660"/>
      <c r="S323" s="660"/>
      <c r="T323" s="661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658">
        <v>4680115887077</v>
      </c>
      <c r="E324" s="658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60"/>
      <c r="R324" s="660"/>
      <c r="S324" s="660"/>
      <c r="T324" s="661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658">
        <v>4680115889637</v>
      </c>
      <c r="E325" s="658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8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60"/>
      <c r="R325" s="660"/>
      <c r="S325" s="660"/>
      <c r="T325" s="661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658">
        <v>4680115887237</v>
      </c>
      <c r="E326" s="658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60"/>
      <c r="R326" s="660"/>
      <c r="S326" s="660"/>
      <c r="T326" s="661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658">
        <v>4680115885806</v>
      </c>
      <c r="E327" s="658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77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60"/>
      <c r="R327" s="660"/>
      <c r="S327" s="660"/>
      <c r="T327" s="661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658">
        <v>4680115885844</v>
      </c>
      <c r="E328" s="658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60"/>
      <c r="R328" s="660"/>
      <c r="S328" s="660"/>
      <c r="T328" s="661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658">
        <v>4680115885820</v>
      </c>
      <c r="E329" s="658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60"/>
      <c r="R329" s="660"/>
      <c r="S329" s="660"/>
      <c r="T329" s="661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64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9"/>
      <c r="P330" s="645" t="s">
        <v>40</v>
      </c>
      <c r="Q330" s="646"/>
      <c r="R330" s="646"/>
      <c r="S330" s="646"/>
      <c r="T330" s="646"/>
      <c r="U330" s="646"/>
      <c r="V330" s="647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49"/>
      <c r="P331" s="645" t="s">
        <v>40</v>
      </c>
      <c r="Q331" s="646"/>
      <c r="R331" s="646"/>
      <c r="S331" s="646"/>
      <c r="T331" s="646"/>
      <c r="U331" s="646"/>
      <c r="V331" s="647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664" t="s">
        <v>559</v>
      </c>
      <c r="B332" s="664"/>
      <c r="C332" s="664"/>
      <c r="D332" s="664"/>
      <c r="E332" s="664"/>
      <c r="F332" s="664"/>
      <c r="G332" s="664"/>
      <c r="H332" s="664"/>
      <c r="I332" s="664"/>
      <c r="J332" s="664"/>
      <c r="K332" s="664"/>
      <c r="L332" s="664"/>
      <c r="M332" s="664"/>
      <c r="N332" s="664"/>
      <c r="O332" s="664"/>
      <c r="P332" s="664"/>
      <c r="Q332" s="664"/>
      <c r="R332" s="664"/>
      <c r="S332" s="664"/>
      <c r="T332" s="664"/>
      <c r="U332" s="664"/>
      <c r="V332" s="664"/>
      <c r="W332" s="664"/>
      <c r="X332" s="664"/>
      <c r="Y332" s="664"/>
      <c r="Z332" s="664"/>
      <c r="AA332" s="65"/>
      <c r="AB332" s="65"/>
      <c r="AC332" s="79"/>
    </row>
    <row r="333" spans="1:68" ht="14.25" hidden="1" customHeight="1" x14ac:dyDescent="0.25">
      <c r="A333" s="657" t="s">
        <v>83</v>
      </c>
      <c r="B333" s="657"/>
      <c r="C333" s="657"/>
      <c r="D333" s="657"/>
      <c r="E333" s="657"/>
      <c r="F333" s="657"/>
      <c r="G333" s="657"/>
      <c r="H333" s="657"/>
      <c r="I333" s="657"/>
      <c r="J333" s="657"/>
      <c r="K333" s="657"/>
      <c r="L333" s="657"/>
      <c r="M333" s="657"/>
      <c r="N333" s="657"/>
      <c r="O333" s="657"/>
      <c r="P333" s="657"/>
      <c r="Q333" s="657"/>
      <c r="R333" s="657"/>
      <c r="S333" s="657"/>
      <c r="T333" s="657"/>
      <c r="U333" s="657"/>
      <c r="V333" s="657"/>
      <c r="W333" s="657"/>
      <c r="X333" s="657"/>
      <c r="Y333" s="657"/>
      <c r="Z333" s="657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658">
        <v>4680115886186</v>
      </c>
      <c r="E334" s="658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60"/>
      <c r="R334" s="660"/>
      <c r="S334" s="660"/>
      <c r="T334" s="66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563</v>
      </c>
      <c r="B335" s="63" t="s">
        <v>564</v>
      </c>
      <c r="C335" s="36">
        <v>4301051795</v>
      </c>
      <c r="D335" s="658">
        <v>4680115881228</v>
      </c>
      <c r="E335" s="658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60"/>
      <c r="R335" s="660"/>
      <c r="S335" s="660"/>
      <c r="T335" s="66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566</v>
      </c>
      <c r="B336" s="63" t="s">
        <v>567</v>
      </c>
      <c r="C336" s="36">
        <v>4301051388</v>
      </c>
      <c r="D336" s="658">
        <v>4680115881211</v>
      </c>
      <c r="E336" s="658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60"/>
      <c r="R336" s="660"/>
      <c r="S336" s="660"/>
      <c r="T336" s="66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4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9"/>
      <c r="P337" s="645" t="s">
        <v>40</v>
      </c>
      <c r="Q337" s="646"/>
      <c r="R337" s="646"/>
      <c r="S337" s="646"/>
      <c r="T337" s="646"/>
      <c r="U337" s="646"/>
      <c r="V337" s="64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49"/>
      <c r="P338" s="645" t="s">
        <v>40</v>
      </c>
      <c r="Q338" s="646"/>
      <c r="R338" s="646"/>
      <c r="S338" s="646"/>
      <c r="T338" s="646"/>
      <c r="U338" s="646"/>
      <c r="V338" s="64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664" t="s">
        <v>568</v>
      </c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4"/>
      <c r="P339" s="664"/>
      <c r="Q339" s="664"/>
      <c r="R339" s="664"/>
      <c r="S339" s="664"/>
      <c r="T339" s="664"/>
      <c r="U339" s="664"/>
      <c r="V339" s="664"/>
      <c r="W339" s="664"/>
      <c r="X339" s="664"/>
      <c r="Y339" s="664"/>
      <c r="Z339" s="664"/>
      <c r="AA339" s="65"/>
      <c r="AB339" s="65"/>
      <c r="AC339" s="79"/>
    </row>
    <row r="340" spans="1:68" ht="14.25" hidden="1" customHeight="1" x14ac:dyDescent="0.25">
      <c r="A340" s="657" t="s">
        <v>77</v>
      </c>
      <c r="B340" s="657"/>
      <c r="C340" s="657"/>
      <c r="D340" s="657"/>
      <c r="E340" s="657"/>
      <c r="F340" s="657"/>
      <c r="G340" s="657"/>
      <c r="H340" s="657"/>
      <c r="I340" s="657"/>
      <c r="J340" s="657"/>
      <c r="K340" s="657"/>
      <c r="L340" s="657"/>
      <c r="M340" s="657"/>
      <c r="N340" s="657"/>
      <c r="O340" s="657"/>
      <c r="P340" s="657"/>
      <c r="Q340" s="657"/>
      <c r="R340" s="657"/>
      <c r="S340" s="657"/>
      <c r="T340" s="657"/>
      <c r="U340" s="657"/>
      <c r="V340" s="657"/>
      <c r="W340" s="657"/>
      <c r="X340" s="657"/>
      <c r="Y340" s="657"/>
      <c r="Z340" s="657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658">
        <v>4680115888319</v>
      </c>
      <c r="E341" s="658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60"/>
      <c r="R341" s="660"/>
      <c r="S341" s="660"/>
      <c r="T341" s="66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658">
        <v>4680115884700</v>
      </c>
      <c r="E342" s="658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60"/>
      <c r="R342" s="660"/>
      <c r="S342" s="660"/>
      <c r="T342" s="661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658">
        <v>4680115880344</v>
      </c>
      <c r="E343" s="658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60"/>
      <c r="R343" s="660"/>
      <c r="S343" s="660"/>
      <c r="T343" s="661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658">
        <v>4680115886919</v>
      </c>
      <c r="E344" s="658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60"/>
      <c r="R344" s="660"/>
      <c r="S344" s="660"/>
      <c r="T344" s="661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9"/>
      <c r="P345" s="645" t="s">
        <v>40</v>
      </c>
      <c r="Q345" s="646"/>
      <c r="R345" s="646"/>
      <c r="S345" s="646"/>
      <c r="T345" s="646"/>
      <c r="U345" s="646"/>
      <c r="V345" s="647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49"/>
      <c r="P346" s="645" t="s">
        <v>40</v>
      </c>
      <c r="Q346" s="646"/>
      <c r="R346" s="646"/>
      <c r="S346" s="646"/>
      <c r="T346" s="646"/>
      <c r="U346" s="646"/>
      <c r="V346" s="647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57" t="s">
        <v>83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6"/>
      <c r="AB347" s="66"/>
      <c r="AC347" s="80"/>
    </row>
    <row r="348" spans="1:68" ht="27" hidden="1" customHeight="1" x14ac:dyDescent="0.25">
      <c r="A348" s="63" t="s">
        <v>581</v>
      </c>
      <c r="B348" s="63" t="s">
        <v>582</v>
      </c>
      <c r="C348" s="36">
        <v>4301051782</v>
      </c>
      <c r="D348" s="658">
        <v>4680115884618</v>
      </c>
      <c r="E348" s="658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60"/>
      <c r="R348" s="660"/>
      <c r="S348" s="660"/>
      <c r="T348" s="66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658">
        <v>4680115887114</v>
      </c>
      <c r="E349" s="658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60"/>
      <c r="R349" s="660"/>
      <c r="S349" s="660"/>
      <c r="T349" s="661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658">
        <v>4680115887466</v>
      </c>
      <c r="E350" s="658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76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60"/>
      <c r="R350" s="660"/>
      <c r="S350" s="660"/>
      <c r="T350" s="661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64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9"/>
      <c r="P351" s="645" t="s">
        <v>40</v>
      </c>
      <c r="Q351" s="646"/>
      <c r="R351" s="646"/>
      <c r="S351" s="646"/>
      <c r="T351" s="646"/>
      <c r="U351" s="646"/>
      <c r="V351" s="647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45" t="s">
        <v>40</v>
      </c>
      <c r="Q352" s="646"/>
      <c r="R352" s="646"/>
      <c r="S352" s="646"/>
      <c r="T352" s="646"/>
      <c r="U352" s="646"/>
      <c r="V352" s="647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664" t="s">
        <v>590</v>
      </c>
      <c r="B353" s="664"/>
      <c r="C353" s="664"/>
      <c r="D353" s="664"/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4"/>
      <c r="P353" s="664"/>
      <c r="Q353" s="664"/>
      <c r="R353" s="664"/>
      <c r="S353" s="664"/>
      <c r="T353" s="664"/>
      <c r="U353" s="664"/>
      <c r="V353" s="664"/>
      <c r="W353" s="664"/>
      <c r="X353" s="664"/>
      <c r="Y353" s="664"/>
      <c r="Z353" s="664"/>
      <c r="AA353" s="65"/>
      <c r="AB353" s="65"/>
      <c r="AC353" s="79"/>
    </row>
    <row r="354" spans="1:68" ht="14.25" hidden="1" customHeight="1" x14ac:dyDescent="0.25">
      <c r="A354" s="657" t="s">
        <v>77</v>
      </c>
      <c r="B354" s="657"/>
      <c r="C354" s="657"/>
      <c r="D354" s="657"/>
      <c r="E354" s="657"/>
      <c r="F354" s="657"/>
      <c r="G354" s="657"/>
      <c r="H354" s="657"/>
      <c r="I354" s="657"/>
      <c r="J354" s="657"/>
      <c r="K354" s="657"/>
      <c r="L354" s="657"/>
      <c r="M354" s="657"/>
      <c r="N354" s="657"/>
      <c r="O354" s="657"/>
      <c r="P354" s="657"/>
      <c r="Q354" s="657"/>
      <c r="R354" s="657"/>
      <c r="S354" s="657"/>
      <c r="T354" s="657"/>
      <c r="U354" s="657"/>
      <c r="V354" s="657"/>
      <c r="W354" s="657"/>
      <c r="X354" s="657"/>
      <c r="Y354" s="657"/>
      <c r="Z354" s="657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658">
        <v>4680115886001</v>
      </c>
      <c r="E355" s="658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76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60"/>
      <c r="R355" s="660"/>
      <c r="S355" s="660"/>
      <c r="T355" s="661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4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45" t="s">
        <v>40</v>
      </c>
      <c r="Q356" s="646"/>
      <c r="R356" s="646"/>
      <c r="S356" s="646"/>
      <c r="T356" s="646"/>
      <c r="U356" s="646"/>
      <c r="V356" s="647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45" t="s">
        <v>40</v>
      </c>
      <c r="Q357" s="646"/>
      <c r="R357" s="646"/>
      <c r="S357" s="646"/>
      <c r="T357" s="646"/>
      <c r="U357" s="646"/>
      <c r="V357" s="647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657" t="s">
        <v>83</v>
      </c>
      <c r="B358" s="657"/>
      <c r="C358" s="657"/>
      <c r="D358" s="657"/>
      <c r="E358" s="657"/>
      <c r="F358" s="657"/>
      <c r="G358" s="657"/>
      <c r="H358" s="657"/>
      <c r="I358" s="657"/>
      <c r="J358" s="657"/>
      <c r="K358" s="657"/>
      <c r="L358" s="657"/>
      <c r="M358" s="657"/>
      <c r="N358" s="657"/>
      <c r="O358" s="657"/>
      <c r="P358" s="657"/>
      <c r="Q358" s="657"/>
      <c r="R358" s="657"/>
      <c r="S358" s="657"/>
      <c r="T358" s="657"/>
      <c r="U358" s="657"/>
      <c r="V358" s="657"/>
      <c r="W358" s="657"/>
      <c r="X358" s="657"/>
      <c r="Y358" s="657"/>
      <c r="Z358" s="657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658">
        <v>4680115886087</v>
      </c>
      <c r="E359" s="658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758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60"/>
      <c r="R359" s="660"/>
      <c r="S359" s="660"/>
      <c r="T359" s="661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4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49"/>
      <c r="P360" s="645" t="s">
        <v>40</v>
      </c>
      <c r="Q360" s="646"/>
      <c r="R360" s="646"/>
      <c r="S360" s="646"/>
      <c r="T360" s="646"/>
      <c r="U360" s="646"/>
      <c r="V360" s="647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9"/>
      <c r="P361" s="645" t="s">
        <v>40</v>
      </c>
      <c r="Q361" s="646"/>
      <c r="R361" s="646"/>
      <c r="S361" s="646"/>
      <c r="T361" s="646"/>
      <c r="U361" s="646"/>
      <c r="V361" s="647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64" t="s">
        <v>597</v>
      </c>
      <c r="B362" s="664"/>
      <c r="C362" s="664"/>
      <c r="D362" s="664"/>
      <c r="E362" s="664"/>
      <c r="F362" s="664"/>
      <c r="G362" s="664"/>
      <c r="H362" s="664"/>
      <c r="I362" s="664"/>
      <c r="J362" s="664"/>
      <c r="K362" s="664"/>
      <c r="L362" s="664"/>
      <c r="M362" s="664"/>
      <c r="N362" s="664"/>
      <c r="O362" s="664"/>
      <c r="P362" s="664"/>
      <c r="Q362" s="664"/>
      <c r="R362" s="664"/>
      <c r="S362" s="664"/>
      <c r="T362" s="664"/>
      <c r="U362" s="664"/>
      <c r="V362" s="664"/>
      <c r="W362" s="664"/>
      <c r="X362" s="664"/>
      <c r="Y362" s="664"/>
      <c r="Z362" s="664"/>
      <c r="AA362" s="65"/>
      <c r="AB362" s="65"/>
      <c r="AC362" s="79"/>
    </row>
    <row r="363" spans="1:68" ht="14.25" hidden="1" customHeight="1" x14ac:dyDescent="0.25">
      <c r="A363" s="657" t="s">
        <v>130</v>
      </c>
      <c r="B363" s="657"/>
      <c r="C363" s="657"/>
      <c r="D363" s="657"/>
      <c r="E363" s="657"/>
      <c r="F363" s="657"/>
      <c r="G363" s="657"/>
      <c r="H363" s="657"/>
      <c r="I363" s="657"/>
      <c r="J363" s="657"/>
      <c r="K363" s="657"/>
      <c r="L363" s="657"/>
      <c r="M363" s="657"/>
      <c r="N363" s="657"/>
      <c r="O363" s="657"/>
      <c r="P363" s="657"/>
      <c r="Q363" s="657"/>
      <c r="R363" s="657"/>
      <c r="S363" s="657"/>
      <c r="T363" s="657"/>
      <c r="U363" s="657"/>
      <c r="V363" s="657"/>
      <c r="W363" s="657"/>
      <c r="X363" s="657"/>
      <c r="Y363" s="657"/>
      <c r="Z363" s="657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4301012324</v>
      </c>
      <c r="D364" s="658">
        <v>4680115887947</v>
      </c>
      <c r="E364" s="658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60"/>
      <c r="R364" s="660"/>
      <c r="S364" s="660"/>
      <c r="T364" s="661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4301012325</v>
      </c>
      <c r="D365" s="658">
        <v>4680115887978</v>
      </c>
      <c r="E365" s="658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60"/>
      <c r="R365" s="660"/>
      <c r="S365" s="660"/>
      <c r="T365" s="661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4301012327</v>
      </c>
      <c r="D366" s="658">
        <v>4680115887992</v>
      </c>
      <c r="E366" s="658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7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60"/>
      <c r="R366" s="660"/>
      <c r="S366" s="660"/>
      <c r="T366" s="661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4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49"/>
      <c r="P367" s="645" t="s">
        <v>40</v>
      </c>
      <c r="Q367" s="646"/>
      <c r="R367" s="646"/>
      <c r="S367" s="646"/>
      <c r="T367" s="646"/>
      <c r="U367" s="646"/>
      <c r="V367" s="647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9"/>
      <c r="P368" s="645" t="s">
        <v>40</v>
      </c>
      <c r="Q368" s="646"/>
      <c r="R368" s="646"/>
      <c r="S368" s="646"/>
      <c r="T368" s="646"/>
      <c r="U368" s="646"/>
      <c r="V368" s="647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664" t="s">
        <v>606</v>
      </c>
      <c r="B369" s="664"/>
      <c r="C369" s="664"/>
      <c r="D369" s="664"/>
      <c r="E369" s="664"/>
      <c r="F369" s="664"/>
      <c r="G369" s="664"/>
      <c r="H369" s="664"/>
      <c r="I369" s="664"/>
      <c r="J369" s="664"/>
      <c r="K369" s="664"/>
      <c r="L369" s="664"/>
      <c r="M369" s="664"/>
      <c r="N369" s="664"/>
      <c r="O369" s="664"/>
      <c r="P369" s="664"/>
      <c r="Q369" s="664"/>
      <c r="R369" s="664"/>
      <c r="S369" s="664"/>
      <c r="T369" s="664"/>
      <c r="U369" s="664"/>
      <c r="V369" s="664"/>
      <c r="W369" s="664"/>
      <c r="X369" s="664"/>
      <c r="Y369" s="664"/>
      <c r="Z369" s="664"/>
      <c r="AA369" s="65"/>
      <c r="AB369" s="65"/>
      <c r="AC369" s="79"/>
    </row>
    <row r="370" spans="1:68" ht="14.25" hidden="1" customHeight="1" x14ac:dyDescent="0.25">
      <c r="A370" s="657" t="s">
        <v>130</v>
      </c>
      <c r="B370" s="657"/>
      <c r="C370" s="657"/>
      <c r="D370" s="657"/>
      <c r="E370" s="657"/>
      <c r="F370" s="657"/>
      <c r="G370" s="657"/>
      <c r="H370" s="657"/>
      <c r="I370" s="657"/>
      <c r="J370" s="657"/>
      <c r="K370" s="657"/>
      <c r="L370" s="657"/>
      <c r="M370" s="657"/>
      <c r="N370" s="657"/>
      <c r="O370" s="657"/>
      <c r="P370" s="657"/>
      <c r="Q370" s="657"/>
      <c r="R370" s="657"/>
      <c r="S370" s="657"/>
      <c r="T370" s="657"/>
      <c r="U370" s="657"/>
      <c r="V370" s="657"/>
      <c r="W370" s="657"/>
      <c r="X370" s="657"/>
      <c r="Y370" s="657"/>
      <c r="Z370" s="657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658">
        <v>4680115889293</v>
      </c>
      <c r="E371" s="658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60"/>
      <c r="R371" s="660"/>
      <c r="S371" s="660"/>
      <c r="T371" s="661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658">
        <v>4680115887190</v>
      </c>
      <c r="E372" s="658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60"/>
      <c r="R372" s="660"/>
      <c r="S372" s="660"/>
      <c r="T372" s="661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658">
        <v>4680115889880</v>
      </c>
      <c r="E373" s="658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75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60"/>
      <c r="R373" s="660"/>
      <c r="S373" s="660"/>
      <c r="T373" s="661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658">
        <v>4680115887138</v>
      </c>
      <c r="E374" s="658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60"/>
      <c r="R374" s="660"/>
      <c r="S374" s="660"/>
      <c r="T374" s="661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658">
        <v>4680115885554</v>
      </c>
      <c r="E375" s="658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60"/>
      <c r="R375" s="660"/>
      <c r="S375" s="660"/>
      <c r="T375" s="661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658">
        <v>4680115887220</v>
      </c>
      <c r="E376" s="658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60"/>
      <c r="R376" s="660"/>
      <c r="S376" s="660"/>
      <c r="T376" s="661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658">
        <v>4680115885608</v>
      </c>
      <c r="E377" s="658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60"/>
      <c r="R377" s="660"/>
      <c r="S377" s="660"/>
      <c r="T377" s="661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64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9"/>
      <c r="P378" s="645" t="s">
        <v>40</v>
      </c>
      <c r="Q378" s="646"/>
      <c r="R378" s="646"/>
      <c r="S378" s="646"/>
      <c r="T378" s="646"/>
      <c r="U378" s="646"/>
      <c r="V378" s="647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49"/>
      <c r="P379" s="645" t="s">
        <v>40</v>
      </c>
      <c r="Q379" s="646"/>
      <c r="R379" s="646"/>
      <c r="S379" s="646"/>
      <c r="T379" s="646"/>
      <c r="U379" s="646"/>
      <c r="V379" s="647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657" t="s">
        <v>77</v>
      </c>
      <c r="B380" s="657"/>
      <c r="C380" s="657"/>
      <c r="D380" s="657"/>
      <c r="E380" s="657"/>
      <c r="F380" s="657"/>
      <c r="G380" s="657"/>
      <c r="H380" s="657"/>
      <c r="I380" s="657"/>
      <c r="J380" s="657"/>
      <c r="K380" s="657"/>
      <c r="L380" s="657"/>
      <c r="M380" s="657"/>
      <c r="N380" s="657"/>
      <c r="O380" s="657"/>
      <c r="P380" s="657"/>
      <c r="Q380" s="657"/>
      <c r="R380" s="657"/>
      <c r="S380" s="657"/>
      <c r="T380" s="657"/>
      <c r="U380" s="657"/>
      <c r="V380" s="657"/>
      <c r="W380" s="657"/>
      <c r="X380" s="657"/>
      <c r="Y380" s="657"/>
      <c r="Z380" s="657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658">
        <v>4607091387193</v>
      </c>
      <c r="E381" s="658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60"/>
      <c r="R381" s="660"/>
      <c r="S381" s="660"/>
      <c r="T381" s="661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629</v>
      </c>
      <c r="B382" s="63" t="s">
        <v>630</v>
      </c>
      <c r="C382" s="36">
        <v>4301031153</v>
      </c>
      <c r="D382" s="658">
        <v>4607091387230</v>
      </c>
      <c r="E382" s="658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60"/>
      <c r="R382" s="660"/>
      <c r="S382" s="660"/>
      <c r="T382" s="661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632</v>
      </c>
      <c r="B383" s="63" t="s">
        <v>633</v>
      </c>
      <c r="C383" s="36">
        <v>4301031154</v>
      </c>
      <c r="D383" s="658">
        <v>4607091387292</v>
      </c>
      <c r="E383" s="658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60"/>
      <c r="R383" s="660"/>
      <c r="S383" s="660"/>
      <c r="T383" s="661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658">
        <v>4607091387285</v>
      </c>
      <c r="E384" s="658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7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60"/>
      <c r="R384" s="660"/>
      <c r="S384" s="660"/>
      <c r="T384" s="661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637</v>
      </c>
      <c r="B385" s="63" t="s">
        <v>638</v>
      </c>
      <c r="C385" s="36">
        <v>4301031305</v>
      </c>
      <c r="D385" s="658">
        <v>4607091389845</v>
      </c>
      <c r="E385" s="658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7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60"/>
      <c r="R385" s="660"/>
      <c r="S385" s="660"/>
      <c r="T385" s="661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658">
        <v>4680115887442</v>
      </c>
      <c r="E386" s="658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74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60"/>
      <c r="R386" s="660"/>
      <c r="S386" s="660"/>
      <c r="T386" s="661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4301031066</v>
      </c>
      <c r="D387" s="658">
        <v>4607091383836</v>
      </c>
      <c r="E387" s="658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60"/>
      <c r="R387" s="660"/>
      <c r="S387" s="660"/>
      <c r="T387" s="661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hidden="1" x14ac:dyDescent="0.2">
      <c r="A388" s="64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9"/>
      <c r="P388" s="645" t="s">
        <v>40</v>
      </c>
      <c r="Q388" s="646"/>
      <c r="R388" s="646"/>
      <c r="S388" s="646"/>
      <c r="T388" s="646"/>
      <c r="U388" s="646"/>
      <c r="V388" s="647"/>
      <c r="W388" s="42" t="s">
        <v>39</v>
      </c>
      <c r="X388" s="43">
        <f>IFERROR(X381/H381,"0")+IFERROR(X382/H382,"0")+IFERROR(X383/H383,"0")+IFERROR(X384/H384,"0")+IFERROR(X385/H385,"0")+IFERROR(X386/H386,"0")+IFERROR(X387/H387,"0")</f>
        <v>0</v>
      </c>
      <c r="Y388" s="43">
        <f>IFERROR(Y381/H381,"0")+IFERROR(Y382/H382,"0")+IFERROR(Y383/H383,"0")+IFERROR(Y384/H384,"0")+IFERROR(Y385/H385,"0")+IFERROR(Y386/H386,"0")+IFERROR(Y387/H387,"0")</f>
        <v>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49"/>
      <c r="P389" s="645" t="s">
        <v>40</v>
      </c>
      <c r="Q389" s="646"/>
      <c r="R389" s="646"/>
      <c r="S389" s="646"/>
      <c r="T389" s="646"/>
      <c r="U389" s="646"/>
      <c r="V389" s="647"/>
      <c r="W389" s="42" t="s">
        <v>0</v>
      </c>
      <c r="X389" s="43">
        <f>IFERROR(SUM(X381:X387),"0")</f>
        <v>0</v>
      </c>
      <c r="Y389" s="43">
        <f>IFERROR(SUM(Y381:Y387),"0")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57" t="s">
        <v>83</v>
      </c>
      <c r="B390" s="657"/>
      <c r="C390" s="657"/>
      <c r="D390" s="657"/>
      <c r="E390" s="657"/>
      <c r="F390" s="657"/>
      <c r="G390" s="657"/>
      <c r="H390" s="657"/>
      <c r="I390" s="657"/>
      <c r="J390" s="657"/>
      <c r="K390" s="657"/>
      <c r="L390" s="657"/>
      <c r="M390" s="657"/>
      <c r="N390" s="657"/>
      <c r="O390" s="657"/>
      <c r="P390" s="657"/>
      <c r="Q390" s="657"/>
      <c r="R390" s="657"/>
      <c r="S390" s="657"/>
      <c r="T390" s="657"/>
      <c r="U390" s="657"/>
      <c r="V390" s="657"/>
      <c r="W390" s="657"/>
      <c r="X390" s="657"/>
      <c r="Y390" s="657"/>
      <c r="Z390" s="657"/>
      <c r="AA390" s="66"/>
      <c r="AB390" s="66"/>
      <c r="AC390" s="80"/>
    </row>
    <row r="391" spans="1:68" ht="27" hidden="1" customHeight="1" x14ac:dyDescent="0.25">
      <c r="A391" s="63" t="s">
        <v>645</v>
      </c>
      <c r="B391" s="63" t="s">
        <v>646</v>
      </c>
      <c r="C391" s="36">
        <v>4301051100</v>
      </c>
      <c r="D391" s="658">
        <v>4607091387766</v>
      </c>
      <c r="E391" s="658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60"/>
      <c r="R391" s="660"/>
      <c r="S391" s="660"/>
      <c r="T391" s="661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658">
        <v>4607091387957</v>
      </c>
      <c r="E392" s="658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7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60"/>
      <c r="R392" s="660"/>
      <c r="S392" s="660"/>
      <c r="T392" s="66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658">
        <v>4607091387964</v>
      </c>
      <c r="E393" s="658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7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60"/>
      <c r="R393" s="660"/>
      <c r="S393" s="660"/>
      <c r="T393" s="66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658">
        <v>4680115884588</v>
      </c>
      <c r="E394" s="658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60"/>
      <c r="R394" s="660"/>
      <c r="S394" s="660"/>
      <c r="T394" s="66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49"/>
      <c r="P395" s="645" t="s">
        <v>40</v>
      </c>
      <c r="Q395" s="646"/>
      <c r="R395" s="646"/>
      <c r="S395" s="646"/>
      <c r="T395" s="646"/>
      <c r="U395" s="646"/>
      <c r="V395" s="647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49"/>
      <c r="P396" s="645" t="s">
        <v>40</v>
      </c>
      <c r="Q396" s="646"/>
      <c r="R396" s="646"/>
      <c r="S396" s="646"/>
      <c r="T396" s="646"/>
      <c r="U396" s="646"/>
      <c r="V396" s="647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7" t="s">
        <v>184</v>
      </c>
      <c r="B397" s="657"/>
      <c r="C397" s="657"/>
      <c r="D397" s="657"/>
      <c r="E397" s="657"/>
      <c r="F397" s="657"/>
      <c r="G397" s="657"/>
      <c r="H397" s="657"/>
      <c r="I397" s="657"/>
      <c r="J397" s="657"/>
      <c r="K397" s="657"/>
      <c r="L397" s="657"/>
      <c r="M397" s="657"/>
      <c r="N397" s="657"/>
      <c r="O397" s="657"/>
      <c r="P397" s="657"/>
      <c r="Q397" s="657"/>
      <c r="R397" s="657"/>
      <c r="S397" s="657"/>
      <c r="T397" s="657"/>
      <c r="U397" s="657"/>
      <c r="V397" s="657"/>
      <c r="W397" s="657"/>
      <c r="X397" s="657"/>
      <c r="Y397" s="657"/>
      <c r="Z397" s="657"/>
      <c r="AA397" s="66"/>
      <c r="AB397" s="66"/>
      <c r="AC397" s="80"/>
    </row>
    <row r="398" spans="1:68" ht="27" hidden="1" customHeight="1" x14ac:dyDescent="0.25">
      <c r="A398" s="63" t="s">
        <v>656</v>
      </c>
      <c r="B398" s="63" t="s">
        <v>657</v>
      </c>
      <c r="C398" s="36">
        <v>4301060387</v>
      </c>
      <c r="D398" s="658">
        <v>4607091380880</v>
      </c>
      <c r="E398" s="658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60"/>
      <c r="R398" s="660"/>
      <c r="S398" s="660"/>
      <c r="T398" s="661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659</v>
      </c>
      <c r="B399" s="63" t="s">
        <v>660</v>
      </c>
      <c r="C399" s="36">
        <v>4301060406</v>
      </c>
      <c r="D399" s="658">
        <v>4607091384482</v>
      </c>
      <c r="E399" s="658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60"/>
      <c r="R399" s="660"/>
      <c r="S399" s="660"/>
      <c r="T399" s="66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4301060484</v>
      </c>
      <c r="D400" s="658">
        <v>4607091380897</v>
      </c>
      <c r="E400" s="658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7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60"/>
      <c r="R400" s="660"/>
      <c r="S400" s="660"/>
      <c r="T400" s="661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49"/>
      <c r="P401" s="645" t="s">
        <v>40</v>
      </c>
      <c r="Q401" s="646"/>
      <c r="R401" s="646"/>
      <c r="S401" s="646"/>
      <c r="T401" s="646"/>
      <c r="U401" s="646"/>
      <c r="V401" s="64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49"/>
      <c r="P402" s="645" t="s">
        <v>40</v>
      </c>
      <c r="Q402" s="646"/>
      <c r="R402" s="646"/>
      <c r="S402" s="646"/>
      <c r="T402" s="646"/>
      <c r="U402" s="646"/>
      <c r="V402" s="64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7" t="s">
        <v>101</v>
      </c>
      <c r="B403" s="657"/>
      <c r="C403" s="657"/>
      <c r="D403" s="657"/>
      <c r="E403" s="657"/>
      <c r="F403" s="657"/>
      <c r="G403" s="657"/>
      <c r="H403" s="657"/>
      <c r="I403" s="657"/>
      <c r="J403" s="657"/>
      <c r="K403" s="657"/>
      <c r="L403" s="657"/>
      <c r="M403" s="657"/>
      <c r="N403" s="657"/>
      <c r="O403" s="657"/>
      <c r="P403" s="657"/>
      <c r="Q403" s="657"/>
      <c r="R403" s="657"/>
      <c r="S403" s="657"/>
      <c r="T403" s="657"/>
      <c r="U403" s="657"/>
      <c r="V403" s="657"/>
      <c r="W403" s="657"/>
      <c r="X403" s="657"/>
      <c r="Y403" s="657"/>
      <c r="Z403" s="657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658">
        <v>4607091388381</v>
      </c>
      <c r="E404" s="658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7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60"/>
      <c r="R404" s="660"/>
      <c r="S404" s="660"/>
      <c r="T404" s="661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658">
        <v>4607091388374</v>
      </c>
      <c r="E405" s="658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7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60"/>
      <c r="R405" s="660"/>
      <c r="S405" s="660"/>
      <c r="T405" s="661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4301032015</v>
      </c>
      <c r="D406" s="658">
        <v>4607091383102</v>
      </c>
      <c r="E406" s="658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7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60"/>
      <c r="R406" s="660"/>
      <c r="S406" s="660"/>
      <c r="T406" s="661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658">
        <v>4607091388404</v>
      </c>
      <c r="E407" s="658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60"/>
      <c r="R407" s="660"/>
      <c r="S407" s="660"/>
      <c r="T407" s="661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49"/>
      <c r="P408" s="645" t="s">
        <v>40</v>
      </c>
      <c r="Q408" s="646"/>
      <c r="R408" s="646"/>
      <c r="S408" s="646"/>
      <c r="T408" s="646"/>
      <c r="U408" s="646"/>
      <c r="V408" s="647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49"/>
      <c r="P409" s="645" t="s">
        <v>40</v>
      </c>
      <c r="Q409" s="646"/>
      <c r="R409" s="646"/>
      <c r="S409" s="646"/>
      <c r="T409" s="646"/>
      <c r="U409" s="646"/>
      <c r="V409" s="647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57" t="s">
        <v>674</v>
      </c>
      <c r="B410" s="657"/>
      <c r="C410" s="657"/>
      <c r="D410" s="657"/>
      <c r="E410" s="657"/>
      <c r="F410" s="657"/>
      <c r="G410" s="657"/>
      <c r="H410" s="657"/>
      <c r="I410" s="657"/>
      <c r="J410" s="657"/>
      <c r="K410" s="657"/>
      <c r="L410" s="657"/>
      <c r="M410" s="657"/>
      <c r="N410" s="657"/>
      <c r="O410" s="657"/>
      <c r="P410" s="657"/>
      <c r="Q410" s="657"/>
      <c r="R410" s="657"/>
      <c r="S410" s="657"/>
      <c r="T410" s="657"/>
      <c r="U410" s="657"/>
      <c r="V410" s="657"/>
      <c r="W410" s="657"/>
      <c r="X410" s="657"/>
      <c r="Y410" s="657"/>
      <c r="Z410" s="657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658">
        <v>4680115881808</v>
      </c>
      <c r="E411" s="658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60"/>
      <c r="R411" s="660"/>
      <c r="S411" s="660"/>
      <c r="T411" s="661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658">
        <v>4680115881822</v>
      </c>
      <c r="E412" s="658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60"/>
      <c r="R412" s="660"/>
      <c r="S412" s="660"/>
      <c r="T412" s="661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4301180001</v>
      </c>
      <c r="D413" s="658">
        <v>4680115880016</v>
      </c>
      <c r="E413" s="658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60"/>
      <c r="R413" s="660"/>
      <c r="S413" s="660"/>
      <c r="T413" s="661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49"/>
      <c r="P414" s="645" t="s">
        <v>40</v>
      </c>
      <c r="Q414" s="646"/>
      <c r="R414" s="646"/>
      <c r="S414" s="646"/>
      <c r="T414" s="646"/>
      <c r="U414" s="646"/>
      <c r="V414" s="647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49"/>
      <c r="P415" s="645" t="s">
        <v>40</v>
      </c>
      <c r="Q415" s="646"/>
      <c r="R415" s="646"/>
      <c r="S415" s="646"/>
      <c r="T415" s="646"/>
      <c r="U415" s="646"/>
      <c r="V415" s="647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657" t="s">
        <v>683</v>
      </c>
      <c r="B416" s="657"/>
      <c r="C416" s="657"/>
      <c r="D416" s="657"/>
      <c r="E416" s="657"/>
      <c r="F416" s="657"/>
      <c r="G416" s="657"/>
      <c r="H416" s="657"/>
      <c r="I416" s="657"/>
      <c r="J416" s="657"/>
      <c r="K416" s="657"/>
      <c r="L416" s="657"/>
      <c r="M416" s="657"/>
      <c r="N416" s="657"/>
      <c r="O416" s="657"/>
      <c r="P416" s="657"/>
      <c r="Q416" s="657"/>
      <c r="R416" s="657"/>
      <c r="S416" s="657"/>
      <c r="T416" s="657"/>
      <c r="U416" s="657"/>
      <c r="V416" s="657"/>
      <c r="W416" s="657"/>
      <c r="X416" s="657"/>
      <c r="Y416" s="657"/>
      <c r="Z416" s="657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658">
        <v>4680115888678</v>
      </c>
      <c r="E417" s="658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60"/>
      <c r="R417" s="660"/>
      <c r="S417" s="660"/>
      <c r="T417" s="661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658">
        <v>4680115888654</v>
      </c>
      <c r="E418" s="658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60"/>
      <c r="R418" s="660"/>
      <c r="S418" s="660"/>
      <c r="T418" s="661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658">
        <v>4680115888753</v>
      </c>
      <c r="E419" s="658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60"/>
      <c r="R419" s="660"/>
      <c r="S419" s="660"/>
      <c r="T419" s="66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9"/>
      <c r="P420" s="645" t="s">
        <v>40</v>
      </c>
      <c r="Q420" s="646"/>
      <c r="R420" s="646"/>
      <c r="S420" s="646"/>
      <c r="T420" s="646"/>
      <c r="U420" s="646"/>
      <c r="V420" s="647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49"/>
      <c r="P421" s="645" t="s">
        <v>40</v>
      </c>
      <c r="Q421" s="646"/>
      <c r="R421" s="646"/>
      <c r="S421" s="646"/>
      <c r="T421" s="646"/>
      <c r="U421" s="646"/>
      <c r="V421" s="647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4" t="s">
        <v>692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5"/>
      <c r="AB422" s="65"/>
      <c r="AC422" s="79"/>
    </row>
    <row r="423" spans="1:68" ht="14.25" hidden="1" customHeight="1" x14ac:dyDescent="0.25">
      <c r="A423" s="657" t="s">
        <v>83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658">
        <v>4660663720026</v>
      </c>
      <c r="E424" s="658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60"/>
      <c r="R424" s="660"/>
      <c r="S424" s="660"/>
      <c r="T424" s="66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658">
        <v>4680115889422</v>
      </c>
      <c r="E425" s="658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60"/>
      <c r="R425" s="660"/>
      <c r="S425" s="660"/>
      <c r="T425" s="66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658">
        <v>4680115889972</v>
      </c>
      <c r="E426" s="658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725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60"/>
      <c r="R426" s="660"/>
      <c r="S426" s="660"/>
      <c r="T426" s="661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4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9"/>
      <c r="P427" s="645" t="s">
        <v>40</v>
      </c>
      <c r="Q427" s="646"/>
      <c r="R427" s="646"/>
      <c r="S427" s="646"/>
      <c r="T427" s="646"/>
      <c r="U427" s="646"/>
      <c r="V427" s="64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9"/>
      <c r="P428" s="645" t="s">
        <v>40</v>
      </c>
      <c r="Q428" s="646"/>
      <c r="R428" s="646"/>
      <c r="S428" s="646"/>
      <c r="T428" s="646"/>
      <c r="U428" s="646"/>
      <c r="V428" s="64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664" t="s">
        <v>701</v>
      </c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  <c r="Z429" s="664"/>
      <c r="AA429" s="65"/>
      <c r="AB429" s="65"/>
      <c r="AC429" s="79"/>
    </row>
    <row r="430" spans="1:68" ht="14.25" hidden="1" customHeight="1" x14ac:dyDescent="0.25">
      <c r="A430" s="657" t="s">
        <v>83</v>
      </c>
      <c r="B430" s="657"/>
      <c r="C430" s="657"/>
      <c r="D430" s="657"/>
      <c r="E430" s="657"/>
      <c r="F430" s="657"/>
      <c r="G430" s="657"/>
      <c r="H430" s="657"/>
      <c r="I430" s="657"/>
      <c r="J430" s="657"/>
      <c r="K430" s="657"/>
      <c r="L430" s="657"/>
      <c r="M430" s="657"/>
      <c r="N430" s="657"/>
      <c r="O430" s="657"/>
      <c r="P430" s="657"/>
      <c r="Q430" s="657"/>
      <c r="R430" s="657"/>
      <c r="S430" s="657"/>
      <c r="T430" s="657"/>
      <c r="U430" s="657"/>
      <c r="V430" s="657"/>
      <c r="W430" s="657"/>
      <c r="X430" s="657"/>
      <c r="Y430" s="657"/>
      <c r="Z430" s="657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658">
        <v>4607091387919</v>
      </c>
      <c r="E431" s="658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60"/>
      <c r="R431" s="660"/>
      <c r="S431" s="660"/>
      <c r="T431" s="661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705</v>
      </c>
      <c r="B432" s="63" t="s">
        <v>706</v>
      </c>
      <c r="C432" s="36">
        <v>4301051461</v>
      </c>
      <c r="D432" s="658">
        <v>4680115883604</v>
      </c>
      <c r="E432" s="658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60"/>
      <c r="R432" s="660"/>
      <c r="S432" s="660"/>
      <c r="T432" s="661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4301051864</v>
      </c>
      <c r="D433" s="658">
        <v>4680115883567</v>
      </c>
      <c r="E433" s="658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60"/>
      <c r="R433" s="660"/>
      <c r="S433" s="660"/>
      <c r="T433" s="661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64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9"/>
      <c r="P434" s="645" t="s">
        <v>40</v>
      </c>
      <c r="Q434" s="646"/>
      <c r="R434" s="646"/>
      <c r="S434" s="646"/>
      <c r="T434" s="646"/>
      <c r="U434" s="646"/>
      <c r="V434" s="647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9"/>
      <c r="P435" s="645" t="s">
        <v>40</v>
      </c>
      <c r="Q435" s="646"/>
      <c r="R435" s="646"/>
      <c r="S435" s="646"/>
      <c r="T435" s="646"/>
      <c r="U435" s="646"/>
      <c r="V435" s="647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675" t="s">
        <v>711</v>
      </c>
      <c r="B436" s="675"/>
      <c r="C436" s="675"/>
      <c r="D436" s="675"/>
      <c r="E436" s="675"/>
      <c r="F436" s="675"/>
      <c r="G436" s="675"/>
      <c r="H436" s="675"/>
      <c r="I436" s="675"/>
      <c r="J436" s="675"/>
      <c r="K436" s="675"/>
      <c r="L436" s="675"/>
      <c r="M436" s="675"/>
      <c r="N436" s="675"/>
      <c r="O436" s="675"/>
      <c r="P436" s="675"/>
      <c r="Q436" s="675"/>
      <c r="R436" s="675"/>
      <c r="S436" s="675"/>
      <c r="T436" s="675"/>
      <c r="U436" s="675"/>
      <c r="V436" s="675"/>
      <c r="W436" s="675"/>
      <c r="X436" s="675"/>
      <c r="Y436" s="675"/>
      <c r="Z436" s="675"/>
      <c r="AA436" s="54"/>
      <c r="AB436" s="54"/>
      <c r="AC436" s="54"/>
    </row>
    <row r="437" spans="1:68" ht="16.5" hidden="1" customHeight="1" x14ac:dyDescent="0.25">
      <c r="A437" s="664" t="s">
        <v>712</v>
      </c>
      <c r="B437" s="664"/>
      <c r="C437" s="664"/>
      <c r="D437" s="664"/>
      <c r="E437" s="664"/>
      <c r="F437" s="664"/>
      <c r="G437" s="664"/>
      <c r="H437" s="664"/>
      <c r="I437" s="664"/>
      <c r="J437" s="664"/>
      <c r="K437" s="664"/>
      <c r="L437" s="664"/>
      <c r="M437" s="664"/>
      <c r="N437" s="664"/>
      <c r="O437" s="664"/>
      <c r="P437" s="664"/>
      <c r="Q437" s="664"/>
      <c r="R437" s="664"/>
      <c r="S437" s="664"/>
      <c r="T437" s="664"/>
      <c r="U437" s="664"/>
      <c r="V437" s="664"/>
      <c r="W437" s="664"/>
      <c r="X437" s="664"/>
      <c r="Y437" s="664"/>
      <c r="Z437" s="664"/>
      <c r="AA437" s="65"/>
      <c r="AB437" s="65"/>
      <c r="AC437" s="79"/>
    </row>
    <row r="438" spans="1:68" ht="14.25" hidden="1" customHeight="1" x14ac:dyDescent="0.25">
      <c r="A438" s="657" t="s">
        <v>130</v>
      </c>
      <c r="B438" s="657"/>
      <c r="C438" s="657"/>
      <c r="D438" s="657"/>
      <c r="E438" s="657"/>
      <c r="F438" s="657"/>
      <c r="G438" s="657"/>
      <c r="H438" s="657"/>
      <c r="I438" s="657"/>
      <c r="J438" s="657"/>
      <c r="K438" s="657"/>
      <c r="L438" s="657"/>
      <c r="M438" s="657"/>
      <c r="N438" s="657"/>
      <c r="O438" s="657"/>
      <c r="P438" s="657"/>
      <c r="Q438" s="657"/>
      <c r="R438" s="657"/>
      <c r="S438" s="657"/>
      <c r="T438" s="657"/>
      <c r="U438" s="657"/>
      <c r="V438" s="657"/>
      <c r="W438" s="657"/>
      <c r="X438" s="657"/>
      <c r="Y438" s="657"/>
      <c r="Z438" s="657"/>
      <c r="AA438" s="66"/>
      <c r="AB438" s="66"/>
      <c r="AC438" s="80"/>
    </row>
    <row r="439" spans="1:68" ht="27" hidden="1" customHeight="1" x14ac:dyDescent="0.25">
      <c r="A439" s="63" t="s">
        <v>713</v>
      </c>
      <c r="B439" s="63" t="s">
        <v>714</v>
      </c>
      <c r="C439" s="36">
        <v>4301012332</v>
      </c>
      <c r="D439" s="658">
        <v>4680115888401</v>
      </c>
      <c r="E439" s="658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60"/>
      <c r="R439" s="660"/>
      <c r="S439" s="660"/>
      <c r="T439" s="661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hidden="1" customHeight="1" x14ac:dyDescent="0.25">
      <c r="A440" s="63" t="s">
        <v>716</v>
      </c>
      <c r="B440" s="63" t="s">
        <v>717</v>
      </c>
      <c r="C440" s="36">
        <v>4301011869</v>
      </c>
      <c r="D440" s="658">
        <v>4680115884847</v>
      </c>
      <c r="E440" s="658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60"/>
      <c r="R440" s="660"/>
      <c r="S440" s="660"/>
      <c r="T440" s="661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719</v>
      </c>
      <c r="B441" s="63" t="s">
        <v>720</v>
      </c>
      <c r="C441" s="36">
        <v>4301012083</v>
      </c>
      <c r="D441" s="658">
        <v>4680115884854</v>
      </c>
      <c r="E441" s="658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60"/>
      <c r="R441" s="660"/>
      <c r="S441" s="660"/>
      <c r="T441" s="661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722</v>
      </c>
      <c r="B442" s="63" t="s">
        <v>723</v>
      </c>
      <c r="C442" s="36">
        <v>4301011867</v>
      </c>
      <c r="D442" s="658">
        <v>4680115884830</v>
      </c>
      <c r="E442" s="658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60"/>
      <c r="R442" s="660"/>
      <c r="S442" s="660"/>
      <c r="T442" s="661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725</v>
      </c>
      <c r="B443" s="63" t="s">
        <v>726</v>
      </c>
      <c r="C443" s="36">
        <v>4301012356</v>
      </c>
      <c r="D443" s="658">
        <v>4680115889231</v>
      </c>
      <c r="E443" s="658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60"/>
      <c r="R443" s="660"/>
      <c r="S443" s="660"/>
      <c r="T443" s="661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658">
        <v>4680115882638</v>
      </c>
      <c r="E444" s="658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60"/>
      <c r="R444" s="660"/>
      <c r="S444" s="660"/>
      <c r="T444" s="661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658">
        <v>4680115884922</v>
      </c>
      <c r="E445" s="658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60"/>
      <c r="R445" s="660"/>
      <c r="S445" s="660"/>
      <c r="T445" s="661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hidden="1" customHeight="1" x14ac:dyDescent="0.25">
      <c r="A446" s="63" t="s">
        <v>734</v>
      </c>
      <c r="B446" s="63" t="s">
        <v>735</v>
      </c>
      <c r="C446" s="36">
        <v>4301011868</v>
      </c>
      <c r="D446" s="658">
        <v>4680115884861</v>
      </c>
      <c r="E446" s="658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60"/>
      <c r="R446" s="660"/>
      <c r="S446" s="660"/>
      <c r="T446" s="661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hidden="1" x14ac:dyDescent="0.2">
      <c r="A447" s="64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49"/>
      <c r="P447" s="645" t="s">
        <v>40</v>
      </c>
      <c r="Q447" s="646"/>
      <c r="R447" s="646"/>
      <c r="S447" s="646"/>
      <c r="T447" s="646"/>
      <c r="U447" s="646"/>
      <c r="V447" s="647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0</v>
      </c>
      <c r="Y447" s="43">
        <f>IFERROR(Y439/H439,"0")+IFERROR(Y440/H440,"0")+IFERROR(Y441/H441,"0")+IFERROR(Y442/H442,"0")+IFERROR(Y443/H443,"0")+IFERROR(Y444/H444,"0")+IFERROR(Y445/H445,"0")+IFERROR(Y446/H446,"0")</f>
        <v>0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9"/>
      <c r="P448" s="645" t="s">
        <v>40</v>
      </c>
      <c r="Q448" s="646"/>
      <c r="R448" s="646"/>
      <c r="S448" s="646"/>
      <c r="T448" s="646"/>
      <c r="U448" s="646"/>
      <c r="V448" s="647"/>
      <c r="W448" s="42" t="s">
        <v>0</v>
      </c>
      <c r="X448" s="43">
        <f>IFERROR(SUM(X439:X446),"0")</f>
        <v>0</v>
      </c>
      <c r="Y448" s="43">
        <f>IFERROR(SUM(Y439:Y446),"0")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57" t="s">
        <v>166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6"/>
      <c r="AB449" s="66"/>
      <c r="AC449" s="80"/>
    </row>
    <row r="450" spans="1:68" ht="27" customHeight="1" x14ac:dyDescent="0.25">
      <c r="A450" s="63" t="s">
        <v>737</v>
      </c>
      <c r="B450" s="63" t="s">
        <v>738</v>
      </c>
      <c r="C450" s="36">
        <v>4301020178</v>
      </c>
      <c r="D450" s="658">
        <v>4607091383980</v>
      </c>
      <c r="E450" s="658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60"/>
      <c r="R450" s="660"/>
      <c r="S450" s="660"/>
      <c r="T450" s="661"/>
      <c r="U450" s="39" t="s">
        <v>46</v>
      </c>
      <c r="V450" s="39" t="s">
        <v>46</v>
      </c>
      <c r="W450" s="40" t="s">
        <v>0</v>
      </c>
      <c r="X450" s="58">
        <v>300</v>
      </c>
      <c r="Y450" s="55">
        <f>IFERROR(IF(X450="",0,CEILING((X450/$H450),1)*$H450),"")</f>
        <v>300</v>
      </c>
      <c r="Z450" s="41">
        <f>IFERROR(IF(Y450=0,"",ROUNDUP(Y450/H450,0)*0.02175),"")</f>
        <v>0.43499999999999994</v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309.39999999999998</v>
      </c>
      <c r="BN450" s="78">
        <f>IFERROR(Y450*I450/H450,"0")</f>
        <v>309.39999999999998</v>
      </c>
      <c r="BO450" s="78">
        <f>IFERROR(1/J450*(X450/H450),"0")</f>
        <v>0.41666666666666663</v>
      </c>
      <c r="BP450" s="78">
        <f>IFERROR(1/J450*(Y450/H450),"0")</f>
        <v>0.41666666666666663</v>
      </c>
    </row>
    <row r="451" spans="1:68" ht="27" hidden="1" customHeight="1" x14ac:dyDescent="0.25">
      <c r="A451" s="63" t="s">
        <v>740</v>
      </c>
      <c r="B451" s="63" t="s">
        <v>741</v>
      </c>
      <c r="C451" s="36">
        <v>4301020355</v>
      </c>
      <c r="D451" s="658">
        <v>4680115888425</v>
      </c>
      <c r="E451" s="658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60"/>
      <c r="R451" s="660"/>
      <c r="S451" s="660"/>
      <c r="T451" s="661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743</v>
      </c>
      <c r="B452" s="63" t="s">
        <v>744</v>
      </c>
      <c r="C452" s="36">
        <v>4301020179</v>
      </c>
      <c r="D452" s="658">
        <v>4607091384178</v>
      </c>
      <c r="E452" s="658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60"/>
      <c r="R452" s="660"/>
      <c r="S452" s="660"/>
      <c r="T452" s="661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4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49"/>
      <c r="P453" s="645" t="s">
        <v>40</v>
      </c>
      <c r="Q453" s="646"/>
      <c r="R453" s="646"/>
      <c r="S453" s="646"/>
      <c r="T453" s="646"/>
      <c r="U453" s="646"/>
      <c r="V453" s="647"/>
      <c r="W453" s="42" t="s">
        <v>39</v>
      </c>
      <c r="X453" s="43">
        <f>IFERROR(X450/H450,"0")+IFERROR(X451/H451,"0")+IFERROR(X452/H452,"0")</f>
        <v>20</v>
      </c>
      <c r="Y453" s="43">
        <f>IFERROR(Y450/H450,"0")+IFERROR(Y451/H451,"0")+IFERROR(Y452/H452,"0")</f>
        <v>20</v>
      </c>
      <c r="Z453" s="43">
        <f>IFERROR(IF(Z450="",0,Z450),"0")+IFERROR(IF(Z451="",0,Z451),"0")+IFERROR(IF(Z452="",0,Z452),"0")</f>
        <v>0.43499999999999994</v>
      </c>
      <c r="AA453" s="67"/>
      <c r="AB453" s="67"/>
      <c r="AC453" s="67"/>
    </row>
    <row r="454" spans="1:68" x14ac:dyDescent="0.2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9"/>
      <c r="P454" s="645" t="s">
        <v>40</v>
      </c>
      <c r="Q454" s="646"/>
      <c r="R454" s="646"/>
      <c r="S454" s="646"/>
      <c r="T454" s="646"/>
      <c r="U454" s="646"/>
      <c r="V454" s="647"/>
      <c r="W454" s="42" t="s">
        <v>0</v>
      </c>
      <c r="X454" s="43">
        <f>IFERROR(SUM(X450:X452),"0")</f>
        <v>300</v>
      </c>
      <c r="Y454" s="43">
        <f>IFERROR(SUM(Y450:Y452),"0")</f>
        <v>300</v>
      </c>
      <c r="Z454" s="42"/>
      <c r="AA454" s="67"/>
      <c r="AB454" s="67"/>
      <c r="AC454" s="67"/>
    </row>
    <row r="455" spans="1:68" ht="14.25" hidden="1" customHeight="1" x14ac:dyDescent="0.25">
      <c r="A455" s="657" t="s">
        <v>83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6"/>
      <c r="AB455" s="66"/>
      <c r="AC455" s="80"/>
    </row>
    <row r="456" spans="1:68" ht="27" hidden="1" customHeight="1" x14ac:dyDescent="0.25">
      <c r="A456" s="63" t="s">
        <v>746</v>
      </c>
      <c r="B456" s="63" t="s">
        <v>747</v>
      </c>
      <c r="C456" s="36">
        <v>4301051903</v>
      </c>
      <c r="D456" s="658">
        <v>4607091383928</v>
      </c>
      <c r="E456" s="658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60"/>
      <c r="R456" s="660"/>
      <c r="S456" s="660"/>
      <c r="T456" s="661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658">
        <v>4607091384260</v>
      </c>
      <c r="E457" s="658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60"/>
      <c r="R457" s="660"/>
      <c r="S457" s="660"/>
      <c r="T457" s="661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658">
        <v>4680115889538</v>
      </c>
      <c r="E458" s="658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60"/>
      <c r="R458" s="660"/>
      <c r="S458" s="660"/>
      <c r="T458" s="661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64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9"/>
      <c r="P459" s="645" t="s">
        <v>40</v>
      </c>
      <c r="Q459" s="646"/>
      <c r="R459" s="646"/>
      <c r="S459" s="646"/>
      <c r="T459" s="646"/>
      <c r="U459" s="646"/>
      <c r="V459" s="647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49"/>
      <c r="P460" s="645" t="s">
        <v>40</v>
      </c>
      <c r="Q460" s="646"/>
      <c r="R460" s="646"/>
      <c r="S460" s="646"/>
      <c r="T460" s="646"/>
      <c r="U460" s="646"/>
      <c r="V460" s="647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657" t="s">
        <v>184</v>
      </c>
      <c r="B461" s="657"/>
      <c r="C461" s="657"/>
      <c r="D461" s="657"/>
      <c r="E461" s="657"/>
      <c r="F461" s="657"/>
      <c r="G461" s="657"/>
      <c r="H461" s="657"/>
      <c r="I461" s="657"/>
      <c r="J461" s="657"/>
      <c r="K461" s="657"/>
      <c r="L461" s="657"/>
      <c r="M461" s="657"/>
      <c r="N461" s="657"/>
      <c r="O461" s="657"/>
      <c r="P461" s="657"/>
      <c r="Q461" s="657"/>
      <c r="R461" s="657"/>
      <c r="S461" s="657"/>
      <c r="T461" s="657"/>
      <c r="U461" s="657"/>
      <c r="V461" s="657"/>
      <c r="W461" s="657"/>
      <c r="X461" s="657"/>
      <c r="Y461" s="657"/>
      <c r="Z461" s="657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658">
        <v>4680115889545</v>
      </c>
      <c r="E462" s="658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70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60"/>
      <c r="R462" s="660"/>
      <c r="S462" s="660"/>
      <c r="T462" s="661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658">
        <v>4607091384673</v>
      </c>
      <c r="E463" s="658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7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60"/>
      <c r="R463" s="660"/>
      <c r="S463" s="660"/>
      <c r="T463" s="661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9"/>
      <c r="P464" s="645" t="s">
        <v>40</v>
      </c>
      <c r="Q464" s="646"/>
      <c r="R464" s="646"/>
      <c r="S464" s="646"/>
      <c r="T464" s="646"/>
      <c r="U464" s="646"/>
      <c r="V464" s="647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49"/>
      <c r="P465" s="645" t="s">
        <v>40</v>
      </c>
      <c r="Q465" s="646"/>
      <c r="R465" s="646"/>
      <c r="S465" s="646"/>
      <c r="T465" s="646"/>
      <c r="U465" s="646"/>
      <c r="V465" s="647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664" t="s">
        <v>761</v>
      </c>
      <c r="B466" s="664"/>
      <c r="C466" s="664"/>
      <c r="D466" s="664"/>
      <c r="E466" s="664"/>
      <c r="F466" s="664"/>
      <c r="G466" s="664"/>
      <c r="H466" s="664"/>
      <c r="I466" s="664"/>
      <c r="J466" s="664"/>
      <c r="K466" s="664"/>
      <c r="L466" s="664"/>
      <c r="M466" s="664"/>
      <c r="N466" s="664"/>
      <c r="O466" s="664"/>
      <c r="P466" s="664"/>
      <c r="Q466" s="664"/>
      <c r="R466" s="664"/>
      <c r="S466" s="664"/>
      <c r="T466" s="664"/>
      <c r="U466" s="664"/>
      <c r="V466" s="664"/>
      <c r="W466" s="664"/>
      <c r="X466" s="664"/>
      <c r="Y466" s="664"/>
      <c r="Z466" s="664"/>
      <c r="AA466" s="65"/>
      <c r="AB466" s="65"/>
      <c r="AC466" s="79"/>
    </row>
    <row r="467" spans="1:68" ht="14.25" hidden="1" customHeight="1" x14ac:dyDescent="0.25">
      <c r="A467" s="657" t="s">
        <v>130</v>
      </c>
      <c r="B467" s="657"/>
      <c r="C467" s="657"/>
      <c r="D467" s="657"/>
      <c r="E467" s="657"/>
      <c r="F467" s="657"/>
      <c r="G467" s="657"/>
      <c r="H467" s="657"/>
      <c r="I467" s="657"/>
      <c r="J467" s="657"/>
      <c r="K467" s="657"/>
      <c r="L467" s="657"/>
      <c r="M467" s="657"/>
      <c r="N467" s="657"/>
      <c r="O467" s="657"/>
      <c r="P467" s="657"/>
      <c r="Q467" s="657"/>
      <c r="R467" s="657"/>
      <c r="S467" s="657"/>
      <c r="T467" s="657"/>
      <c r="U467" s="657"/>
      <c r="V467" s="657"/>
      <c r="W467" s="657"/>
      <c r="X467" s="657"/>
      <c r="Y467" s="657"/>
      <c r="Z467" s="657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658">
        <v>4680115884885</v>
      </c>
      <c r="E468" s="658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60"/>
      <c r="R468" s="660"/>
      <c r="S468" s="660"/>
      <c r="T468" s="661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658">
        <v>4680115884908</v>
      </c>
      <c r="E469" s="658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7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60"/>
      <c r="R469" s="660"/>
      <c r="S469" s="660"/>
      <c r="T469" s="661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4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49"/>
      <c r="P470" s="645" t="s">
        <v>40</v>
      </c>
      <c r="Q470" s="646"/>
      <c r="R470" s="646"/>
      <c r="S470" s="646"/>
      <c r="T470" s="646"/>
      <c r="U470" s="646"/>
      <c r="V470" s="64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45" t="s">
        <v>40</v>
      </c>
      <c r="Q471" s="646"/>
      <c r="R471" s="646"/>
      <c r="S471" s="646"/>
      <c r="T471" s="646"/>
      <c r="U471" s="646"/>
      <c r="V471" s="64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57" t="s">
        <v>77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658">
        <v>4607091384802</v>
      </c>
      <c r="E473" s="658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704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60"/>
      <c r="R473" s="660"/>
      <c r="S473" s="660"/>
      <c r="T473" s="661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4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9"/>
      <c r="P474" s="645" t="s">
        <v>40</v>
      </c>
      <c r="Q474" s="646"/>
      <c r="R474" s="646"/>
      <c r="S474" s="646"/>
      <c r="T474" s="646"/>
      <c r="U474" s="646"/>
      <c r="V474" s="647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49"/>
      <c r="P475" s="645" t="s">
        <v>40</v>
      </c>
      <c r="Q475" s="646"/>
      <c r="R475" s="646"/>
      <c r="S475" s="646"/>
      <c r="T475" s="646"/>
      <c r="U475" s="646"/>
      <c r="V475" s="647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657" t="s">
        <v>83</v>
      </c>
      <c r="B476" s="657"/>
      <c r="C476" s="657"/>
      <c r="D476" s="657"/>
      <c r="E476" s="657"/>
      <c r="F476" s="657"/>
      <c r="G476" s="657"/>
      <c r="H476" s="657"/>
      <c r="I476" s="657"/>
      <c r="J476" s="657"/>
      <c r="K476" s="657"/>
      <c r="L476" s="657"/>
      <c r="M476" s="657"/>
      <c r="N476" s="657"/>
      <c r="O476" s="657"/>
      <c r="P476" s="657"/>
      <c r="Q476" s="657"/>
      <c r="R476" s="657"/>
      <c r="S476" s="657"/>
      <c r="T476" s="657"/>
      <c r="U476" s="657"/>
      <c r="V476" s="657"/>
      <c r="W476" s="657"/>
      <c r="X476" s="657"/>
      <c r="Y476" s="657"/>
      <c r="Z476" s="657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658">
        <v>4607091384246</v>
      </c>
      <c r="E477" s="658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60"/>
      <c r="R477" s="660"/>
      <c r="S477" s="660"/>
      <c r="T477" s="661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658">
        <v>4607091384253</v>
      </c>
      <c r="E478" s="658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60"/>
      <c r="R478" s="660"/>
      <c r="S478" s="660"/>
      <c r="T478" s="661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658">
        <v>4607091384253</v>
      </c>
      <c r="E479" s="658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6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60"/>
      <c r="R479" s="660"/>
      <c r="S479" s="660"/>
      <c r="T479" s="661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9"/>
      <c r="P480" s="645" t="s">
        <v>40</v>
      </c>
      <c r="Q480" s="646"/>
      <c r="R480" s="646"/>
      <c r="S480" s="646"/>
      <c r="T480" s="646"/>
      <c r="U480" s="646"/>
      <c r="V480" s="647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9"/>
      <c r="P481" s="645" t="s">
        <v>40</v>
      </c>
      <c r="Q481" s="646"/>
      <c r="R481" s="646"/>
      <c r="S481" s="646"/>
      <c r="T481" s="646"/>
      <c r="U481" s="646"/>
      <c r="V481" s="647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675" t="s">
        <v>777</v>
      </c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75"/>
      <c r="P482" s="675"/>
      <c r="Q482" s="675"/>
      <c r="R482" s="675"/>
      <c r="S482" s="675"/>
      <c r="T482" s="675"/>
      <c r="U482" s="675"/>
      <c r="V482" s="675"/>
      <c r="W482" s="675"/>
      <c r="X482" s="675"/>
      <c r="Y482" s="675"/>
      <c r="Z482" s="675"/>
      <c r="AA482" s="54"/>
      <c r="AB482" s="54"/>
      <c r="AC482" s="54"/>
    </row>
    <row r="483" spans="1:68" ht="16.5" hidden="1" customHeight="1" x14ac:dyDescent="0.25">
      <c r="A483" s="664" t="s">
        <v>778</v>
      </c>
      <c r="B483" s="664"/>
      <c r="C483" s="664"/>
      <c r="D483" s="664"/>
      <c r="E483" s="664"/>
      <c r="F483" s="664"/>
      <c r="G483" s="664"/>
      <c r="H483" s="664"/>
      <c r="I483" s="664"/>
      <c r="J483" s="664"/>
      <c r="K483" s="664"/>
      <c r="L483" s="664"/>
      <c r="M483" s="664"/>
      <c r="N483" s="664"/>
      <c r="O483" s="664"/>
      <c r="P483" s="664"/>
      <c r="Q483" s="664"/>
      <c r="R483" s="664"/>
      <c r="S483" s="664"/>
      <c r="T483" s="664"/>
      <c r="U483" s="664"/>
      <c r="V483" s="664"/>
      <c r="W483" s="664"/>
      <c r="X483" s="664"/>
      <c r="Y483" s="664"/>
      <c r="Z483" s="664"/>
      <c r="AA483" s="65"/>
      <c r="AB483" s="65"/>
      <c r="AC483" s="79"/>
    </row>
    <row r="484" spans="1:68" ht="14.25" hidden="1" customHeight="1" x14ac:dyDescent="0.25">
      <c r="A484" s="657" t="s">
        <v>77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6"/>
      <c r="AB484" s="66"/>
      <c r="AC484" s="80"/>
    </row>
    <row r="485" spans="1:68" ht="27" hidden="1" customHeight="1" x14ac:dyDescent="0.25">
      <c r="A485" s="63" t="s">
        <v>779</v>
      </c>
      <c r="B485" s="63" t="s">
        <v>780</v>
      </c>
      <c r="C485" s="36">
        <v>4301031405</v>
      </c>
      <c r="D485" s="658">
        <v>4680115886100</v>
      </c>
      <c r="E485" s="658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60"/>
      <c r="R485" s="660"/>
      <c r="S485" s="660"/>
      <c r="T485" s="66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782</v>
      </c>
      <c r="B486" s="63" t="s">
        <v>783</v>
      </c>
      <c r="C486" s="36">
        <v>4301031402</v>
      </c>
      <c r="D486" s="658">
        <v>4680115886124</v>
      </c>
      <c r="E486" s="658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60"/>
      <c r="R486" s="660"/>
      <c r="S486" s="660"/>
      <c r="T486" s="66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658">
        <v>4607091384338</v>
      </c>
      <c r="E487" s="658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60"/>
      <c r="R487" s="660"/>
      <c r="S487" s="660"/>
      <c r="T487" s="661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658">
        <v>4680115883161</v>
      </c>
      <c r="E488" s="658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60"/>
      <c r="R488" s="660"/>
      <c r="S488" s="660"/>
      <c r="T488" s="661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4301031358</v>
      </c>
      <c r="D489" s="658">
        <v>4607091389531</v>
      </c>
      <c r="E489" s="658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60"/>
      <c r="R489" s="660"/>
      <c r="S489" s="660"/>
      <c r="T489" s="661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793</v>
      </c>
      <c r="B490" s="63" t="s">
        <v>794</v>
      </c>
      <c r="C490" s="36">
        <v>4301031360</v>
      </c>
      <c r="D490" s="658">
        <v>4607091384345</v>
      </c>
      <c r="E490" s="658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60"/>
      <c r="R490" s="660"/>
      <c r="S490" s="660"/>
      <c r="T490" s="661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64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49"/>
      <c r="P491" s="645" t="s">
        <v>40</v>
      </c>
      <c r="Q491" s="646"/>
      <c r="R491" s="646"/>
      <c r="S491" s="646"/>
      <c r="T491" s="646"/>
      <c r="U491" s="646"/>
      <c r="V491" s="647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45" t="s">
        <v>40</v>
      </c>
      <c r="Q492" s="646"/>
      <c r="R492" s="646"/>
      <c r="S492" s="646"/>
      <c r="T492" s="646"/>
      <c r="U492" s="646"/>
      <c r="V492" s="647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57" t="s">
        <v>83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658">
        <v>4607091384352</v>
      </c>
      <c r="E494" s="658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60"/>
      <c r="R494" s="660"/>
      <c r="S494" s="660"/>
      <c r="T494" s="661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4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9"/>
      <c r="P495" s="645" t="s">
        <v>40</v>
      </c>
      <c r="Q495" s="646"/>
      <c r="R495" s="646"/>
      <c r="S495" s="646"/>
      <c r="T495" s="646"/>
      <c r="U495" s="646"/>
      <c r="V495" s="647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49"/>
      <c r="P496" s="645" t="s">
        <v>40</v>
      </c>
      <c r="Q496" s="646"/>
      <c r="R496" s="646"/>
      <c r="S496" s="646"/>
      <c r="T496" s="646"/>
      <c r="U496" s="646"/>
      <c r="V496" s="647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664" t="s">
        <v>798</v>
      </c>
      <c r="B497" s="664"/>
      <c r="C497" s="664"/>
      <c r="D497" s="664"/>
      <c r="E497" s="664"/>
      <c r="F497" s="664"/>
      <c r="G497" s="664"/>
      <c r="H497" s="664"/>
      <c r="I497" s="664"/>
      <c r="J497" s="664"/>
      <c r="K497" s="664"/>
      <c r="L497" s="664"/>
      <c r="M497" s="664"/>
      <c r="N497" s="664"/>
      <c r="O497" s="664"/>
      <c r="P497" s="664"/>
      <c r="Q497" s="664"/>
      <c r="R497" s="664"/>
      <c r="S497" s="664"/>
      <c r="T497" s="664"/>
      <c r="U497" s="664"/>
      <c r="V497" s="664"/>
      <c r="W497" s="664"/>
      <c r="X497" s="664"/>
      <c r="Y497" s="664"/>
      <c r="Z497" s="664"/>
      <c r="AA497" s="65"/>
      <c r="AB497" s="65"/>
      <c r="AC497" s="79"/>
    </row>
    <row r="498" spans="1:68" ht="14.25" hidden="1" customHeight="1" x14ac:dyDescent="0.25">
      <c r="A498" s="657" t="s">
        <v>166</v>
      </c>
      <c r="B498" s="657"/>
      <c r="C498" s="657"/>
      <c r="D498" s="657"/>
      <c r="E498" s="657"/>
      <c r="F498" s="657"/>
      <c r="G498" s="657"/>
      <c r="H498" s="657"/>
      <c r="I498" s="657"/>
      <c r="J498" s="657"/>
      <c r="K498" s="657"/>
      <c r="L498" s="657"/>
      <c r="M498" s="657"/>
      <c r="N498" s="657"/>
      <c r="O498" s="657"/>
      <c r="P498" s="657"/>
      <c r="Q498" s="657"/>
      <c r="R498" s="657"/>
      <c r="S498" s="657"/>
      <c r="T498" s="657"/>
      <c r="U498" s="657"/>
      <c r="V498" s="657"/>
      <c r="W498" s="657"/>
      <c r="X498" s="657"/>
      <c r="Y498" s="657"/>
      <c r="Z498" s="657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658">
        <v>4680115885240</v>
      </c>
      <c r="E499" s="658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60"/>
      <c r="R499" s="660"/>
      <c r="S499" s="660"/>
      <c r="T499" s="661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4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49"/>
      <c r="P500" s="645" t="s">
        <v>40</v>
      </c>
      <c r="Q500" s="646"/>
      <c r="R500" s="646"/>
      <c r="S500" s="646"/>
      <c r="T500" s="646"/>
      <c r="U500" s="646"/>
      <c r="V500" s="647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9"/>
      <c r="P501" s="645" t="s">
        <v>40</v>
      </c>
      <c r="Q501" s="646"/>
      <c r="R501" s="646"/>
      <c r="S501" s="646"/>
      <c r="T501" s="646"/>
      <c r="U501" s="646"/>
      <c r="V501" s="647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657" t="s">
        <v>77</v>
      </c>
      <c r="B502" s="657"/>
      <c r="C502" s="657"/>
      <c r="D502" s="657"/>
      <c r="E502" s="657"/>
      <c r="F502" s="657"/>
      <c r="G502" s="657"/>
      <c r="H502" s="657"/>
      <c r="I502" s="657"/>
      <c r="J502" s="657"/>
      <c r="K502" s="657"/>
      <c r="L502" s="657"/>
      <c r="M502" s="657"/>
      <c r="N502" s="657"/>
      <c r="O502" s="657"/>
      <c r="P502" s="657"/>
      <c r="Q502" s="657"/>
      <c r="R502" s="657"/>
      <c r="S502" s="657"/>
      <c r="T502" s="657"/>
      <c r="U502" s="657"/>
      <c r="V502" s="657"/>
      <c r="W502" s="657"/>
      <c r="X502" s="657"/>
      <c r="Y502" s="657"/>
      <c r="Z502" s="657"/>
      <c r="AA502" s="66"/>
      <c r="AB502" s="66"/>
      <c r="AC502" s="80"/>
    </row>
    <row r="503" spans="1:68" ht="27" hidden="1" customHeight="1" x14ac:dyDescent="0.25">
      <c r="A503" s="63" t="s">
        <v>802</v>
      </c>
      <c r="B503" s="63" t="s">
        <v>803</v>
      </c>
      <c r="C503" s="36">
        <v>4301031407</v>
      </c>
      <c r="D503" s="658">
        <v>4680115886094</v>
      </c>
      <c r="E503" s="658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68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60"/>
      <c r="R503" s="660"/>
      <c r="S503" s="660"/>
      <c r="T503" s="661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658">
        <v>4680115880771</v>
      </c>
      <c r="E504" s="658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60"/>
      <c r="R504" s="660"/>
      <c r="S504" s="660"/>
      <c r="T504" s="661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658">
        <v>4607091389500</v>
      </c>
      <c r="E505" s="658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60"/>
      <c r="R505" s="660"/>
      <c r="S505" s="660"/>
      <c r="T505" s="661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64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9"/>
      <c r="P506" s="645" t="s">
        <v>40</v>
      </c>
      <c r="Q506" s="646"/>
      <c r="R506" s="646"/>
      <c r="S506" s="646"/>
      <c r="T506" s="646"/>
      <c r="U506" s="646"/>
      <c r="V506" s="647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9"/>
      <c r="P507" s="645" t="s">
        <v>40</v>
      </c>
      <c r="Q507" s="646"/>
      <c r="R507" s="646"/>
      <c r="S507" s="646"/>
      <c r="T507" s="646"/>
      <c r="U507" s="646"/>
      <c r="V507" s="647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675" t="s">
        <v>810</v>
      </c>
      <c r="B508" s="675"/>
      <c r="C508" s="675"/>
      <c r="D508" s="675"/>
      <c r="E508" s="675"/>
      <c r="F508" s="675"/>
      <c r="G508" s="675"/>
      <c r="H508" s="675"/>
      <c r="I508" s="675"/>
      <c r="J508" s="675"/>
      <c r="K508" s="675"/>
      <c r="L508" s="675"/>
      <c r="M508" s="675"/>
      <c r="N508" s="675"/>
      <c r="O508" s="675"/>
      <c r="P508" s="675"/>
      <c r="Q508" s="675"/>
      <c r="R508" s="675"/>
      <c r="S508" s="675"/>
      <c r="T508" s="675"/>
      <c r="U508" s="675"/>
      <c r="V508" s="675"/>
      <c r="W508" s="675"/>
      <c r="X508" s="675"/>
      <c r="Y508" s="675"/>
      <c r="Z508" s="675"/>
      <c r="AA508" s="54"/>
      <c r="AB508" s="54"/>
      <c r="AC508" s="54"/>
    </row>
    <row r="509" spans="1:68" ht="16.5" hidden="1" customHeight="1" x14ac:dyDescent="0.25">
      <c r="A509" s="664" t="s">
        <v>810</v>
      </c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4"/>
      <c r="P509" s="664"/>
      <c r="Q509" s="664"/>
      <c r="R509" s="664"/>
      <c r="S509" s="664"/>
      <c r="T509" s="664"/>
      <c r="U509" s="664"/>
      <c r="V509" s="664"/>
      <c r="W509" s="664"/>
      <c r="X509" s="664"/>
      <c r="Y509" s="664"/>
      <c r="Z509" s="664"/>
      <c r="AA509" s="65"/>
      <c r="AB509" s="65"/>
      <c r="AC509" s="79"/>
    </row>
    <row r="510" spans="1:68" ht="14.25" hidden="1" customHeight="1" x14ac:dyDescent="0.25">
      <c r="A510" s="657" t="s">
        <v>130</v>
      </c>
      <c r="B510" s="657"/>
      <c r="C510" s="657"/>
      <c r="D510" s="657"/>
      <c r="E510" s="657"/>
      <c r="F510" s="657"/>
      <c r="G510" s="657"/>
      <c r="H510" s="657"/>
      <c r="I510" s="657"/>
      <c r="J510" s="657"/>
      <c r="K510" s="657"/>
      <c r="L510" s="657"/>
      <c r="M510" s="657"/>
      <c r="N510" s="657"/>
      <c r="O510" s="657"/>
      <c r="P510" s="657"/>
      <c r="Q510" s="657"/>
      <c r="R510" s="657"/>
      <c r="S510" s="657"/>
      <c r="T510" s="657"/>
      <c r="U510" s="657"/>
      <c r="V510" s="657"/>
      <c r="W510" s="657"/>
      <c r="X510" s="657"/>
      <c r="Y510" s="657"/>
      <c r="Z510" s="657"/>
      <c r="AA510" s="66"/>
      <c r="AB510" s="66"/>
      <c r="AC510" s="80"/>
    </row>
    <row r="511" spans="1:68" ht="27" hidden="1" customHeight="1" x14ac:dyDescent="0.25">
      <c r="A511" s="63" t="s">
        <v>811</v>
      </c>
      <c r="B511" s="63" t="s">
        <v>812</v>
      </c>
      <c r="C511" s="36">
        <v>4301011769</v>
      </c>
      <c r="D511" s="658">
        <v>4607091389067</v>
      </c>
      <c r="E511" s="658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60"/>
      <c r="R511" s="660"/>
      <c r="S511" s="660"/>
      <c r="T511" s="661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658">
        <v>4680115889576</v>
      </c>
      <c r="E512" s="658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60"/>
      <c r="R512" s="660"/>
      <c r="S512" s="660"/>
      <c r="T512" s="661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658">
        <v>4680115885271</v>
      </c>
      <c r="E513" s="658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60"/>
      <c r="R513" s="660"/>
      <c r="S513" s="660"/>
      <c r="T513" s="661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819</v>
      </c>
      <c r="B514" s="63" t="s">
        <v>820</v>
      </c>
      <c r="C514" s="36">
        <v>4301011369</v>
      </c>
      <c r="D514" s="658">
        <v>4680115885226</v>
      </c>
      <c r="E514" s="658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60"/>
      <c r="R514" s="660"/>
      <c r="S514" s="660"/>
      <c r="T514" s="661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822</v>
      </c>
      <c r="B515" s="63" t="s">
        <v>823</v>
      </c>
      <c r="C515" s="36">
        <v>4301011771</v>
      </c>
      <c r="D515" s="658">
        <v>4607091389104</v>
      </c>
      <c r="E515" s="658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6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60"/>
      <c r="R515" s="660"/>
      <c r="S515" s="660"/>
      <c r="T515" s="661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658">
        <v>4680115886391</v>
      </c>
      <c r="E516" s="658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68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60"/>
      <c r="R516" s="660"/>
      <c r="S516" s="660"/>
      <c r="T516" s="661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827</v>
      </c>
      <c r="B517" s="63" t="s">
        <v>828</v>
      </c>
      <c r="C517" s="36">
        <v>4301012048</v>
      </c>
      <c r="D517" s="658">
        <v>4680115880603</v>
      </c>
      <c r="E517" s="658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6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60"/>
      <c r="R517" s="660"/>
      <c r="S517" s="660"/>
      <c r="T517" s="661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829</v>
      </c>
      <c r="B518" s="63" t="s">
        <v>830</v>
      </c>
      <c r="C518" s="36">
        <v>4301012034</v>
      </c>
      <c r="D518" s="658">
        <v>4607091389982</v>
      </c>
      <c r="E518" s="658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60"/>
      <c r="R518" s="660"/>
      <c r="S518" s="660"/>
      <c r="T518" s="661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hidden="1" x14ac:dyDescent="0.2">
      <c r="A519" s="64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49"/>
      <c r="P519" s="645" t="s">
        <v>40</v>
      </c>
      <c r="Q519" s="646"/>
      <c r="R519" s="646"/>
      <c r="S519" s="646"/>
      <c r="T519" s="646"/>
      <c r="U519" s="646"/>
      <c r="V519" s="647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49"/>
      <c r="P520" s="645" t="s">
        <v>40</v>
      </c>
      <c r="Q520" s="646"/>
      <c r="R520" s="646"/>
      <c r="S520" s="646"/>
      <c r="T520" s="646"/>
      <c r="U520" s="646"/>
      <c r="V520" s="647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657" t="s">
        <v>166</v>
      </c>
      <c r="B521" s="657"/>
      <c r="C521" s="657"/>
      <c r="D521" s="657"/>
      <c r="E521" s="657"/>
      <c r="F521" s="657"/>
      <c r="G521" s="657"/>
      <c r="H521" s="657"/>
      <c r="I521" s="657"/>
      <c r="J521" s="657"/>
      <c r="K521" s="657"/>
      <c r="L521" s="657"/>
      <c r="M521" s="657"/>
      <c r="N521" s="657"/>
      <c r="O521" s="657"/>
      <c r="P521" s="657"/>
      <c r="Q521" s="657"/>
      <c r="R521" s="657"/>
      <c r="S521" s="657"/>
      <c r="T521" s="657"/>
      <c r="U521" s="657"/>
      <c r="V521" s="657"/>
      <c r="W521" s="657"/>
      <c r="X521" s="657"/>
      <c r="Y521" s="657"/>
      <c r="Z521" s="657"/>
      <c r="AA521" s="66"/>
      <c r="AB521" s="66"/>
      <c r="AC521" s="80"/>
    </row>
    <row r="522" spans="1:68" ht="16.5" hidden="1" customHeight="1" x14ac:dyDescent="0.25">
      <c r="A522" s="63" t="s">
        <v>831</v>
      </c>
      <c r="B522" s="63" t="s">
        <v>832</v>
      </c>
      <c r="C522" s="36">
        <v>4301020334</v>
      </c>
      <c r="D522" s="658">
        <v>4607091388930</v>
      </c>
      <c r="E522" s="658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60"/>
      <c r="R522" s="660"/>
      <c r="S522" s="660"/>
      <c r="T522" s="661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658">
        <v>4680115886407</v>
      </c>
      <c r="E523" s="658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60"/>
      <c r="R523" s="660"/>
      <c r="S523" s="660"/>
      <c r="T523" s="661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836</v>
      </c>
      <c r="B524" s="63" t="s">
        <v>837</v>
      </c>
      <c r="C524" s="36">
        <v>4301020385</v>
      </c>
      <c r="D524" s="658">
        <v>4680115880054</v>
      </c>
      <c r="E524" s="658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60"/>
      <c r="R524" s="660"/>
      <c r="S524" s="660"/>
      <c r="T524" s="661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64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49"/>
      <c r="P525" s="645" t="s">
        <v>40</v>
      </c>
      <c r="Q525" s="646"/>
      <c r="R525" s="646"/>
      <c r="S525" s="646"/>
      <c r="T525" s="646"/>
      <c r="U525" s="646"/>
      <c r="V525" s="647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49"/>
      <c r="P526" s="645" t="s">
        <v>40</v>
      </c>
      <c r="Q526" s="646"/>
      <c r="R526" s="646"/>
      <c r="S526" s="646"/>
      <c r="T526" s="646"/>
      <c r="U526" s="646"/>
      <c r="V526" s="647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657" t="s">
        <v>77</v>
      </c>
      <c r="B527" s="657"/>
      <c r="C527" s="657"/>
      <c r="D527" s="657"/>
      <c r="E527" s="657"/>
      <c r="F527" s="657"/>
      <c r="G527" s="657"/>
      <c r="H527" s="657"/>
      <c r="I527" s="657"/>
      <c r="J527" s="657"/>
      <c r="K527" s="657"/>
      <c r="L527" s="657"/>
      <c r="M527" s="657"/>
      <c r="N527" s="657"/>
      <c r="O527" s="657"/>
      <c r="P527" s="657"/>
      <c r="Q527" s="657"/>
      <c r="R527" s="657"/>
      <c r="S527" s="657"/>
      <c r="T527" s="657"/>
      <c r="U527" s="657"/>
      <c r="V527" s="657"/>
      <c r="W527" s="657"/>
      <c r="X527" s="657"/>
      <c r="Y527" s="657"/>
      <c r="Z527" s="657"/>
      <c r="AA527" s="66"/>
      <c r="AB527" s="66"/>
      <c r="AC527" s="80"/>
    </row>
    <row r="528" spans="1:68" ht="27" hidden="1" customHeight="1" x14ac:dyDescent="0.25">
      <c r="A528" s="63" t="s">
        <v>838</v>
      </c>
      <c r="B528" s="63" t="s">
        <v>839</v>
      </c>
      <c r="C528" s="36">
        <v>4301031349</v>
      </c>
      <c r="D528" s="658">
        <v>4680115883116</v>
      </c>
      <c r="E528" s="658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60"/>
      <c r="R528" s="660"/>
      <c r="S528" s="660"/>
      <c r="T528" s="661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hidden="1" customHeight="1" x14ac:dyDescent="0.25">
      <c r="A529" s="63" t="s">
        <v>841</v>
      </c>
      <c r="B529" s="63" t="s">
        <v>842</v>
      </c>
      <c r="C529" s="36">
        <v>4301031350</v>
      </c>
      <c r="D529" s="658">
        <v>4680115883093</v>
      </c>
      <c r="E529" s="658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60"/>
      <c r="R529" s="660"/>
      <c r="S529" s="660"/>
      <c r="T529" s="661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844</v>
      </c>
      <c r="B530" s="63" t="s">
        <v>845</v>
      </c>
      <c r="C530" s="36">
        <v>4301031353</v>
      </c>
      <c r="D530" s="658">
        <v>4680115883109</v>
      </c>
      <c r="E530" s="658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60"/>
      <c r="R530" s="660"/>
      <c r="S530" s="660"/>
      <c r="T530" s="661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847</v>
      </c>
      <c r="B531" s="63" t="s">
        <v>848</v>
      </c>
      <c r="C531" s="36">
        <v>4301031419</v>
      </c>
      <c r="D531" s="658">
        <v>4680115882072</v>
      </c>
      <c r="E531" s="658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60"/>
      <c r="R531" s="660"/>
      <c r="S531" s="660"/>
      <c r="T531" s="661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658">
        <v>4680115882102</v>
      </c>
      <c r="E532" s="658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60"/>
      <c r="R532" s="660"/>
      <c r="S532" s="660"/>
      <c r="T532" s="661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658">
        <v>4680115882102</v>
      </c>
      <c r="E533" s="658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7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60"/>
      <c r="R533" s="660"/>
      <c r="S533" s="660"/>
      <c r="T533" s="661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852</v>
      </c>
      <c r="B534" s="63" t="s">
        <v>853</v>
      </c>
      <c r="C534" s="36">
        <v>4301031417</v>
      </c>
      <c r="D534" s="658">
        <v>4680115882096</v>
      </c>
      <c r="E534" s="658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67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60"/>
      <c r="R534" s="660"/>
      <c r="S534" s="660"/>
      <c r="T534" s="661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hidden="1" x14ac:dyDescent="0.2">
      <c r="A535" s="64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9"/>
      <c r="P535" s="645" t="s">
        <v>40</v>
      </c>
      <c r="Q535" s="646"/>
      <c r="R535" s="646"/>
      <c r="S535" s="646"/>
      <c r="T535" s="646"/>
      <c r="U535" s="646"/>
      <c r="V535" s="647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hidden="1" x14ac:dyDescent="0.2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9"/>
      <c r="P536" s="645" t="s">
        <v>40</v>
      </c>
      <c r="Q536" s="646"/>
      <c r="R536" s="646"/>
      <c r="S536" s="646"/>
      <c r="T536" s="646"/>
      <c r="U536" s="646"/>
      <c r="V536" s="647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hidden="1" customHeight="1" x14ac:dyDescent="0.2">
      <c r="A537" s="675" t="s">
        <v>854</v>
      </c>
      <c r="B537" s="675"/>
      <c r="C537" s="675"/>
      <c r="D537" s="675"/>
      <c r="E537" s="675"/>
      <c r="F537" s="675"/>
      <c r="G537" s="675"/>
      <c r="H537" s="675"/>
      <c r="I537" s="675"/>
      <c r="J537" s="675"/>
      <c r="K537" s="675"/>
      <c r="L537" s="675"/>
      <c r="M537" s="675"/>
      <c r="N537" s="675"/>
      <c r="O537" s="675"/>
      <c r="P537" s="675"/>
      <c r="Q537" s="675"/>
      <c r="R537" s="675"/>
      <c r="S537" s="675"/>
      <c r="T537" s="675"/>
      <c r="U537" s="675"/>
      <c r="V537" s="675"/>
      <c r="W537" s="675"/>
      <c r="X537" s="675"/>
      <c r="Y537" s="675"/>
      <c r="Z537" s="675"/>
      <c r="AA537" s="54"/>
      <c r="AB537" s="54"/>
      <c r="AC537" s="54"/>
    </row>
    <row r="538" spans="1:68" ht="16.5" hidden="1" customHeight="1" x14ac:dyDescent="0.25">
      <c r="A538" s="664" t="s">
        <v>854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5"/>
      <c r="AB538" s="65"/>
      <c r="AC538" s="79"/>
    </row>
    <row r="539" spans="1:68" ht="14.25" hidden="1" customHeight="1" x14ac:dyDescent="0.25">
      <c r="A539" s="657" t="s">
        <v>130</v>
      </c>
      <c r="B539" s="657"/>
      <c r="C539" s="657"/>
      <c r="D539" s="657"/>
      <c r="E539" s="657"/>
      <c r="F539" s="657"/>
      <c r="G539" s="657"/>
      <c r="H539" s="657"/>
      <c r="I539" s="657"/>
      <c r="J539" s="657"/>
      <c r="K539" s="657"/>
      <c r="L539" s="657"/>
      <c r="M539" s="657"/>
      <c r="N539" s="657"/>
      <c r="O539" s="657"/>
      <c r="P539" s="657"/>
      <c r="Q539" s="657"/>
      <c r="R539" s="657"/>
      <c r="S539" s="657"/>
      <c r="T539" s="657"/>
      <c r="U539" s="657"/>
      <c r="V539" s="657"/>
      <c r="W539" s="657"/>
      <c r="X539" s="657"/>
      <c r="Y539" s="657"/>
      <c r="Z539" s="657"/>
      <c r="AA539" s="66"/>
      <c r="AB539" s="66"/>
      <c r="AC539" s="80"/>
    </row>
    <row r="540" spans="1:68" ht="27" hidden="1" customHeight="1" x14ac:dyDescent="0.25">
      <c r="A540" s="63" t="s">
        <v>855</v>
      </c>
      <c r="B540" s="63" t="s">
        <v>856</v>
      </c>
      <c r="C540" s="36">
        <v>4301012386</v>
      </c>
      <c r="D540" s="658">
        <v>4680115889736</v>
      </c>
      <c r="E540" s="658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66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60"/>
      <c r="R540" s="660"/>
      <c r="S540" s="660"/>
      <c r="T540" s="661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49"/>
      <c r="P541" s="645" t="s">
        <v>40</v>
      </c>
      <c r="Q541" s="646"/>
      <c r="R541" s="646"/>
      <c r="S541" s="646"/>
      <c r="T541" s="646"/>
      <c r="U541" s="646"/>
      <c r="V541" s="647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45" t="s">
        <v>40</v>
      </c>
      <c r="Q542" s="646"/>
      <c r="R542" s="646"/>
      <c r="S542" s="646"/>
      <c r="T542" s="646"/>
      <c r="U542" s="646"/>
      <c r="V542" s="647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7" t="s">
        <v>166</v>
      </c>
      <c r="B543" s="657"/>
      <c r="C543" s="657"/>
      <c r="D543" s="657"/>
      <c r="E543" s="657"/>
      <c r="F543" s="657"/>
      <c r="G543" s="657"/>
      <c r="H543" s="657"/>
      <c r="I543" s="657"/>
      <c r="J543" s="657"/>
      <c r="K543" s="657"/>
      <c r="L543" s="657"/>
      <c r="M543" s="657"/>
      <c r="N543" s="657"/>
      <c r="O543" s="657"/>
      <c r="P543" s="657"/>
      <c r="Q543" s="657"/>
      <c r="R543" s="657"/>
      <c r="S543" s="657"/>
      <c r="T543" s="657"/>
      <c r="U543" s="657"/>
      <c r="V543" s="657"/>
      <c r="W543" s="657"/>
      <c r="X543" s="657"/>
      <c r="Y543" s="657"/>
      <c r="Z543" s="657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658">
        <v>4680115889781</v>
      </c>
      <c r="E544" s="658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66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60"/>
      <c r="R544" s="660"/>
      <c r="S544" s="660"/>
      <c r="T544" s="661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4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9"/>
      <c r="P545" s="645" t="s">
        <v>40</v>
      </c>
      <c r="Q545" s="646"/>
      <c r="R545" s="646"/>
      <c r="S545" s="646"/>
      <c r="T545" s="646"/>
      <c r="U545" s="646"/>
      <c r="V545" s="647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45" t="s">
        <v>40</v>
      </c>
      <c r="Q546" s="646"/>
      <c r="R546" s="646"/>
      <c r="S546" s="646"/>
      <c r="T546" s="646"/>
      <c r="U546" s="646"/>
      <c r="V546" s="647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57" t="s">
        <v>77</v>
      </c>
      <c r="B547" s="657"/>
      <c r="C547" s="657"/>
      <c r="D547" s="657"/>
      <c r="E547" s="657"/>
      <c r="F547" s="657"/>
      <c r="G547" s="657"/>
      <c r="H547" s="657"/>
      <c r="I547" s="657"/>
      <c r="J547" s="657"/>
      <c r="K547" s="657"/>
      <c r="L547" s="657"/>
      <c r="M547" s="657"/>
      <c r="N547" s="657"/>
      <c r="O547" s="657"/>
      <c r="P547" s="657"/>
      <c r="Q547" s="657"/>
      <c r="R547" s="657"/>
      <c r="S547" s="657"/>
      <c r="T547" s="657"/>
      <c r="U547" s="657"/>
      <c r="V547" s="657"/>
      <c r="W547" s="657"/>
      <c r="X547" s="657"/>
      <c r="Y547" s="657"/>
      <c r="Z547" s="657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658">
        <v>4680115889774</v>
      </c>
      <c r="E548" s="658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66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60"/>
      <c r="R548" s="660"/>
      <c r="S548" s="660"/>
      <c r="T548" s="661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49"/>
      <c r="P549" s="645" t="s">
        <v>40</v>
      </c>
      <c r="Q549" s="646"/>
      <c r="R549" s="646"/>
      <c r="S549" s="646"/>
      <c r="T549" s="646"/>
      <c r="U549" s="646"/>
      <c r="V549" s="647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45" t="s">
        <v>40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57" t="s">
        <v>83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6"/>
      <c r="AB551" s="66"/>
      <c r="AC551" s="80"/>
    </row>
    <row r="552" spans="1:68" ht="27" hidden="1" customHeight="1" x14ac:dyDescent="0.25">
      <c r="A552" s="63" t="s">
        <v>863</v>
      </c>
      <c r="B552" s="63" t="s">
        <v>864</v>
      </c>
      <c r="C552" s="36">
        <v>4301052282</v>
      </c>
      <c r="D552" s="658">
        <v>4680115889811</v>
      </c>
      <c r="E552" s="658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65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60"/>
      <c r="R552" s="660"/>
      <c r="S552" s="660"/>
      <c r="T552" s="661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4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49"/>
      <c r="P553" s="645" t="s">
        <v>40</v>
      </c>
      <c r="Q553" s="646"/>
      <c r="R553" s="646"/>
      <c r="S553" s="646"/>
      <c r="T553" s="646"/>
      <c r="U553" s="646"/>
      <c r="V553" s="647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49"/>
      <c r="P554" s="645" t="s">
        <v>40</v>
      </c>
      <c r="Q554" s="646"/>
      <c r="R554" s="646"/>
      <c r="S554" s="646"/>
      <c r="T554" s="646"/>
      <c r="U554" s="646"/>
      <c r="V554" s="647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657" t="s">
        <v>184</v>
      </c>
      <c r="B555" s="657"/>
      <c r="C555" s="657"/>
      <c r="D555" s="657"/>
      <c r="E555" s="657"/>
      <c r="F555" s="657"/>
      <c r="G555" s="657"/>
      <c r="H555" s="657"/>
      <c r="I555" s="657"/>
      <c r="J555" s="657"/>
      <c r="K555" s="657"/>
      <c r="L555" s="657"/>
      <c r="M555" s="657"/>
      <c r="N555" s="657"/>
      <c r="O555" s="657"/>
      <c r="P555" s="657"/>
      <c r="Q555" s="657"/>
      <c r="R555" s="657"/>
      <c r="S555" s="657"/>
      <c r="T555" s="657"/>
      <c r="U555" s="657"/>
      <c r="V555" s="657"/>
      <c r="W555" s="657"/>
      <c r="X555" s="657"/>
      <c r="Y555" s="657"/>
      <c r="Z555" s="657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658">
        <v>4680115889804</v>
      </c>
      <c r="E556" s="658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60"/>
      <c r="R556" s="660"/>
      <c r="S556" s="660"/>
      <c r="T556" s="661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658">
        <v>4680115889828</v>
      </c>
      <c r="E557" s="658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66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60"/>
      <c r="R557" s="660"/>
      <c r="S557" s="660"/>
      <c r="T557" s="661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4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9"/>
      <c r="P558" s="645" t="s">
        <v>40</v>
      </c>
      <c r="Q558" s="646"/>
      <c r="R558" s="646"/>
      <c r="S558" s="646"/>
      <c r="T558" s="646"/>
      <c r="U558" s="646"/>
      <c r="V558" s="647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49"/>
      <c r="P559" s="645" t="s">
        <v>40</v>
      </c>
      <c r="Q559" s="646"/>
      <c r="R559" s="646"/>
      <c r="S559" s="646"/>
      <c r="T559" s="646"/>
      <c r="U559" s="646"/>
      <c r="V559" s="647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664" t="s">
        <v>872</v>
      </c>
      <c r="B560" s="664"/>
      <c r="C560" s="664"/>
      <c r="D560" s="664"/>
      <c r="E560" s="664"/>
      <c r="F560" s="664"/>
      <c r="G560" s="664"/>
      <c r="H560" s="664"/>
      <c r="I560" s="664"/>
      <c r="J560" s="664"/>
      <c r="K560" s="664"/>
      <c r="L560" s="664"/>
      <c r="M560" s="664"/>
      <c r="N560" s="664"/>
      <c r="O560" s="664"/>
      <c r="P560" s="664"/>
      <c r="Q560" s="664"/>
      <c r="R560" s="664"/>
      <c r="S560" s="664"/>
      <c r="T560" s="664"/>
      <c r="U560" s="664"/>
      <c r="V560" s="664"/>
      <c r="W560" s="664"/>
      <c r="X560" s="664"/>
      <c r="Y560" s="664"/>
      <c r="Z560" s="664"/>
      <c r="AA560" s="65"/>
      <c r="AB560" s="65"/>
      <c r="AC560" s="79"/>
    </row>
    <row r="561" spans="1:68" ht="14.25" hidden="1" customHeight="1" x14ac:dyDescent="0.25">
      <c r="A561" s="657" t="s">
        <v>166</v>
      </c>
      <c r="B561" s="657"/>
      <c r="C561" s="657"/>
      <c r="D561" s="657"/>
      <c r="E561" s="657"/>
      <c r="F561" s="657"/>
      <c r="G561" s="657"/>
      <c r="H561" s="657"/>
      <c r="I561" s="657"/>
      <c r="J561" s="657"/>
      <c r="K561" s="657"/>
      <c r="L561" s="657"/>
      <c r="M561" s="657"/>
      <c r="N561" s="657"/>
      <c r="O561" s="657"/>
      <c r="P561" s="657"/>
      <c r="Q561" s="657"/>
      <c r="R561" s="657"/>
      <c r="S561" s="657"/>
      <c r="T561" s="657"/>
      <c r="U561" s="657"/>
      <c r="V561" s="657"/>
      <c r="W561" s="657"/>
      <c r="X561" s="657"/>
      <c r="Y561" s="657"/>
      <c r="Z561" s="657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658">
        <v>4680115889798</v>
      </c>
      <c r="E562" s="658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66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60"/>
      <c r="R562" s="660"/>
      <c r="S562" s="660"/>
      <c r="T562" s="661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49"/>
      <c r="P563" s="645" t="s">
        <v>40</v>
      </c>
      <c r="Q563" s="646"/>
      <c r="R563" s="646"/>
      <c r="S563" s="646"/>
      <c r="T563" s="646"/>
      <c r="U563" s="646"/>
      <c r="V563" s="647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49"/>
      <c r="P564" s="645" t="s">
        <v>40</v>
      </c>
      <c r="Q564" s="646"/>
      <c r="R564" s="646"/>
      <c r="S564" s="646"/>
      <c r="T564" s="646"/>
      <c r="U564" s="646"/>
      <c r="V564" s="647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653"/>
      <c r="P565" s="650" t="s">
        <v>33</v>
      </c>
      <c r="Q565" s="651"/>
      <c r="R565" s="651"/>
      <c r="S565" s="651"/>
      <c r="T565" s="651"/>
      <c r="U565" s="651"/>
      <c r="V565" s="652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300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300</v>
      </c>
      <c r="Z565" s="42"/>
      <c r="AA565" s="67"/>
      <c r="AB565" s="67"/>
      <c r="AC565" s="67"/>
    </row>
    <row r="566" spans="1:68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653"/>
      <c r="P566" s="650" t="s">
        <v>34</v>
      </c>
      <c r="Q566" s="651"/>
      <c r="R566" s="651"/>
      <c r="S566" s="651"/>
      <c r="T566" s="651"/>
      <c r="U566" s="651"/>
      <c r="V566" s="652"/>
      <c r="W566" s="42" t="s">
        <v>0</v>
      </c>
      <c r="X566" s="43">
        <f>IFERROR(SUM(BM22:BM562),"0")</f>
        <v>309.39999999999998</v>
      </c>
      <c r="Y566" s="43">
        <f>IFERROR(SUM(BN22:BN562),"0")</f>
        <v>309.39999999999998</v>
      </c>
      <c r="Z566" s="42"/>
      <c r="AA566" s="67"/>
      <c r="AB566" s="67"/>
      <c r="AC566" s="67"/>
    </row>
    <row r="567" spans="1:68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653"/>
      <c r="P567" s="650" t="s">
        <v>35</v>
      </c>
      <c r="Q567" s="651"/>
      <c r="R567" s="651"/>
      <c r="S567" s="651"/>
      <c r="T567" s="651"/>
      <c r="U567" s="651"/>
      <c r="V567" s="652"/>
      <c r="W567" s="42" t="s">
        <v>20</v>
      </c>
      <c r="X567" s="44">
        <f>ROUNDUP(SUM(BO22:BO562),0)</f>
        <v>1</v>
      </c>
      <c r="Y567" s="44">
        <f>ROUNDUP(SUM(BP22:BP562),0)</f>
        <v>1</v>
      </c>
      <c r="Z567" s="42"/>
      <c r="AA567" s="67"/>
      <c r="AB567" s="67"/>
      <c r="AC567" s="67"/>
    </row>
    <row r="568" spans="1:68" x14ac:dyDescent="0.2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653"/>
      <c r="P568" s="650" t="s">
        <v>36</v>
      </c>
      <c r="Q568" s="651"/>
      <c r="R568" s="651"/>
      <c r="S568" s="651"/>
      <c r="T568" s="651"/>
      <c r="U568" s="651"/>
      <c r="V568" s="652"/>
      <c r="W568" s="42" t="s">
        <v>0</v>
      </c>
      <c r="X568" s="43">
        <f>GrossWeightTotal+PalletQtyTotal*25</f>
        <v>334.4</v>
      </c>
      <c r="Y568" s="43">
        <f>GrossWeightTotalR+PalletQtyTotalR*25</f>
        <v>334.4</v>
      </c>
      <c r="Z568" s="42"/>
      <c r="AA568" s="67"/>
      <c r="AB568" s="67"/>
      <c r="AC568" s="67"/>
    </row>
    <row r="569" spans="1:68" x14ac:dyDescent="0.2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653"/>
      <c r="P569" s="650" t="s">
        <v>37</v>
      </c>
      <c r="Q569" s="651"/>
      <c r="R569" s="651"/>
      <c r="S569" s="651"/>
      <c r="T569" s="651"/>
      <c r="U569" s="651"/>
      <c r="V569" s="652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20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20</v>
      </c>
      <c r="Z569" s="42"/>
      <c r="AA569" s="67"/>
      <c r="AB569" s="67"/>
      <c r="AC569" s="67"/>
    </row>
    <row r="570" spans="1:68" ht="14.25" hidden="1" x14ac:dyDescent="0.2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653"/>
      <c r="P570" s="650" t="s">
        <v>38</v>
      </c>
      <c r="Q570" s="651"/>
      <c r="R570" s="651"/>
      <c r="S570" s="651"/>
      <c r="T570" s="651"/>
      <c r="U570" s="651"/>
      <c r="V570" s="652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0.43499999999999994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644" t="s">
        <v>128</v>
      </c>
      <c r="E572" s="644" t="s">
        <v>128</v>
      </c>
      <c r="F572" s="644" t="s">
        <v>128</v>
      </c>
      <c r="G572" s="644" t="s">
        <v>128</v>
      </c>
      <c r="H572" s="644" t="s">
        <v>128</v>
      </c>
      <c r="I572" s="644" t="s">
        <v>128</v>
      </c>
      <c r="J572" s="644" t="s">
        <v>128</v>
      </c>
      <c r="K572" s="644" t="s">
        <v>348</v>
      </c>
      <c r="L572" s="644" t="s">
        <v>348</v>
      </c>
      <c r="M572" s="644" t="s">
        <v>348</v>
      </c>
      <c r="N572" s="654"/>
      <c r="O572" s="644" t="s">
        <v>348</v>
      </c>
      <c r="P572" s="644" t="s">
        <v>348</v>
      </c>
      <c r="Q572" s="644" t="s">
        <v>348</v>
      </c>
      <c r="R572" s="644" t="s">
        <v>348</v>
      </c>
      <c r="S572" s="644" t="s">
        <v>348</v>
      </c>
      <c r="T572" s="644" t="s">
        <v>348</v>
      </c>
      <c r="U572" s="644" t="s">
        <v>348</v>
      </c>
      <c r="V572" s="644" t="s">
        <v>348</v>
      </c>
      <c r="W572" s="644" t="s">
        <v>348</v>
      </c>
      <c r="X572" s="644" t="s">
        <v>711</v>
      </c>
      <c r="Y572" s="644" t="s">
        <v>711</v>
      </c>
      <c r="Z572" s="644" t="s">
        <v>777</v>
      </c>
      <c r="AA572" s="644" t="s">
        <v>777</v>
      </c>
      <c r="AB572" s="85" t="s">
        <v>810</v>
      </c>
      <c r="AC572" s="644" t="s">
        <v>854</v>
      </c>
      <c r="AD572" s="644" t="s">
        <v>854</v>
      </c>
      <c r="AF572" s="1"/>
    </row>
    <row r="573" spans="1:68" ht="14.25" customHeight="1" thickTop="1" x14ac:dyDescent="0.2">
      <c r="A573" s="655" t="s">
        <v>10</v>
      </c>
      <c r="B573" s="644" t="s">
        <v>76</v>
      </c>
      <c r="C573" s="644" t="s">
        <v>112</v>
      </c>
      <c r="D573" s="644" t="s">
        <v>129</v>
      </c>
      <c r="E573" s="644" t="s">
        <v>145</v>
      </c>
      <c r="F573" s="644" t="s">
        <v>192</v>
      </c>
      <c r="G573" s="644" t="s">
        <v>216</v>
      </c>
      <c r="H573" s="644" t="s">
        <v>259</v>
      </c>
      <c r="I573" s="644" t="s">
        <v>272</v>
      </c>
      <c r="J573" s="644" t="s">
        <v>128</v>
      </c>
      <c r="K573" s="644" t="s">
        <v>349</v>
      </c>
      <c r="L573" s="644" t="s">
        <v>370</v>
      </c>
      <c r="M573" s="644" t="s">
        <v>433</v>
      </c>
      <c r="N573" s="1"/>
      <c r="O573" s="644" t="s">
        <v>502</v>
      </c>
      <c r="P573" s="644" t="s">
        <v>537</v>
      </c>
      <c r="Q573" s="644" t="s">
        <v>559</v>
      </c>
      <c r="R573" s="644" t="s">
        <v>568</v>
      </c>
      <c r="S573" s="644" t="s">
        <v>590</v>
      </c>
      <c r="T573" s="644" t="s">
        <v>597</v>
      </c>
      <c r="U573" s="644" t="s">
        <v>606</v>
      </c>
      <c r="V573" s="644" t="s">
        <v>692</v>
      </c>
      <c r="W573" s="644" t="s">
        <v>701</v>
      </c>
      <c r="X573" s="644" t="s">
        <v>712</v>
      </c>
      <c r="Y573" s="644" t="s">
        <v>761</v>
      </c>
      <c r="Z573" s="644" t="s">
        <v>778</v>
      </c>
      <c r="AA573" s="644" t="s">
        <v>798</v>
      </c>
      <c r="AB573" s="644" t="s">
        <v>810</v>
      </c>
      <c r="AC573" s="644" t="s">
        <v>854</v>
      </c>
      <c r="AD573" s="644" t="s">
        <v>872</v>
      </c>
      <c r="AF573" s="1"/>
    </row>
    <row r="574" spans="1:68" ht="13.5" thickBot="1" x14ac:dyDescent="0.25">
      <c r="A574" s="656"/>
      <c r="B574" s="644"/>
      <c r="C574" s="644"/>
      <c r="D574" s="644"/>
      <c r="E574" s="644"/>
      <c r="F574" s="644"/>
      <c r="G574" s="644"/>
      <c r="H574" s="644"/>
      <c r="I574" s="644"/>
      <c r="J574" s="644"/>
      <c r="K574" s="644"/>
      <c r="L574" s="644"/>
      <c r="M574" s="644"/>
      <c r="N574" s="1"/>
      <c r="O574" s="644"/>
      <c r="P574" s="644"/>
      <c r="Q574" s="644"/>
      <c r="R574" s="644"/>
      <c r="S574" s="644"/>
      <c r="T574" s="644"/>
      <c r="U574" s="644"/>
      <c r="V574" s="644"/>
      <c r="W574" s="644"/>
      <c r="X574" s="644"/>
      <c r="Y574" s="644"/>
      <c r="Z574" s="644"/>
      <c r="AA574" s="644"/>
      <c r="AB574" s="644"/>
      <c r="AC574" s="644"/>
      <c r="AD574" s="644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300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0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0,00"/>
        <filter val="300,00"/>
        <filter val="309,40"/>
        <filter val="334,40"/>
      </filters>
    </filterColumn>
    <filterColumn colId="29" showButton="0"/>
    <filterColumn colId="30" showButton="0"/>
  </autoFilter>
  <dataConsolidate/>
  <mergeCells count="10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8" spans="2:8" x14ac:dyDescent="0.2">
      <c r="B8" s="53" t="s">
        <v>885</v>
      </c>
      <c r="C8" s="53" t="s">
        <v>886</v>
      </c>
      <c r="D8" s="53" t="s">
        <v>887</v>
      </c>
      <c r="E8" s="53" t="s">
        <v>46</v>
      </c>
    </row>
    <row r="9" spans="2:8" x14ac:dyDescent="0.2">
      <c r="B9" s="53" t="s">
        <v>888</v>
      </c>
      <c r="C9" s="53" t="s">
        <v>889</v>
      </c>
      <c r="D9" s="53" t="s">
        <v>890</v>
      </c>
      <c r="E9" s="53" t="s">
        <v>46</v>
      </c>
    </row>
    <row r="10" spans="2:8" x14ac:dyDescent="0.2">
      <c r="B10" s="53" t="s">
        <v>891</v>
      </c>
      <c r="C10" s="53" t="s">
        <v>892</v>
      </c>
      <c r="D10" s="53" t="s">
        <v>893</v>
      </c>
      <c r="E10" s="53" t="s">
        <v>46</v>
      </c>
    </row>
    <row r="11" spans="2:8" x14ac:dyDescent="0.2">
      <c r="B11" s="53" t="s">
        <v>894</v>
      </c>
      <c r="C11" s="53" t="s">
        <v>895</v>
      </c>
      <c r="D11" s="53" t="s">
        <v>896</v>
      </c>
      <c r="E11" s="53" t="s">
        <v>46</v>
      </c>
    </row>
    <row r="13" spans="2:8" x14ac:dyDescent="0.2">
      <c r="B13" s="53" t="s">
        <v>897</v>
      </c>
      <c r="C13" s="53" t="s">
        <v>880</v>
      </c>
      <c r="D13" s="53" t="s">
        <v>46</v>
      </c>
      <c r="E13" s="53" t="s">
        <v>46</v>
      </c>
    </row>
    <row r="15" spans="2:8" x14ac:dyDescent="0.2">
      <c r="B15" s="53" t="s">
        <v>898</v>
      </c>
      <c r="C15" s="53" t="s">
        <v>883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886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889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892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895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904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905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2026-10-26T11:42:40Z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