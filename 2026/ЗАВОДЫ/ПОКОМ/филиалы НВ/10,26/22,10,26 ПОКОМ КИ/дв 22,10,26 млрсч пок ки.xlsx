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10,26\22,10,26 ПОКОМ КИ\"/>
    </mc:Choice>
  </mc:AlternateContent>
  <xr:revisionPtr revIDLastSave="0" documentId="13_ncr:1_{BFAC48FA-0F45-4FEB-9ABC-96441A13049E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Sheet!$A$3:$AM$131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" i="1" l="1"/>
  <c r="V88" i="1" l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6" i="1"/>
  <c r="W7" i="1"/>
  <c r="W8" i="1"/>
  <c r="AM8" i="1" s="1"/>
  <c r="W9" i="1"/>
  <c r="W10" i="1"/>
  <c r="AM10" i="1" s="1"/>
  <c r="W11" i="1"/>
  <c r="W12" i="1"/>
  <c r="AM12" i="1" s="1"/>
  <c r="W13" i="1"/>
  <c r="W14" i="1"/>
  <c r="AM14" i="1" s="1"/>
  <c r="W15" i="1"/>
  <c r="W16" i="1"/>
  <c r="AM16" i="1" s="1"/>
  <c r="W17" i="1"/>
  <c r="W18" i="1"/>
  <c r="AM18" i="1" s="1"/>
  <c r="W19" i="1"/>
  <c r="W20" i="1"/>
  <c r="AM20" i="1" s="1"/>
  <c r="W21" i="1"/>
  <c r="W22" i="1"/>
  <c r="AM22" i="1" s="1"/>
  <c r="W23" i="1"/>
  <c r="W24" i="1"/>
  <c r="AM24" i="1" s="1"/>
  <c r="W25" i="1"/>
  <c r="W26" i="1"/>
  <c r="AM26" i="1" s="1"/>
  <c r="W27" i="1"/>
  <c r="W28" i="1"/>
  <c r="AM28" i="1" s="1"/>
  <c r="W29" i="1"/>
  <c r="W30" i="1"/>
  <c r="AM30" i="1" s="1"/>
  <c r="W31" i="1"/>
  <c r="W32" i="1"/>
  <c r="AM32" i="1" s="1"/>
  <c r="W33" i="1"/>
  <c r="W34" i="1"/>
  <c r="AM34" i="1" s="1"/>
  <c r="W35" i="1"/>
  <c r="W36" i="1"/>
  <c r="AM36" i="1" s="1"/>
  <c r="W37" i="1"/>
  <c r="W38" i="1"/>
  <c r="AM38" i="1" s="1"/>
  <c r="W39" i="1"/>
  <c r="W40" i="1"/>
  <c r="AM40" i="1" s="1"/>
  <c r="W41" i="1"/>
  <c r="W42" i="1"/>
  <c r="AM42" i="1" s="1"/>
  <c r="W43" i="1"/>
  <c r="W44" i="1"/>
  <c r="AM44" i="1" s="1"/>
  <c r="W45" i="1"/>
  <c r="W46" i="1"/>
  <c r="AM46" i="1" s="1"/>
  <c r="W47" i="1"/>
  <c r="W48" i="1"/>
  <c r="AM48" i="1" s="1"/>
  <c r="W49" i="1"/>
  <c r="W50" i="1"/>
  <c r="AM50" i="1" s="1"/>
  <c r="W51" i="1"/>
  <c r="W52" i="1"/>
  <c r="AM52" i="1" s="1"/>
  <c r="W53" i="1"/>
  <c r="W54" i="1"/>
  <c r="AM54" i="1" s="1"/>
  <c r="W55" i="1"/>
  <c r="W56" i="1"/>
  <c r="AM56" i="1" s="1"/>
  <c r="W57" i="1"/>
  <c r="W58" i="1"/>
  <c r="AM58" i="1" s="1"/>
  <c r="W59" i="1"/>
  <c r="W60" i="1"/>
  <c r="AM60" i="1" s="1"/>
  <c r="W61" i="1"/>
  <c r="W62" i="1"/>
  <c r="AM62" i="1" s="1"/>
  <c r="W63" i="1"/>
  <c r="W64" i="1"/>
  <c r="AM64" i="1" s="1"/>
  <c r="W65" i="1"/>
  <c r="W66" i="1"/>
  <c r="AM66" i="1" s="1"/>
  <c r="W67" i="1"/>
  <c r="W68" i="1"/>
  <c r="AM68" i="1" s="1"/>
  <c r="W69" i="1"/>
  <c r="W70" i="1"/>
  <c r="AM70" i="1" s="1"/>
  <c r="W71" i="1"/>
  <c r="W72" i="1"/>
  <c r="AM72" i="1" s="1"/>
  <c r="W73" i="1"/>
  <c r="W74" i="1"/>
  <c r="AM74" i="1" s="1"/>
  <c r="W75" i="1"/>
  <c r="W76" i="1"/>
  <c r="AM76" i="1" s="1"/>
  <c r="W77" i="1"/>
  <c r="W78" i="1"/>
  <c r="AM78" i="1" s="1"/>
  <c r="W79" i="1"/>
  <c r="W80" i="1"/>
  <c r="AM80" i="1" s="1"/>
  <c r="W81" i="1"/>
  <c r="W82" i="1"/>
  <c r="AM82" i="1" s="1"/>
  <c r="W83" i="1"/>
  <c r="W84" i="1"/>
  <c r="AM84" i="1" s="1"/>
  <c r="W85" i="1"/>
  <c r="W86" i="1"/>
  <c r="AM86" i="1" s="1"/>
  <c r="W87" i="1"/>
  <c r="W88" i="1"/>
  <c r="AM88" i="1" s="1"/>
  <c r="W89" i="1"/>
  <c r="W90" i="1"/>
  <c r="AM90" i="1" s="1"/>
  <c r="W91" i="1"/>
  <c r="W92" i="1"/>
  <c r="AM92" i="1" s="1"/>
  <c r="W93" i="1"/>
  <c r="W94" i="1"/>
  <c r="AM94" i="1" s="1"/>
  <c r="W95" i="1"/>
  <c r="W96" i="1"/>
  <c r="AM96" i="1" s="1"/>
  <c r="W97" i="1"/>
  <c r="W98" i="1"/>
  <c r="AM98" i="1" s="1"/>
  <c r="W99" i="1"/>
  <c r="W100" i="1"/>
  <c r="AM100" i="1" s="1"/>
  <c r="W101" i="1"/>
  <c r="W102" i="1"/>
  <c r="AM102" i="1" s="1"/>
  <c r="W103" i="1"/>
  <c r="W104" i="1"/>
  <c r="AM104" i="1" s="1"/>
  <c r="W105" i="1"/>
  <c r="W106" i="1"/>
  <c r="AM106" i="1" s="1"/>
  <c r="W107" i="1"/>
  <c r="W108" i="1"/>
  <c r="AM108" i="1" s="1"/>
  <c r="W109" i="1"/>
  <c r="W110" i="1"/>
  <c r="AM110" i="1" s="1"/>
  <c r="W111" i="1"/>
  <c r="W112" i="1"/>
  <c r="AM112" i="1" s="1"/>
  <c r="W113" i="1"/>
  <c r="W114" i="1"/>
  <c r="AM114" i="1" s="1"/>
  <c r="W115" i="1"/>
  <c r="W116" i="1"/>
  <c r="AM116" i="1" s="1"/>
  <c r="W117" i="1"/>
  <c r="W118" i="1"/>
  <c r="AM118" i="1" s="1"/>
  <c r="W119" i="1"/>
  <c r="W120" i="1"/>
  <c r="AM120" i="1" s="1"/>
  <c r="W121" i="1"/>
  <c r="W122" i="1"/>
  <c r="AM122" i="1" s="1"/>
  <c r="W123" i="1"/>
  <c r="W124" i="1"/>
  <c r="AM124" i="1" s="1"/>
  <c r="W125" i="1"/>
  <c r="W126" i="1"/>
  <c r="AM126" i="1" s="1"/>
  <c r="W127" i="1"/>
  <c r="W128" i="1"/>
  <c r="AM128" i="1" s="1"/>
  <c r="W129" i="1"/>
  <c r="W130" i="1"/>
  <c r="AM130" i="1" s="1"/>
  <c r="W131" i="1"/>
  <c r="W6" i="1"/>
  <c r="AM7" i="1"/>
  <c r="AM9" i="1"/>
  <c r="AM11" i="1"/>
  <c r="AM13" i="1"/>
  <c r="AM15" i="1"/>
  <c r="AM17" i="1"/>
  <c r="AM19" i="1"/>
  <c r="AM21" i="1"/>
  <c r="AM23" i="1"/>
  <c r="AM25" i="1"/>
  <c r="AM27" i="1"/>
  <c r="AM29" i="1"/>
  <c r="AM31" i="1"/>
  <c r="AM33" i="1"/>
  <c r="AM35" i="1"/>
  <c r="AM37" i="1"/>
  <c r="AM39" i="1"/>
  <c r="AM41" i="1"/>
  <c r="AM43" i="1"/>
  <c r="AM45" i="1"/>
  <c r="AM47" i="1"/>
  <c r="AM49" i="1"/>
  <c r="AM51" i="1"/>
  <c r="AM53" i="1"/>
  <c r="AM55" i="1"/>
  <c r="AM57" i="1"/>
  <c r="AM59" i="1"/>
  <c r="AM61" i="1"/>
  <c r="AM63" i="1"/>
  <c r="AM65" i="1"/>
  <c r="AM67" i="1"/>
  <c r="AM69" i="1"/>
  <c r="AM71" i="1"/>
  <c r="AM73" i="1"/>
  <c r="AM75" i="1"/>
  <c r="AM77" i="1"/>
  <c r="AM79" i="1"/>
  <c r="AM81" i="1"/>
  <c r="AM83" i="1"/>
  <c r="AM85" i="1"/>
  <c r="AM87" i="1"/>
  <c r="AM89" i="1"/>
  <c r="AM91" i="1"/>
  <c r="AM93" i="1"/>
  <c r="AM95" i="1"/>
  <c r="AM97" i="1"/>
  <c r="AM99" i="1"/>
  <c r="AM101" i="1"/>
  <c r="AM103" i="1"/>
  <c r="AM105" i="1"/>
  <c r="AM107" i="1"/>
  <c r="AM109" i="1"/>
  <c r="AM111" i="1"/>
  <c r="AM113" i="1"/>
  <c r="AM115" i="1"/>
  <c r="AM117" i="1"/>
  <c r="AM119" i="1"/>
  <c r="AM121" i="1"/>
  <c r="AM123" i="1"/>
  <c r="AM125" i="1"/>
  <c r="AM127" i="1"/>
  <c r="AM129" i="1"/>
  <c r="AM131" i="1"/>
  <c r="AM6" i="1"/>
  <c r="Y5" i="1"/>
  <c r="AN5" i="1" l="1"/>
  <c r="AN1" i="1" s="1"/>
  <c r="W5" i="1"/>
  <c r="V7" i="1"/>
  <c r="V10" i="1"/>
  <c r="V12" i="1"/>
  <c r="V13" i="1"/>
  <c r="V17" i="1"/>
  <c r="V18" i="1"/>
  <c r="V19" i="1"/>
  <c r="V21" i="1"/>
  <c r="V23" i="1"/>
  <c r="V24" i="1"/>
  <c r="V25" i="1"/>
  <c r="V26" i="1"/>
  <c r="V27" i="1"/>
  <c r="V30" i="1"/>
  <c r="V33" i="1"/>
  <c r="V34" i="1"/>
  <c r="V36" i="1"/>
  <c r="V38" i="1"/>
  <c r="V39" i="1"/>
  <c r="V41" i="1"/>
  <c r="V44" i="1"/>
  <c r="V45" i="1"/>
  <c r="V46" i="1"/>
  <c r="V47" i="1"/>
  <c r="V48" i="1"/>
  <c r="V50" i="1"/>
  <c r="V51" i="1"/>
  <c r="V52" i="1"/>
  <c r="V53" i="1"/>
  <c r="V54" i="1"/>
  <c r="V55" i="1"/>
  <c r="V58" i="1"/>
  <c r="V66" i="1"/>
  <c r="V67" i="1"/>
  <c r="V68" i="1"/>
  <c r="V70" i="1"/>
  <c r="V81" i="1"/>
  <c r="V82" i="1"/>
  <c r="V83" i="1"/>
  <c r="V84" i="1"/>
  <c r="V85" i="1"/>
  <c r="V86" i="1"/>
  <c r="V89" i="1"/>
  <c r="V90" i="1"/>
  <c r="V91" i="1"/>
  <c r="V92" i="1"/>
  <c r="V93" i="1"/>
  <c r="V96" i="1"/>
  <c r="V97" i="1"/>
  <c r="V98" i="1"/>
  <c r="V100" i="1"/>
  <c r="V101" i="1"/>
  <c r="V104" i="1"/>
  <c r="V105" i="1"/>
  <c r="V108" i="1"/>
  <c r="V109" i="1"/>
  <c r="V110" i="1"/>
  <c r="V112" i="1"/>
  <c r="V113" i="1"/>
  <c r="V114" i="1"/>
  <c r="V117" i="1"/>
  <c r="V118" i="1"/>
  <c r="V119" i="1"/>
  <c r="V120" i="1"/>
  <c r="V121" i="1"/>
  <c r="V122" i="1"/>
  <c r="V123" i="1"/>
  <c r="V124" i="1"/>
  <c r="V125" i="1"/>
  <c r="V127" i="1"/>
  <c r="V128" i="1"/>
  <c r="V129" i="1"/>
  <c r="V130" i="1"/>
  <c r="V131" i="1"/>
  <c r="V6" i="1"/>
  <c r="T131" i="1" l="1"/>
  <c r="L131" i="1"/>
  <c r="T130" i="1"/>
  <c r="L130" i="1"/>
  <c r="T129" i="1"/>
  <c r="L129" i="1"/>
  <c r="T128" i="1"/>
  <c r="L128" i="1"/>
  <c r="T127" i="1"/>
  <c r="L127" i="1"/>
  <c r="T126" i="1"/>
  <c r="AA126" i="1" s="1"/>
  <c r="L126" i="1"/>
  <c r="T125" i="1"/>
  <c r="Z125" i="1" s="1"/>
  <c r="L125" i="1"/>
  <c r="T124" i="1"/>
  <c r="L124" i="1"/>
  <c r="T123" i="1"/>
  <c r="L123" i="1"/>
  <c r="T122" i="1"/>
  <c r="L122" i="1"/>
  <c r="T121" i="1"/>
  <c r="L121" i="1"/>
  <c r="T120" i="1"/>
  <c r="L120" i="1"/>
  <c r="T119" i="1"/>
  <c r="Z119" i="1" s="1"/>
  <c r="L119" i="1"/>
  <c r="T118" i="1"/>
  <c r="L118" i="1"/>
  <c r="F118" i="1"/>
  <c r="Z118" i="1" s="1"/>
  <c r="T117" i="1"/>
  <c r="L117" i="1"/>
  <c r="T116" i="1"/>
  <c r="AA116" i="1" s="1"/>
  <c r="L116" i="1"/>
  <c r="T115" i="1"/>
  <c r="AA115" i="1" s="1"/>
  <c r="L115" i="1"/>
  <c r="T114" i="1"/>
  <c r="AA114" i="1" s="1"/>
  <c r="L114" i="1"/>
  <c r="T113" i="1"/>
  <c r="L113" i="1"/>
  <c r="T112" i="1"/>
  <c r="AA112" i="1" s="1"/>
  <c r="L112" i="1"/>
  <c r="T111" i="1"/>
  <c r="L111" i="1"/>
  <c r="T110" i="1"/>
  <c r="L110" i="1"/>
  <c r="T109" i="1"/>
  <c r="Z109" i="1" s="1"/>
  <c r="L109" i="1"/>
  <c r="T108" i="1"/>
  <c r="L108" i="1"/>
  <c r="T107" i="1"/>
  <c r="AA107" i="1" s="1"/>
  <c r="L107" i="1"/>
  <c r="T106" i="1"/>
  <c r="U106" i="1" s="1"/>
  <c r="V106" i="1" s="1"/>
  <c r="L106" i="1"/>
  <c r="T105" i="1"/>
  <c r="L105" i="1"/>
  <c r="T104" i="1"/>
  <c r="Z104" i="1" s="1"/>
  <c r="L104" i="1"/>
  <c r="T103" i="1"/>
  <c r="AA103" i="1" s="1"/>
  <c r="L103" i="1"/>
  <c r="T102" i="1"/>
  <c r="AA102" i="1" s="1"/>
  <c r="L102" i="1"/>
  <c r="T101" i="1"/>
  <c r="L101" i="1"/>
  <c r="T100" i="1"/>
  <c r="Z100" i="1" s="1"/>
  <c r="L100" i="1"/>
  <c r="T99" i="1"/>
  <c r="AA99" i="1" s="1"/>
  <c r="L99" i="1"/>
  <c r="T98" i="1"/>
  <c r="AA98" i="1" s="1"/>
  <c r="L98" i="1"/>
  <c r="T97" i="1"/>
  <c r="Z97" i="1" s="1"/>
  <c r="L97" i="1"/>
  <c r="T96" i="1"/>
  <c r="Z96" i="1" s="1"/>
  <c r="L96" i="1"/>
  <c r="T95" i="1"/>
  <c r="AA95" i="1" s="1"/>
  <c r="L95" i="1"/>
  <c r="T94" i="1"/>
  <c r="AA94" i="1" s="1"/>
  <c r="L94" i="1"/>
  <c r="T93" i="1"/>
  <c r="L93" i="1"/>
  <c r="T92" i="1"/>
  <c r="Z92" i="1" s="1"/>
  <c r="L92" i="1"/>
  <c r="T91" i="1"/>
  <c r="L91" i="1"/>
  <c r="T90" i="1"/>
  <c r="Z90" i="1" s="1"/>
  <c r="L90" i="1"/>
  <c r="T89" i="1"/>
  <c r="Z89" i="1" s="1"/>
  <c r="L89" i="1"/>
  <c r="T88" i="1"/>
  <c r="AA88" i="1" s="1"/>
  <c r="L88" i="1"/>
  <c r="T87" i="1"/>
  <c r="AA87" i="1" s="1"/>
  <c r="L87" i="1"/>
  <c r="T86" i="1"/>
  <c r="AA86" i="1" s="1"/>
  <c r="L86" i="1"/>
  <c r="T85" i="1"/>
  <c r="L85" i="1"/>
  <c r="T84" i="1"/>
  <c r="AA84" i="1" s="1"/>
  <c r="L84" i="1"/>
  <c r="T83" i="1"/>
  <c r="L83" i="1"/>
  <c r="T82" i="1"/>
  <c r="AA82" i="1" s="1"/>
  <c r="L82" i="1"/>
  <c r="T81" i="1"/>
  <c r="Z81" i="1" s="1"/>
  <c r="L81" i="1"/>
  <c r="T80" i="1"/>
  <c r="U80" i="1" s="1"/>
  <c r="V80" i="1" s="1"/>
  <c r="L80" i="1"/>
  <c r="T79" i="1"/>
  <c r="AA79" i="1" s="1"/>
  <c r="L79" i="1"/>
  <c r="T78" i="1"/>
  <c r="AA78" i="1" s="1"/>
  <c r="L78" i="1"/>
  <c r="T77" i="1"/>
  <c r="AA77" i="1" s="1"/>
  <c r="L77" i="1"/>
  <c r="T76" i="1"/>
  <c r="AA76" i="1" s="1"/>
  <c r="L76" i="1"/>
  <c r="T75" i="1"/>
  <c r="AA75" i="1" s="1"/>
  <c r="L75" i="1"/>
  <c r="T74" i="1"/>
  <c r="AA74" i="1" s="1"/>
  <c r="L74" i="1"/>
  <c r="T73" i="1"/>
  <c r="AA73" i="1" s="1"/>
  <c r="L73" i="1"/>
  <c r="T72" i="1"/>
  <c r="AA72" i="1" s="1"/>
  <c r="L72" i="1"/>
  <c r="T71" i="1"/>
  <c r="AA71" i="1" s="1"/>
  <c r="L71" i="1"/>
  <c r="T70" i="1"/>
  <c r="L70" i="1"/>
  <c r="T69" i="1"/>
  <c r="AA69" i="1" s="1"/>
  <c r="L69" i="1"/>
  <c r="T68" i="1"/>
  <c r="Z68" i="1" s="1"/>
  <c r="L68" i="1"/>
  <c r="T67" i="1"/>
  <c r="L67" i="1"/>
  <c r="T66" i="1"/>
  <c r="L66" i="1"/>
  <c r="T65" i="1"/>
  <c r="AA65" i="1" s="1"/>
  <c r="L65" i="1"/>
  <c r="T64" i="1"/>
  <c r="U64" i="1" s="1"/>
  <c r="V64" i="1" s="1"/>
  <c r="L64" i="1"/>
  <c r="T63" i="1"/>
  <c r="AA63" i="1" s="1"/>
  <c r="L63" i="1"/>
  <c r="T62" i="1"/>
  <c r="AA62" i="1" s="1"/>
  <c r="L62" i="1"/>
  <c r="T61" i="1"/>
  <c r="AA61" i="1" s="1"/>
  <c r="L61" i="1"/>
  <c r="T60" i="1"/>
  <c r="U60" i="1" s="1"/>
  <c r="V60" i="1" s="1"/>
  <c r="L60" i="1"/>
  <c r="T59" i="1"/>
  <c r="AA59" i="1" s="1"/>
  <c r="L59" i="1"/>
  <c r="T58" i="1"/>
  <c r="L58" i="1"/>
  <c r="T57" i="1"/>
  <c r="AA57" i="1" s="1"/>
  <c r="L57" i="1"/>
  <c r="T56" i="1"/>
  <c r="U56" i="1" s="1"/>
  <c r="V56" i="1" s="1"/>
  <c r="L56" i="1"/>
  <c r="F55" i="1"/>
  <c r="E55" i="1"/>
  <c r="L55" i="1" s="1"/>
  <c r="T54" i="1"/>
  <c r="L54" i="1"/>
  <c r="T53" i="1"/>
  <c r="L53" i="1"/>
  <c r="T52" i="1"/>
  <c r="L52" i="1"/>
  <c r="T51" i="1"/>
  <c r="L51" i="1"/>
  <c r="T50" i="1"/>
  <c r="L50" i="1"/>
  <c r="T49" i="1"/>
  <c r="U49" i="1" s="1"/>
  <c r="V49" i="1" s="1"/>
  <c r="L49" i="1"/>
  <c r="T48" i="1"/>
  <c r="AA48" i="1" s="1"/>
  <c r="L48" i="1"/>
  <c r="T47" i="1"/>
  <c r="L47" i="1"/>
  <c r="T46" i="1"/>
  <c r="L46" i="1"/>
  <c r="T45" i="1"/>
  <c r="L45" i="1"/>
  <c r="T44" i="1"/>
  <c r="Z44" i="1" s="1"/>
  <c r="L44" i="1"/>
  <c r="T43" i="1"/>
  <c r="U43" i="1" s="1"/>
  <c r="V43" i="1" s="1"/>
  <c r="L43" i="1"/>
  <c r="T42" i="1"/>
  <c r="AA42" i="1" s="1"/>
  <c r="L42" i="1"/>
  <c r="T41" i="1"/>
  <c r="L41" i="1"/>
  <c r="T40" i="1"/>
  <c r="AA40" i="1" s="1"/>
  <c r="L40" i="1"/>
  <c r="T39" i="1"/>
  <c r="L39" i="1"/>
  <c r="T38" i="1"/>
  <c r="L38" i="1"/>
  <c r="T37" i="1"/>
  <c r="AA37" i="1" s="1"/>
  <c r="L37" i="1"/>
  <c r="T36" i="1"/>
  <c r="AA36" i="1" s="1"/>
  <c r="L36" i="1"/>
  <c r="T35" i="1"/>
  <c r="AA35" i="1" s="1"/>
  <c r="L35" i="1"/>
  <c r="T34" i="1"/>
  <c r="Z34" i="1" s="1"/>
  <c r="L34" i="1"/>
  <c r="T33" i="1"/>
  <c r="Z33" i="1" s="1"/>
  <c r="L33" i="1"/>
  <c r="T32" i="1"/>
  <c r="AA32" i="1" s="1"/>
  <c r="L32" i="1"/>
  <c r="T31" i="1"/>
  <c r="L31" i="1"/>
  <c r="T30" i="1"/>
  <c r="L30" i="1"/>
  <c r="T29" i="1"/>
  <c r="AA29" i="1" s="1"/>
  <c r="L29" i="1"/>
  <c r="T28" i="1"/>
  <c r="U28" i="1" s="1"/>
  <c r="V28" i="1" s="1"/>
  <c r="L28" i="1"/>
  <c r="T27" i="1"/>
  <c r="L27" i="1"/>
  <c r="T26" i="1"/>
  <c r="L26" i="1"/>
  <c r="T25" i="1"/>
  <c r="Z25" i="1" s="1"/>
  <c r="L25" i="1"/>
  <c r="T24" i="1"/>
  <c r="L24" i="1"/>
  <c r="T23" i="1"/>
  <c r="Z23" i="1" s="1"/>
  <c r="L23" i="1"/>
  <c r="T22" i="1"/>
  <c r="AA22" i="1" s="1"/>
  <c r="L22" i="1"/>
  <c r="T21" i="1"/>
  <c r="L21" i="1"/>
  <c r="T20" i="1"/>
  <c r="AA20" i="1" s="1"/>
  <c r="L20" i="1"/>
  <c r="T19" i="1"/>
  <c r="Z19" i="1" s="1"/>
  <c r="L19" i="1"/>
  <c r="T18" i="1"/>
  <c r="L18" i="1"/>
  <c r="T17" i="1"/>
  <c r="L17" i="1"/>
  <c r="T16" i="1"/>
  <c r="AA16" i="1" s="1"/>
  <c r="L16" i="1"/>
  <c r="T15" i="1"/>
  <c r="U15" i="1" s="1"/>
  <c r="V15" i="1" s="1"/>
  <c r="L15" i="1"/>
  <c r="T14" i="1"/>
  <c r="AA14" i="1" s="1"/>
  <c r="L14" i="1"/>
  <c r="T13" i="1"/>
  <c r="Z13" i="1" s="1"/>
  <c r="L13" i="1"/>
  <c r="T12" i="1"/>
  <c r="Z12" i="1" s="1"/>
  <c r="L12" i="1"/>
  <c r="T11" i="1"/>
  <c r="AA11" i="1" s="1"/>
  <c r="L11" i="1"/>
  <c r="T10" i="1"/>
  <c r="L10" i="1"/>
  <c r="T9" i="1"/>
  <c r="AA9" i="1" s="1"/>
  <c r="L9" i="1"/>
  <c r="T8" i="1"/>
  <c r="U8" i="1" s="1"/>
  <c r="V8" i="1" s="1"/>
  <c r="L8" i="1"/>
  <c r="T7" i="1"/>
  <c r="L7" i="1"/>
  <c r="T6" i="1"/>
  <c r="L6" i="1"/>
  <c r="AK5" i="1"/>
  <c r="AJ5" i="1"/>
  <c r="AI5" i="1"/>
  <c r="AH5" i="1"/>
  <c r="AG5" i="1"/>
  <c r="AF5" i="1"/>
  <c r="AE5" i="1"/>
  <c r="AD5" i="1"/>
  <c r="AC5" i="1"/>
  <c r="AB5" i="1"/>
  <c r="S5" i="1"/>
  <c r="R5" i="1"/>
  <c r="Q5" i="1"/>
  <c r="P5" i="1"/>
  <c r="O5" i="1"/>
  <c r="N5" i="1"/>
  <c r="M5" i="1"/>
  <c r="K5" i="1"/>
  <c r="AA6" i="1" l="1"/>
  <c r="Z6" i="1"/>
  <c r="AA7" i="1"/>
  <c r="Z7" i="1"/>
  <c r="Z8" i="1"/>
  <c r="AA10" i="1"/>
  <c r="Z10" i="1"/>
  <c r="Z15" i="1"/>
  <c r="AA17" i="1"/>
  <c r="Z17" i="1"/>
  <c r="AA18" i="1"/>
  <c r="Z18" i="1"/>
  <c r="AA21" i="1"/>
  <c r="Z21" i="1"/>
  <c r="AA24" i="1"/>
  <c r="Z24" i="1"/>
  <c r="AA26" i="1"/>
  <c r="Z26" i="1"/>
  <c r="AA27" i="1"/>
  <c r="Z27" i="1"/>
  <c r="Z28" i="1"/>
  <c r="AA30" i="1"/>
  <c r="Z30" i="1"/>
  <c r="AA38" i="1"/>
  <c r="Z38" i="1"/>
  <c r="AA39" i="1"/>
  <c r="Z39" i="1"/>
  <c r="AA41" i="1"/>
  <c r="Z41" i="1"/>
  <c r="Z43" i="1"/>
  <c r="AA45" i="1"/>
  <c r="Z45" i="1"/>
  <c r="AA46" i="1"/>
  <c r="Z46" i="1"/>
  <c r="AA47" i="1"/>
  <c r="Z47" i="1"/>
  <c r="Z49" i="1"/>
  <c r="AA50" i="1"/>
  <c r="Z50" i="1"/>
  <c r="AA51" i="1"/>
  <c r="Z51" i="1"/>
  <c r="AA52" i="1"/>
  <c r="Z52" i="1"/>
  <c r="AA53" i="1"/>
  <c r="Z53" i="1"/>
  <c r="AA54" i="1"/>
  <c r="Z54" i="1"/>
  <c r="Z56" i="1"/>
  <c r="AA58" i="1"/>
  <c r="Z58" i="1"/>
  <c r="Z60" i="1"/>
  <c r="Z64" i="1"/>
  <c r="AA66" i="1"/>
  <c r="Z66" i="1"/>
  <c r="AA67" i="1"/>
  <c r="Z67" i="1"/>
  <c r="AA70" i="1"/>
  <c r="Z70" i="1"/>
  <c r="Z80" i="1"/>
  <c r="AA83" i="1"/>
  <c r="Z83" i="1"/>
  <c r="AA85" i="1"/>
  <c r="Z85" i="1"/>
  <c r="AA91" i="1"/>
  <c r="Z91" i="1"/>
  <c r="AA93" i="1"/>
  <c r="Z93" i="1"/>
  <c r="AA101" i="1"/>
  <c r="Z101" i="1"/>
  <c r="AA105" i="1"/>
  <c r="Z105" i="1"/>
  <c r="Z106" i="1"/>
  <c r="AA108" i="1"/>
  <c r="Z108" i="1"/>
  <c r="AA110" i="1"/>
  <c r="Z110" i="1"/>
  <c r="AA113" i="1"/>
  <c r="Z113" i="1"/>
  <c r="AA117" i="1"/>
  <c r="Z117" i="1"/>
  <c r="Z36" i="1"/>
  <c r="Z48" i="1"/>
  <c r="Z82" i="1"/>
  <c r="Z86" i="1"/>
  <c r="Z98" i="1"/>
  <c r="Z112" i="1"/>
  <c r="AA120" i="1"/>
  <c r="Z120" i="1"/>
  <c r="AA121" i="1"/>
  <c r="Z121" i="1"/>
  <c r="AA122" i="1"/>
  <c r="Z122" i="1"/>
  <c r="AA123" i="1"/>
  <c r="Z123" i="1"/>
  <c r="AA124" i="1"/>
  <c r="Z124" i="1"/>
  <c r="AA127" i="1"/>
  <c r="Z127" i="1"/>
  <c r="AA128" i="1"/>
  <c r="Z128" i="1"/>
  <c r="AA129" i="1"/>
  <c r="Z129" i="1"/>
  <c r="AA130" i="1"/>
  <c r="Z130" i="1"/>
  <c r="AA131" i="1"/>
  <c r="Z131" i="1"/>
  <c r="Z84" i="1"/>
  <c r="Z114" i="1"/>
  <c r="U95" i="1"/>
  <c r="V95" i="1" s="1"/>
  <c r="U40" i="1"/>
  <c r="V40" i="1" s="1"/>
  <c r="U57" i="1"/>
  <c r="V57" i="1" s="1"/>
  <c r="U103" i="1"/>
  <c r="V103" i="1" s="1"/>
  <c r="U65" i="1"/>
  <c r="V65" i="1" s="1"/>
  <c r="U69" i="1"/>
  <c r="V69" i="1" s="1"/>
  <c r="U59" i="1"/>
  <c r="V59" i="1" s="1"/>
  <c r="U75" i="1"/>
  <c r="V75" i="1" s="1"/>
  <c r="AA44" i="1"/>
  <c r="AA80" i="1"/>
  <c r="U35" i="1"/>
  <c r="V35" i="1" s="1"/>
  <c r="U37" i="1"/>
  <c r="V37" i="1" s="1"/>
  <c r="U62" i="1"/>
  <c r="V62" i="1" s="1"/>
  <c r="U76" i="1"/>
  <c r="V76" i="1" s="1"/>
  <c r="AA97" i="1"/>
  <c r="U77" i="1"/>
  <c r="V77" i="1" s="1"/>
  <c r="U99" i="1"/>
  <c r="V99" i="1" s="1"/>
  <c r="U42" i="1"/>
  <c r="V42" i="1" s="1"/>
  <c r="U78" i="1"/>
  <c r="V78" i="1" s="1"/>
  <c r="U79" i="1"/>
  <c r="V79" i="1" s="1"/>
  <c r="U87" i="1"/>
  <c r="V87" i="1" s="1"/>
  <c r="U88" i="1"/>
  <c r="U9" i="1"/>
  <c r="V9" i="1" s="1"/>
  <c r="U11" i="1"/>
  <c r="V11" i="1" s="1"/>
  <c r="U94" i="1"/>
  <c r="V94" i="1" s="1"/>
  <c r="U61" i="1"/>
  <c r="V61" i="1" s="1"/>
  <c r="U14" i="1"/>
  <c r="V14" i="1" s="1"/>
  <c r="AA12" i="1"/>
  <c r="U63" i="1"/>
  <c r="V63" i="1" s="1"/>
  <c r="U102" i="1"/>
  <c r="V102" i="1" s="1"/>
  <c r="U16" i="1"/>
  <c r="V16" i="1" s="1"/>
  <c r="U20" i="1"/>
  <c r="V20" i="1" s="1"/>
  <c r="U22" i="1"/>
  <c r="V22" i="1" s="1"/>
  <c r="U107" i="1"/>
  <c r="V107" i="1" s="1"/>
  <c r="U71" i="1"/>
  <c r="V71" i="1" s="1"/>
  <c r="U111" i="1"/>
  <c r="V111" i="1" s="1"/>
  <c r="U29" i="1"/>
  <c r="V29" i="1" s="1"/>
  <c r="U72" i="1"/>
  <c r="V72" i="1" s="1"/>
  <c r="U115" i="1"/>
  <c r="V115" i="1" s="1"/>
  <c r="U31" i="1"/>
  <c r="V31" i="1" s="1"/>
  <c r="U73" i="1"/>
  <c r="V73" i="1" s="1"/>
  <c r="U116" i="1"/>
  <c r="V116" i="1" s="1"/>
  <c r="U32" i="1"/>
  <c r="V32" i="1" s="1"/>
  <c r="U74" i="1"/>
  <c r="V74" i="1" s="1"/>
  <c r="U126" i="1"/>
  <c r="V126" i="1" s="1"/>
  <c r="AA56" i="1"/>
  <c r="AA104" i="1"/>
  <c r="AA60" i="1"/>
  <c r="AA28" i="1"/>
  <c r="AA34" i="1"/>
  <c r="AA8" i="1"/>
  <c r="AA89" i="1"/>
  <c r="AA118" i="1"/>
  <c r="AA106" i="1"/>
  <c r="AA68" i="1"/>
  <c r="AA64" i="1"/>
  <c r="L5" i="1"/>
  <c r="E5" i="1"/>
  <c r="AA49" i="1"/>
  <c r="AA81" i="1"/>
  <c r="F5" i="1"/>
  <c r="AA13" i="1"/>
  <c r="AA25" i="1"/>
  <c r="AA90" i="1"/>
  <c r="AA111" i="1"/>
  <c r="AA119" i="1"/>
  <c r="AA33" i="1"/>
  <c r="AA15" i="1"/>
  <c r="AA19" i="1"/>
  <c r="AA23" i="1"/>
  <c r="AA92" i="1"/>
  <c r="AA96" i="1"/>
  <c r="AA109" i="1"/>
  <c r="AA100" i="1"/>
  <c r="AA125" i="1"/>
  <c r="AA31" i="1"/>
  <c r="AA43" i="1"/>
  <c r="T55" i="1"/>
  <c r="Z55" i="1" s="1"/>
  <c r="Z74" i="1" l="1"/>
  <c r="Z116" i="1"/>
  <c r="Z31" i="1"/>
  <c r="Z72" i="1"/>
  <c r="Z111" i="1"/>
  <c r="Z107" i="1"/>
  <c r="Z20" i="1"/>
  <c r="Z102" i="1"/>
  <c r="Z61" i="1"/>
  <c r="Z11" i="1"/>
  <c r="Z88" i="1"/>
  <c r="Z79" i="1"/>
  <c r="Z42" i="1"/>
  <c r="Z77" i="1"/>
  <c r="Z76" i="1"/>
  <c r="Z37" i="1"/>
  <c r="Z75" i="1"/>
  <c r="Z69" i="1"/>
  <c r="Z103" i="1"/>
  <c r="Z40" i="1"/>
  <c r="V5" i="1"/>
  <c r="Z126" i="1"/>
  <c r="Z32" i="1"/>
  <c r="Z73" i="1"/>
  <c r="Z115" i="1"/>
  <c r="Z29" i="1"/>
  <c r="Z71" i="1"/>
  <c r="Z22" i="1"/>
  <c r="Z16" i="1"/>
  <c r="Z63" i="1"/>
  <c r="Z14" i="1"/>
  <c r="Z94" i="1"/>
  <c r="Z9" i="1"/>
  <c r="Z87" i="1"/>
  <c r="Z78" i="1"/>
  <c r="Z99" i="1"/>
  <c r="Z62" i="1"/>
  <c r="Z35" i="1"/>
  <c r="Z59" i="1"/>
  <c r="Z65" i="1"/>
  <c r="Z57" i="1"/>
  <c r="Z95" i="1"/>
  <c r="T5" i="1"/>
  <c r="AA55" i="1"/>
  <c r="U5" i="1" l="1"/>
  <c r="AM5" i="1"/>
  <c r="AM1" i="1" s="1"/>
</calcChain>
</file>

<file path=xl/sharedStrings.xml><?xml version="1.0" encoding="utf-8"?>
<sst xmlns="http://schemas.openxmlformats.org/spreadsheetml/2006/main" count="474" uniqueCount="191">
  <si>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</si>
  <si>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</si>
  <si>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</si>
  <si>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</si>
  <si>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</si>
  <si>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</si>
  <si>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</si>
  <si>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</si>
  <si>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</si>
  <si>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</si>
  <si>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</si>
  <si>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</si>
  <si>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</si>
  <si>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</si>
  <si>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</si>
  <si>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</si>
  <si>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</si>
  <si>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</si>
  <si>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</si>
  <si>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</si>
  <si>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</si>
  <si>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</si>
  <si>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17,10,</t>
  </si>
  <si>
    <t>18,10,</t>
  </si>
  <si>
    <t>19,10,</t>
  </si>
  <si>
    <t>25,10,</t>
  </si>
  <si>
    <t>25,10,(2)</t>
  </si>
  <si>
    <t>22,10,</t>
  </si>
  <si>
    <t>20,10,</t>
  </si>
  <si>
    <t>15,10,</t>
  </si>
  <si>
    <t>13,10,</t>
  </si>
  <si>
    <t>08,10,</t>
  </si>
  <si>
    <t>06,10,</t>
  </si>
  <si>
    <t>01,10,</t>
  </si>
  <si>
    <t>29,09,</t>
  </si>
  <si>
    <t>24,09,</t>
  </si>
  <si>
    <t>22,09,</t>
  </si>
  <si>
    <t>17,09,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</si>
  <si>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</si>
  <si>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</si>
  <si>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</si>
  <si>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</si>
  <si>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</si>
  <si>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</si>
  <si>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</si>
  <si>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</si>
  <si>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</si>
  <si>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</si>
  <si>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</si>
  <si>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</si>
  <si>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</si>
  <si>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</si>
  <si>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</si>
  <si>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</si>
  <si>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</si>
  <si>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</si>
  <si>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</si>
  <si>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</si>
  <si>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</si>
  <si>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</si>
  <si>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</si>
  <si>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</si>
  <si>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</si>
  <si>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</si>
  <si>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</si>
  <si>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>85кг в уценку (06,10,26)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</si>
  <si>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</si>
  <si>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</si>
  <si>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</si>
  <si>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</si>
  <si>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</si>
  <si>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</si>
  <si>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</si>
  <si>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</si>
  <si>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</si>
  <si>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</si>
  <si>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</si>
  <si>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</si>
  <si>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</si>
  <si>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</si>
  <si>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</si>
  <si>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</si>
  <si>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</si>
  <si>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</si>
  <si>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</si>
  <si>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</si>
  <si>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</si>
  <si>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</si>
  <si>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</si>
  <si>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</si>
  <si>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</si>
  <si>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</si>
  <si>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</si>
  <si>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</si>
  <si>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</si>
  <si>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</si>
  <si>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</si>
  <si>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</si>
  <si>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</si>
  <si>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</si>
  <si>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</si>
  <si>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</si>
  <si>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>какие-то манипуляции за 07 месяц!!!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</si>
  <si>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</si>
  <si>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</si>
  <si>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</si>
  <si>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</si>
  <si>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</si>
  <si>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</si>
  <si>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вывод</t>
  </si>
  <si>
    <t>нужно увеличить продажи!!!</t>
  </si>
  <si>
    <t xml:space="preserve"> 364  Сардельки Филейские Вязанка ВЕС NDX ТМ Вязанка  ПОКОМ</t>
  </si>
  <si>
    <t>500кг в уценку (06,10,26)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</si>
  <si>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</si>
  <si>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</si>
  <si>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</si>
  <si>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</si>
  <si>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</si>
  <si>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</si>
  <si>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312шт в уценку (06,10,26)</t>
  </si>
  <si>
    <t xml:space="preserve"> 397  Ветчина Дугушка ТМ Стародворье ТС Дугушка в полиамидной оболочке 0,6 кг. ПОКОМ</t>
  </si>
  <si>
    <t>заказываем с 21,10,26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</si>
  <si>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</si>
  <si>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</si>
  <si>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69шт в уценку (16,09,26)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</si>
  <si>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</si>
  <si>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</si>
  <si>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</si>
  <si>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</si>
  <si>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</si>
  <si>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</si>
  <si>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</si>
  <si>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</si>
  <si>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</si>
  <si>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</si>
  <si>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</si>
  <si>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</si>
  <si>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</si>
  <si>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</si>
  <si>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</si>
  <si>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</si>
  <si>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</si>
  <si>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</si>
  <si>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</si>
  <si>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</si>
  <si>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</si>
  <si>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</si>
  <si>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</si>
  <si>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</si>
  <si>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</si>
  <si>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</si>
  <si>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</si>
  <si>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</si>
  <si>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</si>
  <si>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</si>
  <si>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</si>
  <si>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</si>
  <si>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</si>
  <si>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</si>
  <si>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</si>
  <si>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</si>
  <si>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</si>
  <si>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</si>
  <si>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</si>
  <si>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</si>
  <si>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</si>
  <si>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</si>
  <si>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</si>
  <si>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не в матрице</t>
  </si>
  <si>
    <t xml:space="preserve"> 636  Сосиски Датские ВЕС ТМ Зареченские продукты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</si>
  <si>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</si>
  <si>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</si>
  <si>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</si>
  <si>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</si>
  <si>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</si>
  <si>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</si>
  <si>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</si>
  <si>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</si>
  <si>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</si>
  <si>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</si>
  <si>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Колбаса варено-копченая Сервелат Европейский ТМ Вязанка вес</t>
  </si>
  <si>
    <t>SU004314 / новинка / на стопе (после 22,10)</t>
  </si>
  <si>
    <t>Сардельки «Шпикачки Зареченские» Весовой полиамид ТМ «Зареченские продукты»</t>
  </si>
  <si>
    <t>Сосиски Ганноверские Бордо Весовые П/а мгс Баварушка</t>
  </si>
  <si>
    <t>нужно увеличить продажи</t>
  </si>
  <si>
    <t>дн</t>
  </si>
  <si>
    <t>заказ</t>
  </si>
  <si>
    <t>26,10,</t>
  </si>
  <si>
    <t>итого</t>
  </si>
  <si>
    <t>27,10,</t>
  </si>
  <si>
    <t>26,10,доз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</si>
</sst>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4" borderId="1" xfId="1" applyNumberFormat="1" applyFont="1" applyFill="1"/>
    <xf numFmtId="164" fontId="6" fillId="7" borderId="1" xfId="1" applyNumberFormat="1" applyFont="1" applyFill="1"/>
    <xf numFmtId="164" fontId="1" fillId="0" borderId="1" xfId="1" applyNumberFormat="1" applyFill="1"/>
    <xf numFmtId="164" fontId="1" fillId="4" borderId="1" xfId="1" applyNumberFormat="1" applyFill="1"/>
    <xf numFmtId="165" fontId="1" fillId="0" borderId="1" xfId="1" applyNumberFormat="1"/>
    <xf numFmtId="164" fontId="1" fillId="8" borderId="2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3" activePane="bottomRight" state="frozen"/>
      <selection pane="topRight"/>
      <selection pane="bottomLeft"/>
      <selection pane="bottomRight" activeCell="X87" sqref="X8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3" width="7" customWidth="1"/>
    <col min="24" max="24" width="7" style="20" customWidth="1"/>
    <col min="25" max="25" width="7" customWidth="1"/>
    <col min="26" max="27" width="5" customWidth="1"/>
    <col min="28" max="37" width="6" customWidth="1"/>
    <col min="38" max="38" width="20.7109375" customWidth="1"/>
    <col min="39" max="40" width="7" customWidth="1"/>
    <col min="41" max="52" width="8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8">
        <v>-0.92</v>
      </c>
      <c r="W1" s="18"/>
      <c r="X1" s="18"/>
      <c r="Y1" s="18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>
        <f>AM2-AM5</f>
        <v>0</v>
      </c>
      <c r="AN1" s="1">
        <f>AN2-AN5</f>
        <v>0</v>
      </c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185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>
        <v>5812</v>
      </c>
      <c r="AN2" s="1">
        <v>1000</v>
      </c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3" t="s">
        <v>188</v>
      </c>
      <c r="W3" s="3" t="s">
        <v>186</v>
      </c>
      <c r="X3" s="3" t="s">
        <v>186</v>
      </c>
      <c r="Y3" s="3" t="s">
        <v>186</v>
      </c>
      <c r="Z3" s="2" t="s">
        <v>17</v>
      </c>
      <c r="AA3" s="2" t="s">
        <v>18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20</v>
      </c>
      <c r="AM3" s="2" t="s">
        <v>21</v>
      </c>
      <c r="AN3" s="2" t="s">
        <v>21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/>
      <c r="V4" s="1"/>
      <c r="W4" s="1" t="s">
        <v>187</v>
      </c>
      <c r="X4" s="1" t="s">
        <v>190</v>
      </c>
      <c r="Y4" s="1" t="s">
        <v>189</v>
      </c>
      <c r="Z4" s="1"/>
      <c r="AA4" s="1"/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 t="s">
        <v>35</v>
      </c>
      <c r="AJ4" s="1" t="s">
        <v>36</v>
      </c>
      <c r="AK4" s="1" t="s">
        <v>37</v>
      </c>
      <c r="AL4" s="1"/>
      <c r="AM4" s="1" t="s">
        <v>187</v>
      </c>
      <c r="AN4" s="1" t="s">
        <v>189</v>
      </c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SUM(E6:E500)</f>
        <v>22371.385999999988</v>
      </c>
      <c r="F5" s="4">
        <f>SUM(F6:F500)</f>
        <v>11262.404</v>
      </c>
      <c r="G5" s="7"/>
      <c r="H5" s="1"/>
      <c r="I5" s="1"/>
      <c r="J5" s="1"/>
      <c r="K5" s="4">
        <f t="shared" ref="K5:W5" si="0">SUM(K6:K500)</f>
        <v>24915.813000000006</v>
      </c>
      <c r="L5" s="4">
        <f t="shared" si="0"/>
        <v>-2544.4270000000006</v>
      </c>
      <c r="M5" s="4">
        <f t="shared" si="0"/>
        <v>0</v>
      </c>
      <c r="N5" s="4">
        <f t="shared" si="0"/>
        <v>0</v>
      </c>
      <c r="O5" s="4">
        <f t="shared" si="0"/>
        <v>6940.1054951887972</v>
      </c>
      <c r="P5" s="4">
        <f t="shared" si="0"/>
        <v>11406.431498411202</v>
      </c>
      <c r="Q5" s="4">
        <f t="shared" si="0"/>
        <v>9671.9104695999995</v>
      </c>
      <c r="R5" s="4">
        <f t="shared" si="0"/>
        <v>12320.541978898997</v>
      </c>
      <c r="S5" s="4">
        <f t="shared" si="0"/>
        <v>6140.971911100999</v>
      </c>
      <c r="T5" s="4">
        <f t="shared" si="0"/>
        <v>4474.2772000000014</v>
      </c>
      <c r="U5" s="4">
        <f t="shared" si="0"/>
        <v>10662.995676799999</v>
      </c>
      <c r="V5" s="4">
        <f t="shared" si="0"/>
        <v>8560.0951527999987</v>
      </c>
      <c r="W5" s="4">
        <f t="shared" si="0"/>
        <v>7560.0951527999987</v>
      </c>
      <c r="X5" s="4">
        <f t="shared" ref="X5" si="1">SUM(X6:X500)</f>
        <v>1920</v>
      </c>
      <c r="Y5" s="4">
        <f t="shared" ref="Y5" si="2">SUM(Y6:Y500)</f>
        <v>1000</v>
      </c>
      <c r="Z5" s="1"/>
      <c r="AA5" s="1"/>
      <c r="AB5" s="4">
        <f t="shared" ref="AB5:AK5" si="3">SUM(AB6:AB500)</f>
        <v>4638.0991999999978</v>
      </c>
      <c r="AC5" s="4">
        <f t="shared" si="3"/>
        <v>4737.6146000000026</v>
      </c>
      <c r="AD5" s="4">
        <f t="shared" si="3"/>
        <v>4522.8595999999998</v>
      </c>
      <c r="AE5" s="4">
        <f t="shared" si="3"/>
        <v>4525.7226000000001</v>
      </c>
      <c r="AF5" s="4">
        <f t="shared" si="3"/>
        <v>3707.9130000000014</v>
      </c>
      <c r="AG5" s="4">
        <f t="shared" si="3"/>
        <v>3031.0155999999997</v>
      </c>
      <c r="AH5" s="4">
        <f t="shared" si="3"/>
        <v>4350.671199999998</v>
      </c>
      <c r="AI5" s="4">
        <f t="shared" si="3"/>
        <v>4904.365200000002</v>
      </c>
      <c r="AJ5" s="4">
        <f t="shared" si="3"/>
        <v>3851.2469999999998</v>
      </c>
      <c r="AK5" s="4">
        <f t="shared" si="3"/>
        <v>3544.3655999999996</v>
      </c>
      <c r="AL5" s="1"/>
      <c r="AM5" s="4">
        <f>SUM(AM6:AM500)</f>
        <v>5812</v>
      </c>
      <c r="AN5" s="4">
        <f>SUM(AN6:AN500)</f>
        <v>1000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38</v>
      </c>
      <c r="B6" s="1" t="s">
        <v>39</v>
      </c>
      <c r="C6" s="1">
        <v>147.041</v>
      </c>
      <c r="D6" s="1">
        <v>150.06899999999999</v>
      </c>
      <c r="E6" s="1">
        <v>168.428</v>
      </c>
      <c r="F6" s="1">
        <v>70.116</v>
      </c>
      <c r="G6" s="7">
        <v>1</v>
      </c>
      <c r="H6" s="1">
        <v>50</v>
      </c>
      <c r="I6" s="1" t="s">
        <v>40</v>
      </c>
      <c r="J6" s="1"/>
      <c r="K6" s="1">
        <v>218.95</v>
      </c>
      <c r="L6" s="1">
        <f t="shared" ref="L6:L37" si="4">E6-K6</f>
        <v>-50.521999999999991</v>
      </c>
      <c r="M6" s="1"/>
      <c r="N6" s="1"/>
      <c r="O6" s="1">
        <v>123.44992760000009</v>
      </c>
      <c r="P6" s="1">
        <v>221.38227240000009</v>
      </c>
      <c r="Q6" s="1">
        <v>100</v>
      </c>
      <c r="R6" s="1">
        <v>0</v>
      </c>
      <c r="S6" s="1"/>
      <c r="T6" s="1">
        <f t="shared" ref="T6:T37" si="5">E6/5</f>
        <v>33.685600000000001</v>
      </c>
      <c r="U6" s="5"/>
      <c r="V6" s="5">
        <f>U6</f>
        <v>0</v>
      </c>
      <c r="W6" s="5">
        <f>V6-Y6</f>
        <v>0</v>
      </c>
      <c r="X6" s="5"/>
      <c r="Y6" s="5"/>
      <c r="Z6" s="1">
        <f>(F6+O6+P6+Q6+R6+S6+V6)/T6</f>
        <v>15.28689410311825</v>
      </c>
      <c r="AA6" s="1">
        <f t="shared" ref="AA6:AA37" si="6">(F6+O6+P6+Q6+R6+S6)/T6</f>
        <v>15.28689410311825</v>
      </c>
      <c r="AB6" s="1">
        <v>45.9054</v>
      </c>
      <c r="AC6" s="1">
        <v>57.410400000000003</v>
      </c>
      <c r="AD6" s="1">
        <v>53.832000000000008</v>
      </c>
      <c r="AE6" s="1">
        <v>41.213000000000001</v>
      </c>
      <c r="AF6" s="1">
        <v>33.127000000000002</v>
      </c>
      <c r="AG6" s="1">
        <v>41.628599999999999</v>
      </c>
      <c r="AH6" s="1">
        <v>51.911800000000007</v>
      </c>
      <c r="AI6" s="1">
        <v>45.526799999999987</v>
      </c>
      <c r="AJ6" s="1">
        <v>48.9602</v>
      </c>
      <c r="AK6" s="1">
        <v>51.963999999999999</v>
      </c>
      <c r="AL6" s="1"/>
      <c r="AM6" s="1">
        <f>ROUND(G6*W6,0)</f>
        <v>0</v>
      </c>
      <c r="AN6" s="1">
        <f>ROUND(G6*Y6,0)</f>
        <v>0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41</v>
      </c>
      <c r="B7" s="1" t="s">
        <v>39</v>
      </c>
      <c r="C7" s="1">
        <v>462.637</v>
      </c>
      <c r="D7" s="1">
        <v>249.93199999999999</v>
      </c>
      <c r="E7" s="1">
        <v>492.07600000000002</v>
      </c>
      <c r="F7" s="1">
        <v>40.573</v>
      </c>
      <c r="G7" s="7">
        <v>1</v>
      </c>
      <c r="H7" s="1">
        <v>45</v>
      </c>
      <c r="I7" s="1" t="s">
        <v>40</v>
      </c>
      <c r="J7" s="1"/>
      <c r="K7" s="1">
        <v>531.803</v>
      </c>
      <c r="L7" s="1">
        <f t="shared" si="4"/>
        <v>-39.726999999999975</v>
      </c>
      <c r="M7" s="1"/>
      <c r="N7" s="1"/>
      <c r="O7" s="1">
        <v>216.07968532000001</v>
      </c>
      <c r="P7" s="1">
        <v>387.49485468000012</v>
      </c>
      <c r="Q7" s="1">
        <v>296.42936999999972</v>
      </c>
      <c r="R7" s="1">
        <v>665.51162348799994</v>
      </c>
      <c r="S7" s="1">
        <v>363.577016512</v>
      </c>
      <c r="T7" s="1">
        <f t="shared" si="5"/>
        <v>98.415199999999999</v>
      </c>
      <c r="U7" s="5"/>
      <c r="V7" s="5">
        <f t="shared" ref="V7:V70" si="7">U7</f>
        <v>0</v>
      </c>
      <c r="W7" s="5">
        <f t="shared" ref="W7:W70" si="8">V7-Y7</f>
        <v>0</v>
      </c>
      <c r="X7" s="5"/>
      <c r="Y7" s="5"/>
      <c r="Z7" s="1">
        <f t="shared" ref="Z7:Z70" si="9">(F7+O7+P7+Q7+R7+S7+V7)/T7</f>
        <v>20.013834753168208</v>
      </c>
      <c r="AA7" s="1">
        <f t="shared" si="6"/>
        <v>20.013834753168208</v>
      </c>
      <c r="AB7" s="1">
        <v>157.95359999999999</v>
      </c>
      <c r="AC7" s="1">
        <v>151.01939999999999</v>
      </c>
      <c r="AD7" s="1">
        <v>118.3934</v>
      </c>
      <c r="AE7" s="1">
        <v>105.9102</v>
      </c>
      <c r="AF7" s="1">
        <v>100.71339999999999</v>
      </c>
      <c r="AG7" s="1">
        <v>105.5562</v>
      </c>
      <c r="AH7" s="1">
        <v>133.8338</v>
      </c>
      <c r="AI7" s="1">
        <v>135.83600000000001</v>
      </c>
      <c r="AJ7" s="1">
        <v>156.815</v>
      </c>
      <c r="AK7" s="1">
        <v>166.25960000000001</v>
      </c>
      <c r="AL7" s="1"/>
      <c r="AM7" s="1">
        <f t="shared" ref="AM7:AM70" si="10">ROUND(G7*W7,0)</f>
        <v>0</v>
      </c>
      <c r="AN7" s="1">
        <f t="shared" ref="AN7:AN70" si="11">ROUND(G7*Y7,0)</f>
        <v>0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42</v>
      </c>
      <c r="B8" s="1" t="s">
        <v>39</v>
      </c>
      <c r="C8" s="1">
        <v>186.77199999999999</v>
      </c>
      <c r="D8" s="1">
        <v>686.27599999999995</v>
      </c>
      <c r="E8" s="1">
        <v>559.31200000000001</v>
      </c>
      <c r="F8" s="1">
        <v>158.39699999999999</v>
      </c>
      <c r="G8" s="7">
        <v>1</v>
      </c>
      <c r="H8" s="1">
        <v>45</v>
      </c>
      <c r="I8" s="10" t="s">
        <v>43</v>
      </c>
      <c r="J8" s="1"/>
      <c r="K8" s="1">
        <v>633.63</v>
      </c>
      <c r="L8" s="1">
        <f t="shared" si="4"/>
        <v>-74.317999999999984</v>
      </c>
      <c r="M8" s="1"/>
      <c r="N8" s="1"/>
      <c r="O8" s="1">
        <v>204.43007175999989</v>
      </c>
      <c r="P8" s="1">
        <v>366.60364823999993</v>
      </c>
      <c r="Q8" s="1">
        <v>220</v>
      </c>
      <c r="R8" s="1">
        <v>0</v>
      </c>
      <c r="S8" s="1"/>
      <c r="T8" s="1">
        <f t="shared" si="5"/>
        <v>111.86240000000001</v>
      </c>
      <c r="U8" s="5">
        <f>12*T8-S8-R8-Q8-P8-O8-F8</f>
        <v>392.91808000000032</v>
      </c>
      <c r="V8" s="5">
        <f>IF(U8+T8*$V$1&lt;0,0,U8+T8*$V$1)</f>
        <v>290.00467200000031</v>
      </c>
      <c r="W8" s="5">
        <f t="shared" si="8"/>
        <v>190.00467200000031</v>
      </c>
      <c r="X8" s="5"/>
      <c r="Y8" s="5">
        <v>100</v>
      </c>
      <c r="Z8" s="1">
        <f t="shared" si="9"/>
        <v>11.08</v>
      </c>
      <c r="AA8" s="1">
        <f t="shared" si="6"/>
        <v>8.4874874846239639</v>
      </c>
      <c r="AB8" s="1">
        <v>108.61660000000001</v>
      </c>
      <c r="AC8" s="1">
        <v>135.95779999999999</v>
      </c>
      <c r="AD8" s="1">
        <v>119.3532</v>
      </c>
      <c r="AE8" s="1">
        <v>114.3492</v>
      </c>
      <c r="AF8" s="1">
        <v>109.2606</v>
      </c>
      <c r="AG8" s="1">
        <v>102.4</v>
      </c>
      <c r="AH8" s="1">
        <v>131.2944</v>
      </c>
      <c r="AI8" s="1">
        <v>141.90940000000001</v>
      </c>
      <c r="AJ8" s="1">
        <v>146.2636</v>
      </c>
      <c r="AK8" s="1">
        <v>144.55119999999999</v>
      </c>
      <c r="AL8" s="1"/>
      <c r="AM8" s="1">
        <f t="shared" si="10"/>
        <v>190</v>
      </c>
      <c r="AN8" s="1">
        <f t="shared" si="11"/>
        <v>100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44</v>
      </c>
      <c r="B9" s="1" t="s">
        <v>45</v>
      </c>
      <c r="C9" s="1">
        <v>52</v>
      </c>
      <c r="D9" s="1">
        <v>43</v>
      </c>
      <c r="E9" s="1">
        <v>65</v>
      </c>
      <c r="F9" s="1">
        <v>4</v>
      </c>
      <c r="G9" s="7">
        <v>0.4</v>
      </c>
      <c r="H9" s="1">
        <v>50</v>
      </c>
      <c r="I9" s="1" t="s">
        <v>40</v>
      </c>
      <c r="J9" s="1"/>
      <c r="K9" s="1">
        <v>65</v>
      </c>
      <c r="L9" s="1">
        <f t="shared" si="4"/>
        <v>0</v>
      </c>
      <c r="M9" s="1"/>
      <c r="N9" s="1"/>
      <c r="O9" s="1">
        <v>0</v>
      </c>
      <c r="P9" s="1"/>
      <c r="Q9" s="1">
        <v>61.490000000000038</v>
      </c>
      <c r="R9" s="1">
        <v>35.39999999999997</v>
      </c>
      <c r="S9" s="1"/>
      <c r="T9" s="1">
        <f t="shared" si="5"/>
        <v>13</v>
      </c>
      <c r="U9" s="5">
        <f>12*T9-S9-R9-Q9-P9-O9-F9</f>
        <v>55.109999999999985</v>
      </c>
      <c r="V9" s="5">
        <f t="shared" si="7"/>
        <v>55.109999999999985</v>
      </c>
      <c r="W9" s="5">
        <f t="shared" si="8"/>
        <v>55.109999999999985</v>
      </c>
      <c r="X9" s="5"/>
      <c r="Y9" s="5"/>
      <c r="Z9" s="1">
        <f t="shared" si="9"/>
        <v>12</v>
      </c>
      <c r="AA9" s="1">
        <f t="shared" si="6"/>
        <v>7.760769230769232</v>
      </c>
      <c r="AB9" s="1">
        <v>13</v>
      </c>
      <c r="AC9" s="1">
        <v>10.8</v>
      </c>
      <c r="AD9" s="1">
        <v>8</v>
      </c>
      <c r="AE9" s="1">
        <v>10.6</v>
      </c>
      <c r="AF9" s="1">
        <v>9</v>
      </c>
      <c r="AG9" s="1">
        <v>2.4</v>
      </c>
      <c r="AH9" s="1">
        <v>4.8</v>
      </c>
      <c r="AI9" s="1">
        <v>11</v>
      </c>
      <c r="AJ9" s="1">
        <v>12.4</v>
      </c>
      <c r="AK9" s="1">
        <v>6.8</v>
      </c>
      <c r="AL9" s="1" t="s">
        <v>46</v>
      </c>
      <c r="AM9" s="1">
        <f t="shared" si="10"/>
        <v>22</v>
      </c>
      <c r="AN9" s="1">
        <f t="shared" si="11"/>
        <v>0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47</v>
      </c>
      <c r="B10" s="1" t="s">
        <v>45</v>
      </c>
      <c r="C10" s="1">
        <v>359</v>
      </c>
      <c r="D10" s="1">
        <v>141</v>
      </c>
      <c r="E10" s="1">
        <v>356</v>
      </c>
      <c r="F10" s="1">
        <v>20</v>
      </c>
      <c r="G10" s="7">
        <v>0.45</v>
      </c>
      <c r="H10" s="1">
        <v>45</v>
      </c>
      <c r="I10" s="1" t="s">
        <v>40</v>
      </c>
      <c r="J10" s="1"/>
      <c r="K10" s="1">
        <v>430</v>
      </c>
      <c r="L10" s="1">
        <f t="shared" si="4"/>
        <v>-74</v>
      </c>
      <c r="M10" s="1"/>
      <c r="N10" s="1"/>
      <c r="O10" s="1">
        <v>0</v>
      </c>
      <c r="P10" s="1"/>
      <c r="Q10" s="1">
        <v>324.13600000000019</v>
      </c>
      <c r="R10" s="1">
        <v>359.27418499999999</v>
      </c>
      <c r="S10" s="1">
        <v>196.27581499999999</v>
      </c>
      <c r="T10" s="1">
        <f t="shared" si="5"/>
        <v>71.2</v>
      </c>
      <c r="U10" s="5"/>
      <c r="V10" s="5">
        <f t="shared" si="7"/>
        <v>0</v>
      </c>
      <c r="W10" s="5">
        <f t="shared" si="8"/>
        <v>0</v>
      </c>
      <c r="X10" s="5"/>
      <c r="Y10" s="5"/>
      <c r="Z10" s="1">
        <f t="shared" si="9"/>
        <v>12.636039325842699</v>
      </c>
      <c r="AA10" s="1">
        <f t="shared" si="6"/>
        <v>12.636039325842699</v>
      </c>
      <c r="AB10" s="1">
        <v>87.6</v>
      </c>
      <c r="AC10" s="1">
        <v>64.599999999999994</v>
      </c>
      <c r="AD10" s="1">
        <v>59.8</v>
      </c>
      <c r="AE10" s="1">
        <v>65.8</v>
      </c>
      <c r="AF10" s="1">
        <v>36.799999999999997</v>
      </c>
      <c r="AG10" s="1">
        <v>32.4</v>
      </c>
      <c r="AH10" s="1">
        <v>56.8</v>
      </c>
      <c r="AI10" s="1">
        <v>83.4</v>
      </c>
      <c r="AJ10" s="1">
        <v>47.4</v>
      </c>
      <c r="AK10" s="1">
        <v>37.4</v>
      </c>
      <c r="AL10" s="1"/>
      <c r="AM10" s="1">
        <f t="shared" si="10"/>
        <v>0</v>
      </c>
      <c r="AN10" s="1">
        <f t="shared" si="11"/>
        <v>0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48</v>
      </c>
      <c r="B11" s="1" t="s">
        <v>45</v>
      </c>
      <c r="C11" s="1">
        <v>339</v>
      </c>
      <c r="D11" s="1">
        <v>279</v>
      </c>
      <c r="E11" s="1">
        <v>400</v>
      </c>
      <c r="F11" s="1">
        <v>56</v>
      </c>
      <c r="G11" s="7">
        <v>0.45</v>
      </c>
      <c r="H11" s="1">
        <v>45</v>
      </c>
      <c r="I11" s="1" t="s">
        <v>40</v>
      </c>
      <c r="J11" s="1"/>
      <c r="K11" s="1">
        <v>421</v>
      </c>
      <c r="L11" s="1">
        <f t="shared" si="4"/>
        <v>-21</v>
      </c>
      <c r="M11" s="1"/>
      <c r="N11" s="1"/>
      <c r="O11" s="1">
        <v>0</v>
      </c>
      <c r="P11" s="1"/>
      <c r="Q11" s="1">
        <v>274.35599999999999</v>
      </c>
      <c r="R11" s="1">
        <v>347.15502700000008</v>
      </c>
      <c r="S11" s="1">
        <v>189.6549730000001</v>
      </c>
      <c r="T11" s="1">
        <f t="shared" si="5"/>
        <v>80</v>
      </c>
      <c r="U11" s="5">
        <f>12*T11-S11-R11-Q11-P11-O11-F11</f>
        <v>92.833999999999776</v>
      </c>
      <c r="V11" s="5">
        <f t="shared" si="7"/>
        <v>92.833999999999776</v>
      </c>
      <c r="W11" s="5">
        <f t="shared" si="8"/>
        <v>92.833999999999776</v>
      </c>
      <c r="X11" s="5"/>
      <c r="Y11" s="5"/>
      <c r="Z11" s="1">
        <f t="shared" si="9"/>
        <v>12</v>
      </c>
      <c r="AA11" s="1">
        <f t="shared" si="6"/>
        <v>10.839575000000002</v>
      </c>
      <c r="AB11" s="1">
        <v>90</v>
      </c>
      <c r="AC11" s="1">
        <v>70.599999999999994</v>
      </c>
      <c r="AD11" s="1">
        <v>66.8</v>
      </c>
      <c r="AE11" s="1">
        <v>75.400000000000006</v>
      </c>
      <c r="AF11" s="1">
        <v>50.2</v>
      </c>
      <c r="AG11" s="1">
        <v>48.6</v>
      </c>
      <c r="AH11" s="1">
        <v>72</v>
      </c>
      <c r="AI11" s="1">
        <v>91.4</v>
      </c>
      <c r="AJ11" s="1">
        <v>49.8</v>
      </c>
      <c r="AK11" s="1">
        <v>6.8</v>
      </c>
      <c r="AL11" s="1"/>
      <c r="AM11" s="1">
        <f t="shared" si="10"/>
        <v>42</v>
      </c>
      <c r="AN11" s="1">
        <f t="shared" si="11"/>
        <v>0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1" t="s">
        <v>49</v>
      </c>
      <c r="B12" s="11" t="s">
        <v>45</v>
      </c>
      <c r="C12" s="11"/>
      <c r="D12" s="11"/>
      <c r="E12" s="11"/>
      <c r="F12" s="11"/>
      <c r="G12" s="12">
        <v>0</v>
      </c>
      <c r="H12" s="11"/>
      <c r="I12" s="11" t="s">
        <v>40</v>
      </c>
      <c r="J12" s="11"/>
      <c r="K12" s="11"/>
      <c r="L12" s="11">
        <f t="shared" si="4"/>
        <v>0</v>
      </c>
      <c r="M12" s="11"/>
      <c r="N12" s="11"/>
      <c r="O12" s="11">
        <v>0</v>
      </c>
      <c r="P12" s="11"/>
      <c r="Q12" s="11">
        <v>0</v>
      </c>
      <c r="R12" s="11">
        <v>0</v>
      </c>
      <c r="S12" s="11"/>
      <c r="T12" s="11">
        <f t="shared" si="5"/>
        <v>0</v>
      </c>
      <c r="U12" s="13"/>
      <c r="V12" s="5">
        <f t="shared" si="7"/>
        <v>0</v>
      </c>
      <c r="W12" s="5">
        <f t="shared" si="8"/>
        <v>0</v>
      </c>
      <c r="X12" s="5"/>
      <c r="Y12" s="5"/>
      <c r="Z12" s="1" t="e">
        <f t="shared" si="9"/>
        <v>#DIV/0!</v>
      </c>
      <c r="AA12" s="11" t="e">
        <f t="shared" si="6"/>
        <v>#DIV/0!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 t="s">
        <v>50</v>
      </c>
      <c r="AM12" s="1">
        <f t="shared" si="10"/>
        <v>0</v>
      </c>
      <c r="AN12" s="1">
        <f t="shared" si="11"/>
        <v>0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6" t="s">
        <v>51</v>
      </c>
      <c r="B13" s="1" t="s">
        <v>45</v>
      </c>
      <c r="C13" s="1"/>
      <c r="D13" s="1"/>
      <c r="E13" s="1">
        <v>-1</v>
      </c>
      <c r="F13" s="1"/>
      <c r="G13" s="7">
        <v>0.3</v>
      </c>
      <c r="H13" s="1">
        <v>40</v>
      </c>
      <c r="I13" s="10" t="s">
        <v>43</v>
      </c>
      <c r="J13" s="1"/>
      <c r="K13" s="1">
        <v>10</v>
      </c>
      <c r="L13" s="1">
        <f t="shared" si="4"/>
        <v>-11</v>
      </c>
      <c r="M13" s="1"/>
      <c r="N13" s="1"/>
      <c r="O13" s="1">
        <v>0</v>
      </c>
      <c r="P13" s="1"/>
      <c r="Q13" s="1">
        <v>60</v>
      </c>
      <c r="R13" s="1">
        <v>50</v>
      </c>
      <c r="S13" s="1"/>
      <c r="T13" s="1">
        <f t="shared" si="5"/>
        <v>-0.2</v>
      </c>
      <c r="U13" s="5">
        <v>50</v>
      </c>
      <c r="V13" s="5">
        <f t="shared" si="7"/>
        <v>50</v>
      </c>
      <c r="W13" s="5">
        <f t="shared" si="8"/>
        <v>50</v>
      </c>
      <c r="X13" s="5"/>
      <c r="Y13" s="5"/>
      <c r="Z13" s="1">
        <f t="shared" si="9"/>
        <v>-800</v>
      </c>
      <c r="AA13" s="1">
        <f t="shared" si="6"/>
        <v>-550</v>
      </c>
      <c r="AB13" s="1">
        <v>-0.4</v>
      </c>
      <c r="AC13" s="1">
        <v>3.6</v>
      </c>
      <c r="AD13" s="1">
        <v>15.2</v>
      </c>
      <c r="AE13" s="1">
        <v>28.4</v>
      </c>
      <c r="AF13" s="1">
        <v>23.8</v>
      </c>
      <c r="AG13" s="1">
        <v>10.4</v>
      </c>
      <c r="AH13" s="1">
        <v>6.6</v>
      </c>
      <c r="AI13" s="1">
        <v>9.4</v>
      </c>
      <c r="AJ13" s="1">
        <v>18</v>
      </c>
      <c r="AK13" s="1">
        <v>15.8</v>
      </c>
      <c r="AL13" s="1"/>
      <c r="AM13" s="1">
        <f t="shared" si="10"/>
        <v>15</v>
      </c>
      <c r="AN13" s="1">
        <f t="shared" si="11"/>
        <v>0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52</v>
      </c>
      <c r="B14" s="1" t="s">
        <v>45</v>
      </c>
      <c r="C14" s="1">
        <v>31</v>
      </c>
      <c r="D14" s="1">
        <v>390</v>
      </c>
      <c r="E14" s="1">
        <v>155</v>
      </c>
      <c r="F14" s="1">
        <v>223</v>
      </c>
      <c r="G14" s="7">
        <v>0.17</v>
      </c>
      <c r="H14" s="1">
        <v>180</v>
      </c>
      <c r="I14" s="1" t="s">
        <v>40</v>
      </c>
      <c r="J14" s="1"/>
      <c r="K14" s="1">
        <v>165</v>
      </c>
      <c r="L14" s="1">
        <f t="shared" si="4"/>
        <v>-10</v>
      </c>
      <c r="M14" s="1"/>
      <c r="N14" s="1"/>
      <c r="O14" s="1">
        <v>0</v>
      </c>
      <c r="P14" s="1"/>
      <c r="Q14" s="1">
        <v>90</v>
      </c>
      <c r="R14" s="1">
        <v>0</v>
      </c>
      <c r="S14" s="1"/>
      <c r="T14" s="1">
        <f t="shared" si="5"/>
        <v>31</v>
      </c>
      <c r="U14" s="5">
        <f t="shared" ref="U14:U16" si="12">12*T14-S14-R14-Q14-P14-O14-F14</f>
        <v>59</v>
      </c>
      <c r="V14" s="5">
        <f t="shared" si="7"/>
        <v>59</v>
      </c>
      <c r="W14" s="5">
        <f t="shared" si="8"/>
        <v>59</v>
      </c>
      <c r="X14" s="5"/>
      <c r="Y14" s="5"/>
      <c r="Z14" s="1">
        <f t="shared" si="9"/>
        <v>12</v>
      </c>
      <c r="AA14" s="1">
        <f t="shared" si="6"/>
        <v>10.096774193548388</v>
      </c>
      <c r="AB14" s="1">
        <v>21.2</v>
      </c>
      <c r="AC14" s="1">
        <v>20.2</v>
      </c>
      <c r="AD14" s="1">
        <v>27.4</v>
      </c>
      <c r="AE14" s="1">
        <v>31.4</v>
      </c>
      <c r="AF14" s="1">
        <v>28</v>
      </c>
      <c r="AG14" s="1">
        <v>18.399999999999999</v>
      </c>
      <c r="AH14" s="1">
        <v>21.4</v>
      </c>
      <c r="AI14" s="1">
        <v>23.8</v>
      </c>
      <c r="AJ14" s="1">
        <v>21.8</v>
      </c>
      <c r="AK14" s="1">
        <v>26.6</v>
      </c>
      <c r="AL14" s="1"/>
      <c r="AM14" s="1">
        <f t="shared" si="10"/>
        <v>10</v>
      </c>
      <c r="AN14" s="1">
        <f t="shared" si="11"/>
        <v>0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53</v>
      </c>
      <c r="B15" s="1" t="s">
        <v>39</v>
      </c>
      <c r="C15" s="1">
        <v>758.16899999999998</v>
      </c>
      <c r="D15" s="1">
        <v>155.25200000000001</v>
      </c>
      <c r="E15" s="1">
        <v>551.32100000000003</v>
      </c>
      <c r="F15" s="1">
        <v>296.42500000000001</v>
      </c>
      <c r="G15" s="7">
        <v>1</v>
      </c>
      <c r="H15" s="1">
        <v>70</v>
      </c>
      <c r="I15" s="1" t="s">
        <v>40</v>
      </c>
      <c r="J15" s="1"/>
      <c r="K15" s="1">
        <v>523.79999999999995</v>
      </c>
      <c r="L15" s="1">
        <f t="shared" si="4"/>
        <v>27.521000000000072</v>
      </c>
      <c r="M15" s="1"/>
      <c r="N15" s="1"/>
      <c r="O15" s="1">
        <v>155.19574943999999</v>
      </c>
      <c r="P15" s="1">
        <v>278.31193056000012</v>
      </c>
      <c r="Q15" s="1">
        <v>0</v>
      </c>
      <c r="R15" s="1">
        <v>0</v>
      </c>
      <c r="S15" s="1"/>
      <c r="T15" s="1">
        <f t="shared" si="5"/>
        <v>110.2642</v>
      </c>
      <c r="U15" s="5">
        <f t="shared" si="12"/>
        <v>593.23771999999985</v>
      </c>
      <c r="V15" s="5">
        <f t="shared" ref="V15:V16" si="13">IF(U15+T15*$V$1&lt;0,0,U15+T15*$V$1)</f>
        <v>491.79465599999986</v>
      </c>
      <c r="W15" s="5">
        <f t="shared" si="8"/>
        <v>386.79465599999986</v>
      </c>
      <c r="X15" s="5"/>
      <c r="Y15" s="5">
        <v>105</v>
      </c>
      <c r="Z15" s="1">
        <f t="shared" si="9"/>
        <v>11.079999999999998</v>
      </c>
      <c r="AA15" s="1">
        <f t="shared" si="6"/>
        <v>6.6198519555757906</v>
      </c>
      <c r="AB15" s="1">
        <v>72.1036</v>
      </c>
      <c r="AC15" s="1">
        <v>70.689599999999999</v>
      </c>
      <c r="AD15" s="1">
        <v>97.368799999999993</v>
      </c>
      <c r="AE15" s="1">
        <v>94.670199999999994</v>
      </c>
      <c r="AF15" s="1">
        <v>89.588999999999999</v>
      </c>
      <c r="AG15" s="1">
        <v>90.510599999999997</v>
      </c>
      <c r="AH15" s="1">
        <v>100.626</v>
      </c>
      <c r="AI15" s="1">
        <v>92.771199999999993</v>
      </c>
      <c r="AJ15" s="1">
        <v>95.892600000000002</v>
      </c>
      <c r="AK15" s="1">
        <v>55.573</v>
      </c>
      <c r="AL15" s="1"/>
      <c r="AM15" s="1">
        <f t="shared" si="10"/>
        <v>387</v>
      </c>
      <c r="AN15" s="1">
        <f t="shared" si="11"/>
        <v>105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54</v>
      </c>
      <c r="B16" s="1" t="s">
        <v>39</v>
      </c>
      <c r="C16" s="1">
        <v>2661.5450000000001</v>
      </c>
      <c r="D16" s="1">
        <v>120.011</v>
      </c>
      <c r="E16" s="1">
        <v>1950.019</v>
      </c>
      <c r="F16" s="1">
        <v>501.77699999999999</v>
      </c>
      <c r="G16" s="7">
        <v>1</v>
      </c>
      <c r="H16" s="1">
        <v>50</v>
      </c>
      <c r="I16" s="1" t="s">
        <v>40</v>
      </c>
      <c r="J16" s="1"/>
      <c r="K16" s="1">
        <v>1991</v>
      </c>
      <c r="L16" s="1">
        <f t="shared" si="4"/>
        <v>-40.980999999999995</v>
      </c>
      <c r="M16" s="1"/>
      <c r="N16" s="1"/>
      <c r="O16" s="1">
        <v>953.57122000000072</v>
      </c>
      <c r="P16" s="1">
        <v>1531</v>
      </c>
      <c r="Q16" s="1">
        <v>0</v>
      </c>
      <c r="R16" s="1">
        <v>0</v>
      </c>
      <c r="S16" s="1"/>
      <c r="T16" s="1">
        <f t="shared" si="5"/>
        <v>390.00380000000001</v>
      </c>
      <c r="U16" s="5">
        <f t="shared" si="12"/>
        <v>1693.6973799999996</v>
      </c>
      <c r="V16" s="19">
        <f t="shared" si="13"/>
        <v>1334.8938839999996</v>
      </c>
      <c r="W16" s="19">
        <f t="shared" si="8"/>
        <v>944.89388399999962</v>
      </c>
      <c r="X16" s="19">
        <v>510</v>
      </c>
      <c r="Y16" s="5">
        <v>390</v>
      </c>
      <c r="Z16" s="1">
        <f t="shared" si="9"/>
        <v>11.080000000000002</v>
      </c>
      <c r="AA16" s="1">
        <f t="shared" si="6"/>
        <v>7.6572285193118645</v>
      </c>
      <c r="AB16" s="1">
        <v>360.80880000000002</v>
      </c>
      <c r="AC16" s="1">
        <v>399.93380000000002</v>
      </c>
      <c r="AD16" s="1">
        <v>420.62419999999997</v>
      </c>
      <c r="AE16" s="1">
        <v>363.17439999999999</v>
      </c>
      <c r="AF16" s="1">
        <v>291.7568</v>
      </c>
      <c r="AG16" s="1">
        <v>277.7518</v>
      </c>
      <c r="AH16" s="1">
        <v>456.89760000000001</v>
      </c>
      <c r="AI16" s="1">
        <v>478.92079999999999</v>
      </c>
      <c r="AJ16" s="1">
        <v>258.6986</v>
      </c>
      <c r="AK16" s="1">
        <v>257.84679999999997</v>
      </c>
      <c r="AL16" s="1"/>
      <c r="AM16" s="1">
        <f t="shared" si="10"/>
        <v>945</v>
      </c>
      <c r="AN16" s="1">
        <f t="shared" si="11"/>
        <v>390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55</v>
      </c>
      <c r="B17" s="1" t="s">
        <v>39</v>
      </c>
      <c r="C17" s="1">
        <v>26.991</v>
      </c>
      <c r="D17" s="1">
        <v>179.483</v>
      </c>
      <c r="E17" s="1">
        <v>57.356999999999999</v>
      </c>
      <c r="F17" s="1">
        <v>137.23699999999999</v>
      </c>
      <c r="G17" s="7">
        <v>1</v>
      </c>
      <c r="H17" s="1">
        <v>60</v>
      </c>
      <c r="I17" s="1" t="s">
        <v>40</v>
      </c>
      <c r="J17" s="1"/>
      <c r="K17" s="1">
        <v>53.3</v>
      </c>
      <c r="L17" s="1">
        <f t="shared" si="4"/>
        <v>4.0570000000000022</v>
      </c>
      <c r="M17" s="1"/>
      <c r="N17" s="1"/>
      <c r="O17" s="1">
        <v>6.0607999999999898</v>
      </c>
      <c r="P17" s="1"/>
      <c r="Q17" s="1">
        <v>0</v>
      </c>
      <c r="R17" s="1">
        <v>0</v>
      </c>
      <c r="S17" s="1"/>
      <c r="T17" s="1">
        <f t="shared" si="5"/>
        <v>11.471399999999999</v>
      </c>
      <c r="U17" s="5"/>
      <c r="V17" s="5">
        <f t="shared" si="7"/>
        <v>0</v>
      </c>
      <c r="W17" s="5">
        <f t="shared" si="8"/>
        <v>0</v>
      </c>
      <c r="X17" s="5"/>
      <c r="Y17" s="5"/>
      <c r="Z17" s="1">
        <f t="shared" si="9"/>
        <v>12.491744686786269</v>
      </c>
      <c r="AA17" s="1">
        <f t="shared" si="6"/>
        <v>12.491744686786269</v>
      </c>
      <c r="AB17" s="1">
        <v>8.7602000000000011</v>
      </c>
      <c r="AC17" s="1">
        <v>11.5122</v>
      </c>
      <c r="AD17" s="1">
        <v>18.504799999999999</v>
      </c>
      <c r="AE17" s="1">
        <v>19.042400000000001</v>
      </c>
      <c r="AF17" s="1">
        <v>14.878399999999999</v>
      </c>
      <c r="AG17" s="1">
        <v>11.510199999999999</v>
      </c>
      <c r="AH17" s="1">
        <v>12.4178</v>
      </c>
      <c r="AI17" s="1">
        <v>14.5106</v>
      </c>
      <c r="AJ17" s="1">
        <v>12.775399999999999</v>
      </c>
      <c r="AK17" s="1">
        <v>14.9314</v>
      </c>
      <c r="AL17" s="1"/>
      <c r="AM17" s="1">
        <f t="shared" si="10"/>
        <v>0</v>
      </c>
      <c r="AN17" s="1">
        <f t="shared" si="11"/>
        <v>0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56</v>
      </c>
      <c r="B18" s="1" t="s">
        <v>39</v>
      </c>
      <c r="C18" s="1">
        <v>57.195999999999998</v>
      </c>
      <c r="D18" s="1">
        <v>26.759</v>
      </c>
      <c r="E18" s="1">
        <v>30.794</v>
      </c>
      <c r="F18" s="1">
        <v>52.258000000000003</v>
      </c>
      <c r="G18" s="7">
        <v>1</v>
      </c>
      <c r="H18" s="1">
        <v>60</v>
      </c>
      <c r="I18" s="1" t="s">
        <v>40</v>
      </c>
      <c r="J18" s="1"/>
      <c r="K18" s="1">
        <v>27.1</v>
      </c>
      <c r="L18" s="1">
        <f t="shared" si="4"/>
        <v>3.6939999999999991</v>
      </c>
      <c r="M18" s="1"/>
      <c r="N18" s="1"/>
      <c r="O18" s="1">
        <v>33.300100000000008</v>
      </c>
      <c r="P18" s="1"/>
      <c r="Q18" s="1">
        <v>0</v>
      </c>
      <c r="R18" s="1">
        <v>0</v>
      </c>
      <c r="S18" s="1"/>
      <c r="T18" s="1">
        <f t="shared" si="5"/>
        <v>6.1588000000000003</v>
      </c>
      <c r="U18" s="5"/>
      <c r="V18" s="5">
        <f t="shared" si="7"/>
        <v>0</v>
      </c>
      <c r="W18" s="5">
        <f t="shared" si="8"/>
        <v>0</v>
      </c>
      <c r="X18" s="5"/>
      <c r="Y18" s="5"/>
      <c r="Z18" s="1">
        <f t="shared" si="9"/>
        <v>13.892008183412354</v>
      </c>
      <c r="AA18" s="1">
        <f t="shared" si="6"/>
        <v>13.892008183412354</v>
      </c>
      <c r="AB18" s="1">
        <v>4.0432000000000006</v>
      </c>
      <c r="AC18" s="1">
        <v>3.8719999999999999</v>
      </c>
      <c r="AD18" s="1">
        <v>8.979000000000001</v>
      </c>
      <c r="AE18" s="1">
        <v>8.0944000000000003</v>
      </c>
      <c r="AF18" s="1">
        <v>5.9447999999999999</v>
      </c>
      <c r="AG18" s="1">
        <v>8.2210000000000001</v>
      </c>
      <c r="AH18" s="1">
        <v>7.7796000000000003</v>
      </c>
      <c r="AI18" s="1">
        <v>6.7598000000000003</v>
      </c>
      <c r="AJ18" s="1">
        <v>6.5474000000000014</v>
      </c>
      <c r="AK18" s="1">
        <v>4.7682000000000002</v>
      </c>
      <c r="AL18" s="1"/>
      <c r="AM18" s="1">
        <f t="shared" si="10"/>
        <v>0</v>
      </c>
      <c r="AN18" s="1">
        <f t="shared" si="11"/>
        <v>0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57</v>
      </c>
      <c r="B19" s="1" t="s">
        <v>39</v>
      </c>
      <c r="C19" s="1">
        <v>1.304</v>
      </c>
      <c r="D19" s="1">
        <v>91.022999999999996</v>
      </c>
      <c r="E19" s="1">
        <v>10.906000000000001</v>
      </c>
      <c r="F19" s="1">
        <v>76.370999999999995</v>
      </c>
      <c r="G19" s="7">
        <v>1</v>
      </c>
      <c r="H19" s="1">
        <v>180</v>
      </c>
      <c r="I19" s="1" t="s">
        <v>40</v>
      </c>
      <c r="J19" s="1"/>
      <c r="K19" s="1">
        <v>11.76</v>
      </c>
      <c r="L19" s="1">
        <f t="shared" si="4"/>
        <v>-0.8539999999999992</v>
      </c>
      <c r="M19" s="1"/>
      <c r="N19" s="1"/>
      <c r="O19" s="1">
        <v>0</v>
      </c>
      <c r="P19" s="1"/>
      <c r="Q19" s="1">
        <v>30</v>
      </c>
      <c r="R19" s="1">
        <v>0</v>
      </c>
      <c r="S19" s="1"/>
      <c r="T19" s="1">
        <f t="shared" si="5"/>
        <v>2.1812</v>
      </c>
      <c r="U19" s="5"/>
      <c r="V19" s="5">
        <f t="shared" si="7"/>
        <v>0</v>
      </c>
      <c r="W19" s="5">
        <f t="shared" si="8"/>
        <v>0</v>
      </c>
      <c r="X19" s="5"/>
      <c r="Y19" s="5"/>
      <c r="Z19" s="1">
        <f t="shared" si="9"/>
        <v>48.767192371171831</v>
      </c>
      <c r="AA19" s="1">
        <f t="shared" si="6"/>
        <v>48.767192371171831</v>
      </c>
      <c r="AB19" s="1">
        <v>3.7816000000000001</v>
      </c>
      <c r="AC19" s="1">
        <v>4.8881999999999994</v>
      </c>
      <c r="AD19" s="1">
        <v>4.0566000000000004</v>
      </c>
      <c r="AE19" s="1">
        <v>4.6651999999999996</v>
      </c>
      <c r="AF19" s="1">
        <v>3.0566</v>
      </c>
      <c r="AG19" s="1">
        <v>2.3746</v>
      </c>
      <c r="AH19" s="1">
        <v>4.1432000000000002</v>
      </c>
      <c r="AI19" s="1">
        <v>3.944</v>
      </c>
      <c r="AJ19" s="1">
        <v>3.7222</v>
      </c>
      <c r="AK19" s="1">
        <v>3.6394000000000002</v>
      </c>
      <c r="AL19" s="1"/>
      <c r="AM19" s="1">
        <f t="shared" si="10"/>
        <v>0</v>
      </c>
      <c r="AN19" s="1">
        <f t="shared" si="11"/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58</v>
      </c>
      <c r="B20" s="1" t="s">
        <v>39</v>
      </c>
      <c r="C20" s="1">
        <v>294.63299999999998</v>
      </c>
      <c r="D20" s="1">
        <v>567.25099999999998</v>
      </c>
      <c r="E20" s="1">
        <v>580.56799999999998</v>
      </c>
      <c r="F20" s="1">
        <v>193.101</v>
      </c>
      <c r="G20" s="7">
        <v>1</v>
      </c>
      <c r="H20" s="1">
        <v>60</v>
      </c>
      <c r="I20" s="1" t="s">
        <v>40</v>
      </c>
      <c r="J20" s="1"/>
      <c r="K20" s="1">
        <v>553.86</v>
      </c>
      <c r="L20" s="1">
        <f t="shared" si="4"/>
        <v>26.70799999999997</v>
      </c>
      <c r="M20" s="1"/>
      <c r="N20" s="1"/>
      <c r="O20" s="1">
        <v>163.04897347999989</v>
      </c>
      <c r="P20" s="1">
        <v>292.39508651999972</v>
      </c>
      <c r="Q20" s="1">
        <v>51.830577599999977</v>
      </c>
      <c r="R20" s="1">
        <v>257.2862968300002</v>
      </c>
      <c r="S20" s="1">
        <v>140.55860317000011</v>
      </c>
      <c r="T20" s="1">
        <f t="shared" si="5"/>
        <v>116.11359999999999</v>
      </c>
      <c r="U20" s="5">
        <f>12*T20-S20-R20-Q20-P20-O20-F20</f>
        <v>295.14266239999984</v>
      </c>
      <c r="V20" s="5">
        <f>IF(U20+T20*$V$1&lt;0,0,U20+T20*$V$1)</f>
        <v>188.31815039999984</v>
      </c>
      <c r="W20" s="5">
        <f t="shared" si="8"/>
        <v>188.31815039999984</v>
      </c>
      <c r="X20" s="5"/>
      <c r="Y20" s="5"/>
      <c r="Z20" s="1">
        <f t="shared" si="9"/>
        <v>11.08</v>
      </c>
      <c r="AA20" s="1">
        <f t="shared" si="6"/>
        <v>9.4581559576139238</v>
      </c>
      <c r="AB20" s="1">
        <v>108.0064</v>
      </c>
      <c r="AC20" s="1">
        <v>116.05880000000001</v>
      </c>
      <c r="AD20" s="1">
        <v>109.3682</v>
      </c>
      <c r="AE20" s="1">
        <v>106.7038</v>
      </c>
      <c r="AF20" s="1">
        <v>93.757199999999997</v>
      </c>
      <c r="AG20" s="1">
        <v>83.564999999999998</v>
      </c>
      <c r="AH20" s="1">
        <v>101.2552</v>
      </c>
      <c r="AI20" s="1">
        <v>100.88</v>
      </c>
      <c r="AJ20" s="1">
        <v>96.459800000000001</v>
      </c>
      <c r="AK20" s="1">
        <v>91.898200000000003</v>
      </c>
      <c r="AL20" s="1"/>
      <c r="AM20" s="1">
        <f t="shared" si="10"/>
        <v>188</v>
      </c>
      <c r="AN20" s="1">
        <f t="shared" si="11"/>
        <v>0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59</v>
      </c>
      <c r="B21" s="1" t="s">
        <v>39</v>
      </c>
      <c r="C21" s="1">
        <v>105.206</v>
      </c>
      <c r="D21" s="1">
        <v>86.619</v>
      </c>
      <c r="E21" s="1">
        <v>78.772000000000006</v>
      </c>
      <c r="F21" s="1">
        <v>58.429000000000002</v>
      </c>
      <c r="G21" s="7">
        <v>1</v>
      </c>
      <c r="H21" s="1">
        <v>70</v>
      </c>
      <c r="I21" s="1" t="s">
        <v>40</v>
      </c>
      <c r="J21" s="1"/>
      <c r="K21" s="1">
        <v>78.099999999999994</v>
      </c>
      <c r="L21" s="1">
        <f t="shared" si="4"/>
        <v>0.67200000000001125</v>
      </c>
      <c r="M21" s="1"/>
      <c r="N21" s="1"/>
      <c r="O21" s="1">
        <v>36.690775599999988</v>
      </c>
      <c r="P21" s="1">
        <v>65.797424399999997</v>
      </c>
      <c r="Q21" s="1">
        <v>80</v>
      </c>
      <c r="R21" s="1">
        <v>0</v>
      </c>
      <c r="S21" s="1"/>
      <c r="T21" s="1">
        <f t="shared" si="5"/>
        <v>15.7544</v>
      </c>
      <c r="U21" s="5"/>
      <c r="V21" s="5">
        <f t="shared" si="7"/>
        <v>0</v>
      </c>
      <c r="W21" s="5">
        <f t="shared" si="8"/>
        <v>0</v>
      </c>
      <c r="X21" s="5"/>
      <c r="Y21" s="5"/>
      <c r="Z21" s="1">
        <f t="shared" si="9"/>
        <v>15.292058091707712</v>
      </c>
      <c r="AA21" s="1">
        <f t="shared" si="6"/>
        <v>15.292058091707712</v>
      </c>
      <c r="AB21" s="1">
        <v>16.4846</v>
      </c>
      <c r="AC21" s="1">
        <v>22.352799999999998</v>
      </c>
      <c r="AD21" s="1">
        <v>24.495999999999999</v>
      </c>
      <c r="AE21" s="1">
        <v>22.382200000000001</v>
      </c>
      <c r="AF21" s="1">
        <v>17.047799999999999</v>
      </c>
      <c r="AG21" s="1">
        <v>9.0492000000000008</v>
      </c>
      <c r="AH21" s="1">
        <v>3.8969999999999998</v>
      </c>
      <c r="AI21" s="1">
        <v>14.3156</v>
      </c>
      <c r="AJ21" s="1">
        <v>26.117000000000001</v>
      </c>
      <c r="AK21" s="1">
        <v>34.8842</v>
      </c>
      <c r="AL21" s="1"/>
      <c r="AM21" s="1">
        <f t="shared" si="10"/>
        <v>0</v>
      </c>
      <c r="AN21" s="1">
        <f t="shared" si="11"/>
        <v>0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60</v>
      </c>
      <c r="B22" s="1" t="s">
        <v>39</v>
      </c>
      <c r="C22" s="1">
        <v>433.90699999999998</v>
      </c>
      <c r="D22" s="1">
        <v>189.31399999999999</v>
      </c>
      <c r="E22" s="1">
        <v>311.291</v>
      </c>
      <c r="F22" s="1">
        <v>215.25299999999999</v>
      </c>
      <c r="G22" s="7">
        <v>1</v>
      </c>
      <c r="H22" s="1">
        <v>70</v>
      </c>
      <c r="I22" s="1" t="s">
        <v>40</v>
      </c>
      <c r="J22" s="1"/>
      <c r="K22" s="1">
        <v>317.92</v>
      </c>
      <c r="L22" s="1">
        <f t="shared" si="4"/>
        <v>-6.6290000000000191</v>
      </c>
      <c r="M22" s="1"/>
      <c r="N22" s="1"/>
      <c r="O22" s="1">
        <v>0</v>
      </c>
      <c r="P22" s="1"/>
      <c r="Q22" s="1">
        <v>0</v>
      </c>
      <c r="R22" s="1">
        <v>97.004999999999995</v>
      </c>
      <c r="S22" s="1">
        <v>52.994999999999997</v>
      </c>
      <c r="T22" s="1">
        <f t="shared" si="5"/>
        <v>62.258200000000002</v>
      </c>
      <c r="U22" s="5">
        <f>12*T22-S22-R22-Q22-P22-O22-F22</f>
        <v>381.8454000000001</v>
      </c>
      <c r="V22" s="5">
        <f>IF(U22+T22*$V$1&lt;0,0,U22+T22*$V$1)</f>
        <v>324.56785600000012</v>
      </c>
      <c r="W22" s="5">
        <f t="shared" si="8"/>
        <v>324.56785600000012</v>
      </c>
      <c r="X22" s="5"/>
      <c r="Y22" s="5"/>
      <c r="Z22" s="1">
        <f t="shared" si="9"/>
        <v>11.08</v>
      </c>
      <c r="AA22" s="1">
        <f t="shared" si="6"/>
        <v>5.8667452640776636</v>
      </c>
      <c r="AB22" s="1">
        <v>39.357399999999998</v>
      </c>
      <c r="AC22" s="1">
        <v>11.5404</v>
      </c>
      <c r="AD22" s="1">
        <v>28.758400000000002</v>
      </c>
      <c r="AE22" s="1">
        <v>53.684199999999997</v>
      </c>
      <c r="AF22" s="1">
        <v>41.608600000000003</v>
      </c>
      <c r="AG22" s="1">
        <v>49.029400000000003</v>
      </c>
      <c r="AH22" s="1">
        <v>62.423000000000002</v>
      </c>
      <c r="AI22" s="1">
        <v>34.194200000000002</v>
      </c>
      <c r="AJ22" s="1">
        <v>23.361799999999999</v>
      </c>
      <c r="AK22" s="1">
        <v>40.968800000000002</v>
      </c>
      <c r="AL22" s="1"/>
      <c r="AM22" s="1">
        <f t="shared" si="10"/>
        <v>325</v>
      </c>
      <c r="AN22" s="1">
        <f t="shared" si="11"/>
        <v>0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61</v>
      </c>
      <c r="B23" s="1" t="s">
        <v>39</v>
      </c>
      <c r="C23" s="1">
        <v>13.345000000000001</v>
      </c>
      <c r="D23" s="1">
        <v>61.521000000000001</v>
      </c>
      <c r="E23" s="1">
        <v>14.868</v>
      </c>
      <c r="F23" s="1">
        <v>54.057000000000002</v>
      </c>
      <c r="G23" s="7">
        <v>1</v>
      </c>
      <c r="H23" s="1">
        <v>180</v>
      </c>
      <c r="I23" s="1" t="s">
        <v>40</v>
      </c>
      <c r="J23" s="1"/>
      <c r="K23" s="1">
        <v>16.34</v>
      </c>
      <c r="L23" s="1">
        <f t="shared" si="4"/>
        <v>-1.4719999999999995</v>
      </c>
      <c r="M23" s="1"/>
      <c r="N23" s="1"/>
      <c r="O23" s="1">
        <v>0</v>
      </c>
      <c r="P23" s="1"/>
      <c r="Q23" s="1">
        <v>40</v>
      </c>
      <c r="R23" s="1">
        <v>0</v>
      </c>
      <c r="S23" s="1"/>
      <c r="T23" s="1">
        <f t="shared" si="5"/>
        <v>2.9736000000000002</v>
      </c>
      <c r="U23" s="5"/>
      <c r="V23" s="5">
        <f t="shared" si="7"/>
        <v>0</v>
      </c>
      <c r="W23" s="5">
        <f t="shared" si="8"/>
        <v>0</v>
      </c>
      <c r="X23" s="5"/>
      <c r="Y23" s="5"/>
      <c r="Z23" s="1">
        <f t="shared" si="9"/>
        <v>31.630683346785041</v>
      </c>
      <c r="AA23" s="1">
        <f t="shared" si="6"/>
        <v>31.630683346785041</v>
      </c>
      <c r="AB23" s="1">
        <v>5.8298000000000014</v>
      </c>
      <c r="AC23" s="1">
        <v>7.3730000000000002</v>
      </c>
      <c r="AD23" s="1">
        <v>6.6054000000000004</v>
      </c>
      <c r="AE23" s="1">
        <v>5.7629999999999999</v>
      </c>
      <c r="AF23" s="1">
        <v>3.7181999999999999</v>
      </c>
      <c r="AG23" s="1">
        <v>3.5988000000000002</v>
      </c>
      <c r="AH23" s="1">
        <v>5.1424000000000003</v>
      </c>
      <c r="AI23" s="1">
        <v>4.5293999999999999</v>
      </c>
      <c r="AJ23" s="1">
        <v>3.9744000000000002</v>
      </c>
      <c r="AK23" s="1">
        <v>3.9765999999999999</v>
      </c>
      <c r="AL23" s="1"/>
      <c r="AM23" s="1">
        <f t="shared" si="10"/>
        <v>0</v>
      </c>
      <c r="AN23" s="1">
        <f t="shared" si="11"/>
        <v>0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62</v>
      </c>
      <c r="B24" s="1" t="s">
        <v>39</v>
      </c>
      <c r="C24" s="1">
        <v>-0.66</v>
      </c>
      <c r="D24" s="1">
        <v>631.65800000000002</v>
      </c>
      <c r="E24" s="1">
        <v>165.87799999999999</v>
      </c>
      <c r="F24" s="1">
        <v>371.86</v>
      </c>
      <c r="G24" s="7">
        <v>1</v>
      </c>
      <c r="H24" s="1">
        <v>70</v>
      </c>
      <c r="I24" s="1" t="s">
        <v>40</v>
      </c>
      <c r="J24" s="1"/>
      <c r="K24" s="1">
        <v>162.66</v>
      </c>
      <c r="L24" s="1">
        <f t="shared" si="4"/>
        <v>3.2179999999999893</v>
      </c>
      <c r="M24" s="1"/>
      <c r="N24" s="1"/>
      <c r="O24" s="1">
        <v>78.145041919999983</v>
      </c>
      <c r="P24" s="1">
        <v>140.13719807999999</v>
      </c>
      <c r="Q24" s="1">
        <v>100</v>
      </c>
      <c r="R24" s="1">
        <v>0</v>
      </c>
      <c r="S24" s="1"/>
      <c r="T24" s="1">
        <f t="shared" si="5"/>
        <v>33.175599999999996</v>
      </c>
      <c r="U24" s="5"/>
      <c r="V24" s="5">
        <f t="shared" si="7"/>
        <v>0</v>
      </c>
      <c r="W24" s="5">
        <f t="shared" si="8"/>
        <v>0</v>
      </c>
      <c r="X24" s="5"/>
      <c r="Y24" s="5"/>
      <c r="Z24" s="1">
        <f t="shared" si="9"/>
        <v>20.802705602912987</v>
      </c>
      <c r="AA24" s="1">
        <f t="shared" si="6"/>
        <v>20.802705602912987</v>
      </c>
      <c r="AB24" s="1">
        <v>9.6808000000000014</v>
      </c>
      <c r="AC24" s="1">
        <v>38.4602</v>
      </c>
      <c r="AD24" s="1">
        <v>59.980400000000003</v>
      </c>
      <c r="AE24" s="1">
        <v>59.779200000000003</v>
      </c>
      <c r="AF24" s="1">
        <v>49.711799999999997</v>
      </c>
      <c r="AG24" s="1">
        <v>20.7958</v>
      </c>
      <c r="AH24" s="1">
        <v>15.2098</v>
      </c>
      <c r="AI24" s="1">
        <v>26.774000000000001</v>
      </c>
      <c r="AJ24" s="1">
        <v>43.232399999999998</v>
      </c>
      <c r="AK24" s="1">
        <v>29.524999999999999</v>
      </c>
      <c r="AL24" s="1"/>
      <c r="AM24" s="1">
        <f t="shared" si="10"/>
        <v>0</v>
      </c>
      <c r="AN24" s="1">
        <f t="shared" si="11"/>
        <v>0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1" t="s">
        <v>63</v>
      </c>
      <c r="B25" s="11" t="s">
        <v>39</v>
      </c>
      <c r="C25" s="11"/>
      <c r="D25" s="11"/>
      <c r="E25" s="11"/>
      <c r="F25" s="11"/>
      <c r="G25" s="12">
        <v>0</v>
      </c>
      <c r="H25" s="11"/>
      <c r="I25" s="11" t="s">
        <v>40</v>
      </c>
      <c r="J25" s="11"/>
      <c r="K25" s="11"/>
      <c r="L25" s="11">
        <f t="shared" si="4"/>
        <v>0</v>
      </c>
      <c r="M25" s="11"/>
      <c r="N25" s="11"/>
      <c r="O25" s="11">
        <v>0</v>
      </c>
      <c r="P25" s="11"/>
      <c r="Q25" s="11">
        <v>0</v>
      </c>
      <c r="R25" s="11">
        <v>0</v>
      </c>
      <c r="S25" s="11"/>
      <c r="T25" s="11">
        <f t="shared" si="5"/>
        <v>0</v>
      </c>
      <c r="U25" s="13"/>
      <c r="V25" s="5">
        <f t="shared" si="7"/>
        <v>0</v>
      </c>
      <c r="W25" s="5">
        <f t="shared" si="8"/>
        <v>0</v>
      </c>
      <c r="X25" s="5"/>
      <c r="Y25" s="5"/>
      <c r="Z25" s="1" t="e">
        <f t="shared" si="9"/>
        <v>#DIV/0!</v>
      </c>
      <c r="AA25" s="11" t="e">
        <f t="shared" si="6"/>
        <v>#DIV/0!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 t="s">
        <v>50</v>
      </c>
      <c r="AM25" s="1">
        <f t="shared" si="10"/>
        <v>0</v>
      </c>
      <c r="AN25" s="1">
        <f t="shared" si="11"/>
        <v>0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64</v>
      </c>
      <c r="B26" s="1" t="s">
        <v>39</v>
      </c>
      <c r="C26" s="1">
        <v>116.455</v>
      </c>
      <c r="D26" s="1">
        <v>1.3120000000000001</v>
      </c>
      <c r="E26" s="1">
        <v>97.328000000000003</v>
      </c>
      <c r="F26" s="1">
        <v>10.207000000000001</v>
      </c>
      <c r="G26" s="7">
        <v>1</v>
      </c>
      <c r="H26" s="1">
        <v>30</v>
      </c>
      <c r="I26" s="9" t="s">
        <v>40</v>
      </c>
      <c r="J26" s="1"/>
      <c r="K26" s="1">
        <v>148</v>
      </c>
      <c r="L26" s="1">
        <f t="shared" si="4"/>
        <v>-50.671999999999997</v>
      </c>
      <c r="M26" s="1"/>
      <c r="N26" s="1"/>
      <c r="O26" s="1">
        <v>45.757426319999993</v>
      </c>
      <c r="P26" s="1">
        <v>82.056613680000012</v>
      </c>
      <c r="Q26" s="1">
        <v>82</v>
      </c>
      <c r="R26" s="1">
        <v>123.517216672</v>
      </c>
      <c r="S26" s="1">
        <v>67.478943328000014</v>
      </c>
      <c r="T26" s="1">
        <f t="shared" si="5"/>
        <v>19.465600000000002</v>
      </c>
      <c r="U26" s="5"/>
      <c r="V26" s="5">
        <f t="shared" si="7"/>
        <v>0</v>
      </c>
      <c r="W26" s="5">
        <f t="shared" si="8"/>
        <v>0</v>
      </c>
      <c r="X26" s="5"/>
      <c r="Y26" s="5"/>
      <c r="Z26" s="1">
        <f t="shared" si="9"/>
        <v>21.115054249547917</v>
      </c>
      <c r="AA26" s="1">
        <f t="shared" si="6"/>
        <v>21.115054249547917</v>
      </c>
      <c r="AB26" s="1">
        <v>37.365200000000002</v>
      </c>
      <c r="AC26" s="1">
        <v>37.8568</v>
      </c>
      <c r="AD26" s="1">
        <v>32.292400000000001</v>
      </c>
      <c r="AE26" s="1">
        <v>32.898400000000002</v>
      </c>
      <c r="AF26" s="1">
        <v>27.629000000000001</v>
      </c>
      <c r="AG26" s="1">
        <v>6.3411999999999997</v>
      </c>
      <c r="AH26" s="1">
        <v>10.604200000000001</v>
      </c>
      <c r="AI26" s="1">
        <v>23.606999999999999</v>
      </c>
      <c r="AJ26" s="1">
        <v>42.3446</v>
      </c>
      <c r="AK26" s="1">
        <v>36.757199999999997</v>
      </c>
      <c r="AL26" s="1" t="s">
        <v>65</v>
      </c>
      <c r="AM26" s="1">
        <f t="shared" si="10"/>
        <v>0</v>
      </c>
      <c r="AN26" s="1">
        <f t="shared" si="11"/>
        <v>0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66</v>
      </c>
      <c r="B27" s="1" t="s">
        <v>39</v>
      </c>
      <c r="C27" s="1">
        <v>7.3209999999999997</v>
      </c>
      <c r="D27" s="1">
        <v>125.261</v>
      </c>
      <c r="E27" s="1">
        <v>31.311</v>
      </c>
      <c r="F27" s="1">
        <v>54.872999999999998</v>
      </c>
      <c r="G27" s="7">
        <v>1</v>
      </c>
      <c r="H27" s="1">
        <v>40</v>
      </c>
      <c r="I27" s="10" t="s">
        <v>43</v>
      </c>
      <c r="J27" s="1"/>
      <c r="K27" s="1">
        <v>41.15</v>
      </c>
      <c r="L27" s="1">
        <f t="shared" si="4"/>
        <v>-9.8389999999999986</v>
      </c>
      <c r="M27" s="1"/>
      <c r="N27" s="1"/>
      <c r="O27" s="1">
        <v>87.747540000000015</v>
      </c>
      <c r="P27" s="1"/>
      <c r="Q27" s="1">
        <v>0</v>
      </c>
      <c r="R27" s="1">
        <v>0</v>
      </c>
      <c r="S27" s="1"/>
      <c r="T27" s="1">
        <f t="shared" si="5"/>
        <v>6.2622</v>
      </c>
      <c r="U27" s="5"/>
      <c r="V27" s="5">
        <f t="shared" si="7"/>
        <v>0</v>
      </c>
      <c r="W27" s="5">
        <f t="shared" si="8"/>
        <v>0</v>
      </c>
      <c r="X27" s="5"/>
      <c r="Y27" s="5"/>
      <c r="Z27" s="1">
        <f t="shared" si="9"/>
        <v>22.774829931972789</v>
      </c>
      <c r="AA27" s="1">
        <f t="shared" si="6"/>
        <v>22.774829931972789</v>
      </c>
      <c r="AB27" s="1">
        <v>7.4394000000000009</v>
      </c>
      <c r="AC27" s="1">
        <v>13.057</v>
      </c>
      <c r="AD27" s="1">
        <v>16.609400000000001</v>
      </c>
      <c r="AE27" s="1">
        <v>17.7974</v>
      </c>
      <c r="AF27" s="1">
        <v>8.8981999999999992</v>
      </c>
      <c r="AG27" s="1">
        <v>0</v>
      </c>
      <c r="AH27" s="1">
        <v>0</v>
      </c>
      <c r="AI27" s="1">
        <v>7.3483999999999998</v>
      </c>
      <c r="AJ27" s="1">
        <v>12.615399999999999</v>
      </c>
      <c r="AK27" s="1">
        <v>10.5562</v>
      </c>
      <c r="AL27" s="1"/>
      <c r="AM27" s="1">
        <f t="shared" si="10"/>
        <v>0</v>
      </c>
      <c r="AN27" s="1">
        <f t="shared" si="11"/>
        <v>0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67</v>
      </c>
      <c r="B28" s="1" t="s">
        <v>39</v>
      </c>
      <c r="C28" s="1">
        <v>50.002000000000002</v>
      </c>
      <c r="D28" s="1">
        <v>552.28499999999997</v>
      </c>
      <c r="E28" s="1">
        <v>332.63600000000002</v>
      </c>
      <c r="F28" s="1">
        <v>192.786</v>
      </c>
      <c r="G28" s="7">
        <v>1</v>
      </c>
      <c r="H28" s="1">
        <v>30</v>
      </c>
      <c r="I28" s="10" t="s">
        <v>43</v>
      </c>
      <c r="J28" s="1"/>
      <c r="K28" s="1">
        <v>361.85</v>
      </c>
      <c r="L28" s="1">
        <f t="shared" si="4"/>
        <v>-29.213999999999999</v>
      </c>
      <c r="M28" s="1"/>
      <c r="N28" s="1"/>
      <c r="O28" s="1">
        <v>92.426313480000061</v>
      </c>
      <c r="P28" s="1">
        <v>165.74774652000011</v>
      </c>
      <c r="Q28" s="1">
        <v>80</v>
      </c>
      <c r="R28" s="1">
        <v>0</v>
      </c>
      <c r="S28" s="1"/>
      <c r="T28" s="1">
        <f t="shared" si="5"/>
        <v>66.527200000000008</v>
      </c>
      <c r="U28" s="5">
        <f t="shared" ref="U28:U29" si="14">12*T28-S28-R28-Q28-P28-O28-F28</f>
        <v>267.36633999999998</v>
      </c>
      <c r="V28" s="5">
        <f>IF(U28+T28*$V$1&lt;0,0,U28+T28*$V$1)</f>
        <v>206.16131599999997</v>
      </c>
      <c r="W28" s="5">
        <f t="shared" si="8"/>
        <v>206.16131599999997</v>
      </c>
      <c r="X28" s="5"/>
      <c r="Y28" s="5"/>
      <c r="Z28" s="1">
        <f t="shared" si="9"/>
        <v>11.08</v>
      </c>
      <c r="AA28" s="1">
        <f t="shared" si="6"/>
        <v>7.9810973556680587</v>
      </c>
      <c r="AB28" s="1">
        <v>40.445</v>
      </c>
      <c r="AC28" s="1">
        <v>57.122799999999998</v>
      </c>
      <c r="AD28" s="1">
        <v>66.4786</v>
      </c>
      <c r="AE28" s="1">
        <v>64.301599999999993</v>
      </c>
      <c r="AF28" s="1">
        <v>64.790199999999999</v>
      </c>
      <c r="AG28" s="1">
        <v>41.290999999999997</v>
      </c>
      <c r="AH28" s="1">
        <v>19.9512</v>
      </c>
      <c r="AI28" s="1">
        <v>38.483400000000003</v>
      </c>
      <c r="AJ28" s="1">
        <v>61.430199999999999</v>
      </c>
      <c r="AK28" s="1">
        <v>40.460999999999999</v>
      </c>
      <c r="AL28" s="1"/>
      <c r="AM28" s="1">
        <f t="shared" si="10"/>
        <v>206</v>
      </c>
      <c r="AN28" s="1">
        <f t="shared" si="11"/>
        <v>0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68</v>
      </c>
      <c r="B29" s="1" t="s">
        <v>39</v>
      </c>
      <c r="C29" s="1">
        <v>1012.552</v>
      </c>
      <c r="D29" s="1"/>
      <c r="E29" s="1">
        <v>582.68100000000004</v>
      </c>
      <c r="F29" s="1">
        <v>342.71499999999997</v>
      </c>
      <c r="G29" s="7">
        <v>1</v>
      </c>
      <c r="H29" s="1">
        <v>40</v>
      </c>
      <c r="I29" s="1" t="s">
        <v>40</v>
      </c>
      <c r="J29" s="1"/>
      <c r="K29" s="1">
        <v>567.6</v>
      </c>
      <c r="L29" s="1">
        <f t="shared" si="4"/>
        <v>15.081000000000017</v>
      </c>
      <c r="M29" s="1"/>
      <c r="N29" s="1"/>
      <c r="O29" s="1">
        <v>117.8806433199999</v>
      </c>
      <c r="P29" s="1">
        <v>211.3948966799999</v>
      </c>
      <c r="Q29" s="1">
        <v>176.08394999999999</v>
      </c>
      <c r="R29" s="1">
        <v>303.3908396970001</v>
      </c>
      <c r="S29" s="1">
        <v>165.7460703030001</v>
      </c>
      <c r="T29" s="1">
        <f t="shared" si="5"/>
        <v>116.53620000000001</v>
      </c>
      <c r="U29" s="5">
        <f t="shared" si="14"/>
        <v>81.223000000000241</v>
      </c>
      <c r="V29" s="5">
        <f t="shared" si="7"/>
        <v>81.223000000000241</v>
      </c>
      <c r="W29" s="5">
        <f t="shared" si="8"/>
        <v>81.223000000000241</v>
      </c>
      <c r="X29" s="5"/>
      <c r="Y29" s="5"/>
      <c r="Z29" s="1">
        <f t="shared" si="9"/>
        <v>12</v>
      </c>
      <c r="AA29" s="1">
        <f t="shared" si="6"/>
        <v>11.303023438210614</v>
      </c>
      <c r="AB29" s="1">
        <v>126.351</v>
      </c>
      <c r="AC29" s="1">
        <v>140.11259999999999</v>
      </c>
      <c r="AD29" s="1">
        <v>119.8394</v>
      </c>
      <c r="AE29" s="1">
        <v>111.0528</v>
      </c>
      <c r="AF29" s="1">
        <v>94.69</v>
      </c>
      <c r="AG29" s="1">
        <v>89.814400000000006</v>
      </c>
      <c r="AH29" s="1">
        <v>149.56479999999999</v>
      </c>
      <c r="AI29" s="1">
        <v>192.89240000000001</v>
      </c>
      <c r="AJ29" s="1">
        <v>98.930399999999992</v>
      </c>
      <c r="AK29" s="1">
        <v>1.2E-2</v>
      </c>
      <c r="AL29" s="1"/>
      <c r="AM29" s="1">
        <f t="shared" si="10"/>
        <v>81</v>
      </c>
      <c r="AN29" s="1">
        <f t="shared" si="11"/>
        <v>0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69</v>
      </c>
      <c r="B30" s="1" t="s">
        <v>39</v>
      </c>
      <c r="C30" s="1">
        <v>17.562999999999999</v>
      </c>
      <c r="D30" s="1">
        <v>8.86</v>
      </c>
      <c r="E30" s="1">
        <v>18.972999999999999</v>
      </c>
      <c r="F30" s="1">
        <v>5.968</v>
      </c>
      <c r="G30" s="7">
        <v>1</v>
      </c>
      <c r="H30" s="1">
        <v>40</v>
      </c>
      <c r="I30" s="1" t="s">
        <v>40</v>
      </c>
      <c r="J30" s="1"/>
      <c r="K30" s="1">
        <v>17.8</v>
      </c>
      <c r="L30" s="1">
        <f t="shared" si="4"/>
        <v>1.1729999999999983</v>
      </c>
      <c r="M30" s="1"/>
      <c r="N30" s="1"/>
      <c r="O30" s="1">
        <v>38.551280000000013</v>
      </c>
      <c r="P30" s="1"/>
      <c r="Q30" s="1">
        <v>0</v>
      </c>
      <c r="R30" s="1">
        <v>19.62751999999999</v>
      </c>
      <c r="S30" s="1"/>
      <c r="T30" s="1">
        <f t="shared" si="5"/>
        <v>3.7946</v>
      </c>
      <c r="U30" s="5"/>
      <c r="V30" s="5">
        <f t="shared" si="7"/>
        <v>0</v>
      </c>
      <c r="W30" s="5">
        <f t="shared" si="8"/>
        <v>0</v>
      </c>
      <c r="X30" s="5"/>
      <c r="Y30" s="5"/>
      <c r="Z30" s="1">
        <f t="shared" si="9"/>
        <v>16.904759394929638</v>
      </c>
      <c r="AA30" s="1">
        <f t="shared" si="6"/>
        <v>16.904759394929638</v>
      </c>
      <c r="AB30" s="1">
        <v>6.1124000000000001</v>
      </c>
      <c r="AC30" s="1">
        <v>4.9554</v>
      </c>
      <c r="AD30" s="1">
        <v>5.2368000000000006</v>
      </c>
      <c r="AE30" s="1">
        <v>3.7707999999999999</v>
      </c>
      <c r="AF30" s="1">
        <v>0</v>
      </c>
      <c r="AG30" s="1">
        <v>-0.13400000000000001</v>
      </c>
      <c r="AH30" s="1">
        <v>3.38</v>
      </c>
      <c r="AI30" s="1">
        <v>3.5139999999999998</v>
      </c>
      <c r="AJ30" s="1">
        <v>0.9071999999999999</v>
      </c>
      <c r="AK30" s="1">
        <v>5.9954000000000001</v>
      </c>
      <c r="AL30" s="1"/>
      <c r="AM30" s="1">
        <f t="shared" si="10"/>
        <v>0</v>
      </c>
      <c r="AN30" s="1">
        <f t="shared" si="11"/>
        <v>0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70</v>
      </c>
      <c r="B31" s="1" t="s">
        <v>39</v>
      </c>
      <c r="C31" s="1">
        <v>53.536999999999999</v>
      </c>
      <c r="D31" s="1">
        <v>61.518000000000001</v>
      </c>
      <c r="E31" s="1">
        <v>82.147999999999996</v>
      </c>
      <c r="F31" s="1">
        <v>21.294</v>
      </c>
      <c r="G31" s="7">
        <v>1</v>
      </c>
      <c r="H31" s="1">
        <v>30</v>
      </c>
      <c r="I31" s="10" t="s">
        <v>43</v>
      </c>
      <c r="J31" s="1"/>
      <c r="K31" s="1">
        <v>76.45</v>
      </c>
      <c r="L31" s="1">
        <f t="shared" si="4"/>
        <v>5.6979999999999933</v>
      </c>
      <c r="M31" s="1"/>
      <c r="N31" s="1"/>
      <c r="O31" s="1">
        <v>0</v>
      </c>
      <c r="P31" s="1"/>
      <c r="Q31" s="1">
        <v>15.4526</v>
      </c>
      <c r="R31" s="1">
        <v>78.062600000000032</v>
      </c>
      <c r="S31" s="1"/>
      <c r="T31" s="1">
        <f t="shared" si="5"/>
        <v>16.429600000000001</v>
      </c>
      <c r="U31" s="5">
        <f t="shared" ref="U31:U32" si="15">12*T31-S31-R31-Q31-P31-O31-F31</f>
        <v>82.345999999999975</v>
      </c>
      <c r="V31" s="5">
        <f t="shared" si="7"/>
        <v>82.345999999999975</v>
      </c>
      <c r="W31" s="5">
        <f t="shared" si="8"/>
        <v>82.345999999999975</v>
      </c>
      <c r="X31" s="5"/>
      <c r="Y31" s="5"/>
      <c r="Z31" s="1">
        <f t="shared" si="9"/>
        <v>12</v>
      </c>
      <c r="AA31" s="1">
        <f t="shared" si="6"/>
        <v>6.987948580610607</v>
      </c>
      <c r="AB31" s="1">
        <v>15.0852</v>
      </c>
      <c r="AC31" s="1">
        <v>9.6898</v>
      </c>
      <c r="AD31" s="1">
        <v>1.4954000000000001</v>
      </c>
      <c r="AE31" s="1">
        <v>-0.752</v>
      </c>
      <c r="AF31" s="1">
        <v>-0.97</v>
      </c>
      <c r="AG31" s="1">
        <v>-0.218</v>
      </c>
      <c r="AH31" s="1">
        <v>10.932600000000001</v>
      </c>
      <c r="AI31" s="1">
        <v>12.9648</v>
      </c>
      <c r="AJ31" s="1">
        <v>-4.0000000000000002E-4</v>
      </c>
      <c r="AK31" s="1">
        <v>1.3251999999999999</v>
      </c>
      <c r="AL31" s="1"/>
      <c r="AM31" s="1">
        <f t="shared" si="10"/>
        <v>82</v>
      </c>
      <c r="AN31" s="1">
        <f t="shared" si="11"/>
        <v>0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71</v>
      </c>
      <c r="B32" s="1" t="s">
        <v>39</v>
      </c>
      <c r="C32" s="1">
        <v>243.25</v>
      </c>
      <c r="D32" s="1">
        <v>84.323999999999998</v>
      </c>
      <c r="E32" s="1">
        <v>99.168999999999997</v>
      </c>
      <c r="F32" s="1">
        <v>207.499</v>
      </c>
      <c r="G32" s="7">
        <v>1</v>
      </c>
      <c r="H32" s="1">
        <v>50</v>
      </c>
      <c r="I32" s="1" t="s">
        <v>40</v>
      </c>
      <c r="J32" s="1"/>
      <c r="K32" s="1">
        <v>87.3</v>
      </c>
      <c r="L32" s="1">
        <f t="shared" si="4"/>
        <v>11.869</v>
      </c>
      <c r="M32" s="1"/>
      <c r="N32" s="1"/>
      <c r="O32" s="1">
        <v>0</v>
      </c>
      <c r="P32" s="1"/>
      <c r="Q32" s="1">
        <v>0</v>
      </c>
      <c r="R32" s="1">
        <v>0</v>
      </c>
      <c r="S32" s="1"/>
      <c r="T32" s="1">
        <f t="shared" si="5"/>
        <v>19.8338</v>
      </c>
      <c r="U32" s="5">
        <f t="shared" si="15"/>
        <v>30.50660000000002</v>
      </c>
      <c r="V32" s="5">
        <f t="shared" si="7"/>
        <v>30.50660000000002</v>
      </c>
      <c r="W32" s="5">
        <f t="shared" si="8"/>
        <v>30.50660000000002</v>
      </c>
      <c r="X32" s="5"/>
      <c r="Y32" s="5"/>
      <c r="Z32" s="1">
        <f t="shared" si="9"/>
        <v>12</v>
      </c>
      <c r="AA32" s="1">
        <f t="shared" si="6"/>
        <v>10.46188829170406</v>
      </c>
      <c r="AB32" s="1">
        <v>12.243600000000001</v>
      </c>
      <c r="AC32" s="1">
        <v>6.5584000000000007</v>
      </c>
      <c r="AD32" s="1">
        <v>10.5198</v>
      </c>
      <c r="AE32" s="1">
        <v>18.317599999999999</v>
      </c>
      <c r="AF32" s="1">
        <v>15.9734</v>
      </c>
      <c r="AG32" s="1">
        <v>13.6462</v>
      </c>
      <c r="AH32" s="1">
        <v>19.478000000000002</v>
      </c>
      <c r="AI32" s="1">
        <v>10.740600000000001</v>
      </c>
      <c r="AJ32" s="1">
        <v>3.1267999999999998</v>
      </c>
      <c r="AK32" s="1">
        <v>19.297999999999998</v>
      </c>
      <c r="AL32" s="1"/>
      <c r="AM32" s="1">
        <f t="shared" si="10"/>
        <v>31</v>
      </c>
      <c r="AN32" s="1">
        <f t="shared" si="11"/>
        <v>0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72</v>
      </c>
      <c r="B33" s="1" t="s">
        <v>39</v>
      </c>
      <c r="C33" s="1">
        <v>5.4880000000000004</v>
      </c>
      <c r="D33" s="1">
        <v>202.33600000000001</v>
      </c>
      <c r="E33" s="1">
        <v>40.076000000000001</v>
      </c>
      <c r="F33" s="1">
        <v>157.69</v>
      </c>
      <c r="G33" s="7">
        <v>1</v>
      </c>
      <c r="H33" s="1">
        <v>50</v>
      </c>
      <c r="I33" s="1" t="s">
        <v>40</v>
      </c>
      <c r="J33" s="1"/>
      <c r="K33" s="1">
        <v>63.4</v>
      </c>
      <c r="L33" s="1">
        <f t="shared" si="4"/>
        <v>-23.323999999999998</v>
      </c>
      <c r="M33" s="1"/>
      <c r="N33" s="1"/>
      <c r="O33" s="1">
        <v>0</v>
      </c>
      <c r="P33" s="1"/>
      <c r="Q33" s="1">
        <v>0</v>
      </c>
      <c r="R33" s="1">
        <v>0</v>
      </c>
      <c r="S33" s="1"/>
      <c r="T33" s="1">
        <f t="shared" si="5"/>
        <v>8.0152000000000001</v>
      </c>
      <c r="U33" s="5"/>
      <c r="V33" s="5">
        <f t="shared" si="7"/>
        <v>0</v>
      </c>
      <c r="W33" s="5">
        <f t="shared" si="8"/>
        <v>0</v>
      </c>
      <c r="X33" s="5"/>
      <c r="Y33" s="5"/>
      <c r="Z33" s="1">
        <f t="shared" si="9"/>
        <v>19.673869647669427</v>
      </c>
      <c r="AA33" s="1">
        <f t="shared" si="6"/>
        <v>19.673869647669427</v>
      </c>
      <c r="AB33" s="1">
        <v>-0.1784</v>
      </c>
      <c r="AC33" s="1">
        <v>0.92579999999999996</v>
      </c>
      <c r="AD33" s="1">
        <v>6.6242000000000001</v>
      </c>
      <c r="AE33" s="1">
        <v>13.944000000000001</v>
      </c>
      <c r="AF33" s="1">
        <v>10.803599999999999</v>
      </c>
      <c r="AG33" s="1">
        <v>4.2084000000000001</v>
      </c>
      <c r="AH33" s="1">
        <v>2.0131999999999999</v>
      </c>
      <c r="AI33" s="1">
        <v>5.2670000000000003</v>
      </c>
      <c r="AJ33" s="1">
        <v>7.9817999999999998</v>
      </c>
      <c r="AK33" s="1">
        <v>10.100199999999999</v>
      </c>
      <c r="AL33" s="1"/>
      <c r="AM33" s="1">
        <f t="shared" si="10"/>
        <v>0</v>
      </c>
      <c r="AN33" s="1">
        <f t="shared" si="11"/>
        <v>0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73</v>
      </c>
      <c r="B34" s="1" t="s">
        <v>45</v>
      </c>
      <c r="C34" s="1">
        <v>-8</v>
      </c>
      <c r="D34" s="1">
        <v>1278</v>
      </c>
      <c r="E34" s="1">
        <v>538</v>
      </c>
      <c r="F34" s="1">
        <v>425</v>
      </c>
      <c r="G34" s="7">
        <v>0.4</v>
      </c>
      <c r="H34" s="1">
        <v>45</v>
      </c>
      <c r="I34" s="10" t="s">
        <v>43</v>
      </c>
      <c r="J34" s="1"/>
      <c r="K34" s="1">
        <v>633</v>
      </c>
      <c r="L34" s="1">
        <f t="shared" si="4"/>
        <v>-95</v>
      </c>
      <c r="M34" s="1"/>
      <c r="N34" s="1"/>
      <c r="O34" s="1">
        <v>342.76352000000009</v>
      </c>
      <c r="P34" s="1">
        <v>614.6764800000002</v>
      </c>
      <c r="Q34" s="1">
        <v>0</v>
      </c>
      <c r="R34" s="1">
        <v>0</v>
      </c>
      <c r="S34" s="1"/>
      <c r="T34" s="1">
        <f t="shared" si="5"/>
        <v>107.6</v>
      </c>
      <c r="U34" s="5"/>
      <c r="V34" s="5">
        <f t="shared" si="7"/>
        <v>0</v>
      </c>
      <c r="W34" s="5">
        <f t="shared" si="8"/>
        <v>0</v>
      </c>
      <c r="X34" s="5"/>
      <c r="Y34" s="5"/>
      <c r="Z34" s="1">
        <f t="shared" si="9"/>
        <v>12.847955390334576</v>
      </c>
      <c r="AA34" s="1">
        <f t="shared" si="6"/>
        <v>12.847955390334576</v>
      </c>
      <c r="AB34" s="1">
        <v>64.8</v>
      </c>
      <c r="AC34" s="1">
        <v>103.2</v>
      </c>
      <c r="AD34" s="1">
        <v>168.4</v>
      </c>
      <c r="AE34" s="1">
        <v>133</v>
      </c>
      <c r="AF34" s="1">
        <v>89.8</v>
      </c>
      <c r="AG34" s="1">
        <v>51</v>
      </c>
      <c r="AH34" s="1">
        <v>40.799999999999997</v>
      </c>
      <c r="AI34" s="1">
        <v>105.6</v>
      </c>
      <c r="AJ34" s="1">
        <v>80.8</v>
      </c>
      <c r="AK34" s="1">
        <v>39.799999999999997</v>
      </c>
      <c r="AL34" s="1"/>
      <c r="AM34" s="1">
        <f t="shared" si="10"/>
        <v>0</v>
      </c>
      <c r="AN34" s="1">
        <f t="shared" si="11"/>
        <v>0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74</v>
      </c>
      <c r="B35" s="1" t="s">
        <v>45</v>
      </c>
      <c r="C35" s="1">
        <v>6</v>
      </c>
      <c r="D35" s="1">
        <v>363</v>
      </c>
      <c r="E35" s="1">
        <v>102</v>
      </c>
      <c r="F35" s="1">
        <v>14</v>
      </c>
      <c r="G35" s="7">
        <v>0.45</v>
      </c>
      <c r="H35" s="1">
        <v>50</v>
      </c>
      <c r="I35" s="1" t="s">
        <v>40</v>
      </c>
      <c r="J35" s="1"/>
      <c r="K35" s="1">
        <v>204</v>
      </c>
      <c r="L35" s="1">
        <f t="shared" si="4"/>
        <v>-102</v>
      </c>
      <c r="M35" s="1"/>
      <c r="N35" s="1"/>
      <c r="O35" s="1">
        <v>0</v>
      </c>
      <c r="P35" s="1"/>
      <c r="Q35" s="1">
        <v>99.840000000000046</v>
      </c>
      <c r="R35" s="1">
        <v>100</v>
      </c>
      <c r="S35" s="1"/>
      <c r="T35" s="1">
        <f t="shared" si="5"/>
        <v>20.399999999999999</v>
      </c>
      <c r="U35" s="5">
        <f>12*T35-S35-R35-Q35-P35-O35-F35</f>
        <v>30.959999999999937</v>
      </c>
      <c r="V35" s="5">
        <f t="shared" si="7"/>
        <v>30.959999999999937</v>
      </c>
      <c r="W35" s="5">
        <f t="shared" si="8"/>
        <v>30.959999999999937</v>
      </c>
      <c r="X35" s="5"/>
      <c r="Y35" s="5"/>
      <c r="Z35" s="1">
        <f t="shared" si="9"/>
        <v>11.999999999999998</v>
      </c>
      <c r="AA35" s="1">
        <f t="shared" si="6"/>
        <v>10.482352941176472</v>
      </c>
      <c r="AB35" s="1">
        <v>32.6</v>
      </c>
      <c r="AC35" s="1">
        <v>41.6</v>
      </c>
      <c r="AD35" s="1">
        <v>38.6</v>
      </c>
      <c r="AE35" s="1">
        <v>52.6</v>
      </c>
      <c r="AF35" s="1">
        <v>25.8</v>
      </c>
      <c r="AG35" s="1">
        <v>12.8</v>
      </c>
      <c r="AH35" s="1">
        <v>24</v>
      </c>
      <c r="AI35" s="1">
        <v>29.4</v>
      </c>
      <c r="AJ35" s="1">
        <v>42.2</v>
      </c>
      <c r="AK35" s="1">
        <v>38.799999999999997</v>
      </c>
      <c r="AL35" s="1"/>
      <c r="AM35" s="1">
        <f t="shared" si="10"/>
        <v>14</v>
      </c>
      <c r="AN35" s="1">
        <f t="shared" si="11"/>
        <v>0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75</v>
      </c>
      <c r="B36" s="1" t="s">
        <v>45</v>
      </c>
      <c r="C36" s="1">
        <v>-23</v>
      </c>
      <c r="D36" s="1">
        <v>276</v>
      </c>
      <c r="E36" s="1">
        <v>138</v>
      </c>
      <c r="F36" s="1">
        <v>-33</v>
      </c>
      <c r="G36" s="7">
        <v>0.4</v>
      </c>
      <c r="H36" s="1">
        <v>45</v>
      </c>
      <c r="I36" s="1" t="s">
        <v>40</v>
      </c>
      <c r="J36" s="1"/>
      <c r="K36" s="1">
        <v>192</v>
      </c>
      <c r="L36" s="1">
        <f t="shared" si="4"/>
        <v>-54</v>
      </c>
      <c r="M36" s="1"/>
      <c r="N36" s="1"/>
      <c r="O36" s="1">
        <v>199.6566</v>
      </c>
      <c r="P36" s="1">
        <v>358.04340000000002</v>
      </c>
      <c r="Q36" s="1">
        <v>367.18999999999971</v>
      </c>
      <c r="R36" s="1">
        <v>0</v>
      </c>
      <c r="S36" s="1"/>
      <c r="T36" s="1">
        <f t="shared" si="5"/>
        <v>27.6</v>
      </c>
      <c r="U36" s="5"/>
      <c r="V36" s="5">
        <f t="shared" si="7"/>
        <v>0</v>
      </c>
      <c r="W36" s="5">
        <f t="shared" si="8"/>
        <v>0</v>
      </c>
      <c r="X36" s="5"/>
      <c r="Y36" s="5"/>
      <c r="Z36" s="1">
        <f t="shared" si="9"/>
        <v>32.314855072463757</v>
      </c>
      <c r="AA36" s="1">
        <f t="shared" si="6"/>
        <v>32.314855072463757</v>
      </c>
      <c r="AB36" s="1">
        <v>66.8</v>
      </c>
      <c r="AC36" s="1">
        <v>104.6</v>
      </c>
      <c r="AD36" s="1">
        <v>81</v>
      </c>
      <c r="AE36" s="1">
        <v>54.2</v>
      </c>
      <c r="AF36" s="1">
        <v>14.8</v>
      </c>
      <c r="AG36" s="1">
        <v>11.2</v>
      </c>
      <c r="AH36" s="1">
        <v>27.4</v>
      </c>
      <c r="AI36" s="1">
        <v>58.2</v>
      </c>
      <c r="AJ36" s="1">
        <v>44.4</v>
      </c>
      <c r="AK36" s="1">
        <v>18</v>
      </c>
      <c r="AL36" s="1"/>
      <c r="AM36" s="1">
        <f t="shared" si="10"/>
        <v>0</v>
      </c>
      <c r="AN36" s="1">
        <f t="shared" si="11"/>
        <v>0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76</v>
      </c>
      <c r="B37" s="1" t="s">
        <v>45</v>
      </c>
      <c r="C37" s="1">
        <v>6</v>
      </c>
      <c r="D37" s="1">
        <v>103</v>
      </c>
      <c r="E37" s="1">
        <v>40</v>
      </c>
      <c r="F37" s="1">
        <v>41</v>
      </c>
      <c r="G37" s="7">
        <v>0.4</v>
      </c>
      <c r="H37" s="1">
        <v>40</v>
      </c>
      <c r="I37" s="1" t="s">
        <v>40</v>
      </c>
      <c r="J37" s="1"/>
      <c r="K37" s="1">
        <v>45</v>
      </c>
      <c r="L37" s="1">
        <f t="shared" si="4"/>
        <v>-5</v>
      </c>
      <c r="M37" s="1"/>
      <c r="N37" s="1"/>
      <c r="O37" s="1">
        <v>0</v>
      </c>
      <c r="P37" s="1"/>
      <c r="Q37" s="1">
        <v>0</v>
      </c>
      <c r="R37" s="1">
        <v>0</v>
      </c>
      <c r="S37" s="1"/>
      <c r="T37" s="1">
        <f t="shared" si="5"/>
        <v>8</v>
      </c>
      <c r="U37" s="5">
        <f>12*T37-S37-R37-Q37-P37-O37-F37</f>
        <v>55</v>
      </c>
      <c r="V37" s="5">
        <f t="shared" si="7"/>
        <v>55</v>
      </c>
      <c r="W37" s="5">
        <f t="shared" si="8"/>
        <v>55</v>
      </c>
      <c r="X37" s="5"/>
      <c r="Y37" s="5"/>
      <c r="Z37" s="1">
        <f t="shared" si="9"/>
        <v>12</v>
      </c>
      <c r="AA37" s="1">
        <f t="shared" si="6"/>
        <v>5.125</v>
      </c>
      <c r="AB37" s="1">
        <v>6</v>
      </c>
      <c r="AC37" s="1">
        <v>3</v>
      </c>
      <c r="AD37" s="1">
        <v>2</v>
      </c>
      <c r="AE37" s="1">
        <v>8.1999999999999993</v>
      </c>
      <c r="AF37" s="1">
        <v>8.1999999999999993</v>
      </c>
      <c r="AG37" s="1">
        <v>3.2</v>
      </c>
      <c r="AH37" s="1">
        <v>3</v>
      </c>
      <c r="AI37" s="1">
        <v>0</v>
      </c>
      <c r="AJ37" s="1">
        <v>0</v>
      </c>
      <c r="AK37" s="1">
        <v>0</v>
      </c>
      <c r="AL37" s="1"/>
      <c r="AM37" s="1">
        <f t="shared" si="10"/>
        <v>22</v>
      </c>
      <c r="AN37" s="1">
        <f t="shared" si="11"/>
        <v>0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77</v>
      </c>
      <c r="B38" s="1" t="s">
        <v>39</v>
      </c>
      <c r="C38" s="1">
        <v>47.862000000000002</v>
      </c>
      <c r="D38" s="1"/>
      <c r="E38" s="1">
        <v>15.247</v>
      </c>
      <c r="F38" s="1">
        <v>3.73</v>
      </c>
      <c r="G38" s="7">
        <v>1</v>
      </c>
      <c r="H38" s="1">
        <v>45</v>
      </c>
      <c r="I38" s="10" t="s">
        <v>43</v>
      </c>
      <c r="J38" s="1"/>
      <c r="K38" s="1">
        <v>14.7</v>
      </c>
      <c r="L38" s="1">
        <f t="shared" ref="L38:L69" si="16">E38-K38</f>
        <v>0.5470000000000006</v>
      </c>
      <c r="M38" s="1"/>
      <c r="N38" s="1"/>
      <c r="O38" s="1">
        <v>0</v>
      </c>
      <c r="P38" s="1"/>
      <c r="Q38" s="1">
        <v>64.340800000000002</v>
      </c>
      <c r="R38" s="1">
        <v>0</v>
      </c>
      <c r="S38" s="1"/>
      <c r="T38" s="1">
        <f t="shared" ref="T38:T69" si="17">E38/5</f>
        <v>3.0493999999999999</v>
      </c>
      <c r="U38" s="5"/>
      <c r="V38" s="5">
        <f t="shared" si="7"/>
        <v>0</v>
      </c>
      <c r="W38" s="5">
        <f t="shared" si="8"/>
        <v>0</v>
      </c>
      <c r="X38" s="5"/>
      <c r="Y38" s="5"/>
      <c r="Z38" s="1">
        <f t="shared" si="9"/>
        <v>22.322686430117404</v>
      </c>
      <c r="AA38" s="1">
        <f t="shared" ref="AA38:AA69" si="18">(F38+O38+P38+Q38+R38+S38)/T38</f>
        <v>22.322686430117404</v>
      </c>
      <c r="AB38" s="1">
        <v>6.3457999999999997</v>
      </c>
      <c r="AC38" s="1">
        <v>9.2354000000000003</v>
      </c>
      <c r="AD38" s="1">
        <v>5.1078000000000001</v>
      </c>
      <c r="AE38" s="1">
        <v>5.5014000000000003</v>
      </c>
      <c r="AF38" s="1">
        <v>5.5655999999999999</v>
      </c>
      <c r="AG38" s="1">
        <v>6.1146000000000003</v>
      </c>
      <c r="AH38" s="1">
        <v>8.9586000000000006</v>
      </c>
      <c r="AI38" s="1">
        <v>5.7417999999999996</v>
      </c>
      <c r="AJ38" s="1">
        <v>7.9707999999999997</v>
      </c>
      <c r="AK38" s="1">
        <v>13.5688</v>
      </c>
      <c r="AL38" s="1"/>
      <c r="AM38" s="1">
        <f t="shared" si="10"/>
        <v>0</v>
      </c>
      <c r="AN38" s="1">
        <f t="shared" si="11"/>
        <v>0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78</v>
      </c>
      <c r="B39" s="1" t="s">
        <v>45</v>
      </c>
      <c r="C39" s="1">
        <v>282</v>
      </c>
      <c r="D39" s="1">
        <v>160</v>
      </c>
      <c r="E39" s="1">
        <v>377</v>
      </c>
      <c r="F39" s="1">
        <v>1</v>
      </c>
      <c r="G39" s="7">
        <v>0.1</v>
      </c>
      <c r="H39" s="1">
        <v>731</v>
      </c>
      <c r="I39" s="1" t="s">
        <v>40</v>
      </c>
      <c r="J39" s="1"/>
      <c r="K39" s="1">
        <v>395</v>
      </c>
      <c r="L39" s="1">
        <f t="shared" si="16"/>
        <v>-18</v>
      </c>
      <c r="M39" s="1"/>
      <c r="N39" s="1"/>
      <c r="O39" s="1">
        <v>176.55127999999991</v>
      </c>
      <c r="P39" s="1">
        <v>316.60871999999978</v>
      </c>
      <c r="Q39" s="1">
        <v>798.18000000000006</v>
      </c>
      <c r="R39" s="1">
        <v>970.05</v>
      </c>
      <c r="S39" s="1">
        <v>529.95000000000005</v>
      </c>
      <c r="T39" s="1">
        <f t="shared" si="17"/>
        <v>75.400000000000006</v>
      </c>
      <c r="U39" s="5"/>
      <c r="V39" s="5">
        <f t="shared" si="7"/>
        <v>0</v>
      </c>
      <c r="W39" s="5">
        <f t="shared" si="8"/>
        <v>0</v>
      </c>
      <c r="X39" s="5"/>
      <c r="Y39" s="5"/>
      <c r="Z39" s="1">
        <f t="shared" si="9"/>
        <v>37.033687002652506</v>
      </c>
      <c r="AA39" s="1">
        <f t="shared" si="18"/>
        <v>37.033687002652506</v>
      </c>
      <c r="AB39" s="1">
        <v>154.4</v>
      </c>
      <c r="AC39" s="1">
        <v>147.6</v>
      </c>
      <c r="AD39" s="1">
        <v>101.6</v>
      </c>
      <c r="AE39" s="1">
        <v>90.2</v>
      </c>
      <c r="AF39" s="1">
        <v>82.6</v>
      </c>
      <c r="AG39" s="1">
        <v>90.4</v>
      </c>
      <c r="AH39" s="1">
        <v>95.8</v>
      </c>
      <c r="AI39" s="1">
        <v>118.6</v>
      </c>
      <c r="AJ39" s="1">
        <v>125.2</v>
      </c>
      <c r="AK39" s="1">
        <v>102.8</v>
      </c>
      <c r="AL39" s="1"/>
      <c r="AM39" s="1">
        <f t="shared" si="10"/>
        <v>0</v>
      </c>
      <c r="AN39" s="1">
        <f t="shared" si="11"/>
        <v>0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79</v>
      </c>
      <c r="B40" s="1" t="s">
        <v>45</v>
      </c>
      <c r="C40" s="1">
        <v>200</v>
      </c>
      <c r="D40" s="1"/>
      <c r="E40" s="1">
        <v>200</v>
      </c>
      <c r="F40" s="1">
        <v>-4</v>
      </c>
      <c r="G40" s="7">
        <v>0.35</v>
      </c>
      <c r="H40" s="1">
        <v>40</v>
      </c>
      <c r="I40" s="10" t="s">
        <v>43</v>
      </c>
      <c r="J40" s="1"/>
      <c r="K40" s="1">
        <v>227</v>
      </c>
      <c r="L40" s="1">
        <f t="shared" si="16"/>
        <v>-27</v>
      </c>
      <c r="M40" s="1"/>
      <c r="N40" s="1"/>
      <c r="O40" s="1">
        <v>0</v>
      </c>
      <c r="P40" s="1"/>
      <c r="Q40" s="1">
        <v>0</v>
      </c>
      <c r="R40" s="1">
        <v>107.61087999999999</v>
      </c>
      <c r="S40" s="1">
        <v>58.78911999999999</v>
      </c>
      <c r="T40" s="1">
        <f t="shared" si="17"/>
        <v>40</v>
      </c>
      <c r="U40" s="5">
        <f>11*T40-S40-R40-Q40-P40-O40-F40</f>
        <v>277.60000000000002</v>
      </c>
      <c r="V40" s="5">
        <f>IF(U40+T40*$V$1&lt;0,0,U40+T40*$V$1)</f>
        <v>240.8</v>
      </c>
      <c r="W40" s="5">
        <f t="shared" si="8"/>
        <v>240.8</v>
      </c>
      <c r="X40" s="5"/>
      <c r="Y40" s="5"/>
      <c r="Z40" s="1">
        <f t="shared" si="9"/>
        <v>10.08</v>
      </c>
      <c r="AA40" s="1">
        <f t="shared" si="18"/>
        <v>4.0599999999999996</v>
      </c>
      <c r="AB40" s="1">
        <v>30.4</v>
      </c>
      <c r="AC40" s="1">
        <v>6.4</v>
      </c>
      <c r="AD40" s="1">
        <v>1.6</v>
      </c>
      <c r="AE40" s="1">
        <v>-0.4</v>
      </c>
      <c r="AF40" s="1">
        <v>-0.4</v>
      </c>
      <c r="AG40" s="1">
        <v>-0.2</v>
      </c>
      <c r="AH40" s="1">
        <v>-0.2</v>
      </c>
      <c r="AI40" s="1">
        <v>4.8</v>
      </c>
      <c r="AJ40" s="1">
        <v>9.8000000000000007</v>
      </c>
      <c r="AK40" s="1">
        <v>10.8</v>
      </c>
      <c r="AL40" s="1"/>
      <c r="AM40" s="1">
        <f t="shared" si="10"/>
        <v>84</v>
      </c>
      <c r="AN40" s="1">
        <f t="shared" si="11"/>
        <v>0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80</v>
      </c>
      <c r="B41" s="1" t="s">
        <v>39</v>
      </c>
      <c r="C41" s="1">
        <v>0.81399999999999995</v>
      </c>
      <c r="D41" s="1">
        <v>284.60000000000002</v>
      </c>
      <c r="E41" s="1">
        <v>80.213999999999999</v>
      </c>
      <c r="F41" s="1">
        <v>178.965</v>
      </c>
      <c r="G41" s="7">
        <v>1</v>
      </c>
      <c r="H41" s="1">
        <v>40</v>
      </c>
      <c r="I41" s="1" t="s">
        <v>40</v>
      </c>
      <c r="J41" s="1"/>
      <c r="K41" s="1">
        <v>94.2</v>
      </c>
      <c r="L41" s="1">
        <f t="shared" si="16"/>
        <v>-13.986000000000004</v>
      </c>
      <c r="M41" s="1"/>
      <c r="N41" s="1"/>
      <c r="O41" s="1">
        <v>94.012017199999946</v>
      </c>
      <c r="P41" s="1">
        <v>168.59138279999991</v>
      </c>
      <c r="Q41" s="1">
        <v>0</v>
      </c>
      <c r="R41" s="1">
        <v>0</v>
      </c>
      <c r="S41" s="1"/>
      <c r="T41" s="1">
        <f t="shared" si="17"/>
        <v>16.0428</v>
      </c>
      <c r="U41" s="5"/>
      <c r="V41" s="5">
        <f t="shared" si="7"/>
        <v>0</v>
      </c>
      <c r="W41" s="5">
        <f t="shared" si="8"/>
        <v>0</v>
      </c>
      <c r="X41" s="5"/>
      <c r="Y41" s="5"/>
      <c r="Z41" s="1">
        <f t="shared" si="9"/>
        <v>27.524397237389977</v>
      </c>
      <c r="AA41" s="1">
        <f t="shared" si="18"/>
        <v>27.524397237389977</v>
      </c>
      <c r="AB41" s="1">
        <v>11.0534</v>
      </c>
      <c r="AC41" s="1">
        <v>39.805599999999998</v>
      </c>
      <c r="AD41" s="1">
        <v>42.555999999999997</v>
      </c>
      <c r="AE41" s="1">
        <v>35.138599999999997</v>
      </c>
      <c r="AF41" s="1">
        <v>27.880199999999999</v>
      </c>
      <c r="AG41" s="1">
        <v>5.6612</v>
      </c>
      <c r="AH41" s="1">
        <v>4.0103999999999997</v>
      </c>
      <c r="AI41" s="1">
        <v>14.308199999999999</v>
      </c>
      <c r="AJ41" s="1">
        <v>28.140599999999999</v>
      </c>
      <c r="AK41" s="1">
        <v>19.882000000000001</v>
      </c>
      <c r="AL41" s="1"/>
      <c r="AM41" s="1">
        <f t="shared" si="10"/>
        <v>0</v>
      </c>
      <c r="AN41" s="1">
        <f t="shared" si="11"/>
        <v>0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81</v>
      </c>
      <c r="B42" s="1" t="s">
        <v>45</v>
      </c>
      <c r="C42" s="1">
        <v>5</v>
      </c>
      <c r="D42" s="1">
        <v>144</v>
      </c>
      <c r="E42" s="1">
        <v>75</v>
      </c>
      <c r="F42" s="1">
        <v>12</v>
      </c>
      <c r="G42" s="7">
        <v>0.4</v>
      </c>
      <c r="H42" s="1">
        <v>40</v>
      </c>
      <c r="I42" s="10" t="s">
        <v>43</v>
      </c>
      <c r="J42" s="1"/>
      <c r="K42" s="1">
        <v>106</v>
      </c>
      <c r="L42" s="1">
        <f t="shared" si="16"/>
        <v>-31</v>
      </c>
      <c r="M42" s="1"/>
      <c r="N42" s="1"/>
      <c r="O42" s="1">
        <v>0</v>
      </c>
      <c r="P42" s="1"/>
      <c r="Q42" s="1">
        <v>124.37</v>
      </c>
      <c r="R42" s="1">
        <v>20</v>
      </c>
      <c r="S42" s="1"/>
      <c r="T42" s="1">
        <f t="shared" si="17"/>
        <v>15</v>
      </c>
      <c r="U42" s="5">
        <f t="shared" ref="U42" si="19">12*T42-S42-R42-Q42-P42-O42-F42</f>
        <v>23.629999999999995</v>
      </c>
      <c r="V42" s="5">
        <f t="shared" si="7"/>
        <v>23.629999999999995</v>
      </c>
      <c r="W42" s="5">
        <f t="shared" si="8"/>
        <v>23.629999999999995</v>
      </c>
      <c r="X42" s="5"/>
      <c r="Y42" s="5"/>
      <c r="Z42" s="1">
        <f t="shared" si="9"/>
        <v>12</v>
      </c>
      <c r="AA42" s="1">
        <f t="shared" si="18"/>
        <v>10.424666666666667</v>
      </c>
      <c r="AB42" s="1">
        <v>23.2</v>
      </c>
      <c r="AC42" s="1">
        <v>23.8</v>
      </c>
      <c r="AD42" s="1">
        <v>13</v>
      </c>
      <c r="AE42" s="1">
        <v>20</v>
      </c>
      <c r="AF42" s="1">
        <v>15</v>
      </c>
      <c r="AG42" s="1">
        <v>8.4</v>
      </c>
      <c r="AH42" s="1">
        <v>20.6</v>
      </c>
      <c r="AI42" s="1">
        <v>18.8</v>
      </c>
      <c r="AJ42" s="1">
        <v>8</v>
      </c>
      <c r="AK42" s="1">
        <v>13.8</v>
      </c>
      <c r="AL42" s="1"/>
      <c r="AM42" s="1">
        <f t="shared" si="10"/>
        <v>9</v>
      </c>
      <c r="AN42" s="1">
        <f t="shared" si="11"/>
        <v>0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82</v>
      </c>
      <c r="B43" s="1" t="s">
        <v>45</v>
      </c>
      <c r="C43" s="1">
        <v>72</v>
      </c>
      <c r="D43" s="1">
        <v>150</v>
      </c>
      <c r="E43" s="1">
        <v>156</v>
      </c>
      <c r="F43" s="1">
        <v>5</v>
      </c>
      <c r="G43" s="7">
        <v>0.4</v>
      </c>
      <c r="H43" s="1">
        <v>45</v>
      </c>
      <c r="I43" s="10" t="s">
        <v>43</v>
      </c>
      <c r="J43" s="1"/>
      <c r="K43" s="1">
        <v>203</v>
      </c>
      <c r="L43" s="1">
        <f t="shared" si="16"/>
        <v>-47</v>
      </c>
      <c r="M43" s="1"/>
      <c r="N43" s="1"/>
      <c r="O43" s="1">
        <v>0</v>
      </c>
      <c r="P43" s="1"/>
      <c r="Q43" s="1">
        <v>0</v>
      </c>
      <c r="R43" s="1">
        <v>9</v>
      </c>
      <c r="S43" s="1"/>
      <c r="T43" s="1">
        <f t="shared" si="17"/>
        <v>31.2</v>
      </c>
      <c r="U43" s="5">
        <f>7*T43-S43-R43-Q43-P43-O43-F43</f>
        <v>204.4</v>
      </c>
      <c r="V43" s="5">
        <f>IF(U43+T43*$V$1&lt;0,0,U43+T43*$V$1)</f>
        <v>175.696</v>
      </c>
      <c r="W43" s="5">
        <f t="shared" si="8"/>
        <v>175.696</v>
      </c>
      <c r="X43" s="5"/>
      <c r="Y43" s="5"/>
      <c r="Z43" s="1">
        <f t="shared" si="9"/>
        <v>6.08</v>
      </c>
      <c r="AA43" s="1">
        <f t="shared" si="18"/>
        <v>0.44871794871794873</v>
      </c>
      <c r="AB43" s="1">
        <v>15</v>
      </c>
      <c r="AC43" s="1">
        <v>2.8</v>
      </c>
      <c r="AD43" s="1">
        <v>6.8</v>
      </c>
      <c r="AE43" s="1">
        <v>17.2</v>
      </c>
      <c r="AF43" s="1">
        <v>18.600000000000001</v>
      </c>
      <c r="AG43" s="1">
        <v>11.8</v>
      </c>
      <c r="AH43" s="1">
        <v>21.6</v>
      </c>
      <c r="AI43" s="1">
        <v>17.399999999999999</v>
      </c>
      <c r="AJ43" s="1">
        <v>19</v>
      </c>
      <c r="AK43" s="1">
        <v>32</v>
      </c>
      <c r="AL43" s="1"/>
      <c r="AM43" s="1">
        <f t="shared" si="10"/>
        <v>70</v>
      </c>
      <c r="AN43" s="1">
        <f t="shared" si="11"/>
        <v>0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83</v>
      </c>
      <c r="B44" s="1" t="s">
        <v>39</v>
      </c>
      <c r="C44" s="1">
        <v>-3.6999999999999998E-2</v>
      </c>
      <c r="D44" s="1">
        <v>100.345</v>
      </c>
      <c r="E44" s="1">
        <v>13.111000000000001</v>
      </c>
      <c r="F44" s="1">
        <v>50.155999999999999</v>
      </c>
      <c r="G44" s="7">
        <v>1</v>
      </c>
      <c r="H44" s="1">
        <v>40</v>
      </c>
      <c r="I44" s="10" t="s">
        <v>43</v>
      </c>
      <c r="J44" s="1"/>
      <c r="K44" s="1">
        <v>16.7</v>
      </c>
      <c r="L44" s="1">
        <f t="shared" si="16"/>
        <v>-3.5889999999999986</v>
      </c>
      <c r="M44" s="1"/>
      <c r="N44" s="1"/>
      <c r="O44" s="1">
        <v>105.70159787999999</v>
      </c>
      <c r="P44" s="1">
        <v>189.55426212</v>
      </c>
      <c r="Q44" s="1">
        <v>150</v>
      </c>
      <c r="R44" s="1">
        <v>0</v>
      </c>
      <c r="S44" s="1"/>
      <c r="T44" s="1">
        <f t="shared" si="17"/>
        <v>2.6222000000000003</v>
      </c>
      <c r="U44" s="5"/>
      <c r="V44" s="5">
        <f t="shared" si="7"/>
        <v>0</v>
      </c>
      <c r="W44" s="5">
        <f t="shared" si="8"/>
        <v>0</v>
      </c>
      <c r="X44" s="5"/>
      <c r="Y44" s="5"/>
      <c r="Z44" s="1">
        <f t="shared" si="9"/>
        <v>188.92985279536265</v>
      </c>
      <c r="AA44" s="1">
        <f t="shared" si="18"/>
        <v>188.92985279536265</v>
      </c>
      <c r="AB44" s="1">
        <v>18.23</v>
      </c>
      <c r="AC44" s="1">
        <v>44.752000000000002</v>
      </c>
      <c r="AD44" s="1">
        <v>35.374600000000001</v>
      </c>
      <c r="AE44" s="1">
        <v>11.3222</v>
      </c>
      <c r="AF44" s="1">
        <v>2.0312000000000001</v>
      </c>
      <c r="AG44" s="1">
        <v>-0.43519999999999998</v>
      </c>
      <c r="AH44" s="1">
        <v>8.0980000000000008</v>
      </c>
      <c r="AI44" s="1">
        <v>18.626799999999999</v>
      </c>
      <c r="AJ44" s="1">
        <v>12.271599999999999</v>
      </c>
      <c r="AK44" s="1">
        <v>3.7730000000000001</v>
      </c>
      <c r="AL44" s="1"/>
      <c r="AM44" s="1">
        <f t="shared" si="10"/>
        <v>0</v>
      </c>
      <c r="AN44" s="1">
        <f t="shared" si="11"/>
        <v>0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84</v>
      </c>
      <c r="B45" s="1" t="s">
        <v>45</v>
      </c>
      <c r="C45" s="1">
        <v>-6</v>
      </c>
      <c r="D45" s="1">
        <v>6</v>
      </c>
      <c r="E45" s="1">
        <v>5</v>
      </c>
      <c r="F45" s="1">
        <v>-9</v>
      </c>
      <c r="G45" s="7">
        <v>0.35</v>
      </c>
      <c r="H45" s="1">
        <v>40</v>
      </c>
      <c r="I45" s="10" t="s">
        <v>43</v>
      </c>
      <c r="J45" s="1"/>
      <c r="K45" s="1">
        <v>13</v>
      </c>
      <c r="L45" s="1">
        <f t="shared" si="16"/>
        <v>-8</v>
      </c>
      <c r="M45" s="1"/>
      <c r="N45" s="1"/>
      <c r="O45" s="1">
        <v>172.22664</v>
      </c>
      <c r="P45" s="1">
        <v>308.85336000000001</v>
      </c>
      <c r="Q45" s="1">
        <v>80</v>
      </c>
      <c r="R45" s="1">
        <v>90.537999999999997</v>
      </c>
      <c r="S45" s="1">
        <v>49.462000000000003</v>
      </c>
      <c r="T45" s="1">
        <f t="shared" si="17"/>
        <v>1</v>
      </c>
      <c r="U45" s="5"/>
      <c r="V45" s="5">
        <f t="shared" si="7"/>
        <v>0</v>
      </c>
      <c r="W45" s="5">
        <f t="shared" si="8"/>
        <v>0</v>
      </c>
      <c r="X45" s="5"/>
      <c r="Y45" s="5"/>
      <c r="Z45" s="1">
        <f t="shared" si="9"/>
        <v>692.08</v>
      </c>
      <c r="AA45" s="1">
        <f t="shared" si="18"/>
        <v>692.08</v>
      </c>
      <c r="AB45" s="1">
        <v>13</v>
      </c>
      <c r="AC45" s="1">
        <v>40</v>
      </c>
      <c r="AD45" s="1">
        <v>62.8</v>
      </c>
      <c r="AE45" s="1">
        <v>48.4</v>
      </c>
      <c r="AF45" s="1">
        <v>13.8</v>
      </c>
      <c r="AG45" s="1">
        <v>2</v>
      </c>
      <c r="AH45" s="1">
        <v>2</v>
      </c>
      <c r="AI45" s="1">
        <v>32</v>
      </c>
      <c r="AJ45" s="1">
        <v>47.4</v>
      </c>
      <c r="AK45" s="1">
        <v>23.6</v>
      </c>
      <c r="AL45" s="1"/>
      <c r="AM45" s="1">
        <f t="shared" si="10"/>
        <v>0</v>
      </c>
      <c r="AN45" s="1">
        <f t="shared" si="11"/>
        <v>0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85</v>
      </c>
      <c r="B46" s="1" t="s">
        <v>45</v>
      </c>
      <c r="C46" s="1">
        <v>180</v>
      </c>
      <c r="D46" s="1">
        <v>6</v>
      </c>
      <c r="E46" s="1">
        <v>179</v>
      </c>
      <c r="F46" s="1"/>
      <c r="G46" s="7">
        <v>0.4</v>
      </c>
      <c r="H46" s="1">
        <v>40</v>
      </c>
      <c r="I46" s="1" t="s">
        <v>40</v>
      </c>
      <c r="J46" s="1"/>
      <c r="K46" s="1">
        <v>225</v>
      </c>
      <c r="L46" s="1">
        <f t="shared" si="16"/>
        <v>-46</v>
      </c>
      <c r="M46" s="1"/>
      <c r="N46" s="1"/>
      <c r="O46" s="1">
        <v>0</v>
      </c>
      <c r="P46" s="1"/>
      <c r="Q46" s="1">
        <v>404.48</v>
      </c>
      <c r="R46" s="1">
        <v>337.26698399999998</v>
      </c>
      <c r="S46" s="1">
        <v>184.253016</v>
      </c>
      <c r="T46" s="1">
        <f t="shared" si="17"/>
        <v>35.799999999999997</v>
      </c>
      <c r="U46" s="5"/>
      <c r="V46" s="5">
        <f t="shared" si="7"/>
        <v>0</v>
      </c>
      <c r="W46" s="5">
        <f t="shared" si="8"/>
        <v>0</v>
      </c>
      <c r="X46" s="5"/>
      <c r="Y46" s="5"/>
      <c r="Z46" s="1">
        <f t="shared" si="9"/>
        <v>25.8659217877095</v>
      </c>
      <c r="AA46" s="1">
        <f t="shared" si="18"/>
        <v>25.8659217877095</v>
      </c>
      <c r="AB46" s="1">
        <v>92.6</v>
      </c>
      <c r="AC46" s="1">
        <v>67.2</v>
      </c>
      <c r="AD46" s="1">
        <v>16</v>
      </c>
      <c r="AE46" s="1">
        <v>13.8</v>
      </c>
      <c r="AF46" s="1">
        <v>7.6</v>
      </c>
      <c r="AG46" s="1">
        <v>21.8</v>
      </c>
      <c r="AH46" s="1">
        <v>56.4</v>
      </c>
      <c r="AI46" s="1">
        <v>58.2</v>
      </c>
      <c r="AJ46" s="1">
        <v>23.2</v>
      </c>
      <c r="AK46" s="1">
        <v>2.4</v>
      </c>
      <c r="AL46" s="1"/>
      <c r="AM46" s="1">
        <f t="shared" si="10"/>
        <v>0</v>
      </c>
      <c r="AN46" s="1">
        <f t="shared" si="11"/>
        <v>0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86</v>
      </c>
      <c r="B47" s="1" t="s">
        <v>39</v>
      </c>
      <c r="C47" s="1">
        <v>-1.2470000000000001</v>
      </c>
      <c r="D47" s="1">
        <v>151.60400000000001</v>
      </c>
      <c r="E47" s="1">
        <v>22.494</v>
      </c>
      <c r="F47" s="1">
        <v>111.08499999999999</v>
      </c>
      <c r="G47" s="7">
        <v>1</v>
      </c>
      <c r="H47" s="1">
        <v>50</v>
      </c>
      <c r="I47" s="1" t="s">
        <v>40</v>
      </c>
      <c r="J47" s="1"/>
      <c r="K47" s="1">
        <v>22.3</v>
      </c>
      <c r="L47" s="1">
        <f t="shared" si="16"/>
        <v>0.19399999999999906</v>
      </c>
      <c r="M47" s="1"/>
      <c r="N47" s="1"/>
      <c r="O47" s="1">
        <v>4</v>
      </c>
      <c r="P47" s="1"/>
      <c r="Q47" s="1">
        <v>60</v>
      </c>
      <c r="R47" s="1">
        <v>0</v>
      </c>
      <c r="S47" s="1"/>
      <c r="T47" s="1">
        <f t="shared" si="17"/>
        <v>4.4988000000000001</v>
      </c>
      <c r="U47" s="5"/>
      <c r="V47" s="5">
        <f t="shared" si="7"/>
        <v>0</v>
      </c>
      <c r="W47" s="5">
        <f t="shared" si="8"/>
        <v>0</v>
      </c>
      <c r="X47" s="5"/>
      <c r="Y47" s="5"/>
      <c r="Z47" s="1">
        <f t="shared" si="9"/>
        <v>38.918155952698491</v>
      </c>
      <c r="AA47" s="1">
        <f t="shared" si="18"/>
        <v>38.918155952698491</v>
      </c>
      <c r="AB47" s="1">
        <v>5.0128000000000004</v>
      </c>
      <c r="AC47" s="1">
        <v>13.6998</v>
      </c>
      <c r="AD47" s="1">
        <v>15.008599999999999</v>
      </c>
      <c r="AE47" s="1">
        <v>11.4558</v>
      </c>
      <c r="AF47" s="1">
        <v>8.1006</v>
      </c>
      <c r="AG47" s="1">
        <v>5.1276000000000002</v>
      </c>
      <c r="AH47" s="1">
        <v>4.0519999999999996</v>
      </c>
      <c r="AI47" s="1">
        <v>8.6585999999999999</v>
      </c>
      <c r="AJ47" s="1">
        <v>12.7052</v>
      </c>
      <c r="AK47" s="1">
        <v>13.9094</v>
      </c>
      <c r="AL47" s="1"/>
      <c r="AM47" s="1">
        <f t="shared" si="10"/>
        <v>0</v>
      </c>
      <c r="AN47" s="1">
        <f t="shared" si="11"/>
        <v>0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87</v>
      </c>
      <c r="B48" s="1" t="s">
        <v>39</v>
      </c>
      <c r="C48" s="1">
        <v>2.3109999999999999</v>
      </c>
      <c r="D48" s="1">
        <v>337.79300000000001</v>
      </c>
      <c r="E48" s="1">
        <v>95.795000000000002</v>
      </c>
      <c r="F48" s="1">
        <v>213.22</v>
      </c>
      <c r="G48" s="7">
        <v>1</v>
      </c>
      <c r="H48" s="1">
        <v>50</v>
      </c>
      <c r="I48" s="1" t="s">
        <v>40</v>
      </c>
      <c r="J48" s="1"/>
      <c r="K48" s="1">
        <v>111.9</v>
      </c>
      <c r="L48" s="1">
        <f t="shared" si="16"/>
        <v>-16.105000000000004</v>
      </c>
      <c r="M48" s="1"/>
      <c r="N48" s="1"/>
      <c r="O48" s="1">
        <v>0</v>
      </c>
      <c r="P48" s="1"/>
      <c r="Q48" s="1">
        <v>50</v>
      </c>
      <c r="R48" s="1">
        <v>0</v>
      </c>
      <c r="S48" s="1"/>
      <c r="T48" s="1">
        <f t="shared" si="17"/>
        <v>19.158999999999999</v>
      </c>
      <c r="U48" s="5"/>
      <c r="V48" s="5">
        <f t="shared" si="7"/>
        <v>0</v>
      </c>
      <c r="W48" s="5">
        <f t="shared" si="8"/>
        <v>0</v>
      </c>
      <c r="X48" s="5"/>
      <c r="Y48" s="5"/>
      <c r="Z48" s="1">
        <f t="shared" si="9"/>
        <v>13.738712876454931</v>
      </c>
      <c r="AA48" s="1">
        <f t="shared" si="18"/>
        <v>13.738712876454931</v>
      </c>
      <c r="AB48" s="1">
        <v>8.3406000000000002</v>
      </c>
      <c r="AC48" s="1">
        <v>18.558800000000002</v>
      </c>
      <c r="AD48" s="1">
        <v>26.272600000000001</v>
      </c>
      <c r="AE48" s="1">
        <v>32.82</v>
      </c>
      <c r="AF48" s="1">
        <v>28.619399999999999</v>
      </c>
      <c r="AG48" s="1">
        <v>16.1906</v>
      </c>
      <c r="AH48" s="1">
        <v>24.096800000000002</v>
      </c>
      <c r="AI48" s="1">
        <v>23.748799999999999</v>
      </c>
      <c r="AJ48" s="1">
        <v>26.533999999999999</v>
      </c>
      <c r="AK48" s="1">
        <v>34.277000000000001</v>
      </c>
      <c r="AL48" s="1"/>
      <c r="AM48" s="1">
        <f t="shared" si="10"/>
        <v>0</v>
      </c>
      <c r="AN48" s="1">
        <f t="shared" si="11"/>
        <v>0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88</v>
      </c>
      <c r="B49" s="1" t="s">
        <v>39</v>
      </c>
      <c r="C49" s="1">
        <v>-2.3E-2</v>
      </c>
      <c r="D49" s="1">
        <v>89.819000000000003</v>
      </c>
      <c r="E49" s="1">
        <v>36.929000000000002</v>
      </c>
      <c r="F49" s="1">
        <v>44.018999999999998</v>
      </c>
      <c r="G49" s="7">
        <v>1</v>
      </c>
      <c r="H49" s="1">
        <v>45</v>
      </c>
      <c r="I49" s="10" t="s">
        <v>43</v>
      </c>
      <c r="J49" s="1"/>
      <c r="K49" s="1">
        <v>32.200000000000003</v>
      </c>
      <c r="L49" s="1">
        <f t="shared" si="16"/>
        <v>4.7289999999999992</v>
      </c>
      <c r="M49" s="1"/>
      <c r="N49" s="1"/>
      <c r="O49" s="1">
        <v>0</v>
      </c>
      <c r="P49" s="1"/>
      <c r="Q49" s="1">
        <v>0</v>
      </c>
      <c r="R49" s="1">
        <v>0</v>
      </c>
      <c r="S49" s="1"/>
      <c r="T49" s="1">
        <f t="shared" si="17"/>
        <v>7.3858000000000006</v>
      </c>
      <c r="U49" s="5">
        <f>12*T49-S49-R49-Q49-P49-O49-F49</f>
        <v>44.610600000000012</v>
      </c>
      <c r="V49" s="5">
        <f t="shared" si="7"/>
        <v>44.610600000000012</v>
      </c>
      <c r="W49" s="5">
        <f t="shared" si="8"/>
        <v>44.610600000000012</v>
      </c>
      <c r="X49" s="5"/>
      <c r="Y49" s="5"/>
      <c r="Z49" s="1">
        <f t="shared" si="9"/>
        <v>12</v>
      </c>
      <c r="AA49" s="1">
        <f t="shared" si="18"/>
        <v>5.9599501746594807</v>
      </c>
      <c r="AB49" s="1">
        <v>0</v>
      </c>
      <c r="AC49" s="1">
        <v>0</v>
      </c>
      <c r="AD49" s="1">
        <v>0</v>
      </c>
      <c r="AE49" s="1">
        <v>1.2236</v>
      </c>
      <c r="AF49" s="1">
        <v>7.2441999999999993</v>
      </c>
      <c r="AG49" s="1">
        <v>6.0206</v>
      </c>
      <c r="AH49" s="1">
        <v>0</v>
      </c>
      <c r="AI49" s="1">
        <v>0</v>
      </c>
      <c r="AJ49" s="1">
        <v>0</v>
      </c>
      <c r="AK49" s="1">
        <v>0</v>
      </c>
      <c r="AL49" s="1"/>
      <c r="AM49" s="1">
        <f t="shared" si="10"/>
        <v>45</v>
      </c>
      <c r="AN49" s="1">
        <f t="shared" si="11"/>
        <v>0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89</v>
      </c>
      <c r="B50" s="1" t="s">
        <v>45</v>
      </c>
      <c r="C50" s="1">
        <v>2</v>
      </c>
      <c r="D50" s="1">
        <v>233</v>
      </c>
      <c r="E50" s="1">
        <v>46</v>
      </c>
      <c r="F50" s="1"/>
      <c r="G50" s="7">
        <v>0.45</v>
      </c>
      <c r="H50" s="1">
        <v>50</v>
      </c>
      <c r="I50" s="1" t="s">
        <v>40</v>
      </c>
      <c r="J50" s="1"/>
      <c r="K50" s="1">
        <v>66</v>
      </c>
      <c r="L50" s="1">
        <f t="shared" si="16"/>
        <v>-20</v>
      </c>
      <c r="M50" s="1"/>
      <c r="N50" s="1"/>
      <c r="O50" s="1">
        <v>0</v>
      </c>
      <c r="P50" s="1"/>
      <c r="Q50" s="1">
        <v>223</v>
      </c>
      <c r="R50" s="1">
        <v>97.004999999999995</v>
      </c>
      <c r="S50" s="1">
        <v>52.994999999999997</v>
      </c>
      <c r="T50" s="1">
        <f t="shared" si="17"/>
        <v>9.1999999999999993</v>
      </c>
      <c r="U50" s="5"/>
      <c r="V50" s="5">
        <f t="shared" si="7"/>
        <v>0</v>
      </c>
      <c r="W50" s="5">
        <f t="shared" si="8"/>
        <v>0</v>
      </c>
      <c r="X50" s="5"/>
      <c r="Y50" s="5"/>
      <c r="Z50" s="1">
        <f t="shared" si="9"/>
        <v>40.54347826086957</v>
      </c>
      <c r="AA50" s="1">
        <f t="shared" si="18"/>
        <v>40.54347826086957</v>
      </c>
      <c r="AB50" s="1">
        <v>31.6</v>
      </c>
      <c r="AC50" s="1">
        <v>40</v>
      </c>
      <c r="AD50" s="1">
        <v>31.4</v>
      </c>
      <c r="AE50" s="1">
        <v>33</v>
      </c>
      <c r="AF50" s="1">
        <v>16.2</v>
      </c>
      <c r="AG50" s="1">
        <v>12.4</v>
      </c>
      <c r="AH50" s="1">
        <v>16.399999999999999</v>
      </c>
      <c r="AI50" s="1">
        <v>16.8</v>
      </c>
      <c r="AJ50" s="1">
        <v>30.2</v>
      </c>
      <c r="AK50" s="1">
        <v>32</v>
      </c>
      <c r="AL50" s="1"/>
      <c r="AM50" s="1">
        <f t="shared" si="10"/>
        <v>0</v>
      </c>
      <c r="AN50" s="1">
        <f t="shared" si="11"/>
        <v>0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90</v>
      </c>
      <c r="B51" s="1" t="s">
        <v>45</v>
      </c>
      <c r="C51" s="1"/>
      <c r="D51" s="1">
        <v>343</v>
      </c>
      <c r="E51" s="1">
        <v>42</v>
      </c>
      <c r="F51" s="1">
        <v>57</v>
      </c>
      <c r="G51" s="7">
        <v>0.45</v>
      </c>
      <c r="H51" s="1">
        <v>50</v>
      </c>
      <c r="I51" s="1" t="s">
        <v>40</v>
      </c>
      <c r="J51" s="1"/>
      <c r="K51" s="1">
        <v>69</v>
      </c>
      <c r="L51" s="1">
        <f t="shared" si="16"/>
        <v>-27</v>
      </c>
      <c r="M51" s="1"/>
      <c r="N51" s="1"/>
      <c r="O51" s="1">
        <v>0</v>
      </c>
      <c r="P51" s="1"/>
      <c r="Q51" s="1">
        <v>162.69</v>
      </c>
      <c r="R51" s="1">
        <v>100</v>
      </c>
      <c r="S51" s="1"/>
      <c r="T51" s="1">
        <f t="shared" si="17"/>
        <v>8.4</v>
      </c>
      <c r="U51" s="5"/>
      <c r="V51" s="5">
        <f t="shared" si="7"/>
        <v>0</v>
      </c>
      <c r="W51" s="5">
        <f t="shared" si="8"/>
        <v>0</v>
      </c>
      <c r="X51" s="5"/>
      <c r="Y51" s="5"/>
      <c r="Z51" s="1">
        <f t="shared" si="9"/>
        <v>38.05833333333333</v>
      </c>
      <c r="AA51" s="1">
        <f t="shared" si="18"/>
        <v>38.05833333333333</v>
      </c>
      <c r="AB51" s="1">
        <v>36.4</v>
      </c>
      <c r="AC51" s="1">
        <v>44.6</v>
      </c>
      <c r="AD51" s="1">
        <v>40.200000000000003</v>
      </c>
      <c r="AE51" s="1">
        <v>48.6</v>
      </c>
      <c r="AF51" s="1">
        <v>21.8</v>
      </c>
      <c r="AG51" s="1">
        <v>18.600000000000001</v>
      </c>
      <c r="AH51" s="1">
        <v>27.6</v>
      </c>
      <c r="AI51" s="1">
        <v>28</v>
      </c>
      <c r="AJ51" s="1">
        <v>43.8</v>
      </c>
      <c r="AK51" s="1">
        <v>41.6</v>
      </c>
      <c r="AL51" s="1"/>
      <c r="AM51" s="1">
        <f t="shared" si="10"/>
        <v>0</v>
      </c>
      <c r="AN51" s="1">
        <f t="shared" si="11"/>
        <v>0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91</v>
      </c>
      <c r="B52" s="1" t="s">
        <v>45</v>
      </c>
      <c r="C52" s="1">
        <v>1</v>
      </c>
      <c r="D52" s="1"/>
      <c r="E52" s="1">
        <v>-5</v>
      </c>
      <c r="F52" s="1">
        <v>1</v>
      </c>
      <c r="G52" s="7">
        <v>0.4</v>
      </c>
      <c r="H52" s="1">
        <v>40</v>
      </c>
      <c r="I52" s="1" t="s">
        <v>40</v>
      </c>
      <c r="J52" s="1"/>
      <c r="K52" s="1">
        <v>18</v>
      </c>
      <c r="L52" s="1">
        <f t="shared" si="16"/>
        <v>-23</v>
      </c>
      <c r="M52" s="1"/>
      <c r="N52" s="1"/>
      <c r="O52" s="1">
        <v>0</v>
      </c>
      <c r="P52" s="1"/>
      <c r="Q52" s="1">
        <v>176.32</v>
      </c>
      <c r="R52" s="1">
        <v>75.680000000000007</v>
      </c>
      <c r="S52" s="1"/>
      <c r="T52" s="1">
        <f t="shared" si="17"/>
        <v>-1</v>
      </c>
      <c r="U52" s="5"/>
      <c r="V52" s="5">
        <f t="shared" si="7"/>
        <v>0</v>
      </c>
      <c r="W52" s="5">
        <f t="shared" si="8"/>
        <v>0</v>
      </c>
      <c r="X52" s="5"/>
      <c r="Y52" s="5"/>
      <c r="Z52" s="1">
        <f t="shared" si="9"/>
        <v>-253</v>
      </c>
      <c r="AA52" s="1">
        <f t="shared" si="18"/>
        <v>-253</v>
      </c>
      <c r="AB52" s="1">
        <v>23</v>
      </c>
      <c r="AC52" s="1">
        <v>24.8</v>
      </c>
      <c r="AD52" s="1">
        <v>1.6</v>
      </c>
      <c r="AE52" s="1">
        <v>0.8</v>
      </c>
      <c r="AF52" s="1">
        <v>2.6</v>
      </c>
      <c r="AG52" s="1">
        <v>2.6</v>
      </c>
      <c r="AH52" s="1">
        <v>13.6</v>
      </c>
      <c r="AI52" s="1">
        <v>18</v>
      </c>
      <c r="AJ52" s="1">
        <v>5.2</v>
      </c>
      <c r="AK52" s="1">
        <v>0.6</v>
      </c>
      <c r="AL52" s="1"/>
      <c r="AM52" s="1">
        <f t="shared" si="10"/>
        <v>0</v>
      </c>
      <c r="AN52" s="1">
        <f t="shared" si="11"/>
        <v>0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92</v>
      </c>
      <c r="B53" s="1" t="s">
        <v>45</v>
      </c>
      <c r="C53" s="1">
        <v>38</v>
      </c>
      <c r="D53" s="1">
        <v>18</v>
      </c>
      <c r="E53" s="1">
        <v>32</v>
      </c>
      <c r="F53" s="1">
        <v>6</v>
      </c>
      <c r="G53" s="7">
        <v>0.4</v>
      </c>
      <c r="H53" s="1">
        <v>40</v>
      </c>
      <c r="I53" s="1" t="s">
        <v>40</v>
      </c>
      <c r="J53" s="1"/>
      <c r="K53" s="1">
        <v>66</v>
      </c>
      <c r="L53" s="1">
        <f t="shared" si="16"/>
        <v>-34</v>
      </c>
      <c r="M53" s="1"/>
      <c r="N53" s="1"/>
      <c r="O53" s="1">
        <v>0</v>
      </c>
      <c r="P53" s="1"/>
      <c r="Q53" s="1">
        <v>206.19</v>
      </c>
      <c r="R53" s="1">
        <v>88.138742999999948</v>
      </c>
      <c r="S53" s="1">
        <v>48.15125699999998</v>
      </c>
      <c r="T53" s="1">
        <f t="shared" si="17"/>
        <v>6.4</v>
      </c>
      <c r="U53" s="5"/>
      <c r="V53" s="5">
        <f t="shared" si="7"/>
        <v>0</v>
      </c>
      <c r="W53" s="5">
        <f t="shared" si="8"/>
        <v>0</v>
      </c>
      <c r="X53" s="5"/>
      <c r="Y53" s="5"/>
      <c r="Z53" s="1">
        <f t="shared" si="9"/>
        <v>54.449999999999982</v>
      </c>
      <c r="AA53" s="1">
        <f t="shared" si="18"/>
        <v>54.449999999999982</v>
      </c>
      <c r="AB53" s="1">
        <v>32.799999999999997</v>
      </c>
      <c r="AC53" s="1">
        <v>31.4</v>
      </c>
      <c r="AD53" s="1">
        <v>12.8</v>
      </c>
      <c r="AE53" s="1">
        <v>16.600000000000001</v>
      </c>
      <c r="AF53" s="1">
        <v>10.199999999999999</v>
      </c>
      <c r="AG53" s="1">
        <v>5.8</v>
      </c>
      <c r="AH53" s="1">
        <v>21.8</v>
      </c>
      <c r="AI53" s="1">
        <v>21.6</v>
      </c>
      <c r="AJ53" s="1">
        <v>10.199999999999999</v>
      </c>
      <c r="AK53" s="1">
        <v>13.4</v>
      </c>
      <c r="AL53" s="1"/>
      <c r="AM53" s="1">
        <f t="shared" si="10"/>
        <v>0</v>
      </c>
      <c r="AN53" s="1">
        <f t="shared" si="11"/>
        <v>0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93</v>
      </c>
      <c r="B54" s="1" t="s">
        <v>39</v>
      </c>
      <c r="C54" s="1">
        <v>54.963999999999999</v>
      </c>
      <c r="D54" s="1">
        <v>215.65</v>
      </c>
      <c r="E54" s="1">
        <v>70.382999999999996</v>
      </c>
      <c r="F54" s="1">
        <v>183.76499999999999</v>
      </c>
      <c r="G54" s="7">
        <v>1</v>
      </c>
      <c r="H54" s="1">
        <v>50</v>
      </c>
      <c r="I54" s="1" t="s">
        <v>40</v>
      </c>
      <c r="J54" s="1"/>
      <c r="K54" s="1">
        <v>66.099999999999994</v>
      </c>
      <c r="L54" s="1">
        <f t="shared" si="16"/>
        <v>4.2830000000000013</v>
      </c>
      <c r="M54" s="1"/>
      <c r="N54" s="1"/>
      <c r="O54" s="1">
        <v>0</v>
      </c>
      <c r="P54" s="1"/>
      <c r="Q54" s="1">
        <v>40</v>
      </c>
      <c r="R54" s="1">
        <v>0</v>
      </c>
      <c r="S54" s="1"/>
      <c r="T54" s="1">
        <f t="shared" si="17"/>
        <v>14.076599999999999</v>
      </c>
      <c r="U54" s="5"/>
      <c r="V54" s="5">
        <f t="shared" si="7"/>
        <v>0</v>
      </c>
      <c r="W54" s="5">
        <f t="shared" si="8"/>
        <v>0</v>
      </c>
      <c r="X54" s="5"/>
      <c r="Y54" s="5"/>
      <c r="Z54" s="1">
        <f t="shared" si="9"/>
        <v>15.896239148658056</v>
      </c>
      <c r="AA54" s="1">
        <f t="shared" si="18"/>
        <v>15.896239148658056</v>
      </c>
      <c r="AB54" s="1">
        <v>9.4445999999999994</v>
      </c>
      <c r="AC54" s="1">
        <v>5.6942000000000004</v>
      </c>
      <c r="AD54" s="1">
        <v>13.5944</v>
      </c>
      <c r="AE54" s="1">
        <v>20.284400000000002</v>
      </c>
      <c r="AF54" s="1">
        <v>13.1692</v>
      </c>
      <c r="AG54" s="1">
        <v>12.071400000000001</v>
      </c>
      <c r="AH54" s="1">
        <v>14.194000000000001</v>
      </c>
      <c r="AI54" s="1">
        <v>12.063599999999999</v>
      </c>
      <c r="AJ54" s="1">
        <v>14.1008</v>
      </c>
      <c r="AK54" s="1">
        <v>15.144</v>
      </c>
      <c r="AL54" s="1"/>
      <c r="AM54" s="1">
        <f t="shared" si="10"/>
        <v>0</v>
      </c>
      <c r="AN54" s="1">
        <f t="shared" si="11"/>
        <v>0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94</v>
      </c>
      <c r="B55" s="1" t="s">
        <v>45</v>
      </c>
      <c r="C55" s="1">
        <v>187</v>
      </c>
      <c r="D55" s="1">
        <v>181</v>
      </c>
      <c r="E55" s="15">
        <f>146+E127</f>
        <v>163</v>
      </c>
      <c r="F55" s="15">
        <f>0+F127</f>
        <v>26</v>
      </c>
      <c r="G55" s="7">
        <v>0.1</v>
      </c>
      <c r="H55" s="1">
        <v>731</v>
      </c>
      <c r="I55" s="1" t="s">
        <v>40</v>
      </c>
      <c r="J55" s="1"/>
      <c r="K55" s="1">
        <v>149</v>
      </c>
      <c r="L55" s="1">
        <f t="shared" si="16"/>
        <v>14</v>
      </c>
      <c r="M55" s="1"/>
      <c r="N55" s="1"/>
      <c r="O55" s="1">
        <v>126.76779999999999</v>
      </c>
      <c r="P55" s="1">
        <v>227.3322</v>
      </c>
      <c r="Q55" s="1">
        <v>1119.5899999999999</v>
      </c>
      <c r="R55" s="1">
        <v>646.70000000000005</v>
      </c>
      <c r="S55" s="1">
        <v>353.3</v>
      </c>
      <c r="T55" s="1">
        <f t="shared" si="17"/>
        <v>32.6</v>
      </c>
      <c r="U55" s="5"/>
      <c r="V55" s="5">
        <f t="shared" si="7"/>
        <v>0</v>
      </c>
      <c r="W55" s="5">
        <f t="shared" si="8"/>
        <v>0</v>
      </c>
      <c r="X55" s="5"/>
      <c r="Y55" s="5"/>
      <c r="Z55" s="1">
        <f t="shared" si="9"/>
        <v>76.677607361963197</v>
      </c>
      <c r="AA55" s="1">
        <f t="shared" si="18"/>
        <v>76.677607361963197</v>
      </c>
      <c r="AB55" s="1">
        <v>124</v>
      </c>
      <c r="AC55" s="1">
        <v>140.6</v>
      </c>
      <c r="AD55" s="1">
        <v>71</v>
      </c>
      <c r="AE55" s="1">
        <v>53.4</v>
      </c>
      <c r="AF55" s="1">
        <v>52.8</v>
      </c>
      <c r="AG55" s="1">
        <v>55.6</v>
      </c>
      <c r="AH55" s="1">
        <v>75.400000000000006</v>
      </c>
      <c r="AI55" s="1">
        <v>102</v>
      </c>
      <c r="AJ55" s="1">
        <v>110.4</v>
      </c>
      <c r="AK55" s="1">
        <v>101.6</v>
      </c>
      <c r="AL55" s="1"/>
      <c r="AM55" s="1">
        <f t="shared" si="10"/>
        <v>0</v>
      </c>
      <c r="AN55" s="1">
        <f t="shared" si="11"/>
        <v>0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95</v>
      </c>
      <c r="B56" s="1" t="s">
        <v>39</v>
      </c>
      <c r="C56" s="1">
        <v>23.193999999999999</v>
      </c>
      <c r="D56" s="1">
        <v>236.19399999999999</v>
      </c>
      <c r="E56" s="1">
        <v>94.070999999999998</v>
      </c>
      <c r="F56" s="1">
        <v>139.916</v>
      </c>
      <c r="G56" s="7">
        <v>1</v>
      </c>
      <c r="H56" s="1">
        <v>50</v>
      </c>
      <c r="I56" s="1" t="s">
        <v>40</v>
      </c>
      <c r="J56" s="1"/>
      <c r="K56" s="1">
        <v>90.55</v>
      </c>
      <c r="L56" s="1">
        <f t="shared" si="16"/>
        <v>3.5210000000000008</v>
      </c>
      <c r="M56" s="1"/>
      <c r="N56" s="1"/>
      <c r="O56" s="1">
        <v>0</v>
      </c>
      <c r="P56" s="1"/>
      <c r="Q56" s="1">
        <v>80</v>
      </c>
      <c r="R56" s="1">
        <v>0</v>
      </c>
      <c r="S56" s="1"/>
      <c r="T56" s="1">
        <f t="shared" si="17"/>
        <v>18.8142</v>
      </c>
      <c r="U56" s="5">
        <f t="shared" ref="U56" si="20">12*T56-S56-R56-Q56-P56-O56-F56</f>
        <v>5.8543999999999983</v>
      </c>
      <c r="V56" s="5">
        <f t="shared" si="7"/>
        <v>5.8543999999999983</v>
      </c>
      <c r="W56" s="5">
        <f t="shared" si="8"/>
        <v>5.8543999999999983</v>
      </c>
      <c r="X56" s="5"/>
      <c r="Y56" s="5"/>
      <c r="Z56" s="1">
        <f t="shared" si="9"/>
        <v>12</v>
      </c>
      <c r="AA56" s="1">
        <f t="shared" si="18"/>
        <v>11.688830776753729</v>
      </c>
      <c r="AB56" s="1">
        <v>15.722799999999999</v>
      </c>
      <c r="AC56" s="1">
        <v>17.816400000000002</v>
      </c>
      <c r="AD56" s="1">
        <v>17.171199999999999</v>
      </c>
      <c r="AE56" s="1">
        <v>25.500599999999999</v>
      </c>
      <c r="AF56" s="1">
        <v>22.254799999999999</v>
      </c>
      <c r="AG56" s="1">
        <v>15.750999999999999</v>
      </c>
      <c r="AH56" s="1">
        <v>20.5718</v>
      </c>
      <c r="AI56" s="1">
        <v>20.8672</v>
      </c>
      <c r="AJ56" s="1">
        <v>22.484000000000002</v>
      </c>
      <c r="AK56" s="1">
        <v>23.589200000000002</v>
      </c>
      <c r="AL56" s="1"/>
      <c r="AM56" s="1">
        <f t="shared" si="10"/>
        <v>6</v>
      </c>
      <c r="AN56" s="1">
        <f t="shared" si="11"/>
        <v>0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96</v>
      </c>
      <c r="B57" s="1" t="s">
        <v>39</v>
      </c>
      <c r="C57" s="1">
        <v>70.475999999999999</v>
      </c>
      <c r="D57" s="1"/>
      <c r="E57" s="1">
        <v>37.723999999999997</v>
      </c>
      <c r="F57" s="1">
        <v>23.302</v>
      </c>
      <c r="G57" s="7">
        <v>1</v>
      </c>
      <c r="H57" s="1">
        <v>55</v>
      </c>
      <c r="I57" s="1" t="s">
        <v>40</v>
      </c>
      <c r="J57" s="1"/>
      <c r="K57" s="1">
        <v>33.299999999999997</v>
      </c>
      <c r="L57" s="1">
        <f t="shared" si="16"/>
        <v>4.4239999999999995</v>
      </c>
      <c r="M57" s="1"/>
      <c r="N57" s="1"/>
      <c r="O57" s="1">
        <v>0</v>
      </c>
      <c r="P57" s="1"/>
      <c r="Q57" s="1">
        <v>3.757199999999997</v>
      </c>
      <c r="R57" s="1">
        <v>0</v>
      </c>
      <c r="S57" s="1"/>
      <c r="T57" s="1">
        <f t="shared" si="17"/>
        <v>7.5447999999999995</v>
      </c>
      <c r="U57" s="5">
        <f>11*T57-S57-R57-Q57-P57-O57-F57</f>
        <v>55.933599999999991</v>
      </c>
      <c r="V57" s="5">
        <f t="shared" si="7"/>
        <v>55.933599999999991</v>
      </c>
      <c r="W57" s="5">
        <f t="shared" si="8"/>
        <v>55.933599999999991</v>
      </c>
      <c r="X57" s="5"/>
      <c r="Y57" s="5"/>
      <c r="Z57" s="1">
        <f t="shared" si="9"/>
        <v>11</v>
      </c>
      <c r="AA57" s="1">
        <f t="shared" si="18"/>
        <v>3.5864701516276107</v>
      </c>
      <c r="AB57" s="1">
        <v>5.4295999999999998</v>
      </c>
      <c r="AC57" s="1">
        <v>5.7375999999999996</v>
      </c>
      <c r="AD57" s="1">
        <v>5.17</v>
      </c>
      <c r="AE57" s="1">
        <v>7.0688000000000004</v>
      </c>
      <c r="AF57" s="1">
        <v>6.5191999999999997</v>
      </c>
      <c r="AG57" s="1">
        <v>1.8912</v>
      </c>
      <c r="AH57" s="1">
        <v>1.9228000000000001</v>
      </c>
      <c r="AI57" s="1">
        <v>7.3528000000000002</v>
      </c>
      <c r="AJ57" s="1">
        <v>10.632199999999999</v>
      </c>
      <c r="AK57" s="1">
        <v>8.7439999999999998</v>
      </c>
      <c r="AL57" s="1"/>
      <c r="AM57" s="1">
        <f t="shared" si="10"/>
        <v>56</v>
      </c>
      <c r="AN57" s="1">
        <f t="shared" si="11"/>
        <v>0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97</v>
      </c>
      <c r="B58" s="1" t="s">
        <v>45</v>
      </c>
      <c r="C58" s="1">
        <v>20</v>
      </c>
      <c r="D58" s="1">
        <v>320</v>
      </c>
      <c r="E58" s="1">
        <v>90</v>
      </c>
      <c r="F58" s="1">
        <v>69</v>
      </c>
      <c r="G58" s="7">
        <v>0.1</v>
      </c>
      <c r="H58" s="1">
        <v>731</v>
      </c>
      <c r="I58" s="1" t="s">
        <v>40</v>
      </c>
      <c r="J58" s="1"/>
      <c r="K58" s="1">
        <v>246</v>
      </c>
      <c r="L58" s="1">
        <f t="shared" si="16"/>
        <v>-156</v>
      </c>
      <c r="M58" s="1"/>
      <c r="N58" s="1"/>
      <c r="O58" s="1">
        <v>167.02132</v>
      </c>
      <c r="P58" s="1">
        <v>299.51868000000002</v>
      </c>
      <c r="Q58" s="1">
        <v>700</v>
      </c>
      <c r="R58" s="1">
        <v>388.02</v>
      </c>
      <c r="S58" s="1">
        <v>211.98</v>
      </c>
      <c r="T58" s="1">
        <f t="shared" si="17"/>
        <v>18</v>
      </c>
      <c r="U58" s="5"/>
      <c r="V58" s="5">
        <f t="shared" si="7"/>
        <v>0</v>
      </c>
      <c r="W58" s="5">
        <f t="shared" si="8"/>
        <v>0</v>
      </c>
      <c r="X58" s="5"/>
      <c r="Y58" s="5"/>
      <c r="Z58" s="1">
        <f t="shared" si="9"/>
        <v>101.97444444444444</v>
      </c>
      <c r="AA58" s="1">
        <f t="shared" si="18"/>
        <v>101.97444444444444</v>
      </c>
      <c r="AB58" s="1">
        <v>59.4</v>
      </c>
      <c r="AC58" s="1">
        <v>97</v>
      </c>
      <c r="AD58" s="1">
        <v>77.400000000000006</v>
      </c>
      <c r="AE58" s="1">
        <v>61.4</v>
      </c>
      <c r="AF58" s="1">
        <v>38.799999999999997</v>
      </c>
      <c r="AG58" s="1">
        <v>44.6</v>
      </c>
      <c r="AH58" s="1">
        <v>58</v>
      </c>
      <c r="AI58" s="1">
        <v>67.400000000000006</v>
      </c>
      <c r="AJ58" s="1">
        <v>77.8</v>
      </c>
      <c r="AK58" s="1">
        <v>72.400000000000006</v>
      </c>
      <c r="AL58" s="1"/>
      <c r="AM58" s="1">
        <f t="shared" si="10"/>
        <v>0</v>
      </c>
      <c r="AN58" s="1">
        <f t="shared" si="11"/>
        <v>0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98</v>
      </c>
      <c r="B59" s="1" t="s">
        <v>45</v>
      </c>
      <c r="C59" s="1">
        <v>11</v>
      </c>
      <c r="D59" s="1">
        <v>50</v>
      </c>
      <c r="E59" s="1">
        <v>40</v>
      </c>
      <c r="F59" s="1">
        <v>11</v>
      </c>
      <c r="G59" s="7">
        <v>0.4</v>
      </c>
      <c r="H59" s="1">
        <v>50</v>
      </c>
      <c r="I59" s="1" t="s">
        <v>40</v>
      </c>
      <c r="J59" s="1"/>
      <c r="K59" s="1">
        <v>38</v>
      </c>
      <c r="L59" s="1">
        <f t="shared" si="16"/>
        <v>2</v>
      </c>
      <c r="M59" s="1"/>
      <c r="N59" s="1"/>
      <c r="O59" s="1">
        <v>0</v>
      </c>
      <c r="P59" s="1"/>
      <c r="Q59" s="1">
        <v>0</v>
      </c>
      <c r="R59" s="1">
        <v>0</v>
      </c>
      <c r="S59" s="1"/>
      <c r="T59" s="1">
        <f t="shared" si="17"/>
        <v>8</v>
      </c>
      <c r="U59" s="5">
        <f>8*T59-S59-R59-Q59-P59-O59-F59</f>
        <v>53</v>
      </c>
      <c r="V59" s="5">
        <f t="shared" si="7"/>
        <v>53</v>
      </c>
      <c r="W59" s="5">
        <f t="shared" si="8"/>
        <v>53</v>
      </c>
      <c r="X59" s="5"/>
      <c r="Y59" s="5"/>
      <c r="Z59" s="1">
        <f t="shared" si="9"/>
        <v>8</v>
      </c>
      <c r="AA59" s="1">
        <f t="shared" si="18"/>
        <v>1.375</v>
      </c>
      <c r="AB59" s="1">
        <v>4.2</v>
      </c>
      <c r="AC59" s="1">
        <v>4</v>
      </c>
      <c r="AD59" s="1">
        <v>4.4000000000000004</v>
      </c>
      <c r="AE59" s="1">
        <v>5.6</v>
      </c>
      <c r="AF59" s="1">
        <v>4</v>
      </c>
      <c r="AG59" s="1">
        <v>3.4</v>
      </c>
      <c r="AH59" s="1">
        <v>3.6</v>
      </c>
      <c r="AI59" s="1">
        <v>2.4</v>
      </c>
      <c r="AJ59" s="1">
        <v>2.6</v>
      </c>
      <c r="AK59" s="1">
        <v>4.5999999999999996</v>
      </c>
      <c r="AL59" s="1"/>
      <c r="AM59" s="1">
        <f t="shared" si="10"/>
        <v>21</v>
      </c>
      <c r="AN59" s="1">
        <f t="shared" si="11"/>
        <v>0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99</v>
      </c>
      <c r="B60" s="1" t="s">
        <v>39</v>
      </c>
      <c r="C60" s="1">
        <v>169.375</v>
      </c>
      <c r="D60" s="1">
        <v>1.3480000000000001</v>
      </c>
      <c r="E60" s="1">
        <v>138.39400000000001</v>
      </c>
      <c r="F60" s="1">
        <v>3.1</v>
      </c>
      <c r="G60" s="7">
        <v>1</v>
      </c>
      <c r="H60" s="1">
        <v>40</v>
      </c>
      <c r="I60" s="10" t="s">
        <v>43</v>
      </c>
      <c r="J60" s="1"/>
      <c r="K60" s="1">
        <v>131.9</v>
      </c>
      <c r="L60" s="1">
        <f t="shared" si="16"/>
        <v>6.4939999999999998</v>
      </c>
      <c r="M60" s="1"/>
      <c r="N60" s="1"/>
      <c r="O60" s="1">
        <v>0</v>
      </c>
      <c r="P60" s="1"/>
      <c r="Q60" s="1">
        <v>25.878399999999999</v>
      </c>
      <c r="R60" s="1">
        <v>93.497687219999989</v>
      </c>
      <c r="S60" s="1">
        <v>51.078912780000003</v>
      </c>
      <c r="T60" s="1">
        <f t="shared" si="17"/>
        <v>27.678800000000003</v>
      </c>
      <c r="U60" s="5">
        <f t="shared" ref="U60:U63" si="21">12*T60-S60-R60-Q60-P60-O60-F60</f>
        <v>158.59060000000008</v>
      </c>
      <c r="V60" s="5">
        <f t="shared" ref="V60:V62" si="22">IF(U60+T60*$V$1&lt;0,0,U60+T60*$V$1)</f>
        <v>133.12610400000008</v>
      </c>
      <c r="W60" s="5">
        <f t="shared" si="8"/>
        <v>133.12610400000008</v>
      </c>
      <c r="X60" s="5"/>
      <c r="Y60" s="5"/>
      <c r="Z60" s="1">
        <f t="shared" si="9"/>
        <v>11.080000000000002</v>
      </c>
      <c r="AA60" s="1">
        <f t="shared" si="18"/>
        <v>6.2703224128213639</v>
      </c>
      <c r="AB60" s="1">
        <v>25.0624</v>
      </c>
      <c r="AC60" s="1">
        <v>15.049200000000001</v>
      </c>
      <c r="AD60" s="1">
        <v>12.201599999999999</v>
      </c>
      <c r="AE60" s="1">
        <v>18.538799999999998</v>
      </c>
      <c r="AF60" s="1">
        <v>17.831600000000002</v>
      </c>
      <c r="AG60" s="1">
        <v>21.148399999999999</v>
      </c>
      <c r="AH60" s="1">
        <v>25.391999999999999</v>
      </c>
      <c r="AI60" s="1">
        <v>18.513999999999999</v>
      </c>
      <c r="AJ60" s="1">
        <v>18.356999999999999</v>
      </c>
      <c r="AK60" s="1">
        <v>11.759600000000001</v>
      </c>
      <c r="AL60" s="1"/>
      <c r="AM60" s="1">
        <f t="shared" si="10"/>
        <v>133</v>
      </c>
      <c r="AN60" s="1">
        <f t="shared" si="11"/>
        <v>0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100</v>
      </c>
      <c r="B61" s="1" t="s">
        <v>39</v>
      </c>
      <c r="C61" s="1">
        <v>167.56</v>
      </c>
      <c r="D61" s="1">
        <v>91.983999999999995</v>
      </c>
      <c r="E61" s="1">
        <v>192.875</v>
      </c>
      <c r="F61" s="1">
        <v>18.760000000000002</v>
      </c>
      <c r="G61" s="7">
        <v>1</v>
      </c>
      <c r="H61" s="1">
        <v>40</v>
      </c>
      <c r="I61" s="1" t="s">
        <v>40</v>
      </c>
      <c r="J61" s="1"/>
      <c r="K61" s="1">
        <v>192.95</v>
      </c>
      <c r="L61" s="1">
        <f t="shared" si="16"/>
        <v>-7.4999999999988631E-2</v>
      </c>
      <c r="M61" s="1"/>
      <c r="N61" s="1"/>
      <c r="O61" s="1">
        <v>0</v>
      </c>
      <c r="P61" s="1"/>
      <c r="Q61" s="1">
        <v>73.577639999999946</v>
      </c>
      <c r="R61" s="1">
        <v>126.98779689200001</v>
      </c>
      <c r="S61" s="1">
        <v>69.374963108000017</v>
      </c>
      <c r="T61" s="1">
        <f t="shared" si="17"/>
        <v>38.575000000000003</v>
      </c>
      <c r="U61" s="5">
        <f t="shared" si="21"/>
        <v>174.19960000000006</v>
      </c>
      <c r="V61" s="5">
        <f t="shared" si="22"/>
        <v>138.71060000000006</v>
      </c>
      <c r="W61" s="5">
        <f t="shared" si="8"/>
        <v>138.71060000000006</v>
      </c>
      <c r="X61" s="5"/>
      <c r="Y61" s="5"/>
      <c r="Z61" s="1">
        <f t="shared" si="9"/>
        <v>11.08</v>
      </c>
      <c r="AA61" s="1">
        <f t="shared" si="18"/>
        <v>7.4841322099805572</v>
      </c>
      <c r="AB61" s="1">
        <v>35.729399999999998</v>
      </c>
      <c r="AC61" s="1">
        <v>26.42</v>
      </c>
      <c r="AD61" s="1">
        <v>21.918600000000001</v>
      </c>
      <c r="AE61" s="1">
        <v>25.319600000000001</v>
      </c>
      <c r="AF61" s="1">
        <v>25.4392</v>
      </c>
      <c r="AG61" s="1">
        <v>25.886600000000001</v>
      </c>
      <c r="AH61" s="1">
        <v>33.364400000000003</v>
      </c>
      <c r="AI61" s="1">
        <v>30.392399999999999</v>
      </c>
      <c r="AJ61" s="1">
        <v>17.517199999999999</v>
      </c>
      <c r="AK61" s="1">
        <v>9.0928000000000004</v>
      </c>
      <c r="AL61" s="1"/>
      <c r="AM61" s="1">
        <f t="shared" si="10"/>
        <v>139</v>
      </c>
      <c r="AN61" s="1">
        <f t="shared" si="11"/>
        <v>0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101</v>
      </c>
      <c r="B62" s="1" t="s">
        <v>45</v>
      </c>
      <c r="C62" s="1">
        <v>290</v>
      </c>
      <c r="D62" s="1">
        <v>870</v>
      </c>
      <c r="E62" s="1">
        <v>437</v>
      </c>
      <c r="F62" s="1">
        <v>271</v>
      </c>
      <c r="G62" s="7">
        <v>0.4</v>
      </c>
      <c r="H62" s="1">
        <v>40</v>
      </c>
      <c r="I62" s="1" t="s">
        <v>40</v>
      </c>
      <c r="J62" s="1"/>
      <c r="K62" s="1">
        <v>739</v>
      </c>
      <c r="L62" s="1">
        <f t="shared" si="16"/>
        <v>-302</v>
      </c>
      <c r="M62" s="1"/>
      <c r="N62" s="1"/>
      <c r="O62" s="1">
        <v>0</v>
      </c>
      <c r="P62" s="1"/>
      <c r="Q62" s="1">
        <v>0</v>
      </c>
      <c r="R62" s="1">
        <v>323.35000000000002</v>
      </c>
      <c r="S62" s="1">
        <v>176.65</v>
      </c>
      <c r="T62" s="1">
        <f t="shared" si="17"/>
        <v>87.4</v>
      </c>
      <c r="U62" s="5">
        <f t="shared" si="21"/>
        <v>277.80000000000018</v>
      </c>
      <c r="V62" s="5">
        <f t="shared" si="22"/>
        <v>197.39200000000017</v>
      </c>
      <c r="W62" s="5">
        <f t="shared" si="8"/>
        <v>197.39200000000017</v>
      </c>
      <c r="X62" s="5"/>
      <c r="Y62" s="5"/>
      <c r="Z62" s="1">
        <f t="shared" si="9"/>
        <v>11.080000000000002</v>
      </c>
      <c r="AA62" s="1">
        <f t="shared" si="18"/>
        <v>8.8215102974828365</v>
      </c>
      <c r="AB62" s="1">
        <v>33.200000000000003</v>
      </c>
      <c r="AC62" s="1">
        <v>31</v>
      </c>
      <c r="AD62" s="1">
        <v>15.8</v>
      </c>
      <c r="AE62" s="1">
        <v>65.599999999999994</v>
      </c>
      <c r="AF62" s="1">
        <v>92.6</v>
      </c>
      <c r="AG62" s="1">
        <v>30.4</v>
      </c>
      <c r="AH62" s="1">
        <v>50.8</v>
      </c>
      <c r="AI62" s="1">
        <v>50.2</v>
      </c>
      <c r="AJ62" s="1">
        <v>31.2</v>
      </c>
      <c r="AK62" s="1">
        <v>50.4</v>
      </c>
      <c r="AL62" s="1" t="s">
        <v>102</v>
      </c>
      <c r="AM62" s="1">
        <f t="shared" si="10"/>
        <v>79</v>
      </c>
      <c r="AN62" s="1">
        <f t="shared" si="11"/>
        <v>0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103</v>
      </c>
      <c r="B63" s="1" t="s">
        <v>45</v>
      </c>
      <c r="C63" s="1">
        <v>12</v>
      </c>
      <c r="D63" s="1">
        <v>696</v>
      </c>
      <c r="E63" s="1">
        <v>315</v>
      </c>
      <c r="F63" s="1">
        <v>231</v>
      </c>
      <c r="G63" s="7">
        <v>0.4</v>
      </c>
      <c r="H63" s="1">
        <v>40</v>
      </c>
      <c r="I63" s="10" t="s">
        <v>43</v>
      </c>
      <c r="J63" s="1"/>
      <c r="K63" s="1">
        <v>484</v>
      </c>
      <c r="L63" s="1">
        <f t="shared" si="16"/>
        <v>-169</v>
      </c>
      <c r="M63" s="1"/>
      <c r="N63" s="1"/>
      <c r="O63" s="1">
        <v>100.16052400000009</v>
      </c>
      <c r="P63" s="1">
        <v>179.6174760000001</v>
      </c>
      <c r="Q63" s="1">
        <v>200.4399999999998</v>
      </c>
      <c r="R63" s="1">
        <v>0</v>
      </c>
      <c r="S63" s="1"/>
      <c r="T63" s="1">
        <f t="shared" si="17"/>
        <v>63</v>
      </c>
      <c r="U63" s="5">
        <f t="shared" si="21"/>
        <v>44.781999999999925</v>
      </c>
      <c r="V63" s="5">
        <f t="shared" si="7"/>
        <v>44.781999999999925</v>
      </c>
      <c r="W63" s="5">
        <f t="shared" si="8"/>
        <v>44.781999999999925</v>
      </c>
      <c r="X63" s="5"/>
      <c r="Y63" s="5"/>
      <c r="Z63" s="1">
        <f t="shared" si="9"/>
        <v>12</v>
      </c>
      <c r="AA63" s="1">
        <f t="shared" si="18"/>
        <v>11.289174603174605</v>
      </c>
      <c r="AB63" s="1">
        <v>71.599999999999994</v>
      </c>
      <c r="AC63" s="1">
        <v>105.6</v>
      </c>
      <c r="AD63" s="1">
        <v>90</v>
      </c>
      <c r="AE63" s="1">
        <v>86.6</v>
      </c>
      <c r="AF63" s="1">
        <v>60.4</v>
      </c>
      <c r="AG63" s="1">
        <v>48.4</v>
      </c>
      <c r="AH63" s="1">
        <v>73.400000000000006</v>
      </c>
      <c r="AI63" s="1">
        <v>82.2</v>
      </c>
      <c r="AJ63" s="1">
        <v>73.2</v>
      </c>
      <c r="AK63" s="1">
        <v>43.6</v>
      </c>
      <c r="AL63" s="1"/>
      <c r="AM63" s="1">
        <f t="shared" si="10"/>
        <v>18</v>
      </c>
      <c r="AN63" s="1">
        <f t="shared" si="11"/>
        <v>0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104</v>
      </c>
      <c r="B64" s="1" t="s">
        <v>39</v>
      </c>
      <c r="C64" s="1">
        <v>92.852000000000004</v>
      </c>
      <c r="D64" s="1">
        <v>250.37899999999999</v>
      </c>
      <c r="E64" s="1">
        <v>230.96</v>
      </c>
      <c r="F64" s="1">
        <v>68.796000000000006</v>
      </c>
      <c r="G64" s="7">
        <v>1</v>
      </c>
      <c r="H64" s="1">
        <v>40</v>
      </c>
      <c r="I64" s="10" t="s">
        <v>43</v>
      </c>
      <c r="J64" s="1"/>
      <c r="K64" s="1">
        <v>231.4</v>
      </c>
      <c r="L64" s="1">
        <f t="shared" si="16"/>
        <v>-0.43999999999999773</v>
      </c>
      <c r="M64" s="1"/>
      <c r="N64" s="1"/>
      <c r="O64" s="1">
        <v>0</v>
      </c>
      <c r="P64" s="1"/>
      <c r="Q64" s="1">
        <v>0</v>
      </c>
      <c r="R64" s="1">
        <v>29.794800000000009</v>
      </c>
      <c r="S64" s="1"/>
      <c r="T64" s="1">
        <f t="shared" si="17"/>
        <v>46.192</v>
      </c>
      <c r="U64" s="5">
        <f>9*T64-S64-R64-Q64-P64-O64-F64</f>
        <v>317.13720000000001</v>
      </c>
      <c r="V64" s="5">
        <f t="shared" ref="V64:V65" si="23">IF(U64+T64*$V$1&lt;0,0,U64+T64*$V$1)</f>
        <v>274.64055999999999</v>
      </c>
      <c r="W64" s="5">
        <f t="shared" si="8"/>
        <v>274.64055999999999</v>
      </c>
      <c r="X64" s="5"/>
      <c r="Y64" s="5"/>
      <c r="Z64" s="1">
        <f t="shared" si="9"/>
        <v>8.08</v>
      </c>
      <c r="AA64" s="1">
        <f t="shared" si="18"/>
        <v>2.1343695878074129</v>
      </c>
      <c r="AB64" s="1">
        <v>23.884799999999998</v>
      </c>
      <c r="AC64" s="1">
        <v>2.0099999999999998</v>
      </c>
      <c r="AD64" s="1">
        <v>-0.17960000000000001</v>
      </c>
      <c r="AE64" s="1">
        <v>17.416</v>
      </c>
      <c r="AF64" s="1">
        <v>29.5578</v>
      </c>
      <c r="AG64" s="1">
        <v>16.490200000000002</v>
      </c>
      <c r="AH64" s="1">
        <v>4.1694000000000004</v>
      </c>
      <c r="AI64" s="1">
        <v>-0.17899999999999999</v>
      </c>
      <c r="AJ64" s="1">
        <v>9.9154</v>
      </c>
      <c r="AK64" s="1">
        <v>12.6272</v>
      </c>
      <c r="AL64" s="1"/>
      <c r="AM64" s="1">
        <f t="shared" si="10"/>
        <v>275</v>
      </c>
      <c r="AN64" s="1">
        <f t="shared" si="11"/>
        <v>0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105</v>
      </c>
      <c r="B65" s="1" t="s">
        <v>39</v>
      </c>
      <c r="C65" s="1">
        <v>91.82</v>
      </c>
      <c r="D65" s="1">
        <v>157.62</v>
      </c>
      <c r="E65" s="1">
        <v>229.52099999999999</v>
      </c>
      <c r="F65" s="1">
        <v>-0.94499999999999995</v>
      </c>
      <c r="G65" s="7">
        <v>1</v>
      </c>
      <c r="H65" s="1">
        <v>40</v>
      </c>
      <c r="I65" s="10" t="s">
        <v>43</v>
      </c>
      <c r="J65" s="1"/>
      <c r="K65" s="1">
        <v>221.2</v>
      </c>
      <c r="L65" s="1">
        <f t="shared" si="16"/>
        <v>8.320999999999998</v>
      </c>
      <c r="M65" s="1"/>
      <c r="N65" s="1"/>
      <c r="O65" s="1">
        <v>0</v>
      </c>
      <c r="P65" s="1"/>
      <c r="Q65" s="1">
        <v>0</v>
      </c>
      <c r="R65" s="1">
        <v>76.323145979999993</v>
      </c>
      <c r="S65" s="1">
        <v>41.696254019999998</v>
      </c>
      <c r="T65" s="1">
        <f t="shared" si="17"/>
        <v>45.904199999999996</v>
      </c>
      <c r="U65" s="5">
        <f>10*T65-S65-R65-Q65-P65-O65-F65</f>
        <v>341.96759999999995</v>
      </c>
      <c r="V65" s="5">
        <f t="shared" si="23"/>
        <v>299.73573599999997</v>
      </c>
      <c r="W65" s="5">
        <f t="shared" si="8"/>
        <v>244.73573599999997</v>
      </c>
      <c r="X65" s="5"/>
      <c r="Y65" s="5">
        <v>55</v>
      </c>
      <c r="Z65" s="1">
        <f t="shared" si="9"/>
        <v>9.08</v>
      </c>
      <c r="AA65" s="1">
        <f t="shared" si="18"/>
        <v>2.5504071522867191</v>
      </c>
      <c r="AB65" s="1">
        <v>23.0824</v>
      </c>
      <c r="AC65" s="1">
        <v>2.1776</v>
      </c>
      <c r="AD65" s="1">
        <v>5.6093999999999999</v>
      </c>
      <c r="AE65" s="1">
        <v>15.3596</v>
      </c>
      <c r="AF65" s="1">
        <v>19.2516</v>
      </c>
      <c r="AG65" s="1">
        <v>15.604200000000001</v>
      </c>
      <c r="AH65" s="1">
        <v>5.9226000000000001</v>
      </c>
      <c r="AI65" s="1">
        <v>0</v>
      </c>
      <c r="AJ65" s="1">
        <v>-0.1804</v>
      </c>
      <c r="AK65" s="1">
        <v>-0.1804</v>
      </c>
      <c r="AL65" s="1"/>
      <c r="AM65" s="1">
        <f t="shared" si="10"/>
        <v>245</v>
      </c>
      <c r="AN65" s="1">
        <f t="shared" si="11"/>
        <v>55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106</v>
      </c>
      <c r="B66" s="1" t="s">
        <v>39</v>
      </c>
      <c r="C66" s="1">
        <v>2.645</v>
      </c>
      <c r="D66" s="1">
        <v>146.24</v>
      </c>
      <c r="E66" s="1">
        <v>65.611999999999995</v>
      </c>
      <c r="F66" s="1">
        <v>7.1669999999999998</v>
      </c>
      <c r="G66" s="7">
        <v>1</v>
      </c>
      <c r="H66" s="1">
        <v>40</v>
      </c>
      <c r="I66" s="10" t="s">
        <v>43</v>
      </c>
      <c r="J66" s="1"/>
      <c r="K66" s="1">
        <v>127.7</v>
      </c>
      <c r="L66" s="1">
        <f t="shared" si="16"/>
        <v>-62.088000000000008</v>
      </c>
      <c r="M66" s="1"/>
      <c r="N66" s="1"/>
      <c r="O66" s="1">
        <v>40</v>
      </c>
      <c r="P66" s="1"/>
      <c r="Q66" s="1">
        <v>50</v>
      </c>
      <c r="R66" s="1">
        <v>97.004999999999995</v>
      </c>
      <c r="S66" s="1">
        <v>52.994999999999997</v>
      </c>
      <c r="T66" s="1">
        <f t="shared" si="17"/>
        <v>13.122399999999999</v>
      </c>
      <c r="U66" s="5"/>
      <c r="V66" s="5">
        <f t="shared" si="7"/>
        <v>0</v>
      </c>
      <c r="W66" s="5">
        <f t="shared" si="8"/>
        <v>0</v>
      </c>
      <c r="X66" s="5"/>
      <c r="Y66" s="5"/>
      <c r="Z66" s="1">
        <f t="shared" si="9"/>
        <v>18.835502651953913</v>
      </c>
      <c r="AA66" s="1">
        <f t="shared" si="18"/>
        <v>18.835502651953913</v>
      </c>
      <c r="AB66" s="1">
        <v>8.4071999999999996</v>
      </c>
      <c r="AC66" s="1">
        <v>-4.0000000000000002E-4</v>
      </c>
      <c r="AD66" s="1">
        <v>2.7374000000000001</v>
      </c>
      <c r="AE66" s="1">
        <v>13.338800000000001</v>
      </c>
      <c r="AF66" s="1">
        <v>10.784000000000001</v>
      </c>
      <c r="AG66" s="1">
        <v>-0.50700000000000001</v>
      </c>
      <c r="AH66" s="1">
        <v>12.529400000000001</v>
      </c>
      <c r="AI66" s="1">
        <v>13.0364</v>
      </c>
      <c r="AJ66" s="1">
        <v>-0.42159999999999997</v>
      </c>
      <c r="AK66" s="1">
        <v>-1.1474</v>
      </c>
      <c r="AL66" s="1"/>
      <c r="AM66" s="1">
        <f t="shared" si="10"/>
        <v>0</v>
      </c>
      <c r="AN66" s="1">
        <f t="shared" si="11"/>
        <v>0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107</v>
      </c>
      <c r="B67" s="1" t="s">
        <v>39</v>
      </c>
      <c r="C67" s="1">
        <v>-6.0999999999999999E-2</v>
      </c>
      <c r="D67" s="1">
        <v>140.339</v>
      </c>
      <c r="E67" s="1">
        <v>20.702999999999999</v>
      </c>
      <c r="F67" s="1">
        <v>59.210999999999999</v>
      </c>
      <c r="G67" s="7">
        <v>1</v>
      </c>
      <c r="H67" s="1">
        <v>40</v>
      </c>
      <c r="I67" s="10" t="s">
        <v>43</v>
      </c>
      <c r="J67" s="1"/>
      <c r="K67" s="1">
        <v>62.9</v>
      </c>
      <c r="L67" s="1">
        <f t="shared" si="16"/>
        <v>-42.197000000000003</v>
      </c>
      <c r="M67" s="1"/>
      <c r="N67" s="1"/>
      <c r="O67" s="1">
        <v>43.228056079999988</v>
      </c>
      <c r="P67" s="1">
        <v>77.520703919999988</v>
      </c>
      <c r="Q67" s="1">
        <v>80</v>
      </c>
      <c r="R67" s="1">
        <v>100</v>
      </c>
      <c r="S67" s="1"/>
      <c r="T67" s="1">
        <f t="shared" si="17"/>
        <v>4.1406000000000001</v>
      </c>
      <c r="U67" s="5"/>
      <c r="V67" s="5">
        <f t="shared" si="7"/>
        <v>0</v>
      </c>
      <c r="W67" s="5">
        <f t="shared" si="8"/>
        <v>0</v>
      </c>
      <c r="X67" s="5"/>
      <c r="Y67" s="5"/>
      <c r="Z67" s="1">
        <f t="shared" si="9"/>
        <v>86.934202772545035</v>
      </c>
      <c r="AA67" s="1">
        <f t="shared" si="18"/>
        <v>86.934202772545035</v>
      </c>
      <c r="AB67" s="1">
        <v>0</v>
      </c>
      <c r="AC67" s="1">
        <v>2.1753999999999998</v>
      </c>
      <c r="AD67" s="1">
        <v>18.389600000000002</v>
      </c>
      <c r="AE67" s="1">
        <v>20.5762</v>
      </c>
      <c r="AF67" s="1">
        <v>4.3620000000000001</v>
      </c>
      <c r="AG67" s="1">
        <v>0</v>
      </c>
      <c r="AH67" s="1">
        <v>-0.18459999999999999</v>
      </c>
      <c r="AI67" s="1">
        <v>-0.18459999999999999</v>
      </c>
      <c r="AJ67" s="1">
        <v>9.6046000000000014</v>
      </c>
      <c r="AK67" s="1">
        <v>11.9552</v>
      </c>
      <c r="AL67" s="1"/>
      <c r="AM67" s="1">
        <f t="shared" si="10"/>
        <v>0</v>
      </c>
      <c r="AN67" s="1">
        <f t="shared" si="11"/>
        <v>0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1" t="s">
        <v>108</v>
      </c>
      <c r="B68" s="11" t="s">
        <v>45</v>
      </c>
      <c r="C68" s="11">
        <v>45</v>
      </c>
      <c r="D68" s="11"/>
      <c r="E68" s="11">
        <v>5</v>
      </c>
      <c r="F68" s="11">
        <v>35</v>
      </c>
      <c r="G68" s="12">
        <v>0</v>
      </c>
      <c r="H68" s="11">
        <v>70</v>
      </c>
      <c r="I68" s="11" t="s">
        <v>109</v>
      </c>
      <c r="J68" s="11"/>
      <c r="K68" s="11">
        <v>4.8</v>
      </c>
      <c r="L68" s="11">
        <f t="shared" si="16"/>
        <v>0.20000000000000018</v>
      </c>
      <c r="M68" s="11"/>
      <c r="N68" s="11"/>
      <c r="O68" s="11">
        <v>0</v>
      </c>
      <c r="P68" s="11"/>
      <c r="Q68" s="11">
        <v>0</v>
      </c>
      <c r="R68" s="11">
        <v>0</v>
      </c>
      <c r="S68" s="11"/>
      <c r="T68" s="11">
        <f t="shared" si="17"/>
        <v>1</v>
      </c>
      <c r="U68" s="13"/>
      <c r="V68" s="5">
        <f t="shared" si="7"/>
        <v>0</v>
      </c>
      <c r="W68" s="5">
        <f t="shared" si="8"/>
        <v>0</v>
      </c>
      <c r="X68" s="5"/>
      <c r="Y68" s="5"/>
      <c r="Z68" s="1">
        <f t="shared" si="9"/>
        <v>35</v>
      </c>
      <c r="AA68" s="11">
        <f t="shared" si="18"/>
        <v>35</v>
      </c>
      <c r="AB68" s="11">
        <v>1.4</v>
      </c>
      <c r="AC68" s="11">
        <v>2.2000000000000002</v>
      </c>
      <c r="AD68" s="11">
        <v>3.4</v>
      </c>
      <c r="AE68" s="11">
        <v>2.8</v>
      </c>
      <c r="AF68" s="11">
        <v>1.4</v>
      </c>
      <c r="AG68" s="11">
        <v>2</v>
      </c>
      <c r="AH68" s="11">
        <v>5.4</v>
      </c>
      <c r="AI68" s="11">
        <v>5.2</v>
      </c>
      <c r="AJ68" s="11">
        <v>1.2</v>
      </c>
      <c r="AK68" s="11">
        <v>1.8</v>
      </c>
      <c r="AL68" s="14" t="s">
        <v>110</v>
      </c>
      <c r="AM68" s="1">
        <f t="shared" si="10"/>
        <v>0</v>
      </c>
      <c r="AN68" s="1">
        <f t="shared" si="11"/>
        <v>0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111</v>
      </c>
      <c r="B69" s="1" t="s">
        <v>39</v>
      </c>
      <c r="C69" s="1">
        <v>1</v>
      </c>
      <c r="D69" s="1">
        <v>229.82599999999999</v>
      </c>
      <c r="E69" s="1">
        <v>119.345</v>
      </c>
      <c r="F69" s="1">
        <v>51.11</v>
      </c>
      <c r="G69" s="7">
        <v>1</v>
      </c>
      <c r="H69" s="1">
        <v>30</v>
      </c>
      <c r="I69" s="9" t="s">
        <v>40</v>
      </c>
      <c r="J69" s="1"/>
      <c r="K69" s="1">
        <v>151.19999999999999</v>
      </c>
      <c r="L69" s="1">
        <f t="shared" si="16"/>
        <v>-31.85499999999999</v>
      </c>
      <c r="M69" s="1"/>
      <c r="N69" s="1"/>
      <c r="O69" s="1">
        <v>0</v>
      </c>
      <c r="P69" s="1"/>
      <c r="Q69" s="1">
        <v>0</v>
      </c>
      <c r="R69" s="1">
        <v>0</v>
      </c>
      <c r="S69" s="1"/>
      <c r="T69" s="1">
        <f t="shared" si="17"/>
        <v>23.869</v>
      </c>
      <c r="U69" s="5">
        <f>9*T69-S69-R69-Q69-P69-O69-F69</f>
        <v>163.71100000000001</v>
      </c>
      <c r="V69" s="5">
        <f>IF(U69+T69*$V$1&lt;0,0,U69+T69*$V$1)</f>
        <v>141.75152000000003</v>
      </c>
      <c r="W69" s="5">
        <f t="shared" si="8"/>
        <v>141.75152000000003</v>
      </c>
      <c r="X69" s="5"/>
      <c r="Y69" s="5"/>
      <c r="Z69" s="1">
        <f t="shared" si="9"/>
        <v>8.0800000000000018</v>
      </c>
      <c r="AA69" s="1">
        <f t="shared" si="18"/>
        <v>2.1412711047802588</v>
      </c>
      <c r="AB69" s="1">
        <v>4.2948000000000004</v>
      </c>
      <c r="AC69" s="1">
        <v>8.5107999999999997</v>
      </c>
      <c r="AD69" s="1">
        <v>6.101</v>
      </c>
      <c r="AE69" s="1">
        <v>20.2256</v>
      </c>
      <c r="AF69" s="1">
        <v>33.010000000000012</v>
      </c>
      <c r="AG69" s="1">
        <v>46.162199999999999</v>
      </c>
      <c r="AH69" s="1">
        <v>67.846599999999995</v>
      </c>
      <c r="AI69" s="1">
        <v>64.872</v>
      </c>
      <c r="AJ69" s="1">
        <v>28.677600000000002</v>
      </c>
      <c r="AK69" s="1">
        <v>16.969799999999999</v>
      </c>
      <c r="AL69" s="1" t="s">
        <v>112</v>
      </c>
      <c r="AM69" s="1">
        <f t="shared" si="10"/>
        <v>142</v>
      </c>
      <c r="AN69" s="1">
        <f t="shared" si="11"/>
        <v>0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1" t="s">
        <v>113</v>
      </c>
      <c r="B70" s="11" t="s">
        <v>45</v>
      </c>
      <c r="C70" s="11">
        <v>92</v>
      </c>
      <c r="D70" s="11"/>
      <c r="E70" s="11">
        <v>28</v>
      </c>
      <c r="F70" s="11">
        <v>59</v>
      </c>
      <c r="G70" s="12">
        <v>0</v>
      </c>
      <c r="H70" s="11"/>
      <c r="I70" s="11" t="s">
        <v>40</v>
      </c>
      <c r="J70" s="11"/>
      <c r="K70" s="11">
        <v>22</v>
      </c>
      <c r="L70" s="11">
        <f t="shared" ref="L70:L101" si="24">E70-K70</f>
        <v>6</v>
      </c>
      <c r="M70" s="11"/>
      <c r="N70" s="11"/>
      <c r="O70" s="11">
        <v>0</v>
      </c>
      <c r="P70" s="11"/>
      <c r="Q70" s="11">
        <v>0</v>
      </c>
      <c r="R70" s="11">
        <v>0</v>
      </c>
      <c r="S70" s="11"/>
      <c r="T70" s="11">
        <f t="shared" ref="T70:T101" si="25">E70/5</f>
        <v>5.6</v>
      </c>
      <c r="U70" s="13"/>
      <c r="V70" s="5">
        <f t="shared" si="7"/>
        <v>0</v>
      </c>
      <c r="W70" s="5">
        <f t="shared" si="8"/>
        <v>0</v>
      </c>
      <c r="X70" s="5"/>
      <c r="Y70" s="5"/>
      <c r="Z70" s="1">
        <f t="shared" si="9"/>
        <v>10.535714285714286</v>
      </c>
      <c r="AA70" s="11">
        <f t="shared" ref="AA70:AA101" si="26">(F70+O70+P70+Q70+R70+S70)/T70</f>
        <v>10.535714285714286</v>
      </c>
      <c r="AB70" s="11">
        <v>6.4</v>
      </c>
      <c r="AC70" s="11">
        <v>0.8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 t="s">
        <v>50</v>
      </c>
      <c r="AM70" s="1">
        <f t="shared" si="10"/>
        <v>0</v>
      </c>
      <c r="AN70" s="1">
        <f t="shared" si="11"/>
        <v>0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114</v>
      </c>
      <c r="B71" s="1" t="s">
        <v>45</v>
      </c>
      <c r="C71" s="1">
        <v>115</v>
      </c>
      <c r="D71" s="1">
        <v>104</v>
      </c>
      <c r="E71" s="1">
        <v>105</v>
      </c>
      <c r="F71" s="1">
        <v>4</v>
      </c>
      <c r="G71" s="7">
        <v>0.6</v>
      </c>
      <c r="H71" s="1">
        <v>60</v>
      </c>
      <c r="I71" s="1" t="s">
        <v>40</v>
      </c>
      <c r="J71" s="1"/>
      <c r="K71" s="1">
        <v>107</v>
      </c>
      <c r="L71" s="1">
        <f t="shared" si="24"/>
        <v>-2</v>
      </c>
      <c r="M71" s="1"/>
      <c r="N71" s="1"/>
      <c r="O71" s="1">
        <v>86.039999999999964</v>
      </c>
      <c r="P71" s="1"/>
      <c r="Q71" s="1">
        <v>0</v>
      </c>
      <c r="R71" s="1">
        <v>68.783012000000028</v>
      </c>
      <c r="S71" s="1">
        <v>37.576988000000007</v>
      </c>
      <c r="T71" s="1">
        <f t="shared" si="25"/>
        <v>21</v>
      </c>
      <c r="U71" s="5">
        <f t="shared" ref="U71:U80" si="27">12*T71-S71-R71-Q71-P71-O71-F71</f>
        <v>55.600000000000023</v>
      </c>
      <c r="V71" s="5">
        <f t="shared" ref="V71:V131" si="28">U71</f>
        <v>55.600000000000023</v>
      </c>
      <c r="W71" s="5">
        <f t="shared" ref="W71:W131" si="29">V71-Y71</f>
        <v>55.600000000000023</v>
      </c>
      <c r="X71" s="5"/>
      <c r="Y71" s="5"/>
      <c r="Z71" s="1">
        <f t="shared" ref="Z71:Z131" si="30">(F71+O71+P71+Q71+R71+S71+V71)/T71</f>
        <v>12.000000000000002</v>
      </c>
      <c r="AA71" s="1">
        <f t="shared" si="26"/>
        <v>9.3523809523809529</v>
      </c>
      <c r="AB71" s="1">
        <v>30.6</v>
      </c>
      <c r="AC71" s="1">
        <v>18.2</v>
      </c>
      <c r="AD71" s="1">
        <v>16.399999999999999</v>
      </c>
      <c r="AE71" s="1">
        <v>19.600000000000001</v>
      </c>
      <c r="AF71" s="1">
        <v>4.8</v>
      </c>
      <c r="AG71" s="1">
        <v>2.6</v>
      </c>
      <c r="AH71" s="1">
        <v>6.4</v>
      </c>
      <c r="AI71" s="1">
        <v>4.4000000000000004</v>
      </c>
      <c r="AJ71" s="1">
        <v>12.2</v>
      </c>
      <c r="AK71" s="1">
        <v>12.4</v>
      </c>
      <c r="AL71" s="1"/>
      <c r="AM71" s="1">
        <f t="shared" ref="AM71:AM131" si="31">ROUND(G71*W71,0)</f>
        <v>33</v>
      </c>
      <c r="AN71" s="1">
        <f t="shared" ref="AN71:AN131" si="32">ROUND(G71*Y71,0)</f>
        <v>0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115</v>
      </c>
      <c r="B72" s="1" t="s">
        <v>45</v>
      </c>
      <c r="C72" s="1">
        <v>107</v>
      </c>
      <c r="D72" s="1"/>
      <c r="E72" s="1">
        <v>77</v>
      </c>
      <c r="F72" s="1">
        <v>20</v>
      </c>
      <c r="G72" s="7">
        <v>0.4</v>
      </c>
      <c r="H72" s="1">
        <v>90</v>
      </c>
      <c r="I72" s="1" t="s">
        <v>40</v>
      </c>
      <c r="J72" s="1"/>
      <c r="K72" s="1">
        <v>76</v>
      </c>
      <c r="L72" s="1">
        <f t="shared" si="24"/>
        <v>1</v>
      </c>
      <c r="M72" s="1"/>
      <c r="N72" s="1"/>
      <c r="O72" s="1">
        <v>53.400000000000013</v>
      </c>
      <c r="P72" s="1"/>
      <c r="Q72" s="1">
        <v>32.200000000000017</v>
      </c>
      <c r="R72" s="1">
        <v>0</v>
      </c>
      <c r="S72" s="1"/>
      <c r="T72" s="1">
        <f t="shared" si="25"/>
        <v>15.4</v>
      </c>
      <c r="U72" s="5">
        <f t="shared" si="27"/>
        <v>79.199999999999989</v>
      </c>
      <c r="V72" s="5">
        <f t="shared" si="28"/>
        <v>79.199999999999989</v>
      </c>
      <c r="W72" s="5">
        <f t="shared" si="29"/>
        <v>79.199999999999989</v>
      </c>
      <c r="X72" s="5"/>
      <c r="Y72" s="5"/>
      <c r="Z72" s="1">
        <f t="shared" si="30"/>
        <v>12</v>
      </c>
      <c r="AA72" s="1">
        <f t="shared" si="26"/>
        <v>6.8571428571428585</v>
      </c>
      <c r="AB72" s="1">
        <v>11.8</v>
      </c>
      <c r="AC72" s="1">
        <v>15.8</v>
      </c>
      <c r="AD72" s="1">
        <v>14</v>
      </c>
      <c r="AE72" s="1">
        <v>12.4</v>
      </c>
      <c r="AF72" s="1">
        <v>11.4</v>
      </c>
      <c r="AG72" s="1">
        <v>7.4</v>
      </c>
      <c r="AH72" s="1">
        <v>9.6</v>
      </c>
      <c r="AI72" s="1">
        <v>19.2</v>
      </c>
      <c r="AJ72" s="1">
        <v>22</v>
      </c>
      <c r="AK72" s="1">
        <v>22.8</v>
      </c>
      <c r="AL72" s="1"/>
      <c r="AM72" s="1">
        <f t="shared" si="31"/>
        <v>32</v>
      </c>
      <c r="AN72" s="1">
        <f t="shared" si="32"/>
        <v>0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116</v>
      </c>
      <c r="B73" s="1" t="s">
        <v>45</v>
      </c>
      <c r="C73" s="1">
        <v>107</v>
      </c>
      <c r="D73" s="1">
        <v>152</v>
      </c>
      <c r="E73" s="1">
        <v>173</v>
      </c>
      <c r="F73" s="1">
        <v>63</v>
      </c>
      <c r="G73" s="7">
        <v>0.33</v>
      </c>
      <c r="H73" s="1">
        <v>60</v>
      </c>
      <c r="I73" s="10" t="s">
        <v>43</v>
      </c>
      <c r="J73" s="1"/>
      <c r="K73" s="1">
        <v>159</v>
      </c>
      <c r="L73" s="1">
        <f t="shared" si="24"/>
        <v>14</v>
      </c>
      <c r="M73" s="1"/>
      <c r="N73" s="1"/>
      <c r="O73" s="1">
        <v>37.697400000000023</v>
      </c>
      <c r="P73" s="1">
        <v>67.602600000000024</v>
      </c>
      <c r="Q73" s="1">
        <v>29.21999999999991</v>
      </c>
      <c r="R73" s="1">
        <v>0</v>
      </c>
      <c r="S73" s="1"/>
      <c r="T73" s="1">
        <f t="shared" si="25"/>
        <v>34.6</v>
      </c>
      <c r="U73" s="5">
        <f t="shared" si="27"/>
        <v>217.68000000000006</v>
      </c>
      <c r="V73" s="5">
        <f>IF(U73+T73*$V$1&lt;0,0,U73+T73*$V$1)</f>
        <v>185.84800000000007</v>
      </c>
      <c r="W73" s="5">
        <f t="shared" si="29"/>
        <v>185.84800000000007</v>
      </c>
      <c r="X73" s="5"/>
      <c r="Y73" s="5"/>
      <c r="Z73" s="1">
        <f t="shared" si="30"/>
        <v>11.080000000000002</v>
      </c>
      <c r="AA73" s="1">
        <f t="shared" si="26"/>
        <v>5.7086705202312125</v>
      </c>
      <c r="AB73" s="1">
        <v>23.4</v>
      </c>
      <c r="AC73" s="1">
        <v>29.2</v>
      </c>
      <c r="AD73" s="1">
        <v>29.8</v>
      </c>
      <c r="AE73" s="1">
        <v>30.6</v>
      </c>
      <c r="AF73" s="1">
        <v>31.6</v>
      </c>
      <c r="AG73" s="1">
        <v>20.6</v>
      </c>
      <c r="AH73" s="1">
        <v>5.4</v>
      </c>
      <c r="AI73" s="1">
        <v>20.8</v>
      </c>
      <c r="AJ73" s="1">
        <v>42.2</v>
      </c>
      <c r="AK73" s="1">
        <v>45</v>
      </c>
      <c r="AL73" s="1"/>
      <c r="AM73" s="1">
        <f t="shared" si="31"/>
        <v>61</v>
      </c>
      <c r="AN73" s="1">
        <f t="shared" si="32"/>
        <v>0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117</v>
      </c>
      <c r="B74" s="1" t="s">
        <v>45</v>
      </c>
      <c r="C74" s="1">
        <v>104</v>
      </c>
      <c r="D74" s="1"/>
      <c r="E74" s="1">
        <v>80</v>
      </c>
      <c r="F74" s="1">
        <v>7</v>
      </c>
      <c r="G74" s="7">
        <v>0.35</v>
      </c>
      <c r="H74" s="1">
        <v>90</v>
      </c>
      <c r="I74" s="1" t="s">
        <v>40</v>
      </c>
      <c r="J74" s="1"/>
      <c r="K74" s="1">
        <v>74</v>
      </c>
      <c r="L74" s="1">
        <f t="shared" si="24"/>
        <v>6</v>
      </c>
      <c r="M74" s="1"/>
      <c r="N74" s="1"/>
      <c r="O74" s="1">
        <v>41.334680000000013</v>
      </c>
      <c r="P74" s="1">
        <v>74.125320000000031</v>
      </c>
      <c r="Q74" s="1">
        <v>16.33999999999995</v>
      </c>
      <c r="R74" s="1">
        <v>0</v>
      </c>
      <c r="S74" s="1"/>
      <c r="T74" s="1">
        <f t="shared" si="25"/>
        <v>16</v>
      </c>
      <c r="U74" s="5">
        <f t="shared" si="27"/>
        <v>53.20000000000001</v>
      </c>
      <c r="V74" s="5">
        <f t="shared" si="28"/>
        <v>53.20000000000001</v>
      </c>
      <c r="W74" s="5">
        <f t="shared" si="29"/>
        <v>53.20000000000001</v>
      </c>
      <c r="X74" s="5"/>
      <c r="Y74" s="5"/>
      <c r="Z74" s="1">
        <f t="shared" si="30"/>
        <v>12</v>
      </c>
      <c r="AA74" s="1">
        <f t="shared" si="26"/>
        <v>8.6749999999999989</v>
      </c>
      <c r="AB74" s="1">
        <v>14.2</v>
      </c>
      <c r="AC74" s="1">
        <v>19.399999999999999</v>
      </c>
      <c r="AD74" s="1">
        <v>18.600000000000001</v>
      </c>
      <c r="AE74" s="1">
        <v>14.6</v>
      </c>
      <c r="AF74" s="1">
        <v>12</v>
      </c>
      <c r="AG74" s="1">
        <v>18.2</v>
      </c>
      <c r="AH74" s="1">
        <v>18</v>
      </c>
      <c r="AI74" s="1">
        <v>19.399999999999999</v>
      </c>
      <c r="AJ74" s="1">
        <v>18.600000000000001</v>
      </c>
      <c r="AK74" s="1">
        <v>22.4</v>
      </c>
      <c r="AL74" s="1"/>
      <c r="AM74" s="1">
        <f t="shared" si="31"/>
        <v>19</v>
      </c>
      <c r="AN74" s="1">
        <f t="shared" si="32"/>
        <v>0</v>
      </c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118</v>
      </c>
      <c r="B75" s="1" t="s">
        <v>45</v>
      </c>
      <c r="C75" s="1"/>
      <c r="D75" s="1">
        <v>150</v>
      </c>
      <c r="E75" s="1">
        <v>120</v>
      </c>
      <c r="F75" s="1">
        <v>-1</v>
      </c>
      <c r="G75" s="7">
        <v>0.37</v>
      </c>
      <c r="H75" s="1">
        <v>50</v>
      </c>
      <c r="I75" s="9" t="s">
        <v>40</v>
      </c>
      <c r="J75" s="1"/>
      <c r="K75" s="1">
        <v>157</v>
      </c>
      <c r="L75" s="1">
        <f t="shared" si="24"/>
        <v>-37</v>
      </c>
      <c r="M75" s="1"/>
      <c r="N75" s="1"/>
      <c r="O75" s="1">
        <v>0</v>
      </c>
      <c r="P75" s="1"/>
      <c r="Q75" s="1">
        <v>0</v>
      </c>
      <c r="R75" s="1">
        <v>0</v>
      </c>
      <c r="S75" s="1"/>
      <c r="T75" s="1">
        <f t="shared" si="25"/>
        <v>24</v>
      </c>
      <c r="U75" s="5">
        <f>7*T75-S75-R75-Q75-P75-O75-F75</f>
        <v>169</v>
      </c>
      <c r="V75" s="5">
        <f>IF(U75+T75*$V$1&lt;0,0,U75+T75*$V$1)</f>
        <v>146.91999999999999</v>
      </c>
      <c r="W75" s="5">
        <f t="shared" si="29"/>
        <v>146.91999999999999</v>
      </c>
      <c r="X75" s="5"/>
      <c r="Y75" s="5"/>
      <c r="Z75" s="1">
        <f t="shared" si="30"/>
        <v>6.0799999999999992</v>
      </c>
      <c r="AA75" s="1">
        <f t="shared" si="26"/>
        <v>-4.1666666666666664E-2</v>
      </c>
      <c r="AB75" s="1">
        <v>6.6</v>
      </c>
      <c r="AC75" s="1">
        <v>0</v>
      </c>
      <c r="AD75" s="1">
        <v>0</v>
      </c>
      <c r="AE75" s="1">
        <v>11.8</v>
      </c>
      <c r="AF75" s="1">
        <v>14.4</v>
      </c>
      <c r="AG75" s="1">
        <v>9.8000000000000007</v>
      </c>
      <c r="AH75" s="1">
        <v>15.8</v>
      </c>
      <c r="AI75" s="1">
        <v>15</v>
      </c>
      <c r="AJ75" s="1">
        <v>26</v>
      </c>
      <c r="AK75" s="1">
        <v>27.8</v>
      </c>
      <c r="AL75" s="1" t="s">
        <v>119</v>
      </c>
      <c r="AM75" s="1">
        <f t="shared" si="31"/>
        <v>54</v>
      </c>
      <c r="AN75" s="1">
        <f t="shared" si="32"/>
        <v>0</v>
      </c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120</v>
      </c>
      <c r="B76" s="1" t="s">
        <v>45</v>
      </c>
      <c r="C76" s="1">
        <v>52</v>
      </c>
      <c r="D76" s="1"/>
      <c r="E76" s="1">
        <v>26</v>
      </c>
      <c r="F76" s="1">
        <v>17</v>
      </c>
      <c r="G76" s="7">
        <v>0.6</v>
      </c>
      <c r="H76" s="1"/>
      <c r="I76" s="1" t="s">
        <v>40</v>
      </c>
      <c r="J76" s="1"/>
      <c r="K76" s="1">
        <v>20</v>
      </c>
      <c r="L76" s="1">
        <f t="shared" si="24"/>
        <v>6</v>
      </c>
      <c r="M76" s="1"/>
      <c r="N76" s="1"/>
      <c r="O76" s="1">
        <v>0</v>
      </c>
      <c r="P76" s="1"/>
      <c r="Q76" s="1">
        <v>0</v>
      </c>
      <c r="R76" s="1">
        <v>40</v>
      </c>
      <c r="S76" s="1"/>
      <c r="T76" s="1">
        <f t="shared" si="25"/>
        <v>5.2</v>
      </c>
      <c r="U76" s="5">
        <f t="shared" si="27"/>
        <v>5.4000000000000057</v>
      </c>
      <c r="V76" s="5">
        <f t="shared" si="28"/>
        <v>5.4000000000000057</v>
      </c>
      <c r="W76" s="5">
        <f t="shared" si="29"/>
        <v>5.4000000000000057</v>
      </c>
      <c r="X76" s="5"/>
      <c r="Y76" s="5"/>
      <c r="Z76" s="1">
        <f t="shared" si="30"/>
        <v>12</v>
      </c>
      <c r="AA76" s="1">
        <f t="shared" si="26"/>
        <v>10.961538461538462</v>
      </c>
      <c r="AB76" s="1">
        <v>6</v>
      </c>
      <c r="AC76" s="1">
        <v>0.8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 t="s">
        <v>121</v>
      </c>
      <c r="AM76" s="1">
        <f t="shared" si="31"/>
        <v>3</v>
      </c>
      <c r="AN76" s="1">
        <f t="shared" si="32"/>
        <v>0</v>
      </c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122</v>
      </c>
      <c r="B77" s="1" t="s">
        <v>45</v>
      </c>
      <c r="C77" s="1">
        <v>8</v>
      </c>
      <c r="D77" s="1">
        <v>258</v>
      </c>
      <c r="E77" s="1">
        <v>85</v>
      </c>
      <c r="F77" s="1">
        <v>151</v>
      </c>
      <c r="G77" s="7">
        <v>0.33</v>
      </c>
      <c r="H77" s="1">
        <v>40</v>
      </c>
      <c r="I77" s="1" t="s">
        <v>40</v>
      </c>
      <c r="J77" s="1"/>
      <c r="K77" s="1">
        <v>92</v>
      </c>
      <c r="L77" s="1">
        <f t="shared" si="24"/>
        <v>-7</v>
      </c>
      <c r="M77" s="1"/>
      <c r="N77" s="1"/>
      <c r="O77" s="1">
        <v>0</v>
      </c>
      <c r="P77" s="1"/>
      <c r="Q77" s="1">
        <v>0</v>
      </c>
      <c r="R77" s="1">
        <v>0</v>
      </c>
      <c r="S77" s="1"/>
      <c r="T77" s="1">
        <f t="shared" si="25"/>
        <v>17</v>
      </c>
      <c r="U77" s="5">
        <f t="shared" si="27"/>
        <v>53</v>
      </c>
      <c r="V77" s="5">
        <f t="shared" si="28"/>
        <v>53</v>
      </c>
      <c r="W77" s="5">
        <f t="shared" si="29"/>
        <v>53</v>
      </c>
      <c r="X77" s="5"/>
      <c r="Y77" s="5"/>
      <c r="Z77" s="1">
        <f t="shared" si="30"/>
        <v>12</v>
      </c>
      <c r="AA77" s="1">
        <f t="shared" si="26"/>
        <v>8.882352941176471</v>
      </c>
      <c r="AB77" s="1">
        <v>15.6</v>
      </c>
      <c r="AC77" s="1">
        <v>20</v>
      </c>
      <c r="AD77" s="1">
        <v>23.8</v>
      </c>
      <c r="AE77" s="1">
        <v>26.8</v>
      </c>
      <c r="AF77" s="1">
        <v>17.600000000000001</v>
      </c>
      <c r="AG77" s="1">
        <v>13</v>
      </c>
      <c r="AH77" s="1">
        <v>15.2</v>
      </c>
      <c r="AI77" s="1">
        <v>20.8</v>
      </c>
      <c r="AJ77" s="1">
        <v>14.8</v>
      </c>
      <c r="AK77" s="1">
        <v>0.2</v>
      </c>
      <c r="AL77" s="1"/>
      <c r="AM77" s="1">
        <f t="shared" si="31"/>
        <v>17</v>
      </c>
      <c r="AN77" s="1">
        <f t="shared" si="32"/>
        <v>0</v>
      </c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123</v>
      </c>
      <c r="B78" s="1" t="s">
        <v>45</v>
      </c>
      <c r="C78" s="1"/>
      <c r="D78" s="1">
        <v>180</v>
      </c>
      <c r="E78" s="1">
        <v>55</v>
      </c>
      <c r="F78" s="1"/>
      <c r="G78" s="7">
        <v>0.4</v>
      </c>
      <c r="H78" s="1">
        <v>55</v>
      </c>
      <c r="I78" s="10" t="s">
        <v>43</v>
      </c>
      <c r="J78" s="1"/>
      <c r="K78" s="1">
        <v>75</v>
      </c>
      <c r="L78" s="1">
        <f t="shared" si="24"/>
        <v>-20</v>
      </c>
      <c r="M78" s="1"/>
      <c r="N78" s="1"/>
      <c r="O78" s="1">
        <v>59.519999999999968</v>
      </c>
      <c r="P78" s="1"/>
      <c r="Q78" s="1">
        <v>0</v>
      </c>
      <c r="R78" s="1">
        <v>0</v>
      </c>
      <c r="S78" s="1"/>
      <c r="T78" s="1">
        <f t="shared" si="25"/>
        <v>11</v>
      </c>
      <c r="U78" s="5">
        <f t="shared" si="27"/>
        <v>72.480000000000032</v>
      </c>
      <c r="V78" s="5">
        <f t="shared" si="28"/>
        <v>72.480000000000032</v>
      </c>
      <c r="W78" s="5">
        <f t="shared" si="29"/>
        <v>72.480000000000032</v>
      </c>
      <c r="X78" s="5"/>
      <c r="Y78" s="5"/>
      <c r="Z78" s="1">
        <f t="shared" si="30"/>
        <v>12</v>
      </c>
      <c r="AA78" s="1">
        <f t="shared" si="26"/>
        <v>5.4109090909090876</v>
      </c>
      <c r="AB78" s="1">
        <v>2</v>
      </c>
      <c r="AC78" s="1">
        <v>2.8</v>
      </c>
      <c r="AD78" s="1">
        <v>17.2</v>
      </c>
      <c r="AE78" s="1">
        <v>25</v>
      </c>
      <c r="AF78" s="1">
        <v>9.4</v>
      </c>
      <c r="AG78" s="1">
        <v>0.6</v>
      </c>
      <c r="AH78" s="1">
        <v>0.2</v>
      </c>
      <c r="AI78" s="1">
        <v>0.2</v>
      </c>
      <c r="AJ78" s="1">
        <v>12.6</v>
      </c>
      <c r="AK78" s="1">
        <v>15.4</v>
      </c>
      <c r="AL78" s="1" t="s">
        <v>124</v>
      </c>
      <c r="AM78" s="1">
        <f t="shared" si="31"/>
        <v>29</v>
      </c>
      <c r="AN78" s="1">
        <f t="shared" si="32"/>
        <v>0</v>
      </c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125</v>
      </c>
      <c r="B79" s="1" t="s">
        <v>45</v>
      </c>
      <c r="C79" s="1"/>
      <c r="D79" s="1">
        <v>72</v>
      </c>
      <c r="E79" s="1">
        <v>30</v>
      </c>
      <c r="F79" s="1">
        <v>33</v>
      </c>
      <c r="G79" s="7">
        <v>0.35</v>
      </c>
      <c r="H79" s="1">
        <v>40</v>
      </c>
      <c r="I79" s="10" t="s">
        <v>43</v>
      </c>
      <c r="J79" s="1"/>
      <c r="K79" s="1">
        <v>31</v>
      </c>
      <c r="L79" s="1">
        <f t="shared" si="24"/>
        <v>-1</v>
      </c>
      <c r="M79" s="1"/>
      <c r="N79" s="1"/>
      <c r="O79" s="1">
        <v>0</v>
      </c>
      <c r="P79" s="1"/>
      <c r="Q79" s="1">
        <v>0</v>
      </c>
      <c r="R79" s="1">
        <v>0</v>
      </c>
      <c r="S79" s="1"/>
      <c r="T79" s="1">
        <f t="shared" si="25"/>
        <v>6</v>
      </c>
      <c r="U79" s="5">
        <f t="shared" si="27"/>
        <v>39</v>
      </c>
      <c r="V79" s="5">
        <f t="shared" si="28"/>
        <v>39</v>
      </c>
      <c r="W79" s="5">
        <f t="shared" si="29"/>
        <v>39</v>
      </c>
      <c r="X79" s="5"/>
      <c r="Y79" s="5"/>
      <c r="Z79" s="1">
        <f t="shared" si="30"/>
        <v>12</v>
      </c>
      <c r="AA79" s="1">
        <f t="shared" si="26"/>
        <v>5.5</v>
      </c>
      <c r="AB79" s="1">
        <v>1.2</v>
      </c>
      <c r="AC79" s="1">
        <v>2.6</v>
      </c>
      <c r="AD79" s="1">
        <v>3.6</v>
      </c>
      <c r="AE79" s="1">
        <v>5.6</v>
      </c>
      <c r="AF79" s="1">
        <v>6</v>
      </c>
      <c r="AG79" s="1">
        <v>2.6</v>
      </c>
      <c r="AH79" s="1">
        <v>0</v>
      </c>
      <c r="AI79" s="1">
        <v>0</v>
      </c>
      <c r="AJ79" s="1">
        <v>-0.2</v>
      </c>
      <c r="AK79" s="1">
        <v>-0.2</v>
      </c>
      <c r="AL79" s="1"/>
      <c r="AM79" s="1">
        <f t="shared" si="31"/>
        <v>14</v>
      </c>
      <c r="AN79" s="1">
        <f t="shared" si="32"/>
        <v>0</v>
      </c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126</v>
      </c>
      <c r="B80" s="1" t="s">
        <v>45</v>
      </c>
      <c r="C80" s="1">
        <v>61</v>
      </c>
      <c r="D80" s="1"/>
      <c r="E80" s="1">
        <v>26</v>
      </c>
      <c r="F80" s="1">
        <v>26</v>
      </c>
      <c r="G80" s="7">
        <v>0.35</v>
      </c>
      <c r="H80" s="1">
        <v>45</v>
      </c>
      <c r="I80" s="10" t="s">
        <v>43</v>
      </c>
      <c r="J80" s="1"/>
      <c r="K80" s="1">
        <v>27</v>
      </c>
      <c r="L80" s="1">
        <f t="shared" si="24"/>
        <v>-1</v>
      </c>
      <c r="M80" s="1"/>
      <c r="N80" s="1"/>
      <c r="O80" s="1">
        <v>0</v>
      </c>
      <c r="P80" s="1"/>
      <c r="Q80" s="1">
        <v>10.599999999999991</v>
      </c>
      <c r="R80" s="1">
        <v>0</v>
      </c>
      <c r="S80" s="1"/>
      <c r="T80" s="1">
        <f t="shared" si="25"/>
        <v>5.2</v>
      </c>
      <c r="U80" s="5">
        <f t="shared" si="27"/>
        <v>25.800000000000011</v>
      </c>
      <c r="V80" s="5">
        <f t="shared" si="28"/>
        <v>25.800000000000011</v>
      </c>
      <c r="W80" s="5">
        <f t="shared" si="29"/>
        <v>25.800000000000011</v>
      </c>
      <c r="X80" s="5"/>
      <c r="Y80" s="5"/>
      <c r="Z80" s="1">
        <f t="shared" si="30"/>
        <v>12</v>
      </c>
      <c r="AA80" s="1">
        <f t="shared" si="26"/>
        <v>7.0384615384615374</v>
      </c>
      <c r="AB80" s="1">
        <v>4.4000000000000004</v>
      </c>
      <c r="AC80" s="1">
        <v>5.8</v>
      </c>
      <c r="AD80" s="1">
        <v>4.2</v>
      </c>
      <c r="AE80" s="1">
        <v>5.2</v>
      </c>
      <c r="AF80" s="1">
        <v>5.8</v>
      </c>
      <c r="AG80" s="1">
        <v>2.8</v>
      </c>
      <c r="AH80" s="1">
        <v>3.6</v>
      </c>
      <c r="AI80" s="1">
        <v>8</v>
      </c>
      <c r="AJ80" s="1">
        <v>7.8</v>
      </c>
      <c r="AK80" s="1">
        <v>2.8</v>
      </c>
      <c r="AL80" s="1"/>
      <c r="AM80" s="1">
        <f t="shared" si="31"/>
        <v>9</v>
      </c>
      <c r="AN80" s="1">
        <f t="shared" si="32"/>
        <v>0</v>
      </c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1" t="s">
        <v>127</v>
      </c>
      <c r="B81" s="11" t="s">
        <v>45</v>
      </c>
      <c r="C81" s="11"/>
      <c r="D81" s="11"/>
      <c r="E81" s="11"/>
      <c r="F81" s="11"/>
      <c r="G81" s="12">
        <v>0</v>
      </c>
      <c r="H81" s="11"/>
      <c r="I81" s="11" t="s">
        <v>40</v>
      </c>
      <c r="J81" s="11"/>
      <c r="K81" s="11"/>
      <c r="L81" s="11">
        <f t="shared" si="24"/>
        <v>0</v>
      </c>
      <c r="M81" s="11"/>
      <c r="N81" s="11"/>
      <c r="O81" s="11">
        <v>0</v>
      </c>
      <c r="P81" s="11"/>
      <c r="Q81" s="11">
        <v>0</v>
      </c>
      <c r="R81" s="11">
        <v>0</v>
      </c>
      <c r="S81" s="11"/>
      <c r="T81" s="11">
        <f t="shared" si="25"/>
        <v>0</v>
      </c>
      <c r="U81" s="13"/>
      <c r="V81" s="5">
        <f t="shared" si="28"/>
        <v>0</v>
      </c>
      <c r="W81" s="5">
        <f t="shared" si="29"/>
        <v>0</v>
      </c>
      <c r="X81" s="5"/>
      <c r="Y81" s="5"/>
      <c r="Z81" s="1" t="e">
        <f t="shared" si="30"/>
        <v>#DIV/0!</v>
      </c>
      <c r="AA81" s="11" t="e">
        <f t="shared" si="26"/>
        <v>#DIV/0!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11">
        <v>0</v>
      </c>
      <c r="AJ81" s="11">
        <v>0</v>
      </c>
      <c r="AK81" s="11">
        <v>0</v>
      </c>
      <c r="AL81" s="11" t="s">
        <v>50</v>
      </c>
      <c r="AM81" s="1">
        <f t="shared" si="31"/>
        <v>0</v>
      </c>
      <c r="AN81" s="1">
        <f t="shared" si="32"/>
        <v>0</v>
      </c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1" t="s">
        <v>128</v>
      </c>
      <c r="B82" s="11" t="s">
        <v>39</v>
      </c>
      <c r="C82" s="11"/>
      <c r="D82" s="11"/>
      <c r="E82" s="11"/>
      <c r="F82" s="11"/>
      <c r="G82" s="12">
        <v>0</v>
      </c>
      <c r="H82" s="11"/>
      <c r="I82" s="11" t="s">
        <v>40</v>
      </c>
      <c r="J82" s="11"/>
      <c r="K82" s="11"/>
      <c r="L82" s="11">
        <f t="shared" si="24"/>
        <v>0</v>
      </c>
      <c r="M82" s="11"/>
      <c r="N82" s="11"/>
      <c r="O82" s="11">
        <v>0</v>
      </c>
      <c r="P82" s="11"/>
      <c r="Q82" s="11">
        <v>0</v>
      </c>
      <c r="R82" s="11">
        <v>0</v>
      </c>
      <c r="S82" s="11"/>
      <c r="T82" s="11">
        <f t="shared" si="25"/>
        <v>0</v>
      </c>
      <c r="U82" s="13"/>
      <c r="V82" s="5">
        <f t="shared" si="28"/>
        <v>0</v>
      </c>
      <c r="W82" s="5">
        <f t="shared" si="29"/>
        <v>0</v>
      </c>
      <c r="X82" s="5"/>
      <c r="Y82" s="5"/>
      <c r="Z82" s="1" t="e">
        <f t="shared" si="30"/>
        <v>#DIV/0!</v>
      </c>
      <c r="AA82" s="11" t="e">
        <f t="shared" si="26"/>
        <v>#DIV/0!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11" t="s">
        <v>50</v>
      </c>
      <c r="AM82" s="1">
        <f t="shared" si="31"/>
        <v>0</v>
      </c>
      <c r="AN82" s="1">
        <f t="shared" si="32"/>
        <v>0</v>
      </c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129</v>
      </c>
      <c r="B83" s="1" t="s">
        <v>39</v>
      </c>
      <c r="C83" s="1">
        <v>35.935000000000002</v>
      </c>
      <c r="D83" s="1"/>
      <c r="E83" s="1">
        <v>10.11</v>
      </c>
      <c r="F83" s="1">
        <v>25.824999999999999</v>
      </c>
      <c r="G83" s="7">
        <v>1</v>
      </c>
      <c r="H83" s="1">
        <v>55</v>
      </c>
      <c r="I83" s="1" t="s">
        <v>40</v>
      </c>
      <c r="J83" s="1"/>
      <c r="K83" s="1">
        <v>7.9</v>
      </c>
      <c r="L83" s="1">
        <f t="shared" si="24"/>
        <v>2.2099999999999991</v>
      </c>
      <c r="M83" s="1"/>
      <c r="N83" s="1"/>
      <c r="O83" s="1">
        <v>0</v>
      </c>
      <c r="P83" s="1"/>
      <c r="Q83" s="1">
        <v>0</v>
      </c>
      <c r="R83" s="1">
        <v>0</v>
      </c>
      <c r="S83" s="1"/>
      <c r="T83" s="1">
        <f t="shared" si="25"/>
        <v>2.0219999999999998</v>
      </c>
      <c r="U83" s="5"/>
      <c r="V83" s="5">
        <f t="shared" si="28"/>
        <v>0</v>
      </c>
      <c r="W83" s="5">
        <f t="shared" si="29"/>
        <v>0</v>
      </c>
      <c r="X83" s="5"/>
      <c r="Y83" s="5"/>
      <c r="Z83" s="1">
        <f t="shared" si="30"/>
        <v>12.772007912957468</v>
      </c>
      <c r="AA83" s="1">
        <f t="shared" si="26"/>
        <v>12.772007912957468</v>
      </c>
      <c r="AB83" s="1">
        <v>1.1521999999999999</v>
      </c>
      <c r="AC83" s="1">
        <v>0.57720000000000005</v>
      </c>
      <c r="AD83" s="1">
        <v>0.28799999999999998</v>
      </c>
      <c r="AE83" s="1">
        <v>2.8824000000000001</v>
      </c>
      <c r="AF83" s="1">
        <v>2.8820000000000001</v>
      </c>
      <c r="AG83" s="1">
        <v>1.3373999999999999</v>
      </c>
      <c r="AH83" s="1">
        <v>2.1970000000000001</v>
      </c>
      <c r="AI83" s="1">
        <v>2.008</v>
      </c>
      <c r="AJ83" s="1">
        <v>1.1468</v>
      </c>
      <c r="AK83" s="1">
        <v>1.1457999999999999</v>
      </c>
      <c r="AL83" s="17" t="s">
        <v>184</v>
      </c>
      <c r="AM83" s="1">
        <f t="shared" si="31"/>
        <v>0</v>
      </c>
      <c r="AN83" s="1">
        <f t="shared" si="32"/>
        <v>0</v>
      </c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130</v>
      </c>
      <c r="B84" s="1" t="s">
        <v>39</v>
      </c>
      <c r="C84" s="1">
        <v>217.488</v>
      </c>
      <c r="D84" s="1">
        <v>5.1529999999999996</v>
      </c>
      <c r="E84" s="1">
        <v>221.11</v>
      </c>
      <c r="F84" s="1">
        <v>-0.18</v>
      </c>
      <c r="G84" s="7">
        <v>1</v>
      </c>
      <c r="H84" s="1">
        <v>60</v>
      </c>
      <c r="I84" s="1" t="s">
        <v>40</v>
      </c>
      <c r="J84" s="1"/>
      <c r="K84" s="1">
        <v>217.62</v>
      </c>
      <c r="L84" s="1">
        <f t="shared" si="24"/>
        <v>3.4900000000000091</v>
      </c>
      <c r="M84" s="1"/>
      <c r="N84" s="1"/>
      <c r="O84" s="1">
        <v>116.21012224</v>
      </c>
      <c r="P84" s="1">
        <v>208.39915776000001</v>
      </c>
      <c r="Q84" s="1">
        <v>172.73820000000009</v>
      </c>
      <c r="R84" s="1">
        <v>161.67500000000001</v>
      </c>
      <c r="S84" s="1">
        <v>88.325000000000003</v>
      </c>
      <c r="T84" s="1">
        <f t="shared" si="25"/>
        <v>44.222000000000001</v>
      </c>
      <c r="U84" s="5"/>
      <c r="V84" s="5">
        <f t="shared" si="28"/>
        <v>0</v>
      </c>
      <c r="W84" s="5">
        <f t="shared" si="29"/>
        <v>0</v>
      </c>
      <c r="X84" s="5"/>
      <c r="Y84" s="5"/>
      <c r="Z84" s="1">
        <f t="shared" si="30"/>
        <v>16.895831938853966</v>
      </c>
      <c r="AA84" s="1">
        <f t="shared" si="26"/>
        <v>16.895831938853966</v>
      </c>
      <c r="AB84" s="1">
        <v>55.803199999999997</v>
      </c>
      <c r="AC84" s="1">
        <v>60.8352</v>
      </c>
      <c r="AD84" s="1">
        <v>49.9208</v>
      </c>
      <c r="AE84" s="1">
        <v>30.628799999999998</v>
      </c>
      <c r="AF84" s="1">
        <v>20.229199999999999</v>
      </c>
      <c r="AG84" s="1">
        <v>34.7806</v>
      </c>
      <c r="AH84" s="1">
        <v>52.466999999999999</v>
      </c>
      <c r="AI84" s="1">
        <v>56.910799999999988</v>
      </c>
      <c r="AJ84" s="1">
        <v>48.402000000000001</v>
      </c>
      <c r="AK84" s="1">
        <v>24.439399999999999</v>
      </c>
      <c r="AL84" s="1"/>
      <c r="AM84" s="1">
        <f t="shared" si="31"/>
        <v>0</v>
      </c>
      <c r="AN84" s="1">
        <f t="shared" si="32"/>
        <v>0</v>
      </c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1" t="s">
        <v>131</v>
      </c>
      <c r="B85" s="11" t="s">
        <v>45</v>
      </c>
      <c r="C85" s="11"/>
      <c r="D85" s="11"/>
      <c r="E85" s="11"/>
      <c r="F85" s="11"/>
      <c r="G85" s="12">
        <v>0</v>
      </c>
      <c r="H85" s="11"/>
      <c r="I85" s="11" t="s">
        <v>40</v>
      </c>
      <c r="J85" s="11"/>
      <c r="K85" s="11"/>
      <c r="L85" s="11">
        <f t="shared" si="24"/>
        <v>0</v>
      </c>
      <c r="M85" s="11"/>
      <c r="N85" s="11"/>
      <c r="O85" s="11">
        <v>0</v>
      </c>
      <c r="P85" s="11"/>
      <c r="Q85" s="11">
        <v>0</v>
      </c>
      <c r="R85" s="11">
        <v>0</v>
      </c>
      <c r="S85" s="11"/>
      <c r="T85" s="11">
        <f t="shared" si="25"/>
        <v>0</v>
      </c>
      <c r="U85" s="13"/>
      <c r="V85" s="5">
        <f t="shared" si="28"/>
        <v>0</v>
      </c>
      <c r="W85" s="5">
        <f t="shared" si="29"/>
        <v>0</v>
      </c>
      <c r="X85" s="5"/>
      <c r="Y85" s="5"/>
      <c r="Z85" s="1" t="e">
        <f t="shared" si="30"/>
        <v>#DIV/0!</v>
      </c>
      <c r="AA85" s="11" t="e">
        <f t="shared" si="26"/>
        <v>#DIV/0!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 t="s">
        <v>50</v>
      </c>
      <c r="AM85" s="1">
        <f t="shared" si="31"/>
        <v>0</v>
      </c>
      <c r="AN85" s="1">
        <f t="shared" si="32"/>
        <v>0</v>
      </c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132</v>
      </c>
      <c r="B86" s="1" t="s">
        <v>39</v>
      </c>
      <c r="C86" s="1">
        <v>1284.636</v>
      </c>
      <c r="D86" s="1">
        <v>825.82</v>
      </c>
      <c r="E86" s="1">
        <v>1465.953</v>
      </c>
      <c r="F86" s="1">
        <v>322.17200000000003</v>
      </c>
      <c r="G86" s="7">
        <v>1</v>
      </c>
      <c r="H86" s="1">
        <v>60</v>
      </c>
      <c r="I86" s="1" t="s">
        <v>40</v>
      </c>
      <c r="J86" s="1"/>
      <c r="K86" s="1">
        <v>1713.5</v>
      </c>
      <c r="L86" s="1">
        <f t="shared" si="24"/>
        <v>-247.54700000000003</v>
      </c>
      <c r="M86" s="1"/>
      <c r="N86" s="1"/>
      <c r="O86" s="1">
        <v>882.74990587999991</v>
      </c>
      <c r="P86" s="1">
        <v>1583.0319541199999</v>
      </c>
      <c r="Q86" s="1">
        <v>267.97099999999978</v>
      </c>
      <c r="R86" s="1">
        <v>984.95422328600011</v>
      </c>
      <c r="S86" s="1">
        <v>538.09235671400006</v>
      </c>
      <c r="T86" s="1">
        <f t="shared" si="25"/>
        <v>293.19060000000002</v>
      </c>
      <c r="U86" s="5"/>
      <c r="V86" s="5">
        <f t="shared" si="28"/>
        <v>0</v>
      </c>
      <c r="W86" s="5">
        <f t="shared" si="29"/>
        <v>0</v>
      </c>
      <c r="X86" s="5"/>
      <c r="Y86" s="5"/>
      <c r="Z86" s="1">
        <f t="shared" si="30"/>
        <v>15.61772935421531</v>
      </c>
      <c r="AA86" s="1">
        <f t="shared" si="26"/>
        <v>15.61772935421531</v>
      </c>
      <c r="AB86" s="1">
        <v>393.64659999999998</v>
      </c>
      <c r="AC86" s="1">
        <v>413.71640000000002</v>
      </c>
      <c r="AD86" s="1">
        <v>388.93459999999999</v>
      </c>
      <c r="AE86" s="1">
        <v>339.1968</v>
      </c>
      <c r="AF86" s="1">
        <v>286.21859999999998</v>
      </c>
      <c r="AG86" s="1">
        <v>236.22059999999999</v>
      </c>
      <c r="AH86" s="1">
        <v>396.76139999999998</v>
      </c>
      <c r="AI86" s="1">
        <v>420.71499999999997</v>
      </c>
      <c r="AJ86" s="1">
        <v>308.27960000000002</v>
      </c>
      <c r="AK86" s="1">
        <v>325.30099999999999</v>
      </c>
      <c r="AL86" s="1"/>
      <c r="AM86" s="1">
        <f t="shared" si="31"/>
        <v>0</v>
      </c>
      <c r="AN86" s="1">
        <f t="shared" si="32"/>
        <v>0</v>
      </c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133</v>
      </c>
      <c r="B87" s="1" t="s">
        <v>39</v>
      </c>
      <c r="C87" s="1">
        <v>2262.2530000000002</v>
      </c>
      <c r="D87" s="1">
        <v>1145.2270000000001</v>
      </c>
      <c r="E87" s="1">
        <v>1765.6769999999999</v>
      </c>
      <c r="F87" s="1">
        <v>1293.2339999999999</v>
      </c>
      <c r="G87" s="7">
        <v>1</v>
      </c>
      <c r="H87" s="1">
        <v>60</v>
      </c>
      <c r="I87" s="1" t="s">
        <v>40</v>
      </c>
      <c r="J87" s="1"/>
      <c r="K87" s="1">
        <v>1781.5</v>
      </c>
      <c r="L87" s="1">
        <f t="shared" si="24"/>
        <v>-15.823000000000093</v>
      </c>
      <c r="M87" s="1"/>
      <c r="N87" s="1"/>
      <c r="O87" s="1">
        <v>0</v>
      </c>
      <c r="P87" s="1"/>
      <c r="Q87" s="1">
        <v>19.16706600000111</v>
      </c>
      <c r="R87" s="1">
        <v>879.82655487999978</v>
      </c>
      <c r="S87" s="1">
        <v>480.65984511999977</v>
      </c>
      <c r="T87" s="1">
        <f t="shared" si="25"/>
        <v>353.1354</v>
      </c>
      <c r="U87" s="5">
        <f t="shared" ref="U87:U88" si="33">12*T87-S87-R87-Q87-P87-O87-F87</f>
        <v>1564.737333999999</v>
      </c>
      <c r="V87" s="19">
        <f t="shared" ref="V87" si="34">IF(U87+T87*$V$1&lt;0,0,U87+T87*$V$1)</f>
        <v>1239.8527659999991</v>
      </c>
      <c r="W87" s="19">
        <f t="shared" si="29"/>
        <v>939.85276599999906</v>
      </c>
      <c r="X87" s="19">
        <v>600</v>
      </c>
      <c r="Y87" s="5">
        <v>300</v>
      </c>
      <c r="Z87" s="1">
        <f t="shared" si="30"/>
        <v>11.079999999999998</v>
      </c>
      <c r="AA87" s="1">
        <f t="shared" si="26"/>
        <v>7.5690159242035788</v>
      </c>
      <c r="AB87" s="1">
        <v>293.41199999999998</v>
      </c>
      <c r="AC87" s="1">
        <v>260.69920000000002</v>
      </c>
      <c r="AD87" s="1">
        <v>280.9298</v>
      </c>
      <c r="AE87" s="1">
        <v>353.3408</v>
      </c>
      <c r="AF87" s="1">
        <v>302.86380000000003</v>
      </c>
      <c r="AG87" s="1">
        <v>260.61439999999999</v>
      </c>
      <c r="AH87" s="1">
        <v>367.82960000000003</v>
      </c>
      <c r="AI87" s="1">
        <v>400.35739999999998</v>
      </c>
      <c r="AJ87" s="1">
        <v>226.09520000000001</v>
      </c>
      <c r="AK87" s="1">
        <v>213.601</v>
      </c>
      <c r="AL87" s="1"/>
      <c r="AM87" s="1">
        <f t="shared" si="31"/>
        <v>940</v>
      </c>
      <c r="AN87" s="1">
        <f t="shared" si="32"/>
        <v>300</v>
      </c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 t="s">
        <v>134</v>
      </c>
      <c r="B88" s="1" t="s">
        <v>39</v>
      </c>
      <c r="C88" s="1">
        <v>2412.4749999999999</v>
      </c>
      <c r="D88" s="1">
        <v>1704.663</v>
      </c>
      <c r="E88" s="1">
        <v>2668.0659999999998</v>
      </c>
      <c r="F88" s="1">
        <v>712.45600000000002</v>
      </c>
      <c r="G88" s="7">
        <v>1</v>
      </c>
      <c r="H88" s="1">
        <v>60</v>
      </c>
      <c r="I88" s="1" t="s">
        <v>40</v>
      </c>
      <c r="J88" s="1"/>
      <c r="K88" s="1">
        <v>2796.5</v>
      </c>
      <c r="L88" s="1">
        <f t="shared" si="24"/>
        <v>-128.4340000000002</v>
      </c>
      <c r="M88" s="1"/>
      <c r="N88" s="1"/>
      <c r="O88" s="1">
        <v>919.18546900800015</v>
      </c>
      <c r="P88" s="1">
        <v>1648.3717069920001</v>
      </c>
      <c r="Q88" s="1">
        <v>302.75659999999988</v>
      </c>
      <c r="R88" s="1">
        <v>1692.671247798</v>
      </c>
      <c r="S88" s="1">
        <v>924.72669220200032</v>
      </c>
      <c r="T88" s="1">
        <f t="shared" si="25"/>
        <v>533.61320000000001</v>
      </c>
      <c r="U88" s="5">
        <f t="shared" si="33"/>
        <v>203.19068400000026</v>
      </c>
      <c r="V88" s="19">
        <f>IF(U88+T88*$V$1&lt;0,0,U88+T88*$V$1)</f>
        <v>0</v>
      </c>
      <c r="W88" s="19">
        <f t="shared" si="29"/>
        <v>0</v>
      </c>
      <c r="X88" s="19">
        <v>810</v>
      </c>
      <c r="Y88" s="5"/>
      <c r="Z88" s="1">
        <f t="shared" si="30"/>
        <v>11.619217283230624</v>
      </c>
      <c r="AA88" s="1">
        <f t="shared" si="26"/>
        <v>11.619217283230624</v>
      </c>
      <c r="AB88" s="1">
        <v>588.14440000000002</v>
      </c>
      <c r="AC88" s="1">
        <v>602.5548</v>
      </c>
      <c r="AD88" s="1">
        <v>562.23620000000005</v>
      </c>
      <c r="AE88" s="1">
        <v>529.54259999999999</v>
      </c>
      <c r="AF88" s="1">
        <v>466.50040000000001</v>
      </c>
      <c r="AG88" s="1">
        <v>384.19439999999997</v>
      </c>
      <c r="AH88" s="1">
        <v>552.39200000000005</v>
      </c>
      <c r="AI88" s="1">
        <v>575.57240000000002</v>
      </c>
      <c r="AJ88" s="1">
        <v>383.57479999999998</v>
      </c>
      <c r="AK88" s="1">
        <v>417.62419999999997</v>
      </c>
      <c r="AL88" s="1"/>
      <c r="AM88" s="1">
        <f t="shared" si="31"/>
        <v>0</v>
      </c>
      <c r="AN88" s="1">
        <f t="shared" si="32"/>
        <v>0</v>
      </c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1" t="s">
        <v>135</v>
      </c>
      <c r="B89" s="11" t="s">
        <v>39</v>
      </c>
      <c r="C89" s="11"/>
      <c r="D89" s="11"/>
      <c r="E89" s="11"/>
      <c r="F89" s="11"/>
      <c r="G89" s="12">
        <v>0</v>
      </c>
      <c r="H89" s="11"/>
      <c r="I89" s="11" t="s">
        <v>43</v>
      </c>
      <c r="J89" s="11"/>
      <c r="K89" s="11"/>
      <c r="L89" s="11">
        <f t="shared" si="24"/>
        <v>0</v>
      </c>
      <c r="M89" s="11"/>
      <c r="N89" s="11"/>
      <c r="O89" s="11">
        <v>0</v>
      </c>
      <c r="P89" s="11"/>
      <c r="Q89" s="11">
        <v>0</v>
      </c>
      <c r="R89" s="11">
        <v>0</v>
      </c>
      <c r="S89" s="11"/>
      <c r="T89" s="11">
        <f t="shared" si="25"/>
        <v>0</v>
      </c>
      <c r="U89" s="13"/>
      <c r="V89" s="5">
        <f t="shared" si="28"/>
        <v>0</v>
      </c>
      <c r="W89" s="5">
        <f t="shared" si="29"/>
        <v>0</v>
      </c>
      <c r="X89" s="5"/>
      <c r="Y89" s="5"/>
      <c r="Z89" s="1" t="e">
        <f t="shared" si="30"/>
        <v>#DIV/0!</v>
      </c>
      <c r="AA89" s="11" t="e">
        <f t="shared" si="26"/>
        <v>#DIV/0!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 t="s">
        <v>50</v>
      </c>
      <c r="AM89" s="1">
        <f t="shared" si="31"/>
        <v>0</v>
      </c>
      <c r="AN89" s="1">
        <f t="shared" si="32"/>
        <v>0</v>
      </c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136</v>
      </c>
      <c r="B90" s="1" t="s">
        <v>45</v>
      </c>
      <c r="C90" s="1">
        <v>50</v>
      </c>
      <c r="D90" s="1">
        <v>102</v>
      </c>
      <c r="E90" s="1">
        <v>77</v>
      </c>
      <c r="F90" s="1"/>
      <c r="G90" s="7">
        <v>0.3</v>
      </c>
      <c r="H90" s="1">
        <v>40</v>
      </c>
      <c r="I90" s="10" t="s">
        <v>43</v>
      </c>
      <c r="J90" s="1"/>
      <c r="K90" s="1">
        <v>89</v>
      </c>
      <c r="L90" s="1">
        <f t="shared" si="24"/>
        <v>-12</v>
      </c>
      <c r="M90" s="1"/>
      <c r="N90" s="1"/>
      <c r="O90" s="1">
        <v>0</v>
      </c>
      <c r="P90" s="1"/>
      <c r="Q90" s="1">
        <v>80</v>
      </c>
      <c r="R90" s="1">
        <v>97.004999999999995</v>
      </c>
      <c r="S90" s="1">
        <v>52.994999999999997</v>
      </c>
      <c r="T90" s="1">
        <f t="shared" si="25"/>
        <v>15.4</v>
      </c>
      <c r="U90" s="5"/>
      <c r="V90" s="5">
        <f t="shared" si="28"/>
        <v>0</v>
      </c>
      <c r="W90" s="5">
        <f t="shared" si="29"/>
        <v>0</v>
      </c>
      <c r="X90" s="5"/>
      <c r="Y90" s="5"/>
      <c r="Z90" s="1">
        <f t="shared" si="30"/>
        <v>14.935064935064934</v>
      </c>
      <c r="AA90" s="1">
        <f t="shared" si="26"/>
        <v>14.935064935064934</v>
      </c>
      <c r="AB90" s="1">
        <v>13</v>
      </c>
      <c r="AC90" s="1">
        <v>4</v>
      </c>
      <c r="AD90" s="1">
        <v>1</v>
      </c>
      <c r="AE90" s="1">
        <v>-0.6</v>
      </c>
      <c r="AF90" s="1">
        <v>-0.6</v>
      </c>
      <c r="AG90" s="1">
        <v>0</v>
      </c>
      <c r="AH90" s="1">
        <v>0</v>
      </c>
      <c r="AI90" s="1">
        <v>-0.2</v>
      </c>
      <c r="AJ90" s="1">
        <v>-0.4</v>
      </c>
      <c r="AK90" s="1">
        <v>-0.2</v>
      </c>
      <c r="AL90" s="1"/>
      <c r="AM90" s="1">
        <f t="shared" si="31"/>
        <v>0</v>
      </c>
      <c r="AN90" s="1">
        <f t="shared" si="32"/>
        <v>0</v>
      </c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137</v>
      </c>
      <c r="B91" s="1" t="s">
        <v>45</v>
      </c>
      <c r="C91" s="1">
        <v>1</v>
      </c>
      <c r="D91" s="1"/>
      <c r="E91" s="1">
        <v>-4</v>
      </c>
      <c r="F91" s="1">
        <v>1</v>
      </c>
      <c r="G91" s="7">
        <v>0.3</v>
      </c>
      <c r="H91" s="1"/>
      <c r="I91" s="10" t="s">
        <v>43</v>
      </c>
      <c r="J91" s="1"/>
      <c r="K91" s="1">
        <v>7</v>
      </c>
      <c r="L91" s="1">
        <f t="shared" si="24"/>
        <v>-11</v>
      </c>
      <c r="M91" s="1"/>
      <c r="N91" s="1"/>
      <c r="O91" s="1">
        <v>0</v>
      </c>
      <c r="P91" s="1"/>
      <c r="Q91" s="1">
        <v>20</v>
      </c>
      <c r="R91" s="1">
        <v>0</v>
      </c>
      <c r="S91" s="1"/>
      <c r="T91" s="1">
        <f t="shared" si="25"/>
        <v>-0.8</v>
      </c>
      <c r="U91" s="5"/>
      <c r="V91" s="5">
        <f t="shared" si="28"/>
        <v>0</v>
      </c>
      <c r="W91" s="5">
        <f t="shared" si="29"/>
        <v>0</v>
      </c>
      <c r="X91" s="5"/>
      <c r="Y91" s="5"/>
      <c r="Z91" s="1">
        <f t="shared" si="30"/>
        <v>-26.25</v>
      </c>
      <c r="AA91" s="1">
        <f t="shared" si="26"/>
        <v>-26.25</v>
      </c>
      <c r="AB91" s="1">
        <v>-1</v>
      </c>
      <c r="AC91" s="1">
        <v>1.8</v>
      </c>
      <c r="AD91" s="1">
        <v>11.4</v>
      </c>
      <c r="AE91" s="1">
        <v>19.399999999999999</v>
      </c>
      <c r="AF91" s="1">
        <v>18</v>
      </c>
      <c r="AG91" s="1">
        <v>14</v>
      </c>
      <c r="AH91" s="1">
        <v>16.600000000000001</v>
      </c>
      <c r="AI91" s="1">
        <v>10.8</v>
      </c>
      <c r="AJ91" s="1">
        <v>0.6</v>
      </c>
      <c r="AK91" s="1">
        <v>0</v>
      </c>
      <c r="AL91" s="1"/>
      <c r="AM91" s="1">
        <f t="shared" si="31"/>
        <v>0</v>
      </c>
      <c r="AN91" s="1">
        <f t="shared" si="32"/>
        <v>0</v>
      </c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 t="s">
        <v>138</v>
      </c>
      <c r="B92" s="1" t="s">
        <v>45</v>
      </c>
      <c r="C92" s="1">
        <v>1</v>
      </c>
      <c r="D92" s="1">
        <v>54</v>
      </c>
      <c r="E92" s="1">
        <v>5</v>
      </c>
      <c r="F92" s="1">
        <v>28</v>
      </c>
      <c r="G92" s="7">
        <v>7.0000000000000007E-2</v>
      </c>
      <c r="H92" s="1">
        <v>90</v>
      </c>
      <c r="I92" s="10" t="s">
        <v>43</v>
      </c>
      <c r="J92" s="1"/>
      <c r="K92" s="1">
        <v>21</v>
      </c>
      <c r="L92" s="1">
        <f t="shared" si="24"/>
        <v>-16</v>
      </c>
      <c r="M92" s="1"/>
      <c r="N92" s="1"/>
      <c r="O92" s="1">
        <v>46.479999999999983</v>
      </c>
      <c r="P92" s="1"/>
      <c r="Q92" s="1">
        <v>60</v>
      </c>
      <c r="R92" s="1">
        <v>0</v>
      </c>
      <c r="S92" s="1"/>
      <c r="T92" s="1">
        <f t="shared" si="25"/>
        <v>1</v>
      </c>
      <c r="U92" s="5"/>
      <c r="V92" s="5">
        <f t="shared" si="28"/>
        <v>0</v>
      </c>
      <c r="W92" s="5">
        <f t="shared" si="29"/>
        <v>0</v>
      </c>
      <c r="X92" s="5"/>
      <c r="Y92" s="5"/>
      <c r="Z92" s="1">
        <f t="shared" si="30"/>
        <v>134.47999999999999</v>
      </c>
      <c r="AA92" s="1">
        <f t="shared" si="26"/>
        <v>134.47999999999999</v>
      </c>
      <c r="AB92" s="1">
        <v>-0.4</v>
      </c>
      <c r="AC92" s="1">
        <v>0.6</v>
      </c>
      <c r="AD92" s="1">
        <v>6</v>
      </c>
      <c r="AE92" s="1">
        <v>11.8</v>
      </c>
      <c r="AF92" s="1">
        <v>6.6</v>
      </c>
      <c r="AG92" s="1">
        <v>1.4</v>
      </c>
      <c r="AH92" s="1">
        <v>6.2</v>
      </c>
      <c r="AI92" s="1">
        <v>10.8</v>
      </c>
      <c r="AJ92" s="1">
        <v>6</v>
      </c>
      <c r="AK92" s="1">
        <v>0</v>
      </c>
      <c r="AL92" s="1"/>
      <c r="AM92" s="1">
        <f t="shared" si="31"/>
        <v>0</v>
      </c>
      <c r="AN92" s="1">
        <f t="shared" si="32"/>
        <v>0</v>
      </c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6" t="s">
        <v>139</v>
      </c>
      <c r="B93" s="1" t="s">
        <v>45</v>
      </c>
      <c r="C93" s="1"/>
      <c r="D93" s="1"/>
      <c r="E93" s="1">
        <v>-1</v>
      </c>
      <c r="F93" s="1"/>
      <c r="G93" s="7">
        <v>7.0000000000000007E-2</v>
      </c>
      <c r="H93" s="1">
        <v>90</v>
      </c>
      <c r="I93" s="10" t="s">
        <v>43</v>
      </c>
      <c r="J93" s="1"/>
      <c r="K93" s="1">
        <v>3</v>
      </c>
      <c r="L93" s="1">
        <f t="shared" si="24"/>
        <v>-4</v>
      </c>
      <c r="M93" s="1"/>
      <c r="N93" s="1"/>
      <c r="O93" s="1">
        <v>20</v>
      </c>
      <c r="P93" s="1"/>
      <c r="Q93" s="1">
        <v>40</v>
      </c>
      <c r="R93" s="1">
        <v>0</v>
      </c>
      <c r="S93" s="1"/>
      <c r="T93" s="1">
        <f t="shared" si="25"/>
        <v>-0.2</v>
      </c>
      <c r="U93" s="5">
        <v>40</v>
      </c>
      <c r="V93" s="5">
        <f t="shared" si="28"/>
        <v>40</v>
      </c>
      <c r="W93" s="5">
        <f t="shared" si="29"/>
        <v>40</v>
      </c>
      <c r="X93" s="5"/>
      <c r="Y93" s="5"/>
      <c r="Z93" s="1">
        <f t="shared" si="30"/>
        <v>-500</v>
      </c>
      <c r="AA93" s="1">
        <f t="shared" si="26"/>
        <v>-300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1.6</v>
      </c>
      <c r="AH93" s="1">
        <v>7.6</v>
      </c>
      <c r="AI93" s="1">
        <v>9.6</v>
      </c>
      <c r="AJ93" s="1">
        <v>4.5999999999999996</v>
      </c>
      <c r="AK93" s="1">
        <v>4.5999999999999996</v>
      </c>
      <c r="AL93" s="1"/>
      <c r="AM93" s="1">
        <f t="shared" si="31"/>
        <v>3</v>
      </c>
      <c r="AN93" s="1">
        <f t="shared" si="32"/>
        <v>0</v>
      </c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140</v>
      </c>
      <c r="B94" s="1" t="s">
        <v>45</v>
      </c>
      <c r="C94" s="1">
        <v>58</v>
      </c>
      <c r="D94" s="1">
        <v>90</v>
      </c>
      <c r="E94" s="1">
        <v>87</v>
      </c>
      <c r="F94" s="1">
        <v>43</v>
      </c>
      <c r="G94" s="7">
        <v>7.0000000000000007E-2</v>
      </c>
      <c r="H94" s="1">
        <v>90</v>
      </c>
      <c r="I94" s="1" t="s">
        <v>40</v>
      </c>
      <c r="J94" s="1"/>
      <c r="K94" s="1">
        <v>87</v>
      </c>
      <c r="L94" s="1">
        <f t="shared" si="24"/>
        <v>0</v>
      </c>
      <c r="M94" s="1"/>
      <c r="N94" s="1"/>
      <c r="O94" s="1">
        <v>0</v>
      </c>
      <c r="P94" s="1"/>
      <c r="Q94" s="1">
        <v>60</v>
      </c>
      <c r="R94" s="1">
        <v>0</v>
      </c>
      <c r="S94" s="1"/>
      <c r="T94" s="1">
        <f t="shared" si="25"/>
        <v>17.399999999999999</v>
      </c>
      <c r="U94" s="5">
        <f t="shared" ref="U94" si="35">12*T94-S94-R94-Q94-P94-O94-F94</f>
        <v>105.79999999999998</v>
      </c>
      <c r="V94" s="5">
        <f>IF(U94+T94*$V$1&lt;0,0,U94+T94*$V$1)</f>
        <v>89.791999999999987</v>
      </c>
      <c r="W94" s="5">
        <f t="shared" si="29"/>
        <v>89.791999999999987</v>
      </c>
      <c r="X94" s="5"/>
      <c r="Y94" s="5"/>
      <c r="Z94" s="1">
        <f t="shared" si="30"/>
        <v>11.08</v>
      </c>
      <c r="AA94" s="1">
        <f t="shared" si="26"/>
        <v>5.9195402298850581</v>
      </c>
      <c r="AB94" s="1">
        <v>14.8</v>
      </c>
      <c r="AC94" s="1">
        <v>9.1999999999999993</v>
      </c>
      <c r="AD94" s="1">
        <v>5.6</v>
      </c>
      <c r="AE94" s="1">
        <v>14.4</v>
      </c>
      <c r="AF94" s="1">
        <v>12</v>
      </c>
      <c r="AG94" s="1">
        <v>5.6</v>
      </c>
      <c r="AH94" s="1">
        <v>12.2</v>
      </c>
      <c r="AI94" s="1">
        <v>13.8</v>
      </c>
      <c r="AJ94" s="1">
        <v>10</v>
      </c>
      <c r="AK94" s="1">
        <v>10.199999999999999</v>
      </c>
      <c r="AL94" s="1"/>
      <c r="AM94" s="1">
        <f t="shared" si="31"/>
        <v>6</v>
      </c>
      <c r="AN94" s="1">
        <f t="shared" si="32"/>
        <v>0</v>
      </c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 t="s">
        <v>141</v>
      </c>
      <c r="B95" s="1" t="s">
        <v>45</v>
      </c>
      <c r="C95" s="1">
        <v>29</v>
      </c>
      <c r="D95" s="1">
        <v>138</v>
      </c>
      <c r="E95" s="1">
        <v>60</v>
      </c>
      <c r="F95" s="1">
        <v>93</v>
      </c>
      <c r="G95" s="7">
        <v>0.3</v>
      </c>
      <c r="H95" s="1"/>
      <c r="I95" s="1" t="s">
        <v>40</v>
      </c>
      <c r="J95" s="1"/>
      <c r="K95" s="1">
        <v>61</v>
      </c>
      <c r="L95" s="1">
        <f t="shared" si="24"/>
        <v>-1</v>
      </c>
      <c r="M95" s="1"/>
      <c r="N95" s="1"/>
      <c r="O95" s="1">
        <v>4.5739999999999839</v>
      </c>
      <c r="P95" s="1"/>
      <c r="Q95" s="1">
        <v>20</v>
      </c>
      <c r="R95" s="1">
        <v>0</v>
      </c>
      <c r="S95" s="1"/>
      <c r="T95" s="1">
        <f t="shared" si="25"/>
        <v>12</v>
      </c>
      <c r="U95" s="5">
        <f>11*T95-S95-R95-Q95-P95-O95-F95</f>
        <v>14.426000000000016</v>
      </c>
      <c r="V95" s="5">
        <f t="shared" si="28"/>
        <v>14.426000000000016</v>
      </c>
      <c r="W95" s="5">
        <f t="shared" si="29"/>
        <v>14.426000000000016</v>
      </c>
      <c r="X95" s="5"/>
      <c r="Y95" s="5"/>
      <c r="Z95" s="1">
        <f t="shared" si="30"/>
        <v>11</v>
      </c>
      <c r="AA95" s="1">
        <f t="shared" si="26"/>
        <v>9.7978333333333314</v>
      </c>
      <c r="AB95" s="1">
        <v>3</v>
      </c>
      <c r="AC95" s="1">
        <v>8.1999999999999993</v>
      </c>
      <c r="AD95" s="1">
        <v>15</v>
      </c>
      <c r="AE95" s="1">
        <v>16.8</v>
      </c>
      <c r="AF95" s="1">
        <v>11.8</v>
      </c>
      <c r="AG95" s="1">
        <v>9</v>
      </c>
      <c r="AH95" s="1">
        <v>18.600000000000001</v>
      </c>
      <c r="AI95" s="1">
        <v>14.6</v>
      </c>
      <c r="AJ95" s="1">
        <v>1.4</v>
      </c>
      <c r="AK95" s="1">
        <v>0</v>
      </c>
      <c r="AL95" s="1"/>
      <c r="AM95" s="1">
        <f t="shared" si="31"/>
        <v>4</v>
      </c>
      <c r="AN95" s="1">
        <f t="shared" si="32"/>
        <v>0</v>
      </c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1" t="s">
        <v>142</v>
      </c>
      <c r="B96" s="11" t="s">
        <v>45</v>
      </c>
      <c r="C96" s="11">
        <v>19</v>
      </c>
      <c r="D96" s="11"/>
      <c r="E96" s="11">
        <v>19</v>
      </c>
      <c r="F96" s="11"/>
      <c r="G96" s="12">
        <v>0</v>
      </c>
      <c r="H96" s="11"/>
      <c r="I96" s="11" t="s">
        <v>40</v>
      </c>
      <c r="J96" s="11"/>
      <c r="K96" s="11">
        <v>22</v>
      </c>
      <c r="L96" s="11">
        <f t="shared" si="24"/>
        <v>-3</v>
      </c>
      <c r="M96" s="11"/>
      <c r="N96" s="11"/>
      <c r="O96" s="11">
        <v>0</v>
      </c>
      <c r="P96" s="11"/>
      <c r="Q96" s="11">
        <v>0</v>
      </c>
      <c r="R96" s="11">
        <v>0</v>
      </c>
      <c r="S96" s="11"/>
      <c r="T96" s="11">
        <f t="shared" si="25"/>
        <v>3.8</v>
      </c>
      <c r="U96" s="13"/>
      <c r="V96" s="5">
        <f t="shared" si="28"/>
        <v>0</v>
      </c>
      <c r="W96" s="5">
        <f t="shared" si="29"/>
        <v>0</v>
      </c>
      <c r="X96" s="5"/>
      <c r="Y96" s="5"/>
      <c r="Z96" s="1">
        <f t="shared" si="30"/>
        <v>0</v>
      </c>
      <c r="AA96" s="11">
        <f t="shared" si="26"/>
        <v>0</v>
      </c>
      <c r="AB96" s="11">
        <v>4.5999999999999996</v>
      </c>
      <c r="AC96" s="11">
        <v>1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 t="s">
        <v>50</v>
      </c>
      <c r="AM96" s="1">
        <f t="shared" si="31"/>
        <v>0</v>
      </c>
      <c r="AN96" s="1">
        <f t="shared" si="32"/>
        <v>0</v>
      </c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1" t="s">
        <v>143</v>
      </c>
      <c r="B97" s="11" t="s">
        <v>45</v>
      </c>
      <c r="C97" s="11"/>
      <c r="D97" s="11"/>
      <c r="E97" s="11"/>
      <c r="F97" s="11"/>
      <c r="G97" s="12">
        <v>0</v>
      </c>
      <c r="H97" s="11"/>
      <c r="I97" s="11" t="s">
        <v>40</v>
      </c>
      <c r="J97" s="11"/>
      <c r="K97" s="11"/>
      <c r="L97" s="11">
        <f t="shared" si="24"/>
        <v>0</v>
      </c>
      <c r="M97" s="11"/>
      <c r="N97" s="11"/>
      <c r="O97" s="11">
        <v>0</v>
      </c>
      <c r="P97" s="11"/>
      <c r="Q97" s="11">
        <v>0</v>
      </c>
      <c r="R97" s="11">
        <v>0</v>
      </c>
      <c r="S97" s="11"/>
      <c r="T97" s="11">
        <f t="shared" si="25"/>
        <v>0</v>
      </c>
      <c r="U97" s="13"/>
      <c r="V97" s="5">
        <f t="shared" si="28"/>
        <v>0</v>
      </c>
      <c r="W97" s="5">
        <f t="shared" si="29"/>
        <v>0</v>
      </c>
      <c r="X97" s="5"/>
      <c r="Y97" s="5"/>
      <c r="Z97" s="1" t="e">
        <f t="shared" si="30"/>
        <v>#DIV/0!</v>
      </c>
      <c r="AA97" s="11" t="e">
        <f t="shared" si="26"/>
        <v>#DIV/0!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 t="s">
        <v>50</v>
      </c>
      <c r="AM97" s="1">
        <f t="shared" si="31"/>
        <v>0</v>
      </c>
      <c r="AN97" s="1">
        <f t="shared" si="32"/>
        <v>0</v>
      </c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 t="s">
        <v>144</v>
      </c>
      <c r="B98" s="1" t="s">
        <v>45</v>
      </c>
      <c r="C98" s="1">
        <v>9</v>
      </c>
      <c r="D98" s="1">
        <v>164</v>
      </c>
      <c r="E98" s="1">
        <v>95</v>
      </c>
      <c r="F98" s="1">
        <v>63</v>
      </c>
      <c r="G98" s="7">
        <v>0.08</v>
      </c>
      <c r="H98" s="1">
        <v>45</v>
      </c>
      <c r="I98" s="1" t="s">
        <v>40</v>
      </c>
      <c r="J98" s="1"/>
      <c r="K98" s="1">
        <v>118</v>
      </c>
      <c r="L98" s="1">
        <f t="shared" si="24"/>
        <v>-23</v>
      </c>
      <c r="M98" s="1"/>
      <c r="N98" s="1"/>
      <c r="O98" s="1">
        <v>47.785840000000007</v>
      </c>
      <c r="P98" s="1">
        <v>85.694160000000011</v>
      </c>
      <c r="Q98" s="1">
        <v>100</v>
      </c>
      <c r="R98" s="1">
        <v>0</v>
      </c>
      <c r="S98" s="1"/>
      <c r="T98" s="1">
        <f t="shared" si="25"/>
        <v>19</v>
      </c>
      <c r="U98" s="5"/>
      <c r="V98" s="5">
        <f t="shared" si="28"/>
        <v>0</v>
      </c>
      <c r="W98" s="5">
        <f t="shared" si="29"/>
        <v>0</v>
      </c>
      <c r="X98" s="5"/>
      <c r="Y98" s="5"/>
      <c r="Z98" s="1">
        <f t="shared" si="30"/>
        <v>15.604210526315791</v>
      </c>
      <c r="AA98" s="1">
        <f t="shared" si="26"/>
        <v>15.604210526315791</v>
      </c>
      <c r="AB98" s="1">
        <v>13.6</v>
      </c>
      <c r="AC98" s="1">
        <v>22.2</v>
      </c>
      <c r="AD98" s="1">
        <v>22.8</v>
      </c>
      <c r="AE98" s="1">
        <v>20</v>
      </c>
      <c r="AF98" s="1">
        <v>15.4</v>
      </c>
      <c r="AG98" s="1">
        <v>10</v>
      </c>
      <c r="AH98" s="1">
        <v>16</v>
      </c>
      <c r="AI98" s="1">
        <v>14.8</v>
      </c>
      <c r="AJ98" s="1">
        <v>10.4</v>
      </c>
      <c r="AK98" s="1">
        <v>12.6</v>
      </c>
      <c r="AL98" s="1"/>
      <c r="AM98" s="1">
        <f t="shared" si="31"/>
        <v>0</v>
      </c>
      <c r="AN98" s="1">
        <f t="shared" si="32"/>
        <v>0</v>
      </c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 t="s">
        <v>145</v>
      </c>
      <c r="B99" s="1" t="s">
        <v>45</v>
      </c>
      <c r="C99" s="1">
        <v>-1</v>
      </c>
      <c r="D99" s="1">
        <v>340</v>
      </c>
      <c r="E99" s="1">
        <v>123</v>
      </c>
      <c r="F99" s="1">
        <v>191</v>
      </c>
      <c r="G99" s="7">
        <v>0.08</v>
      </c>
      <c r="H99" s="1">
        <v>45</v>
      </c>
      <c r="I99" s="1" t="s">
        <v>40</v>
      </c>
      <c r="J99" s="1"/>
      <c r="K99" s="1">
        <v>125</v>
      </c>
      <c r="L99" s="1">
        <f t="shared" si="24"/>
        <v>-2</v>
      </c>
      <c r="M99" s="1"/>
      <c r="N99" s="1"/>
      <c r="O99" s="1">
        <v>0</v>
      </c>
      <c r="P99" s="1"/>
      <c r="Q99" s="1">
        <v>80</v>
      </c>
      <c r="R99" s="1">
        <v>0</v>
      </c>
      <c r="S99" s="1"/>
      <c r="T99" s="1">
        <f t="shared" si="25"/>
        <v>24.6</v>
      </c>
      <c r="U99" s="5">
        <f>12*T99-S99-R99-Q99-P99-O99-F99</f>
        <v>24.200000000000045</v>
      </c>
      <c r="V99" s="5">
        <f t="shared" si="28"/>
        <v>24.200000000000045</v>
      </c>
      <c r="W99" s="5">
        <f t="shared" si="29"/>
        <v>24.200000000000045</v>
      </c>
      <c r="X99" s="5"/>
      <c r="Y99" s="5"/>
      <c r="Z99" s="1">
        <f t="shared" si="30"/>
        <v>12.000000000000002</v>
      </c>
      <c r="AA99" s="1">
        <f t="shared" si="26"/>
        <v>11.016260162601625</v>
      </c>
      <c r="AB99" s="1">
        <v>11.2</v>
      </c>
      <c r="AC99" s="1">
        <v>21.6</v>
      </c>
      <c r="AD99" s="1">
        <v>20.6</v>
      </c>
      <c r="AE99" s="1">
        <v>24.4</v>
      </c>
      <c r="AF99" s="1">
        <v>19.600000000000001</v>
      </c>
      <c r="AG99" s="1">
        <v>13.6</v>
      </c>
      <c r="AH99" s="1">
        <v>22.6</v>
      </c>
      <c r="AI99" s="1">
        <v>19.8</v>
      </c>
      <c r="AJ99" s="1">
        <v>14.4</v>
      </c>
      <c r="AK99" s="1">
        <v>21.2</v>
      </c>
      <c r="AL99" s="1"/>
      <c r="AM99" s="1">
        <f t="shared" si="31"/>
        <v>2</v>
      </c>
      <c r="AN99" s="1">
        <f t="shared" si="32"/>
        <v>0</v>
      </c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1" t="s">
        <v>146</v>
      </c>
      <c r="B100" s="11" t="s">
        <v>45</v>
      </c>
      <c r="C100" s="11"/>
      <c r="D100" s="11"/>
      <c r="E100" s="11"/>
      <c r="F100" s="11"/>
      <c r="G100" s="12">
        <v>0</v>
      </c>
      <c r="H100" s="11"/>
      <c r="I100" s="11" t="s">
        <v>43</v>
      </c>
      <c r="J100" s="11"/>
      <c r="K100" s="11"/>
      <c r="L100" s="11">
        <f t="shared" si="24"/>
        <v>0</v>
      </c>
      <c r="M100" s="11"/>
      <c r="N100" s="11"/>
      <c r="O100" s="11">
        <v>0</v>
      </c>
      <c r="P100" s="11"/>
      <c r="Q100" s="11">
        <v>0</v>
      </c>
      <c r="R100" s="11">
        <v>0</v>
      </c>
      <c r="S100" s="11"/>
      <c r="T100" s="11">
        <f t="shared" si="25"/>
        <v>0</v>
      </c>
      <c r="U100" s="13"/>
      <c r="V100" s="5">
        <f t="shared" si="28"/>
        <v>0</v>
      </c>
      <c r="W100" s="5">
        <f t="shared" si="29"/>
        <v>0</v>
      </c>
      <c r="X100" s="5"/>
      <c r="Y100" s="5"/>
      <c r="Z100" s="1" t="e">
        <f t="shared" si="30"/>
        <v>#DIV/0!</v>
      </c>
      <c r="AA100" s="11" t="e">
        <f t="shared" si="26"/>
        <v>#DIV/0!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 t="s">
        <v>50</v>
      </c>
      <c r="AM100" s="1">
        <f t="shared" si="31"/>
        <v>0</v>
      </c>
      <c r="AN100" s="1">
        <f t="shared" si="32"/>
        <v>0</v>
      </c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 t="s">
        <v>147</v>
      </c>
      <c r="B101" s="1" t="s">
        <v>39</v>
      </c>
      <c r="C101" s="1">
        <v>56.685000000000002</v>
      </c>
      <c r="D101" s="1">
        <v>254.3</v>
      </c>
      <c r="E101" s="1">
        <v>84.1</v>
      </c>
      <c r="F101" s="1">
        <v>155.71600000000001</v>
      </c>
      <c r="G101" s="7">
        <v>1</v>
      </c>
      <c r="H101" s="1">
        <v>40</v>
      </c>
      <c r="I101" s="10" t="s">
        <v>43</v>
      </c>
      <c r="J101" s="1"/>
      <c r="K101" s="1">
        <v>86</v>
      </c>
      <c r="L101" s="1">
        <f t="shared" si="24"/>
        <v>-1.9000000000000057</v>
      </c>
      <c r="M101" s="1"/>
      <c r="N101" s="1"/>
      <c r="O101" s="1">
        <v>104.21932036</v>
      </c>
      <c r="P101" s="1">
        <v>186.89609963999999</v>
      </c>
      <c r="Q101" s="1">
        <v>80</v>
      </c>
      <c r="R101" s="1">
        <v>100</v>
      </c>
      <c r="S101" s="1"/>
      <c r="T101" s="1">
        <f t="shared" si="25"/>
        <v>16.82</v>
      </c>
      <c r="U101" s="5"/>
      <c r="V101" s="5">
        <f t="shared" si="28"/>
        <v>0</v>
      </c>
      <c r="W101" s="5">
        <f t="shared" si="29"/>
        <v>0</v>
      </c>
      <c r="X101" s="5"/>
      <c r="Y101" s="5"/>
      <c r="Z101" s="1">
        <f t="shared" si="30"/>
        <v>37.26702853745541</v>
      </c>
      <c r="AA101" s="1">
        <f t="shared" si="26"/>
        <v>37.26702853745541</v>
      </c>
      <c r="AB101" s="1">
        <v>20.16</v>
      </c>
      <c r="AC101" s="1">
        <v>35.839799999999997</v>
      </c>
      <c r="AD101" s="1">
        <v>45.436199999999999</v>
      </c>
      <c r="AE101" s="1">
        <v>34.459000000000003</v>
      </c>
      <c r="AF101" s="1">
        <v>16.585999999999999</v>
      </c>
      <c r="AG101" s="1">
        <v>0</v>
      </c>
      <c r="AH101" s="1">
        <v>20.5106</v>
      </c>
      <c r="AI101" s="1">
        <v>20.366599999999998</v>
      </c>
      <c r="AJ101" s="1">
        <v>-0.28820000000000001</v>
      </c>
      <c r="AK101" s="1">
        <v>0.71740000000000004</v>
      </c>
      <c r="AL101" s="1"/>
      <c r="AM101" s="1">
        <f t="shared" si="31"/>
        <v>0</v>
      </c>
      <c r="AN101" s="1">
        <f t="shared" si="32"/>
        <v>0</v>
      </c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 t="s">
        <v>148</v>
      </c>
      <c r="B102" s="1" t="s">
        <v>39</v>
      </c>
      <c r="C102" s="1">
        <v>68.552999999999997</v>
      </c>
      <c r="D102" s="1">
        <v>257.60199999999998</v>
      </c>
      <c r="E102" s="1">
        <v>189.59200000000001</v>
      </c>
      <c r="F102" s="1">
        <v>63.514000000000003</v>
      </c>
      <c r="G102" s="7">
        <v>1</v>
      </c>
      <c r="H102" s="1">
        <v>40</v>
      </c>
      <c r="I102" s="10" t="s">
        <v>43</v>
      </c>
      <c r="J102" s="1"/>
      <c r="K102" s="1">
        <v>284.26</v>
      </c>
      <c r="L102" s="1">
        <f t="shared" ref="L102:L131" si="36">E102-K102</f>
        <v>-94.667999999999978</v>
      </c>
      <c r="M102" s="1"/>
      <c r="N102" s="1"/>
      <c r="O102" s="1">
        <v>0</v>
      </c>
      <c r="P102" s="1"/>
      <c r="Q102" s="1">
        <v>30</v>
      </c>
      <c r="R102" s="1">
        <v>100</v>
      </c>
      <c r="S102" s="1"/>
      <c r="T102" s="1">
        <f t="shared" ref="T102:T131" si="37">E102/5</f>
        <v>37.918400000000005</v>
      </c>
      <c r="U102" s="5">
        <f t="shared" ref="U102" si="38">12*T102-S102-R102-Q102-P102-O102-F102</f>
        <v>261.50680000000006</v>
      </c>
      <c r="V102" s="5">
        <f t="shared" ref="V102:V103" si="39">IF(U102+T102*$V$1&lt;0,0,U102+T102*$V$1)</f>
        <v>226.62187200000005</v>
      </c>
      <c r="W102" s="5">
        <f t="shared" si="29"/>
        <v>226.62187200000005</v>
      </c>
      <c r="X102" s="5"/>
      <c r="Y102" s="5"/>
      <c r="Z102" s="1">
        <f t="shared" si="30"/>
        <v>11.08</v>
      </c>
      <c r="AA102" s="1">
        <f t="shared" ref="AA102:AA131" si="40">(F102+O102+P102+Q102+R102+S102)/T102</f>
        <v>5.1034326342883665</v>
      </c>
      <c r="AB102" s="1">
        <v>27.995999999999999</v>
      </c>
      <c r="AC102" s="1">
        <v>6.5793999999999997</v>
      </c>
      <c r="AD102" s="1">
        <v>-0.29099999999999998</v>
      </c>
      <c r="AE102" s="1">
        <v>0.28179999999999999</v>
      </c>
      <c r="AF102" s="1">
        <v>12.805999999999999</v>
      </c>
      <c r="AG102" s="1">
        <v>12.2332</v>
      </c>
      <c r="AH102" s="1">
        <v>15.862399999999999</v>
      </c>
      <c r="AI102" s="1">
        <v>15.4284</v>
      </c>
      <c r="AJ102" s="1">
        <v>11.6716</v>
      </c>
      <c r="AK102" s="1">
        <v>31.165600000000001</v>
      </c>
      <c r="AL102" s="1"/>
      <c r="AM102" s="1">
        <f t="shared" si="31"/>
        <v>227</v>
      </c>
      <c r="AN102" s="1">
        <f t="shared" si="32"/>
        <v>0</v>
      </c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 t="s">
        <v>149</v>
      </c>
      <c r="B103" s="1" t="s">
        <v>39</v>
      </c>
      <c r="C103" s="1">
        <v>9.8290000000000006</v>
      </c>
      <c r="D103" s="1">
        <v>343.52</v>
      </c>
      <c r="E103" s="1">
        <v>261.29700000000003</v>
      </c>
      <c r="F103" s="1">
        <v>7.1260000000000003</v>
      </c>
      <c r="G103" s="7">
        <v>1</v>
      </c>
      <c r="H103" s="1">
        <v>40</v>
      </c>
      <c r="I103" s="10" t="s">
        <v>43</v>
      </c>
      <c r="J103" s="1"/>
      <c r="K103" s="1">
        <v>328.16</v>
      </c>
      <c r="L103" s="1">
        <f t="shared" si="36"/>
        <v>-66.863</v>
      </c>
      <c r="M103" s="1"/>
      <c r="N103" s="1"/>
      <c r="O103" s="1">
        <v>0</v>
      </c>
      <c r="P103" s="1"/>
      <c r="Q103" s="1">
        <v>20</v>
      </c>
      <c r="R103" s="1">
        <v>116.40600000000001</v>
      </c>
      <c r="S103" s="1">
        <v>63.594000000000001</v>
      </c>
      <c r="T103" s="1">
        <f t="shared" si="37"/>
        <v>52.259400000000007</v>
      </c>
      <c r="U103" s="5">
        <f>11*T103-S103-R103-Q103-P103-O103-F103</f>
        <v>367.7274000000001</v>
      </c>
      <c r="V103" s="5">
        <f t="shared" si="39"/>
        <v>319.64875200000012</v>
      </c>
      <c r="W103" s="5">
        <f t="shared" si="29"/>
        <v>269.64875200000012</v>
      </c>
      <c r="X103" s="5"/>
      <c r="Y103" s="5">
        <v>50</v>
      </c>
      <c r="Z103" s="1">
        <f t="shared" si="30"/>
        <v>10.080000000000002</v>
      </c>
      <c r="AA103" s="1">
        <f t="shared" si="40"/>
        <v>3.9634209347983327</v>
      </c>
      <c r="AB103" s="1">
        <v>25.209599999999998</v>
      </c>
      <c r="AC103" s="1">
        <v>9.3978000000000002</v>
      </c>
      <c r="AD103" s="1">
        <v>0.58120000000000005</v>
      </c>
      <c r="AE103" s="1">
        <v>17.0002</v>
      </c>
      <c r="AF103" s="1">
        <v>17.857399999999998</v>
      </c>
      <c r="AG103" s="1">
        <v>0</v>
      </c>
      <c r="AH103" s="1">
        <v>0</v>
      </c>
      <c r="AI103" s="1">
        <v>-0.14299999999999999</v>
      </c>
      <c r="AJ103" s="1">
        <v>-0.28339999999999999</v>
      </c>
      <c r="AK103" s="1">
        <v>-0.42299999999999999</v>
      </c>
      <c r="AL103" s="1"/>
      <c r="AM103" s="1">
        <f t="shared" si="31"/>
        <v>270</v>
      </c>
      <c r="AN103" s="1">
        <f t="shared" si="32"/>
        <v>50</v>
      </c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1" t="s">
        <v>150</v>
      </c>
      <c r="B104" s="11" t="s">
        <v>45</v>
      </c>
      <c r="C104" s="11"/>
      <c r="D104" s="11"/>
      <c r="E104" s="11"/>
      <c r="F104" s="11"/>
      <c r="G104" s="12">
        <v>0</v>
      </c>
      <c r="H104" s="11"/>
      <c r="I104" s="11" t="s">
        <v>40</v>
      </c>
      <c r="J104" s="11"/>
      <c r="K104" s="11"/>
      <c r="L104" s="11">
        <f t="shared" si="36"/>
        <v>0</v>
      </c>
      <c r="M104" s="11"/>
      <c r="N104" s="11"/>
      <c r="O104" s="11">
        <v>0</v>
      </c>
      <c r="P104" s="11"/>
      <c r="Q104" s="11">
        <v>0</v>
      </c>
      <c r="R104" s="11">
        <v>0</v>
      </c>
      <c r="S104" s="11"/>
      <c r="T104" s="11">
        <f t="shared" si="37"/>
        <v>0</v>
      </c>
      <c r="U104" s="13"/>
      <c r="V104" s="5">
        <f t="shared" si="28"/>
        <v>0</v>
      </c>
      <c r="W104" s="5">
        <f t="shared" si="29"/>
        <v>0</v>
      </c>
      <c r="X104" s="5"/>
      <c r="Y104" s="5"/>
      <c r="Z104" s="1" t="e">
        <f t="shared" si="30"/>
        <v>#DIV/0!</v>
      </c>
      <c r="AA104" s="11" t="e">
        <f t="shared" si="40"/>
        <v>#DIV/0!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11" t="s">
        <v>151</v>
      </c>
      <c r="AM104" s="1">
        <f t="shared" si="31"/>
        <v>0</v>
      </c>
      <c r="AN104" s="1">
        <f t="shared" si="32"/>
        <v>0</v>
      </c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 t="s">
        <v>152</v>
      </c>
      <c r="B105" s="1" t="s">
        <v>45</v>
      </c>
      <c r="C105" s="1">
        <v>95</v>
      </c>
      <c r="D105" s="1">
        <v>2</v>
      </c>
      <c r="E105" s="1">
        <v>90</v>
      </c>
      <c r="F105" s="1">
        <v>-4</v>
      </c>
      <c r="G105" s="7">
        <v>0.28000000000000003</v>
      </c>
      <c r="H105" s="1">
        <v>40</v>
      </c>
      <c r="I105" s="10" t="s">
        <v>43</v>
      </c>
      <c r="J105" s="1"/>
      <c r="K105" s="1">
        <v>139</v>
      </c>
      <c r="L105" s="1">
        <f t="shared" si="36"/>
        <v>-49</v>
      </c>
      <c r="M105" s="1"/>
      <c r="N105" s="1"/>
      <c r="O105" s="1">
        <v>74.736080000000015</v>
      </c>
      <c r="P105" s="1">
        <v>134.02392</v>
      </c>
      <c r="Q105" s="1">
        <v>200</v>
      </c>
      <c r="R105" s="1">
        <v>40</v>
      </c>
      <c r="S105" s="1"/>
      <c r="T105" s="1">
        <f t="shared" si="37"/>
        <v>18</v>
      </c>
      <c r="U105" s="5"/>
      <c r="V105" s="5">
        <f t="shared" si="28"/>
        <v>0</v>
      </c>
      <c r="W105" s="5">
        <f t="shared" si="29"/>
        <v>0</v>
      </c>
      <c r="X105" s="5"/>
      <c r="Y105" s="5"/>
      <c r="Z105" s="1">
        <f t="shared" si="30"/>
        <v>24.70888888888889</v>
      </c>
      <c r="AA105" s="1">
        <f t="shared" si="40"/>
        <v>24.70888888888889</v>
      </c>
      <c r="AB105" s="1">
        <v>39.6</v>
      </c>
      <c r="AC105" s="1">
        <v>48.6</v>
      </c>
      <c r="AD105" s="1">
        <v>43.6</v>
      </c>
      <c r="AE105" s="1">
        <v>34.4</v>
      </c>
      <c r="AF105" s="1">
        <v>17.399999999999999</v>
      </c>
      <c r="AG105" s="1">
        <v>-1</v>
      </c>
      <c r="AH105" s="1">
        <v>-0.6</v>
      </c>
      <c r="AI105" s="1">
        <v>28.2</v>
      </c>
      <c r="AJ105" s="1">
        <v>28.6</v>
      </c>
      <c r="AK105" s="1">
        <v>0</v>
      </c>
      <c r="AL105" s="1"/>
      <c r="AM105" s="1">
        <f t="shared" si="31"/>
        <v>0</v>
      </c>
      <c r="AN105" s="1">
        <f t="shared" si="32"/>
        <v>0</v>
      </c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 t="s">
        <v>153</v>
      </c>
      <c r="B106" s="1" t="s">
        <v>45</v>
      </c>
      <c r="C106" s="1">
        <v>261</v>
      </c>
      <c r="D106" s="1">
        <v>115</v>
      </c>
      <c r="E106" s="1">
        <v>368</v>
      </c>
      <c r="F106" s="1">
        <v>2</v>
      </c>
      <c r="G106" s="7">
        <v>0.28000000000000003</v>
      </c>
      <c r="H106" s="1">
        <v>40</v>
      </c>
      <c r="I106" s="10" t="s">
        <v>43</v>
      </c>
      <c r="J106" s="1"/>
      <c r="K106" s="1">
        <v>395</v>
      </c>
      <c r="L106" s="1">
        <f t="shared" si="36"/>
        <v>-27</v>
      </c>
      <c r="M106" s="1"/>
      <c r="N106" s="1"/>
      <c r="O106" s="1">
        <v>0</v>
      </c>
      <c r="P106" s="1"/>
      <c r="Q106" s="1">
        <v>80</v>
      </c>
      <c r="R106" s="1">
        <v>25.399999999999981</v>
      </c>
      <c r="S106" s="1"/>
      <c r="T106" s="1">
        <f t="shared" si="37"/>
        <v>73.599999999999994</v>
      </c>
      <c r="U106" s="5">
        <f>8*T106-S106-R106-Q106-P106-O106-F106</f>
        <v>481.4</v>
      </c>
      <c r="V106" s="5">
        <f>IF(U106+T106*$V$1&lt;0,0,U106+T106*$V$1)</f>
        <v>413.68799999999999</v>
      </c>
      <c r="W106" s="5">
        <f t="shared" si="29"/>
        <v>413.68799999999999</v>
      </c>
      <c r="X106" s="5"/>
      <c r="Y106" s="5"/>
      <c r="Z106" s="1">
        <f t="shared" si="30"/>
        <v>7.08</v>
      </c>
      <c r="AA106" s="1">
        <f t="shared" si="40"/>
        <v>1.4592391304347825</v>
      </c>
      <c r="AB106" s="1">
        <v>38.4</v>
      </c>
      <c r="AC106" s="1">
        <v>12.6</v>
      </c>
      <c r="AD106" s="1">
        <v>5.8</v>
      </c>
      <c r="AE106" s="1">
        <v>1</v>
      </c>
      <c r="AF106" s="1">
        <v>33.6</v>
      </c>
      <c r="AG106" s="1">
        <v>47.8</v>
      </c>
      <c r="AH106" s="1">
        <v>45.6</v>
      </c>
      <c r="AI106" s="1">
        <v>29.2</v>
      </c>
      <c r="AJ106" s="1">
        <v>-1</v>
      </c>
      <c r="AK106" s="1">
        <v>-0.6</v>
      </c>
      <c r="AL106" s="1"/>
      <c r="AM106" s="1">
        <f t="shared" si="31"/>
        <v>116</v>
      </c>
      <c r="AN106" s="1">
        <f t="shared" si="32"/>
        <v>0</v>
      </c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 t="s">
        <v>154</v>
      </c>
      <c r="B107" s="1" t="s">
        <v>45</v>
      </c>
      <c r="C107" s="1">
        <v>147</v>
      </c>
      <c r="D107" s="1"/>
      <c r="E107" s="1">
        <v>139</v>
      </c>
      <c r="F107" s="1">
        <v>2</v>
      </c>
      <c r="G107" s="7">
        <v>0.28000000000000003</v>
      </c>
      <c r="H107" s="1">
        <v>40</v>
      </c>
      <c r="I107" s="10" t="s">
        <v>43</v>
      </c>
      <c r="J107" s="1"/>
      <c r="K107" s="1">
        <v>188</v>
      </c>
      <c r="L107" s="1">
        <f t="shared" si="36"/>
        <v>-49</v>
      </c>
      <c r="M107" s="1"/>
      <c r="N107" s="1"/>
      <c r="O107" s="1">
        <v>0</v>
      </c>
      <c r="P107" s="1"/>
      <c r="Q107" s="1">
        <v>50</v>
      </c>
      <c r="R107" s="1">
        <v>156.37206</v>
      </c>
      <c r="S107" s="1">
        <v>85.427939999999978</v>
      </c>
      <c r="T107" s="1">
        <f t="shared" si="37"/>
        <v>27.8</v>
      </c>
      <c r="U107" s="5">
        <f t="shared" ref="U107" si="41">12*T107-S107-R107-Q107-P107-O107-F107</f>
        <v>39.80000000000004</v>
      </c>
      <c r="V107" s="5">
        <f t="shared" si="28"/>
        <v>39.80000000000004</v>
      </c>
      <c r="W107" s="5">
        <f t="shared" si="29"/>
        <v>39.80000000000004</v>
      </c>
      <c r="X107" s="5"/>
      <c r="Y107" s="5"/>
      <c r="Z107" s="1">
        <f t="shared" si="30"/>
        <v>12</v>
      </c>
      <c r="AA107" s="1">
        <f t="shared" si="40"/>
        <v>10.568345323741005</v>
      </c>
      <c r="AB107" s="1">
        <v>35.799999999999997</v>
      </c>
      <c r="AC107" s="1">
        <v>6</v>
      </c>
      <c r="AD107" s="1">
        <v>-0.4</v>
      </c>
      <c r="AE107" s="1">
        <v>-0.2</v>
      </c>
      <c r="AF107" s="1">
        <v>-0.2</v>
      </c>
      <c r="AG107" s="1">
        <v>-0.2</v>
      </c>
      <c r="AH107" s="1">
        <v>19.600000000000001</v>
      </c>
      <c r="AI107" s="1">
        <v>49.2</v>
      </c>
      <c r="AJ107" s="1">
        <v>29.4</v>
      </c>
      <c r="AK107" s="1">
        <v>0.4</v>
      </c>
      <c r="AL107" s="1"/>
      <c r="AM107" s="1">
        <f t="shared" si="31"/>
        <v>11</v>
      </c>
      <c r="AN107" s="1">
        <f t="shared" si="32"/>
        <v>0</v>
      </c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1" t="s">
        <v>155</v>
      </c>
      <c r="B108" s="11" t="s">
        <v>45</v>
      </c>
      <c r="C108" s="11"/>
      <c r="D108" s="11"/>
      <c r="E108" s="11"/>
      <c r="F108" s="11"/>
      <c r="G108" s="12">
        <v>0</v>
      </c>
      <c r="H108" s="11"/>
      <c r="I108" s="11" t="s">
        <v>40</v>
      </c>
      <c r="J108" s="11"/>
      <c r="K108" s="11"/>
      <c r="L108" s="11">
        <f t="shared" si="36"/>
        <v>0</v>
      </c>
      <c r="M108" s="11"/>
      <c r="N108" s="11"/>
      <c r="O108" s="11">
        <v>0</v>
      </c>
      <c r="P108" s="11"/>
      <c r="Q108" s="11">
        <v>0</v>
      </c>
      <c r="R108" s="11">
        <v>0</v>
      </c>
      <c r="S108" s="11"/>
      <c r="T108" s="11">
        <f t="shared" si="37"/>
        <v>0</v>
      </c>
      <c r="U108" s="13"/>
      <c r="V108" s="5">
        <f t="shared" si="28"/>
        <v>0</v>
      </c>
      <c r="W108" s="5">
        <f t="shared" si="29"/>
        <v>0</v>
      </c>
      <c r="X108" s="5"/>
      <c r="Y108" s="5"/>
      <c r="Z108" s="1" t="e">
        <f t="shared" si="30"/>
        <v>#DIV/0!</v>
      </c>
      <c r="AA108" s="11" t="e">
        <f t="shared" si="40"/>
        <v>#DIV/0!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 t="s">
        <v>50</v>
      </c>
      <c r="AM108" s="1">
        <f t="shared" si="31"/>
        <v>0</v>
      </c>
      <c r="AN108" s="1">
        <f t="shared" si="32"/>
        <v>0</v>
      </c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 t="s">
        <v>156</v>
      </c>
      <c r="B109" s="1" t="s">
        <v>39</v>
      </c>
      <c r="C109" s="1">
        <v>109.645</v>
      </c>
      <c r="D109" s="1"/>
      <c r="E109" s="1">
        <v>17.32</v>
      </c>
      <c r="F109" s="1">
        <v>87.334999999999994</v>
      </c>
      <c r="G109" s="7">
        <v>1</v>
      </c>
      <c r="H109" s="1">
        <v>60</v>
      </c>
      <c r="I109" s="1" t="s">
        <v>40</v>
      </c>
      <c r="J109" s="1"/>
      <c r="K109" s="1">
        <v>20</v>
      </c>
      <c r="L109" s="1">
        <f t="shared" si="36"/>
        <v>-2.6799999999999997</v>
      </c>
      <c r="M109" s="1"/>
      <c r="N109" s="1"/>
      <c r="O109" s="1">
        <v>0</v>
      </c>
      <c r="P109" s="1"/>
      <c r="Q109" s="1">
        <v>0</v>
      </c>
      <c r="R109" s="1">
        <v>0</v>
      </c>
      <c r="S109" s="1"/>
      <c r="T109" s="1">
        <f t="shared" si="37"/>
        <v>3.464</v>
      </c>
      <c r="U109" s="5"/>
      <c r="V109" s="5">
        <f t="shared" si="28"/>
        <v>0</v>
      </c>
      <c r="W109" s="5">
        <f t="shared" si="29"/>
        <v>0</v>
      </c>
      <c r="X109" s="5"/>
      <c r="Y109" s="5"/>
      <c r="Z109" s="1">
        <f t="shared" si="30"/>
        <v>25.212182448036948</v>
      </c>
      <c r="AA109" s="1">
        <f t="shared" si="40"/>
        <v>25.212182448036948</v>
      </c>
      <c r="AB109" s="1">
        <v>2.4792000000000001</v>
      </c>
      <c r="AC109" s="1">
        <v>2.9740000000000002</v>
      </c>
      <c r="AD109" s="1">
        <v>4.4543999999999997</v>
      </c>
      <c r="AE109" s="1">
        <v>6.4551999999999996</v>
      </c>
      <c r="AF109" s="1">
        <v>4.9847999999999999</v>
      </c>
      <c r="AG109" s="1">
        <v>1.3324</v>
      </c>
      <c r="AH109" s="1">
        <v>0.84160000000000001</v>
      </c>
      <c r="AI109" s="1">
        <v>5.0156000000000001</v>
      </c>
      <c r="AJ109" s="1">
        <v>13.5182</v>
      </c>
      <c r="AK109" s="1">
        <v>13.540800000000001</v>
      </c>
      <c r="AL109" s="14" t="s">
        <v>110</v>
      </c>
      <c r="AM109" s="1">
        <f t="shared" si="31"/>
        <v>0</v>
      </c>
      <c r="AN109" s="1">
        <f t="shared" si="32"/>
        <v>0</v>
      </c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 t="s">
        <v>157</v>
      </c>
      <c r="B110" s="1" t="s">
        <v>39</v>
      </c>
      <c r="C110" s="1">
        <v>45.664000000000001</v>
      </c>
      <c r="D110" s="1">
        <v>60.79</v>
      </c>
      <c r="E110" s="1">
        <v>25.134</v>
      </c>
      <c r="F110" s="1">
        <v>81.319999999999993</v>
      </c>
      <c r="G110" s="7">
        <v>1</v>
      </c>
      <c r="H110" s="1">
        <v>50</v>
      </c>
      <c r="I110" s="1" t="s">
        <v>40</v>
      </c>
      <c r="J110" s="1"/>
      <c r="K110" s="1">
        <v>25</v>
      </c>
      <c r="L110" s="1">
        <f t="shared" si="36"/>
        <v>0.13400000000000034</v>
      </c>
      <c r="M110" s="1"/>
      <c r="N110" s="1"/>
      <c r="O110" s="1">
        <v>0</v>
      </c>
      <c r="P110" s="1"/>
      <c r="Q110" s="1">
        <v>0</v>
      </c>
      <c r="R110" s="1">
        <v>0</v>
      </c>
      <c r="S110" s="1"/>
      <c r="T110" s="1">
        <f t="shared" si="37"/>
        <v>5.0267999999999997</v>
      </c>
      <c r="U110" s="5"/>
      <c r="V110" s="5">
        <f t="shared" si="28"/>
        <v>0</v>
      </c>
      <c r="W110" s="5">
        <f t="shared" si="29"/>
        <v>0</v>
      </c>
      <c r="X110" s="5"/>
      <c r="Y110" s="5"/>
      <c r="Z110" s="1">
        <f t="shared" si="30"/>
        <v>16.177289727062941</v>
      </c>
      <c r="AA110" s="1">
        <f t="shared" si="40"/>
        <v>16.177289727062941</v>
      </c>
      <c r="AB110" s="1">
        <v>4.0392000000000001</v>
      </c>
      <c r="AC110" s="1">
        <v>3.0364</v>
      </c>
      <c r="AD110" s="1">
        <v>5.5724</v>
      </c>
      <c r="AE110" s="1">
        <v>9.1123999999999992</v>
      </c>
      <c r="AF110" s="1">
        <v>6.056</v>
      </c>
      <c r="AG110" s="1">
        <v>3.4940000000000002</v>
      </c>
      <c r="AH110" s="1">
        <v>4.9979999999999993</v>
      </c>
      <c r="AI110" s="1">
        <v>5.8792</v>
      </c>
      <c r="AJ110" s="1">
        <v>11.348599999999999</v>
      </c>
      <c r="AK110" s="1">
        <v>10.4556</v>
      </c>
      <c r="AL110" s="17" t="s">
        <v>184</v>
      </c>
      <c r="AM110" s="1">
        <f t="shared" si="31"/>
        <v>0</v>
      </c>
      <c r="AN110" s="1">
        <f t="shared" si="32"/>
        <v>0</v>
      </c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 t="s">
        <v>158</v>
      </c>
      <c r="B111" s="1" t="s">
        <v>45</v>
      </c>
      <c r="C111" s="1">
        <v>20</v>
      </c>
      <c r="D111" s="1">
        <v>100</v>
      </c>
      <c r="E111" s="1">
        <v>62</v>
      </c>
      <c r="F111" s="1">
        <v>53</v>
      </c>
      <c r="G111" s="7">
        <v>0.09</v>
      </c>
      <c r="H111" s="1"/>
      <c r="I111" s="10" t="s">
        <v>43</v>
      </c>
      <c r="J111" s="1"/>
      <c r="K111" s="1">
        <v>64</v>
      </c>
      <c r="L111" s="1">
        <f t="shared" si="36"/>
        <v>-2</v>
      </c>
      <c r="M111" s="1"/>
      <c r="N111" s="1"/>
      <c r="O111" s="1">
        <v>0</v>
      </c>
      <c r="P111" s="1"/>
      <c r="Q111" s="1">
        <v>0</v>
      </c>
      <c r="R111" s="1">
        <v>6.8000000000000114</v>
      </c>
      <c r="S111" s="1"/>
      <c r="T111" s="1">
        <f t="shared" si="37"/>
        <v>12.4</v>
      </c>
      <c r="U111" s="5">
        <f>12*T111-S111-R111-Q111-P111-O111-F111</f>
        <v>89</v>
      </c>
      <c r="V111" s="5">
        <f t="shared" si="28"/>
        <v>89</v>
      </c>
      <c r="W111" s="5">
        <f t="shared" si="29"/>
        <v>89</v>
      </c>
      <c r="X111" s="5"/>
      <c r="Y111" s="5"/>
      <c r="Z111" s="1">
        <f t="shared" si="30"/>
        <v>12</v>
      </c>
      <c r="AA111" s="1">
        <f t="shared" si="40"/>
        <v>4.8225806451612909</v>
      </c>
      <c r="AB111" s="1">
        <v>9.1999999999999993</v>
      </c>
      <c r="AC111" s="1">
        <v>7</v>
      </c>
      <c r="AD111" s="1">
        <v>8.8000000000000007</v>
      </c>
      <c r="AE111" s="1">
        <v>11.6</v>
      </c>
      <c r="AF111" s="1">
        <v>9.8000000000000007</v>
      </c>
      <c r="AG111" s="1">
        <v>6.6</v>
      </c>
      <c r="AH111" s="1">
        <v>5</v>
      </c>
      <c r="AI111" s="1">
        <v>2.8</v>
      </c>
      <c r="AJ111" s="1">
        <v>0.4</v>
      </c>
      <c r="AK111" s="1">
        <v>2.8</v>
      </c>
      <c r="AL111" s="1"/>
      <c r="AM111" s="1">
        <f t="shared" si="31"/>
        <v>8</v>
      </c>
      <c r="AN111" s="1">
        <f t="shared" si="32"/>
        <v>0</v>
      </c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1" t="s">
        <v>159</v>
      </c>
      <c r="B112" s="11" t="s">
        <v>45</v>
      </c>
      <c r="C112" s="11"/>
      <c r="D112" s="11"/>
      <c r="E112" s="11"/>
      <c r="F112" s="11"/>
      <c r="G112" s="12">
        <v>0</v>
      </c>
      <c r="H112" s="11"/>
      <c r="I112" s="11" t="s">
        <v>40</v>
      </c>
      <c r="J112" s="11"/>
      <c r="K112" s="11"/>
      <c r="L112" s="11">
        <f t="shared" si="36"/>
        <v>0</v>
      </c>
      <c r="M112" s="11"/>
      <c r="N112" s="11"/>
      <c r="O112" s="11">
        <v>0</v>
      </c>
      <c r="P112" s="11"/>
      <c r="Q112" s="11">
        <v>0</v>
      </c>
      <c r="R112" s="11">
        <v>0</v>
      </c>
      <c r="S112" s="11"/>
      <c r="T112" s="11">
        <f t="shared" si="37"/>
        <v>0</v>
      </c>
      <c r="U112" s="13"/>
      <c r="V112" s="5">
        <f t="shared" si="28"/>
        <v>0</v>
      </c>
      <c r="W112" s="5">
        <f t="shared" si="29"/>
        <v>0</v>
      </c>
      <c r="X112" s="5"/>
      <c r="Y112" s="5"/>
      <c r="Z112" s="1" t="e">
        <f t="shared" si="30"/>
        <v>#DIV/0!</v>
      </c>
      <c r="AA112" s="11" t="e">
        <f t="shared" si="40"/>
        <v>#DIV/0!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 t="s">
        <v>50</v>
      </c>
      <c r="AM112" s="1">
        <f t="shared" si="31"/>
        <v>0</v>
      </c>
      <c r="AN112" s="1">
        <f t="shared" si="32"/>
        <v>0</v>
      </c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 t="s">
        <v>160</v>
      </c>
      <c r="B113" s="1" t="s">
        <v>39</v>
      </c>
      <c r="C113" s="1">
        <v>37.707999999999998</v>
      </c>
      <c r="D113" s="1">
        <v>182.321</v>
      </c>
      <c r="E113" s="1">
        <v>134.09899999999999</v>
      </c>
      <c r="F113" s="1">
        <v>59.761000000000003</v>
      </c>
      <c r="G113" s="7">
        <v>1</v>
      </c>
      <c r="H113" s="1">
        <v>60</v>
      </c>
      <c r="I113" s="10" t="s">
        <v>43</v>
      </c>
      <c r="J113" s="1"/>
      <c r="K113" s="1">
        <v>157.69999999999999</v>
      </c>
      <c r="L113" s="1">
        <f t="shared" si="36"/>
        <v>-23.600999999999999</v>
      </c>
      <c r="M113" s="1"/>
      <c r="N113" s="1"/>
      <c r="O113" s="1">
        <v>75.83791807999998</v>
      </c>
      <c r="P113" s="1">
        <v>135.99984191999999</v>
      </c>
      <c r="Q113" s="1">
        <v>120</v>
      </c>
      <c r="R113" s="1">
        <v>100</v>
      </c>
      <c r="S113" s="1"/>
      <c r="T113" s="1">
        <f t="shared" si="37"/>
        <v>26.819799999999997</v>
      </c>
      <c r="U113" s="5"/>
      <c r="V113" s="5">
        <f t="shared" si="28"/>
        <v>0</v>
      </c>
      <c r="W113" s="5">
        <f t="shared" si="29"/>
        <v>0</v>
      </c>
      <c r="X113" s="5"/>
      <c r="Y113" s="5"/>
      <c r="Z113" s="1">
        <f t="shared" si="30"/>
        <v>18.329695225169466</v>
      </c>
      <c r="AA113" s="1">
        <f t="shared" si="40"/>
        <v>18.329695225169466</v>
      </c>
      <c r="AB113" s="1">
        <v>25.8444</v>
      </c>
      <c r="AC113" s="1">
        <v>34.096800000000002</v>
      </c>
      <c r="AD113" s="1">
        <v>33.693600000000004</v>
      </c>
      <c r="AE113" s="1">
        <v>28.686</v>
      </c>
      <c r="AF113" s="1">
        <v>22.612400000000001</v>
      </c>
      <c r="AG113" s="1">
        <v>22.637599999999999</v>
      </c>
      <c r="AH113" s="1">
        <v>27.105399999999999</v>
      </c>
      <c r="AI113" s="1">
        <v>27.293199999999999</v>
      </c>
      <c r="AJ113" s="1">
        <v>31.0916</v>
      </c>
      <c r="AK113" s="1">
        <v>23.963999999999999</v>
      </c>
      <c r="AL113" s="1"/>
      <c r="AM113" s="1">
        <f t="shared" si="31"/>
        <v>0</v>
      </c>
      <c r="AN113" s="1">
        <f t="shared" si="32"/>
        <v>0</v>
      </c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 t="s">
        <v>161</v>
      </c>
      <c r="B114" s="1" t="s">
        <v>39</v>
      </c>
      <c r="C114" s="1">
        <v>48.805</v>
      </c>
      <c r="D114" s="1">
        <v>297.291</v>
      </c>
      <c r="E114" s="1">
        <v>158.869</v>
      </c>
      <c r="F114" s="1">
        <v>150.833</v>
      </c>
      <c r="G114" s="7">
        <v>1</v>
      </c>
      <c r="H114" s="1">
        <v>60</v>
      </c>
      <c r="I114" s="1" t="s">
        <v>40</v>
      </c>
      <c r="J114" s="1"/>
      <c r="K114" s="1">
        <v>178.45</v>
      </c>
      <c r="L114" s="1">
        <f t="shared" si="36"/>
        <v>-19.580999999999989</v>
      </c>
      <c r="M114" s="1"/>
      <c r="N114" s="1"/>
      <c r="O114" s="1">
        <v>106.66906424</v>
      </c>
      <c r="P114" s="1">
        <v>191.28921575999999</v>
      </c>
      <c r="Q114" s="1">
        <v>80</v>
      </c>
      <c r="R114" s="1">
        <v>50</v>
      </c>
      <c r="S114" s="1"/>
      <c r="T114" s="1">
        <f t="shared" si="37"/>
        <v>31.773800000000001</v>
      </c>
      <c r="U114" s="5"/>
      <c r="V114" s="5">
        <f t="shared" si="28"/>
        <v>0</v>
      </c>
      <c r="W114" s="5">
        <f t="shared" si="29"/>
        <v>0</v>
      </c>
      <c r="X114" s="5"/>
      <c r="Y114" s="5"/>
      <c r="Z114" s="1">
        <f t="shared" si="30"/>
        <v>18.215991791979551</v>
      </c>
      <c r="AA114" s="1">
        <f t="shared" si="40"/>
        <v>18.215991791979551</v>
      </c>
      <c r="AB114" s="1">
        <v>16.175000000000001</v>
      </c>
      <c r="AC114" s="1">
        <v>30.338000000000001</v>
      </c>
      <c r="AD114" s="1">
        <v>45.3508</v>
      </c>
      <c r="AE114" s="1">
        <v>34.774000000000001</v>
      </c>
      <c r="AF114" s="1">
        <v>25.2286</v>
      </c>
      <c r="AG114" s="1">
        <v>23.5992</v>
      </c>
      <c r="AH114" s="1">
        <v>31.338799999999999</v>
      </c>
      <c r="AI114" s="1">
        <v>29.66</v>
      </c>
      <c r="AJ114" s="1">
        <v>32.9238</v>
      </c>
      <c r="AK114" s="1">
        <v>39.220199999999998</v>
      </c>
      <c r="AL114" s="1"/>
      <c r="AM114" s="1">
        <f t="shared" si="31"/>
        <v>0</v>
      </c>
      <c r="AN114" s="1">
        <f t="shared" si="32"/>
        <v>0</v>
      </c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 t="s">
        <v>162</v>
      </c>
      <c r="B115" s="1" t="s">
        <v>39</v>
      </c>
      <c r="C115" s="1">
        <v>61.970999999999997</v>
      </c>
      <c r="D115" s="1">
        <v>26.231000000000002</v>
      </c>
      <c r="E115" s="1">
        <v>47.223999999999997</v>
      </c>
      <c r="F115" s="1">
        <v>35.337000000000003</v>
      </c>
      <c r="G115" s="7">
        <v>1</v>
      </c>
      <c r="H115" s="1">
        <v>60</v>
      </c>
      <c r="I115" s="10" t="s">
        <v>43</v>
      </c>
      <c r="J115" s="1"/>
      <c r="K115" s="1">
        <v>43.5</v>
      </c>
      <c r="L115" s="1">
        <f t="shared" si="36"/>
        <v>3.7239999999999966</v>
      </c>
      <c r="M115" s="1"/>
      <c r="N115" s="1"/>
      <c r="O115" s="1">
        <v>0</v>
      </c>
      <c r="P115" s="1"/>
      <c r="Q115" s="1">
        <v>29.29506599999997</v>
      </c>
      <c r="R115" s="1">
        <v>0</v>
      </c>
      <c r="S115" s="1"/>
      <c r="T115" s="1">
        <f t="shared" si="37"/>
        <v>9.444799999999999</v>
      </c>
      <c r="U115" s="5">
        <f t="shared" ref="U115:U116" si="42">12*T115-S115-R115-Q115-P115-O115-F115</f>
        <v>48.705534000000014</v>
      </c>
      <c r="V115" s="5">
        <f t="shared" si="28"/>
        <v>48.705534000000014</v>
      </c>
      <c r="W115" s="5">
        <f t="shared" si="29"/>
        <v>48.705534000000014</v>
      </c>
      <c r="X115" s="5"/>
      <c r="Y115" s="5"/>
      <c r="Z115" s="1">
        <f t="shared" si="30"/>
        <v>12</v>
      </c>
      <c r="AA115" s="1">
        <f t="shared" si="40"/>
        <v>6.8431375995256634</v>
      </c>
      <c r="AB115" s="1">
        <v>6.6574</v>
      </c>
      <c r="AC115" s="1">
        <v>8.7114000000000011</v>
      </c>
      <c r="AD115" s="1">
        <v>7.2957999999999998</v>
      </c>
      <c r="AE115" s="1">
        <v>9.3412000000000006</v>
      </c>
      <c r="AF115" s="1">
        <v>6.0305999999999997</v>
      </c>
      <c r="AG115" s="1">
        <v>2.9855999999999998</v>
      </c>
      <c r="AH115" s="1">
        <v>10.257199999999999</v>
      </c>
      <c r="AI115" s="1">
        <v>11.1214</v>
      </c>
      <c r="AJ115" s="1">
        <v>6.5174000000000003</v>
      </c>
      <c r="AK115" s="1">
        <v>7.8681999999999999</v>
      </c>
      <c r="AL115" s="1"/>
      <c r="AM115" s="1">
        <f t="shared" si="31"/>
        <v>49</v>
      </c>
      <c r="AN115" s="1">
        <f t="shared" si="32"/>
        <v>0</v>
      </c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 t="s">
        <v>163</v>
      </c>
      <c r="B116" s="1" t="s">
        <v>39</v>
      </c>
      <c r="C116" s="1">
        <v>1149.6949999999999</v>
      </c>
      <c r="D116" s="1">
        <v>476.40699999999998</v>
      </c>
      <c r="E116" s="1">
        <v>1263.702</v>
      </c>
      <c r="F116" s="1">
        <v>151.28399999999999</v>
      </c>
      <c r="G116" s="7">
        <v>1</v>
      </c>
      <c r="H116" s="1">
        <v>60</v>
      </c>
      <c r="I116" s="1" t="s">
        <v>40</v>
      </c>
      <c r="J116" s="1"/>
      <c r="K116" s="1">
        <v>1301</v>
      </c>
      <c r="L116" s="1">
        <f t="shared" si="36"/>
        <v>-37.298000000000002</v>
      </c>
      <c r="M116" s="1"/>
      <c r="N116" s="1"/>
      <c r="O116" s="1">
        <v>339.24079198080022</v>
      </c>
      <c r="P116" s="1">
        <v>608.35918561920039</v>
      </c>
      <c r="Q116" s="1">
        <v>0</v>
      </c>
      <c r="R116" s="1">
        <v>1092.109891156</v>
      </c>
      <c r="S116" s="1">
        <v>596.63278884399983</v>
      </c>
      <c r="T116" s="1">
        <f t="shared" si="37"/>
        <v>252.74039999999999</v>
      </c>
      <c r="U116" s="5">
        <f t="shared" si="42"/>
        <v>245.25814239999914</v>
      </c>
      <c r="V116" s="5">
        <f>IF(U116+T116*$V$1&lt;0,0,U116+T116*$V$1)</f>
        <v>12.736974399999127</v>
      </c>
      <c r="W116" s="5">
        <f t="shared" si="29"/>
        <v>12.736974399999127</v>
      </c>
      <c r="X116" s="5"/>
      <c r="Y116" s="5"/>
      <c r="Z116" s="1">
        <f t="shared" si="30"/>
        <v>11.08</v>
      </c>
      <c r="AA116" s="1">
        <f t="shared" si="40"/>
        <v>11.029604517520747</v>
      </c>
      <c r="AB116" s="1">
        <v>257.10599999999999</v>
      </c>
      <c r="AC116" s="1">
        <v>200.36799999999999</v>
      </c>
      <c r="AD116" s="1">
        <v>217.51920000000001</v>
      </c>
      <c r="AE116" s="1">
        <v>206.75880000000001</v>
      </c>
      <c r="AF116" s="1">
        <v>144.517</v>
      </c>
      <c r="AG116" s="1">
        <v>123.8562</v>
      </c>
      <c r="AH116" s="1">
        <v>248.13579999999999</v>
      </c>
      <c r="AI116" s="1">
        <v>262.48399999999998</v>
      </c>
      <c r="AJ116" s="1">
        <v>125.1674</v>
      </c>
      <c r="AK116" s="1">
        <v>148.19280000000001</v>
      </c>
      <c r="AL116" s="1"/>
      <c r="AM116" s="1">
        <f t="shared" si="31"/>
        <v>13</v>
      </c>
      <c r="AN116" s="1">
        <f t="shared" si="32"/>
        <v>0</v>
      </c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 t="s">
        <v>164</v>
      </c>
      <c r="B117" s="1" t="s">
        <v>45</v>
      </c>
      <c r="C117" s="1">
        <v>333</v>
      </c>
      <c r="D117" s="1"/>
      <c r="E117" s="1">
        <v>23</v>
      </c>
      <c r="F117" s="1">
        <v>306</v>
      </c>
      <c r="G117" s="7">
        <v>0.25</v>
      </c>
      <c r="H117" s="1">
        <v>1096</v>
      </c>
      <c r="I117" s="1" t="s">
        <v>40</v>
      </c>
      <c r="J117" s="1"/>
      <c r="K117" s="1">
        <v>23</v>
      </c>
      <c r="L117" s="1">
        <f t="shared" si="36"/>
        <v>0</v>
      </c>
      <c r="M117" s="1"/>
      <c r="N117" s="1"/>
      <c r="O117" s="1">
        <v>0</v>
      </c>
      <c r="P117" s="1"/>
      <c r="Q117" s="1">
        <v>0</v>
      </c>
      <c r="R117" s="1">
        <v>0</v>
      </c>
      <c r="S117" s="1"/>
      <c r="T117" s="1">
        <f t="shared" si="37"/>
        <v>4.5999999999999996</v>
      </c>
      <c r="U117" s="5"/>
      <c r="V117" s="5">
        <f t="shared" si="28"/>
        <v>0</v>
      </c>
      <c r="W117" s="5">
        <f t="shared" si="29"/>
        <v>0</v>
      </c>
      <c r="X117" s="5"/>
      <c r="Y117" s="5"/>
      <c r="Z117" s="1">
        <f t="shared" si="30"/>
        <v>66.521739130434781</v>
      </c>
      <c r="AA117" s="1">
        <f t="shared" si="40"/>
        <v>66.521739130434781</v>
      </c>
      <c r="AB117" s="1">
        <v>3.6</v>
      </c>
      <c r="AC117" s="1">
        <v>6.2</v>
      </c>
      <c r="AD117" s="1">
        <v>3.8</v>
      </c>
      <c r="AE117" s="1">
        <v>7.2</v>
      </c>
      <c r="AF117" s="1">
        <v>10.6</v>
      </c>
      <c r="AG117" s="1">
        <v>7.2</v>
      </c>
      <c r="AH117" s="1">
        <v>8</v>
      </c>
      <c r="AI117" s="1">
        <v>11</v>
      </c>
      <c r="AJ117" s="1">
        <v>16.600000000000001</v>
      </c>
      <c r="AK117" s="1">
        <v>36.4</v>
      </c>
      <c r="AL117" s="14" t="s">
        <v>110</v>
      </c>
      <c r="AM117" s="1">
        <f t="shared" si="31"/>
        <v>0</v>
      </c>
      <c r="AN117" s="1">
        <f t="shared" si="32"/>
        <v>0</v>
      </c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 t="s">
        <v>165</v>
      </c>
      <c r="B118" s="1" t="s">
        <v>45</v>
      </c>
      <c r="C118" s="1">
        <v>337</v>
      </c>
      <c r="D118" s="1"/>
      <c r="E118" s="1">
        <v>3</v>
      </c>
      <c r="F118" s="15">
        <f>330+F128</f>
        <v>380</v>
      </c>
      <c r="G118" s="7">
        <v>0.32500000000000001</v>
      </c>
      <c r="H118" s="1">
        <v>1096</v>
      </c>
      <c r="I118" s="1" t="s">
        <v>40</v>
      </c>
      <c r="J118" s="1"/>
      <c r="K118" s="1">
        <v>3</v>
      </c>
      <c r="L118" s="1">
        <f t="shared" si="36"/>
        <v>0</v>
      </c>
      <c r="M118" s="1"/>
      <c r="N118" s="1"/>
      <c r="O118" s="1">
        <v>0</v>
      </c>
      <c r="P118" s="1"/>
      <c r="Q118" s="1">
        <v>0</v>
      </c>
      <c r="R118" s="1">
        <v>0</v>
      </c>
      <c r="S118" s="1"/>
      <c r="T118" s="1">
        <f t="shared" si="37"/>
        <v>0.6</v>
      </c>
      <c r="U118" s="5"/>
      <c r="V118" s="5">
        <f t="shared" si="28"/>
        <v>0</v>
      </c>
      <c r="W118" s="5">
        <f t="shared" si="29"/>
        <v>0</v>
      </c>
      <c r="X118" s="5"/>
      <c r="Y118" s="5"/>
      <c r="Z118" s="1">
        <f t="shared" si="30"/>
        <v>633.33333333333337</v>
      </c>
      <c r="AA118" s="1">
        <f t="shared" si="40"/>
        <v>633.33333333333337</v>
      </c>
      <c r="AB118" s="1">
        <v>2.2000000000000002</v>
      </c>
      <c r="AC118" s="1">
        <v>4.8</v>
      </c>
      <c r="AD118" s="1">
        <v>4</v>
      </c>
      <c r="AE118" s="1">
        <v>4.5999999999999996</v>
      </c>
      <c r="AF118" s="1">
        <v>5.4</v>
      </c>
      <c r="AG118" s="1">
        <v>3.6</v>
      </c>
      <c r="AH118" s="1">
        <v>3.6</v>
      </c>
      <c r="AI118" s="1">
        <v>7</v>
      </c>
      <c r="AJ118" s="1">
        <v>11.6</v>
      </c>
      <c r="AK118" s="1">
        <v>21</v>
      </c>
      <c r="AL118" s="14" t="s">
        <v>110</v>
      </c>
      <c r="AM118" s="1">
        <f t="shared" si="31"/>
        <v>0</v>
      </c>
      <c r="AN118" s="1">
        <f t="shared" si="32"/>
        <v>0</v>
      </c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 t="s">
        <v>166</v>
      </c>
      <c r="B119" s="1" t="s">
        <v>45</v>
      </c>
      <c r="C119" s="1">
        <v>437</v>
      </c>
      <c r="D119" s="1"/>
      <c r="E119" s="1">
        <v>15</v>
      </c>
      <c r="F119" s="1">
        <v>418</v>
      </c>
      <c r="G119" s="7">
        <v>0.25</v>
      </c>
      <c r="H119" s="1">
        <v>1096</v>
      </c>
      <c r="I119" s="10" t="s">
        <v>43</v>
      </c>
      <c r="J119" s="1"/>
      <c r="K119" s="1">
        <v>15</v>
      </c>
      <c r="L119" s="1">
        <f t="shared" si="36"/>
        <v>0</v>
      </c>
      <c r="M119" s="1"/>
      <c r="N119" s="1"/>
      <c r="O119" s="1">
        <v>0</v>
      </c>
      <c r="P119" s="1"/>
      <c r="Q119" s="1">
        <v>0</v>
      </c>
      <c r="R119" s="1">
        <v>0</v>
      </c>
      <c r="S119" s="1"/>
      <c r="T119" s="1">
        <f t="shared" si="37"/>
        <v>3</v>
      </c>
      <c r="U119" s="5"/>
      <c r="V119" s="5">
        <f t="shared" si="28"/>
        <v>0</v>
      </c>
      <c r="W119" s="5">
        <f t="shared" si="29"/>
        <v>0</v>
      </c>
      <c r="X119" s="5"/>
      <c r="Y119" s="5"/>
      <c r="Z119" s="1">
        <f t="shared" si="30"/>
        <v>139.33333333333334</v>
      </c>
      <c r="AA119" s="1">
        <f t="shared" si="40"/>
        <v>139.33333333333334</v>
      </c>
      <c r="AB119" s="1">
        <v>5.6</v>
      </c>
      <c r="AC119" s="1">
        <v>10</v>
      </c>
      <c r="AD119" s="1">
        <v>7.8</v>
      </c>
      <c r="AE119" s="1">
        <v>9.4</v>
      </c>
      <c r="AF119" s="1">
        <v>10.4</v>
      </c>
      <c r="AG119" s="1">
        <v>4.8</v>
      </c>
      <c r="AH119" s="1">
        <v>2.4</v>
      </c>
      <c r="AI119" s="1">
        <v>13</v>
      </c>
      <c r="AJ119" s="1">
        <v>19.8</v>
      </c>
      <c r="AK119" s="1">
        <v>38</v>
      </c>
      <c r="AL119" s="14" t="s">
        <v>110</v>
      </c>
      <c r="AM119" s="1">
        <f t="shared" si="31"/>
        <v>0</v>
      </c>
      <c r="AN119" s="1">
        <f t="shared" si="32"/>
        <v>0</v>
      </c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1" t="s">
        <v>167</v>
      </c>
      <c r="B120" s="11" t="s">
        <v>39</v>
      </c>
      <c r="C120" s="11">
        <v>9.9009999999999998</v>
      </c>
      <c r="D120" s="11"/>
      <c r="E120" s="11">
        <v>9.9039999999999999</v>
      </c>
      <c r="F120" s="11">
        <v>-3.0000000000000001E-3</v>
      </c>
      <c r="G120" s="12">
        <v>0</v>
      </c>
      <c r="H120" s="11"/>
      <c r="I120" s="11" t="s">
        <v>168</v>
      </c>
      <c r="J120" s="11"/>
      <c r="K120" s="11">
        <v>6.9</v>
      </c>
      <c r="L120" s="11">
        <f t="shared" si="36"/>
        <v>3.0039999999999996</v>
      </c>
      <c r="M120" s="11"/>
      <c r="N120" s="11"/>
      <c r="O120" s="11"/>
      <c r="P120" s="11"/>
      <c r="Q120" s="11">
        <v>0</v>
      </c>
      <c r="R120" s="11">
        <v>0</v>
      </c>
      <c r="S120" s="11"/>
      <c r="T120" s="11">
        <f t="shared" si="37"/>
        <v>1.9807999999999999</v>
      </c>
      <c r="U120" s="13"/>
      <c r="V120" s="5">
        <f t="shared" si="28"/>
        <v>0</v>
      </c>
      <c r="W120" s="5">
        <f t="shared" si="29"/>
        <v>0</v>
      </c>
      <c r="X120" s="5"/>
      <c r="Y120" s="5"/>
      <c r="Z120" s="1">
        <f t="shared" si="30"/>
        <v>-1.5145395799676898E-3</v>
      </c>
      <c r="AA120" s="11">
        <f t="shared" si="40"/>
        <v>-1.5145395799676898E-3</v>
      </c>
      <c r="AB120" s="11">
        <v>2.3776000000000002</v>
      </c>
      <c r="AC120" s="11">
        <v>0.39679999999999999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/>
      <c r="AM120" s="1">
        <f t="shared" si="31"/>
        <v>0</v>
      </c>
      <c r="AN120" s="1">
        <f t="shared" si="32"/>
        <v>0</v>
      </c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1" t="s">
        <v>169</v>
      </c>
      <c r="B121" s="11" t="s">
        <v>39</v>
      </c>
      <c r="C121" s="11">
        <v>43.996000000000002</v>
      </c>
      <c r="D121" s="11"/>
      <c r="E121" s="11"/>
      <c r="F121" s="11"/>
      <c r="G121" s="12">
        <v>0</v>
      </c>
      <c r="H121" s="11"/>
      <c r="I121" s="11" t="s">
        <v>170</v>
      </c>
      <c r="J121" s="11" t="s">
        <v>88</v>
      </c>
      <c r="K121" s="11"/>
      <c r="L121" s="11">
        <f t="shared" si="36"/>
        <v>0</v>
      </c>
      <c r="M121" s="11"/>
      <c r="N121" s="11"/>
      <c r="O121" s="11"/>
      <c r="P121" s="11"/>
      <c r="Q121" s="11">
        <v>0</v>
      </c>
      <c r="R121" s="11">
        <v>0</v>
      </c>
      <c r="S121" s="11"/>
      <c r="T121" s="11">
        <f t="shared" si="37"/>
        <v>0</v>
      </c>
      <c r="U121" s="13"/>
      <c r="V121" s="5">
        <f t="shared" si="28"/>
        <v>0</v>
      </c>
      <c r="W121" s="5">
        <f t="shared" si="29"/>
        <v>0</v>
      </c>
      <c r="X121" s="5"/>
      <c r="Y121" s="5"/>
      <c r="Z121" s="1" t="e">
        <f t="shared" si="30"/>
        <v>#DIV/0!</v>
      </c>
      <c r="AA121" s="11" t="e">
        <f t="shared" si="40"/>
        <v>#DIV/0!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/>
      <c r="AM121" s="1">
        <f t="shared" si="31"/>
        <v>0</v>
      </c>
      <c r="AN121" s="1">
        <f t="shared" si="32"/>
        <v>0</v>
      </c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 t="s">
        <v>171</v>
      </c>
      <c r="B122" s="1" t="s">
        <v>45</v>
      </c>
      <c r="C122" s="1">
        <v>67</v>
      </c>
      <c r="D122" s="1">
        <v>156</v>
      </c>
      <c r="E122" s="1">
        <v>101</v>
      </c>
      <c r="F122" s="1">
        <v>27</v>
      </c>
      <c r="G122" s="7">
        <v>0.3</v>
      </c>
      <c r="H122" s="1">
        <v>40</v>
      </c>
      <c r="I122" s="10" t="s">
        <v>43</v>
      </c>
      <c r="J122" s="1"/>
      <c r="K122" s="1">
        <v>107</v>
      </c>
      <c r="L122" s="1">
        <f t="shared" si="36"/>
        <v>-6</v>
      </c>
      <c r="M122" s="1"/>
      <c r="N122" s="1"/>
      <c r="O122" s="1">
        <v>0</v>
      </c>
      <c r="P122" s="1"/>
      <c r="Q122" s="1">
        <v>80</v>
      </c>
      <c r="R122" s="1">
        <v>97.004999999999995</v>
      </c>
      <c r="S122" s="1">
        <v>52.994999999999997</v>
      </c>
      <c r="T122" s="1">
        <f t="shared" si="37"/>
        <v>20.2</v>
      </c>
      <c r="U122" s="5"/>
      <c r="V122" s="5">
        <f t="shared" si="28"/>
        <v>0</v>
      </c>
      <c r="W122" s="5">
        <f t="shared" si="29"/>
        <v>0</v>
      </c>
      <c r="X122" s="5"/>
      <c r="Y122" s="5"/>
      <c r="Z122" s="1">
        <f t="shared" si="30"/>
        <v>12.722772277227723</v>
      </c>
      <c r="AA122" s="1">
        <f t="shared" si="40"/>
        <v>12.722772277227723</v>
      </c>
      <c r="AB122" s="1">
        <v>16</v>
      </c>
      <c r="AC122" s="1">
        <v>2.6</v>
      </c>
      <c r="AD122" s="1">
        <v>0</v>
      </c>
      <c r="AE122" s="1">
        <v>-0.6</v>
      </c>
      <c r="AF122" s="1">
        <v>-0.6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/>
      <c r="AM122" s="1">
        <f t="shared" si="31"/>
        <v>0</v>
      </c>
      <c r="AN122" s="1">
        <f t="shared" si="32"/>
        <v>0</v>
      </c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 t="s">
        <v>172</v>
      </c>
      <c r="B123" s="1" t="s">
        <v>45</v>
      </c>
      <c r="C123" s="1">
        <v>66</v>
      </c>
      <c r="D123" s="1">
        <v>156</v>
      </c>
      <c r="E123" s="1">
        <v>83</v>
      </c>
      <c r="F123" s="1">
        <v>58</v>
      </c>
      <c r="G123" s="7">
        <v>0.3</v>
      </c>
      <c r="H123" s="1">
        <v>40</v>
      </c>
      <c r="I123" s="10" t="s">
        <v>43</v>
      </c>
      <c r="J123" s="1"/>
      <c r="K123" s="1">
        <v>83</v>
      </c>
      <c r="L123" s="1">
        <f t="shared" si="36"/>
        <v>0</v>
      </c>
      <c r="M123" s="1"/>
      <c r="N123" s="1"/>
      <c r="O123" s="1">
        <v>0</v>
      </c>
      <c r="P123" s="1"/>
      <c r="Q123" s="1">
        <v>50</v>
      </c>
      <c r="R123" s="1">
        <v>97.004999999999995</v>
      </c>
      <c r="S123" s="1">
        <v>52.994999999999997</v>
      </c>
      <c r="T123" s="1">
        <f t="shared" si="37"/>
        <v>16.600000000000001</v>
      </c>
      <c r="U123" s="5"/>
      <c r="V123" s="5">
        <f t="shared" si="28"/>
        <v>0</v>
      </c>
      <c r="W123" s="5">
        <f t="shared" si="29"/>
        <v>0</v>
      </c>
      <c r="X123" s="5"/>
      <c r="Y123" s="5"/>
      <c r="Z123" s="1">
        <f t="shared" si="30"/>
        <v>15.542168674698793</v>
      </c>
      <c r="AA123" s="1">
        <f t="shared" si="40"/>
        <v>15.542168674698793</v>
      </c>
      <c r="AB123" s="1">
        <v>19.2</v>
      </c>
      <c r="AC123" s="1">
        <v>6</v>
      </c>
      <c r="AD123" s="1">
        <v>0.4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 t="s">
        <v>173</v>
      </c>
      <c r="AM123" s="1">
        <f t="shared" si="31"/>
        <v>0</v>
      </c>
      <c r="AN123" s="1">
        <f t="shared" si="32"/>
        <v>0</v>
      </c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 t="s">
        <v>174</v>
      </c>
      <c r="B124" s="1" t="s">
        <v>39</v>
      </c>
      <c r="C124" s="1">
        <v>9.5210000000000008</v>
      </c>
      <c r="D124" s="1">
        <v>77.225999999999999</v>
      </c>
      <c r="E124" s="1">
        <v>10.939</v>
      </c>
      <c r="F124" s="1">
        <v>74.430999999999997</v>
      </c>
      <c r="G124" s="7">
        <v>1</v>
      </c>
      <c r="H124" s="1">
        <v>50</v>
      </c>
      <c r="I124" s="1" t="s">
        <v>40</v>
      </c>
      <c r="J124" s="1"/>
      <c r="K124" s="1">
        <v>10.050000000000001</v>
      </c>
      <c r="L124" s="1">
        <f t="shared" si="36"/>
        <v>0.88899999999999935</v>
      </c>
      <c r="M124" s="1"/>
      <c r="N124" s="1"/>
      <c r="O124" s="1">
        <v>0</v>
      </c>
      <c r="P124" s="1"/>
      <c r="Q124" s="1">
        <v>0</v>
      </c>
      <c r="R124" s="1">
        <v>0</v>
      </c>
      <c r="S124" s="1"/>
      <c r="T124" s="1">
        <f t="shared" si="37"/>
        <v>2.1878000000000002</v>
      </c>
      <c r="U124" s="5"/>
      <c r="V124" s="5">
        <f t="shared" si="28"/>
        <v>0</v>
      </c>
      <c r="W124" s="5">
        <f t="shared" si="29"/>
        <v>0</v>
      </c>
      <c r="X124" s="5"/>
      <c r="Y124" s="5"/>
      <c r="Z124" s="1">
        <f t="shared" si="30"/>
        <v>34.020934271871283</v>
      </c>
      <c r="AA124" s="1">
        <f t="shared" si="40"/>
        <v>34.020934271871283</v>
      </c>
      <c r="AB124" s="1">
        <v>1.6604000000000001</v>
      </c>
      <c r="AC124" s="1">
        <v>2.5038</v>
      </c>
      <c r="AD124" s="1">
        <v>2.488</v>
      </c>
      <c r="AE124" s="1">
        <v>6.0106000000000002</v>
      </c>
      <c r="AF124" s="1">
        <v>5.7350000000000003</v>
      </c>
      <c r="AG124" s="1">
        <v>3.012</v>
      </c>
      <c r="AH124" s="1">
        <v>2.4746000000000001</v>
      </c>
      <c r="AI124" s="1">
        <v>1.3877999999999999</v>
      </c>
      <c r="AJ124" s="1">
        <v>2.2162000000000002</v>
      </c>
      <c r="AK124" s="1">
        <v>3.0968</v>
      </c>
      <c r="AL124" s="1"/>
      <c r="AM124" s="1">
        <f t="shared" si="31"/>
        <v>0</v>
      </c>
      <c r="AN124" s="1">
        <f t="shared" si="32"/>
        <v>0</v>
      </c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 t="s">
        <v>175</v>
      </c>
      <c r="B125" s="1" t="s">
        <v>45</v>
      </c>
      <c r="C125" s="1">
        <v>78</v>
      </c>
      <c r="D125" s="1">
        <v>204</v>
      </c>
      <c r="E125" s="1">
        <v>95</v>
      </c>
      <c r="F125" s="1">
        <v>87</v>
      </c>
      <c r="G125" s="7">
        <v>0.3</v>
      </c>
      <c r="H125" s="1">
        <v>40</v>
      </c>
      <c r="I125" s="10" t="s">
        <v>43</v>
      </c>
      <c r="J125" s="1"/>
      <c r="K125" s="1">
        <v>124</v>
      </c>
      <c r="L125" s="1">
        <f t="shared" si="36"/>
        <v>-29</v>
      </c>
      <c r="M125" s="1"/>
      <c r="N125" s="1"/>
      <c r="O125" s="1">
        <v>0</v>
      </c>
      <c r="P125" s="1"/>
      <c r="Q125" s="1">
        <v>80</v>
      </c>
      <c r="R125" s="1">
        <v>129.34</v>
      </c>
      <c r="S125" s="1">
        <v>70.66</v>
      </c>
      <c r="T125" s="1">
        <f t="shared" si="37"/>
        <v>19</v>
      </c>
      <c r="U125" s="5"/>
      <c r="V125" s="5">
        <f t="shared" si="28"/>
        <v>0</v>
      </c>
      <c r="W125" s="5">
        <f t="shared" si="29"/>
        <v>0</v>
      </c>
      <c r="X125" s="5"/>
      <c r="Y125" s="5"/>
      <c r="Z125" s="1">
        <f t="shared" si="30"/>
        <v>19.315789473684209</v>
      </c>
      <c r="AA125" s="1">
        <f t="shared" si="40"/>
        <v>19.315789473684209</v>
      </c>
      <c r="AB125" s="1">
        <v>14.4</v>
      </c>
      <c r="AC125" s="1">
        <v>-0.4</v>
      </c>
      <c r="AD125" s="1">
        <v>-0.2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/>
      <c r="AM125" s="1">
        <f t="shared" si="31"/>
        <v>0</v>
      </c>
      <c r="AN125" s="1">
        <f t="shared" si="32"/>
        <v>0</v>
      </c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 t="s">
        <v>176</v>
      </c>
      <c r="B126" s="1" t="s">
        <v>45</v>
      </c>
      <c r="C126" s="1">
        <v>51</v>
      </c>
      <c r="D126" s="1">
        <v>75</v>
      </c>
      <c r="E126" s="1">
        <v>107</v>
      </c>
      <c r="F126" s="1">
        <v>3</v>
      </c>
      <c r="G126" s="7">
        <v>0.12</v>
      </c>
      <c r="H126" s="1">
        <v>45</v>
      </c>
      <c r="I126" s="10" t="s">
        <v>43</v>
      </c>
      <c r="J126" s="1"/>
      <c r="K126" s="1">
        <v>103</v>
      </c>
      <c r="L126" s="1">
        <f t="shared" si="36"/>
        <v>4</v>
      </c>
      <c r="M126" s="1"/>
      <c r="N126" s="1"/>
      <c r="O126" s="1">
        <v>0</v>
      </c>
      <c r="P126" s="1"/>
      <c r="Q126" s="1">
        <v>40</v>
      </c>
      <c r="R126" s="1">
        <v>71.990644000000003</v>
      </c>
      <c r="S126" s="1">
        <v>39.329356000000011</v>
      </c>
      <c r="T126" s="1">
        <f t="shared" si="37"/>
        <v>21.4</v>
      </c>
      <c r="U126" s="5">
        <f>12*T126-S126-R126-Q126-P126-O126-F126</f>
        <v>102.47999999999993</v>
      </c>
      <c r="V126" s="5">
        <f>IF(U126+T126*$V$1&lt;0,0,U126+T126*$V$1)</f>
        <v>82.791999999999931</v>
      </c>
      <c r="W126" s="5">
        <f t="shared" si="29"/>
        <v>82.791999999999931</v>
      </c>
      <c r="X126" s="5"/>
      <c r="Y126" s="5"/>
      <c r="Z126" s="1">
        <f t="shared" si="30"/>
        <v>11.079999999999998</v>
      </c>
      <c r="AA126" s="1">
        <f t="shared" si="40"/>
        <v>7.2112149532710292</v>
      </c>
      <c r="AB126" s="1">
        <v>19.8</v>
      </c>
      <c r="AC126" s="1">
        <v>10.4</v>
      </c>
      <c r="AD126" s="1">
        <v>5.8</v>
      </c>
      <c r="AE126" s="1">
        <v>12.2</v>
      </c>
      <c r="AF126" s="1">
        <v>10.4</v>
      </c>
      <c r="AG126" s="1">
        <v>4.4000000000000004</v>
      </c>
      <c r="AH126" s="1">
        <v>7.4</v>
      </c>
      <c r="AI126" s="1">
        <v>10.199999999999999</v>
      </c>
      <c r="AJ126" s="1">
        <v>5.8</v>
      </c>
      <c r="AK126" s="1">
        <v>-0.2</v>
      </c>
      <c r="AL126" s="1"/>
      <c r="AM126" s="1">
        <f t="shared" si="31"/>
        <v>10</v>
      </c>
      <c r="AN126" s="1">
        <f t="shared" si="32"/>
        <v>0</v>
      </c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1" t="s">
        <v>177</v>
      </c>
      <c r="B127" s="11" t="s">
        <v>45</v>
      </c>
      <c r="C127" s="11">
        <v>2</v>
      </c>
      <c r="D127" s="11">
        <v>50</v>
      </c>
      <c r="E127" s="15">
        <v>17</v>
      </c>
      <c r="F127" s="15">
        <v>26</v>
      </c>
      <c r="G127" s="12">
        <v>0</v>
      </c>
      <c r="H127" s="11"/>
      <c r="I127" s="11" t="s">
        <v>178</v>
      </c>
      <c r="J127" s="11" t="s">
        <v>94</v>
      </c>
      <c r="K127" s="11">
        <v>42</v>
      </c>
      <c r="L127" s="11">
        <f t="shared" si="36"/>
        <v>-25</v>
      </c>
      <c r="M127" s="11"/>
      <c r="N127" s="11"/>
      <c r="O127" s="11">
        <v>0</v>
      </c>
      <c r="P127" s="11"/>
      <c r="Q127" s="11">
        <v>0</v>
      </c>
      <c r="R127" s="11">
        <v>0</v>
      </c>
      <c r="S127" s="11"/>
      <c r="T127" s="11">
        <f t="shared" si="37"/>
        <v>3.4</v>
      </c>
      <c r="U127" s="13"/>
      <c r="V127" s="5">
        <f t="shared" si="28"/>
        <v>0</v>
      </c>
      <c r="W127" s="5">
        <f t="shared" si="29"/>
        <v>0</v>
      </c>
      <c r="X127" s="5"/>
      <c r="Y127" s="5"/>
      <c r="Z127" s="1">
        <f t="shared" si="30"/>
        <v>7.6470588235294121</v>
      </c>
      <c r="AA127" s="11">
        <f t="shared" si="40"/>
        <v>7.6470588235294121</v>
      </c>
      <c r="AB127" s="11">
        <v>17.399999999999999</v>
      </c>
      <c r="AC127" s="11">
        <v>23</v>
      </c>
      <c r="AD127" s="11">
        <v>15.6</v>
      </c>
      <c r="AE127" s="11">
        <v>14.8</v>
      </c>
      <c r="AF127" s="11">
        <v>12.2</v>
      </c>
      <c r="AG127" s="11">
        <v>12.2</v>
      </c>
      <c r="AH127" s="11">
        <v>15.8</v>
      </c>
      <c r="AI127" s="11">
        <v>28.6</v>
      </c>
      <c r="AJ127" s="11">
        <v>32</v>
      </c>
      <c r="AK127" s="11">
        <v>33</v>
      </c>
      <c r="AL127" s="11"/>
      <c r="AM127" s="1">
        <f t="shared" si="31"/>
        <v>0</v>
      </c>
      <c r="AN127" s="1">
        <f t="shared" si="32"/>
        <v>0</v>
      </c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1" t="s">
        <v>179</v>
      </c>
      <c r="B128" s="11" t="s">
        <v>45</v>
      </c>
      <c r="C128" s="11">
        <v>50</v>
      </c>
      <c r="D128" s="11"/>
      <c r="E128" s="11"/>
      <c r="F128" s="15">
        <v>50</v>
      </c>
      <c r="G128" s="12">
        <v>0</v>
      </c>
      <c r="H128" s="11"/>
      <c r="I128" s="11" t="s">
        <v>178</v>
      </c>
      <c r="J128" s="11" t="s">
        <v>165</v>
      </c>
      <c r="K128" s="11"/>
      <c r="L128" s="11">
        <f t="shared" si="36"/>
        <v>0</v>
      </c>
      <c r="M128" s="11"/>
      <c r="N128" s="11"/>
      <c r="O128" s="11">
        <v>0</v>
      </c>
      <c r="P128" s="11"/>
      <c r="Q128" s="11">
        <v>0</v>
      </c>
      <c r="R128" s="11">
        <v>0</v>
      </c>
      <c r="S128" s="11"/>
      <c r="T128" s="11">
        <f t="shared" si="37"/>
        <v>0</v>
      </c>
      <c r="U128" s="13"/>
      <c r="V128" s="5">
        <f t="shared" si="28"/>
        <v>0</v>
      </c>
      <c r="W128" s="5">
        <f t="shared" si="29"/>
        <v>0</v>
      </c>
      <c r="X128" s="5"/>
      <c r="Y128" s="5"/>
      <c r="Z128" s="1" t="e">
        <f t="shared" si="30"/>
        <v>#DIV/0!</v>
      </c>
      <c r="AA128" s="11" t="e">
        <f t="shared" si="40"/>
        <v>#DIV/0!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/>
      <c r="AM128" s="1">
        <f t="shared" si="31"/>
        <v>0</v>
      </c>
      <c r="AN128" s="1">
        <f t="shared" si="32"/>
        <v>0</v>
      </c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6" t="s">
        <v>180</v>
      </c>
      <c r="B129" s="1" t="s">
        <v>39</v>
      </c>
      <c r="C129" s="1"/>
      <c r="D129" s="1"/>
      <c r="E129" s="1"/>
      <c r="F129" s="1"/>
      <c r="G129" s="7">
        <v>1</v>
      </c>
      <c r="H129" s="1"/>
      <c r="I129" s="1" t="s">
        <v>40</v>
      </c>
      <c r="J129" s="1"/>
      <c r="K129" s="1"/>
      <c r="L129" s="1">
        <f t="shared" si="36"/>
        <v>0</v>
      </c>
      <c r="M129" s="1"/>
      <c r="N129" s="1"/>
      <c r="O129" s="1">
        <v>0</v>
      </c>
      <c r="P129" s="1"/>
      <c r="Q129" s="1">
        <v>0</v>
      </c>
      <c r="R129" s="1">
        <v>0</v>
      </c>
      <c r="S129" s="1"/>
      <c r="T129" s="1">
        <f t="shared" si="37"/>
        <v>0</v>
      </c>
      <c r="U129" s="5"/>
      <c r="V129" s="5">
        <f t="shared" si="28"/>
        <v>0</v>
      </c>
      <c r="W129" s="5">
        <f t="shared" si="29"/>
        <v>0</v>
      </c>
      <c r="X129" s="5"/>
      <c r="Y129" s="5"/>
      <c r="Z129" s="1" t="e">
        <f t="shared" si="30"/>
        <v>#DIV/0!</v>
      </c>
      <c r="AA129" s="1" t="e">
        <f t="shared" si="40"/>
        <v>#DIV/0!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 t="s">
        <v>181</v>
      </c>
      <c r="AM129" s="1">
        <f t="shared" si="31"/>
        <v>0</v>
      </c>
      <c r="AN129" s="1">
        <f t="shared" si="32"/>
        <v>0</v>
      </c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1" t="s">
        <v>182</v>
      </c>
      <c r="B130" s="11" t="s">
        <v>39</v>
      </c>
      <c r="C130" s="11"/>
      <c r="D130" s="11"/>
      <c r="E130" s="11"/>
      <c r="F130" s="11"/>
      <c r="G130" s="12">
        <v>0</v>
      </c>
      <c r="H130" s="11"/>
      <c r="I130" s="11" t="s">
        <v>40</v>
      </c>
      <c r="J130" s="11"/>
      <c r="K130" s="11"/>
      <c r="L130" s="11">
        <f t="shared" si="36"/>
        <v>0</v>
      </c>
      <c r="M130" s="11"/>
      <c r="N130" s="11"/>
      <c r="O130" s="11">
        <v>0</v>
      </c>
      <c r="P130" s="11"/>
      <c r="Q130" s="11">
        <v>0</v>
      </c>
      <c r="R130" s="11">
        <v>0</v>
      </c>
      <c r="S130" s="11"/>
      <c r="T130" s="11">
        <f t="shared" si="37"/>
        <v>0</v>
      </c>
      <c r="U130" s="13"/>
      <c r="V130" s="5">
        <f t="shared" si="28"/>
        <v>0</v>
      </c>
      <c r="W130" s="5">
        <f t="shared" si="29"/>
        <v>0</v>
      </c>
      <c r="X130" s="5"/>
      <c r="Y130" s="5"/>
      <c r="Z130" s="1" t="e">
        <f t="shared" si="30"/>
        <v>#DIV/0!</v>
      </c>
      <c r="AA130" s="11" t="e">
        <f t="shared" si="40"/>
        <v>#DIV/0!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 t="s">
        <v>50</v>
      </c>
      <c r="AM130" s="1">
        <f t="shared" si="31"/>
        <v>0</v>
      </c>
      <c r="AN130" s="1">
        <f t="shared" si="32"/>
        <v>0</v>
      </c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1" t="s">
        <v>183</v>
      </c>
      <c r="B131" s="11" t="s">
        <v>39</v>
      </c>
      <c r="C131" s="11"/>
      <c r="D131" s="11"/>
      <c r="E131" s="11"/>
      <c r="F131" s="11"/>
      <c r="G131" s="12">
        <v>0</v>
      </c>
      <c r="H131" s="11"/>
      <c r="I131" s="11" t="s">
        <v>40</v>
      </c>
      <c r="J131" s="11"/>
      <c r="K131" s="11"/>
      <c r="L131" s="11">
        <f t="shared" si="36"/>
        <v>0</v>
      </c>
      <c r="M131" s="11"/>
      <c r="N131" s="11"/>
      <c r="O131" s="11">
        <v>0</v>
      </c>
      <c r="P131" s="11"/>
      <c r="Q131" s="11">
        <v>0</v>
      </c>
      <c r="R131" s="11">
        <v>0</v>
      </c>
      <c r="S131" s="11"/>
      <c r="T131" s="11">
        <f t="shared" si="37"/>
        <v>0</v>
      </c>
      <c r="U131" s="13"/>
      <c r="V131" s="5">
        <f t="shared" si="28"/>
        <v>0</v>
      </c>
      <c r="W131" s="5">
        <f t="shared" si="29"/>
        <v>0</v>
      </c>
      <c r="X131" s="5"/>
      <c r="Y131" s="5"/>
      <c r="Z131" s="1" t="e">
        <f t="shared" si="30"/>
        <v>#DIV/0!</v>
      </c>
      <c r="AA131" s="11" t="e">
        <f t="shared" si="40"/>
        <v>#DIV/0!</v>
      </c>
      <c r="AB131" s="11">
        <v>0</v>
      </c>
      <c r="AC131" s="11">
        <v>0</v>
      </c>
      <c r="AD131" s="11">
        <v>0</v>
      </c>
      <c r="AE131" s="11">
        <v>0</v>
      </c>
      <c r="AF131" s="11">
        <v>0</v>
      </c>
      <c r="AG131" s="11">
        <v>0</v>
      </c>
      <c r="AH131" s="11">
        <v>0</v>
      </c>
      <c r="AI131" s="11">
        <v>0</v>
      </c>
      <c r="AJ131" s="11">
        <v>0</v>
      </c>
      <c r="AK131" s="11">
        <v>0</v>
      </c>
      <c r="AL131" s="11" t="s">
        <v>50</v>
      </c>
      <c r="AM131" s="1">
        <f t="shared" si="31"/>
        <v>0</v>
      </c>
      <c r="AN131" s="1">
        <f t="shared" si="32"/>
        <v>0</v>
      </c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</sheetData>
  <autoFilter ref="A3:AM131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2026-10-22T17:10:42Z</dcterms:created>
  <dcterms:modified xsi:type="dcterms:W3CDTF">2026-10-26T11:07:05Z</dcterms:modified>
</cp:coreProperties>
</file>