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06536D5-6A6E-48F8-8E3C-1AB4DD1039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S21" i="1" l="1"/>
  <c r="R21" i="1"/>
  <c r="Q21" i="1"/>
  <c r="P21" i="1"/>
  <c r="O21" i="1"/>
  <c r="N21" i="1"/>
  <c r="C21" i="1" l="1"/>
  <c r="D21" i="1"/>
  <c r="E21" i="1" l="1"/>
  <c r="V21" i="1" l="1"/>
  <c r="U21" i="1"/>
  <c r="T21" i="1"/>
  <c r="F21" i="1" l="1"/>
  <c r="G21" i="1"/>
  <c r="H21" i="1"/>
  <c r="I21" i="1"/>
  <c r="J21" i="1"/>
  <c r="K21" i="1"/>
  <c r="L21" i="1"/>
  <c r="M21" i="1"/>
  <c r="B21" i="1" l="1"/>
  <c r="W21" i="1" l="1"/>
</calcChain>
</file>

<file path=xl/sharedStrings.xml><?xml version="1.0" encoding="utf-8"?>
<sst xmlns="http://schemas.openxmlformats.org/spreadsheetml/2006/main" count="53" uniqueCount="35">
  <si>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</si>
  <si>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</si>
  <si>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</si>
  <si>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</si>
  <si>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</si>
  <si>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</si>
  <si>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</si>
  <si>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</si>
  <si>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</si>
  <si>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</si>
  <si>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</si>
  <si>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</si>
  <si>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</si>
  <si>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Малахутин</t>
  </si>
  <si>
    <t>НПК ЛП</t>
  </si>
  <si>
    <t>Горняк Горловка</t>
  </si>
  <si>
    <t>ВЕС НЕТТО</t>
  </si>
  <si>
    <t>ВЕС БРУТТО</t>
  </si>
  <si>
    <t>ПАЛЛЕТЫ</t>
  </si>
  <si>
    <t>Коныгин</t>
  </si>
  <si>
    <t>Обрыньба</t>
  </si>
  <si>
    <t>Логистон (ПРС)</t>
  </si>
  <si>
    <t>Мариуполь</t>
  </si>
  <si>
    <t>Поляков КСК</t>
  </si>
  <si>
    <t>Убийконь НВ</t>
  </si>
  <si>
    <t>погрузка 27,10</t>
  </si>
  <si>
    <t>Горняк Луганск НВ</t>
  </si>
  <si>
    <t>ЮгОпт (Геническ) КСК</t>
  </si>
  <si>
    <t>1 машина на 26,10</t>
  </si>
  <si>
    <t>2 машина на 26,10</t>
  </si>
  <si>
    <t>3 машина на 26,10</t>
  </si>
  <si>
    <t>1 машина на 27,10</t>
  </si>
  <si>
    <t>2 машина на 27,10</t>
  </si>
  <si>
    <t>3 машина на 27,10</t>
  </si>
  <si>
    <t>СЫРЫ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</si>
</sst>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4" borderId="29" xfId="0" applyFill="1" applyBorder="1"/>
    <xf numFmtId="0" fontId="0" fillId="3" borderId="29" xfId="0" applyFill="1" applyBorder="1"/>
    <xf numFmtId="0" fontId="0" fillId="0" borderId="29" xfId="0" applyBorder="1"/>
    <xf numFmtId="0" fontId="0" fillId="0" borderId="30" xfId="0" applyBorder="1"/>
    <xf numFmtId="0" fontId="0" fillId="4" borderId="30" xfId="0" applyFill="1" applyBorder="1"/>
    <xf numFmtId="0" fontId="0" fillId="3" borderId="30" xfId="0" applyFill="1" applyBorder="1"/>
    <xf numFmtId="0" fontId="1" fillId="0" borderId="31" xfId="0" applyFont="1" applyBorder="1"/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0" fillId="0" borderId="32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zoomScale="115" zoomScaleNormal="115" workbookViewId="0">
      <selection activeCell="Y20" sqref="Y20"/>
    </sheetView>
  </sheetViews>
  <sheetFormatPr defaultRowHeight="15" x14ac:dyDescent="0.25"/>
  <cols>
    <col min="1" max="1" width="23.7109375" bestFit="1" customWidth="1"/>
    <col min="2" max="2" width="9.285156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  <col min="24" max="24" width="15.28515625" customWidth="1"/>
  </cols>
  <sheetData>
    <row r="1" spans="1:24" ht="15" customHeight="1" x14ac:dyDescent="0.25">
      <c r="A1" s="42" t="s">
        <v>4</v>
      </c>
      <c r="B1" s="42" t="s">
        <v>16</v>
      </c>
      <c r="C1" s="47" t="s">
        <v>17</v>
      </c>
      <c r="D1" s="46" t="s">
        <v>18</v>
      </c>
      <c r="E1" s="44" t="s">
        <v>28</v>
      </c>
      <c r="F1" s="45"/>
      <c r="G1" s="46"/>
      <c r="H1" s="44" t="s">
        <v>29</v>
      </c>
      <c r="I1" s="45"/>
      <c r="J1" s="46"/>
      <c r="K1" s="44" t="s">
        <v>30</v>
      </c>
      <c r="L1" s="45"/>
      <c r="M1" s="46"/>
      <c r="N1" s="44" t="s">
        <v>31</v>
      </c>
      <c r="O1" s="45"/>
      <c r="P1" s="46"/>
      <c r="Q1" s="44" t="s">
        <v>32</v>
      </c>
      <c r="R1" s="45"/>
      <c r="S1" s="46"/>
      <c r="T1" s="44" t="s">
        <v>33</v>
      </c>
      <c r="U1" s="45"/>
      <c r="V1" s="46"/>
      <c r="W1" s="40" t="s">
        <v>5</v>
      </c>
    </row>
    <row r="2" spans="1:24" ht="30.75" thickBot="1" x14ac:dyDescent="0.3">
      <c r="A2" s="43"/>
      <c r="B2" s="43"/>
      <c r="C2" s="48"/>
      <c r="D2" s="49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17" t="s">
        <v>9</v>
      </c>
      <c r="R2" s="18" t="s">
        <v>10</v>
      </c>
      <c r="S2" s="19" t="s">
        <v>11</v>
      </c>
      <c r="T2" s="17" t="s">
        <v>9</v>
      </c>
      <c r="U2" s="18" t="s">
        <v>10</v>
      </c>
      <c r="V2" s="19" t="s">
        <v>11</v>
      </c>
      <c r="W2" s="41"/>
    </row>
    <row r="3" spans="1:24" x14ac:dyDescent="0.25">
      <c r="A3" s="36" t="s">
        <v>0</v>
      </c>
      <c r="B3" s="20">
        <v>2868</v>
      </c>
      <c r="C3" s="21"/>
      <c r="D3" s="22"/>
      <c r="E3" s="20"/>
      <c r="F3" s="21"/>
      <c r="G3" s="22"/>
      <c r="H3" s="6"/>
      <c r="I3" s="3"/>
      <c r="J3" s="7"/>
      <c r="K3" s="20">
        <v>2868</v>
      </c>
      <c r="L3" s="3">
        <v>3327</v>
      </c>
      <c r="M3" s="7">
        <v>6</v>
      </c>
      <c r="N3" s="6"/>
      <c r="O3" s="3"/>
      <c r="P3" s="7"/>
      <c r="Q3" s="6"/>
      <c r="R3" s="3"/>
      <c r="S3" s="7"/>
      <c r="T3" s="6"/>
      <c r="U3" s="3"/>
      <c r="V3" s="7"/>
      <c r="W3" s="8">
        <f>B3-E3-H3-K3-N3-Q3-T3</f>
        <v>0</v>
      </c>
    </row>
    <row r="4" spans="1:24" x14ac:dyDescent="0.25">
      <c r="A4" s="29" t="s">
        <v>1</v>
      </c>
      <c r="B4" s="23">
        <v>27710</v>
      </c>
      <c r="C4" s="24"/>
      <c r="D4" s="25"/>
      <c r="E4" s="23">
        <v>16491</v>
      </c>
      <c r="F4" s="24">
        <v>18542</v>
      </c>
      <c r="G4" s="25">
        <v>30</v>
      </c>
      <c r="H4" s="4"/>
      <c r="I4" s="2"/>
      <c r="J4" s="5"/>
      <c r="K4" s="23"/>
      <c r="L4" s="2"/>
      <c r="M4" s="5"/>
      <c r="N4" s="4">
        <v>11219</v>
      </c>
      <c r="O4" s="2">
        <v>12590</v>
      </c>
      <c r="P4" s="5">
        <v>20</v>
      </c>
      <c r="Q4" s="4"/>
      <c r="R4" s="2"/>
      <c r="S4" s="5"/>
      <c r="T4" s="4"/>
      <c r="U4" s="2"/>
      <c r="V4" s="5"/>
      <c r="W4" s="8">
        <f t="shared" ref="W4:W20" si="0">B4-E4-H4-K4-N4-Q4-T4</f>
        <v>0</v>
      </c>
    </row>
    <row r="5" spans="1:24" x14ac:dyDescent="0.25">
      <c r="A5" s="30" t="s">
        <v>2</v>
      </c>
      <c r="B5" s="23">
        <v>34033</v>
      </c>
      <c r="C5" s="24"/>
      <c r="D5" s="25"/>
      <c r="E5" s="23"/>
      <c r="F5" s="24"/>
      <c r="G5" s="25"/>
      <c r="H5" s="4">
        <v>17157</v>
      </c>
      <c r="I5" s="2">
        <v>19090</v>
      </c>
      <c r="J5" s="5">
        <v>30</v>
      </c>
      <c r="K5" s="23"/>
      <c r="L5" s="2"/>
      <c r="M5" s="5"/>
      <c r="N5" s="4"/>
      <c r="O5" s="2"/>
      <c r="P5" s="5"/>
      <c r="Q5" s="4">
        <v>12546</v>
      </c>
      <c r="R5" s="2">
        <v>13897</v>
      </c>
      <c r="S5" s="5">
        <v>22</v>
      </c>
      <c r="T5" s="4"/>
      <c r="U5" s="2"/>
      <c r="V5" s="5"/>
      <c r="W5" s="8">
        <f t="shared" si="0"/>
        <v>4330</v>
      </c>
    </row>
    <row r="6" spans="1:24" x14ac:dyDescent="0.25">
      <c r="A6" s="37" t="s">
        <v>3</v>
      </c>
      <c r="B6" s="23">
        <v>6812</v>
      </c>
      <c r="C6" s="24"/>
      <c r="D6" s="25"/>
      <c r="E6" s="23"/>
      <c r="F6" s="24"/>
      <c r="G6" s="25"/>
      <c r="H6" s="4"/>
      <c r="I6" s="2"/>
      <c r="J6" s="5"/>
      <c r="K6" s="23">
        <v>5812</v>
      </c>
      <c r="L6" s="2">
        <v>6518</v>
      </c>
      <c r="M6" s="5">
        <v>11</v>
      </c>
      <c r="N6" s="4"/>
      <c r="O6" s="2"/>
      <c r="P6" s="5"/>
      <c r="Q6" s="4"/>
      <c r="R6" s="2"/>
      <c r="S6" s="5"/>
      <c r="T6" s="4">
        <v>1000</v>
      </c>
      <c r="U6" s="2">
        <v>1102</v>
      </c>
      <c r="V6" s="5">
        <v>2</v>
      </c>
      <c r="W6" s="8">
        <f t="shared" si="0"/>
        <v>0</v>
      </c>
    </row>
    <row r="7" spans="1:24" x14ac:dyDescent="0.25">
      <c r="A7" s="37" t="s">
        <v>22</v>
      </c>
      <c r="B7" s="23">
        <v>1892</v>
      </c>
      <c r="C7" s="24"/>
      <c r="D7" s="25"/>
      <c r="E7" s="23"/>
      <c r="F7" s="24"/>
      <c r="G7" s="25"/>
      <c r="H7" s="4"/>
      <c r="I7" s="2"/>
      <c r="J7" s="5"/>
      <c r="K7" s="23">
        <v>1892</v>
      </c>
      <c r="L7" s="2">
        <v>2213</v>
      </c>
      <c r="M7" s="5">
        <v>4</v>
      </c>
      <c r="N7" s="4"/>
      <c r="O7" s="2"/>
      <c r="P7" s="5"/>
      <c r="Q7" s="4"/>
      <c r="R7" s="2"/>
      <c r="S7" s="5"/>
      <c r="T7" s="4"/>
      <c r="U7" s="2"/>
      <c r="V7" s="5"/>
      <c r="W7" s="8">
        <f t="shared" si="0"/>
        <v>0</v>
      </c>
    </row>
    <row r="8" spans="1:24" x14ac:dyDescent="0.25">
      <c r="A8" s="31" t="s">
        <v>7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8">
        <f t="shared" si="0"/>
        <v>0</v>
      </c>
    </row>
    <row r="9" spans="1:24" x14ac:dyDescent="0.25">
      <c r="A9" s="31" t="s">
        <v>12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4"/>
      <c r="U9" s="2"/>
      <c r="V9" s="5"/>
      <c r="W9" s="8">
        <f t="shared" si="0"/>
        <v>0</v>
      </c>
    </row>
    <row r="10" spans="1:24" x14ac:dyDescent="0.25">
      <c r="A10" s="31" t="s">
        <v>23</v>
      </c>
      <c r="B10" s="23">
        <v>12486</v>
      </c>
      <c r="C10" s="24">
        <v>13449</v>
      </c>
      <c r="D10" s="25">
        <v>19</v>
      </c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4"/>
      <c r="R10" s="2"/>
      <c r="S10" s="5"/>
      <c r="T10" s="23">
        <v>12486</v>
      </c>
      <c r="U10" s="24">
        <v>13449</v>
      </c>
      <c r="V10" s="25">
        <v>19</v>
      </c>
      <c r="W10" s="8">
        <f t="shared" si="0"/>
        <v>0</v>
      </c>
      <c r="X10" t="s">
        <v>25</v>
      </c>
    </row>
    <row r="11" spans="1:24" x14ac:dyDescent="0.25">
      <c r="A11" s="32" t="s">
        <v>24</v>
      </c>
      <c r="B11" s="26">
        <v>4495</v>
      </c>
      <c r="C11" s="27">
        <v>4890</v>
      </c>
      <c r="D11" s="28">
        <v>8</v>
      </c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26">
        <v>4495</v>
      </c>
      <c r="U11" s="27">
        <v>4890</v>
      </c>
      <c r="V11" s="28">
        <v>8</v>
      </c>
      <c r="W11" s="8">
        <f t="shared" si="0"/>
        <v>0</v>
      </c>
      <c r="X11" t="s">
        <v>25</v>
      </c>
    </row>
    <row r="12" spans="1:24" x14ac:dyDescent="0.25">
      <c r="A12" s="38" t="s">
        <v>27</v>
      </c>
      <c r="B12" s="26">
        <v>7079</v>
      </c>
      <c r="C12" s="27">
        <v>7705</v>
      </c>
      <c r="D12" s="28">
        <v>12</v>
      </c>
      <c r="E12" s="26"/>
      <c r="F12" s="27"/>
      <c r="G12" s="28"/>
      <c r="H12" s="9"/>
      <c r="I12" s="10"/>
      <c r="J12" s="11"/>
      <c r="K12" s="26">
        <v>7079</v>
      </c>
      <c r="L12" s="27">
        <v>7705</v>
      </c>
      <c r="M12" s="28">
        <v>12</v>
      </c>
      <c r="N12" s="9"/>
      <c r="O12" s="10"/>
      <c r="P12" s="11"/>
      <c r="Q12" s="9"/>
      <c r="R12" s="10"/>
      <c r="S12" s="11"/>
      <c r="T12" s="9"/>
      <c r="U12" s="10"/>
      <c r="V12" s="11"/>
      <c r="W12" s="8">
        <f t="shared" si="0"/>
        <v>0</v>
      </c>
    </row>
    <row r="13" spans="1:24" x14ac:dyDescent="0.25">
      <c r="A13" s="32" t="s">
        <v>21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9"/>
      <c r="U13" s="10"/>
      <c r="V13" s="11"/>
      <c r="W13" s="8">
        <f t="shared" si="0"/>
        <v>0</v>
      </c>
    </row>
    <row r="14" spans="1:24" x14ac:dyDescent="0.25">
      <c r="A14" s="33" t="s">
        <v>14</v>
      </c>
      <c r="B14" s="26">
        <v>6391</v>
      </c>
      <c r="C14" s="27">
        <v>7260</v>
      </c>
      <c r="D14" s="28">
        <v>12</v>
      </c>
      <c r="E14" s="26"/>
      <c r="F14" s="27"/>
      <c r="G14" s="28"/>
      <c r="H14" s="9"/>
      <c r="I14" s="10"/>
      <c r="J14" s="11"/>
      <c r="K14" s="9"/>
      <c r="L14" s="10"/>
      <c r="M14" s="11"/>
      <c r="N14" s="26">
        <v>6391</v>
      </c>
      <c r="O14" s="27">
        <v>7260</v>
      </c>
      <c r="P14" s="28">
        <v>12</v>
      </c>
      <c r="Q14" s="9"/>
      <c r="R14" s="10"/>
      <c r="S14" s="11"/>
      <c r="T14" s="9"/>
      <c r="U14" s="10"/>
      <c r="V14" s="11"/>
      <c r="W14" s="8">
        <f t="shared" si="0"/>
        <v>0</v>
      </c>
    </row>
    <row r="15" spans="1:24" x14ac:dyDescent="0.25">
      <c r="A15" s="32" t="s">
        <v>15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9"/>
      <c r="U15" s="10"/>
      <c r="V15" s="11"/>
      <c r="W15" s="8">
        <f t="shared" si="0"/>
        <v>0</v>
      </c>
    </row>
    <row r="16" spans="1:24" x14ac:dyDescent="0.25">
      <c r="A16" s="34" t="s">
        <v>26</v>
      </c>
      <c r="B16" s="23">
        <v>5063</v>
      </c>
      <c r="C16" s="24">
        <v>5518</v>
      </c>
      <c r="D16" s="25">
        <v>9</v>
      </c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23">
        <v>5063</v>
      </c>
      <c r="R16" s="24">
        <v>5518</v>
      </c>
      <c r="S16" s="25">
        <v>9</v>
      </c>
      <c r="T16" s="9"/>
      <c r="U16" s="10"/>
      <c r="V16" s="11"/>
      <c r="W16" s="8">
        <f t="shared" si="0"/>
        <v>0</v>
      </c>
    </row>
    <row r="17" spans="1:23" x14ac:dyDescent="0.25">
      <c r="A17" s="32" t="s">
        <v>8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8">
        <f t="shared" si="0"/>
        <v>0</v>
      </c>
    </row>
    <row r="18" spans="1:23" x14ac:dyDescent="0.25">
      <c r="A18" s="32" t="s">
        <v>13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8">
        <f t="shared" si="0"/>
        <v>0</v>
      </c>
    </row>
    <row r="19" spans="1:23" x14ac:dyDescent="0.25">
      <c r="A19" s="32" t="s">
        <v>20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8">
        <f t="shared" si="0"/>
        <v>0</v>
      </c>
    </row>
    <row r="20" spans="1:23" ht="15.75" thickBot="1" x14ac:dyDescent="0.3">
      <c r="A20" s="32" t="s">
        <v>19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9"/>
      <c r="R20" s="10"/>
      <c r="S20" s="11"/>
      <c r="T20" s="9"/>
      <c r="U20" s="10"/>
      <c r="V20" s="11"/>
      <c r="W20" s="8">
        <f t="shared" si="0"/>
        <v>0</v>
      </c>
    </row>
    <row r="21" spans="1:23" s="1" customFormat="1" ht="15.75" thickBot="1" x14ac:dyDescent="0.3">
      <c r="A21" s="35" t="s">
        <v>6</v>
      </c>
      <c r="B21" s="35">
        <f t="shared" ref="B21:S21" si="1">SUM(B3:B20)</f>
        <v>108829</v>
      </c>
      <c r="C21" s="13">
        <f t="shared" si="1"/>
        <v>38822</v>
      </c>
      <c r="D21" s="15">
        <f t="shared" si="1"/>
        <v>60</v>
      </c>
      <c r="E21" s="12">
        <f t="shared" si="1"/>
        <v>16491</v>
      </c>
      <c r="F21" s="14">
        <f t="shared" si="1"/>
        <v>18542</v>
      </c>
      <c r="G21" s="15">
        <f t="shared" si="1"/>
        <v>30</v>
      </c>
      <c r="H21" s="12">
        <f t="shared" si="1"/>
        <v>17157</v>
      </c>
      <c r="I21" s="14">
        <f t="shared" si="1"/>
        <v>19090</v>
      </c>
      <c r="J21" s="15">
        <f t="shared" si="1"/>
        <v>30</v>
      </c>
      <c r="K21" s="12">
        <f t="shared" si="1"/>
        <v>17651</v>
      </c>
      <c r="L21" s="14">
        <f t="shared" si="1"/>
        <v>19763</v>
      </c>
      <c r="M21" s="15">
        <f t="shared" si="1"/>
        <v>33</v>
      </c>
      <c r="N21" s="12">
        <f t="shared" si="1"/>
        <v>17610</v>
      </c>
      <c r="O21" s="14">
        <f t="shared" si="1"/>
        <v>19850</v>
      </c>
      <c r="P21" s="15">
        <f t="shared" si="1"/>
        <v>32</v>
      </c>
      <c r="Q21" s="12">
        <f t="shared" si="1"/>
        <v>17609</v>
      </c>
      <c r="R21" s="14">
        <f t="shared" si="1"/>
        <v>19415</v>
      </c>
      <c r="S21" s="15">
        <f t="shared" si="1"/>
        <v>31</v>
      </c>
      <c r="T21" s="12">
        <f t="shared" ref="T21:V21" si="2">SUM(T3:T20)</f>
        <v>17981</v>
      </c>
      <c r="U21" s="14">
        <f t="shared" si="2"/>
        <v>19441</v>
      </c>
      <c r="V21" s="15">
        <f t="shared" si="2"/>
        <v>29</v>
      </c>
      <c r="W21" s="16">
        <f>SUM(W3:W20)</f>
        <v>4330</v>
      </c>
    </row>
    <row r="22" spans="1:23" x14ac:dyDescent="0.25">
      <c r="A22" s="39" t="s">
        <v>34</v>
      </c>
    </row>
    <row r="23" spans="1:23" x14ac:dyDescent="0.25">
      <c r="A23" t="s">
        <v>1</v>
      </c>
      <c r="B23">
        <v>1137</v>
      </c>
      <c r="D23">
        <v>2</v>
      </c>
      <c r="E23">
        <v>1137</v>
      </c>
      <c r="G23">
        <v>2</v>
      </c>
    </row>
    <row r="24" spans="1:23" x14ac:dyDescent="0.25">
      <c r="A24" t="s">
        <v>2</v>
      </c>
      <c r="B24">
        <v>503</v>
      </c>
      <c r="D24">
        <v>1</v>
      </c>
      <c r="H24">
        <v>503</v>
      </c>
      <c r="J24">
        <v>1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2026-10-23T11:38:39Z</dcterms:modified>
</cp:coreProperties>
</file>