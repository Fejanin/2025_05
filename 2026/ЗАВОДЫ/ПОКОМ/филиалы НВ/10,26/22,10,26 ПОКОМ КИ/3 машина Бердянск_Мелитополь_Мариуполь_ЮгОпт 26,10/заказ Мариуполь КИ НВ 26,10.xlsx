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082463C-4CB4-471C-B289-54FFC121C7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P556" i="1"/>
  <c r="BO556" i="1"/>
  <c r="BN556" i="1"/>
  <c r="BM556" i="1"/>
  <c r="Z556" i="1"/>
  <c r="Y556" i="1"/>
  <c r="P556" i="1"/>
  <c r="X554" i="1"/>
  <c r="Y553" i="1"/>
  <c r="X553" i="1"/>
  <c r="BP552" i="1"/>
  <c r="BO552" i="1"/>
  <c r="BN552" i="1"/>
  <c r="BM552" i="1"/>
  <c r="Z552" i="1"/>
  <c r="Z553" i="1" s="1"/>
  <c r="Y552" i="1"/>
  <c r="Y554" i="1" s="1"/>
  <c r="P552" i="1"/>
  <c r="X550" i="1"/>
  <c r="Y549" i="1"/>
  <c r="X549" i="1"/>
  <c r="BP548" i="1"/>
  <c r="BO548" i="1"/>
  <c r="BN548" i="1"/>
  <c r="BM548" i="1"/>
  <c r="Z548" i="1"/>
  <c r="Z549" i="1" s="1"/>
  <c r="Y548" i="1"/>
  <c r="Y550" i="1" s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Y575" i="1" s="1"/>
  <c r="P468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Y421" i="1" s="1"/>
  <c r="P418" i="1"/>
  <c r="BP417" i="1"/>
  <c r="BO417" i="1"/>
  <c r="BN417" i="1"/>
  <c r="BM417" i="1"/>
  <c r="Z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S575" i="1" s="1"/>
  <c r="P355" i="1"/>
  <c r="X352" i="1"/>
  <c r="X351" i="1"/>
  <c r="BO350" i="1"/>
  <c r="BM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P276" i="1" s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Y274" i="1" s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X258" i="1"/>
  <c r="X257" i="1"/>
  <c r="BO256" i="1"/>
  <c r="BM256" i="1"/>
  <c r="Y256" i="1"/>
  <c r="BP256" i="1" s="1"/>
  <c r="P256" i="1"/>
  <c r="BO255" i="1"/>
  <c r="BM255" i="1"/>
  <c r="Y255" i="1"/>
  <c r="M575" i="1" s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K575" i="1" s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N153" i="1"/>
  <c r="BM153" i="1"/>
  <c r="Z153" i="1"/>
  <c r="Y153" i="1"/>
  <c r="BP153" i="1" s="1"/>
  <c r="P153" i="1"/>
  <c r="BO152" i="1"/>
  <c r="BM152" i="1"/>
  <c r="Y152" i="1"/>
  <c r="I575" i="1" s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3" i="1"/>
  <c r="X132" i="1"/>
  <c r="BO131" i="1"/>
  <c r="BM131" i="1"/>
  <c r="Y131" i="1"/>
  <c r="Y133" i="1" s="1"/>
  <c r="P131" i="1"/>
  <c r="X129" i="1"/>
  <c r="X128" i="1"/>
  <c r="BO127" i="1"/>
  <c r="BN127" i="1"/>
  <c r="BM127" i="1"/>
  <c r="Z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G575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O94" i="1"/>
  <c r="BN94" i="1"/>
  <c r="BM94" i="1"/>
  <c r="Z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F575" i="1" s="1"/>
  <c r="P89" i="1"/>
  <c r="X86" i="1"/>
  <c r="X85" i="1"/>
  <c r="BO84" i="1"/>
  <c r="BM84" i="1"/>
  <c r="Y84" i="1"/>
  <c r="BP84" i="1" s="1"/>
  <c r="P84" i="1"/>
  <c r="BO83" i="1"/>
  <c r="BM83" i="1"/>
  <c r="Z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N63" i="1"/>
  <c r="BM63" i="1"/>
  <c r="Z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Z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Z42" i="1"/>
  <c r="Y42" i="1"/>
  <c r="BP42" i="1" s="1"/>
  <c r="P42" i="1"/>
  <c r="BO41" i="1"/>
  <c r="BM41" i="1"/>
  <c r="Y41" i="1"/>
  <c r="C575" i="1" s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65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Z22" i="1" l="1"/>
  <c r="Z23" i="1" s="1"/>
  <c r="BN22" i="1"/>
  <c r="BP22" i="1"/>
  <c r="Z26" i="1"/>
  <c r="BN26" i="1"/>
  <c r="BP26" i="1"/>
  <c r="Z30" i="1"/>
  <c r="BN30" i="1"/>
  <c r="BN42" i="1"/>
  <c r="BN59" i="1"/>
  <c r="Z109" i="1"/>
  <c r="BN109" i="1"/>
  <c r="Z117" i="1"/>
  <c r="BN117" i="1"/>
  <c r="Z125" i="1"/>
  <c r="BN125" i="1"/>
  <c r="Z131" i="1"/>
  <c r="Z132" i="1" s="1"/>
  <c r="BN131" i="1"/>
  <c r="BP131" i="1"/>
  <c r="Y132" i="1"/>
  <c r="Z136" i="1"/>
  <c r="BN136" i="1"/>
  <c r="BP136" i="1"/>
  <c r="Z146" i="1"/>
  <c r="BN146" i="1"/>
  <c r="BP146" i="1"/>
  <c r="Z44" i="1"/>
  <c r="BN44" i="1"/>
  <c r="Z54" i="1"/>
  <c r="BN54" i="1"/>
  <c r="Z61" i="1"/>
  <c r="BN61" i="1"/>
  <c r="Z65" i="1"/>
  <c r="BN65" i="1"/>
  <c r="Z73" i="1"/>
  <c r="BN73" i="1"/>
  <c r="BN83" i="1"/>
  <c r="Z92" i="1"/>
  <c r="BN92" i="1"/>
  <c r="Z98" i="1"/>
  <c r="BN98" i="1"/>
  <c r="BP98" i="1"/>
  <c r="Y161" i="1"/>
  <c r="Y160" i="1"/>
  <c r="BP159" i="1"/>
  <c r="BN159" i="1"/>
  <c r="Z159" i="1"/>
  <c r="Z160" i="1" s="1"/>
  <c r="BP164" i="1"/>
  <c r="BN164" i="1"/>
  <c r="Z164" i="1"/>
  <c r="Z172" i="1"/>
  <c r="BN172" i="1"/>
  <c r="Y188" i="1"/>
  <c r="Z178" i="1"/>
  <c r="BN178" i="1"/>
  <c r="Z182" i="1"/>
  <c r="BN182" i="1"/>
  <c r="Z186" i="1"/>
  <c r="BN186" i="1"/>
  <c r="Y192" i="1"/>
  <c r="Z206" i="1"/>
  <c r="BN206" i="1"/>
  <c r="Z210" i="1"/>
  <c r="BN210" i="1"/>
  <c r="L575" i="1"/>
  <c r="Y233" i="1"/>
  <c r="Z223" i="1"/>
  <c r="BN223" i="1"/>
  <c r="Z227" i="1"/>
  <c r="BN227" i="1"/>
  <c r="Z231" i="1"/>
  <c r="BN231" i="1"/>
  <c r="Y241" i="1"/>
  <c r="Z239" i="1"/>
  <c r="BN239" i="1"/>
  <c r="Y247" i="1"/>
  <c r="Z256" i="1"/>
  <c r="BN256" i="1"/>
  <c r="Y262" i="1"/>
  <c r="Z266" i="1"/>
  <c r="BN266" i="1"/>
  <c r="Z270" i="1"/>
  <c r="BN270" i="1"/>
  <c r="Z276" i="1"/>
  <c r="BN276" i="1"/>
  <c r="Z280" i="1"/>
  <c r="BN280" i="1"/>
  <c r="Z284" i="1"/>
  <c r="BN284" i="1"/>
  <c r="Z292" i="1"/>
  <c r="BN292" i="1"/>
  <c r="Z299" i="1"/>
  <c r="BN299" i="1"/>
  <c r="Z303" i="1"/>
  <c r="BN303" i="1"/>
  <c r="Y319" i="1"/>
  <c r="Z317" i="1"/>
  <c r="BN317" i="1"/>
  <c r="Z326" i="1"/>
  <c r="BN326" i="1"/>
  <c r="BP335" i="1"/>
  <c r="BN335" i="1"/>
  <c r="Z335" i="1"/>
  <c r="BP350" i="1"/>
  <c r="BN350" i="1"/>
  <c r="Z350" i="1"/>
  <c r="Y367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BP344" i="1"/>
  <c r="BN344" i="1"/>
  <c r="Z344" i="1"/>
  <c r="BP366" i="1"/>
  <c r="BN366" i="1"/>
  <c r="Z366" i="1"/>
  <c r="BP371" i="1"/>
  <c r="BN371" i="1"/>
  <c r="Z371" i="1"/>
  <c r="Y389" i="1"/>
  <c r="BP381" i="1"/>
  <c r="BN381" i="1"/>
  <c r="Z381" i="1"/>
  <c r="BP391" i="1"/>
  <c r="BN391" i="1"/>
  <c r="Z391" i="1"/>
  <c r="BP407" i="1"/>
  <c r="BN407" i="1"/>
  <c r="Z40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481" i="1"/>
  <c r="Y480" i="1"/>
  <c r="Y558" i="1"/>
  <c r="AC57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Y139" i="1"/>
  <c r="Y143" i="1"/>
  <c r="Y149" i="1"/>
  <c r="Y156" i="1"/>
  <c r="Y169" i="1"/>
  <c r="Y173" i="1"/>
  <c r="Y187" i="1"/>
  <c r="Y193" i="1"/>
  <c r="Y197" i="1"/>
  <c r="Y201" i="1"/>
  <c r="Y213" i="1"/>
  <c r="Y218" i="1"/>
  <c r="Y234" i="1"/>
  <c r="Y242" i="1"/>
  <c r="Y248" i="1"/>
  <c r="Y252" i="1"/>
  <c r="Y257" i="1"/>
  <c r="Y263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BP318" i="1"/>
  <c r="BN318" i="1"/>
  <c r="Z318" i="1"/>
  <c r="Y320" i="1"/>
  <c r="P575" i="1"/>
  <c r="Y330" i="1"/>
  <c r="BP323" i="1"/>
  <c r="BN323" i="1"/>
  <c r="Z323" i="1"/>
  <c r="BP327" i="1"/>
  <c r="BN327" i="1"/>
  <c r="Z327" i="1"/>
  <c r="BP336" i="1"/>
  <c r="BN336" i="1"/>
  <c r="Z336" i="1"/>
  <c r="Y338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BP384" i="1"/>
  <c r="BN384" i="1"/>
  <c r="Z384" i="1"/>
  <c r="Y388" i="1"/>
  <c r="BP392" i="1"/>
  <c r="BN392" i="1"/>
  <c r="Z392" i="1"/>
  <c r="BP400" i="1"/>
  <c r="BN400" i="1"/>
  <c r="Z400" i="1"/>
  <c r="Y402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H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Z137" i="1"/>
  <c r="Z138" i="1" s="1"/>
  <c r="BN137" i="1"/>
  <c r="Z141" i="1"/>
  <c r="Z143" i="1" s="1"/>
  <c r="BN141" i="1"/>
  <c r="BP141" i="1"/>
  <c r="Z147" i="1"/>
  <c r="Z148" i="1" s="1"/>
  <c r="BN147" i="1"/>
  <c r="Z152" i="1"/>
  <c r="BN152" i="1"/>
  <c r="BP152" i="1"/>
  <c r="Z154" i="1"/>
  <c r="BN154" i="1"/>
  <c r="Y157" i="1"/>
  <c r="J575" i="1"/>
  <c r="Z165" i="1"/>
  <c r="BN165" i="1"/>
  <c r="Z167" i="1"/>
  <c r="BN167" i="1"/>
  <c r="Y168" i="1"/>
  <c r="Z171" i="1"/>
  <c r="Z173" i="1" s="1"/>
  <c r="BN171" i="1"/>
  <c r="BP171" i="1"/>
  <c r="Z177" i="1"/>
  <c r="BN177" i="1"/>
  <c r="Z179" i="1"/>
  <c r="BN179" i="1"/>
  <c r="Z181" i="1"/>
  <c r="BN181" i="1"/>
  <c r="Z183" i="1"/>
  <c r="BN183" i="1"/>
  <c r="Z185" i="1"/>
  <c r="BN185" i="1"/>
  <c r="Z191" i="1"/>
  <c r="Z192" i="1" s="1"/>
  <c r="BN191" i="1"/>
  <c r="Z195" i="1"/>
  <c r="Z196" i="1" s="1"/>
  <c r="BN195" i="1"/>
  <c r="BP195" i="1"/>
  <c r="Z199" i="1"/>
  <c r="Z200" i="1" s="1"/>
  <c r="BN199" i="1"/>
  <c r="BP199" i="1"/>
  <c r="Z205" i="1"/>
  <c r="Z212" i="1" s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Z233" i="1" s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Z247" i="1" s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P271" i="1"/>
  <c r="BN271" i="1"/>
  <c r="Z271" i="1"/>
  <c r="Y288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Z319" i="1" s="1"/>
  <c r="BP325" i="1"/>
  <c r="BN325" i="1"/>
  <c r="Z325" i="1"/>
  <c r="BP329" i="1"/>
  <c r="BN329" i="1"/>
  <c r="Z329" i="1"/>
  <c r="Y331" i="1"/>
  <c r="Y337" i="1"/>
  <c r="BP334" i="1"/>
  <c r="BN334" i="1"/>
  <c r="Z334" i="1"/>
  <c r="Z337" i="1" s="1"/>
  <c r="BP343" i="1"/>
  <c r="BN343" i="1"/>
  <c r="Z343" i="1"/>
  <c r="Y352" i="1"/>
  <c r="Y351" i="1"/>
  <c r="BP365" i="1"/>
  <c r="BN365" i="1"/>
  <c r="Z365" i="1"/>
  <c r="Z367" i="1" s="1"/>
  <c r="U575" i="1"/>
  <c r="BP374" i="1"/>
  <c r="BN374" i="1"/>
  <c r="Z374" i="1"/>
  <c r="Z378" i="1" s="1"/>
  <c r="Y378" i="1"/>
  <c r="BP382" i="1"/>
  <c r="BN382" i="1"/>
  <c r="Z382" i="1"/>
  <c r="BP386" i="1"/>
  <c r="BN386" i="1"/>
  <c r="Z386" i="1"/>
  <c r="Z388" i="1" s="1"/>
  <c r="Y395" i="1"/>
  <c r="BP394" i="1"/>
  <c r="BN394" i="1"/>
  <c r="Z394" i="1"/>
  <c r="Y396" i="1"/>
  <c r="Y401" i="1"/>
  <c r="BP398" i="1"/>
  <c r="BN398" i="1"/>
  <c r="Z398" i="1"/>
  <c r="Z401" i="1" s="1"/>
  <c r="BP406" i="1"/>
  <c r="BN406" i="1"/>
  <c r="Z406" i="1"/>
  <c r="Y415" i="1"/>
  <c r="Y414" i="1"/>
  <c r="BP418" i="1"/>
  <c r="BN418" i="1"/>
  <c r="Z418" i="1"/>
  <c r="Z420" i="1" s="1"/>
  <c r="BP463" i="1"/>
  <c r="BN463" i="1"/>
  <c r="Z463" i="1"/>
  <c r="Z464" i="1" s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Z459" i="1"/>
  <c r="BP457" i="1"/>
  <c r="BN457" i="1"/>
  <c r="Z457" i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Z519" i="1" s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Z535" i="1" s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187" i="1" l="1"/>
  <c r="Z168" i="1"/>
  <c r="Z102" i="1"/>
  <c r="Y567" i="1"/>
  <c r="Z31" i="1"/>
  <c r="Z491" i="1"/>
  <c r="Z395" i="1"/>
  <c r="Z304" i="1"/>
  <c r="Y569" i="1"/>
  <c r="Z67" i="1"/>
  <c r="Y566" i="1"/>
  <c r="Z288" i="1"/>
  <c r="Y568" i="1"/>
  <c r="Z273" i="1"/>
  <c r="X568" i="1"/>
  <c r="Z447" i="1"/>
  <c r="Z427" i="1"/>
  <c r="Z408" i="1"/>
  <c r="Z241" i="1"/>
  <c r="Z156" i="1"/>
  <c r="Z128" i="1"/>
  <c r="Z85" i="1"/>
  <c r="Y565" i="1"/>
  <c r="Z506" i="1"/>
  <c r="Z345" i="1"/>
  <c r="Z330" i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<sst xmlns="http://schemas.openxmlformats.org/spreadsheetml/2006/main" count="2535" uniqueCount="913">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</sst>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65</v>
      </c>
      <c r="Y51" s="636">
        <f>IFERROR(IF(X51="",0,CEILING((X51/$H51),1)*$H51),"")</f>
        <v>75.600000000000009</v>
      </c>
      <c r="Z51" s="36">
        <f>IFERROR(IF(Y51=0,"",ROUNDUP(Y51/H51,0)*0.01898),"")</f>
        <v>0.13286000000000001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67.467592592592595</v>
      </c>
      <c r="BN51" s="64">
        <f>IFERROR(Y51*I51/H51,"0")</f>
        <v>78.47</v>
      </c>
      <c r="BO51" s="64">
        <f>IFERROR(1/J51*(X51/H51),"0")</f>
        <v>9.4039351851851846E-2</v>
      </c>
      <c r="BP51" s="64">
        <f>IFERROR(1/J51*(Y51/H51),"0")</f>
        <v>0.109375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6.0185185185185182</v>
      </c>
      <c r="Y55" s="637">
        <f>IFERROR(Y51/H51,"0")+IFERROR(Y52/H52,"0")+IFERROR(Y53/H53,"0")+IFERROR(Y54/H54,"0")</f>
        <v>7</v>
      </c>
      <c r="Z55" s="637">
        <f>IFERROR(IF(Z51="",0,Z51),"0")+IFERROR(IF(Z52="",0,Z52),"0")+IFERROR(IF(Z53="",0,Z53),"0")+IFERROR(IF(Z54="",0,Z54),"0")</f>
        <v>0.13286000000000001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65</v>
      </c>
      <c r="Y56" s="637">
        <f>IFERROR(SUM(Y51:Y54),"0")</f>
        <v>75.600000000000009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11</v>
      </c>
      <c r="Y66" s="636">
        <f t="shared" si="0"/>
        <v>13.5</v>
      </c>
      <c r="Z66" s="36">
        <f>IFERROR(IF(Y66=0,"",ROUNDUP(Y66/H66,0)*0.00902),"")</f>
        <v>2.7060000000000001E-2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11.464444444444446</v>
      </c>
      <c r="BN66" s="64">
        <f t="shared" si="2"/>
        <v>14.07</v>
      </c>
      <c r="BO66" s="64">
        <f t="shared" si="3"/>
        <v>1.8518518518518521E-2</v>
      </c>
      <c r="BP66" s="64">
        <f t="shared" si="4"/>
        <v>2.2727272727272728E-2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2.4444444444444446</v>
      </c>
      <c r="Y67" s="637">
        <f>IFERROR(Y59/H59,"0")+IFERROR(Y60/H60,"0")+IFERROR(Y61/H61,"0")+IFERROR(Y62/H62,"0")+IFERROR(Y63/H63,"0")+IFERROR(Y64/H64,"0")+IFERROR(Y65/H65,"0")+IFERROR(Y66/H66,"0")</f>
        <v>3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2.7060000000000001E-2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11</v>
      </c>
      <c r="Y68" s="637">
        <f>IFERROR(SUM(Y59:Y66),"0")</f>
        <v>13.5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67</v>
      </c>
      <c r="Y94" s="636">
        <f t="shared" si="5"/>
        <v>67.5</v>
      </c>
      <c r="Z94" s="36">
        <f>IFERROR(IF(Y94=0,"",ROUNDUP(Y94/H94,0)*0.00902),"")</f>
        <v>0.1353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69.828888888888898</v>
      </c>
      <c r="BN94" s="64">
        <f t="shared" si="7"/>
        <v>70.350000000000009</v>
      </c>
      <c r="BO94" s="64">
        <f t="shared" si="8"/>
        <v>0.11279461279461279</v>
      </c>
      <c r="BP94" s="64">
        <f t="shared" si="9"/>
        <v>0.11363636363636365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14.888888888888889</v>
      </c>
      <c r="Y95" s="637">
        <f>IFERROR(Y89/H89,"0")+IFERROR(Y90/H90,"0")+IFERROR(Y91/H91,"0")+IFERROR(Y92/H92,"0")+IFERROR(Y93/H93,"0")+IFERROR(Y94/H94,"0")</f>
        <v>15</v>
      </c>
      <c r="Z95" s="637">
        <f>IFERROR(IF(Z89="",0,Z89),"0")+IFERROR(IF(Z90="",0,Z90),"0")+IFERROR(IF(Z91="",0,Z91),"0")+IFERROR(IF(Z92="",0,Z92),"0")+IFERROR(IF(Z93="",0,Z93),"0")+IFERROR(IF(Z94="",0,Z94),"0")</f>
        <v>0.1353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67</v>
      </c>
      <c r="Y96" s="637">
        <f>IFERROR(SUM(Y89:Y94),"0")</f>
        <v>67.5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74</v>
      </c>
      <c r="Y98" s="636">
        <f>IFERROR(IF(X98="",0,CEILING((X98/$H98),1)*$H98),"")</f>
        <v>81</v>
      </c>
      <c r="Z98" s="36">
        <f>IFERROR(IF(Y98=0,"",ROUNDUP(Y98/H98,0)*0.01898),"")</f>
        <v>0.1898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78.51308641975308</v>
      </c>
      <c r="BN98" s="64">
        <f>IFERROR(Y98*I98/H98,"0")</f>
        <v>85.94</v>
      </c>
      <c r="BO98" s="64">
        <f>IFERROR(1/J98*(X98/H98),"0")</f>
        <v>0.14274691358024691</v>
      </c>
      <c r="BP98" s="64">
        <f>IFERROR(1/J98*(Y98/H98),"0")</f>
        <v>0.15625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9.1358024691358022</v>
      </c>
      <c r="Y102" s="637">
        <f>IFERROR(Y98/H98,"0")+IFERROR(Y99/H99,"0")+IFERROR(Y100/H100,"0")+IFERROR(Y101/H101,"0")</f>
        <v>10</v>
      </c>
      <c r="Z102" s="637">
        <f>IFERROR(IF(Z98="",0,Z98),"0")+IFERROR(IF(Z99="",0,Z99),"0")+IFERROR(IF(Z100="",0,Z100),"0")+IFERROR(IF(Z101="",0,Z101),"0")</f>
        <v>0.1898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74</v>
      </c>
      <c r="Y103" s="637">
        <f>IFERROR(SUM(Y98:Y101),"0")</f>
        <v>81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60</v>
      </c>
      <c r="Y110" s="636">
        <f t="shared" si="10"/>
        <v>63</v>
      </c>
      <c r="Z110" s="36">
        <f>IFERROR(IF(Y110=0,"",ROUNDUP(Y110/H110,0)*0.00902),"")</f>
        <v>0.12628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62.533333333333339</v>
      </c>
      <c r="BN110" s="64">
        <f t="shared" si="12"/>
        <v>65.660000000000011</v>
      </c>
      <c r="BO110" s="64">
        <f t="shared" si="13"/>
        <v>0.10101010101010102</v>
      </c>
      <c r="BP110" s="64">
        <f t="shared" si="14"/>
        <v>0.10606060606060606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13.333333333333334</v>
      </c>
      <c r="Y113" s="637">
        <f>IFERROR(Y106/H106,"0")+IFERROR(Y107/H107,"0")+IFERROR(Y108/H108,"0")+IFERROR(Y109/H109,"0")+IFERROR(Y110/H110,"0")+IFERROR(Y111/H111,"0")+IFERROR(Y112/H112,"0")</f>
        <v>14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0.12628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60</v>
      </c>
      <c r="Y114" s="637">
        <f>IFERROR(SUM(Y106:Y112),"0")</f>
        <v>63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0.37037037037037035</v>
      </c>
      <c r="Y121" s="637">
        <f>IFERROR(Y116/H116,"0")+IFERROR(Y117/H117,"0")+IFERROR(Y118/H118,"0")+IFERROR(Y119/H119,"0")+IFERROR(Y120/H120,"0")</f>
        <v>1</v>
      </c>
      <c r="Z121" s="637">
        <f>IFERROR(IF(Z116="",0,Z116),"0")+IFERROR(IF(Z117="",0,Z117),"0")+IFERROR(IF(Z118="",0,Z118),"0")+IFERROR(IF(Z119="",0,Z119),"0")+IFERROR(IF(Z120="",0,Z120),"0")</f>
        <v>1.898E-2</v>
      </c>
      <c r="AA121" s="638"/>
      <c r="AB121" s="638"/>
      <c r="AC121" s="638"/>
    </row>
    <row r="122" spans="1:68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4</v>
      </c>
      <c r="Y122" s="637">
        <f>IFERROR(SUM(Y116:Y120),"0")</f>
        <v>10.8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146</v>
      </c>
      <c r="Y124" s="636">
        <f>IFERROR(IF(X124="",0,CEILING((X124/$H124),1)*$H124),"")</f>
        <v>153.9</v>
      </c>
      <c r="Z124" s="36">
        <f>IFERROR(IF(Y124=0,"",ROUNDUP(Y124/H124,0)*0.01898),"")</f>
        <v>0.36062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154.79604938271606</v>
      </c>
      <c r="BN124" s="64">
        <f>IFERROR(Y124*I124/H124,"0")</f>
        <v>163.172</v>
      </c>
      <c r="BO124" s="64">
        <f>IFERROR(1/J124*(X124/H124),"0")</f>
        <v>0.28163580246913583</v>
      </c>
      <c r="BP124" s="64">
        <f>IFERROR(1/J124*(Y124/H124),"0")</f>
        <v>0.296875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26</v>
      </c>
      <c r="Y126" s="636">
        <f>IFERROR(IF(X126="",0,CEILING((X126/$H126),1)*$H126),"")</f>
        <v>27</v>
      </c>
      <c r="Z126" s="36">
        <f>IFERROR(IF(Y126=0,"",ROUNDUP(Y126/H126,0)*0.00651),"")</f>
        <v>6.5100000000000005E-2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28.426666666666662</v>
      </c>
      <c r="BN126" s="64">
        <f>IFERROR(Y126*I126/H126,"0")</f>
        <v>29.519999999999996</v>
      </c>
      <c r="BO126" s="64">
        <f>IFERROR(1/J126*(X126/H126),"0")</f>
        <v>5.2910052910052914E-2</v>
      </c>
      <c r="BP126" s="64">
        <f>IFERROR(1/J126*(Y126/H126),"0")</f>
        <v>5.4945054945054951E-2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27.654320987654323</v>
      </c>
      <c r="Y128" s="637">
        <f>IFERROR(Y124/H124,"0")+IFERROR(Y125/H125,"0")+IFERROR(Y126/H126,"0")+IFERROR(Y127/H127,"0")</f>
        <v>29</v>
      </c>
      <c r="Z128" s="637">
        <f>IFERROR(IF(Z124="",0,Z124),"0")+IFERROR(IF(Z125="",0,Z125),"0")+IFERROR(IF(Z126="",0,Z126),"0")+IFERROR(IF(Z127="",0,Z127),"0")</f>
        <v>0.42571999999999999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172</v>
      </c>
      <c r="Y129" s="637">
        <f>IFERROR(SUM(Y124:Y127),"0")</f>
        <v>180.9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2</v>
      </c>
      <c r="Y136" s="636">
        <f>IFERROR(IF(X136="",0,CEILING((X136/$H136),1)*$H136),"")</f>
        <v>3.2</v>
      </c>
      <c r="Z136" s="36">
        <f>IFERROR(IF(Y136=0,"",ROUNDUP(Y136/H136,0)*0.00651),"")</f>
        <v>6.5100000000000002E-3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2.1124999999999998</v>
      </c>
      <c r="BN136" s="64">
        <f>IFERROR(Y136*I136/H136,"0")</f>
        <v>3.38</v>
      </c>
      <c r="BO136" s="64">
        <f>IFERROR(1/J136*(X136/H136),"0")</f>
        <v>3.4340659340659344E-3</v>
      </c>
      <c r="BP136" s="64">
        <f>IFERROR(1/J136*(Y136/H136),"0")</f>
        <v>5.4945054945054949E-3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0.625</v>
      </c>
      <c r="Y138" s="637">
        <f>IFERROR(Y136/H136,"0")+IFERROR(Y137/H137,"0")</f>
        <v>1</v>
      </c>
      <c r="Z138" s="637">
        <f>IFERROR(IF(Z136="",0,Z136),"0")+IFERROR(IF(Z137="",0,Z137),"0")</f>
        <v>6.5100000000000002E-3</v>
      </c>
      <c r="AA138" s="638"/>
      <c r="AB138" s="638"/>
      <c r="AC138" s="638"/>
    </row>
    <row r="139" spans="1:68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2</v>
      </c>
      <c r="Y139" s="637">
        <f>IFERROR(SUM(Y136:Y137),"0")</f>
        <v>3.2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25</v>
      </c>
      <c r="Y141" s="636">
        <f>IFERROR(IF(X141="",0,CEILING((X141/$H141),1)*$H141),"")</f>
        <v>25.2</v>
      </c>
      <c r="Z141" s="36">
        <f>IFERROR(IF(Y141=0,"",ROUNDUP(Y141/H141,0)*0.00651),"")</f>
        <v>5.8590000000000003E-2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27.392857142857146</v>
      </c>
      <c r="BN141" s="64">
        <f>IFERROR(Y141*I141/H141,"0")</f>
        <v>27.611999999999998</v>
      </c>
      <c r="BO141" s="64">
        <f>IFERROR(1/J141*(X141/H141),"0")</f>
        <v>4.9058084772370489E-2</v>
      </c>
      <c r="BP141" s="64">
        <f>IFERROR(1/J141*(Y141/H141),"0")</f>
        <v>4.9450549450549455E-2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8.9285714285714288</v>
      </c>
      <c r="Y143" s="637">
        <f>IFERROR(Y141/H141,"0")+IFERROR(Y142/H142,"0")</f>
        <v>9</v>
      </c>
      <c r="Z143" s="637">
        <f>IFERROR(IF(Z141="",0,Z141),"0")+IFERROR(IF(Z142="",0,Z142),"0")</f>
        <v>5.8590000000000003E-2</v>
      </c>
      <c r="AA143" s="638"/>
      <c r="AB143" s="638"/>
      <c r="AC143" s="638"/>
    </row>
    <row r="144" spans="1:68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25</v>
      </c>
      <c r="Y144" s="637">
        <f>IFERROR(SUM(Y141:Y142),"0")</f>
        <v>25.2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11</v>
      </c>
      <c r="Y146" s="636">
        <f>IFERROR(IF(X146="",0,CEILING((X146/$H146),1)*$H146),"")</f>
        <v>13.200000000000001</v>
      </c>
      <c r="Z146" s="36">
        <f>IFERROR(IF(Y146=0,"",ROUNDUP(Y146/H146,0)*0.00651),"")</f>
        <v>3.2550000000000003E-2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12.116666666666665</v>
      </c>
      <c r="BN146" s="64">
        <f>IFERROR(Y146*I146/H146,"0")</f>
        <v>14.540000000000001</v>
      </c>
      <c r="BO146" s="64">
        <f>IFERROR(1/J146*(X146/H146),"0")</f>
        <v>2.2893772893772892E-2</v>
      </c>
      <c r="BP146" s="64">
        <f>IFERROR(1/J146*(Y146/H146),"0")</f>
        <v>2.7472527472527476E-2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4.1666666666666661</v>
      </c>
      <c r="Y148" s="637">
        <f>IFERROR(Y146/H146,"0")+IFERROR(Y147/H147,"0")</f>
        <v>5</v>
      </c>
      <c r="Z148" s="637">
        <f>IFERROR(IF(Z146="",0,Z146),"0")+IFERROR(IF(Z147="",0,Z147),"0")</f>
        <v>3.2550000000000003E-2</v>
      </c>
      <c r="AA148" s="638"/>
      <c r="AB148" s="638"/>
      <c r="AC148" s="638"/>
    </row>
    <row r="149" spans="1:68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11</v>
      </c>
      <c r="Y149" s="637">
        <f>IFERROR(SUM(Y146:Y147),"0")</f>
        <v>13.200000000000001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5</v>
      </c>
      <c r="Y182" s="636">
        <f t="shared" si="15"/>
        <v>5.04</v>
      </c>
      <c r="Z182" s="36">
        <f>IFERROR(IF(Y182=0,"",ROUNDUP(Y182/H182,0)*0.00502),"")</f>
        <v>1.506E-2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5.2976190476190483</v>
      </c>
      <c r="BN182" s="64">
        <f t="shared" si="17"/>
        <v>5.34</v>
      </c>
      <c r="BO182" s="64">
        <f t="shared" si="18"/>
        <v>1.2718762718762721E-2</v>
      </c>
      <c r="BP182" s="64">
        <f t="shared" si="19"/>
        <v>1.2820512820512822E-2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7</v>
      </c>
      <c r="Y183" s="636">
        <f t="shared" si="15"/>
        <v>7.2</v>
      </c>
      <c r="Z183" s="36">
        <f>IFERROR(IF(Y183=0,"",ROUNDUP(Y183/H183,0)*0.00417),"")</f>
        <v>3.3360000000000001E-2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8.6333333333333329</v>
      </c>
      <c r="BN183" s="64">
        <f t="shared" si="17"/>
        <v>8.8800000000000008</v>
      </c>
      <c r="BO183" s="64">
        <f t="shared" si="18"/>
        <v>2.4928774928774929E-2</v>
      </c>
      <c r="BP183" s="64">
        <f t="shared" si="19"/>
        <v>2.564102564102564E-2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5</v>
      </c>
      <c r="Y185" s="636">
        <f t="shared" si="15"/>
        <v>5.4</v>
      </c>
      <c r="Z185" s="36">
        <f>IFERROR(IF(Y185=0,"",ROUNDUP(Y185/H185,0)*0.00417),"")</f>
        <v>2.5020000000000001E-2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5.5555555555555554</v>
      </c>
      <c r="BN185" s="64">
        <f t="shared" si="17"/>
        <v>6</v>
      </c>
      <c r="BO185" s="64">
        <f t="shared" si="18"/>
        <v>1.7806267806267807E-2</v>
      </c>
      <c r="BP185" s="64">
        <f t="shared" si="19"/>
        <v>1.9230769230769232E-2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30</v>
      </c>
      <c r="Y186" s="636">
        <f t="shared" si="15"/>
        <v>30.24</v>
      </c>
      <c r="Z186" s="36">
        <f>IFERROR(IF(Y186=0,"",ROUNDUP(Y186/H186,0)*0.00502),"")</f>
        <v>9.0359999999999996E-2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31.785714285714285</v>
      </c>
      <c r="BN186" s="64">
        <f t="shared" si="17"/>
        <v>32.04</v>
      </c>
      <c r="BO186" s="64">
        <f t="shared" si="18"/>
        <v>7.6312576312576319E-2</v>
      </c>
      <c r="BP186" s="64">
        <f t="shared" si="19"/>
        <v>7.6923076923076927E-2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34.166666666666671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35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0.1638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47</v>
      </c>
      <c r="Y188" s="637">
        <f>IFERROR(SUM(Y176:Y186),"0")</f>
        <v>47.879999999999995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3</v>
      </c>
      <c r="Y230" s="636">
        <f t="shared" si="26"/>
        <v>4.2</v>
      </c>
      <c r="Z230" s="36">
        <f>IFERROR(IF(Y230=0,"",ROUNDUP(Y230/H230,0)*0.00502),"")</f>
        <v>1.004E-2</v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3.1428571428571428</v>
      </c>
      <c r="BN230" s="64">
        <f t="shared" si="28"/>
        <v>4.4000000000000004</v>
      </c>
      <c r="BO230" s="64">
        <f t="shared" si="29"/>
        <v>6.1050061050061059E-3</v>
      </c>
      <c r="BP230" s="64">
        <f t="shared" si="30"/>
        <v>8.5470085470085479E-3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1.4285714285714286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1.004E-2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3</v>
      </c>
      <c r="Y234" s="637">
        <f>IFERROR(SUM(Y220:Y232),"0")</f>
        <v>4.2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35</v>
      </c>
      <c r="Y266" s="636">
        <f t="shared" si="31"/>
        <v>37.800000000000004</v>
      </c>
      <c r="Z266" s="36">
        <f>IFERROR(IF(Y266=0,"",ROUNDUP(Y266/H266,0)*0.00902),"")</f>
        <v>6.3140000000000002E-2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36.231481481481481</v>
      </c>
      <c r="BN266" s="64">
        <f t="shared" si="33"/>
        <v>39.130000000000003</v>
      </c>
      <c r="BO266" s="64">
        <f t="shared" si="34"/>
        <v>4.9102132435465767E-2</v>
      </c>
      <c r="BP266" s="64">
        <f t="shared" si="35"/>
        <v>5.3030303030303032E-2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6.481481481481481</v>
      </c>
      <c r="Y273" s="637">
        <f>IFERROR(Y265/H265,"0")+IFERROR(Y266/H266,"0")+IFERROR(Y267/H267,"0")+IFERROR(Y268/H268,"0")+IFERROR(Y269/H269,"0")+IFERROR(Y270/H270,"0")+IFERROR(Y271/H271,"0")+IFERROR(Y272/H272,"0")</f>
        <v>7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6.3140000000000002E-2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35</v>
      </c>
      <c r="Y274" s="637">
        <f>IFERROR(SUM(Y265:Y272),"0")</f>
        <v>37.800000000000004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15</v>
      </c>
      <c r="Y277" s="636">
        <f t="shared" si="36"/>
        <v>16.2</v>
      </c>
      <c r="Z277" s="36">
        <f>IFERROR(IF(Y277=0,"",ROUNDUP(Y277/H277,0)*0.01898),"")</f>
        <v>3.7960000000000001E-2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15.914814814814815</v>
      </c>
      <c r="BN277" s="64">
        <f t="shared" si="38"/>
        <v>17.187999999999999</v>
      </c>
      <c r="BO277" s="64">
        <f t="shared" si="39"/>
        <v>2.8935185185185185E-2</v>
      </c>
      <c r="BP277" s="64">
        <f t="shared" si="40"/>
        <v>3.125E-2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337</v>
      </c>
      <c r="Y282" s="636">
        <f t="shared" si="36"/>
        <v>338.4</v>
      </c>
      <c r="Z282" s="36">
        <f>IFERROR(IF(Y282=0,"",ROUNDUP(Y282/H282,0)*0.00651),"")</f>
        <v>0.91791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372.38500000000005</v>
      </c>
      <c r="BN282" s="64">
        <f t="shared" si="38"/>
        <v>373.93200000000002</v>
      </c>
      <c r="BO282" s="64">
        <f t="shared" si="39"/>
        <v>0.77152014652014667</v>
      </c>
      <c r="BP282" s="64">
        <f t="shared" si="40"/>
        <v>0.77472527472527475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142.26851851851853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143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0.95587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352</v>
      </c>
      <c r="Y289" s="637">
        <f>IFERROR(SUM(Y276:Y287),"0")</f>
        <v>354.59999999999997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0</v>
      </c>
      <c r="Y367" s="637">
        <f>IFERROR(Y364/H364,"0")+IFERROR(Y365/H365,"0")+IFERROR(Y366/H366,"0")</f>
        <v>0</v>
      </c>
      <c r="Z367" s="637">
        <f>IFERROR(IF(Z364="",0,Z364),"0")+IFERROR(IF(Z365="",0,Z365),"0")+IFERROR(IF(Z366="",0,Z366),"0")</f>
        <v>0</v>
      </c>
      <c r="AA367" s="638"/>
      <c r="AB367" s="638"/>
      <c r="AC367" s="638"/>
    </row>
    <row r="368" spans="1:68" hidden="1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0</v>
      </c>
      <c r="Y368" s="637">
        <f>IFERROR(SUM(Y364:Y366),"0")</f>
        <v>0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4</v>
      </c>
      <c r="Y387" s="636">
        <f t="shared" si="56"/>
        <v>5.4</v>
      </c>
      <c r="Z387" s="36">
        <f>IFERROR(IF(Y387=0,"",ROUNDUP(Y387/H387,0)*0.00651),"")</f>
        <v>1.9529999999999999E-2</v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4.5066666666666668</v>
      </c>
      <c r="BN387" s="64">
        <f t="shared" si="58"/>
        <v>6.0839999999999996</v>
      </c>
      <c r="BO387" s="64">
        <f t="shared" si="59"/>
        <v>1.2210012210012212E-2</v>
      </c>
      <c r="BP387" s="64">
        <f t="shared" si="60"/>
        <v>1.6483516483516484E-2</v>
      </c>
    </row>
    <row r="388" spans="1:68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2.2222222222222223</v>
      </c>
      <c r="Y388" s="637">
        <f>IFERROR(Y381/H381,"0")+IFERROR(Y382/H382,"0")+IFERROR(Y383/H383,"0")+IFERROR(Y384/H384,"0")+IFERROR(Y385/H385,"0")+IFERROR(Y386/H386,"0")+IFERROR(Y387/H387,"0")</f>
        <v>3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1.9529999999999999E-2</v>
      </c>
      <c r="AA388" s="638"/>
      <c r="AB388" s="638"/>
      <c r="AC388" s="638"/>
    </row>
    <row r="389" spans="1:68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4</v>
      </c>
      <c r="Y389" s="637">
        <f>IFERROR(SUM(Y381:Y387),"0")</f>
        <v>5.4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0</v>
      </c>
      <c r="Y401" s="637">
        <f>IFERROR(Y398/H398,"0")+IFERROR(Y399/H399,"0")+IFERROR(Y400/H400,"0")</f>
        <v>0</v>
      </c>
      <c r="Z401" s="637">
        <f>IFERROR(IF(Z398="",0,Z398),"0")+IFERROR(IF(Z399="",0,Z399),"0")+IFERROR(IF(Z400="",0,Z400),"0")</f>
        <v>0</v>
      </c>
      <c r="AA401" s="638"/>
      <c r="AB401" s="638"/>
      <c r="AC401" s="638"/>
    </row>
    <row r="402" spans="1:68" hidden="1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0</v>
      </c>
      <c r="Y402" s="637">
        <f>IFERROR(SUM(Y398:Y400),"0")</f>
        <v>0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35</v>
      </c>
      <c r="Y439" s="636">
        <f t="shared" ref="Y439:Y446" si="61">IFERROR(IF(X439="",0,CEILING((X439/$H439),1)*$H439),"")</f>
        <v>45</v>
      </c>
      <c r="Z439" s="36">
        <f>IFERROR(IF(Y439=0,"",ROUNDUP(Y439/H439,0)*0.02175),"")</f>
        <v>6.5250000000000002E-2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36.096666666666671</v>
      </c>
      <c r="BN439" s="64">
        <f t="shared" ref="BN439:BN446" si="63">IFERROR(Y439*I439/H439,"0")</f>
        <v>46.41</v>
      </c>
      <c r="BO439" s="64">
        <f t="shared" ref="BO439:BO446" si="64">IFERROR(1/J439*(X439/H439),"0")</f>
        <v>4.8611111111111112E-2</v>
      </c>
      <c r="BP439" s="64">
        <f t="shared" ref="BP439:BP446" si="65">IFERROR(1/J439*(Y439/H439),"0")</f>
        <v>6.25E-2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337</v>
      </c>
      <c r="Y440" s="636">
        <f t="shared" si="61"/>
        <v>345</v>
      </c>
      <c r="Z440" s="36">
        <f>IFERROR(IF(Y440=0,"",ROUNDUP(Y440/H440,0)*0.02175),"")</f>
        <v>0.50024999999999997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347.55933333333337</v>
      </c>
      <c r="BN440" s="64">
        <f t="shared" si="63"/>
        <v>355.81000000000006</v>
      </c>
      <c r="BO440" s="64">
        <f t="shared" si="64"/>
        <v>0.4680555555555555</v>
      </c>
      <c r="BP440" s="64">
        <f t="shared" si="65"/>
        <v>0.47916666666666663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21</v>
      </c>
      <c r="Y441" s="636">
        <f t="shared" si="61"/>
        <v>30</v>
      </c>
      <c r="Z441" s="36">
        <f>IFERROR(IF(Y441=0,"",ROUNDUP(Y441/H441,0)*0.02175),"")</f>
        <v>4.3499999999999997E-2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21.658000000000001</v>
      </c>
      <c r="BN441" s="64">
        <f t="shared" si="63"/>
        <v>30.94</v>
      </c>
      <c r="BO441" s="64">
        <f t="shared" si="64"/>
        <v>2.9166666666666664E-2</v>
      </c>
      <c r="BP441" s="64">
        <f t="shared" si="65"/>
        <v>4.1666666666666664E-2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26.199999999999996</v>
      </c>
      <c r="Y447" s="637">
        <f>IFERROR(Y439/H439,"0")+IFERROR(Y440/H440,"0")+IFERROR(Y441/H441,"0")+IFERROR(Y442/H442,"0")+IFERROR(Y443/H443,"0")+IFERROR(Y444/H444,"0")+IFERROR(Y445/H445,"0")+IFERROR(Y446/H446,"0")</f>
        <v>28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0.60899999999999999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393</v>
      </c>
      <c r="Y448" s="637">
        <f>IFERROR(SUM(Y439:Y446),"0")</f>
        <v>420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256</v>
      </c>
      <c r="Y450" s="636">
        <f>IFERROR(IF(X450="",0,CEILING((X450/$H450),1)*$H450),"")</f>
        <v>270</v>
      </c>
      <c r="Z450" s="36">
        <f>IFERROR(IF(Y450=0,"",ROUNDUP(Y450/H450,0)*0.02175),"")</f>
        <v>0.39149999999999996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264.02133333333336</v>
      </c>
      <c r="BN450" s="64">
        <f>IFERROR(Y450*I450/H450,"0")</f>
        <v>278.46000000000004</v>
      </c>
      <c r="BO450" s="64">
        <f>IFERROR(1/J450*(X450/H450),"0")</f>
        <v>0.35555555555555551</v>
      </c>
      <c r="BP450" s="64">
        <f>IFERROR(1/J450*(Y450/H450),"0")</f>
        <v>0.375</v>
      </c>
    </row>
    <row r="451" spans="1:68" ht="27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9</v>
      </c>
      <c r="Y451" s="636">
        <f>IFERROR(IF(X451="",0,CEILING((X451/$H451),1)*$H451),"")</f>
        <v>15</v>
      </c>
      <c r="Z451" s="36">
        <f>IFERROR(IF(Y451=0,"",ROUNDUP(Y451/H451,0)*0.02175),"")</f>
        <v>2.1749999999999999E-2</v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9.2820000000000018</v>
      </c>
      <c r="BN451" s="64">
        <f>IFERROR(Y451*I451/H451,"0")</f>
        <v>15.47</v>
      </c>
      <c r="BO451" s="64">
        <f>IFERROR(1/J451*(X451/H451),"0")</f>
        <v>1.2499999999999999E-2</v>
      </c>
      <c r="BP451" s="64">
        <f>IFERROR(1/J451*(Y451/H451),"0")</f>
        <v>2.0833333333333332E-2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17.666666666666668</v>
      </c>
      <c r="Y453" s="637">
        <f>IFERROR(Y450/H450,"0")+IFERROR(Y451/H451,"0")+IFERROR(Y452/H452,"0")</f>
        <v>19</v>
      </c>
      <c r="Z453" s="637">
        <f>IFERROR(IF(Z450="",0,Z450),"0")+IFERROR(IF(Z451="",0,Z451),"0")+IFERROR(IF(Z452="",0,Z452),"0")</f>
        <v>0.41324999999999995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265</v>
      </c>
      <c r="Y454" s="637">
        <f>IFERROR(SUM(Y450:Y452),"0")</f>
        <v>285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234</v>
      </c>
      <c r="Y477" s="636">
        <f>IFERROR(IF(X477="",0,CEILING((X477/$H477),1)*$H477),"")</f>
        <v>234</v>
      </c>
      <c r="Z477" s="36">
        <f>IFERROR(IF(Y477=0,"",ROUNDUP(Y477/H477,0)*0.01898),"")</f>
        <v>0.49348000000000003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246.84399999999999</v>
      </c>
      <c r="BN477" s="64">
        <f>IFERROR(Y477*I477/H477,"0")</f>
        <v>246.84399999999999</v>
      </c>
      <c r="BO477" s="64">
        <f>IFERROR(1/J477*(X477/H477),"0")</f>
        <v>0.40625</v>
      </c>
      <c r="BP477" s="64">
        <f>IFERROR(1/J477*(Y477/H477),"0")</f>
        <v>0.40625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5</v>
      </c>
      <c r="Y478" s="636">
        <f>IFERROR(IF(X478="",0,CEILING((X478/$H478),1)*$H478),"")</f>
        <v>7.1999999999999993</v>
      </c>
      <c r="Z478" s="36">
        <f>IFERROR(IF(Y478=0,"",ROUNDUP(Y478/H478,0)*0.00651),"")</f>
        <v>1.9529999999999999E-2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5.5500000000000007</v>
      </c>
      <c r="BN478" s="64">
        <f>IFERROR(Y478*I478/H478,"0")</f>
        <v>7.9919999999999991</v>
      </c>
      <c r="BO478" s="64">
        <f>IFERROR(1/J478*(X478/H478),"0")</f>
        <v>1.1446886446886448E-2</v>
      </c>
      <c r="BP478" s="64">
        <f>IFERROR(1/J478*(Y478/H478),"0")</f>
        <v>1.6483516483516484E-2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28.083333333333332</v>
      </c>
      <c r="Y480" s="637">
        <f>IFERROR(Y477/H477,"0")+IFERROR(Y478/H478,"0")+IFERROR(Y479/H479,"0")</f>
        <v>29</v>
      </c>
      <c r="Z480" s="637">
        <f>IFERROR(IF(Z477="",0,Z477),"0")+IFERROR(IF(Z478="",0,Z478),"0")+IFERROR(IF(Z479="",0,Z479),"0")</f>
        <v>0.51301000000000008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239</v>
      </c>
      <c r="Y481" s="637">
        <f>IFERROR(SUM(Y477:Y479),"0")</f>
        <v>241.2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17</v>
      </c>
      <c r="Y511" s="636">
        <f t="shared" ref="Y511:Y518" si="71">IFERROR(IF(X511="",0,CEILING((X511/$H511),1)*$H511),"")</f>
        <v>21.12</v>
      </c>
      <c r="Z511" s="36">
        <f>IFERROR(IF(Y511=0,"",ROUNDUP(Y511/H511,0)*0.01196),"")</f>
        <v>4.7840000000000001E-2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18.126893939393938</v>
      </c>
      <c r="BN511" s="64">
        <f t="shared" ref="BN511:BN518" si="73">IFERROR(Y511*I511/H511,"0")</f>
        <v>22.52</v>
      </c>
      <c r="BO511" s="64">
        <f t="shared" ref="BO511:BO518" si="74">IFERROR(1/J511*(X511/H511),"0")</f>
        <v>3.0958624708624712E-2</v>
      </c>
      <c r="BP511" s="64">
        <f t="shared" ref="BP511:BP518" si="75">IFERROR(1/J511*(Y511/H511),"0")</f>
        <v>3.8461538461538464E-2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4</v>
      </c>
      <c r="Y517" s="636">
        <f t="shared" si="71"/>
        <v>4.8</v>
      </c>
      <c r="Z517" s="36">
        <f>IFERROR(IF(Y517=0,"",ROUNDUP(Y517/H517,0)*0.00902),"")</f>
        <v>9.0200000000000002E-3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5.7583333333333337</v>
      </c>
      <c r="BN517" s="64">
        <f t="shared" si="73"/>
        <v>6.91</v>
      </c>
      <c r="BO517" s="64">
        <f t="shared" si="74"/>
        <v>6.3131313131313139E-3</v>
      </c>
      <c r="BP517" s="64">
        <f t="shared" si="75"/>
        <v>7.575757575757576E-3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4.0530303030303028</v>
      </c>
      <c r="Y519" s="637">
        <f>IFERROR(Y511/H511,"0")+IFERROR(Y512/H512,"0")+IFERROR(Y513/H513,"0")+IFERROR(Y514/H514,"0")+IFERROR(Y515/H515,"0")+IFERROR(Y516/H516,"0")+IFERROR(Y517/H517,"0")+IFERROR(Y518/H518,"0")</f>
        <v>5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5.6860000000000001E-2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21</v>
      </c>
      <c r="Y520" s="637">
        <f>IFERROR(SUM(Y511:Y518),"0")</f>
        <v>25.92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42</v>
      </c>
      <c r="Y528" s="636">
        <f t="shared" ref="Y528:Y534" si="76">IFERROR(IF(X528="",0,CEILING((X528/$H528),1)*$H528),"")</f>
        <v>42.24</v>
      </c>
      <c r="Z528" s="36">
        <f>IFERROR(IF(Y528=0,"",ROUNDUP(Y528/H528,0)*0.01196),"")</f>
        <v>9.5680000000000001E-2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44.784090909090907</v>
      </c>
      <c r="BN528" s="64">
        <f t="shared" ref="BN528:BN534" si="78">IFERROR(Y528*I528/H528,"0")</f>
        <v>45.04</v>
      </c>
      <c r="BO528" s="64">
        <f t="shared" ref="BO528:BO534" si="79">IFERROR(1/J528*(X528/H528),"0")</f>
        <v>7.6486013986013984E-2</v>
      </c>
      <c r="BP528" s="64">
        <f t="shared" ref="BP528:BP534" si="80">IFERROR(1/J528*(Y528/H528),"0")</f>
        <v>7.6923076923076927E-2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7.9545454545454541</v>
      </c>
      <c r="Y535" s="637">
        <f>IFERROR(Y528/H528,"0")+IFERROR(Y529/H529,"0")+IFERROR(Y530/H530,"0")+IFERROR(Y531/H531,"0")+IFERROR(Y532/H532,"0")+IFERROR(Y533/H533,"0")+IFERROR(Y534/H534,"0")</f>
        <v>8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9.5680000000000001E-2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42</v>
      </c>
      <c r="Y536" s="637">
        <f>IFERROR(SUM(Y528:Y534),"0")</f>
        <v>42.24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1892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1998.1400000000003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2001.9376312329648</v>
      </c>
      <c r="Y566" s="637">
        <f>IFERROR(SUM(BN22:BN562),"0")</f>
        <v>2113.3139999999999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4</v>
      </c>
      <c r="Y567" s="38">
        <f>ROUNDUP(SUM(BP22:BP562),0)</f>
        <v>4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2101.937631232965</v>
      </c>
      <c r="Y568" s="637">
        <f>GrossWeightTotalR+PalletQtyTotalR*25</f>
        <v>2213.3139999999999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358.09095318261984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373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4.0538299999999996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75.600000000000009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13.5</v>
      </c>
      <c r="F575" s="46">
        <f>IFERROR(Y89*1,"0")+IFERROR(Y90*1,"0")+IFERROR(Y91*1,"0")+IFERROR(Y92*1,"0")+IFERROR(Y93*1,"0")+IFERROR(Y94*1,"0")+IFERROR(Y98*1,"0")+IFERROR(Y99*1,"0")+IFERROR(Y100*1,"0")+IFERROR(Y101*1,"0")</f>
        <v>148.5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254.7</v>
      </c>
      <c r="H575" s="46">
        <f>IFERROR(Y136*1,"0")+IFERROR(Y137*1,"0")+IFERROR(Y141*1,"0")+IFERROR(Y142*1,"0")+IFERROR(Y146*1,"0")+IFERROR(Y147*1,"0")</f>
        <v>41.6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47.879999999999995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4.2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392.4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0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5.4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705</v>
      </c>
      <c r="Y575" s="46">
        <f>IFERROR(Y468*1,"0")+IFERROR(Y469*1,"0")+IFERROR(Y473*1,"0")+IFERROR(Y477*1,"0")+IFERROR(Y478*1,"0")+IFERROR(Y479*1,"0")</f>
        <v>241.2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68.16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63"/>
        <filter val="1 892,00"/>
        <filter val="1,43"/>
        <filter val="11,00"/>
        <filter val="13,33"/>
        <filter val="14,89"/>
        <filter val="142,27"/>
        <filter val="146,00"/>
        <filter val="15,00"/>
        <filter val="17,00"/>
        <filter val="17,67"/>
        <filter val="172,00"/>
        <filter val="2 001,94"/>
        <filter val="2 101,94"/>
        <filter val="2,00"/>
        <filter val="2,22"/>
        <filter val="2,44"/>
        <filter val="21,00"/>
        <filter val="234,00"/>
        <filter val="239,00"/>
        <filter val="25,00"/>
        <filter val="256,00"/>
        <filter val="26,00"/>
        <filter val="26,20"/>
        <filter val="265,00"/>
        <filter val="27,65"/>
        <filter val="28,08"/>
        <filter val="3,00"/>
        <filter val="30,00"/>
        <filter val="337,00"/>
        <filter val="34,17"/>
        <filter val="35,00"/>
        <filter val="352,00"/>
        <filter val="358,09"/>
        <filter val="393,00"/>
        <filter val="4"/>
        <filter val="4,00"/>
        <filter val="4,05"/>
        <filter val="4,17"/>
        <filter val="42,00"/>
        <filter val="47,00"/>
        <filter val="5,00"/>
        <filter val="6,02"/>
        <filter val="6,48"/>
        <filter val="60,00"/>
        <filter val="65,00"/>
        <filter val="67,00"/>
        <filter val="7,00"/>
        <filter val="7,95"/>
        <filter val="74,00"/>
        <filter val="8,93"/>
        <filter val="9,00"/>
        <filter val="9,14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