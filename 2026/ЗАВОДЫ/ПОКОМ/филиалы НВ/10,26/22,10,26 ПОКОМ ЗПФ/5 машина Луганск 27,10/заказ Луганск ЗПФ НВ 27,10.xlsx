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00C1CE7-4172-415D-AF5A-344B979301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BP274" i="1"/>
  <c r="BO274" i="1"/>
  <c r="BN274" i="1"/>
  <c r="BM274" i="1"/>
  <c r="Z274" i="1"/>
  <c r="Z277" i="1" s="1"/>
  <c r="Y274" i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64" i="1" s="1"/>
  <c r="Y261" i="1"/>
  <c r="Y265" i="1" s="1"/>
  <c r="X259" i="1"/>
  <c r="X258" i="1"/>
  <c r="BO257" i="1"/>
  <c r="BM257" i="1"/>
  <c r="Z257" i="1"/>
  <c r="Z258" i="1" s="1"/>
  <c r="Y257" i="1"/>
  <c r="P257" i="1"/>
  <c r="BO256" i="1"/>
  <c r="BM256" i="1"/>
  <c r="Z256" i="1"/>
  <c r="Y256" i="1"/>
  <c r="Y258" i="1" s="1"/>
  <c r="P256" i="1"/>
  <c r="X252" i="1"/>
  <c r="X251" i="1"/>
  <c r="BO250" i="1"/>
  <c r="BM250" i="1"/>
  <c r="Z250" i="1"/>
  <c r="Z251" i="1" s="1"/>
  <c r="Y250" i="1"/>
  <c r="Y252" i="1" s="1"/>
  <c r="P250" i="1"/>
  <c r="X248" i="1"/>
  <c r="X247" i="1"/>
  <c r="BO246" i="1"/>
  <c r="BM246" i="1"/>
  <c r="Z246" i="1"/>
  <c r="Z247" i="1" s="1"/>
  <c r="Y246" i="1"/>
  <c r="Y248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BP212" i="1" s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P202" i="1"/>
  <c r="BO202" i="1"/>
  <c r="BN202" i="1"/>
  <c r="BM202" i="1"/>
  <c r="Z202" i="1"/>
  <c r="Y202" i="1"/>
  <c r="P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Y195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Y188" i="1"/>
  <c r="P188" i="1"/>
  <c r="BP187" i="1"/>
  <c r="BO187" i="1"/>
  <c r="BN187" i="1"/>
  <c r="BM187" i="1"/>
  <c r="Z187" i="1"/>
  <c r="Z189" i="1" s="1"/>
  <c r="Y187" i="1"/>
  <c r="P187" i="1"/>
  <c r="X184" i="1"/>
  <c r="Y183" i="1"/>
  <c r="X183" i="1"/>
  <c r="BP182" i="1"/>
  <c r="BO182" i="1"/>
  <c r="BN182" i="1"/>
  <c r="BM182" i="1"/>
  <c r="Z182" i="1"/>
  <c r="Z183" i="1" s="1"/>
  <c r="Y182" i="1"/>
  <c r="Y184" i="1" s="1"/>
  <c r="P182" i="1"/>
  <c r="X180" i="1"/>
  <c r="Y179" i="1"/>
  <c r="X179" i="1"/>
  <c r="BP178" i="1"/>
  <c r="BO178" i="1"/>
  <c r="BN178" i="1"/>
  <c r="BM178" i="1"/>
  <c r="Z178" i="1"/>
  <c r="Z179" i="1" s="1"/>
  <c r="Y178" i="1"/>
  <c r="Y180" i="1" s="1"/>
  <c r="P178" i="1"/>
  <c r="X174" i="1"/>
  <c r="Y173" i="1"/>
  <c r="X173" i="1"/>
  <c r="BP172" i="1"/>
  <c r="BO172" i="1"/>
  <c r="BN172" i="1"/>
  <c r="BM172" i="1"/>
  <c r="Z172" i="1"/>
  <c r="Z173" i="1" s="1"/>
  <c r="Y172" i="1"/>
  <c r="Y174" i="1" s="1"/>
  <c r="P172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P150" i="1"/>
  <c r="BO150" i="1"/>
  <c r="BN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Z134" i="1" s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BP109" i="1" s="1"/>
  <c r="P109" i="1"/>
  <c r="BP108" i="1"/>
  <c r="BO108" i="1"/>
  <c r="BN108" i="1"/>
  <c r="BM108" i="1"/>
  <c r="Z108" i="1"/>
  <c r="Z114" i="1" s="1"/>
  <c r="Y108" i="1"/>
  <c r="P108" i="1"/>
  <c r="BO107" i="1"/>
  <c r="BM107" i="1"/>
  <c r="Z107" i="1"/>
  <c r="Y107" i="1"/>
  <c r="Y114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Y103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Z91" i="1"/>
  <c r="Y91" i="1"/>
  <c r="Y98" i="1" s="1"/>
  <c r="P91" i="1"/>
  <c r="X88" i="1"/>
  <c r="X87" i="1"/>
  <c r="BO86" i="1"/>
  <c r="BM86" i="1"/>
  <c r="Z86" i="1"/>
  <c r="Y86" i="1"/>
  <c r="BP86" i="1" s="1"/>
  <c r="P86" i="1"/>
  <c r="BO85" i="1"/>
  <c r="BM85" i="1"/>
  <c r="Z85" i="1"/>
  <c r="Y85" i="1"/>
  <c r="Y87" i="1" s="1"/>
  <c r="P85" i="1"/>
  <c r="X82" i="1"/>
  <c r="X81" i="1"/>
  <c r="BO80" i="1"/>
  <c r="BM80" i="1"/>
  <c r="Z80" i="1"/>
  <c r="Z81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7" i="1" s="1"/>
  <c r="P74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Z58" i="1"/>
  <c r="Y58" i="1"/>
  <c r="BP58" i="1" s="1"/>
  <c r="P58" i="1"/>
  <c r="BP57" i="1"/>
  <c r="BO57" i="1"/>
  <c r="BN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O51" i="1"/>
  <c r="BM51" i="1"/>
  <c r="Z51" i="1"/>
  <c r="Z53" i="1" s="1"/>
  <c r="Y51" i="1"/>
  <c r="P51" i="1"/>
  <c r="X48" i="1"/>
  <c r="X47" i="1"/>
  <c r="BO46" i="1"/>
  <c r="BM46" i="1"/>
  <c r="Z46" i="1"/>
  <c r="Y46" i="1"/>
  <c r="BP46" i="1" s="1"/>
  <c r="P46" i="1"/>
  <c r="BP45" i="1"/>
  <c r="BO45" i="1"/>
  <c r="BN45" i="1"/>
  <c r="BM45" i="1"/>
  <c r="Z45" i="1"/>
  <c r="Z47" i="1" s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Z40" i="1" s="1"/>
  <c r="Y38" i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X283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Y259" i="1" l="1"/>
  <c r="Y30" i="1"/>
  <c r="Y41" i="1"/>
  <c r="BN39" i="1"/>
  <c r="Y47" i="1"/>
  <c r="Y54" i="1"/>
  <c r="BN52" i="1"/>
  <c r="Y61" i="1"/>
  <c r="Y70" i="1"/>
  <c r="Z70" i="1"/>
  <c r="BN66" i="1"/>
  <c r="BN68" i="1"/>
  <c r="Z76" i="1"/>
  <c r="BN80" i="1"/>
  <c r="BP80" i="1"/>
  <c r="Y81" i="1"/>
  <c r="Z87" i="1"/>
  <c r="BN85" i="1"/>
  <c r="BP85" i="1"/>
  <c r="Z97" i="1"/>
  <c r="Z103" i="1"/>
  <c r="BN101" i="1"/>
  <c r="BP101" i="1"/>
  <c r="Y135" i="1"/>
  <c r="BN131" i="1"/>
  <c r="BN133" i="1"/>
  <c r="BN145" i="1"/>
  <c r="Y152" i="1"/>
  <c r="Y153" i="1"/>
  <c r="BN157" i="1"/>
  <c r="BN208" i="1"/>
  <c r="BP208" i="1"/>
  <c r="Y209" i="1"/>
  <c r="Z214" i="1"/>
  <c r="BN212" i="1"/>
  <c r="Z220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BN246" i="1"/>
  <c r="BP246" i="1"/>
  <c r="Y247" i="1"/>
  <c r="BN250" i="1"/>
  <c r="BP250" i="1"/>
  <c r="Y251" i="1"/>
  <c r="BN256" i="1"/>
  <c r="BP256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59" i="1"/>
  <c r="BP156" i="1"/>
  <c r="BN156" i="1"/>
  <c r="Y158" i="1"/>
  <c r="BP188" i="1"/>
  <c r="BN188" i="1"/>
  <c r="Y204" i="1"/>
  <c r="BP199" i="1"/>
  <c r="BN199" i="1"/>
  <c r="BP201" i="1"/>
  <c r="BN201" i="1"/>
  <c r="Y203" i="1"/>
  <c r="BP213" i="1"/>
  <c r="BN213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H9" i="1"/>
  <c r="X280" i="1"/>
  <c r="X281" i="1"/>
  <c r="BN23" i="1"/>
  <c r="BN25" i="1"/>
  <c r="BN27" i="1"/>
  <c r="BN29" i="1"/>
  <c r="X279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Y140" i="1"/>
  <c r="BN138" i="1"/>
  <c r="Y141" i="1"/>
  <c r="Y147" i="1"/>
  <c r="BP144" i="1"/>
  <c r="BN144" i="1"/>
  <c r="Y146" i="1"/>
  <c r="BP151" i="1"/>
  <c r="BN151" i="1"/>
  <c r="Z158" i="1"/>
  <c r="Y189" i="1"/>
  <c r="Y190" i="1"/>
  <c r="Y194" i="1"/>
  <c r="BP193" i="1"/>
  <c r="BN193" i="1"/>
  <c r="Z203" i="1"/>
  <c r="Y214" i="1"/>
  <c r="Y215" i="1"/>
  <c r="Y221" i="1"/>
  <c r="BP218" i="1"/>
  <c r="BN218" i="1"/>
  <c r="Y220" i="1"/>
  <c r="BP257" i="1"/>
  <c r="BN257" i="1"/>
  <c r="Y278" i="1"/>
  <c r="Z284" i="1" l="1"/>
  <c r="Y281" i="1"/>
  <c r="Y280" i="1"/>
  <c r="Y283" i="1"/>
  <c r="Y282" i="1"/>
  <c r="X282" i="1"/>
  <c r="Y279" i="1"/>
  <c r="A292" i="1" l="1"/>
  <c r="B292" i="1"/>
  <c r="C292" i="1"/>
</calcChain>
</file>

<file path=xl/sharedStrings.xml><?xml version="1.0" encoding="utf-8"?>
<sst xmlns="http://schemas.openxmlformats.org/spreadsheetml/2006/main" count="1301" uniqueCount="433">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</sst>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305"/>
      <c r="F1" s="305"/>
      <c r="G1" s="12" t="s">
        <v>1</v>
      </c>
      <c r="H1" s="3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2" t="s">
        <v>8</v>
      </c>
      <c r="B5" s="327"/>
      <c r="C5" s="328"/>
      <c r="D5" s="331"/>
      <c r="E5" s="332"/>
      <c r="F5" s="445" t="s">
        <v>9</v>
      </c>
      <c r="G5" s="328"/>
      <c r="H5" s="331"/>
      <c r="I5" s="416"/>
      <c r="J5" s="416"/>
      <c r="K5" s="416"/>
      <c r="L5" s="416"/>
      <c r="M5" s="332"/>
      <c r="N5" s="61"/>
      <c r="P5" s="24" t="s">
        <v>10</v>
      </c>
      <c r="Q5" s="452">
        <v>46321</v>
      </c>
      <c r="R5" s="351"/>
      <c r="T5" s="374" t="s">
        <v>11</v>
      </c>
      <c r="U5" s="375"/>
      <c r="V5" s="376" t="s">
        <v>12</v>
      </c>
      <c r="W5" s="351"/>
      <c r="AB5" s="51"/>
      <c r="AC5" s="51"/>
      <c r="AD5" s="51"/>
      <c r="AE5" s="51"/>
    </row>
    <row r="6" spans="1:32" s="270" customFormat="1" ht="24" customHeight="1" x14ac:dyDescent="0.2">
      <c r="A6" s="352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1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79" t="s">
        <v>15</v>
      </c>
      <c r="U6" s="375"/>
      <c r="V6" s="402" t="s">
        <v>16</v>
      </c>
      <c r="W6" s="31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5"/>
      <c r="V7" s="403"/>
      <c r="W7" s="404"/>
      <c r="AB7" s="51"/>
      <c r="AC7" s="51"/>
      <c r="AD7" s="51"/>
      <c r="AE7" s="51"/>
    </row>
    <row r="8" spans="1:32" s="270" customFormat="1" ht="25.5" customHeight="1" x14ac:dyDescent="0.2">
      <c r="A8" s="464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56">
        <v>0.41666666666666669</v>
      </c>
      <c r="R8" s="317"/>
      <c r="T8" s="289"/>
      <c r="U8" s="375"/>
      <c r="V8" s="403"/>
      <c r="W8" s="404"/>
      <c r="AB8" s="51"/>
      <c r="AC8" s="51"/>
      <c r="AD8" s="51"/>
      <c r="AE8" s="51"/>
    </row>
    <row r="9" spans="1:32" s="270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1"/>
      <c r="E9" s="29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68"/>
      <c r="P9" s="26" t="s">
        <v>19</v>
      </c>
      <c r="Q9" s="348"/>
      <c r="R9" s="349"/>
      <c r="T9" s="289"/>
      <c r="U9" s="375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1"/>
      <c r="E10" s="29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98" t="str">
        <f>IFERROR(VLOOKUP($D$10,Proxy,2,FALSE),"")</f>
        <v/>
      </c>
      <c r="I10" s="289"/>
      <c r="J10" s="289"/>
      <c r="K10" s="289"/>
      <c r="L10" s="289"/>
      <c r="M10" s="289"/>
      <c r="N10" s="269"/>
      <c r="P10" s="26" t="s">
        <v>20</v>
      </c>
      <c r="Q10" s="381"/>
      <c r="R10" s="382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0"/>
      <c r="R11" s="351"/>
      <c r="U11" s="24" t="s">
        <v>25</v>
      </c>
      <c r="V11" s="429" t="s">
        <v>26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1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56"/>
      <c r="R12" s="317"/>
      <c r="S12" s="23"/>
      <c r="U12" s="24"/>
      <c r="V12" s="305"/>
      <c r="W12" s="289"/>
      <c r="AB12" s="51"/>
      <c r="AC12" s="51"/>
      <c r="AD12" s="51"/>
      <c r="AE12" s="51"/>
    </row>
    <row r="13" spans="1:32" s="270" customFormat="1" ht="23.25" customHeight="1" x14ac:dyDescent="0.2">
      <c r="A13" s="371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9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1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66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58" t="s">
        <v>36</v>
      </c>
      <c r="D17" s="307" t="s">
        <v>37</v>
      </c>
      <c r="E17" s="340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39"/>
      <c r="R17" s="339"/>
      <c r="S17" s="339"/>
      <c r="T17" s="340"/>
      <c r="U17" s="461" t="s">
        <v>49</v>
      </c>
      <c r="V17" s="328"/>
      <c r="W17" s="307" t="s">
        <v>50</v>
      </c>
      <c r="X17" s="307" t="s">
        <v>51</v>
      </c>
      <c r="Y17" s="462" t="s">
        <v>52</v>
      </c>
      <c r="Z17" s="414" t="s">
        <v>53</v>
      </c>
      <c r="AA17" s="396" t="s">
        <v>54</v>
      </c>
      <c r="AB17" s="396" t="s">
        <v>55</v>
      </c>
      <c r="AC17" s="396" t="s">
        <v>56</v>
      </c>
      <c r="AD17" s="39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1"/>
      <c r="E18" s="343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08"/>
      <c r="X18" s="308"/>
      <c r="Y18" s="463"/>
      <c r="Z18" s="415"/>
      <c r="AA18" s="397"/>
      <c r="AB18" s="397"/>
      <c r="AC18" s="397"/>
      <c r="AD18" s="442"/>
      <c r="AE18" s="443"/>
      <c r="AF18" s="444"/>
      <c r="AG18" s="69"/>
      <c r="BD18" s="68"/>
    </row>
    <row r="19" spans="1:68" ht="27.75" hidden="1" customHeight="1" x14ac:dyDescent="0.2">
      <c r="A19" s="292" t="s">
        <v>61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48"/>
      <c r="AB19" s="48"/>
      <c r="AC19" s="48"/>
    </row>
    <row r="20" spans="1:68" ht="16.5" hidden="1" customHeight="1" x14ac:dyDescent="0.25">
      <c r="A20" s="288" t="s">
        <v>61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1"/>
      <c r="AB20" s="271"/>
      <c r="AC20" s="271"/>
    </row>
    <row r="21" spans="1:68" ht="14.25" hidden="1" customHeight="1" x14ac:dyDescent="0.25">
      <c r="A21" s="311" t="s">
        <v>62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12</v>
      </c>
      <c r="Y29" s="277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4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5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36</v>
      </c>
      <c r="Y30" s="278">
        <f>IFERROR(SUM(Y22:Y29),"0")</f>
        <v>36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79"/>
      <c r="AB30" s="279"/>
      <c r="AC30" s="279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5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259.20000000000005</v>
      </c>
      <c r="Y31" s="278">
        <f>IFERROR(SUMPRODUCT(Y22:Y29*H22:H29),"0")</f>
        <v>259.20000000000005</v>
      </c>
      <c r="Z31" s="37"/>
      <c r="AA31" s="279"/>
      <c r="AB31" s="279"/>
      <c r="AC31" s="279"/>
    </row>
    <row r="32" spans="1:68" ht="14.25" hidden="1" customHeight="1" x14ac:dyDescent="0.25">
      <c r="A32" s="311" t="s">
        <v>89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0">
        <v>4620207492178</v>
      </c>
      <c r="E33" s="281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4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5"/>
      <c r="P34" s="285" t="s">
        <v>87</v>
      </c>
      <c r="Q34" s="286"/>
      <c r="R34" s="286"/>
      <c r="S34" s="286"/>
      <c r="T34" s="286"/>
      <c r="U34" s="286"/>
      <c r="V34" s="287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5"/>
      <c r="P35" s="285" t="s">
        <v>87</v>
      </c>
      <c r="Q35" s="286"/>
      <c r="R35" s="286"/>
      <c r="S35" s="286"/>
      <c r="T35" s="286"/>
      <c r="U35" s="286"/>
      <c r="V35" s="287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8" t="s">
        <v>94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71"/>
      <c r="AB36" s="271"/>
      <c r="AC36" s="271"/>
    </row>
    <row r="37" spans="1:68" ht="14.25" hidden="1" customHeight="1" x14ac:dyDescent="0.25">
      <c r="A37" s="311" t="s">
        <v>62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0">
        <v>4607111039019</v>
      </c>
      <c r="E38" s="281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0">
        <v>4607111038708</v>
      </c>
      <c r="E39" s="281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4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5"/>
      <c r="P40" s="285" t="s">
        <v>87</v>
      </c>
      <c r="Q40" s="286"/>
      <c r="R40" s="286"/>
      <c r="S40" s="286"/>
      <c r="T40" s="286"/>
      <c r="U40" s="286"/>
      <c r="V40" s="287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5"/>
      <c r="P41" s="285" t="s">
        <v>87</v>
      </c>
      <c r="Q41" s="286"/>
      <c r="R41" s="286"/>
      <c r="S41" s="286"/>
      <c r="T41" s="286"/>
      <c r="U41" s="286"/>
      <c r="V41" s="287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2" t="s">
        <v>100</v>
      </c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48"/>
      <c r="AB42" s="48"/>
      <c r="AC42" s="48"/>
    </row>
    <row r="43" spans="1:68" ht="16.5" hidden="1" customHeight="1" x14ac:dyDescent="0.25">
      <c r="A43" s="288" t="s">
        <v>101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71"/>
      <c r="AB43" s="271"/>
      <c r="AC43" s="271"/>
    </row>
    <row r="44" spans="1:68" ht="14.25" hidden="1" customHeight="1" x14ac:dyDescent="0.25">
      <c r="A44" s="311" t="s">
        <v>102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0">
        <v>4607111036537</v>
      </c>
      <c r="E45" s="281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68</v>
      </c>
      <c r="X45" s="276">
        <v>126</v>
      </c>
      <c r="Y45" s="277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0">
        <v>4607111036605</v>
      </c>
      <c r="E46" s="281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294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95"/>
      <c r="P47" s="285" t="s">
        <v>87</v>
      </c>
      <c r="Q47" s="286"/>
      <c r="R47" s="286"/>
      <c r="S47" s="286"/>
      <c r="T47" s="286"/>
      <c r="U47" s="286"/>
      <c r="V47" s="287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5"/>
      <c r="P48" s="285" t="s">
        <v>87</v>
      </c>
      <c r="Q48" s="286"/>
      <c r="R48" s="286"/>
      <c r="S48" s="286"/>
      <c r="T48" s="286"/>
      <c r="U48" s="286"/>
      <c r="V48" s="287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288" t="s">
        <v>112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71"/>
      <c r="AB49" s="271"/>
      <c r="AC49" s="271"/>
    </row>
    <row r="50" spans="1:68" ht="14.25" hidden="1" customHeight="1" x14ac:dyDescent="0.25">
      <c r="A50" s="311" t="s">
        <v>62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0">
        <v>4620207490075</v>
      </c>
      <c r="E51" s="281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68</v>
      </c>
      <c r="X51" s="276">
        <v>60</v>
      </c>
      <c r="Y51" s="277">
        <f>IFERROR(IF(X51="","",X51),"")</f>
        <v>60</v>
      </c>
      <c r="Z51" s="36">
        <f>IFERROR(IF(X51="","",X51*0.0155),"")</f>
        <v>0.92999999999999994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352.2</v>
      </c>
      <c r="BN51" s="67">
        <f>IFERROR(Y51*I51,"0")</f>
        <v>352.2</v>
      </c>
      <c r="BO51" s="67">
        <f>IFERROR(X51/J51,"0")</f>
        <v>0.7142857142857143</v>
      </c>
      <c r="BP51" s="67">
        <f>IFERROR(Y51/J51,"0")</f>
        <v>0.7142857142857143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0">
        <v>4620207490174</v>
      </c>
      <c r="E52" s="281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x14ac:dyDescent="0.2">
      <c r="A53" s="294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95"/>
      <c r="P53" s="285" t="s">
        <v>87</v>
      </c>
      <c r="Q53" s="286"/>
      <c r="R53" s="286"/>
      <c r="S53" s="286"/>
      <c r="T53" s="286"/>
      <c r="U53" s="286"/>
      <c r="V53" s="287"/>
      <c r="W53" s="37" t="s">
        <v>68</v>
      </c>
      <c r="X53" s="278">
        <f>IFERROR(SUM(X51:X52),"0")</f>
        <v>60</v>
      </c>
      <c r="Y53" s="278">
        <f>IFERROR(SUM(Y51:Y52),"0")</f>
        <v>60</v>
      </c>
      <c r="Z53" s="278">
        <f>IFERROR(IF(Z51="",0,Z51),"0")+IFERROR(IF(Z52="",0,Z52),"0")</f>
        <v>0.92999999999999994</v>
      </c>
      <c r="AA53" s="279"/>
      <c r="AB53" s="279"/>
      <c r="AC53" s="279"/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5"/>
      <c r="P54" s="285" t="s">
        <v>87</v>
      </c>
      <c r="Q54" s="286"/>
      <c r="R54" s="286"/>
      <c r="S54" s="286"/>
      <c r="T54" s="286"/>
      <c r="U54" s="286"/>
      <c r="V54" s="287"/>
      <c r="W54" s="37" t="s">
        <v>88</v>
      </c>
      <c r="X54" s="278">
        <f>IFERROR(SUMPRODUCT(X51:X52*H51:H52),"0")</f>
        <v>336</v>
      </c>
      <c r="Y54" s="278">
        <f>IFERROR(SUMPRODUCT(Y51:Y52*H51:H52),"0")</f>
        <v>336</v>
      </c>
      <c r="Z54" s="37"/>
      <c r="AA54" s="279"/>
      <c r="AB54" s="279"/>
      <c r="AC54" s="279"/>
    </row>
    <row r="55" spans="1:68" ht="16.5" hidden="1" customHeight="1" x14ac:dyDescent="0.25">
      <c r="A55" s="288" t="s">
        <v>119</v>
      </c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71"/>
      <c r="AB55" s="271"/>
      <c r="AC55" s="271"/>
    </row>
    <row r="56" spans="1:68" ht="14.25" hidden="1" customHeight="1" x14ac:dyDescent="0.25">
      <c r="A56" s="311" t="s">
        <v>62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0">
        <v>4607111039385</v>
      </c>
      <c r="E57" s="281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6">
        <v>12</v>
      </c>
      <c r="Y57" s="277">
        <f>IFERROR(IF(X57="","",X57),"")</f>
        <v>12</v>
      </c>
      <c r="Z57" s="36">
        <f>IFERROR(IF(X57="","",X57*0.0155),"")</f>
        <v>0.186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0">
        <v>4607111038982</v>
      </c>
      <c r="E58" s="281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68</v>
      </c>
      <c r="X58" s="276">
        <v>12</v>
      </c>
      <c r="Y58" s="277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0">
        <v>4607111039354</v>
      </c>
      <c r="E59" s="281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0">
        <v>4607111039330</v>
      </c>
      <c r="E60" s="281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94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5"/>
      <c r="P61" s="285" t="s">
        <v>87</v>
      </c>
      <c r="Q61" s="286"/>
      <c r="R61" s="286"/>
      <c r="S61" s="286"/>
      <c r="T61" s="286"/>
      <c r="U61" s="286"/>
      <c r="V61" s="287"/>
      <c r="W61" s="37" t="s">
        <v>68</v>
      </c>
      <c r="X61" s="278">
        <f>IFERROR(SUM(X57:X60),"0")</f>
        <v>36</v>
      </c>
      <c r="Y61" s="278">
        <f>IFERROR(SUM(Y57:Y60),"0")</f>
        <v>36</v>
      </c>
      <c r="Z61" s="278">
        <f>IFERROR(IF(Z57="",0,Z57),"0")+IFERROR(IF(Z58="",0,Z58),"0")+IFERROR(IF(Z59="",0,Z59),"0")+IFERROR(IF(Z60="",0,Z60),"0")</f>
        <v>0.55800000000000005</v>
      </c>
      <c r="AA61" s="279"/>
      <c r="AB61" s="279"/>
      <c r="AC61" s="279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5"/>
      <c r="P62" s="285" t="s">
        <v>87</v>
      </c>
      <c r="Q62" s="286"/>
      <c r="R62" s="286"/>
      <c r="S62" s="286"/>
      <c r="T62" s="286"/>
      <c r="U62" s="286"/>
      <c r="V62" s="287"/>
      <c r="W62" s="37" t="s">
        <v>88</v>
      </c>
      <c r="X62" s="278">
        <f>IFERROR(SUMPRODUCT(X57:X60*H57:H60),"0")</f>
        <v>252</v>
      </c>
      <c r="Y62" s="278">
        <f>IFERROR(SUMPRODUCT(Y57:Y60*H57:H60),"0")</f>
        <v>252</v>
      </c>
      <c r="Z62" s="37"/>
      <c r="AA62" s="279"/>
      <c r="AB62" s="279"/>
      <c r="AC62" s="279"/>
    </row>
    <row r="63" spans="1:68" ht="16.5" hidden="1" customHeight="1" x14ac:dyDescent="0.25">
      <c r="A63" s="288" t="s">
        <v>130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71"/>
      <c r="AB63" s="271"/>
      <c r="AC63" s="271"/>
    </row>
    <row r="64" spans="1:68" ht="14.25" hidden="1" customHeight="1" x14ac:dyDescent="0.25">
      <c r="A64" s="311" t="s">
        <v>131</v>
      </c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0">
        <v>4607111039712</v>
      </c>
      <c r="E65" s="281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0">
        <v>4607111039705</v>
      </c>
      <c r="E66" s="281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59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0">
        <v>4607111039729</v>
      </c>
      <c r="E67" s="281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4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141</v>
      </c>
      <c r="B68" s="54" t="s">
        <v>142</v>
      </c>
      <c r="C68" s="31">
        <v>4301135702</v>
      </c>
      <c r="D68" s="280">
        <v>4620207490228</v>
      </c>
      <c r="E68" s="281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63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4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5"/>
      <c r="P70" s="285" t="s">
        <v>87</v>
      </c>
      <c r="Q70" s="286"/>
      <c r="R70" s="286"/>
      <c r="S70" s="286"/>
      <c r="T70" s="286"/>
      <c r="U70" s="286"/>
      <c r="V70" s="287"/>
      <c r="W70" s="37" t="s">
        <v>68</v>
      </c>
      <c r="X70" s="278">
        <f>IFERROR(SUM(X65:X69),"0")</f>
        <v>0</v>
      </c>
      <c r="Y70" s="278">
        <f>IFERROR(SUM(Y65:Y69),"0")</f>
        <v>0</v>
      </c>
      <c r="Z70" s="278">
        <f>IFERROR(IF(Z65="",0,Z65),"0")+IFERROR(IF(Z66="",0,Z66),"0")+IFERROR(IF(Z67="",0,Z67),"0")+IFERROR(IF(Z68="",0,Z68),"0")+IFERROR(IF(Z69="",0,Z69),"0")</f>
        <v>0</v>
      </c>
      <c r="AA70" s="279"/>
      <c r="AB70" s="279"/>
      <c r="AC70" s="279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5"/>
      <c r="P71" s="285" t="s">
        <v>87</v>
      </c>
      <c r="Q71" s="286"/>
      <c r="R71" s="286"/>
      <c r="S71" s="286"/>
      <c r="T71" s="286"/>
      <c r="U71" s="286"/>
      <c r="V71" s="287"/>
      <c r="W71" s="37" t="s">
        <v>88</v>
      </c>
      <c r="X71" s="278">
        <f>IFERROR(SUMPRODUCT(X65:X69*H65:H69),"0")</f>
        <v>0</v>
      </c>
      <c r="Y71" s="278">
        <f>IFERROR(SUMPRODUCT(Y65:Y69*H65:H69),"0")</f>
        <v>0</v>
      </c>
      <c r="Z71" s="37"/>
      <c r="AA71" s="279"/>
      <c r="AB71" s="279"/>
      <c r="AC71" s="279"/>
    </row>
    <row r="72" spans="1:68" ht="16.5" hidden="1" customHeight="1" x14ac:dyDescent="0.25">
      <c r="A72" s="288" t="s">
        <v>145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71"/>
      <c r="AB72" s="271"/>
      <c r="AC72" s="271"/>
    </row>
    <row r="73" spans="1:68" ht="14.25" hidden="1" customHeight="1" x14ac:dyDescent="0.25">
      <c r="A73" s="311" t="s">
        <v>62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0">
        <v>4607111037411</v>
      </c>
      <c r="E74" s="281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0">
        <v>4607111036728</v>
      </c>
      <c r="E75" s="281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68</v>
      </c>
      <c r="X75" s="276">
        <v>96</v>
      </c>
      <c r="Y75" s="277">
        <f>IFERROR(IF(X75="","",X75),"")</f>
        <v>96</v>
      </c>
      <c r="Z75" s="36">
        <f>IFERROR(IF(X75="","",X75*0.00866),"")</f>
        <v>0.83135999999999988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500.46719999999993</v>
      </c>
      <c r="BN75" s="67">
        <f>IFERROR(Y75*I75,"0")</f>
        <v>500.46719999999993</v>
      </c>
      <c r="BO75" s="67">
        <f>IFERROR(X75/J75,"0")</f>
        <v>0.66666666666666663</v>
      </c>
      <c r="BP75" s="67">
        <f>IFERROR(Y75/J75,"0")</f>
        <v>0.66666666666666663</v>
      </c>
    </row>
    <row r="76" spans="1:68" x14ac:dyDescent="0.2">
      <c r="A76" s="294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5"/>
      <c r="P76" s="285" t="s">
        <v>87</v>
      </c>
      <c r="Q76" s="286"/>
      <c r="R76" s="286"/>
      <c r="S76" s="286"/>
      <c r="T76" s="286"/>
      <c r="U76" s="286"/>
      <c r="V76" s="287"/>
      <c r="W76" s="37" t="s">
        <v>68</v>
      </c>
      <c r="X76" s="278">
        <f>IFERROR(SUM(X74:X75),"0")</f>
        <v>96</v>
      </c>
      <c r="Y76" s="278">
        <f>IFERROR(SUM(Y74:Y75),"0")</f>
        <v>96</v>
      </c>
      <c r="Z76" s="278">
        <f>IFERROR(IF(Z74="",0,Z74),"0")+IFERROR(IF(Z75="",0,Z75),"0")</f>
        <v>0.83135999999999988</v>
      </c>
      <c r="AA76" s="279"/>
      <c r="AB76" s="279"/>
      <c r="AC76" s="279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5"/>
      <c r="P77" s="285" t="s">
        <v>87</v>
      </c>
      <c r="Q77" s="286"/>
      <c r="R77" s="286"/>
      <c r="S77" s="286"/>
      <c r="T77" s="286"/>
      <c r="U77" s="286"/>
      <c r="V77" s="287"/>
      <c r="W77" s="37" t="s">
        <v>88</v>
      </c>
      <c r="X77" s="278">
        <f>IFERROR(SUMPRODUCT(X74:X75*H74:H75),"0")</f>
        <v>480</v>
      </c>
      <c r="Y77" s="278">
        <f>IFERROR(SUMPRODUCT(Y74:Y75*H74:H75),"0")</f>
        <v>480</v>
      </c>
      <c r="Z77" s="37"/>
      <c r="AA77" s="279"/>
      <c r="AB77" s="279"/>
      <c r="AC77" s="279"/>
    </row>
    <row r="78" spans="1:68" ht="16.5" hidden="1" customHeight="1" x14ac:dyDescent="0.25">
      <c r="A78" s="288" t="s">
        <v>152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71"/>
      <c r="AB78" s="271"/>
      <c r="AC78" s="271"/>
    </row>
    <row r="79" spans="1:68" ht="14.25" hidden="1" customHeight="1" x14ac:dyDescent="0.25">
      <c r="A79" s="311" t="s">
        <v>153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0">
        <v>4620207491638</v>
      </c>
      <c r="E80" s="281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4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5"/>
      <c r="P81" s="285" t="s">
        <v>87</v>
      </c>
      <c r="Q81" s="286"/>
      <c r="R81" s="286"/>
      <c r="S81" s="286"/>
      <c r="T81" s="286"/>
      <c r="U81" s="286"/>
      <c r="V81" s="287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5"/>
      <c r="P82" s="285" t="s">
        <v>87</v>
      </c>
      <c r="Q82" s="286"/>
      <c r="R82" s="286"/>
      <c r="S82" s="286"/>
      <c r="T82" s="286"/>
      <c r="U82" s="286"/>
      <c r="V82" s="287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8" t="s">
        <v>157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71"/>
      <c r="AB83" s="271"/>
      <c r="AC83" s="271"/>
    </row>
    <row r="84" spans="1:68" ht="14.25" hidden="1" customHeight="1" x14ac:dyDescent="0.25">
      <c r="A84" s="311" t="s">
        <v>158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0">
        <v>4607111034120</v>
      </c>
      <c r="E85" s="281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68</v>
      </c>
      <c r="X85" s="276">
        <v>112</v>
      </c>
      <c r="Y85" s="277">
        <f>IFERROR(IF(X85="","",X85),"")</f>
        <v>112</v>
      </c>
      <c r="Z85" s="36">
        <f>IFERROR(IF(X85="","",X85*0.01788),"")</f>
        <v>2.0025599999999999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482.00320000000005</v>
      </c>
      <c r="BN85" s="67">
        <f>IFERROR(Y85*I85,"0")</f>
        <v>482.00320000000005</v>
      </c>
      <c r="BO85" s="67">
        <f>IFERROR(X85/J85,"0")</f>
        <v>1.6</v>
      </c>
      <c r="BP85" s="67">
        <f>IFERROR(Y85/J85,"0")</f>
        <v>1.6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0">
        <v>4607111034137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68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4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5"/>
      <c r="P87" s="285" t="s">
        <v>87</v>
      </c>
      <c r="Q87" s="286"/>
      <c r="R87" s="286"/>
      <c r="S87" s="286"/>
      <c r="T87" s="286"/>
      <c r="U87" s="286"/>
      <c r="V87" s="287"/>
      <c r="W87" s="37" t="s">
        <v>68</v>
      </c>
      <c r="X87" s="278">
        <f>IFERROR(SUM(X85:X86),"0")</f>
        <v>154</v>
      </c>
      <c r="Y87" s="278">
        <f>IFERROR(SUM(Y85:Y86),"0")</f>
        <v>154</v>
      </c>
      <c r="Z87" s="278">
        <f>IFERROR(IF(Z85="",0,Z85),"0")+IFERROR(IF(Z86="",0,Z86),"0")</f>
        <v>2.75352</v>
      </c>
      <c r="AA87" s="279"/>
      <c r="AB87" s="279"/>
      <c r="AC87" s="279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5"/>
      <c r="P88" s="285" t="s">
        <v>87</v>
      </c>
      <c r="Q88" s="286"/>
      <c r="R88" s="286"/>
      <c r="S88" s="286"/>
      <c r="T88" s="286"/>
      <c r="U88" s="286"/>
      <c r="V88" s="287"/>
      <c r="W88" s="37" t="s">
        <v>88</v>
      </c>
      <c r="X88" s="278">
        <f>IFERROR(SUMPRODUCT(X85:X86*H85:H86),"0")</f>
        <v>554.4</v>
      </c>
      <c r="Y88" s="278">
        <f>IFERROR(SUMPRODUCT(Y85:Y86*H85:H86),"0")</f>
        <v>554.4</v>
      </c>
      <c r="Z88" s="37"/>
      <c r="AA88" s="279"/>
      <c r="AB88" s="279"/>
      <c r="AC88" s="279"/>
    </row>
    <row r="89" spans="1:68" ht="16.5" hidden="1" customHeight="1" x14ac:dyDescent="0.25">
      <c r="A89" s="288" t="s">
        <v>165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71"/>
      <c r="AB89" s="271"/>
      <c r="AC89" s="271"/>
    </row>
    <row r="90" spans="1:68" ht="14.25" hidden="1" customHeight="1" x14ac:dyDescent="0.25">
      <c r="A90" s="311" t="s">
        <v>153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0">
        <v>4620207491027</v>
      </c>
      <c r="E91" s="281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68</v>
      </c>
      <c r="X91" s="276">
        <v>70</v>
      </c>
      <c r="Y91" s="277">
        <f t="shared" ref="Y91:Y96" si="6">IFERROR(IF(X91="","",X91),"")</f>
        <v>70</v>
      </c>
      <c r="Z91" s="36">
        <f t="shared" ref="Z91:Z96" si="7">IFERROR(IF(X91="","",X91*0.01788),"")</f>
        <v>1.2516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250.852</v>
      </c>
      <c r="BN91" s="67">
        <f t="shared" ref="BN91:BN96" si="9">IFERROR(Y91*I91,"0")</f>
        <v>250.852</v>
      </c>
      <c r="BO91" s="67">
        <f t="shared" ref="BO91:BO96" si="10">IFERROR(X91/J91,"0")</f>
        <v>1</v>
      </c>
      <c r="BP91" s="67">
        <f t="shared" ref="BP91:BP96" si="11">IFERROR(Y91/J91,"0")</f>
        <v>1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0">
        <v>4620207491621</v>
      </c>
      <c r="E92" s="281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1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68</v>
      </c>
      <c r="X92" s="276">
        <v>112</v>
      </c>
      <c r="Y92" s="277">
        <f t="shared" si="6"/>
        <v>112</v>
      </c>
      <c r="Z92" s="36">
        <f t="shared" si="7"/>
        <v>2.0025599999999999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401.36320000000001</v>
      </c>
      <c r="BN92" s="67">
        <f t="shared" si="9"/>
        <v>401.36320000000001</v>
      </c>
      <c r="BO92" s="67">
        <f t="shared" si="10"/>
        <v>1.6</v>
      </c>
      <c r="BP92" s="67">
        <f t="shared" si="11"/>
        <v>1.6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0">
        <v>4620207491881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6">
        <v>42</v>
      </c>
      <c r="Y93" s="277">
        <f t="shared" si="6"/>
        <v>42</v>
      </c>
      <c r="Z93" s="36">
        <f t="shared" si="7"/>
        <v>0.75095999999999996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150.5112</v>
      </c>
      <c r="BN93" s="67">
        <f t="shared" si="9"/>
        <v>150.5112</v>
      </c>
      <c r="BO93" s="67">
        <f t="shared" si="10"/>
        <v>0.6</v>
      </c>
      <c r="BP93" s="67">
        <f t="shared" si="11"/>
        <v>0.6</v>
      </c>
    </row>
    <row r="94" spans="1:68" ht="27" hidden="1" customHeight="1" x14ac:dyDescent="0.25">
      <c r="A94" s="54" t="s">
        <v>174</v>
      </c>
      <c r="B94" s="54" t="s">
        <v>175</v>
      </c>
      <c r="C94" s="31">
        <v>4301135920</v>
      </c>
      <c r="D94" s="280">
        <v>4620207491577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0">
        <v>4620207491874</v>
      </c>
      <c r="E95" s="281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0">
        <v>4620207491782</v>
      </c>
      <c r="E96" s="281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98</v>
      </c>
      <c r="Y96" s="277">
        <f t="shared" si="6"/>
        <v>98</v>
      </c>
      <c r="Z96" s="36">
        <f t="shared" si="7"/>
        <v>1.75224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443.86160000000001</v>
      </c>
      <c r="BN96" s="67">
        <f t="shared" si="9"/>
        <v>443.86160000000001</v>
      </c>
      <c r="BO96" s="67">
        <f t="shared" si="10"/>
        <v>1.4</v>
      </c>
      <c r="BP96" s="67">
        <f t="shared" si="11"/>
        <v>1.4</v>
      </c>
    </row>
    <row r="97" spans="1:68" x14ac:dyDescent="0.2">
      <c r="A97" s="294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5"/>
      <c r="P97" s="285" t="s">
        <v>87</v>
      </c>
      <c r="Q97" s="286"/>
      <c r="R97" s="286"/>
      <c r="S97" s="286"/>
      <c r="T97" s="286"/>
      <c r="U97" s="286"/>
      <c r="V97" s="287"/>
      <c r="W97" s="37" t="s">
        <v>68</v>
      </c>
      <c r="X97" s="278">
        <f>IFERROR(SUM(X91:X96),"0")</f>
        <v>322</v>
      </c>
      <c r="Y97" s="278">
        <f>IFERROR(SUM(Y91:Y96),"0")</f>
        <v>322</v>
      </c>
      <c r="Z97" s="278">
        <f>IFERROR(IF(Z91="",0,Z91),"0")+IFERROR(IF(Z92="",0,Z92),"0")+IFERROR(IF(Z93="",0,Z93),"0")+IFERROR(IF(Z94="",0,Z94),"0")+IFERROR(IF(Z95="",0,Z95),"0")+IFERROR(IF(Z96="",0,Z96),"0")</f>
        <v>5.7573600000000003</v>
      </c>
      <c r="AA97" s="279"/>
      <c r="AB97" s="279"/>
      <c r="AC97" s="279"/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5"/>
      <c r="P98" s="285" t="s">
        <v>87</v>
      </c>
      <c r="Q98" s="286"/>
      <c r="R98" s="286"/>
      <c r="S98" s="286"/>
      <c r="T98" s="286"/>
      <c r="U98" s="286"/>
      <c r="V98" s="287"/>
      <c r="W98" s="37" t="s">
        <v>88</v>
      </c>
      <c r="X98" s="278">
        <f>IFERROR(SUMPRODUCT(X91:X96*H91:H96),"0")</f>
        <v>1056.72</v>
      </c>
      <c r="Y98" s="278">
        <f>IFERROR(SUMPRODUCT(Y91:Y96*H91:H96),"0")</f>
        <v>1056.72</v>
      </c>
      <c r="Z98" s="37"/>
      <c r="AA98" s="279"/>
      <c r="AB98" s="279"/>
      <c r="AC98" s="279"/>
    </row>
    <row r="99" spans="1:68" ht="16.5" hidden="1" customHeight="1" x14ac:dyDescent="0.25">
      <c r="A99" s="288" t="s">
        <v>180</v>
      </c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71"/>
      <c r="AB99" s="271"/>
      <c r="AC99" s="271"/>
    </row>
    <row r="100" spans="1:68" ht="14.25" hidden="1" customHeight="1" x14ac:dyDescent="0.25">
      <c r="A100" s="311" t="s">
        <v>181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72"/>
      <c r="AB100" s="272"/>
      <c r="AC100" s="272"/>
    </row>
    <row r="101" spans="1:68" ht="27" customHeight="1" x14ac:dyDescent="0.25">
      <c r="A101" s="54" t="s">
        <v>182</v>
      </c>
      <c r="B101" s="54" t="s">
        <v>183</v>
      </c>
      <c r="C101" s="31">
        <v>4301136101</v>
      </c>
      <c r="D101" s="280">
        <v>4620207491652</v>
      </c>
      <c r="E101" s="281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3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6">
        <v>56</v>
      </c>
      <c r="Y101" s="277">
        <f>IFERROR(IF(X101="","",X101),"")</f>
        <v>56</v>
      </c>
      <c r="Z101" s="36">
        <f>IFERROR(IF(X101="","",X101*0.00936),"")</f>
        <v>0.52415999999999996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139.50720000000001</v>
      </c>
      <c r="BN101" s="67">
        <f>IFERROR(Y101*I101,"0")</f>
        <v>139.50720000000001</v>
      </c>
      <c r="BO101" s="67">
        <f>IFERROR(X101/J101,"0")</f>
        <v>0.44444444444444442</v>
      </c>
      <c r="BP101" s="67">
        <f>IFERROR(Y101/J101,"0")</f>
        <v>0.44444444444444442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0">
        <v>4620207491645</v>
      </c>
      <c r="E102" s="281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3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294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5"/>
      <c r="P103" s="285" t="s">
        <v>87</v>
      </c>
      <c r="Q103" s="286"/>
      <c r="R103" s="286"/>
      <c r="S103" s="286"/>
      <c r="T103" s="286"/>
      <c r="U103" s="286"/>
      <c r="V103" s="287"/>
      <c r="W103" s="37" t="s">
        <v>68</v>
      </c>
      <c r="X103" s="278">
        <f>IFERROR(SUM(X101:X102),"0")</f>
        <v>56</v>
      </c>
      <c r="Y103" s="278">
        <f>IFERROR(SUM(Y101:Y102),"0")</f>
        <v>56</v>
      </c>
      <c r="Z103" s="278">
        <f>IFERROR(IF(Z101="",0,Z101),"0")+IFERROR(IF(Z102="",0,Z102),"0")</f>
        <v>0.52415999999999996</v>
      </c>
      <c r="AA103" s="279"/>
      <c r="AB103" s="279"/>
      <c r="AC103" s="279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5"/>
      <c r="P104" s="285" t="s">
        <v>87</v>
      </c>
      <c r="Q104" s="286"/>
      <c r="R104" s="286"/>
      <c r="S104" s="286"/>
      <c r="T104" s="286"/>
      <c r="U104" s="286"/>
      <c r="V104" s="287"/>
      <c r="W104" s="37" t="s">
        <v>88</v>
      </c>
      <c r="X104" s="278">
        <f>IFERROR(SUMPRODUCT(X101:X102*H101:H102),"0")</f>
        <v>120.96000000000001</v>
      </c>
      <c r="Y104" s="278">
        <f>IFERROR(SUMPRODUCT(Y101:Y102*H101:H102),"0")</f>
        <v>120.96000000000001</v>
      </c>
      <c r="Z104" s="37"/>
      <c r="AA104" s="279"/>
      <c r="AB104" s="279"/>
      <c r="AC104" s="279"/>
    </row>
    <row r="105" spans="1:68" ht="16.5" hidden="1" customHeight="1" x14ac:dyDescent="0.25">
      <c r="A105" s="288" t="s">
        <v>187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71"/>
      <c r="AB105" s="271"/>
      <c r="AC105" s="271"/>
    </row>
    <row r="106" spans="1:68" ht="14.25" hidden="1" customHeight="1" x14ac:dyDescent="0.25">
      <c r="A106" s="311" t="s">
        <v>62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0">
        <v>4620207491157</v>
      </c>
      <c r="E107" s="281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3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68</v>
      </c>
      <c r="X107" s="276">
        <v>12</v>
      </c>
      <c r="Y107" s="277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0">
        <v>4620207491393</v>
      </c>
      <c r="E108" s="281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0">
        <v>4607111039262</v>
      </c>
      <c r="E109" s="281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0">
        <v>4607111039248</v>
      </c>
      <c r="E110" s="281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12</v>
      </c>
      <c r="Y110" s="277">
        <f t="shared" si="12"/>
        <v>12</v>
      </c>
      <c r="Z110" s="36">
        <f t="shared" si="13"/>
        <v>0.186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87.6</v>
      </c>
      <c r="BN110" s="67">
        <f t="shared" si="15"/>
        <v>87.6</v>
      </c>
      <c r="BO110" s="67">
        <f t="shared" si="16"/>
        <v>0.14285714285714285</v>
      </c>
      <c r="BP110" s="67">
        <f t="shared" si="17"/>
        <v>0.14285714285714285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0">
        <v>4607111037145</v>
      </c>
      <c r="E111" s="281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201</v>
      </c>
      <c r="B112" s="54" t="s">
        <v>202</v>
      </c>
      <c r="C112" s="31">
        <v>4301071139</v>
      </c>
      <c r="D112" s="280">
        <v>4607111039293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0">
        <v>4607111039279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60</v>
      </c>
      <c r="Y113" s="277">
        <f t="shared" si="12"/>
        <v>60</v>
      </c>
      <c r="Z113" s="36">
        <f t="shared" si="13"/>
        <v>0.92999999999999994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438</v>
      </c>
      <c r="BN113" s="67">
        <f t="shared" si="15"/>
        <v>438</v>
      </c>
      <c r="BO113" s="67">
        <f t="shared" si="16"/>
        <v>0.7142857142857143</v>
      </c>
      <c r="BP113" s="67">
        <f t="shared" si="17"/>
        <v>0.7142857142857143</v>
      </c>
    </row>
    <row r="114" spans="1:68" x14ac:dyDescent="0.2">
      <c r="A114" s="294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5"/>
      <c r="P114" s="285" t="s">
        <v>87</v>
      </c>
      <c r="Q114" s="286"/>
      <c r="R114" s="286"/>
      <c r="S114" s="286"/>
      <c r="T114" s="286"/>
      <c r="U114" s="286"/>
      <c r="V114" s="287"/>
      <c r="W114" s="37" t="s">
        <v>68</v>
      </c>
      <c r="X114" s="278">
        <f>IFERROR(SUM(X107:X113),"0")</f>
        <v>84</v>
      </c>
      <c r="Y114" s="278">
        <f>IFERROR(SUM(Y107:Y113),"0")</f>
        <v>84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1.302</v>
      </c>
      <c r="AA114" s="279"/>
      <c r="AB114" s="279"/>
      <c r="AC114" s="279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5"/>
      <c r="P115" s="285" t="s">
        <v>87</v>
      </c>
      <c r="Q115" s="286"/>
      <c r="R115" s="286"/>
      <c r="S115" s="286"/>
      <c r="T115" s="286"/>
      <c r="U115" s="286"/>
      <c r="V115" s="287"/>
      <c r="W115" s="37" t="s">
        <v>88</v>
      </c>
      <c r="X115" s="278">
        <f>IFERROR(SUMPRODUCT(X107:X113*H107:H113),"0")</f>
        <v>588</v>
      </c>
      <c r="Y115" s="278">
        <f>IFERROR(SUMPRODUCT(Y107:Y113*H107:H113),"0")</f>
        <v>588</v>
      </c>
      <c r="Z115" s="37"/>
      <c r="AA115" s="279"/>
      <c r="AB115" s="279"/>
      <c r="AC115" s="279"/>
    </row>
    <row r="116" spans="1:68" ht="14.25" hidden="1" customHeight="1" x14ac:dyDescent="0.25">
      <c r="A116" s="311" t="s">
        <v>153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0">
        <v>4620207490983</v>
      </c>
      <c r="E117" s="281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4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5"/>
      <c r="P118" s="285" t="s">
        <v>87</v>
      </c>
      <c r="Q118" s="286"/>
      <c r="R118" s="286"/>
      <c r="S118" s="286"/>
      <c r="T118" s="286"/>
      <c r="U118" s="286"/>
      <c r="V118" s="287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5"/>
      <c r="P119" s="285" t="s">
        <v>87</v>
      </c>
      <c r="Q119" s="286"/>
      <c r="R119" s="286"/>
      <c r="S119" s="286"/>
      <c r="T119" s="286"/>
      <c r="U119" s="286"/>
      <c r="V119" s="287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11" t="s">
        <v>209</v>
      </c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0">
        <v>4620207491140</v>
      </c>
      <c r="E121" s="281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4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5"/>
      <c r="P122" s="285" t="s">
        <v>87</v>
      </c>
      <c r="Q122" s="286"/>
      <c r="R122" s="286"/>
      <c r="S122" s="286"/>
      <c r="T122" s="286"/>
      <c r="U122" s="286"/>
      <c r="V122" s="287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5"/>
      <c r="P123" s="285" t="s">
        <v>87</v>
      </c>
      <c r="Q123" s="286"/>
      <c r="R123" s="286"/>
      <c r="S123" s="286"/>
      <c r="T123" s="286"/>
      <c r="U123" s="286"/>
      <c r="V123" s="287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8" t="s">
        <v>213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1"/>
      <c r="AB124" s="271"/>
      <c r="AC124" s="271"/>
    </row>
    <row r="125" spans="1:68" ht="14.25" hidden="1" customHeight="1" x14ac:dyDescent="0.25">
      <c r="A125" s="311" t="s">
        <v>62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0">
        <v>4620207491904</v>
      </c>
      <c r="E126" s="281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4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5"/>
      <c r="P127" s="285" t="s">
        <v>87</v>
      </c>
      <c r="Q127" s="286"/>
      <c r="R127" s="286"/>
      <c r="S127" s="286"/>
      <c r="T127" s="286"/>
      <c r="U127" s="286"/>
      <c r="V127" s="287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5"/>
      <c r="P128" s="285" t="s">
        <v>87</v>
      </c>
      <c r="Q128" s="286"/>
      <c r="R128" s="286"/>
      <c r="S128" s="286"/>
      <c r="T128" s="286"/>
      <c r="U128" s="286"/>
      <c r="V128" s="287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11" t="s">
        <v>153</v>
      </c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112</v>
      </c>
      <c r="Y131" s="277">
        <f>IFERROR(IF(X131="","",X131),"")</f>
        <v>112</v>
      </c>
      <c r="Z131" s="36">
        <f>IFERROR(IF(X131="","",X131*0.00941),"")</f>
        <v>1.05392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194.88</v>
      </c>
      <c r="BN131" s="67">
        <f>IFERROR(Y131*I131,"0")</f>
        <v>194.88</v>
      </c>
      <c r="BO131" s="67">
        <f>IFERROR(X131/J131,"0")</f>
        <v>0.8</v>
      </c>
      <c r="BP131" s="67">
        <f>IFERROR(Y131/J131,"0")</f>
        <v>0.8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6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140</v>
      </c>
      <c r="Y132" s="277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224</v>
      </c>
      <c r="B133" s="54" t="s">
        <v>225</v>
      </c>
      <c r="C133" s="31">
        <v>4301135848</v>
      </c>
      <c r="D133" s="280">
        <v>4620207491799</v>
      </c>
      <c r="E133" s="281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3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68</v>
      </c>
      <c r="X133" s="276">
        <v>140</v>
      </c>
      <c r="Y133" s="277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294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5"/>
      <c r="P134" s="285" t="s">
        <v>87</v>
      </c>
      <c r="Q134" s="286"/>
      <c r="R134" s="286"/>
      <c r="S134" s="286"/>
      <c r="T134" s="286"/>
      <c r="U134" s="286"/>
      <c r="V134" s="287"/>
      <c r="W134" s="37" t="s">
        <v>68</v>
      </c>
      <c r="X134" s="278">
        <f>IFERROR(SUM(X130:X133),"0")</f>
        <v>392</v>
      </c>
      <c r="Y134" s="278">
        <f>IFERROR(SUM(Y130:Y133),"0")</f>
        <v>392</v>
      </c>
      <c r="Z134" s="278">
        <f>IFERROR(IF(Z130="",0,Z130),"0")+IFERROR(IF(Z131="",0,Z131),"0")+IFERROR(IF(Z132="",0,Z132),"0")+IFERROR(IF(Z133="",0,Z133),"0")</f>
        <v>3.68872</v>
      </c>
      <c r="AA134" s="279"/>
      <c r="AB134" s="279"/>
      <c r="AC134" s="279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5"/>
      <c r="P135" s="285" t="s">
        <v>87</v>
      </c>
      <c r="Q135" s="286"/>
      <c r="R135" s="286"/>
      <c r="S135" s="286"/>
      <c r="T135" s="286"/>
      <c r="U135" s="286"/>
      <c r="V135" s="287"/>
      <c r="W135" s="37" t="s">
        <v>88</v>
      </c>
      <c r="X135" s="278">
        <f>IFERROR(SUMPRODUCT(X130:X133*H130:H133),"0")</f>
        <v>534.24</v>
      </c>
      <c r="Y135" s="278">
        <f>IFERROR(SUMPRODUCT(Y130:Y133*H130:H133),"0")</f>
        <v>534.24</v>
      </c>
      <c r="Z135" s="37"/>
      <c r="AA135" s="279"/>
      <c r="AB135" s="279"/>
      <c r="AC135" s="279"/>
    </row>
    <row r="136" spans="1:68" ht="14.25" hidden="1" customHeight="1" x14ac:dyDescent="0.25">
      <c r="A136" s="311" t="s">
        <v>226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0">
        <v>4620207491386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0">
        <v>4620207491362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0">
        <v>4620207491379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4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5"/>
      <c r="P140" s="285" t="s">
        <v>87</v>
      </c>
      <c r="Q140" s="286"/>
      <c r="R140" s="286"/>
      <c r="S140" s="286"/>
      <c r="T140" s="286"/>
      <c r="U140" s="286"/>
      <c r="V140" s="287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5"/>
      <c r="P141" s="285" t="s">
        <v>87</v>
      </c>
      <c r="Q141" s="286"/>
      <c r="R141" s="286"/>
      <c r="S141" s="286"/>
      <c r="T141" s="286"/>
      <c r="U141" s="286"/>
      <c r="V141" s="287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8" t="s">
        <v>234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71"/>
      <c r="AB142" s="271"/>
      <c r="AC142" s="271"/>
    </row>
    <row r="143" spans="1:68" ht="14.25" hidden="1" customHeight="1" x14ac:dyDescent="0.25">
      <c r="A143" s="311" t="s">
        <v>153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0">
        <v>4620207491560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182</v>
      </c>
      <c r="Y144" s="277">
        <f>IFERROR(IF(X144="","",X144),"")</f>
        <v>182</v>
      </c>
      <c r="Z144" s="36">
        <f>IFERROR(IF(X144="","",X144*0.01788),"")</f>
        <v>3.2541600000000002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674.05520000000001</v>
      </c>
      <c r="BN144" s="67">
        <f>IFERROR(Y144*I144,"0")</f>
        <v>674.05520000000001</v>
      </c>
      <c r="BO144" s="67">
        <f>IFERROR(X144/J144,"0")</f>
        <v>2.6</v>
      </c>
      <c r="BP144" s="67">
        <f>IFERROR(Y144/J144,"0")</f>
        <v>2.6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0">
        <v>4620207491584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68</v>
      </c>
      <c r="X145" s="276">
        <v>126</v>
      </c>
      <c r="Y145" s="277">
        <f>IFERROR(IF(X145="","",X145),"")</f>
        <v>126</v>
      </c>
      <c r="Z145" s="36">
        <f>IFERROR(IF(X145="","",X145*0.01788),"")</f>
        <v>2.2528800000000002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466.65359999999998</v>
      </c>
      <c r="BN145" s="67">
        <f>IFERROR(Y145*I145,"0")</f>
        <v>466.65359999999998</v>
      </c>
      <c r="BO145" s="67">
        <f>IFERROR(X145/J145,"0")</f>
        <v>1.8</v>
      </c>
      <c r="BP145" s="67">
        <f>IFERROR(Y145/J145,"0")</f>
        <v>1.8</v>
      </c>
    </row>
    <row r="146" spans="1:68" x14ac:dyDescent="0.2">
      <c r="A146" s="294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5"/>
      <c r="P146" s="285" t="s">
        <v>87</v>
      </c>
      <c r="Q146" s="286"/>
      <c r="R146" s="286"/>
      <c r="S146" s="286"/>
      <c r="T146" s="286"/>
      <c r="U146" s="286"/>
      <c r="V146" s="287"/>
      <c r="W146" s="37" t="s">
        <v>68</v>
      </c>
      <c r="X146" s="278">
        <f>IFERROR(SUM(X144:X145),"0")</f>
        <v>308</v>
      </c>
      <c r="Y146" s="278">
        <f>IFERROR(SUM(Y144:Y145),"0")</f>
        <v>308</v>
      </c>
      <c r="Z146" s="278">
        <f>IFERROR(IF(Z144="",0,Z144),"0")+IFERROR(IF(Z145="",0,Z145),"0")</f>
        <v>5.5070399999999999</v>
      </c>
      <c r="AA146" s="279"/>
      <c r="AB146" s="279"/>
      <c r="AC146" s="279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5"/>
      <c r="P147" s="285" t="s">
        <v>87</v>
      </c>
      <c r="Q147" s="286"/>
      <c r="R147" s="286"/>
      <c r="S147" s="286"/>
      <c r="T147" s="286"/>
      <c r="U147" s="286"/>
      <c r="V147" s="287"/>
      <c r="W147" s="37" t="s">
        <v>88</v>
      </c>
      <c r="X147" s="278">
        <f>IFERROR(SUMPRODUCT(X144:X145*H144:H145),"0")</f>
        <v>924</v>
      </c>
      <c r="Y147" s="278">
        <f>IFERROR(SUMPRODUCT(Y144:Y145*H144:H145),"0")</f>
        <v>924</v>
      </c>
      <c r="Z147" s="37"/>
      <c r="AA147" s="279"/>
      <c r="AB147" s="279"/>
      <c r="AC147" s="279"/>
    </row>
    <row r="148" spans="1:68" ht="16.5" hidden="1" customHeight="1" x14ac:dyDescent="0.25">
      <c r="A148" s="288" t="s">
        <v>240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71"/>
      <c r="AB148" s="271"/>
      <c r="AC148" s="271"/>
    </row>
    <row r="149" spans="1:68" ht="14.25" hidden="1" customHeight="1" x14ac:dyDescent="0.25">
      <c r="A149" s="311" t="s">
        <v>153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0">
        <v>4620207491768</v>
      </c>
      <c r="E150" s="281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56</v>
      </c>
      <c r="Y150" s="277">
        <f>IFERROR(IF(X150="","",X150),"")</f>
        <v>56</v>
      </c>
      <c r="Z150" s="36">
        <f>IFERROR(IF(X150="","",X150*0.01788),"")</f>
        <v>1.0012799999999999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209.88800000000001</v>
      </c>
      <c r="BN150" s="67">
        <f>IFERROR(Y150*I150,"0")</f>
        <v>209.88800000000001</v>
      </c>
      <c r="BO150" s="67">
        <f>IFERROR(X150/J150,"0")</f>
        <v>0.8</v>
      </c>
      <c r="BP150" s="67">
        <f>IFERROR(Y150/J150,"0")</f>
        <v>0.8</v>
      </c>
    </row>
    <row r="151" spans="1:68" ht="16.5" hidden="1" customHeight="1" x14ac:dyDescent="0.25">
      <c r="A151" s="54" t="s">
        <v>244</v>
      </c>
      <c r="B151" s="54" t="s">
        <v>245</v>
      </c>
      <c r="C151" s="31">
        <v>4301135946</v>
      </c>
      <c r="D151" s="280">
        <v>4620207491553</v>
      </c>
      <c r="E151" s="281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94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5"/>
      <c r="P152" s="285" t="s">
        <v>87</v>
      </c>
      <c r="Q152" s="286"/>
      <c r="R152" s="286"/>
      <c r="S152" s="286"/>
      <c r="T152" s="286"/>
      <c r="U152" s="286"/>
      <c r="V152" s="287"/>
      <c r="W152" s="37" t="s">
        <v>68</v>
      </c>
      <c r="X152" s="278">
        <f>IFERROR(SUM(X150:X151),"0")</f>
        <v>56</v>
      </c>
      <c r="Y152" s="278">
        <f>IFERROR(SUM(Y150:Y151),"0")</f>
        <v>56</v>
      </c>
      <c r="Z152" s="278">
        <f>IFERROR(IF(Z150="",0,Z150),"0")+IFERROR(IF(Z151="",0,Z151),"0")</f>
        <v>1.0012799999999999</v>
      </c>
      <c r="AA152" s="279"/>
      <c r="AB152" s="279"/>
      <c r="AC152" s="279"/>
    </row>
    <row r="153" spans="1:68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5"/>
      <c r="P153" s="285" t="s">
        <v>87</v>
      </c>
      <c r="Q153" s="286"/>
      <c r="R153" s="286"/>
      <c r="S153" s="286"/>
      <c r="T153" s="286"/>
      <c r="U153" s="286"/>
      <c r="V153" s="287"/>
      <c r="W153" s="37" t="s">
        <v>88</v>
      </c>
      <c r="X153" s="278">
        <f>IFERROR(SUMPRODUCT(X150:X151*H150:H151),"0")</f>
        <v>168</v>
      </c>
      <c r="Y153" s="278">
        <f>IFERROR(SUMPRODUCT(Y150:Y151*H150:H151),"0")</f>
        <v>168</v>
      </c>
      <c r="Z153" s="37"/>
      <c r="AA153" s="279"/>
      <c r="AB153" s="279"/>
      <c r="AC153" s="279"/>
    </row>
    <row r="154" spans="1:68" ht="16.5" hidden="1" customHeight="1" x14ac:dyDescent="0.25">
      <c r="A154" s="288" t="s">
        <v>246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71"/>
      <c r="AB154" s="271"/>
      <c r="AC154" s="271"/>
    </row>
    <row r="155" spans="1:68" ht="14.25" hidden="1" customHeight="1" x14ac:dyDescent="0.25">
      <c r="A155" s="311" t="s">
        <v>153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0">
        <v>4620207491669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70</v>
      </c>
      <c r="Y156" s="277">
        <f>IFERROR(IF(X156="","",X156),"")</f>
        <v>70</v>
      </c>
      <c r="Z156" s="36">
        <f>IFERROR(IF(X156="","",X156*0.01788),"")</f>
        <v>1.2516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187.60000000000002</v>
      </c>
      <c r="BN156" s="67">
        <f>IFERROR(Y156*I156,"0")</f>
        <v>187.60000000000002</v>
      </c>
      <c r="BO156" s="67">
        <f>IFERROR(X156/J156,"0")</f>
        <v>1</v>
      </c>
      <c r="BP156" s="67">
        <f>IFERROR(Y156/J156,"0")</f>
        <v>1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0">
        <v>4620207491676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29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68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x14ac:dyDescent="0.2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5"/>
      <c r="P158" s="285" t="s">
        <v>87</v>
      </c>
      <c r="Q158" s="286"/>
      <c r="R158" s="286"/>
      <c r="S158" s="286"/>
      <c r="T158" s="286"/>
      <c r="U158" s="286"/>
      <c r="V158" s="287"/>
      <c r="W158" s="37" t="s">
        <v>68</v>
      </c>
      <c r="X158" s="278">
        <f>IFERROR(SUM(X156:X157),"0")</f>
        <v>98</v>
      </c>
      <c r="Y158" s="278">
        <f>IFERROR(SUM(Y156:Y157),"0")</f>
        <v>98</v>
      </c>
      <c r="Z158" s="278">
        <f>IFERROR(IF(Z156="",0,Z156),"0")+IFERROR(IF(Z157="",0,Z157),"0")</f>
        <v>1.75224</v>
      </c>
      <c r="AA158" s="279"/>
      <c r="AB158" s="279"/>
      <c r="AC158" s="279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5"/>
      <c r="P159" s="285" t="s">
        <v>87</v>
      </c>
      <c r="Q159" s="286"/>
      <c r="R159" s="286"/>
      <c r="S159" s="286"/>
      <c r="T159" s="286"/>
      <c r="U159" s="286"/>
      <c r="V159" s="287"/>
      <c r="W159" s="37" t="s">
        <v>88</v>
      </c>
      <c r="X159" s="278">
        <f>IFERROR(SUMPRODUCT(X156:X157*H156:H157),"0")</f>
        <v>235.2</v>
      </c>
      <c r="Y159" s="278">
        <f>IFERROR(SUMPRODUCT(Y156:Y157*H156:H157),"0")</f>
        <v>235.2</v>
      </c>
      <c r="Z159" s="37"/>
      <c r="AA159" s="279"/>
      <c r="AB159" s="279"/>
      <c r="AC159" s="279"/>
    </row>
    <row r="160" spans="1:68" ht="16.5" hidden="1" customHeight="1" x14ac:dyDescent="0.25">
      <c r="A160" s="288" t="s">
        <v>252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71"/>
      <c r="AB160" s="271"/>
      <c r="AC160" s="271"/>
    </row>
    <row r="161" spans="1:68" ht="14.25" hidden="1" customHeight="1" x14ac:dyDescent="0.25">
      <c r="A161" s="311" t="s">
        <v>153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0">
        <v>4620207491614</v>
      </c>
      <c r="E162" s="281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5"/>
      <c r="P163" s="285" t="s">
        <v>87</v>
      </c>
      <c r="Q163" s="286"/>
      <c r="R163" s="286"/>
      <c r="S163" s="286"/>
      <c r="T163" s="286"/>
      <c r="U163" s="286"/>
      <c r="V163" s="287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5"/>
      <c r="P164" s="285" t="s">
        <v>87</v>
      </c>
      <c r="Q164" s="286"/>
      <c r="R164" s="286"/>
      <c r="S164" s="286"/>
      <c r="T164" s="286"/>
      <c r="U164" s="286"/>
      <c r="V164" s="287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288" t="s">
        <v>255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71"/>
      <c r="AB165" s="271"/>
      <c r="AC165" s="271"/>
    </row>
    <row r="166" spans="1:68" ht="14.25" hidden="1" customHeight="1" x14ac:dyDescent="0.25">
      <c r="A166" s="311" t="s">
        <v>153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0">
        <v>4607111039613</v>
      </c>
      <c r="E167" s="281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3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5"/>
      <c r="P168" s="285" t="s">
        <v>87</v>
      </c>
      <c r="Q168" s="286"/>
      <c r="R168" s="286"/>
      <c r="S168" s="286"/>
      <c r="T168" s="286"/>
      <c r="U168" s="286"/>
      <c r="V168" s="287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5"/>
      <c r="P169" s="285" t="s">
        <v>87</v>
      </c>
      <c r="Q169" s="286"/>
      <c r="R169" s="286"/>
      <c r="S169" s="286"/>
      <c r="T169" s="286"/>
      <c r="U169" s="286"/>
      <c r="V169" s="287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8" t="s">
        <v>259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71"/>
      <c r="AB170" s="271"/>
      <c r="AC170" s="271"/>
    </row>
    <row r="171" spans="1:68" ht="14.25" hidden="1" customHeight="1" x14ac:dyDescent="0.25">
      <c r="A171" s="311" t="s">
        <v>153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0">
        <v>4620207491751</v>
      </c>
      <c r="E172" s="281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0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68</v>
      </c>
      <c r="X172" s="276">
        <v>378</v>
      </c>
      <c r="Y172" s="277">
        <f>IFERROR(IF(X172="","",X172),"")</f>
        <v>378</v>
      </c>
      <c r="Z172" s="36">
        <f>IFERROR(IF(X172="","",X172*0.00941),"")</f>
        <v>3.5569799999999998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794.48039999999992</v>
      </c>
      <c r="BN172" s="67">
        <f>IFERROR(Y172*I172,"0")</f>
        <v>794.48039999999992</v>
      </c>
      <c r="BO172" s="67">
        <f>IFERROR(X172/J172,"0")</f>
        <v>2.7</v>
      </c>
      <c r="BP172" s="67">
        <f>IFERROR(Y172/J172,"0")</f>
        <v>2.7</v>
      </c>
    </row>
    <row r="173" spans="1:68" x14ac:dyDescent="0.2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5"/>
      <c r="P173" s="285" t="s">
        <v>87</v>
      </c>
      <c r="Q173" s="286"/>
      <c r="R173" s="286"/>
      <c r="S173" s="286"/>
      <c r="T173" s="286"/>
      <c r="U173" s="286"/>
      <c r="V173" s="287"/>
      <c r="W173" s="37" t="s">
        <v>68</v>
      </c>
      <c r="X173" s="278">
        <f>IFERROR(SUM(X172:X172),"0")</f>
        <v>378</v>
      </c>
      <c r="Y173" s="278">
        <f>IFERROR(SUM(Y172:Y172),"0")</f>
        <v>378</v>
      </c>
      <c r="Z173" s="278">
        <f>IFERROR(IF(Z172="",0,Z172),"0")</f>
        <v>3.5569799999999998</v>
      </c>
      <c r="AA173" s="279"/>
      <c r="AB173" s="279"/>
      <c r="AC173" s="279"/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5"/>
      <c r="P174" s="285" t="s">
        <v>87</v>
      </c>
      <c r="Q174" s="286"/>
      <c r="R174" s="286"/>
      <c r="S174" s="286"/>
      <c r="T174" s="286"/>
      <c r="U174" s="286"/>
      <c r="V174" s="287"/>
      <c r="W174" s="37" t="s">
        <v>88</v>
      </c>
      <c r="X174" s="278">
        <f>IFERROR(SUMPRODUCT(X172:X172*H172:H172),"0")</f>
        <v>635.04</v>
      </c>
      <c r="Y174" s="278">
        <f>IFERROR(SUMPRODUCT(Y172:Y172*H172:H172),"0")</f>
        <v>635.04</v>
      </c>
      <c r="Z174" s="37"/>
      <c r="AA174" s="279"/>
      <c r="AB174" s="279"/>
      <c r="AC174" s="279"/>
    </row>
    <row r="175" spans="1:68" ht="27.75" hidden="1" customHeight="1" x14ac:dyDescent="0.2">
      <c r="A175" s="292" t="s">
        <v>262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48"/>
      <c r="AB175" s="48"/>
      <c r="AC175" s="48"/>
    </row>
    <row r="176" spans="1:68" ht="16.5" hidden="1" customHeight="1" x14ac:dyDescent="0.25">
      <c r="A176" s="288" t="s">
        <v>263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71"/>
      <c r="AB176" s="271"/>
      <c r="AC176" s="271"/>
    </row>
    <row r="177" spans="1:68" ht="14.25" hidden="1" customHeight="1" x14ac:dyDescent="0.25">
      <c r="A177" s="311" t="s">
        <v>102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0">
        <v>4620207490631</v>
      </c>
      <c r="E178" s="281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144</v>
      </c>
      <c r="Y178" s="277">
        <f>IFERROR(IF(X178="","",X178),"")</f>
        <v>144</v>
      </c>
      <c r="Z178" s="36">
        <f>IFERROR(IF(X178="","",X178*0.0155),"")</f>
        <v>2.2320000000000002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897.84</v>
      </c>
      <c r="BN178" s="67">
        <f>IFERROR(Y178*I178,"0")</f>
        <v>897.84</v>
      </c>
      <c r="BO178" s="67">
        <f>IFERROR(X178/J178,"0")</f>
        <v>1.7142857142857142</v>
      </c>
      <c r="BP178" s="67">
        <f>IFERROR(Y178/J178,"0")</f>
        <v>1.7142857142857142</v>
      </c>
    </row>
    <row r="179" spans="1:68" x14ac:dyDescent="0.2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5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IFERROR(SUM(X178:X178),"0")</f>
        <v>144</v>
      </c>
      <c r="Y179" s="278">
        <f>IFERROR(SUM(Y178:Y178),"0")</f>
        <v>144</v>
      </c>
      <c r="Z179" s="278">
        <f>IFERROR(IF(Z178="",0,Z178),"0")</f>
        <v>2.2320000000000002</v>
      </c>
      <c r="AA179" s="279"/>
      <c r="AB179" s="279"/>
      <c r="AC179" s="279"/>
    </row>
    <row r="180" spans="1:68" x14ac:dyDescent="0.2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5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IFERROR(SUMPRODUCT(X178:X178*H178:H178),"0")</f>
        <v>864</v>
      </c>
      <c r="Y180" s="278">
        <f>IFERROR(SUMPRODUCT(Y178:Y178*H178:H178),"0")</f>
        <v>864</v>
      </c>
      <c r="Z180" s="37"/>
      <c r="AA180" s="279"/>
      <c r="AB180" s="279"/>
      <c r="AC180" s="279"/>
    </row>
    <row r="181" spans="1:68" ht="14.25" hidden="1" customHeight="1" x14ac:dyDescent="0.25">
      <c r="A181" s="311" t="s">
        <v>153</v>
      </c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72"/>
      <c r="AB181" s="272"/>
      <c r="AC181" s="272"/>
    </row>
    <row r="182" spans="1:68" ht="27" customHeight="1" x14ac:dyDescent="0.25">
      <c r="A182" s="54" t="s">
        <v>267</v>
      </c>
      <c r="B182" s="54" t="s">
        <v>268</v>
      </c>
      <c r="C182" s="31">
        <v>4301135392</v>
      </c>
      <c r="D182" s="280">
        <v>4607111039132</v>
      </c>
      <c r="E182" s="281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68</v>
      </c>
      <c r="X182" s="276">
        <v>84</v>
      </c>
      <c r="Y182" s="277">
        <f>IFERROR(IF(X182="","",X182),"")</f>
        <v>84</v>
      </c>
      <c r="Z182" s="36">
        <f>IFERROR(IF(X182="","",X182*0.00936),"")</f>
        <v>0.78624000000000005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326.928</v>
      </c>
      <c r="BN182" s="67">
        <f>IFERROR(Y182*I182,"0")</f>
        <v>326.928</v>
      </c>
      <c r="BO182" s="67">
        <f>IFERROR(X182/J182,"0")</f>
        <v>0.66666666666666663</v>
      </c>
      <c r="BP182" s="67">
        <f>IFERROR(Y182/J182,"0")</f>
        <v>0.66666666666666663</v>
      </c>
    </row>
    <row r="183" spans="1:68" x14ac:dyDescent="0.2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5"/>
      <c r="P183" s="285" t="s">
        <v>87</v>
      </c>
      <c r="Q183" s="286"/>
      <c r="R183" s="286"/>
      <c r="S183" s="286"/>
      <c r="T183" s="286"/>
      <c r="U183" s="286"/>
      <c r="V183" s="287"/>
      <c r="W183" s="37" t="s">
        <v>68</v>
      </c>
      <c r="X183" s="278">
        <f>IFERROR(SUM(X182:X182),"0")</f>
        <v>84</v>
      </c>
      <c r="Y183" s="278">
        <f>IFERROR(SUM(Y182:Y182),"0")</f>
        <v>84</v>
      </c>
      <c r="Z183" s="278">
        <f>IFERROR(IF(Z182="",0,Z182),"0")</f>
        <v>0.78624000000000005</v>
      </c>
      <c r="AA183" s="279"/>
      <c r="AB183" s="279"/>
      <c r="AC183" s="279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5"/>
      <c r="P184" s="285" t="s">
        <v>87</v>
      </c>
      <c r="Q184" s="286"/>
      <c r="R184" s="286"/>
      <c r="S184" s="286"/>
      <c r="T184" s="286"/>
      <c r="U184" s="286"/>
      <c r="V184" s="287"/>
      <c r="W184" s="37" t="s">
        <v>88</v>
      </c>
      <c r="X184" s="278">
        <f>IFERROR(SUMPRODUCT(X182:X182*H182:H182),"0")</f>
        <v>310.8</v>
      </c>
      <c r="Y184" s="278">
        <f>IFERROR(SUMPRODUCT(Y182:Y182*H182:H182),"0")</f>
        <v>310.8</v>
      </c>
      <c r="Z184" s="37"/>
      <c r="AA184" s="279"/>
      <c r="AB184" s="279"/>
      <c r="AC184" s="279"/>
    </row>
    <row r="185" spans="1:68" ht="16.5" hidden="1" customHeight="1" x14ac:dyDescent="0.25">
      <c r="A185" s="288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1"/>
      <c r="AB185" s="271"/>
      <c r="AC185" s="271"/>
    </row>
    <row r="186" spans="1:68" ht="14.25" hidden="1" customHeight="1" x14ac:dyDescent="0.25">
      <c r="A186" s="311" t="s">
        <v>62</v>
      </c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0">
        <v>4607111036384</v>
      </c>
      <c r="E187" s="281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0">
        <v>4607111036216</v>
      </c>
      <c r="E188" s="281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5"/>
      <c r="P189" s="285" t="s">
        <v>87</v>
      </c>
      <c r="Q189" s="286"/>
      <c r="R189" s="286"/>
      <c r="S189" s="286"/>
      <c r="T189" s="286"/>
      <c r="U189" s="286"/>
      <c r="V189" s="287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5"/>
      <c r="P190" s="285" t="s">
        <v>87</v>
      </c>
      <c r="Q190" s="286"/>
      <c r="R190" s="286"/>
      <c r="S190" s="286"/>
      <c r="T190" s="286"/>
      <c r="U190" s="286"/>
      <c r="V190" s="287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8" t="s">
        <v>277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71"/>
      <c r="AB191" s="271"/>
      <c r="AC191" s="271"/>
    </row>
    <row r="192" spans="1:68" ht="14.25" hidden="1" customHeight="1" x14ac:dyDescent="0.25">
      <c r="A192" s="311" t="s">
        <v>62</v>
      </c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0">
        <v>4620207491737</v>
      </c>
      <c r="E193" s="281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1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68</v>
      </c>
      <c r="X193" s="276">
        <v>156</v>
      </c>
      <c r="Y193" s="277">
        <f>IFERROR(IF(X193="","",X193),"")</f>
        <v>156</v>
      </c>
      <c r="Z193" s="36">
        <f>IFERROR(IF(X193="","",X193*0.0155),"")</f>
        <v>2.4180000000000001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820.87199999999996</v>
      </c>
      <c r="BN193" s="67">
        <f>IFERROR(Y193*I193,"0")</f>
        <v>820.87199999999996</v>
      </c>
      <c r="BO193" s="67">
        <f>IFERROR(X193/J193,"0")</f>
        <v>1.8571428571428572</v>
      </c>
      <c r="BP193" s="67">
        <f>IFERROR(Y193/J193,"0")</f>
        <v>1.8571428571428572</v>
      </c>
    </row>
    <row r="194" spans="1:68" x14ac:dyDescent="0.2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5"/>
      <c r="P194" s="285" t="s">
        <v>87</v>
      </c>
      <c r="Q194" s="286"/>
      <c r="R194" s="286"/>
      <c r="S194" s="286"/>
      <c r="T194" s="286"/>
      <c r="U194" s="286"/>
      <c r="V194" s="287"/>
      <c r="W194" s="37" t="s">
        <v>68</v>
      </c>
      <c r="X194" s="278">
        <f>IFERROR(SUM(X193:X193),"0")</f>
        <v>156</v>
      </c>
      <c r="Y194" s="278">
        <f>IFERROR(SUM(Y193:Y193),"0")</f>
        <v>156</v>
      </c>
      <c r="Z194" s="278">
        <f>IFERROR(IF(Z193="",0,Z193),"0")</f>
        <v>2.4180000000000001</v>
      </c>
      <c r="AA194" s="279"/>
      <c r="AB194" s="279"/>
      <c r="AC194" s="279"/>
    </row>
    <row r="195" spans="1:68" x14ac:dyDescent="0.2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95"/>
      <c r="P195" s="285" t="s">
        <v>87</v>
      </c>
      <c r="Q195" s="286"/>
      <c r="R195" s="286"/>
      <c r="S195" s="286"/>
      <c r="T195" s="286"/>
      <c r="U195" s="286"/>
      <c r="V195" s="287"/>
      <c r="W195" s="37" t="s">
        <v>88</v>
      </c>
      <c r="X195" s="278">
        <f>IFERROR(SUMPRODUCT(X193:X193*H193:H193),"0")</f>
        <v>780</v>
      </c>
      <c r="Y195" s="278">
        <f>IFERROR(SUMPRODUCT(Y193:Y193*H193:H193),"0")</f>
        <v>780</v>
      </c>
      <c r="Z195" s="37"/>
      <c r="AA195" s="279"/>
      <c r="AB195" s="279"/>
      <c r="AC195" s="279"/>
    </row>
    <row r="196" spans="1:68" ht="27.75" hidden="1" customHeight="1" x14ac:dyDescent="0.2">
      <c r="A196" s="292" t="s">
        <v>280</v>
      </c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48"/>
      <c r="AB196" s="48"/>
      <c r="AC196" s="48"/>
    </row>
    <row r="197" spans="1:68" ht="16.5" hidden="1" customHeight="1" x14ac:dyDescent="0.25">
      <c r="A197" s="288" t="s">
        <v>281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71"/>
      <c r="AB197" s="271"/>
      <c r="AC197" s="271"/>
    </row>
    <row r="198" spans="1:68" ht="14.25" hidden="1" customHeight="1" x14ac:dyDescent="0.25">
      <c r="A198" s="311" t="s">
        <v>102</v>
      </c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0">
        <v>4607111035691</v>
      </c>
      <c r="E199" s="281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68</v>
      </c>
      <c r="X199" s="276">
        <v>42</v>
      </c>
      <c r="Y199" s="277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142.29599999999999</v>
      </c>
      <c r="BN199" s="67">
        <f>IFERROR(Y199*I199,"0")</f>
        <v>142.29599999999999</v>
      </c>
      <c r="BO199" s="67">
        <f>IFERROR(X199/J199,"0")</f>
        <v>0.6</v>
      </c>
      <c r="BP199" s="67">
        <f>IFERROR(Y199/J199,"0")</f>
        <v>0.6</v>
      </c>
    </row>
    <row r="200" spans="1:68" ht="27" hidden="1" customHeight="1" x14ac:dyDescent="0.25">
      <c r="A200" s="54" t="s">
        <v>285</v>
      </c>
      <c r="B200" s="54" t="s">
        <v>286</v>
      </c>
      <c r="C200" s="31">
        <v>4301132182</v>
      </c>
      <c r="D200" s="280">
        <v>4607111035721</v>
      </c>
      <c r="E200" s="281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0">
        <v>4607111038487</v>
      </c>
      <c r="E201" s="281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68</v>
      </c>
      <c r="X201" s="276">
        <v>28</v>
      </c>
      <c r="Y201" s="277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104.608</v>
      </c>
      <c r="BN201" s="67">
        <f>IFERROR(Y201*I201,"0")</f>
        <v>104.608</v>
      </c>
      <c r="BO201" s="67">
        <f>IFERROR(X201/J201,"0")</f>
        <v>0.4</v>
      </c>
      <c r="BP201" s="67">
        <f>IFERROR(Y201/J201,"0")</f>
        <v>0.4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0">
        <v>4620207491195</v>
      </c>
      <c r="E202" s="281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5"/>
      <c r="P203" s="285" t="s">
        <v>87</v>
      </c>
      <c r="Q203" s="286"/>
      <c r="R203" s="286"/>
      <c r="S203" s="286"/>
      <c r="T203" s="286"/>
      <c r="U203" s="286"/>
      <c r="V203" s="287"/>
      <c r="W203" s="37" t="s">
        <v>68</v>
      </c>
      <c r="X203" s="278">
        <f>IFERROR(SUM(X199:X202),"0")</f>
        <v>70</v>
      </c>
      <c r="Y203" s="278">
        <f>IFERROR(SUM(Y199:Y202),"0")</f>
        <v>70</v>
      </c>
      <c r="Z203" s="278">
        <f>IFERROR(IF(Z199="",0,Z199),"0")+IFERROR(IF(Z200="",0,Z200),"0")+IFERROR(IF(Z201="",0,Z201),"0")+IFERROR(IF(Z202="",0,Z202),"0")</f>
        <v>1.2515999999999998</v>
      </c>
      <c r="AA203" s="279"/>
      <c r="AB203" s="279"/>
      <c r="AC203" s="279"/>
    </row>
    <row r="204" spans="1:68" x14ac:dyDescent="0.2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95"/>
      <c r="P204" s="285" t="s">
        <v>87</v>
      </c>
      <c r="Q204" s="286"/>
      <c r="R204" s="286"/>
      <c r="S204" s="286"/>
      <c r="T204" s="286"/>
      <c r="U204" s="286"/>
      <c r="V204" s="287"/>
      <c r="W204" s="37" t="s">
        <v>88</v>
      </c>
      <c r="X204" s="278">
        <f>IFERROR(SUMPRODUCT(X199:X202*H199:H202),"0")</f>
        <v>210</v>
      </c>
      <c r="Y204" s="278">
        <f>IFERROR(SUMPRODUCT(Y199:Y202*H199:H202),"0")</f>
        <v>210</v>
      </c>
      <c r="Z204" s="37"/>
      <c r="AA204" s="279"/>
      <c r="AB204" s="279"/>
      <c r="AC204" s="279"/>
    </row>
    <row r="205" spans="1:68" ht="27.75" hidden="1" customHeight="1" x14ac:dyDescent="0.2">
      <c r="A205" s="292" t="s">
        <v>294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48"/>
      <c r="AB205" s="48"/>
      <c r="AC205" s="48"/>
    </row>
    <row r="206" spans="1:68" ht="16.5" hidden="1" customHeight="1" x14ac:dyDescent="0.25">
      <c r="A206" s="288" t="s">
        <v>295</v>
      </c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71"/>
      <c r="AB206" s="271"/>
      <c r="AC206" s="271"/>
    </row>
    <row r="207" spans="1:68" ht="14.25" hidden="1" customHeight="1" x14ac:dyDescent="0.25">
      <c r="A207" s="311" t="s">
        <v>102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0">
        <v>4620207491133</v>
      </c>
      <c r="E208" s="281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6">
        <v>112</v>
      </c>
      <c r="Y208" s="277">
        <f>IFERROR(IF(X208="","",X208),"")</f>
        <v>112</v>
      </c>
      <c r="Z208" s="36">
        <f>IFERROR(IF(X208="","",X208*0.01788),"")</f>
        <v>2.0025599999999999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333.76</v>
      </c>
      <c r="BN208" s="67">
        <f>IFERROR(Y208*I208,"0")</f>
        <v>333.76</v>
      </c>
      <c r="BO208" s="67">
        <f>IFERROR(X208/J208,"0")</f>
        <v>1.6</v>
      </c>
      <c r="BP208" s="67">
        <f>IFERROR(Y208/J208,"0")</f>
        <v>1.6</v>
      </c>
    </row>
    <row r="209" spans="1:68" x14ac:dyDescent="0.2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5"/>
      <c r="P209" s="285" t="s">
        <v>87</v>
      </c>
      <c r="Q209" s="286"/>
      <c r="R209" s="286"/>
      <c r="S209" s="286"/>
      <c r="T209" s="286"/>
      <c r="U209" s="286"/>
      <c r="V209" s="287"/>
      <c r="W209" s="37" t="s">
        <v>68</v>
      </c>
      <c r="X209" s="278">
        <f>IFERROR(SUM(X208:X208),"0")</f>
        <v>112</v>
      </c>
      <c r="Y209" s="278">
        <f>IFERROR(SUM(Y208:Y208),"0")</f>
        <v>112</v>
      </c>
      <c r="Z209" s="278">
        <f>IFERROR(IF(Z208="",0,Z208),"0")</f>
        <v>2.0025599999999999</v>
      </c>
      <c r="AA209" s="279"/>
      <c r="AB209" s="279"/>
      <c r="AC209" s="279"/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5"/>
      <c r="P210" s="285" t="s">
        <v>87</v>
      </c>
      <c r="Q210" s="286"/>
      <c r="R210" s="286"/>
      <c r="S210" s="286"/>
      <c r="T210" s="286"/>
      <c r="U210" s="286"/>
      <c r="V210" s="287"/>
      <c r="W210" s="37" t="s">
        <v>88</v>
      </c>
      <c r="X210" s="278">
        <f>IFERROR(SUMPRODUCT(X208:X208*H208:H208),"0")</f>
        <v>309.12</v>
      </c>
      <c r="Y210" s="278">
        <f>IFERROR(SUMPRODUCT(Y208:Y208*H208:H208),"0")</f>
        <v>309.12</v>
      </c>
      <c r="Z210" s="37"/>
      <c r="AA210" s="279"/>
      <c r="AB210" s="279"/>
      <c r="AC210" s="279"/>
    </row>
    <row r="211" spans="1:68" ht="14.25" hidden="1" customHeight="1" x14ac:dyDescent="0.25">
      <c r="A211" s="311" t="s">
        <v>153</v>
      </c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0">
        <v>4620207491188</v>
      </c>
      <c r="E212" s="281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0">
        <v>4620207490259</v>
      </c>
      <c r="E213" s="281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5"/>
      <c r="P214" s="285" t="s">
        <v>87</v>
      </c>
      <c r="Q214" s="286"/>
      <c r="R214" s="286"/>
      <c r="S214" s="286"/>
      <c r="T214" s="286"/>
      <c r="U214" s="286"/>
      <c r="V214" s="287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5"/>
      <c r="P215" s="285" t="s">
        <v>87</v>
      </c>
      <c r="Q215" s="286"/>
      <c r="R215" s="286"/>
      <c r="S215" s="286"/>
      <c r="T215" s="286"/>
      <c r="U215" s="286"/>
      <c r="V215" s="287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8" t="s">
        <v>305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1"/>
      <c r="AB216" s="271"/>
      <c r="AC216" s="271"/>
    </row>
    <row r="217" spans="1:68" ht="14.25" hidden="1" customHeight="1" x14ac:dyDescent="0.25">
      <c r="A217" s="311" t="s">
        <v>153</v>
      </c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0">
        <v>4620207491706</v>
      </c>
      <c r="E218" s="281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0">
        <v>4620207491522</v>
      </c>
      <c r="E219" s="281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6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3"/>
      <c r="R219" s="283"/>
      <c r="S219" s="283"/>
      <c r="T219" s="284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5"/>
      <c r="P220" s="285" t="s">
        <v>87</v>
      </c>
      <c r="Q220" s="286"/>
      <c r="R220" s="286"/>
      <c r="S220" s="286"/>
      <c r="T220" s="286"/>
      <c r="U220" s="286"/>
      <c r="V220" s="287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5"/>
      <c r="P221" s="285" t="s">
        <v>87</v>
      </c>
      <c r="Q221" s="286"/>
      <c r="R221" s="286"/>
      <c r="S221" s="286"/>
      <c r="T221" s="286"/>
      <c r="U221" s="286"/>
      <c r="V221" s="287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8" t="s">
        <v>312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1"/>
      <c r="AB222" s="271"/>
      <c r="AC222" s="271"/>
    </row>
    <row r="223" spans="1:68" ht="14.25" hidden="1" customHeight="1" x14ac:dyDescent="0.25">
      <c r="A223" s="311" t="s">
        <v>62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0">
        <v>4620207491096</v>
      </c>
      <c r="E224" s="281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3"/>
      <c r="R224" s="283"/>
      <c r="S224" s="283"/>
      <c r="T224" s="284"/>
      <c r="U224" s="34"/>
      <c r="V224" s="34"/>
      <c r="W224" s="35" t="s">
        <v>68</v>
      </c>
      <c r="X224" s="276">
        <v>420</v>
      </c>
      <c r="Y224" s="277">
        <f>IFERROR(IF(X224="","",X224),"")</f>
        <v>420</v>
      </c>
      <c r="Z224" s="36">
        <f>IFERROR(IF(X224="","",X224*0.0155),"")</f>
        <v>6.51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2196.6000000000004</v>
      </c>
      <c r="BN224" s="67">
        <f>IFERROR(Y224*I224,"0")</f>
        <v>2196.6000000000004</v>
      </c>
      <c r="BO224" s="67">
        <f>IFERROR(X224/J224,"0")</f>
        <v>5</v>
      </c>
      <c r="BP224" s="67">
        <f>IFERROR(Y224/J224,"0")</f>
        <v>5</v>
      </c>
    </row>
    <row r="225" spans="1:68" x14ac:dyDescent="0.2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5"/>
      <c r="P225" s="285" t="s">
        <v>87</v>
      </c>
      <c r="Q225" s="286"/>
      <c r="R225" s="286"/>
      <c r="S225" s="286"/>
      <c r="T225" s="286"/>
      <c r="U225" s="286"/>
      <c r="V225" s="287"/>
      <c r="W225" s="37" t="s">
        <v>68</v>
      </c>
      <c r="X225" s="278">
        <f>IFERROR(SUM(X224:X224),"0")</f>
        <v>420</v>
      </c>
      <c r="Y225" s="278">
        <f>IFERROR(SUM(Y224:Y224),"0")</f>
        <v>420</v>
      </c>
      <c r="Z225" s="278">
        <f>IFERROR(IF(Z224="",0,Z224),"0")</f>
        <v>6.51</v>
      </c>
      <c r="AA225" s="279"/>
      <c r="AB225" s="279"/>
      <c r="AC225" s="279"/>
    </row>
    <row r="226" spans="1:68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5"/>
      <c r="P226" s="285" t="s">
        <v>87</v>
      </c>
      <c r="Q226" s="286"/>
      <c r="R226" s="286"/>
      <c r="S226" s="286"/>
      <c r="T226" s="286"/>
      <c r="U226" s="286"/>
      <c r="V226" s="287"/>
      <c r="W226" s="37" t="s">
        <v>88</v>
      </c>
      <c r="X226" s="278">
        <f>IFERROR(SUMPRODUCT(X224:X224*H224:H224),"0")</f>
        <v>2100</v>
      </c>
      <c r="Y226" s="278">
        <f>IFERROR(SUMPRODUCT(Y224:Y224*H224:H224),"0")</f>
        <v>2100</v>
      </c>
      <c r="Z226" s="37"/>
      <c r="AA226" s="279"/>
      <c r="AB226" s="279"/>
      <c r="AC226" s="279"/>
    </row>
    <row r="227" spans="1:68" ht="27.75" hidden="1" customHeight="1" x14ac:dyDescent="0.2">
      <c r="A227" s="292" t="s">
        <v>316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48"/>
      <c r="AB227" s="48"/>
      <c r="AC227" s="48"/>
    </row>
    <row r="228" spans="1:68" ht="16.5" hidden="1" customHeight="1" x14ac:dyDescent="0.25">
      <c r="A228" s="288" t="s">
        <v>317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71"/>
      <c r="AB228" s="271"/>
      <c r="AC228" s="271"/>
    </row>
    <row r="229" spans="1:68" ht="14.25" hidden="1" customHeight="1" x14ac:dyDescent="0.25">
      <c r="A229" s="311" t="s">
        <v>62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0">
        <v>4607111036162</v>
      </c>
      <c r="E230" s="281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3"/>
      <c r="R230" s="283"/>
      <c r="S230" s="283"/>
      <c r="T230" s="284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5"/>
      <c r="P231" s="285" t="s">
        <v>87</v>
      </c>
      <c r="Q231" s="286"/>
      <c r="R231" s="286"/>
      <c r="S231" s="286"/>
      <c r="T231" s="286"/>
      <c r="U231" s="286"/>
      <c r="V231" s="287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5"/>
      <c r="P232" s="285" t="s">
        <v>87</v>
      </c>
      <c r="Q232" s="286"/>
      <c r="R232" s="286"/>
      <c r="S232" s="286"/>
      <c r="T232" s="286"/>
      <c r="U232" s="286"/>
      <c r="V232" s="287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2" t="s">
        <v>321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48"/>
      <c r="AB233" s="48"/>
      <c r="AC233" s="48"/>
    </row>
    <row r="234" spans="1:68" ht="16.5" hidden="1" customHeight="1" x14ac:dyDescent="0.25">
      <c r="A234" s="288" t="s">
        <v>322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71"/>
      <c r="AB234" s="271"/>
      <c r="AC234" s="271"/>
    </row>
    <row r="235" spans="1:68" ht="14.25" hidden="1" customHeight="1" x14ac:dyDescent="0.25">
      <c r="A235" s="311" t="s">
        <v>323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0">
        <v>4607111039774</v>
      </c>
      <c r="E236" s="281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5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5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11" t="s">
        <v>153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0">
        <v>4607111039361</v>
      </c>
      <c r="E240" s="281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5"/>
      <c r="P241" s="285" t="s">
        <v>87</v>
      </c>
      <c r="Q241" s="286"/>
      <c r="R241" s="286"/>
      <c r="S241" s="286"/>
      <c r="T241" s="286"/>
      <c r="U241" s="286"/>
      <c r="V241" s="287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5"/>
      <c r="P242" s="285" t="s">
        <v>87</v>
      </c>
      <c r="Q242" s="286"/>
      <c r="R242" s="286"/>
      <c r="S242" s="286"/>
      <c r="T242" s="286"/>
      <c r="U242" s="286"/>
      <c r="V242" s="287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2" t="s">
        <v>329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48"/>
      <c r="AB243" s="48"/>
      <c r="AC243" s="48"/>
    </row>
    <row r="244" spans="1:68" ht="16.5" hidden="1" customHeight="1" x14ac:dyDescent="0.25">
      <c r="A244" s="288" t="s">
        <v>329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71"/>
      <c r="AB244" s="271"/>
      <c r="AC244" s="271"/>
    </row>
    <row r="245" spans="1:68" ht="14.25" hidden="1" customHeight="1" x14ac:dyDescent="0.25">
      <c r="A245" s="311" t="s">
        <v>102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0">
        <v>4640242181950</v>
      </c>
      <c r="E246" s="281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5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5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11" t="s">
        <v>181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0">
        <v>4640242181943</v>
      </c>
      <c r="E250" s="281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5"/>
      <c r="P251" s="285" t="s">
        <v>87</v>
      </c>
      <c r="Q251" s="286"/>
      <c r="R251" s="286"/>
      <c r="S251" s="286"/>
      <c r="T251" s="286"/>
      <c r="U251" s="286"/>
      <c r="V251" s="287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5"/>
      <c r="P252" s="285" t="s">
        <v>87</v>
      </c>
      <c r="Q252" s="286"/>
      <c r="R252" s="286"/>
      <c r="S252" s="286"/>
      <c r="T252" s="286"/>
      <c r="U252" s="286"/>
      <c r="V252" s="287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2" t="s">
        <v>263</v>
      </c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48"/>
      <c r="AB253" s="48"/>
      <c r="AC253" s="48"/>
    </row>
    <row r="254" spans="1:68" ht="16.5" hidden="1" customHeight="1" x14ac:dyDescent="0.25">
      <c r="A254" s="288" t="s">
        <v>263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1"/>
      <c r="AB254" s="271"/>
      <c r="AC254" s="271"/>
    </row>
    <row r="255" spans="1:68" ht="14.25" hidden="1" customHeight="1" x14ac:dyDescent="0.25">
      <c r="A255" s="311" t="s">
        <v>62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0">
        <v>4620207491980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5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5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hidden="1" customHeight="1" x14ac:dyDescent="0.25">
      <c r="A260" s="311" t="s">
        <v>181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0">
        <v>4620207492147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1" t="s">
        <v>344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0">
        <v>4620207492154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1" t="s">
        <v>347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180</v>
      </c>
      <c r="Y262" s="277">
        <f>IFERROR(IF(X262="","",X262),"")</f>
        <v>180</v>
      </c>
      <c r="Z262" s="36">
        <f>IFERROR(IF(X262="","",X262*0.0155),"")</f>
        <v>2.79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942.30000000000007</v>
      </c>
      <c r="BN262" s="67">
        <f>IFERROR(Y262*I262,"0")</f>
        <v>942.30000000000007</v>
      </c>
      <c r="BO262" s="67">
        <f>IFERROR(X262/J262,"0")</f>
        <v>2.1428571428571428</v>
      </c>
      <c r="BP262" s="67">
        <f>IFERROR(Y262/J262,"0")</f>
        <v>2.1428571428571428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0">
        <v>4620207492086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5" t="s">
        <v>350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5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180</v>
      </c>
      <c r="Y264" s="278">
        <f>IFERROR(SUM(Y261:Y263),"0")</f>
        <v>180</v>
      </c>
      <c r="Z264" s="278">
        <f>IFERROR(IF(Z261="",0,Z261),"0")+IFERROR(IF(Z262="",0,Z262),"0")+IFERROR(IF(Z263="",0,Z263),"0")</f>
        <v>2.79</v>
      </c>
      <c r="AA264" s="279"/>
      <c r="AB264" s="279"/>
      <c r="AC264" s="279"/>
    </row>
    <row r="265" spans="1:68" x14ac:dyDescent="0.2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95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900</v>
      </c>
      <c r="Y265" s="278">
        <f>IFERROR(SUMPRODUCT(Y261:Y263*H261:H263),"0")</f>
        <v>900</v>
      </c>
      <c r="Z265" s="37"/>
      <c r="AA265" s="279"/>
      <c r="AB265" s="279"/>
      <c r="AC265" s="279"/>
    </row>
    <row r="266" spans="1:68" ht="14.25" hidden="1" customHeight="1" x14ac:dyDescent="0.25">
      <c r="A266" s="311" t="s">
        <v>153</v>
      </c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72"/>
      <c r="AB266" s="272"/>
      <c r="AC266" s="272"/>
    </row>
    <row r="267" spans="1:68" ht="16.5" customHeight="1" x14ac:dyDescent="0.25">
      <c r="A267" s="54" t="s">
        <v>351</v>
      </c>
      <c r="B267" s="54" t="s">
        <v>352</v>
      </c>
      <c r="C267" s="31">
        <v>4301137066</v>
      </c>
      <c r="D267" s="280">
        <v>4620207492109</v>
      </c>
      <c r="E267" s="281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78" t="s">
        <v>353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60</v>
      </c>
      <c r="Y267" s="277">
        <f t="shared" ref="Y267:Y276" si="18">IFERROR(IF(X267="","",X267),"")</f>
        <v>60</v>
      </c>
      <c r="Z267" s="36">
        <f>IFERROR(IF(X267="","",X267*0.0155),"")</f>
        <v>0.92999999999999994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344.1</v>
      </c>
      <c r="BN267" s="67">
        <f t="shared" ref="BN267:BN276" si="20">IFERROR(Y267*I267,"0")</f>
        <v>344.1</v>
      </c>
      <c r="BO267" s="67">
        <f t="shared" ref="BO267:BO276" si="21">IFERROR(X267/J267,"0")</f>
        <v>0.7142857142857143</v>
      </c>
      <c r="BP267" s="67">
        <f t="shared" ref="BP267:BP276" si="22">IFERROR(Y267/J267,"0")</f>
        <v>0.7142857142857143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0">
        <v>4620207492161</v>
      </c>
      <c r="E268" s="281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6" t="s">
        <v>357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359</v>
      </c>
      <c r="B269" s="54" t="s">
        <v>360</v>
      </c>
      <c r="C269" s="31">
        <v>4301137046</v>
      </c>
      <c r="D269" s="280">
        <v>4620207492093</v>
      </c>
      <c r="E269" s="281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">
        <v>361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56</v>
      </c>
      <c r="Y269" s="277">
        <f t="shared" si="18"/>
        <v>56</v>
      </c>
      <c r="Z269" s="36">
        <f>IFERROR(IF(X269="","",X269*0.00936),"")</f>
        <v>0.52415999999999996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217.952</v>
      </c>
      <c r="BN269" s="67">
        <f t="shared" si="20"/>
        <v>217.952</v>
      </c>
      <c r="BO269" s="67">
        <f t="shared" si="21"/>
        <v>0.44444444444444442</v>
      </c>
      <c r="BP269" s="67">
        <f t="shared" si="22"/>
        <v>0.44444444444444442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0">
        <v>4620207492222</v>
      </c>
      <c r="E270" s="281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4" t="s">
        <v>365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0">
        <v>4620207492116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">
        <v>368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0">
        <v>4620207492123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70" t="s">
        <v>371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0">
        <v>4620207492130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34" t="s">
        <v>374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0">
        <v>4620207491942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0">
        <v>4620207491911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06" t="s">
        <v>379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5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116</v>
      </c>
      <c r="Y277" s="278">
        <f>IFERROR(SUM(Y267:Y276),"0")</f>
        <v>116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1.4541599999999999</v>
      </c>
      <c r="AA277" s="279"/>
      <c r="AB277" s="279"/>
      <c r="AC277" s="279"/>
    </row>
    <row r="278" spans="1:68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5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537.20000000000005</v>
      </c>
      <c r="Y278" s="278">
        <f>IFERROR(SUMPRODUCT(Y267:Y276*H267:H276),"0")</f>
        <v>537.20000000000005</v>
      </c>
      <c r="Z278" s="37"/>
      <c r="AA278" s="279"/>
      <c r="AB278" s="279"/>
      <c r="AC278" s="279"/>
    </row>
    <row r="279" spans="1:68" ht="15" customHeight="1" x14ac:dyDescent="0.2">
      <c r="A279" s="380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5"/>
      <c r="P279" s="326" t="s">
        <v>382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12427.880000000001</v>
      </c>
      <c r="Y279" s="278">
        <f>IFERROR(Y31+Y35+Y41+Y48+Y54+Y62+Y71+Y77+Y82+Y88+Y98+Y104+Y115+Y119+Y123+Y128+Y135+Y141+Y147+Y153+Y159+Y164+Y169+Y174+Y180+Y184+Y190+Y195+Y204+Y210+Y215+Y221+Y226+Y232+Y238+Y242+Y248+Y252+Y259+Y265+Y278,"0")</f>
        <v>12427.880000000001</v>
      </c>
      <c r="Z279" s="37"/>
      <c r="AA279" s="279"/>
      <c r="AB279" s="279"/>
      <c r="AC279" s="279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5"/>
      <c r="P280" s="326" t="s">
        <v>383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13809.388800000001</v>
      </c>
      <c r="Y280" s="278">
        <f>IFERROR(SUM(BN22:BN276),"0")</f>
        <v>13809.388800000001</v>
      </c>
      <c r="Z280" s="37"/>
      <c r="AA280" s="279"/>
      <c r="AB280" s="279"/>
      <c r="AC280" s="279"/>
    </row>
    <row r="281" spans="1:68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5"/>
      <c r="P281" s="326" t="s">
        <v>384</v>
      </c>
      <c r="Q281" s="327"/>
      <c r="R281" s="327"/>
      <c r="S281" s="327"/>
      <c r="T281" s="327"/>
      <c r="U281" s="327"/>
      <c r="V281" s="328"/>
      <c r="W281" s="37" t="s">
        <v>385</v>
      </c>
      <c r="X281" s="38">
        <f>ROUNDUP(SUM(BO22:BO276),0)</f>
        <v>39</v>
      </c>
      <c r="Y281" s="38">
        <f>ROUNDUP(SUM(BP22:BP276),0)</f>
        <v>39</v>
      </c>
      <c r="Z281" s="37"/>
      <c r="AA281" s="279"/>
      <c r="AB281" s="279"/>
      <c r="AC281" s="279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375"/>
      <c r="P282" s="326" t="s">
        <v>386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14784.388800000001</v>
      </c>
      <c r="Y282" s="278">
        <f>GrossWeightTotalR+PalletQtyTotalR*25</f>
        <v>14784.388800000001</v>
      </c>
      <c r="Z282" s="37"/>
      <c r="AA282" s="279"/>
      <c r="AB282" s="279"/>
      <c r="AC282" s="279"/>
    </row>
    <row r="283" spans="1:68" x14ac:dyDescent="0.2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5"/>
      <c r="P283" s="326" t="s">
        <v>387</v>
      </c>
      <c r="Q283" s="327"/>
      <c r="R283" s="327"/>
      <c r="S283" s="327"/>
      <c r="T283" s="327"/>
      <c r="U283" s="327"/>
      <c r="V283" s="328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3496</v>
      </c>
      <c r="Y283" s="278">
        <f>IFERROR(Y30+Y34+Y40+Y47+Y53+Y61+Y70+Y76+Y81+Y87+Y97+Y103+Y114+Y118+Y122+Y127+Y134+Y140+Y146+Y152+Y158+Y163+Y168+Y173+Y179+Y183+Y189+Y194+Y203+Y209+Y214+Y220+Y225+Y231+Y237+Y241+Y247+Y251+Y258+Y264+Y277,"0")</f>
        <v>3496</v>
      </c>
      <c r="Z283" s="37"/>
      <c r="AA283" s="279"/>
      <c r="AB283" s="279"/>
      <c r="AC283" s="279"/>
    </row>
    <row r="284" spans="1:68" ht="14.25" hidden="1" customHeight="1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5"/>
      <c r="P284" s="326" t="s">
        <v>388</v>
      </c>
      <c r="Q284" s="327"/>
      <c r="R284" s="327"/>
      <c r="S284" s="327"/>
      <c r="T284" s="327"/>
      <c r="U284" s="327"/>
      <c r="V284" s="328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49.536880000000004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9" t="s">
        <v>61</v>
      </c>
      <c r="C286" s="386"/>
      <c r="D286" s="299" t="s">
        <v>100</v>
      </c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6"/>
      <c r="V286" s="299" t="s">
        <v>262</v>
      </c>
      <c r="W286" s="385"/>
      <c r="X286" s="386"/>
      <c r="Y286" s="273" t="s">
        <v>280</v>
      </c>
      <c r="Z286" s="299" t="s">
        <v>294</v>
      </c>
      <c r="AA286" s="385"/>
      <c r="AB286" s="386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09" t="s">
        <v>391</v>
      </c>
      <c r="B287" s="299" t="s">
        <v>61</v>
      </c>
      <c r="C287" s="299" t="s">
        <v>94</v>
      </c>
      <c r="D287" s="299" t="s">
        <v>101</v>
      </c>
      <c r="E287" s="299" t="s">
        <v>112</v>
      </c>
      <c r="F287" s="299" t="s">
        <v>119</v>
      </c>
      <c r="G287" s="299" t="s">
        <v>130</v>
      </c>
      <c r="H287" s="299" t="s">
        <v>145</v>
      </c>
      <c r="I287" s="299" t="s">
        <v>152</v>
      </c>
      <c r="J287" s="299" t="s">
        <v>157</v>
      </c>
      <c r="K287" s="299" t="s">
        <v>165</v>
      </c>
      <c r="L287" s="299" t="s">
        <v>180</v>
      </c>
      <c r="M287" s="299" t="s">
        <v>187</v>
      </c>
      <c r="N287" s="274"/>
      <c r="O287" s="299" t="s">
        <v>213</v>
      </c>
      <c r="P287" s="299" t="s">
        <v>234</v>
      </c>
      <c r="Q287" s="299" t="s">
        <v>240</v>
      </c>
      <c r="R287" s="299" t="s">
        <v>246</v>
      </c>
      <c r="S287" s="299" t="s">
        <v>252</v>
      </c>
      <c r="T287" s="299" t="s">
        <v>255</v>
      </c>
      <c r="U287" s="299" t="s">
        <v>259</v>
      </c>
      <c r="V287" s="299" t="s">
        <v>263</v>
      </c>
      <c r="W287" s="299" t="s">
        <v>270</v>
      </c>
      <c r="X287" s="299" t="s">
        <v>277</v>
      </c>
      <c r="Y287" s="299" t="s">
        <v>281</v>
      </c>
      <c r="Z287" s="299" t="s">
        <v>295</v>
      </c>
      <c r="AA287" s="299" t="s">
        <v>305</v>
      </c>
      <c r="AB287" s="299" t="s">
        <v>312</v>
      </c>
      <c r="AC287" s="299" t="s">
        <v>317</v>
      </c>
      <c r="AD287" s="299" t="s">
        <v>322</v>
      </c>
      <c r="AE287" s="299" t="s">
        <v>329</v>
      </c>
      <c r="AF287" s="299" t="s">
        <v>263</v>
      </c>
    </row>
    <row r="288" spans="1:68" ht="13.5" customHeight="1" thickBot="1" x14ac:dyDescent="0.25">
      <c r="A288" s="31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274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259.20000000000005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336</v>
      </c>
      <c r="F289" s="46">
        <f>IFERROR(X57*H57,"0")+IFERROR(X58*H58,"0")+IFERROR(X59*H59,"0")+IFERROR(X60*H60,"0")</f>
        <v>252</v>
      </c>
      <c r="G289" s="46">
        <f>IFERROR(X65*H65,"0")+IFERROR(X66*H66,"0")+IFERROR(X67*H67,"0")+IFERROR(X68*H68,"0")+IFERROR(X69*H69,"0")</f>
        <v>0</v>
      </c>
      <c r="H289" s="46">
        <f>IFERROR(X74*H74,"0")+IFERROR(X75*H75,"0")</f>
        <v>480</v>
      </c>
      <c r="I289" s="46">
        <f>IFERROR(X80*H80,"0")</f>
        <v>0</v>
      </c>
      <c r="J289" s="46">
        <f>IFERROR(X85*H85,"0")+IFERROR(X86*H86,"0")</f>
        <v>554.4</v>
      </c>
      <c r="K289" s="46">
        <f>IFERROR(X91*H91,"0")+IFERROR(X92*H92,"0")+IFERROR(X93*H93,"0")+IFERROR(X94*H94,"0")+IFERROR(X95*H95,"0")+IFERROR(X96*H96,"0")</f>
        <v>1056.72</v>
      </c>
      <c r="L289" s="46">
        <f>IFERROR(X101*H101,"0")+IFERROR(X102*H102,"0")</f>
        <v>120.96000000000001</v>
      </c>
      <c r="M289" s="46">
        <f>IFERROR(X107*H107,"0")+IFERROR(X108*H108,"0")+IFERROR(X109*H109,"0")+IFERROR(X110*H110,"0")+IFERROR(X111*H111,"0")+IFERROR(X112*H112,"0")+IFERROR(X113*H113,"0")+IFERROR(X117*H117,"0")+IFERROR(X121*H121,"0")</f>
        <v>588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534.24</v>
      </c>
      <c r="P289" s="46">
        <f>IFERROR(X144*H144,"0")+IFERROR(X145*H145,"0")</f>
        <v>924</v>
      </c>
      <c r="Q289" s="46">
        <f>IFERROR(X150*H150,"0")+IFERROR(X151*H151,"0")</f>
        <v>168</v>
      </c>
      <c r="R289" s="46">
        <f>IFERROR(X156*H156,"0")+IFERROR(X157*H157,"0")</f>
        <v>235.2</v>
      </c>
      <c r="S289" s="46">
        <f>IFERROR(X162*H162,"0")</f>
        <v>0</v>
      </c>
      <c r="T289" s="46">
        <f>IFERROR(X167*H167,"0")</f>
        <v>0</v>
      </c>
      <c r="U289" s="46">
        <f>IFERROR(X172*H172,"0")</f>
        <v>635.04</v>
      </c>
      <c r="V289" s="46">
        <f>IFERROR(X178*H178,"0")+IFERROR(X182*H182,"0")</f>
        <v>1174.8</v>
      </c>
      <c r="W289" s="46">
        <f>IFERROR(X187*H187,"0")+IFERROR(X188*H188,"0")</f>
        <v>0</v>
      </c>
      <c r="X289" s="46">
        <f>IFERROR(X193*H193,"0")</f>
        <v>780</v>
      </c>
      <c r="Y289" s="46">
        <f>IFERROR(X199*H199,"0")+IFERROR(X200*H200,"0")+IFERROR(X201*H201,"0")+IFERROR(X202*H202,"0")</f>
        <v>210</v>
      </c>
      <c r="Z289" s="46">
        <f>IFERROR(X208*H208,"0")+IFERROR(X212*H212,"0")+IFERROR(X213*H213,"0")</f>
        <v>309.12</v>
      </c>
      <c r="AA289" s="46">
        <f>IFERROR(X218*H218,"0")+IFERROR(X219*H219,"0")</f>
        <v>0</v>
      </c>
      <c r="AB289" s="46">
        <f>IFERROR(X224*H224,"0")</f>
        <v>2100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1521.2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4879.2</v>
      </c>
      <c r="B292" s="60">
        <f>SUMPRODUCT(--(BB:BB="ПГП"),--(W:W="кор"),H:H,Y:Y)+SUMPRODUCT(--(BB:BB="ПГП"),--(W:W="кг"),Y:Y)</f>
        <v>7548.6799999999994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6,72"/>
        <filter val="112,00"/>
        <filter val="116,00"/>
        <filter val="12 427,88"/>
        <filter val="12,00"/>
        <filter val="120,96"/>
        <filter val="126,00"/>
        <filter val="13 809,39"/>
        <filter val="14 784,39"/>
        <filter val="140,00"/>
        <filter val="144,00"/>
        <filter val="154,00"/>
        <filter val="156,00"/>
        <filter val="168,00"/>
        <filter val="180,00"/>
        <filter val="182,00"/>
        <filter val="189,00"/>
        <filter val="2 100,00"/>
        <filter val="210,00"/>
        <filter val="235,20"/>
        <filter val="24,00"/>
        <filter val="252,00"/>
        <filter val="259,20"/>
        <filter val="28,00"/>
        <filter val="3 496,00"/>
        <filter val="308,00"/>
        <filter val="309,12"/>
        <filter val="310,80"/>
        <filter val="322,00"/>
        <filter val="336,00"/>
        <filter val="36,00"/>
        <filter val="378,00"/>
        <filter val="39"/>
        <filter val="392,00"/>
        <filter val="42,00"/>
        <filter val="420,00"/>
        <filter val="480,00"/>
        <filter val="534,24"/>
        <filter val="537,20"/>
        <filter val="554,40"/>
        <filter val="56,00"/>
        <filter val="588,00"/>
        <filter val="60,00"/>
        <filter val="635,04"/>
        <filter val="70,00"/>
        <filter val="780,00"/>
        <filter val="84,00"/>
        <filter val="864,00"/>
        <filter val="900,00"/>
        <filter val="924,00"/>
        <filter val="96,00"/>
        <filter val="98,00"/>
      </filters>
    </filterColumn>
    <filterColumn colId="29" showButton="0"/>
    <filterColumn colId="30" showButton="0"/>
  </autoFilter>
  <mergeCells count="507"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218:T218"/>
    <mergeCell ref="P140:V140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V286:X286"/>
    <mergeCell ref="A233:Z233"/>
    <mergeCell ref="A168:O169"/>
    <mergeCell ref="M17:M18"/>
    <mergeCell ref="O17:O18"/>
    <mergeCell ref="P258:V258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D275:E275"/>
    <mergeCell ref="A79:Z79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6:C6"/>
    <mergeCell ref="D113:E113"/>
    <mergeCell ref="AA287:AA288"/>
    <mergeCell ref="P167:T167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120:Z120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273:T273"/>
    <mergeCell ref="D145:E145"/>
    <mergeCell ref="D272:E272"/>
    <mergeCell ref="A225:O226"/>
    <mergeCell ref="P39:T39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A287:A28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2026-10-23T11:51:50Z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