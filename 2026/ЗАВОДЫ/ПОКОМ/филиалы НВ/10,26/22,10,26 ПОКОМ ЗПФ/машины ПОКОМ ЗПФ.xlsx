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83A92AA1-C32F-4F57-A58A-566E124E51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" i="1" l="1"/>
  <c r="Q4" i="1"/>
  <c r="P5" i="1"/>
  <c r="Q5" i="1"/>
  <c r="P6" i="1"/>
  <c r="Q6" i="1"/>
  <c r="P7" i="1"/>
  <c r="Q7" i="1"/>
  <c r="P8" i="1"/>
  <c r="Q8" i="1"/>
  <c r="P9" i="1"/>
  <c r="Q9" i="1"/>
  <c r="P10" i="1"/>
  <c r="Q10" i="1"/>
  <c r="Q3" i="1"/>
  <c r="P3" i="1"/>
  <c r="M11" i="1" l="1"/>
  <c r="L11" i="1"/>
  <c r="K11" i="1"/>
  <c r="J11" i="1"/>
  <c r="O11" i="1" l="1"/>
  <c r="N11" i="1"/>
  <c r="C11" i="1" l="1"/>
  <c r="E11" i="1" l="1"/>
  <c r="F11" i="1"/>
  <c r="G11" i="1"/>
  <c r="H11" i="1"/>
  <c r="I11" i="1"/>
  <c r="Q11" i="1" l="1"/>
  <c r="D11" i="1"/>
  <c r="B11" i="1"/>
  <c r="P11" i="1" l="1"/>
</calcChain>
</file>

<file path=xl/sharedStrings.xml><?xml version="1.0" encoding="utf-8"?>
<sst xmlns="http://schemas.openxmlformats.org/spreadsheetml/2006/main" count="32" uniqueCount="22">
  <si>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</si>
  <si>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</si>
  <si>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</si>
  <si>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</si>
  <si>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</si>
  <si>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</si>
  <si>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</si>
  <si>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</si>
  <si>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Остаток, вес</t>
  </si>
  <si>
    <t>КОЛ-ВО коробок</t>
  </si>
  <si>
    <t>коробок</t>
  </si>
  <si>
    <t>Остаток, кор.</t>
  </si>
  <si>
    <t>Мариуполь</t>
  </si>
  <si>
    <t>1 машина 25,10</t>
  </si>
  <si>
    <t>Архипов1 ЛП</t>
  </si>
  <si>
    <t>Архипов2 ЛП</t>
  </si>
  <si>
    <t>Архипов3 ЛП</t>
  </si>
  <si>
    <t>1 машина 26,10</t>
  </si>
  <si>
    <t>2 машина 26,10</t>
  </si>
  <si>
    <t>1 машина 27,10</t>
  </si>
  <si>
    <t>2 машина 27,10</t>
  </si>
  <si>
    <t>3 машина 27,10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</si>
</sst>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0" fillId="0" borderId="22" xfId="0" applyBorder="1"/>
    <xf numFmtId="0" fontId="0" fillId="0" borderId="1" xfId="0" applyBorder="1"/>
    <xf numFmtId="0" fontId="0" fillId="0" borderId="24" xfId="0" applyBorder="1"/>
    <xf numFmtId="0" fontId="0" fillId="0" borderId="11" xfId="0" applyBorder="1"/>
    <xf numFmtId="0" fontId="0" fillId="0" borderId="0" xfId="0" applyFill="1" applyBorder="1"/>
    <xf numFmtId="0" fontId="1" fillId="0" borderId="25" xfId="0" applyFont="1" applyBorder="1"/>
    <xf numFmtId="0" fontId="0" fillId="0" borderId="17" xfId="0" applyBorder="1"/>
    <xf numFmtId="0" fontId="0" fillId="0" borderId="18" xfId="0" applyBorder="1"/>
    <xf numFmtId="0" fontId="0" fillId="3" borderId="20" xfId="0" applyFill="1" applyBorder="1"/>
    <xf numFmtId="0" fontId="0" fillId="0" borderId="26" xfId="0" applyBorder="1"/>
    <xf numFmtId="0" fontId="0" fillId="3" borderId="26" xfId="0" applyFill="1" applyBorder="1"/>
    <xf numFmtId="0" fontId="0" fillId="3" borderId="23" xfId="0" applyFill="1" applyBorder="1"/>
    <xf numFmtId="0" fontId="0" fillId="0" borderId="23" xfId="0" applyBorder="1"/>
    <xf numFmtId="0" fontId="1" fillId="0" borderId="27" xfId="0" applyFont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zoomScale="115" zoomScaleNormal="115" workbookViewId="0">
      <selection activeCell="E6" sqref="E6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5" width="9.85546875" customWidth="1"/>
    <col min="16" max="17" width="8.140625" bestFit="1" customWidth="1"/>
    <col min="18" max="18" width="9.140625" customWidth="1"/>
  </cols>
  <sheetData>
    <row r="1" spans="1:17" x14ac:dyDescent="0.25">
      <c r="A1" s="37" t="s">
        <v>4</v>
      </c>
      <c r="B1" s="39" t="s">
        <v>5</v>
      </c>
      <c r="C1" s="33" t="s">
        <v>9</v>
      </c>
      <c r="D1" s="41" t="s">
        <v>13</v>
      </c>
      <c r="E1" s="42"/>
      <c r="F1" s="41" t="s">
        <v>17</v>
      </c>
      <c r="G1" s="42"/>
      <c r="H1" s="41" t="s">
        <v>18</v>
      </c>
      <c r="I1" s="42"/>
      <c r="J1" s="41" t="s">
        <v>19</v>
      </c>
      <c r="K1" s="42"/>
      <c r="L1" s="41" t="s">
        <v>20</v>
      </c>
      <c r="M1" s="42"/>
      <c r="N1" s="41" t="s">
        <v>21</v>
      </c>
      <c r="O1" s="42"/>
      <c r="P1" s="35" t="s">
        <v>8</v>
      </c>
      <c r="Q1" s="31" t="s">
        <v>11</v>
      </c>
    </row>
    <row r="2" spans="1:17" ht="15.75" thickBot="1" x14ac:dyDescent="0.3">
      <c r="A2" s="38"/>
      <c r="B2" s="40"/>
      <c r="C2" s="34"/>
      <c r="D2" s="8" t="s">
        <v>7</v>
      </c>
      <c r="E2" s="9" t="s">
        <v>10</v>
      </c>
      <c r="F2" s="8" t="s">
        <v>7</v>
      </c>
      <c r="G2" s="9" t="s">
        <v>10</v>
      </c>
      <c r="H2" s="8" t="s">
        <v>7</v>
      </c>
      <c r="I2" s="9" t="s">
        <v>10</v>
      </c>
      <c r="J2" s="8" t="s">
        <v>7</v>
      </c>
      <c r="K2" s="9" t="s">
        <v>10</v>
      </c>
      <c r="L2" s="8" t="s">
        <v>7</v>
      </c>
      <c r="M2" s="9" t="s">
        <v>10</v>
      </c>
      <c r="N2" s="8" t="s">
        <v>7</v>
      </c>
      <c r="O2" s="9" t="s">
        <v>10</v>
      </c>
      <c r="P2" s="36"/>
      <c r="Q2" s="32"/>
    </row>
    <row r="3" spans="1:17" x14ac:dyDescent="0.25">
      <c r="A3" s="25" t="s">
        <v>0</v>
      </c>
      <c r="B3" s="18">
        <v>1543</v>
      </c>
      <c r="C3" s="20">
        <v>416</v>
      </c>
      <c r="D3" s="4"/>
      <c r="E3" s="5"/>
      <c r="F3" s="19">
        <v>1543</v>
      </c>
      <c r="G3" s="20">
        <v>416</v>
      </c>
      <c r="H3" s="4"/>
      <c r="I3" s="6"/>
      <c r="J3" s="4"/>
      <c r="K3" s="6"/>
      <c r="L3" s="4"/>
      <c r="M3" s="6"/>
      <c r="N3" s="4"/>
      <c r="O3" s="6"/>
      <c r="P3" s="4">
        <f>B3-D3-F3-H3-J3-L3-N3</f>
        <v>0</v>
      </c>
      <c r="Q3" s="5">
        <f>C3-E3-G3-I3-K3-M3-O3</f>
        <v>0</v>
      </c>
    </row>
    <row r="4" spans="1:17" x14ac:dyDescent="0.25">
      <c r="A4" s="26" t="s">
        <v>1</v>
      </c>
      <c r="B4" s="2">
        <v>12988</v>
      </c>
      <c r="C4" s="10">
        <v>3524</v>
      </c>
      <c r="D4" s="2"/>
      <c r="E4" s="3"/>
      <c r="F4" s="2"/>
      <c r="G4" s="3"/>
      <c r="H4" s="2"/>
      <c r="I4" s="7"/>
      <c r="J4" s="2"/>
      <c r="K4" s="7"/>
      <c r="L4" s="2"/>
      <c r="M4" s="7"/>
      <c r="N4" s="2">
        <v>12988</v>
      </c>
      <c r="O4" s="10">
        <v>3524</v>
      </c>
      <c r="P4" s="4">
        <f t="shared" ref="P4:P10" si="0">B4-D4-F4-H4-J4-L4-N4</f>
        <v>0</v>
      </c>
      <c r="Q4" s="5">
        <f t="shared" ref="Q4:Q10" si="1">C4-E4-G4-I4-K4-M4-O4</f>
        <v>0</v>
      </c>
    </row>
    <row r="5" spans="1:17" x14ac:dyDescent="0.25">
      <c r="A5" s="26" t="s">
        <v>2</v>
      </c>
      <c r="B5" s="2">
        <v>12428</v>
      </c>
      <c r="C5" s="10">
        <v>3496</v>
      </c>
      <c r="D5" s="2"/>
      <c r="E5" s="3"/>
      <c r="F5" s="2"/>
      <c r="G5" s="3"/>
      <c r="H5" s="2"/>
      <c r="I5" s="7"/>
      <c r="J5" s="2"/>
      <c r="K5" s="7"/>
      <c r="L5" s="2">
        <v>12428</v>
      </c>
      <c r="M5" s="10">
        <v>3496</v>
      </c>
      <c r="N5" s="2"/>
      <c r="O5" s="7"/>
      <c r="P5" s="4">
        <f t="shared" si="0"/>
        <v>0</v>
      </c>
      <c r="Q5" s="5">
        <f t="shared" si="1"/>
        <v>0</v>
      </c>
    </row>
    <row r="6" spans="1:17" x14ac:dyDescent="0.25">
      <c r="A6" s="27" t="s">
        <v>3</v>
      </c>
      <c r="B6" s="2">
        <v>7118</v>
      </c>
      <c r="C6" s="3">
        <v>1678</v>
      </c>
      <c r="D6" s="2"/>
      <c r="E6" s="3"/>
      <c r="F6" s="2">
        <v>7118</v>
      </c>
      <c r="G6" s="3">
        <v>1678</v>
      </c>
      <c r="H6" s="2"/>
      <c r="I6" s="7"/>
      <c r="J6" s="2"/>
      <c r="K6" s="7"/>
      <c r="L6" s="2"/>
      <c r="M6" s="7"/>
      <c r="N6" s="2"/>
      <c r="O6" s="7"/>
      <c r="P6" s="4">
        <f t="shared" si="0"/>
        <v>0</v>
      </c>
      <c r="Q6" s="5">
        <f t="shared" si="1"/>
        <v>0</v>
      </c>
    </row>
    <row r="7" spans="1:17" x14ac:dyDescent="0.25">
      <c r="A7" s="28" t="s">
        <v>12</v>
      </c>
      <c r="B7" s="2">
        <v>6230</v>
      </c>
      <c r="C7" s="10">
        <v>1404</v>
      </c>
      <c r="D7" s="2"/>
      <c r="E7" s="3"/>
      <c r="F7" s="17">
        <v>6230</v>
      </c>
      <c r="G7" s="10">
        <v>1404</v>
      </c>
      <c r="H7" s="2"/>
      <c r="I7" s="7"/>
      <c r="J7" s="2"/>
      <c r="K7" s="7"/>
      <c r="L7" s="2"/>
      <c r="M7" s="7"/>
      <c r="N7" s="2"/>
      <c r="O7" s="7"/>
      <c r="P7" s="4">
        <f t="shared" si="0"/>
        <v>0</v>
      </c>
      <c r="Q7" s="5">
        <f t="shared" si="1"/>
        <v>0</v>
      </c>
    </row>
    <row r="8" spans="1:17" x14ac:dyDescent="0.25">
      <c r="A8" s="29" t="s">
        <v>14</v>
      </c>
      <c r="B8" s="2">
        <v>3897</v>
      </c>
      <c r="C8" s="10">
        <v>1114</v>
      </c>
      <c r="D8" s="17">
        <v>3897</v>
      </c>
      <c r="E8" s="10">
        <v>1114</v>
      </c>
      <c r="F8" s="2"/>
      <c r="G8" s="3"/>
      <c r="H8" s="2"/>
      <c r="I8" s="7"/>
      <c r="J8" s="2"/>
      <c r="K8" s="7"/>
      <c r="L8" s="2"/>
      <c r="M8" s="7"/>
      <c r="N8" s="2"/>
      <c r="O8" s="7"/>
      <c r="P8" s="4">
        <f t="shared" si="0"/>
        <v>0</v>
      </c>
      <c r="Q8" s="5">
        <f t="shared" si="1"/>
        <v>0</v>
      </c>
    </row>
    <row r="9" spans="1:17" x14ac:dyDescent="0.25">
      <c r="A9" s="29" t="s">
        <v>15</v>
      </c>
      <c r="B9" s="2">
        <v>2914</v>
      </c>
      <c r="C9" s="14">
        <v>1667</v>
      </c>
      <c r="D9" s="11"/>
      <c r="E9" s="13"/>
      <c r="F9" s="11"/>
      <c r="G9" s="13"/>
      <c r="H9" s="2">
        <v>2914</v>
      </c>
      <c r="I9" s="14">
        <v>1667</v>
      </c>
      <c r="J9" s="11"/>
      <c r="K9" s="12"/>
      <c r="L9" s="11"/>
      <c r="M9" s="12"/>
      <c r="N9" s="11"/>
      <c r="O9" s="12"/>
      <c r="P9" s="4">
        <f t="shared" si="0"/>
        <v>0</v>
      </c>
      <c r="Q9" s="5">
        <f t="shared" si="1"/>
        <v>0</v>
      </c>
    </row>
    <row r="10" spans="1:17" ht="15.75" thickBot="1" x14ac:dyDescent="0.3">
      <c r="A10" s="29" t="s">
        <v>16</v>
      </c>
      <c r="B10" s="11">
        <v>3201</v>
      </c>
      <c r="C10" s="14">
        <v>1100</v>
      </c>
      <c r="D10" s="11"/>
      <c r="E10" s="13"/>
      <c r="F10" s="11"/>
      <c r="G10" s="13"/>
      <c r="H10" s="11"/>
      <c r="I10" s="12"/>
      <c r="J10" s="11">
        <v>3201</v>
      </c>
      <c r="K10" s="14">
        <v>1100</v>
      </c>
      <c r="L10" s="11"/>
      <c r="M10" s="12"/>
      <c r="N10" s="11"/>
      <c r="O10" s="12"/>
      <c r="P10" s="4">
        <f t="shared" si="0"/>
        <v>0</v>
      </c>
      <c r="Q10" s="5">
        <f t="shared" si="1"/>
        <v>0</v>
      </c>
    </row>
    <row r="11" spans="1:17" s="1" customFormat="1" ht="15.75" thickBot="1" x14ac:dyDescent="0.3">
      <c r="A11" s="30" t="s">
        <v>6</v>
      </c>
      <c r="B11" s="30">
        <f>SUM(B3:B10)</f>
        <v>50319</v>
      </c>
      <c r="C11" s="16">
        <f>SUM(C3:C10)</f>
        <v>14399</v>
      </c>
      <c r="D11" s="15">
        <f>SUM(D3:D10)</f>
        <v>3897</v>
      </c>
      <c r="E11" s="16">
        <f t="shared" ref="E11:M11" si="2">SUM(E3:E10)</f>
        <v>1114</v>
      </c>
      <c r="F11" s="15">
        <f t="shared" si="2"/>
        <v>14891</v>
      </c>
      <c r="G11" s="16">
        <f t="shared" si="2"/>
        <v>3498</v>
      </c>
      <c r="H11" s="15">
        <f t="shared" si="2"/>
        <v>2914</v>
      </c>
      <c r="I11" s="16">
        <f t="shared" si="2"/>
        <v>1667</v>
      </c>
      <c r="J11" s="15">
        <f t="shared" si="2"/>
        <v>3201</v>
      </c>
      <c r="K11" s="22">
        <f t="shared" si="2"/>
        <v>1100</v>
      </c>
      <c r="L11" s="15">
        <f t="shared" si="2"/>
        <v>12428</v>
      </c>
      <c r="M11" s="22">
        <f t="shared" si="2"/>
        <v>3496</v>
      </c>
      <c r="N11" s="15">
        <f t="shared" ref="N11:O11" si="3">SUM(N3:N10)</f>
        <v>12988</v>
      </c>
      <c r="O11" s="22">
        <f t="shared" si="3"/>
        <v>3524</v>
      </c>
      <c r="P11" s="23">
        <f t="shared" ref="P11" si="4">B11-D11-F11-H11-N11</f>
        <v>15629</v>
      </c>
      <c r="Q11" s="24">
        <f t="shared" ref="Q11" si="5">C11-E11-G11-I11-O11</f>
        <v>4596</v>
      </c>
    </row>
    <row r="12" spans="1:17" x14ac:dyDescent="0.25">
      <c r="C12" s="21"/>
      <c r="Q12" s="21"/>
    </row>
  </sheetData>
  <mergeCells count="11">
    <mergeCell ref="Q1:Q2"/>
    <mergeCell ref="C1:C2"/>
    <mergeCell ref="P1:P2"/>
    <mergeCell ref="A1:A2"/>
    <mergeCell ref="B1:B2"/>
    <mergeCell ref="D1:E1"/>
    <mergeCell ref="F1:G1"/>
    <mergeCell ref="H1:I1"/>
    <mergeCell ref="N1:O1"/>
    <mergeCell ref="J1:K1"/>
    <mergeCell ref="L1:M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2026-10-23T11:47:16Z</dcterms:modified>
</cp:coreProperties>
</file>