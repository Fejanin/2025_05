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10,26\22,10,26 ПОКОМ ЗПФ\"/>
    </mc:Choice>
  </mc:AlternateContent>
  <xr:revisionPtr revIDLastSave="0" documentId="13_ncr:1_{5CC27003-DD75-4496-98EA-CD2D0B5B9F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Sheet!$A$3:$AO$88</definedName>
  </definedNames>
  <calcPr calcId="191029" refMode="R1C1"/>
</workbook>
</file>

<file path=xl/calcChain.xml><?xml version="1.0" encoding="utf-8"?>
<calcChain xmlns="http://schemas.openxmlformats.org/spreadsheetml/2006/main">
  <c r="U5" i="1" l="1"/>
  <c r="AK61" i="1" l="1"/>
  <c r="AK54" i="1"/>
  <c r="T54" i="1" s="1"/>
  <c r="Q88" i="1"/>
  <c r="V88" i="1" s="1"/>
  <c r="L88" i="1"/>
  <c r="E87" i="1"/>
  <c r="Q87" i="1" s="1"/>
  <c r="S87" i="1" s="1"/>
  <c r="Q86" i="1"/>
  <c r="L86" i="1"/>
  <c r="Q85" i="1"/>
  <c r="L85" i="1"/>
  <c r="Q84" i="1"/>
  <c r="L84" i="1"/>
  <c r="Q83" i="1"/>
  <c r="L83" i="1"/>
  <c r="F82" i="1"/>
  <c r="E82" i="1"/>
  <c r="L82" i="1" s="1"/>
  <c r="Q81" i="1"/>
  <c r="S81" i="1" s="1"/>
  <c r="L81" i="1"/>
  <c r="Q80" i="1"/>
  <c r="L80" i="1"/>
  <c r="F79" i="1"/>
  <c r="E79" i="1"/>
  <c r="L79" i="1" s="1"/>
  <c r="Q78" i="1"/>
  <c r="L78" i="1"/>
  <c r="Q77" i="1"/>
  <c r="L77" i="1"/>
  <c r="Q76" i="1"/>
  <c r="W76" i="1" s="1"/>
  <c r="L76" i="1"/>
  <c r="Q75" i="1"/>
  <c r="W75" i="1" s="1"/>
  <c r="L75" i="1"/>
  <c r="Q74" i="1"/>
  <c r="V74" i="1" s="1"/>
  <c r="L74" i="1"/>
  <c r="F73" i="1"/>
  <c r="E73" i="1"/>
  <c r="L73" i="1" s="1"/>
  <c r="F72" i="1"/>
  <c r="E72" i="1"/>
  <c r="Q72" i="1" s="1"/>
  <c r="Q71" i="1"/>
  <c r="L71" i="1"/>
  <c r="Q70" i="1"/>
  <c r="W70" i="1" s="1"/>
  <c r="L70" i="1"/>
  <c r="Q69" i="1"/>
  <c r="V69" i="1" s="1"/>
  <c r="L69" i="1"/>
  <c r="Q68" i="1"/>
  <c r="W68" i="1" s="1"/>
  <c r="L68" i="1"/>
  <c r="Q67" i="1"/>
  <c r="V67" i="1" s="1"/>
  <c r="L67" i="1"/>
  <c r="Q66" i="1"/>
  <c r="W66" i="1" s="1"/>
  <c r="L66" i="1"/>
  <c r="AI65" i="1"/>
  <c r="Q65" i="1"/>
  <c r="W65" i="1" s="1"/>
  <c r="L65" i="1"/>
  <c r="F64" i="1"/>
  <c r="E64" i="1"/>
  <c r="Q64" i="1" s="1"/>
  <c r="Q63" i="1"/>
  <c r="W63" i="1" s="1"/>
  <c r="L63" i="1"/>
  <c r="F62" i="1"/>
  <c r="E62" i="1"/>
  <c r="Q62" i="1" s="1"/>
  <c r="AI61" i="1"/>
  <c r="Q61" i="1"/>
  <c r="W61" i="1" s="1"/>
  <c r="L61" i="1"/>
  <c r="Q60" i="1"/>
  <c r="L60" i="1"/>
  <c r="Q59" i="1"/>
  <c r="L59" i="1"/>
  <c r="Q58" i="1"/>
  <c r="S58" i="1" s="1"/>
  <c r="L58" i="1"/>
  <c r="Q57" i="1"/>
  <c r="L57" i="1"/>
  <c r="Q56" i="1"/>
  <c r="L56" i="1"/>
  <c r="Q55" i="1"/>
  <c r="L55" i="1"/>
  <c r="Q54" i="1"/>
  <c r="W54" i="1" s="1"/>
  <c r="L54" i="1"/>
  <c r="Q53" i="1"/>
  <c r="L53" i="1"/>
  <c r="Q52" i="1"/>
  <c r="L52" i="1"/>
  <c r="Q51" i="1"/>
  <c r="L51" i="1"/>
  <c r="Q50" i="1"/>
  <c r="S50" i="1" s="1"/>
  <c r="L50" i="1"/>
  <c r="Q49" i="1"/>
  <c r="W49" i="1" s="1"/>
  <c r="L49" i="1"/>
  <c r="Q48" i="1"/>
  <c r="S48" i="1" s="1"/>
  <c r="L48" i="1"/>
  <c r="Q47" i="1"/>
  <c r="W47" i="1" s="1"/>
  <c r="L47" i="1"/>
  <c r="Q46" i="1"/>
  <c r="W46" i="1" s="1"/>
  <c r="L46" i="1"/>
  <c r="Q45" i="1"/>
  <c r="W45" i="1" s="1"/>
  <c r="L45" i="1"/>
  <c r="Q44" i="1"/>
  <c r="L44" i="1"/>
  <c r="Q43" i="1"/>
  <c r="L43" i="1"/>
  <c r="F42" i="1"/>
  <c r="E42" i="1"/>
  <c r="Q42" i="1" s="1"/>
  <c r="Q41" i="1"/>
  <c r="L41" i="1"/>
  <c r="Q40" i="1"/>
  <c r="L40" i="1"/>
  <c r="Q39" i="1"/>
  <c r="L39" i="1"/>
  <c r="Q38" i="1"/>
  <c r="W38" i="1" s="1"/>
  <c r="L38" i="1"/>
  <c r="F37" i="1"/>
  <c r="E37" i="1"/>
  <c r="L37" i="1" s="1"/>
  <c r="Q36" i="1"/>
  <c r="W36" i="1" s="1"/>
  <c r="L36" i="1"/>
  <c r="Q35" i="1"/>
  <c r="W35" i="1" s="1"/>
  <c r="L35" i="1"/>
  <c r="F34" i="1"/>
  <c r="E34" i="1"/>
  <c r="Q34" i="1" s="1"/>
  <c r="AK33" i="1"/>
  <c r="AL33" i="1" s="1"/>
  <c r="AI33" i="1"/>
  <c r="Q33" i="1"/>
  <c r="W33" i="1" s="1"/>
  <c r="L33" i="1"/>
  <c r="F32" i="1"/>
  <c r="E32" i="1"/>
  <c r="Q32" i="1" s="1"/>
  <c r="Q31" i="1"/>
  <c r="W31" i="1" s="1"/>
  <c r="L31" i="1"/>
  <c r="Q30" i="1"/>
  <c r="W30" i="1" s="1"/>
  <c r="L30" i="1"/>
  <c r="F29" i="1"/>
  <c r="E29" i="1"/>
  <c r="Q29" i="1" s="1"/>
  <c r="Q28" i="1"/>
  <c r="W28" i="1" s="1"/>
  <c r="L28" i="1"/>
  <c r="F27" i="1"/>
  <c r="E27" i="1"/>
  <c r="L27" i="1" s="1"/>
  <c r="Q26" i="1"/>
  <c r="S26" i="1" s="1"/>
  <c r="L26" i="1"/>
  <c r="Q25" i="1"/>
  <c r="L25" i="1"/>
  <c r="Q24" i="1"/>
  <c r="W24" i="1" s="1"/>
  <c r="L24" i="1"/>
  <c r="F23" i="1"/>
  <c r="E23" i="1"/>
  <c r="Q23" i="1" s="1"/>
  <c r="F22" i="1"/>
  <c r="E22" i="1"/>
  <c r="Q22" i="1" s="1"/>
  <c r="Q21" i="1"/>
  <c r="W21" i="1" s="1"/>
  <c r="L21" i="1"/>
  <c r="Q20" i="1"/>
  <c r="W20" i="1" s="1"/>
  <c r="L20" i="1"/>
  <c r="Q19" i="1"/>
  <c r="L19" i="1"/>
  <c r="F18" i="1"/>
  <c r="E18" i="1"/>
  <c r="Q18" i="1" s="1"/>
  <c r="S18" i="1" s="1"/>
  <c r="Q17" i="1"/>
  <c r="W17" i="1" s="1"/>
  <c r="L17" i="1"/>
  <c r="Q16" i="1"/>
  <c r="S16" i="1" s="1"/>
  <c r="L16" i="1"/>
  <c r="F15" i="1"/>
  <c r="E15" i="1"/>
  <c r="Q15" i="1" s="1"/>
  <c r="Q14" i="1"/>
  <c r="W14" i="1" s="1"/>
  <c r="L14" i="1"/>
  <c r="Q13" i="1"/>
  <c r="W13" i="1" s="1"/>
  <c r="L13" i="1"/>
  <c r="Q12" i="1"/>
  <c r="W12" i="1" s="1"/>
  <c r="L12" i="1"/>
  <c r="Q11" i="1"/>
  <c r="W11" i="1" s="1"/>
  <c r="L11" i="1"/>
  <c r="F10" i="1"/>
  <c r="E10" i="1"/>
  <c r="L10" i="1" s="1"/>
  <c r="Q9" i="1"/>
  <c r="V9" i="1" s="1"/>
  <c r="L9" i="1"/>
  <c r="Q8" i="1"/>
  <c r="W8" i="1" s="1"/>
  <c r="L8" i="1"/>
  <c r="Q7" i="1"/>
  <c r="W7" i="1" s="1"/>
  <c r="L7" i="1"/>
  <c r="Q6" i="1"/>
  <c r="W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S42" i="1" l="1"/>
  <c r="S29" i="1"/>
  <c r="W19" i="1"/>
  <c r="S19" i="1"/>
  <c r="W41" i="1"/>
  <c r="S41" i="1"/>
  <c r="W43" i="1"/>
  <c r="S43" i="1"/>
  <c r="W52" i="1"/>
  <c r="S52" i="1"/>
  <c r="S62" i="1"/>
  <c r="S64" i="1"/>
  <c r="AK64" i="1" s="1"/>
  <c r="AO64" i="1" s="1"/>
  <c r="W78" i="1"/>
  <c r="S78" i="1"/>
  <c r="W85" i="1"/>
  <c r="S85" i="1"/>
  <c r="W86" i="1"/>
  <c r="S86" i="1"/>
  <c r="W39" i="1"/>
  <c r="S39" i="1"/>
  <c r="AK39" i="1" s="1"/>
  <c r="AO39" i="1" s="1"/>
  <c r="W40" i="1"/>
  <c r="S40" i="1"/>
  <c r="AK40" i="1" s="1"/>
  <c r="T40" i="1" s="1"/>
  <c r="V40" i="1" s="1"/>
  <c r="W44" i="1"/>
  <c r="S44" i="1"/>
  <c r="AK44" i="1" s="1"/>
  <c r="W48" i="1"/>
  <c r="W51" i="1"/>
  <c r="S51" i="1"/>
  <c r="W53" i="1"/>
  <c r="S53" i="1"/>
  <c r="W55" i="1"/>
  <c r="S55" i="1"/>
  <c r="W56" i="1"/>
  <c r="S56" i="1"/>
  <c r="W57" i="1"/>
  <c r="S57" i="1"/>
  <c r="W59" i="1"/>
  <c r="S59" i="1"/>
  <c r="AK59" i="1" s="1"/>
  <c r="AO59" i="1" s="1"/>
  <c r="W60" i="1"/>
  <c r="S60" i="1"/>
  <c r="AK60" i="1" s="1"/>
  <c r="T60" i="1" s="1"/>
  <c r="V60" i="1" s="1"/>
  <c r="W71" i="1"/>
  <c r="S71" i="1"/>
  <c r="AK71" i="1" s="1"/>
  <c r="T71" i="1" s="1"/>
  <c r="V71" i="1" s="1"/>
  <c r="W77" i="1"/>
  <c r="S77" i="1"/>
  <c r="W80" i="1"/>
  <c r="S80" i="1"/>
  <c r="W83" i="1"/>
  <c r="S83" i="1"/>
  <c r="AK83" i="1" s="1"/>
  <c r="T83" i="1" s="1"/>
  <c r="V83" i="1" s="1"/>
  <c r="W84" i="1"/>
  <c r="S84" i="1"/>
  <c r="S15" i="1"/>
  <c r="AK15" i="1" s="1"/>
  <c r="S22" i="1"/>
  <c r="AI22" i="1" s="1"/>
  <c r="S23" i="1"/>
  <c r="AI23" i="1" s="1"/>
  <c r="S34" i="1"/>
  <c r="AK34" i="1" s="1"/>
  <c r="S72" i="1"/>
  <c r="AK72" i="1" s="1"/>
  <c r="AI18" i="1"/>
  <c r="V66" i="1"/>
  <c r="AI62" i="1"/>
  <c r="W16" i="1"/>
  <c r="W74" i="1"/>
  <c r="AK29" i="1"/>
  <c r="T29" i="1" s="1"/>
  <c r="V29" i="1" s="1"/>
  <c r="W58" i="1"/>
  <c r="W69" i="1"/>
  <c r="W50" i="1"/>
  <c r="W25" i="1"/>
  <c r="Q79" i="1"/>
  <c r="S79" i="1" s="1"/>
  <c r="L62" i="1"/>
  <c r="V54" i="1"/>
  <c r="AK50" i="1"/>
  <c r="AO50" i="1" s="1"/>
  <c r="AI50" i="1"/>
  <c r="AK42" i="1"/>
  <c r="AL42" i="1" s="1"/>
  <c r="AI42" i="1"/>
  <c r="AI32" i="1"/>
  <c r="AK32" i="1"/>
  <c r="AO32" i="1" s="1"/>
  <c r="W87" i="1"/>
  <c r="AK16" i="1"/>
  <c r="AO16" i="1" s="1"/>
  <c r="AI16" i="1"/>
  <c r="AK25" i="1"/>
  <c r="AI25" i="1"/>
  <c r="AK26" i="1"/>
  <c r="AI26" i="1"/>
  <c r="AO61" i="1"/>
  <c r="AL61" i="1"/>
  <c r="T61" i="1"/>
  <c r="V61" i="1" s="1"/>
  <c r="AI29" i="1"/>
  <c r="AK81" i="1"/>
  <c r="AO81" i="1" s="1"/>
  <c r="AI81" i="1"/>
  <c r="AK58" i="1"/>
  <c r="AL58" i="1" s="1"/>
  <c r="AI58" i="1"/>
  <c r="L18" i="1"/>
  <c r="L23" i="1"/>
  <c r="V63" i="1"/>
  <c r="W29" i="1"/>
  <c r="AI54" i="1"/>
  <c r="W81" i="1"/>
  <c r="Q82" i="1"/>
  <c r="W82" i="1" s="1"/>
  <c r="L87" i="1"/>
  <c r="Q37" i="1"/>
  <c r="V68" i="1"/>
  <c r="Q73" i="1"/>
  <c r="S73" i="1" s="1"/>
  <c r="W9" i="1"/>
  <c r="Q27" i="1"/>
  <c r="S27" i="1" s="1"/>
  <c r="AL54" i="1"/>
  <c r="AO54" i="1"/>
  <c r="W22" i="1"/>
  <c r="L22" i="1"/>
  <c r="AO33" i="1"/>
  <c r="W42" i="1"/>
  <c r="W67" i="1"/>
  <c r="W23" i="1"/>
  <c r="L72" i="1"/>
  <c r="W88" i="1"/>
  <c r="W72" i="1"/>
  <c r="W64" i="1"/>
  <c r="W32" i="1"/>
  <c r="W62" i="1"/>
  <c r="W15" i="1"/>
  <c r="W34" i="1"/>
  <c r="V11" i="1"/>
  <c r="V20" i="1"/>
  <c r="L32" i="1"/>
  <c r="L34" i="1"/>
  <c r="V70" i="1"/>
  <c r="V12" i="1"/>
  <c r="W18" i="1"/>
  <c r="V21" i="1"/>
  <c r="V65" i="1"/>
  <c r="E5" i="1"/>
  <c r="V36" i="1"/>
  <c r="F5" i="1"/>
  <c r="V6" i="1"/>
  <c r="V13" i="1"/>
  <c r="V28" i="1"/>
  <c r="L64" i="1"/>
  <c r="V76" i="1"/>
  <c r="Q10" i="1"/>
  <c r="W26" i="1"/>
  <c r="V7" i="1"/>
  <c r="V14" i="1"/>
  <c r="L29" i="1"/>
  <c r="T33" i="1"/>
  <c r="V33" i="1" s="1"/>
  <c r="L42" i="1"/>
  <c r="L15" i="1"/>
  <c r="V17" i="1"/>
  <c r="AL44" i="1" l="1"/>
  <c r="AO44" i="1"/>
  <c r="AK22" i="1"/>
  <c r="T22" i="1" s="1"/>
  <c r="V22" i="1" s="1"/>
  <c r="AI44" i="1"/>
  <c r="AK79" i="1"/>
  <c r="AL59" i="1"/>
  <c r="T32" i="1"/>
  <c r="V32" i="1" s="1"/>
  <c r="AK23" i="1"/>
  <c r="AL23" i="1" s="1"/>
  <c r="AK18" i="1"/>
  <c r="AL18" i="1" s="1"/>
  <c r="AL32" i="1"/>
  <c r="AI39" i="1"/>
  <c r="AL83" i="1"/>
  <c r="AI83" i="1"/>
  <c r="T44" i="1"/>
  <c r="V44" i="1" s="1"/>
  <c r="AL15" i="1"/>
  <c r="T15" i="1"/>
  <c r="V15" i="1" s="1"/>
  <c r="AO15" i="1"/>
  <c r="AO34" i="1"/>
  <c r="T34" i="1"/>
  <c r="V34" i="1" s="1"/>
  <c r="AI34" i="1"/>
  <c r="AI15" i="1"/>
  <c r="AO60" i="1"/>
  <c r="AL60" i="1"/>
  <c r="AI59" i="1"/>
  <c r="AK62" i="1"/>
  <c r="T62" i="1" s="1"/>
  <c r="V62" i="1" s="1"/>
  <c r="AI71" i="1"/>
  <c r="T64" i="1"/>
  <c r="V64" i="1" s="1"/>
  <c r="T39" i="1"/>
  <c r="V39" i="1" s="1"/>
  <c r="AL39" i="1"/>
  <c r="AI60" i="1"/>
  <c r="AI79" i="1"/>
  <c r="W79" i="1"/>
  <c r="AO25" i="1"/>
  <c r="T25" i="1"/>
  <c r="V25" i="1" s="1"/>
  <c r="AI64" i="1"/>
  <c r="AL16" i="1"/>
  <c r="AO83" i="1"/>
  <c r="AL29" i="1"/>
  <c r="AL34" i="1"/>
  <c r="AL81" i="1"/>
  <c r="T50" i="1"/>
  <c r="V50" i="1" s="1"/>
  <c r="AL64" i="1"/>
  <c r="T72" i="1"/>
  <c r="V72" i="1" s="1"/>
  <c r="AL72" i="1"/>
  <c r="AO72" i="1"/>
  <c r="AK80" i="1"/>
  <c r="AI80" i="1"/>
  <c r="AL40" i="1"/>
  <c r="AK41" i="1"/>
  <c r="AI41" i="1"/>
  <c r="AO71" i="1"/>
  <c r="AI72" i="1"/>
  <c r="AL71" i="1"/>
  <c r="AI40" i="1"/>
  <c r="T59" i="1"/>
  <c r="V59" i="1" s="1"/>
  <c r="AO40" i="1"/>
  <c r="AL50" i="1"/>
  <c r="AO29" i="1"/>
  <c r="AK78" i="1"/>
  <c r="AI78" i="1"/>
  <c r="AK86" i="1"/>
  <c r="AI86" i="1"/>
  <c r="AK77" i="1"/>
  <c r="AI77" i="1"/>
  <c r="AK57" i="1"/>
  <c r="AI57" i="1"/>
  <c r="AK48" i="1"/>
  <c r="AI48" i="1"/>
  <c r="AO58" i="1"/>
  <c r="T58" i="1"/>
  <c r="V58" i="1" s="1"/>
  <c r="W37" i="1"/>
  <c r="AI75" i="1"/>
  <c r="AK75" i="1"/>
  <c r="AK85" i="1"/>
  <c r="AI85" i="1"/>
  <c r="AK47" i="1"/>
  <c r="AI47" i="1"/>
  <c r="AK56" i="1"/>
  <c r="AI56" i="1"/>
  <c r="AO22" i="1"/>
  <c r="AK35" i="1"/>
  <c r="AI35" i="1"/>
  <c r="AK84" i="1"/>
  <c r="AI84" i="1"/>
  <c r="AK46" i="1"/>
  <c r="AI46" i="1"/>
  <c r="AO26" i="1"/>
  <c r="T26" i="1"/>
  <c r="V26" i="1" s="1"/>
  <c r="AL26" i="1"/>
  <c r="AK55" i="1"/>
  <c r="AI55" i="1"/>
  <c r="AK24" i="1"/>
  <c r="AI24" i="1"/>
  <c r="AI8" i="1"/>
  <c r="AK8" i="1"/>
  <c r="AK53" i="1"/>
  <c r="AI53" i="1"/>
  <c r="AK45" i="1"/>
  <c r="AI45" i="1"/>
  <c r="AK87" i="1"/>
  <c r="AI87" i="1"/>
  <c r="T16" i="1"/>
  <c r="V16" i="1" s="1"/>
  <c r="T81" i="1"/>
  <c r="V81" i="1" s="1"/>
  <c r="AI52" i="1"/>
  <c r="AK52" i="1"/>
  <c r="AK31" i="1"/>
  <c r="AI31" i="1"/>
  <c r="AK43" i="1"/>
  <c r="AI43" i="1"/>
  <c r="AK19" i="1"/>
  <c r="AI19" i="1"/>
  <c r="AK49" i="1"/>
  <c r="AI49" i="1"/>
  <c r="AK82" i="1"/>
  <c r="AI82" i="1"/>
  <c r="W10" i="1"/>
  <c r="W27" i="1"/>
  <c r="AK51" i="1"/>
  <c r="AI51" i="1"/>
  <c r="T42" i="1"/>
  <c r="V42" i="1" s="1"/>
  <c r="AO42" i="1"/>
  <c r="AK38" i="1"/>
  <c r="AI38" i="1"/>
  <c r="AL22" i="1"/>
  <c r="AK30" i="1"/>
  <c r="AI30" i="1"/>
  <c r="AL25" i="1"/>
  <c r="L5" i="1"/>
  <c r="W73" i="1"/>
  <c r="Q5" i="1"/>
  <c r="T18" i="1" l="1"/>
  <c r="V18" i="1" s="1"/>
  <c r="AO79" i="1"/>
  <c r="AL79" i="1"/>
  <c r="T79" i="1"/>
  <c r="V79" i="1" s="1"/>
  <c r="AO23" i="1"/>
  <c r="T23" i="1"/>
  <c r="V23" i="1" s="1"/>
  <c r="AO18" i="1"/>
  <c r="AL62" i="1"/>
  <c r="AO62" i="1"/>
  <c r="AO41" i="1"/>
  <c r="T41" i="1"/>
  <c r="V41" i="1" s="1"/>
  <c r="AL41" i="1"/>
  <c r="T80" i="1"/>
  <c r="V80" i="1" s="1"/>
  <c r="AO80" i="1"/>
  <c r="AL80" i="1"/>
  <c r="AL55" i="1"/>
  <c r="T55" i="1"/>
  <c r="V55" i="1" s="1"/>
  <c r="AO55" i="1"/>
  <c r="AO43" i="1"/>
  <c r="T43" i="1"/>
  <c r="V43" i="1" s="1"/>
  <c r="AL43" i="1"/>
  <c r="AL31" i="1"/>
  <c r="AO31" i="1"/>
  <c r="T31" i="1"/>
  <c r="V31" i="1" s="1"/>
  <c r="T38" i="1"/>
  <c r="V38" i="1" s="1"/>
  <c r="AO38" i="1"/>
  <c r="AL38" i="1"/>
  <c r="AO85" i="1"/>
  <c r="T85" i="1"/>
  <c r="V85" i="1" s="1"/>
  <c r="AL85" i="1"/>
  <c r="AL57" i="1"/>
  <c r="T57" i="1"/>
  <c r="V57" i="1" s="1"/>
  <c r="AO57" i="1"/>
  <c r="AO75" i="1"/>
  <c r="T75" i="1"/>
  <c r="V75" i="1" s="1"/>
  <c r="AL75" i="1"/>
  <c r="AO46" i="1"/>
  <c r="AL46" i="1"/>
  <c r="T46" i="1"/>
  <c r="V46" i="1" s="1"/>
  <c r="AO77" i="1"/>
  <c r="AL77" i="1"/>
  <c r="T77" i="1"/>
  <c r="V77" i="1" s="1"/>
  <c r="T51" i="1"/>
  <c r="V51" i="1" s="1"/>
  <c r="AL51" i="1"/>
  <c r="AO51" i="1"/>
  <c r="AK10" i="1"/>
  <c r="AI10" i="1"/>
  <c r="AK27" i="1"/>
  <c r="AI27" i="1"/>
  <c r="AO45" i="1"/>
  <c r="T45" i="1"/>
  <c r="V45" i="1" s="1"/>
  <c r="AL45" i="1"/>
  <c r="T86" i="1"/>
  <c r="V86" i="1" s="1"/>
  <c r="AO86" i="1"/>
  <c r="AL86" i="1"/>
  <c r="AK73" i="1"/>
  <c r="AI73" i="1"/>
  <c r="AO30" i="1"/>
  <c r="AL30" i="1"/>
  <c r="T30" i="1"/>
  <c r="V30" i="1" s="1"/>
  <c r="AL52" i="1"/>
  <c r="T52" i="1"/>
  <c r="V52" i="1" s="1"/>
  <c r="AO52" i="1"/>
  <c r="AO84" i="1"/>
  <c r="T84" i="1"/>
  <c r="V84" i="1" s="1"/>
  <c r="AL84" i="1"/>
  <c r="AL35" i="1"/>
  <c r="T35" i="1"/>
  <c r="V35" i="1" s="1"/>
  <c r="AO35" i="1"/>
  <c r="T56" i="1"/>
  <c r="V56" i="1" s="1"/>
  <c r="AL56" i="1"/>
  <c r="AO56" i="1"/>
  <c r="AI37" i="1"/>
  <c r="AK37" i="1"/>
  <c r="AL48" i="1"/>
  <c r="AO48" i="1"/>
  <c r="T48" i="1"/>
  <c r="V48" i="1" s="1"/>
  <c r="T49" i="1"/>
  <c r="V49" i="1" s="1"/>
  <c r="AL49" i="1"/>
  <c r="AO49" i="1"/>
  <c r="T53" i="1"/>
  <c r="V53" i="1" s="1"/>
  <c r="AL53" i="1"/>
  <c r="AO53" i="1"/>
  <c r="S5" i="1"/>
  <c r="AO24" i="1"/>
  <c r="AL24" i="1"/>
  <c r="T24" i="1"/>
  <c r="V24" i="1" s="1"/>
  <c r="AL87" i="1"/>
  <c r="AO87" i="1"/>
  <c r="T87" i="1"/>
  <c r="V87" i="1" s="1"/>
  <c r="T82" i="1"/>
  <c r="V82" i="1" s="1"/>
  <c r="AL82" i="1"/>
  <c r="AO82" i="1"/>
  <c r="AO19" i="1"/>
  <c r="AL19" i="1"/>
  <c r="T19" i="1"/>
  <c r="V19" i="1" s="1"/>
  <c r="T8" i="1"/>
  <c r="AL8" i="1"/>
  <c r="AO8" i="1"/>
  <c r="AO47" i="1"/>
  <c r="T47" i="1"/>
  <c r="V47" i="1" s="1"/>
  <c r="AL47" i="1"/>
  <c r="T78" i="1"/>
  <c r="V78" i="1" s="1"/>
  <c r="AO78" i="1"/>
  <c r="AL78" i="1"/>
  <c r="AK5" i="1" l="1"/>
  <c r="AK1" i="1" s="1"/>
  <c r="AO27" i="1"/>
  <c r="AL27" i="1"/>
  <c r="T27" i="1"/>
  <c r="V27" i="1" s="1"/>
  <c r="AI5" i="1"/>
  <c r="AO37" i="1"/>
  <c r="AL37" i="1"/>
  <c r="T37" i="1"/>
  <c r="V37" i="1" s="1"/>
  <c r="AO10" i="1"/>
  <c r="AL10" i="1"/>
  <c r="T10" i="1"/>
  <c r="V10" i="1" s="1"/>
  <c r="V8" i="1"/>
  <c r="AO73" i="1"/>
  <c r="T73" i="1"/>
  <c r="V73" i="1" s="1"/>
  <c r="AL73" i="1"/>
  <c r="T5" i="1" l="1"/>
  <c r="AO5" i="1"/>
  <c r="AL5" i="1"/>
</calcChain>
</file>

<file path=xl/sharedStrings.xml><?xml version="1.0" encoding="utf-8"?>
<sst xmlns="http://schemas.openxmlformats.org/spreadsheetml/2006/main" count="336" uniqueCount="198">
  <si>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</si>
  <si>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</si>
  <si>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</si>
  <si>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</si>
  <si>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</si>
  <si>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</si>
  <si>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</si>
  <si>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</si>
  <si>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</si>
  <si>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</si>
  <si>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</si>
  <si>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</si>
  <si>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</si>
  <si>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</si>
  <si>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</si>
  <si>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</si>
  <si>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</si>
  <si>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</si>
  <si>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</si>
  <si>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</si>
  <si>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</si>
  <si>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</si>
  <si>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</si>
  <si>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</si>
  <si>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</si>
  <si>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</si>
  <si>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</si>
  <si>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</si>
  <si>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</si>
  <si>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</si>
  <si>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</si>
  <si>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22,10,</t>
  </si>
  <si>
    <t>15,10,</t>
  </si>
  <si>
    <t>08,10,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</si>
  <si>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</si>
  <si>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</si>
  <si>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</si>
  <si>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</si>
  <si>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</si>
  <si>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</si>
  <si>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</si>
  <si>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</si>
  <si>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</si>
  <si>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</si>
  <si>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</si>
  <si>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</si>
  <si>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</si>
  <si>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</si>
  <si>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</si>
  <si>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</si>
  <si>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</si>
  <si>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</si>
  <si>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</si>
  <si>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</si>
  <si>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</si>
  <si>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</si>
  <si>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</si>
  <si>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</si>
  <si>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</si>
  <si>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</si>
  <si>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</si>
  <si>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</si>
  <si>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</si>
  <si>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</si>
  <si>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</si>
  <si>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</si>
  <si>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</si>
  <si>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</si>
  <si>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</si>
  <si>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</si>
  <si>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</si>
  <si>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</si>
  <si>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</si>
  <si>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</si>
  <si>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</si>
  <si>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</si>
  <si>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</si>
  <si>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</si>
  <si>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</si>
  <si>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</si>
  <si>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</si>
  <si>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</si>
  <si>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</si>
  <si>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</si>
  <si>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</si>
  <si>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</si>
  <si>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</si>
  <si>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</si>
  <si>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</si>
  <si>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</si>
  <si>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</si>
  <si>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</si>
  <si>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</si>
  <si>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</si>
  <si>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</si>
  <si>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</si>
  <si>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</si>
  <si>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</si>
  <si>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</si>
  <si>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</si>
  <si>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</si>
  <si>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</si>
  <si>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</si>
  <si>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</si>
  <si>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</si>
  <si>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</si>
  <si>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</si>
  <si>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</si>
  <si>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</si>
  <si>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</si>
  <si>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</si>
  <si>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</si>
  <si>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</si>
  <si>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</si>
  <si>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</si>
  <si>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</si>
  <si>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</si>
  <si>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</si>
  <si>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</si>
  <si>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</si>
  <si>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</si>
  <si>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</si>
  <si>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</si>
  <si>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</si>
  <si>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</si>
  <si>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</si>
  <si>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</si>
  <si>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</si>
  <si>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</si>
  <si>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</si>
  <si>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</si>
  <si>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</si>
  <si>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</si>
  <si>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</si>
  <si>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</si>
  <si>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</si>
  <si>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</si>
  <si>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</si>
  <si>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</si>
  <si>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</si>
  <si>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</si>
  <si>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</si>
  <si>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</si>
  <si>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</si>
  <si>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</si>
  <si>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</si>
  <si>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</si>
  <si>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</si>
  <si>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</si>
  <si>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</si>
  <si>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</si>
  <si>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</si>
  <si>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</si>
  <si>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</si>
  <si>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</si>
  <si>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</si>
  <si>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</si>
  <si>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</si>
  <si>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</si>
  <si>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</si>
  <si>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</si>
  <si>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</si>
  <si>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</si>
  <si>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</si>
  <si>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</si>
  <si>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</si>
  <si>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</si>
  <si>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</si>
  <si>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</si>
  <si>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</si>
  <si>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639 списано (19,09,26)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</si>
  <si>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</si>
  <si>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</si>
  <si>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</si>
  <si>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</si>
  <si>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</si>
  <si>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</si>
  <si>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</si>
  <si>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</si>
  <si>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</si>
  <si>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</si>
  <si>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</si>
  <si>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</si>
  <si>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</si>
  <si>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</si>
  <si>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</si>
  <si>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</si>
  <si>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</si>
  <si>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</si>
  <si>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</si>
  <si>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</si>
  <si>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</si>
  <si>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65шт списано (17,10,26)</t>
  </si>
  <si>
    <t>итого</t>
  </si>
  <si>
    <t>ТК</t>
  </si>
  <si>
    <t>Рекуто</t>
  </si>
  <si>
    <t>дн</t>
  </si>
  <si>
    <t>27,10,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</si>
</sst>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[Red]\-0\ "/>
    <numFmt numFmtId="165" formatCode="0.0"/>
    <numFmt numFmtId="166" formatCode="0.00_ ;[Red]\-0.00\ "/>
    <numFmt numFmtId="167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0" fontId="0" fillId="0" borderId="1" xfId="0"/>
    <xf numFmtId="166" fontId="1" fillId="0" borderId="1" xfId="1" applyNumberFormat="1"/>
    <xf numFmtId="167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01" sqref="AH10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7" style="24" customWidth="1"/>
    <col min="22" max="23" width="5" customWidth="1"/>
    <col min="24" max="33" width="6" customWidth="1"/>
    <col min="34" max="34" width="23.140625" customWidth="1"/>
    <col min="35" max="35" width="6.5703125" customWidth="1"/>
    <col min="36" max="36" width="6" style="6" customWidth="1"/>
    <col min="37" max="37" width="7" style="12" customWidth="1"/>
    <col min="38" max="38" width="6.5703125" customWidth="1"/>
    <col min="39" max="40" width="5" customWidth="1"/>
    <col min="41" max="41" width="6" style="12" customWidth="1"/>
    <col min="4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3.6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>
        <f>AK5</f>
        <v>3524</v>
      </c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196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193</v>
      </c>
      <c r="T3" s="3" t="s">
        <v>17</v>
      </c>
      <c r="U3" s="3" t="s">
        <v>194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</row>
    <row r="4" spans="1:50" hidden="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 t="s">
        <v>195</v>
      </c>
      <c r="V4" s="1"/>
      <c r="W4" s="1"/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/>
      <c r="AI4" s="1"/>
      <c r="AJ4" s="7"/>
      <c r="AK4" s="9" t="s">
        <v>197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</row>
    <row r="5" spans="1:50" hidden="1" x14ac:dyDescent="0.25">
      <c r="A5" s="1"/>
      <c r="B5" s="1"/>
      <c r="C5" s="1"/>
      <c r="D5" s="1"/>
      <c r="E5" s="4">
        <f>SUM(E6:E497)</f>
        <v>31793.100000000002</v>
      </c>
      <c r="F5" s="4">
        <f>SUM(F6:F497)</f>
        <v>35386.199999999997</v>
      </c>
      <c r="G5" s="7"/>
      <c r="H5" s="1"/>
      <c r="I5" s="1"/>
      <c r="J5" s="1"/>
      <c r="K5" s="4">
        <f t="shared" ref="K5:U5" si="0">SUM(K6:K497)</f>
        <v>30145.8</v>
      </c>
      <c r="L5" s="4">
        <f t="shared" si="0"/>
        <v>1647.3</v>
      </c>
      <c r="M5" s="4">
        <f t="shared" si="0"/>
        <v>0</v>
      </c>
      <c r="N5" s="4">
        <f t="shared" si="0"/>
        <v>0</v>
      </c>
      <c r="O5" s="4">
        <f t="shared" si="0"/>
        <v>32032</v>
      </c>
      <c r="P5" s="4">
        <f t="shared" si="0"/>
        <v>8134.2</v>
      </c>
      <c r="Q5" s="4">
        <f t="shared" si="0"/>
        <v>6358.6199999999981</v>
      </c>
      <c r="R5" s="4">
        <v>15692.499999999996</v>
      </c>
      <c r="S5" s="4">
        <f t="shared" si="0"/>
        <v>31853.760000000006</v>
      </c>
      <c r="T5" s="4">
        <f t="shared" si="0"/>
        <v>31757</v>
      </c>
      <c r="U5" s="4">
        <f t="shared" si="0"/>
        <v>900</v>
      </c>
      <c r="V5" s="1"/>
      <c r="W5" s="1"/>
      <c r="X5" s="4">
        <f t="shared" ref="X5:AG5" si="1">SUM(X6:X497)</f>
        <v>6464.1000000000013</v>
      </c>
      <c r="Y5" s="4">
        <f t="shared" si="1"/>
        <v>6275.7400000000007</v>
      </c>
      <c r="Z5" s="4">
        <f t="shared" si="1"/>
        <v>5673.0199999999995</v>
      </c>
      <c r="AA5" s="4">
        <f t="shared" si="1"/>
        <v>5817.699999999998</v>
      </c>
      <c r="AB5" s="4">
        <f t="shared" si="1"/>
        <v>6466.7</v>
      </c>
      <c r="AC5" s="4">
        <f t="shared" si="1"/>
        <v>5413.119999999999</v>
      </c>
      <c r="AD5" s="4">
        <f t="shared" si="1"/>
        <v>5646.1997999999976</v>
      </c>
      <c r="AE5" s="4">
        <f t="shared" si="1"/>
        <v>7428.6320000000014</v>
      </c>
      <c r="AF5" s="4">
        <f t="shared" si="1"/>
        <v>5263.7599999999993</v>
      </c>
      <c r="AG5" s="4">
        <f t="shared" si="1"/>
        <v>6192.3399999999992</v>
      </c>
      <c r="AH5" s="1"/>
      <c r="AI5" s="4">
        <f>SUM(AI6:AI497)</f>
        <v>12979.738800000001</v>
      </c>
      <c r="AJ5" s="7"/>
      <c r="AK5" s="11">
        <f>SUM(AK6:AK497)</f>
        <v>3524</v>
      </c>
      <c r="AL5" s="4">
        <f>SUM(AL6:AL497)</f>
        <v>12988.239999999996</v>
      </c>
      <c r="AM5" s="1"/>
      <c r="AN5" s="1"/>
      <c r="AO5" s="11">
        <f>SUM(AO6:AO497)</f>
        <v>41.169841269841264</v>
      </c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4" t="s">
        <v>42</v>
      </c>
      <c r="B6" s="14" t="s">
        <v>43</v>
      </c>
      <c r="C6" s="14">
        <v>36</v>
      </c>
      <c r="D6" s="14">
        <v>311</v>
      </c>
      <c r="E6" s="19">
        <v>135</v>
      </c>
      <c r="F6" s="19">
        <v>212</v>
      </c>
      <c r="G6" s="15">
        <v>0</v>
      </c>
      <c r="H6" s="14"/>
      <c r="I6" s="14" t="s">
        <v>44</v>
      </c>
      <c r="J6" s="14" t="s">
        <v>45</v>
      </c>
      <c r="K6" s="14">
        <v>136</v>
      </c>
      <c r="L6" s="14">
        <f t="shared" ref="L6:L37" si="2">E6-K6</f>
        <v>-1</v>
      </c>
      <c r="M6" s="14"/>
      <c r="N6" s="14"/>
      <c r="O6" s="14"/>
      <c r="P6" s="14"/>
      <c r="Q6" s="14">
        <f t="shared" ref="Q6:Q37" si="3">E6/5</f>
        <v>27</v>
      </c>
      <c r="R6" s="16"/>
      <c r="S6" s="16"/>
      <c r="T6" s="16"/>
      <c r="U6" s="14"/>
      <c r="V6" s="14">
        <f t="shared" ref="V6:V37" si="4">(F6+O6+P6+T6)/Q6</f>
        <v>7.8518518518518521</v>
      </c>
      <c r="W6" s="14">
        <f t="shared" ref="W6:W37" si="5">(F6+O6+P6)/Q6</f>
        <v>7.8518518518518521</v>
      </c>
      <c r="X6" s="14">
        <v>23.2</v>
      </c>
      <c r="Y6" s="14">
        <v>28.8</v>
      </c>
      <c r="Z6" s="14">
        <v>20.8</v>
      </c>
      <c r="AA6" s="14">
        <v>24.2</v>
      </c>
      <c r="AB6" s="14">
        <v>27.4</v>
      </c>
      <c r="AC6" s="14">
        <v>22.6</v>
      </c>
      <c r="AD6" s="14">
        <v>31</v>
      </c>
      <c r="AE6" s="14">
        <v>6.4</v>
      </c>
      <c r="AF6" s="14">
        <v>10.8</v>
      </c>
      <c r="AG6" s="14">
        <v>17.600000000000001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</row>
    <row r="7" spans="1:50" hidden="1" x14ac:dyDescent="0.25">
      <c r="A7" s="14" t="s">
        <v>46</v>
      </c>
      <c r="B7" s="14" t="s">
        <v>43</v>
      </c>
      <c r="C7" s="14">
        <v>36</v>
      </c>
      <c r="D7" s="14">
        <v>303</v>
      </c>
      <c r="E7" s="19">
        <v>112</v>
      </c>
      <c r="F7" s="19">
        <v>224</v>
      </c>
      <c r="G7" s="15">
        <v>0</v>
      </c>
      <c r="H7" s="14"/>
      <c r="I7" s="14" t="s">
        <v>44</v>
      </c>
      <c r="J7" s="14" t="s">
        <v>47</v>
      </c>
      <c r="K7" s="14">
        <v>114</v>
      </c>
      <c r="L7" s="14">
        <f t="shared" si="2"/>
        <v>-2</v>
      </c>
      <c r="M7" s="14"/>
      <c r="N7" s="14"/>
      <c r="O7" s="14"/>
      <c r="P7" s="14"/>
      <c r="Q7" s="14">
        <f t="shared" si="3"/>
        <v>22.4</v>
      </c>
      <c r="R7" s="16"/>
      <c r="S7" s="16"/>
      <c r="T7" s="16"/>
      <c r="U7" s="14"/>
      <c r="V7" s="14">
        <f t="shared" si="4"/>
        <v>10</v>
      </c>
      <c r="W7" s="14">
        <f t="shared" si="5"/>
        <v>10</v>
      </c>
      <c r="X7" s="14">
        <v>23.2</v>
      </c>
      <c r="Y7" s="14">
        <v>17</v>
      </c>
      <c r="Z7" s="14">
        <v>21.4</v>
      </c>
      <c r="AA7" s="14">
        <v>21.8</v>
      </c>
      <c r="AB7" s="14">
        <v>27.2</v>
      </c>
      <c r="AC7" s="14">
        <v>25.4</v>
      </c>
      <c r="AD7" s="14">
        <v>31</v>
      </c>
      <c r="AE7" s="14">
        <v>4.4000000000000004</v>
      </c>
      <c r="AF7" s="14">
        <v>0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</row>
    <row r="8" spans="1:50" hidden="1" x14ac:dyDescent="0.25">
      <c r="A8" s="1" t="s">
        <v>48</v>
      </c>
      <c r="B8" s="1" t="s">
        <v>43</v>
      </c>
      <c r="C8" s="1"/>
      <c r="D8" s="1"/>
      <c r="E8" s="1"/>
      <c r="F8" s="1"/>
      <c r="G8" s="7">
        <v>0.6</v>
      </c>
      <c r="H8" s="1">
        <v>180</v>
      </c>
      <c r="I8" s="1" t="s">
        <v>49</v>
      </c>
      <c r="J8" s="1"/>
      <c r="K8" s="1"/>
      <c r="L8" s="1">
        <f t="shared" si="2"/>
        <v>0</v>
      </c>
      <c r="M8" s="1"/>
      <c r="N8" s="1"/>
      <c r="O8" s="1">
        <v>240</v>
      </c>
      <c r="P8" s="1"/>
      <c r="Q8" s="1">
        <f t="shared" si="3"/>
        <v>0</v>
      </c>
      <c r="R8" s="5"/>
      <c r="S8" s="5"/>
      <c r="T8" s="5">
        <f>AJ8*AK8</f>
        <v>0</v>
      </c>
      <c r="U8" s="1"/>
      <c r="V8" s="1" t="e">
        <f t="shared" si="4"/>
        <v>#DIV/0!</v>
      </c>
      <c r="W8" s="1" t="e">
        <f t="shared" si="5"/>
        <v>#DIV/0!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 t="s">
        <v>50</v>
      </c>
      <c r="AI8" s="1">
        <f>G8*S8</f>
        <v>0</v>
      </c>
      <c r="AJ8" s="7">
        <v>10</v>
      </c>
      <c r="AK8" s="9">
        <f>MROUND(S8, AJ8*AM8)/AJ8</f>
        <v>0</v>
      </c>
      <c r="AL8" s="1">
        <f>AK8*AJ8*G8</f>
        <v>0</v>
      </c>
      <c r="AM8" s="1">
        <v>12</v>
      </c>
      <c r="AN8" s="1">
        <v>84</v>
      </c>
      <c r="AO8" s="9">
        <f>AK8/AN8</f>
        <v>0</v>
      </c>
      <c r="AP8" s="1"/>
      <c r="AQ8" s="1"/>
      <c r="AR8" s="1"/>
      <c r="AS8" s="1"/>
      <c r="AT8" s="1"/>
      <c r="AU8" s="1"/>
      <c r="AV8" s="1"/>
      <c r="AW8" s="1"/>
      <c r="AX8" s="1"/>
    </row>
    <row r="9" spans="1:50" hidden="1" x14ac:dyDescent="0.25">
      <c r="A9" s="14" t="s">
        <v>51</v>
      </c>
      <c r="B9" s="14" t="s">
        <v>43</v>
      </c>
      <c r="C9" s="14">
        <v>495</v>
      </c>
      <c r="D9" s="14">
        <v>2433</v>
      </c>
      <c r="E9" s="19">
        <v>431</v>
      </c>
      <c r="F9" s="19">
        <v>1701</v>
      </c>
      <c r="G9" s="15">
        <v>0</v>
      </c>
      <c r="H9" s="14">
        <v>180</v>
      </c>
      <c r="I9" s="14" t="s">
        <v>52</v>
      </c>
      <c r="J9" s="14" t="s">
        <v>53</v>
      </c>
      <c r="K9" s="14">
        <v>455</v>
      </c>
      <c r="L9" s="14">
        <f t="shared" si="2"/>
        <v>-24</v>
      </c>
      <c r="M9" s="14"/>
      <c r="N9" s="14"/>
      <c r="O9" s="14"/>
      <c r="P9" s="14"/>
      <c r="Q9" s="14">
        <f t="shared" si="3"/>
        <v>86.2</v>
      </c>
      <c r="R9" s="16"/>
      <c r="S9" s="16"/>
      <c r="T9" s="16"/>
      <c r="U9" s="14"/>
      <c r="V9" s="14">
        <f t="shared" si="4"/>
        <v>19.733178654292342</v>
      </c>
      <c r="W9" s="14">
        <f t="shared" si="5"/>
        <v>19.733178654292342</v>
      </c>
      <c r="X9" s="14">
        <v>1.4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/>
      <c r="AI9" s="14"/>
      <c r="AJ9" s="15"/>
      <c r="AK9" s="17"/>
      <c r="AL9" s="14"/>
      <c r="AM9" s="14"/>
      <c r="AN9" s="14"/>
      <c r="AO9" s="17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54</v>
      </c>
      <c r="B10" s="1" t="s">
        <v>43</v>
      </c>
      <c r="C10" s="1">
        <v>-13</v>
      </c>
      <c r="D10" s="1">
        <v>824</v>
      </c>
      <c r="E10" s="19">
        <f>115+E66</f>
        <v>165</v>
      </c>
      <c r="F10" s="19">
        <f>-3+F66</f>
        <v>-5</v>
      </c>
      <c r="G10" s="7">
        <v>0.3</v>
      </c>
      <c r="H10" s="1">
        <v>180</v>
      </c>
      <c r="I10" s="1" t="s">
        <v>55</v>
      </c>
      <c r="J10" s="1"/>
      <c r="K10" s="1">
        <v>294</v>
      </c>
      <c r="L10" s="1">
        <f t="shared" si="2"/>
        <v>-129</v>
      </c>
      <c r="M10" s="1"/>
      <c r="N10" s="1"/>
      <c r="O10" s="1">
        <v>1008</v>
      </c>
      <c r="P10" s="1"/>
      <c r="Q10" s="1">
        <f t="shared" si="3"/>
        <v>33</v>
      </c>
      <c r="R10" s="5"/>
      <c r="S10" s="5"/>
      <c r="T10" s="5">
        <f>AJ10*AK10</f>
        <v>0</v>
      </c>
      <c r="U10" s="1"/>
      <c r="V10" s="1">
        <f t="shared" si="4"/>
        <v>30.393939393939394</v>
      </c>
      <c r="W10" s="1">
        <f t="shared" si="5"/>
        <v>30.393939393939394</v>
      </c>
      <c r="X10" s="1">
        <v>96.2</v>
      </c>
      <c r="Y10" s="1">
        <v>34.4</v>
      </c>
      <c r="Z10" s="1">
        <v>56.4</v>
      </c>
      <c r="AA10" s="1">
        <v>54.4</v>
      </c>
      <c r="AB10" s="1">
        <v>74.2</v>
      </c>
      <c r="AC10" s="1">
        <v>66.2</v>
      </c>
      <c r="AD10" s="1">
        <v>59.2</v>
      </c>
      <c r="AE10" s="1">
        <v>80.599999999999994</v>
      </c>
      <c r="AF10" s="1">
        <v>35.4</v>
      </c>
      <c r="AG10" s="1">
        <v>93.8</v>
      </c>
      <c r="AH10" s="1"/>
      <c r="AI10" s="1">
        <f>G10*S10</f>
        <v>0</v>
      </c>
      <c r="AJ10" s="7">
        <v>12</v>
      </c>
      <c r="AK10" s="9">
        <f>MROUND(S10, AJ10*AM10)/AJ10</f>
        <v>0</v>
      </c>
      <c r="AL10" s="1">
        <f>AK10*AJ10*G10</f>
        <v>0</v>
      </c>
      <c r="AM10" s="1">
        <v>14</v>
      </c>
      <c r="AN10" s="1">
        <v>70</v>
      </c>
      <c r="AO10" s="9">
        <f>AK10/AN10</f>
        <v>0</v>
      </c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56</v>
      </c>
      <c r="B11" s="14" t="s">
        <v>43</v>
      </c>
      <c r="C11" s="14">
        <v>161</v>
      </c>
      <c r="D11" s="14">
        <v>853</v>
      </c>
      <c r="E11" s="19">
        <v>186</v>
      </c>
      <c r="F11" s="19">
        <v>668</v>
      </c>
      <c r="G11" s="15">
        <v>0</v>
      </c>
      <c r="H11" s="14">
        <v>180</v>
      </c>
      <c r="I11" s="14" t="s">
        <v>52</v>
      </c>
      <c r="J11" s="14" t="s">
        <v>57</v>
      </c>
      <c r="K11" s="14">
        <v>192</v>
      </c>
      <c r="L11" s="14">
        <f t="shared" si="2"/>
        <v>-6</v>
      </c>
      <c r="M11" s="14"/>
      <c r="N11" s="14"/>
      <c r="O11" s="14"/>
      <c r="P11" s="14"/>
      <c r="Q11" s="14">
        <f t="shared" si="3"/>
        <v>37.200000000000003</v>
      </c>
      <c r="R11" s="16"/>
      <c r="S11" s="16"/>
      <c r="T11" s="16"/>
      <c r="U11" s="14"/>
      <c r="V11" s="14">
        <f t="shared" si="4"/>
        <v>17.956989247311828</v>
      </c>
      <c r="W11" s="14">
        <f t="shared" si="5"/>
        <v>17.956989247311828</v>
      </c>
      <c r="X11" s="14">
        <v>1.4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/>
      <c r="AI11" s="14"/>
      <c r="AJ11" s="15"/>
      <c r="AK11" s="17"/>
      <c r="AL11" s="14"/>
      <c r="AM11" s="14"/>
      <c r="AN11" s="14"/>
      <c r="AO11" s="17"/>
      <c r="AP11" s="1"/>
      <c r="AQ11" s="1"/>
      <c r="AR11" s="1"/>
      <c r="AS11" s="1"/>
      <c r="AT11" s="1"/>
      <c r="AU11" s="1"/>
      <c r="AV11" s="1"/>
      <c r="AW11" s="1"/>
      <c r="AX11" s="1"/>
    </row>
    <row r="12" spans="1:50" hidden="1" x14ac:dyDescent="0.25">
      <c r="A12" s="14" t="s">
        <v>58</v>
      </c>
      <c r="B12" s="14" t="s">
        <v>43</v>
      </c>
      <c r="C12" s="14">
        <v>368</v>
      </c>
      <c r="D12" s="14">
        <v>225</v>
      </c>
      <c r="E12" s="19">
        <v>168</v>
      </c>
      <c r="F12" s="19">
        <v>210</v>
      </c>
      <c r="G12" s="15">
        <v>0</v>
      </c>
      <c r="H12" s="14">
        <v>180</v>
      </c>
      <c r="I12" s="14" t="s">
        <v>52</v>
      </c>
      <c r="J12" s="14" t="s">
        <v>59</v>
      </c>
      <c r="K12" s="14">
        <v>172</v>
      </c>
      <c r="L12" s="14">
        <f t="shared" si="2"/>
        <v>-4</v>
      </c>
      <c r="M12" s="14"/>
      <c r="N12" s="14"/>
      <c r="O12" s="14"/>
      <c r="P12" s="14"/>
      <c r="Q12" s="14">
        <f t="shared" si="3"/>
        <v>33.6</v>
      </c>
      <c r="R12" s="16"/>
      <c r="S12" s="16"/>
      <c r="T12" s="16"/>
      <c r="U12" s="14"/>
      <c r="V12" s="14">
        <f t="shared" si="4"/>
        <v>6.25</v>
      </c>
      <c r="W12" s="14">
        <f t="shared" si="5"/>
        <v>6.25</v>
      </c>
      <c r="X12" s="14">
        <v>25.2</v>
      </c>
      <c r="Y12" s="14">
        <v>25.6</v>
      </c>
      <c r="Z12" s="14">
        <v>7.4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/>
      <c r="AI12" s="14"/>
      <c r="AJ12" s="15"/>
      <c r="AK12" s="17"/>
      <c r="AL12" s="14"/>
      <c r="AM12" s="14"/>
      <c r="AN12" s="14"/>
      <c r="AO12" s="17"/>
      <c r="AP12" s="1"/>
      <c r="AQ12" s="1"/>
      <c r="AR12" s="1"/>
      <c r="AS12" s="1"/>
      <c r="AT12" s="1"/>
      <c r="AU12" s="1"/>
      <c r="AV12" s="1"/>
      <c r="AW12" s="1"/>
      <c r="AX12" s="1"/>
    </row>
    <row r="13" spans="1:50" hidden="1" x14ac:dyDescent="0.25">
      <c r="A13" s="14" t="s">
        <v>60</v>
      </c>
      <c r="B13" s="14" t="s">
        <v>43</v>
      </c>
      <c r="C13" s="14">
        <v>1612</v>
      </c>
      <c r="D13" s="14">
        <v>67</v>
      </c>
      <c r="E13" s="19">
        <v>654</v>
      </c>
      <c r="F13" s="19">
        <v>612</v>
      </c>
      <c r="G13" s="15">
        <v>0</v>
      </c>
      <c r="H13" s="14">
        <v>180</v>
      </c>
      <c r="I13" s="14" t="s">
        <v>52</v>
      </c>
      <c r="J13" s="14" t="s">
        <v>61</v>
      </c>
      <c r="K13" s="14">
        <v>710</v>
      </c>
      <c r="L13" s="14">
        <f t="shared" si="2"/>
        <v>-56</v>
      </c>
      <c r="M13" s="14"/>
      <c r="N13" s="14"/>
      <c r="O13" s="14"/>
      <c r="P13" s="14"/>
      <c r="Q13" s="14">
        <f t="shared" si="3"/>
        <v>130.80000000000001</v>
      </c>
      <c r="R13" s="16"/>
      <c r="S13" s="16"/>
      <c r="T13" s="16"/>
      <c r="U13" s="14"/>
      <c r="V13" s="14">
        <f t="shared" si="4"/>
        <v>4.6788990825688073</v>
      </c>
      <c r="W13" s="14">
        <f t="shared" si="5"/>
        <v>4.6788990825688073</v>
      </c>
      <c r="X13" s="14">
        <v>56.6</v>
      </c>
      <c r="Y13" s="14">
        <v>66.599999999999994</v>
      </c>
      <c r="Z13" s="14">
        <v>86.4</v>
      </c>
      <c r="AA13" s="14">
        <v>36.200000000000003</v>
      </c>
      <c r="AB13" s="14">
        <v>30.8</v>
      </c>
      <c r="AC13" s="14">
        <v>17.600000000000001</v>
      </c>
      <c r="AD13" s="14">
        <v>3.2</v>
      </c>
      <c r="AE13" s="14">
        <v>0</v>
      </c>
      <c r="AF13" s="14">
        <v>0</v>
      </c>
      <c r="AG13" s="14">
        <v>0</v>
      </c>
      <c r="AH13" s="14"/>
      <c r="AI13" s="14"/>
      <c r="AJ13" s="15"/>
      <c r="AK13" s="17"/>
      <c r="AL13" s="14"/>
      <c r="AM13" s="14"/>
      <c r="AN13" s="14"/>
      <c r="AO13" s="17"/>
      <c r="AP13" s="1"/>
      <c r="AQ13" s="1"/>
      <c r="AR13" s="1"/>
      <c r="AS13" s="1"/>
      <c r="AT13" s="1"/>
      <c r="AU13" s="1"/>
      <c r="AV13" s="1"/>
      <c r="AW13" s="1"/>
      <c r="AX13" s="1"/>
    </row>
    <row r="14" spans="1:50" hidden="1" x14ac:dyDescent="0.25">
      <c r="A14" s="14" t="s">
        <v>62</v>
      </c>
      <c r="B14" s="14" t="s">
        <v>43</v>
      </c>
      <c r="C14" s="14">
        <v>880</v>
      </c>
      <c r="D14" s="14">
        <v>196</v>
      </c>
      <c r="E14" s="19">
        <v>318</v>
      </c>
      <c r="F14" s="19">
        <v>383</v>
      </c>
      <c r="G14" s="15">
        <v>0</v>
      </c>
      <c r="H14" s="14">
        <v>180</v>
      </c>
      <c r="I14" s="14" t="s">
        <v>52</v>
      </c>
      <c r="J14" s="14" t="s">
        <v>63</v>
      </c>
      <c r="K14" s="14">
        <v>394</v>
      </c>
      <c r="L14" s="14">
        <f t="shared" si="2"/>
        <v>-76</v>
      </c>
      <c r="M14" s="14"/>
      <c r="N14" s="14"/>
      <c r="O14" s="14"/>
      <c r="P14" s="14"/>
      <c r="Q14" s="14">
        <f t="shared" si="3"/>
        <v>63.6</v>
      </c>
      <c r="R14" s="16"/>
      <c r="S14" s="16"/>
      <c r="T14" s="16"/>
      <c r="U14" s="14"/>
      <c r="V14" s="14">
        <f t="shared" si="4"/>
        <v>6.0220125786163523</v>
      </c>
      <c r="W14" s="14">
        <f t="shared" si="5"/>
        <v>6.0220125786163523</v>
      </c>
      <c r="X14" s="14">
        <v>18.8</v>
      </c>
      <c r="Y14" s="14">
        <v>7</v>
      </c>
      <c r="Z14" s="14">
        <v>0.4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/>
      <c r="AI14" s="14"/>
      <c r="AJ14" s="15"/>
      <c r="AK14" s="17"/>
      <c r="AL14" s="14"/>
      <c r="AM14" s="14"/>
      <c r="AN14" s="14"/>
      <c r="AO14" s="17"/>
      <c r="AP14" s="1"/>
      <c r="AQ14" s="1"/>
      <c r="AR14" s="1"/>
      <c r="AS14" s="1"/>
      <c r="AT14" s="1"/>
      <c r="AU14" s="1"/>
      <c r="AV14" s="1"/>
      <c r="AW14" s="1"/>
      <c r="AX14" s="1"/>
    </row>
    <row r="15" spans="1:50" hidden="1" x14ac:dyDescent="0.25">
      <c r="A15" s="1" t="s">
        <v>64</v>
      </c>
      <c r="B15" s="1" t="s">
        <v>43</v>
      </c>
      <c r="C15" s="1">
        <v>-6</v>
      </c>
      <c r="D15" s="1">
        <v>1228</v>
      </c>
      <c r="E15" s="19">
        <f>336+E67</f>
        <v>533</v>
      </c>
      <c r="F15" s="19">
        <f>6+F67</f>
        <v>276</v>
      </c>
      <c r="G15" s="7">
        <v>0.28000000000000003</v>
      </c>
      <c r="H15" s="1">
        <v>180</v>
      </c>
      <c r="I15" s="1" t="s">
        <v>65</v>
      </c>
      <c r="J15" s="1"/>
      <c r="K15" s="1">
        <v>388</v>
      </c>
      <c r="L15" s="1">
        <f t="shared" si="2"/>
        <v>145</v>
      </c>
      <c r="M15" s="1"/>
      <c r="N15" s="1"/>
      <c r="O15" s="1">
        <v>756</v>
      </c>
      <c r="P15" s="1"/>
      <c r="Q15" s="1">
        <f t="shared" si="3"/>
        <v>106.6</v>
      </c>
      <c r="R15" s="5">
        <v>460.39999999999986</v>
      </c>
      <c r="S15" s="5">
        <f>14*Q15-P15-O15-F15+Q15*$S$1</f>
        <v>844.15999999999985</v>
      </c>
      <c r="T15" s="5">
        <f>AJ15*AK15</f>
        <v>840</v>
      </c>
      <c r="U15" s="1"/>
      <c r="V15" s="1">
        <f t="shared" si="4"/>
        <v>17.560975609756099</v>
      </c>
      <c r="W15" s="1">
        <f t="shared" si="5"/>
        <v>9.681050656660414</v>
      </c>
      <c r="X15" s="1">
        <v>101.8</v>
      </c>
      <c r="Y15" s="1">
        <v>99.6</v>
      </c>
      <c r="Z15" s="1">
        <v>98.2</v>
      </c>
      <c r="AA15" s="1">
        <v>107</v>
      </c>
      <c r="AB15" s="1">
        <v>125.8</v>
      </c>
      <c r="AC15" s="1">
        <v>110.6</v>
      </c>
      <c r="AD15" s="1">
        <v>135</v>
      </c>
      <c r="AE15" s="1">
        <v>170.2</v>
      </c>
      <c r="AF15" s="1">
        <v>160.6</v>
      </c>
      <c r="AG15" s="1">
        <v>137.6</v>
      </c>
      <c r="AH15" s="1"/>
      <c r="AI15" s="1">
        <f>G15*S15</f>
        <v>236.36479999999997</v>
      </c>
      <c r="AJ15" s="7">
        <v>6</v>
      </c>
      <c r="AK15" s="9">
        <f>MROUND(S15, AJ15*AM15)/AJ15</f>
        <v>140</v>
      </c>
      <c r="AL15" s="1">
        <f>AK15*AJ15*G15</f>
        <v>235.20000000000002</v>
      </c>
      <c r="AM15" s="1">
        <v>14</v>
      </c>
      <c r="AN15" s="1">
        <v>140</v>
      </c>
      <c r="AO15" s="9">
        <f>AK15/AN15</f>
        <v>1</v>
      </c>
      <c r="AP15" s="1"/>
      <c r="AQ15" s="1"/>
      <c r="AR15" s="1"/>
      <c r="AS15" s="1"/>
      <c r="AT15" s="1"/>
      <c r="AU15" s="1"/>
      <c r="AV15" s="1"/>
      <c r="AW15" s="1"/>
      <c r="AX15" s="1"/>
    </row>
    <row r="16" spans="1:50" hidden="1" x14ac:dyDescent="0.25">
      <c r="A16" s="1" t="s">
        <v>66</v>
      </c>
      <c r="B16" s="1" t="s">
        <v>43</v>
      </c>
      <c r="C16" s="1">
        <v>786</v>
      </c>
      <c r="D16" s="1">
        <v>885</v>
      </c>
      <c r="E16" s="1">
        <v>591</v>
      </c>
      <c r="F16" s="1">
        <v>235</v>
      </c>
      <c r="G16" s="7">
        <v>0.24</v>
      </c>
      <c r="H16" s="1">
        <v>180</v>
      </c>
      <c r="I16" s="1" t="s">
        <v>67</v>
      </c>
      <c r="J16" s="1"/>
      <c r="K16" s="1">
        <v>619</v>
      </c>
      <c r="L16" s="1">
        <f t="shared" si="2"/>
        <v>-28</v>
      </c>
      <c r="M16" s="1"/>
      <c r="N16" s="1"/>
      <c r="O16" s="1">
        <v>840</v>
      </c>
      <c r="P16" s="1"/>
      <c r="Q16" s="1">
        <f t="shared" si="3"/>
        <v>118.2</v>
      </c>
      <c r="R16" s="5">
        <v>579.79999999999995</v>
      </c>
      <c r="S16" s="5">
        <f>14*Q16-P16-O16-F16+Q16*$S$1</f>
        <v>1005.3199999999999</v>
      </c>
      <c r="T16" s="5">
        <f>AJ16*AK16</f>
        <v>1008</v>
      </c>
      <c r="U16" s="1"/>
      <c r="V16" s="1">
        <f t="shared" si="4"/>
        <v>17.622673434856175</v>
      </c>
      <c r="W16" s="1">
        <f t="shared" si="5"/>
        <v>9.0947546531302876</v>
      </c>
      <c r="X16" s="1">
        <v>105.6</v>
      </c>
      <c r="Y16" s="1">
        <v>95.8</v>
      </c>
      <c r="Z16" s="1">
        <v>106</v>
      </c>
      <c r="AA16" s="1">
        <v>104.4</v>
      </c>
      <c r="AB16" s="1">
        <v>123.8</v>
      </c>
      <c r="AC16" s="1">
        <v>127.2</v>
      </c>
      <c r="AD16" s="1">
        <v>128</v>
      </c>
      <c r="AE16" s="1">
        <v>174.2</v>
      </c>
      <c r="AF16" s="1">
        <v>176.4</v>
      </c>
      <c r="AG16" s="1">
        <v>168.2</v>
      </c>
      <c r="AH16" s="1"/>
      <c r="AI16" s="1">
        <f>G16*S16</f>
        <v>241.27679999999998</v>
      </c>
      <c r="AJ16" s="7">
        <v>12</v>
      </c>
      <c r="AK16" s="9">
        <f>MROUND(S16, AJ16*AM16)/AJ16</f>
        <v>84</v>
      </c>
      <c r="AL16" s="1">
        <f>AK16*AJ16*G16</f>
        <v>241.92</v>
      </c>
      <c r="AM16" s="1">
        <v>14</v>
      </c>
      <c r="AN16" s="1">
        <v>70</v>
      </c>
      <c r="AO16" s="9">
        <f>AK16/AN16</f>
        <v>1.2</v>
      </c>
      <c r="AP16" s="1"/>
      <c r="AQ16" s="1"/>
      <c r="AR16" s="1"/>
      <c r="AS16" s="1"/>
      <c r="AT16" s="1"/>
      <c r="AU16" s="1"/>
      <c r="AV16" s="1"/>
      <c r="AW16" s="1"/>
      <c r="AX16" s="1"/>
    </row>
    <row r="17" spans="1:50" hidden="1" x14ac:dyDescent="0.25">
      <c r="A17" s="14" t="s">
        <v>68</v>
      </c>
      <c r="B17" s="14" t="s">
        <v>43</v>
      </c>
      <c r="C17" s="14">
        <v>1014</v>
      </c>
      <c r="D17" s="14">
        <v>289</v>
      </c>
      <c r="E17" s="19">
        <v>649</v>
      </c>
      <c r="F17" s="19">
        <v>257</v>
      </c>
      <c r="G17" s="15">
        <v>0</v>
      </c>
      <c r="H17" s="14"/>
      <c r="I17" s="14" t="s">
        <v>52</v>
      </c>
      <c r="J17" s="14" t="s">
        <v>69</v>
      </c>
      <c r="K17" s="14">
        <v>713</v>
      </c>
      <c r="L17" s="14">
        <f t="shared" si="2"/>
        <v>-64</v>
      </c>
      <c r="M17" s="14"/>
      <c r="N17" s="14"/>
      <c r="O17" s="14"/>
      <c r="P17" s="14"/>
      <c r="Q17" s="14">
        <f t="shared" si="3"/>
        <v>129.80000000000001</v>
      </c>
      <c r="R17" s="16"/>
      <c r="S17" s="16"/>
      <c r="T17" s="16"/>
      <c r="U17" s="14"/>
      <c r="V17" s="14">
        <f t="shared" si="4"/>
        <v>1.9799691833590136</v>
      </c>
      <c r="W17" s="14">
        <f t="shared" si="5"/>
        <v>1.9799691833590136</v>
      </c>
      <c r="X17" s="14">
        <v>155.4</v>
      </c>
      <c r="Y17" s="14">
        <v>119</v>
      </c>
      <c r="Z17" s="14">
        <v>136.6</v>
      </c>
      <c r="AA17" s="14">
        <v>59.4</v>
      </c>
      <c r="AB17" s="14">
        <v>44.8</v>
      </c>
      <c r="AC17" s="14">
        <v>14</v>
      </c>
      <c r="AD17" s="14">
        <v>0</v>
      </c>
      <c r="AE17" s="14">
        <v>0</v>
      </c>
      <c r="AF17" s="14">
        <v>0</v>
      </c>
      <c r="AG17" s="14">
        <v>0</v>
      </c>
      <c r="AH17" s="14"/>
      <c r="AI17" s="14"/>
      <c r="AJ17" s="15"/>
      <c r="AK17" s="17"/>
      <c r="AL17" s="14"/>
      <c r="AM17" s="14"/>
      <c r="AN17" s="14"/>
      <c r="AO17" s="17"/>
      <c r="AP17" s="1"/>
      <c r="AQ17" s="1"/>
      <c r="AR17" s="1"/>
      <c r="AS17" s="1"/>
      <c r="AT17" s="1"/>
      <c r="AU17" s="1"/>
      <c r="AV17" s="1"/>
      <c r="AW17" s="1"/>
      <c r="AX17" s="1"/>
    </row>
    <row r="18" spans="1:50" hidden="1" x14ac:dyDescent="0.25">
      <c r="A18" s="1" t="s">
        <v>69</v>
      </c>
      <c r="B18" s="1" t="s">
        <v>43</v>
      </c>
      <c r="C18" s="1"/>
      <c r="D18" s="1">
        <v>110</v>
      </c>
      <c r="E18" s="19">
        <f>110+E17</f>
        <v>759</v>
      </c>
      <c r="F18" s="19">
        <f>0+F17</f>
        <v>257</v>
      </c>
      <c r="G18" s="7">
        <v>0.24</v>
      </c>
      <c r="H18" s="1">
        <v>180</v>
      </c>
      <c r="I18" s="1" t="s">
        <v>70</v>
      </c>
      <c r="J18" s="1"/>
      <c r="K18" s="1">
        <v>110</v>
      </c>
      <c r="L18" s="1">
        <f t="shared" si="2"/>
        <v>649</v>
      </c>
      <c r="M18" s="1"/>
      <c r="N18" s="1"/>
      <c r="O18" s="1">
        <v>1008</v>
      </c>
      <c r="P18" s="1">
        <v>840</v>
      </c>
      <c r="Q18" s="1">
        <f t="shared" si="3"/>
        <v>151.80000000000001</v>
      </c>
      <c r="R18" s="5">
        <v>172</v>
      </c>
      <c r="S18" s="5">
        <f>15*Q18-P18-O18-F18+Q18*($S$1-1)</f>
        <v>566.68000000000006</v>
      </c>
      <c r="T18" s="5">
        <f>AJ18*AK18</f>
        <v>504</v>
      </c>
      <c r="U18" s="1"/>
      <c r="V18" s="1">
        <f t="shared" si="4"/>
        <v>17.187088274044793</v>
      </c>
      <c r="W18" s="1">
        <f t="shared" si="5"/>
        <v>13.866930171277996</v>
      </c>
      <c r="X18" s="1">
        <v>185.6</v>
      </c>
      <c r="Y18" s="1">
        <v>154.4</v>
      </c>
      <c r="Z18" s="1">
        <v>167.2</v>
      </c>
      <c r="AA18" s="1">
        <v>147</v>
      </c>
      <c r="AB18" s="1">
        <v>130.4</v>
      </c>
      <c r="AC18" s="1">
        <v>80.2</v>
      </c>
      <c r="AD18" s="1">
        <v>193.6</v>
      </c>
      <c r="AE18" s="1">
        <v>291.8</v>
      </c>
      <c r="AF18" s="1">
        <v>130</v>
      </c>
      <c r="AG18" s="1">
        <v>224.8</v>
      </c>
      <c r="AH18" s="1"/>
      <c r="AI18" s="1">
        <f>G18*S18</f>
        <v>136.00320000000002</v>
      </c>
      <c r="AJ18" s="7">
        <v>12</v>
      </c>
      <c r="AK18" s="9">
        <f>MROUND(S18, AJ18*AM18)/AJ18</f>
        <v>42</v>
      </c>
      <c r="AL18" s="1">
        <f>AK18*AJ18*G18</f>
        <v>120.96</v>
      </c>
      <c r="AM18" s="1">
        <v>14</v>
      </c>
      <c r="AN18" s="1">
        <v>70</v>
      </c>
      <c r="AO18" s="9">
        <f>AK18/AN18</f>
        <v>0.6</v>
      </c>
      <c r="AP18" s="1"/>
      <c r="AQ18" s="1"/>
      <c r="AR18" s="1"/>
      <c r="AS18" s="1"/>
      <c r="AT18" s="1"/>
      <c r="AU18" s="1"/>
      <c r="AV18" s="1"/>
      <c r="AW18" s="1"/>
      <c r="AX18" s="1"/>
    </row>
    <row r="19" spans="1:50" hidden="1" x14ac:dyDescent="0.25">
      <c r="A19" s="1" t="s">
        <v>71</v>
      </c>
      <c r="B19" s="1" t="s">
        <v>43</v>
      </c>
      <c r="C19" s="1">
        <v>148</v>
      </c>
      <c r="D19" s="1">
        <v>2128</v>
      </c>
      <c r="E19" s="1">
        <v>538</v>
      </c>
      <c r="F19" s="1">
        <v>1683</v>
      </c>
      <c r="G19" s="7">
        <v>0.24</v>
      </c>
      <c r="H19" s="1">
        <v>180</v>
      </c>
      <c r="I19" s="1" t="s">
        <v>72</v>
      </c>
      <c r="J19" s="1"/>
      <c r="K19" s="1">
        <v>597</v>
      </c>
      <c r="L19" s="1">
        <f t="shared" si="2"/>
        <v>-59</v>
      </c>
      <c r="M19" s="1"/>
      <c r="N19" s="1"/>
      <c r="O19" s="1">
        <v>0</v>
      </c>
      <c r="P19" s="1"/>
      <c r="Q19" s="1">
        <f t="shared" si="3"/>
        <v>107.6</v>
      </c>
      <c r="R19" s="5"/>
      <c r="S19" s="5">
        <f>15*Q19-P19-O19-F19+Q19*($S$1-1)</f>
        <v>210.76</v>
      </c>
      <c r="T19" s="5">
        <f>AJ19*AK19</f>
        <v>168</v>
      </c>
      <c r="U19" s="1"/>
      <c r="V19" s="1">
        <f t="shared" si="4"/>
        <v>17.202602230483272</v>
      </c>
      <c r="W19" s="1">
        <f t="shared" si="5"/>
        <v>15.641263940520448</v>
      </c>
      <c r="X19" s="1">
        <v>65</v>
      </c>
      <c r="Y19" s="1">
        <v>122.6</v>
      </c>
      <c r="Z19" s="1">
        <v>71.2</v>
      </c>
      <c r="AA19" s="1">
        <v>67.2</v>
      </c>
      <c r="AB19" s="1">
        <v>75.8</v>
      </c>
      <c r="AC19" s="1">
        <v>81.8</v>
      </c>
      <c r="AD19" s="1">
        <v>108.4</v>
      </c>
      <c r="AE19" s="1">
        <v>213</v>
      </c>
      <c r="AF19" s="1">
        <v>127.2</v>
      </c>
      <c r="AG19" s="1">
        <v>175.6</v>
      </c>
      <c r="AH19" s="1"/>
      <c r="AI19" s="1">
        <f>G19*S19</f>
        <v>50.582399999999993</v>
      </c>
      <c r="AJ19" s="7">
        <v>12</v>
      </c>
      <c r="AK19" s="9">
        <f>MROUND(S19, AJ19*AM19)/AJ19</f>
        <v>14</v>
      </c>
      <c r="AL19" s="1">
        <f>AK19*AJ19*G19</f>
        <v>40.32</v>
      </c>
      <c r="AM19" s="1">
        <v>14</v>
      </c>
      <c r="AN19" s="1">
        <v>70</v>
      </c>
      <c r="AO19" s="9">
        <f>AK19/AN19</f>
        <v>0.2</v>
      </c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73</v>
      </c>
      <c r="B20" s="14" t="s">
        <v>43</v>
      </c>
      <c r="C20" s="14">
        <v>238</v>
      </c>
      <c r="D20" s="14">
        <v>1637</v>
      </c>
      <c r="E20" s="19">
        <v>469</v>
      </c>
      <c r="F20" s="19">
        <v>837</v>
      </c>
      <c r="G20" s="15">
        <v>0</v>
      </c>
      <c r="H20" s="14"/>
      <c r="I20" s="14" t="s">
        <v>52</v>
      </c>
      <c r="J20" s="14" t="s">
        <v>45</v>
      </c>
      <c r="K20" s="14">
        <v>510</v>
      </c>
      <c r="L20" s="14">
        <f t="shared" si="2"/>
        <v>-41</v>
      </c>
      <c r="M20" s="14"/>
      <c r="N20" s="14"/>
      <c r="O20" s="14"/>
      <c r="P20" s="14"/>
      <c r="Q20" s="14">
        <f t="shared" si="3"/>
        <v>93.8</v>
      </c>
      <c r="R20" s="16"/>
      <c r="S20" s="16"/>
      <c r="T20" s="16"/>
      <c r="U20" s="14"/>
      <c r="V20" s="14">
        <f t="shared" si="4"/>
        <v>8.9232409381663107</v>
      </c>
      <c r="W20" s="14">
        <f t="shared" si="5"/>
        <v>8.9232409381663107</v>
      </c>
      <c r="X20" s="14">
        <v>82.8</v>
      </c>
      <c r="Y20" s="14">
        <v>116.6</v>
      </c>
      <c r="Z20" s="14">
        <v>76.2</v>
      </c>
      <c r="AA20" s="14">
        <v>60.4</v>
      </c>
      <c r="AB20" s="14">
        <v>42.8</v>
      </c>
      <c r="AC20" s="14">
        <v>13.8</v>
      </c>
      <c r="AD20" s="14">
        <v>0</v>
      </c>
      <c r="AE20" s="14">
        <v>0</v>
      </c>
      <c r="AF20" s="14">
        <v>0</v>
      </c>
      <c r="AG20" s="14">
        <v>0</v>
      </c>
      <c r="AH20" s="14"/>
      <c r="AI20" s="14"/>
      <c r="AJ20" s="15"/>
      <c r="AK20" s="17"/>
      <c r="AL20" s="14"/>
      <c r="AM20" s="14"/>
      <c r="AN20" s="14"/>
      <c r="AO20" s="17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4" t="s">
        <v>74</v>
      </c>
      <c r="B21" s="14" t="s">
        <v>43</v>
      </c>
      <c r="C21" s="14">
        <v>308</v>
      </c>
      <c r="D21" s="14">
        <v>790</v>
      </c>
      <c r="E21" s="19">
        <v>396</v>
      </c>
      <c r="F21" s="19">
        <v>235</v>
      </c>
      <c r="G21" s="15">
        <v>0</v>
      </c>
      <c r="H21" s="14">
        <v>180</v>
      </c>
      <c r="I21" s="14" t="s">
        <v>52</v>
      </c>
      <c r="J21" s="14" t="s">
        <v>75</v>
      </c>
      <c r="K21" s="14">
        <v>444</v>
      </c>
      <c r="L21" s="14">
        <f t="shared" si="2"/>
        <v>-48</v>
      </c>
      <c r="M21" s="14"/>
      <c r="N21" s="14"/>
      <c r="O21" s="14"/>
      <c r="P21" s="14"/>
      <c r="Q21" s="14">
        <f t="shared" si="3"/>
        <v>79.2</v>
      </c>
      <c r="R21" s="16"/>
      <c r="S21" s="16"/>
      <c r="T21" s="16"/>
      <c r="U21" s="14"/>
      <c r="V21" s="14">
        <f t="shared" si="4"/>
        <v>2.9671717171717171</v>
      </c>
      <c r="W21" s="14">
        <f t="shared" si="5"/>
        <v>2.9671717171717171</v>
      </c>
      <c r="X21" s="14">
        <v>68.400000000000006</v>
      </c>
      <c r="Y21" s="14">
        <v>70.2</v>
      </c>
      <c r="Z21" s="14">
        <v>73.2</v>
      </c>
      <c r="AA21" s="14">
        <v>22.8</v>
      </c>
      <c r="AB21" s="14">
        <v>15.6</v>
      </c>
      <c r="AC21" s="14">
        <v>12</v>
      </c>
      <c r="AD21" s="14">
        <v>0.6</v>
      </c>
      <c r="AE21" s="14">
        <v>0</v>
      </c>
      <c r="AF21" s="14">
        <v>0</v>
      </c>
      <c r="AG21" s="14">
        <v>0</v>
      </c>
      <c r="AH21" s="14"/>
      <c r="AI21" s="14"/>
      <c r="AJ21" s="15"/>
      <c r="AK21" s="17"/>
      <c r="AL21" s="14"/>
      <c r="AM21" s="14"/>
      <c r="AN21" s="14"/>
      <c r="AO21" s="17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45</v>
      </c>
      <c r="B22" s="1" t="s">
        <v>43</v>
      </c>
      <c r="C22" s="1">
        <v>-3</v>
      </c>
      <c r="D22" s="1">
        <v>98</v>
      </c>
      <c r="E22" s="19">
        <f>60+E6+E20</f>
        <v>664</v>
      </c>
      <c r="F22" s="19">
        <f>0+F6+F20</f>
        <v>1049</v>
      </c>
      <c r="G22" s="7">
        <v>0.24</v>
      </c>
      <c r="H22" s="1">
        <v>180</v>
      </c>
      <c r="I22" s="1" t="s">
        <v>76</v>
      </c>
      <c r="J22" s="1"/>
      <c r="K22" s="1">
        <v>86</v>
      </c>
      <c r="L22" s="1">
        <f t="shared" si="2"/>
        <v>578</v>
      </c>
      <c r="M22" s="1"/>
      <c r="N22" s="1"/>
      <c r="O22" s="1">
        <v>168</v>
      </c>
      <c r="P22" s="1"/>
      <c r="Q22" s="1">
        <f t="shared" si="3"/>
        <v>132.80000000000001</v>
      </c>
      <c r="R22" s="5">
        <v>642.20000000000027</v>
      </c>
      <c r="S22" s="5">
        <f t="shared" ref="S22:S23" si="6">14*Q22-P22-O22-F22+Q22*$S$1</f>
        <v>1120.2800000000002</v>
      </c>
      <c r="T22" s="5">
        <f t="shared" ref="T22:T27" si="7">AJ22*AK22</f>
        <v>1176</v>
      </c>
      <c r="U22" s="1"/>
      <c r="V22" s="1">
        <f t="shared" si="4"/>
        <v>18.01957831325301</v>
      </c>
      <c r="W22" s="1">
        <f t="shared" si="5"/>
        <v>9.1641566265060241</v>
      </c>
      <c r="X22" s="1">
        <v>119.4</v>
      </c>
      <c r="Y22" s="1">
        <v>161.80000000000001</v>
      </c>
      <c r="Z22" s="1">
        <v>107.4</v>
      </c>
      <c r="AA22" s="1">
        <v>133.4</v>
      </c>
      <c r="AB22" s="1">
        <v>125.4</v>
      </c>
      <c r="AC22" s="1">
        <v>87.6</v>
      </c>
      <c r="AD22" s="1">
        <v>136</v>
      </c>
      <c r="AE22" s="1">
        <v>211.8</v>
      </c>
      <c r="AF22" s="1">
        <v>99.8</v>
      </c>
      <c r="AG22" s="1">
        <v>155.80000000000001</v>
      </c>
      <c r="AH22" s="1"/>
      <c r="AI22" s="1">
        <f t="shared" ref="AI22:AI27" si="8">G22*S22</f>
        <v>268.86720000000003</v>
      </c>
      <c r="AJ22" s="7">
        <v>12</v>
      </c>
      <c r="AK22" s="9">
        <f t="shared" ref="AK22:AK27" si="9">MROUND(S22, AJ22*AM22)/AJ22</f>
        <v>98</v>
      </c>
      <c r="AL22" s="1">
        <f t="shared" ref="AL22:AL27" si="10">AK22*AJ22*G22</f>
        <v>282.24</v>
      </c>
      <c r="AM22" s="1">
        <v>14</v>
      </c>
      <c r="AN22" s="1">
        <v>70</v>
      </c>
      <c r="AO22" s="9">
        <f t="shared" ref="AO22:AO27" si="11">AK22/AN22</f>
        <v>1.4</v>
      </c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75</v>
      </c>
      <c r="B23" s="1" t="s">
        <v>43</v>
      </c>
      <c r="C23" s="1"/>
      <c r="D23" s="1">
        <v>1</v>
      </c>
      <c r="E23" s="19">
        <f>0+E21</f>
        <v>396</v>
      </c>
      <c r="F23" s="19">
        <f>0+F21</f>
        <v>235</v>
      </c>
      <c r="G23" s="7">
        <v>0.48</v>
      </c>
      <c r="H23" s="1">
        <v>180</v>
      </c>
      <c r="I23" s="1" t="s">
        <v>77</v>
      </c>
      <c r="J23" s="1"/>
      <c r="K23" s="1">
        <v>4</v>
      </c>
      <c r="L23" s="1">
        <f t="shared" si="2"/>
        <v>392</v>
      </c>
      <c r="M23" s="1"/>
      <c r="N23" s="1"/>
      <c r="O23" s="1">
        <v>336</v>
      </c>
      <c r="P23" s="1"/>
      <c r="Q23" s="1">
        <f t="shared" si="3"/>
        <v>79.2</v>
      </c>
      <c r="R23" s="5">
        <v>537.79999999999995</v>
      </c>
      <c r="S23" s="5">
        <f t="shared" si="6"/>
        <v>822.92</v>
      </c>
      <c r="T23" s="5">
        <f t="shared" si="7"/>
        <v>784</v>
      </c>
      <c r="U23" s="1"/>
      <c r="V23" s="1">
        <f t="shared" si="4"/>
        <v>17.108585858585858</v>
      </c>
      <c r="W23" s="1">
        <f t="shared" si="5"/>
        <v>7.2095959595959593</v>
      </c>
      <c r="X23" s="1">
        <v>68.400000000000006</v>
      </c>
      <c r="Y23" s="1">
        <v>70.2</v>
      </c>
      <c r="Z23" s="1">
        <v>73.599999999999994</v>
      </c>
      <c r="AA23" s="1">
        <v>45.6</v>
      </c>
      <c r="AB23" s="1">
        <v>44.8</v>
      </c>
      <c r="AC23" s="1">
        <v>34.6</v>
      </c>
      <c r="AD23" s="1">
        <v>28.2</v>
      </c>
      <c r="AE23" s="1">
        <v>130</v>
      </c>
      <c r="AF23" s="1">
        <v>84.6</v>
      </c>
      <c r="AG23" s="1">
        <v>85.6</v>
      </c>
      <c r="AH23" s="1"/>
      <c r="AI23" s="1">
        <f t="shared" si="8"/>
        <v>395.00159999999994</v>
      </c>
      <c r="AJ23" s="7">
        <v>8</v>
      </c>
      <c r="AK23" s="9">
        <f t="shared" si="9"/>
        <v>98</v>
      </c>
      <c r="AL23" s="1">
        <f t="shared" si="10"/>
        <v>376.32</v>
      </c>
      <c r="AM23" s="1">
        <v>14</v>
      </c>
      <c r="AN23" s="1">
        <v>70</v>
      </c>
      <c r="AO23" s="9">
        <f t="shared" si="11"/>
        <v>1.4</v>
      </c>
      <c r="AP23" s="1"/>
      <c r="AQ23" s="1"/>
      <c r="AR23" s="1"/>
      <c r="AS23" s="1"/>
      <c r="AT23" s="1"/>
      <c r="AU23" s="1"/>
      <c r="AV23" s="1"/>
      <c r="AW23" s="1"/>
      <c r="AX23" s="1"/>
    </row>
    <row r="24" spans="1:50" hidden="1" x14ac:dyDescent="0.25">
      <c r="A24" s="1" t="s">
        <v>78</v>
      </c>
      <c r="B24" s="1" t="s">
        <v>43</v>
      </c>
      <c r="C24" s="1">
        <v>834</v>
      </c>
      <c r="D24" s="1">
        <v>2935</v>
      </c>
      <c r="E24" s="1">
        <v>724</v>
      </c>
      <c r="F24" s="1">
        <v>432</v>
      </c>
      <c r="G24" s="7">
        <v>0.09</v>
      </c>
      <c r="H24" s="1">
        <v>180</v>
      </c>
      <c r="I24" s="1" t="s">
        <v>79</v>
      </c>
      <c r="J24" s="1"/>
      <c r="K24" s="1">
        <v>786</v>
      </c>
      <c r="L24" s="1">
        <f t="shared" si="2"/>
        <v>-62</v>
      </c>
      <c r="M24" s="1"/>
      <c r="N24" s="1"/>
      <c r="O24" s="1">
        <v>2016</v>
      </c>
      <c r="P24" s="1"/>
      <c r="Q24" s="1">
        <f t="shared" si="3"/>
        <v>144.80000000000001</v>
      </c>
      <c r="R24" s="5"/>
      <c r="S24" s="5"/>
      <c r="T24" s="5">
        <f t="shared" si="7"/>
        <v>0</v>
      </c>
      <c r="U24" s="1"/>
      <c r="V24" s="1">
        <f t="shared" si="4"/>
        <v>16.906077348066297</v>
      </c>
      <c r="W24" s="1">
        <f t="shared" si="5"/>
        <v>16.906077348066297</v>
      </c>
      <c r="X24" s="1">
        <v>210.6</v>
      </c>
      <c r="Y24" s="1">
        <v>160.19999999999999</v>
      </c>
      <c r="Z24" s="1">
        <v>173.4</v>
      </c>
      <c r="AA24" s="1">
        <v>201</v>
      </c>
      <c r="AB24" s="1">
        <v>236.2</v>
      </c>
      <c r="AC24" s="1">
        <v>153</v>
      </c>
      <c r="AD24" s="1">
        <v>114.4</v>
      </c>
      <c r="AE24" s="1">
        <v>151.4</v>
      </c>
      <c r="AF24" s="1">
        <v>219.8</v>
      </c>
      <c r="AG24" s="1">
        <v>133.6</v>
      </c>
      <c r="AH24" s="1"/>
      <c r="AI24" s="1">
        <f t="shared" si="8"/>
        <v>0</v>
      </c>
      <c r="AJ24" s="7">
        <v>24</v>
      </c>
      <c r="AK24" s="9">
        <f t="shared" si="9"/>
        <v>0</v>
      </c>
      <c r="AL24" s="1">
        <f t="shared" si="10"/>
        <v>0</v>
      </c>
      <c r="AM24" s="1">
        <v>14</v>
      </c>
      <c r="AN24" s="1">
        <v>126</v>
      </c>
      <c r="AO24" s="9">
        <f t="shared" si="11"/>
        <v>0</v>
      </c>
      <c r="AP24" s="1"/>
      <c r="AQ24" s="1"/>
      <c r="AR24" s="1"/>
      <c r="AS24" s="1"/>
      <c r="AT24" s="1"/>
      <c r="AU24" s="1"/>
      <c r="AV24" s="1"/>
      <c r="AW24" s="1"/>
      <c r="AX24" s="1"/>
    </row>
    <row r="25" spans="1:50" hidden="1" x14ac:dyDescent="0.25">
      <c r="A25" s="1" t="s">
        <v>80</v>
      </c>
      <c r="B25" s="1" t="s">
        <v>43</v>
      </c>
      <c r="C25" s="1">
        <v>-3</v>
      </c>
      <c r="D25" s="1">
        <v>28</v>
      </c>
      <c r="E25" s="1"/>
      <c r="F25" s="1">
        <v>-1</v>
      </c>
      <c r="G25" s="7">
        <v>0.36</v>
      </c>
      <c r="H25" s="1">
        <v>180</v>
      </c>
      <c r="I25" s="1" t="s">
        <v>81</v>
      </c>
      <c r="J25" s="1"/>
      <c r="K25" s="1">
        <v>79</v>
      </c>
      <c r="L25" s="1">
        <f t="shared" si="2"/>
        <v>-79</v>
      </c>
      <c r="M25" s="1"/>
      <c r="N25" s="1"/>
      <c r="O25" s="1">
        <v>0</v>
      </c>
      <c r="P25" s="1"/>
      <c r="Q25" s="1">
        <f t="shared" si="3"/>
        <v>0</v>
      </c>
      <c r="R25" s="22">
        <v>0</v>
      </c>
      <c r="S25" s="22">
        <v>0</v>
      </c>
      <c r="T25" s="22">
        <f t="shared" si="7"/>
        <v>0</v>
      </c>
      <c r="U25" s="23"/>
      <c r="V25" s="1" t="e">
        <f t="shared" si="4"/>
        <v>#DIV/0!</v>
      </c>
      <c r="W25" s="1" t="e">
        <f t="shared" si="5"/>
        <v>#DIV/0!</v>
      </c>
      <c r="X25" s="1">
        <v>0</v>
      </c>
      <c r="Y25" s="1">
        <v>0</v>
      </c>
      <c r="Z25" s="1">
        <v>0.4</v>
      </c>
      <c r="AA25" s="1">
        <v>22</v>
      </c>
      <c r="AB25" s="1">
        <v>28.6</v>
      </c>
      <c r="AC25" s="1">
        <v>28.4</v>
      </c>
      <c r="AD25" s="1">
        <v>25.8</v>
      </c>
      <c r="AE25" s="1">
        <v>7.6</v>
      </c>
      <c r="AF25" s="1">
        <v>17.8</v>
      </c>
      <c r="AG25" s="1">
        <v>33</v>
      </c>
      <c r="AH25" s="23" t="s">
        <v>82</v>
      </c>
      <c r="AI25" s="1">
        <f t="shared" si="8"/>
        <v>0</v>
      </c>
      <c r="AJ25" s="7">
        <v>10</v>
      </c>
      <c r="AK25" s="9">
        <f t="shared" si="9"/>
        <v>0</v>
      </c>
      <c r="AL25" s="1">
        <f t="shared" si="10"/>
        <v>0</v>
      </c>
      <c r="AM25" s="1">
        <v>14</v>
      </c>
      <c r="AN25" s="1">
        <v>70</v>
      </c>
      <c r="AO25" s="9">
        <f t="shared" si="11"/>
        <v>0</v>
      </c>
      <c r="AP25" s="1"/>
      <c r="AQ25" s="1"/>
      <c r="AR25" s="1"/>
      <c r="AS25" s="1"/>
      <c r="AT25" s="1"/>
      <c r="AU25" s="1"/>
      <c r="AV25" s="1"/>
      <c r="AW25" s="1"/>
      <c r="AX25" s="1"/>
    </row>
    <row r="26" spans="1:50" hidden="1" x14ac:dyDescent="0.25">
      <c r="A26" s="1" t="s">
        <v>83</v>
      </c>
      <c r="B26" s="1" t="s">
        <v>43</v>
      </c>
      <c r="C26" s="1">
        <v>150</v>
      </c>
      <c r="D26" s="1">
        <v>744</v>
      </c>
      <c r="E26" s="1">
        <v>233</v>
      </c>
      <c r="F26" s="1">
        <v>427</v>
      </c>
      <c r="G26" s="7">
        <v>0.2</v>
      </c>
      <c r="H26" s="1">
        <v>180</v>
      </c>
      <c r="I26" s="1" t="s">
        <v>84</v>
      </c>
      <c r="J26" s="1"/>
      <c r="K26" s="1">
        <v>257</v>
      </c>
      <c r="L26" s="1">
        <f t="shared" si="2"/>
        <v>-24</v>
      </c>
      <c r="M26" s="1"/>
      <c r="N26" s="1"/>
      <c r="O26" s="1">
        <v>0</v>
      </c>
      <c r="P26" s="1"/>
      <c r="Q26" s="1">
        <f t="shared" si="3"/>
        <v>46.6</v>
      </c>
      <c r="R26" s="5">
        <v>225.39999999999998</v>
      </c>
      <c r="S26" s="5">
        <f>15*Q26-P26-O26-F26+Q26*($S$1-1)</f>
        <v>393.16</v>
      </c>
      <c r="T26" s="5">
        <f t="shared" si="7"/>
        <v>336</v>
      </c>
      <c r="U26" s="1"/>
      <c r="V26" s="1">
        <f t="shared" si="4"/>
        <v>16.373390557939913</v>
      </c>
      <c r="W26" s="1">
        <f t="shared" si="5"/>
        <v>9.1630901287553641</v>
      </c>
      <c r="X26" s="1">
        <v>46</v>
      </c>
      <c r="Y26" s="1">
        <v>65.599999999999994</v>
      </c>
      <c r="Z26" s="1">
        <v>48.2</v>
      </c>
      <c r="AA26" s="1">
        <v>66</v>
      </c>
      <c r="AB26" s="1">
        <v>76.2</v>
      </c>
      <c r="AC26" s="1">
        <v>34.4</v>
      </c>
      <c r="AD26" s="1">
        <v>75</v>
      </c>
      <c r="AE26" s="1">
        <v>132.80000000000001</v>
      </c>
      <c r="AF26" s="1">
        <v>56.6</v>
      </c>
      <c r="AG26" s="1">
        <v>88.2</v>
      </c>
      <c r="AH26" s="1"/>
      <c r="AI26" s="1">
        <f t="shared" si="8"/>
        <v>78.632000000000005</v>
      </c>
      <c r="AJ26" s="7">
        <v>12</v>
      </c>
      <c r="AK26" s="9">
        <f t="shared" si="9"/>
        <v>28</v>
      </c>
      <c r="AL26" s="1">
        <f t="shared" si="10"/>
        <v>67.2</v>
      </c>
      <c r="AM26" s="1">
        <v>14</v>
      </c>
      <c r="AN26" s="1">
        <v>70</v>
      </c>
      <c r="AO26" s="9">
        <f t="shared" si="11"/>
        <v>0.4</v>
      </c>
      <c r="AP26" s="1"/>
      <c r="AQ26" s="1"/>
      <c r="AR26" s="1"/>
      <c r="AS26" s="1"/>
      <c r="AT26" s="1"/>
      <c r="AU26" s="1"/>
      <c r="AV26" s="1"/>
      <c r="AW26" s="1"/>
      <c r="AX26" s="1"/>
    </row>
    <row r="27" spans="1:50" hidden="1" x14ac:dyDescent="0.25">
      <c r="A27" s="13" t="s">
        <v>85</v>
      </c>
      <c r="B27" s="1" t="s">
        <v>43</v>
      </c>
      <c r="C27" s="1">
        <v>492</v>
      </c>
      <c r="D27" s="1">
        <v>1828</v>
      </c>
      <c r="E27" s="19">
        <f>388+E70</f>
        <v>574</v>
      </c>
      <c r="F27" s="19">
        <f>0+F70</f>
        <v>818</v>
      </c>
      <c r="G27" s="7">
        <v>0.2</v>
      </c>
      <c r="H27" s="1">
        <v>180</v>
      </c>
      <c r="I27" s="1" t="s">
        <v>86</v>
      </c>
      <c r="J27" s="1"/>
      <c r="K27" s="1">
        <v>585</v>
      </c>
      <c r="L27" s="1">
        <f t="shared" si="2"/>
        <v>-11</v>
      </c>
      <c r="M27" s="1"/>
      <c r="N27" s="1"/>
      <c r="O27" s="1">
        <v>672</v>
      </c>
      <c r="P27" s="1"/>
      <c r="Q27" s="1">
        <f t="shared" si="3"/>
        <v>114.8</v>
      </c>
      <c r="R27" s="5">
        <v>117.20000000000005</v>
      </c>
      <c r="S27" s="5">
        <f t="shared" ref="S27" si="12">14*Q27-P27-O27-F27+Q27*$S$1</f>
        <v>530.48</v>
      </c>
      <c r="T27" s="5">
        <f t="shared" si="7"/>
        <v>504</v>
      </c>
      <c r="U27" s="1"/>
      <c r="V27" s="1">
        <f t="shared" si="4"/>
        <v>17.369337979094077</v>
      </c>
      <c r="W27" s="1">
        <f t="shared" si="5"/>
        <v>12.979094076655052</v>
      </c>
      <c r="X27" s="1">
        <v>142.6</v>
      </c>
      <c r="Y27" s="1">
        <v>165</v>
      </c>
      <c r="Z27" s="1">
        <v>123.6</v>
      </c>
      <c r="AA27" s="1">
        <v>169.6</v>
      </c>
      <c r="AB27" s="1">
        <v>189.4</v>
      </c>
      <c r="AC27" s="1">
        <v>124</v>
      </c>
      <c r="AD27" s="1">
        <v>163.80000000000001</v>
      </c>
      <c r="AE27" s="1">
        <v>277.60000000000002</v>
      </c>
      <c r="AF27" s="1">
        <v>113</v>
      </c>
      <c r="AG27" s="1">
        <v>187.8</v>
      </c>
      <c r="AH27" s="1"/>
      <c r="AI27" s="1">
        <f t="shared" si="8"/>
        <v>106.096</v>
      </c>
      <c r="AJ27" s="7">
        <v>12</v>
      </c>
      <c r="AK27" s="9">
        <f t="shared" si="9"/>
        <v>42</v>
      </c>
      <c r="AL27" s="1">
        <f t="shared" si="10"/>
        <v>100.80000000000001</v>
      </c>
      <c r="AM27" s="1">
        <v>14</v>
      </c>
      <c r="AN27" s="1">
        <v>70</v>
      </c>
      <c r="AO27" s="9">
        <f t="shared" si="11"/>
        <v>0.6</v>
      </c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4" t="s">
        <v>87</v>
      </c>
      <c r="B28" s="14" t="s">
        <v>43</v>
      </c>
      <c r="C28" s="14">
        <v>-12</v>
      </c>
      <c r="D28" s="14">
        <v>12</v>
      </c>
      <c r="E28" s="14"/>
      <c r="F28" s="14"/>
      <c r="G28" s="15">
        <v>0</v>
      </c>
      <c r="H28" s="14"/>
      <c r="I28" s="14" t="s">
        <v>52</v>
      </c>
      <c r="J28" s="14" t="s">
        <v>57</v>
      </c>
      <c r="K28" s="14"/>
      <c r="L28" s="14">
        <f t="shared" si="2"/>
        <v>0</v>
      </c>
      <c r="M28" s="14"/>
      <c r="N28" s="14"/>
      <c r="O28" s="14"/>
      <c r="P28" s="14"/>
      <c r="Q28" s="14">
        <f t="shared" si="3"/>
        <v>0</v>
      </c>
      <c r="R28" s="16"/>
      <c r="S28" s="16"/>
      <c r="T28" s="16"/>
      <c r="U28" s="14"/>
      <c r="V28" s="14" t="e">
        <f t="shared" si="4"/>
        <v>#DIV/0!</v>
      </c>
      <c r="W28" s="14" t="e">
        <f t="shared" si="5"/>
        <v>#DIV/0!</v>
      </c>
      <c r="X28" s="14">
        <v>0</v>
      </c>
      <c r="Y28" s="14">
        <v>0</v>
      </c>
      <c r="Z28" s="14">
        <v>2.4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/>
      <c r="AI28" s="14"/>
      <c r="AJ28" s="15"/>
      <c r="AK28" s="17"/>
      <c r="AL28" s="14"/>
      <c r="AM28" s="14"/>
      <c r="AN28" s="14"/>
      <c r="AO28" s="17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57</v>
      </c>
      <c r="B29" s="1" t="s">
        <v>43</v>
      </c>
      <c r="C29" s="1">
        <v>277</v>
      </c>
      <c r="D29" s="1">
        <v>792</v>
      </c>
      <c r="E29" s="19">
        <f>378+E11</f>
        <v>564</v>
      </c>
      <c r="F29" s="19">
        <f>8+F11</f>
        <v>676</v>
      </c>
      <c r="G29" s="7">
        <v>0.2</v>
      </c>
      <c r="H29" s="1">
        <v>180</v>
      </c>
      <c r="I29" s="1" t="s">
        <v>88</v>
      </c>
      <c r="J29" s="1"/>
      <c r="K29" s="1">
        <v>448</v>
      </c>
      <c r="L29" s="1">
        <f t="shared" si="2"/>
        <v>116</v>
      </c>
      <c r="M29" s="1"/>
      <c r="N29" s="1"/>
      <c r="O29" s="1">
        <v>672</v>
      </c>
      <c r="P29" s="1"/>
      <c r="Q29" s="1">
        <f t="shared" si="3"/>
        <v>112.8</v>
      </c>
      <c r="R29" s="5">
        <v>231.20000000000005</v>
      </c>
      <c r="S29" s="5">
        <f>15*Q29-P29-O29-F29+Q29*($S$1-1)</f>
        <v>637.28</v>
      </c>
      <c r="T29" s="5">
        <f t="shared" ref="T29:T35" si="13">AJ29*AK29</f>
        <v>672</v>
      </c>
      <c r="U29" s="1"/>
      <c r="V29" s="1">
        <f t="shared" si="4"/>
        <v>17.907801418439718</v>
      </c>
      <c r="W29" s="1">
        <f t="shared" si="5"/>
        <v>11.950354609929079</v>
      </c>
      <c r="X29" s="1">
        <v>115.2</v>
      </c>
      <c r="Y29" s="1">
        <v>121.2</v>
      </c>
      <c r="Z29" s="1">
        <v>105.4</v>
      </c>
      <c r="AA29" s="1">
        <v>107.8</v>
      </c>
      <c r="AB29" s="1">
        <v>134.4</v>
      </c>
      <c r="AC29" s="1">
        <v>105.2</v>
      </c>
      <c r="AD29" s="1">
        <v>117</v>
      </c>
      <c r="AE29" s="1">
        <v>248.2</v>
      </c>
      <c r="AF29" s="1">
        <v>107.2</v>
      </c>
      <c r="AG29" s="1">
        <v>241.8</v>
      </c>
      <c r="AH29" s="1"/>
      <c r="AI29" s="1">
        <f t="shared" ref="AI29:AI35" si="14">G29*S29</f>
        <v>127.456</v>
      </c>
      <c r="AJ29" s="7">
        <v>12</v>
      </c>
      <c r="AK29" s="9">
        <f t="shared" ref="AK29:AK35" si="15">MROUND(S29, AJ29*AM29)/AJ29</f>
        <v>56</v>
      </c>
      <c r="AL29" s="1">
        <f t="shared" ref="AL29:AL35" si="16">AK29*AJ29*G29</f>
        <v>134.4</v>
      </c>
      <c r="AM29" s="1">
        <v>14</v>
      </c>
      <c r="AN29" s="1">
        <v>70</v>
      </c>
      <c r="AO29" s="9">
        <f t="shared" ref="AO29:AO35" si="17">AK29/AN29</f>
        <v>0.8</v>
      </c>
      <c r="AP29" s="1"/>
      <c r="AQ29" s="1"/>
      <c r="AR29" s="1"/>
      <c r="AS29" s="1"/>
      <c r="AT29" s="1"/>
      <c r="AU29" s="1"/>
      <c r="AV29" s="1"/>
      <c r="AW29" s="1"/>
      <c r="AX29" s="1"/>
    </row>
    <row r="30" spans="1:50" hidden="1" x14ac:dyDescent="0.25">
      <c r="A30" s="1" t="s">
        <v>89</v>
      </c>
      <c r="B30" s="1" t="s">
        <v>90</v>
      </c>
      <c r="C30" s="1">
        <v>-5.7</v>
      </c>
      <c r="D30" s="1">
        <v>560.70000000000005</v>
      </c>
      <c r="E30" s="1">
        <v>197.4</v>
      </c>
      <c r="F30" s="1">
        <v>353.9</v>
      </c>
      <c r="G30" s="7">
        <v>1</v>
      </c>
      <c r="H30" s="1"/>
      <c r="I30" s="1" t="s">
        <v>91</v>
      </c>
      <c r="J30" s="1"/>
      <c r="K30" s="1">
        <v>207.4</v>
      </c>
      <c r="L30" s="1">
        <f t="shared" si="2"/>
        <v>-10</v>
      </c>
      <c r="M30" s="1"/>
      <c r="N30" s="1"/>
      <c r="O30" s="1">
        <v>207.2000000000001</v>
      </c>
      <c r="P30" s="1">
        <v>466.2</v>
      </c>
      <c r="Q30" s="1">
        <f t="shared" si="3"/>
        <v>39.480000000000004</v>
      </c>
      <c r="R30" s="5"/>
      <c r="S30" s="5"/>
      <c r="T30" s="5">
        <f t="shared" si="13"/>
        <v>0</v>
      </c>
      <c r="U30" s="1"/>
      <c r="V30" s="1">
        <f t="shared" si="4"/>
        <v>26.020770010131713</v>
      </c>
      <c r="W30" s="1">
        <f t="shared" si="5"/>
        <v>26.020770010131713</v>
      </c>
      <c r="X30" s="1">
        <v>54.760000000000012</v>
      </c>
      <c r="Y30" s="1">
        <v>50.44</v>
      </c>
      <c r="Z30" s="1">
        <v>37.64</v>
      </c>
      <c r="AA30" s="1">
        <v>50.6</v>
      </c>
      <c r="AB30" s="1">
        <v>37.760000000000012</v>
      </c>
      <c r="AC30" s="1">
        <v>30.32</v>
      </c>
      <c r="AD30" s="1">
        <v>45.56</v>
      </c>
      <c r="AE30" s="1">
        <v>23</v>
      </c>
      <c r="AF30" s="1">
        <v>21</v>
      </c>
      <c r="AG30" s="1">
        <v>0</v>
      </c>
      <c r="AH30" s="1"/>
      <c r="AI30" s="1">
        <f t="shared" si="14"/>
        <v>0</v>
      </c>
      <c r="AJ30" s="7">
        <v>3.7</v>
      </c>
      <c r="AK30" s="9">
        <f t="shared" si="15"/>
        <v>0</v>
      </c>
      <c r="AL30" s="1">
        <f t="shared" si="16"/>
        <v>0</v>
      </c>
      <c r="AM30" s="1">
        <v>14</v>
      </c>
      <c r="AN30" s="1">
        <v>126</v>
      </c>
      <c r="AO30" s="9">
        <f t="shared" si="17"/>
        <v>0</v>
      </c>
      <c r="AP30" s="1"/>
      <c r="AQ30" s="1"/>
      <c r="AR30" s="1"/>
      <c r="AS30" s="1"/>
      <c r="AT30" s="1"/>
      <c r="AU30" s="1"/>
      <c r="AV30" s="1"/>
      <c r="AW30" s="1"/>
      <c r="AX30" s="1"/>
    </row>
    <row r="31" spans="1:50" hidden="1" x14ac:dyDescent="0.25">
      <c r="A31" s="1" t="s">
        <v>92</v>
      </c>
      <c r="B31" s="1" t="s">
        <v>90</v>
      </c>
      <c r="C31" s="1">
        <v>90</v>
      </c>
      <c r="D31" s="1">
        <v>346</v>
      </c>
      <c r="E31" s="1">
        <v>97.5</v>
      </c>
      <c r="F31" s="1">
        <v>22</v>
      </c>
      <c r="G31" s="7">
        <v>1</v>
      </c>
      <c r="H31" s="1">
        <v>180</v>
      </c>
      <c r="I31" s="1" t="s">
        <v>93</v>
      </c>
      <c r="J31" s="1"/>
      <c r="K31" s="1">
        <v>150.19999999999999</v>
      </c>
      <c r="L31" s="1">
        <f t="shared" si="2"/>
        <v>-52.699999999999989</v>
      </c>
      <c r="M31" s="1"/>
      <c r="N31" s="1"/>
      <c r="O31" s="1">
        <v>330</v>
      </c>
      <c r="P31" s="1"/>
      <c r="Q31" s="1">
        <f t="shared" si="3"/>
        <v>19.5</v>
      </c>
      <c r="R31" s="5"/>
      <c r="S31" s="5"/>
      <c r="T31" s="5">
        <f t="shared" si="13"/>
        <v>0</v>
      </c>
      <c r="U31" s="1"/>
      <c r="V31" s="1">
        <f t="shared" si="4"/>
        <v>18.051282051282051</v>
      </c>
      <c r="W31" s="1">
        <f t="shared" si="5"/>
        <v>18.051282051282051</v>
      </c>
      <c r="X31" s="1">
        <v>23.9</v>
      </c>
      <c r="Y31" s="1">
        <v>16.399999999999999</v>
      </c>
      <c r="Z31" s="1">
        <v>23</v>
      </c>
      <c r="AA31" s="1">
        <v>20.8</v>
      </c>
      <c r="AB31" s="1">
        <v>23</v>
      </c>
      <c r="AC31" s="1">
        <v>13.2</v>
      </c>
      <c r="AD31" s="1">
        <v>12</v>
      </c>
      <c r="AE31" s="1">
        <v>25</v>
      </c>
      <c r="AF31" s="1">
        <v>29.7</v>
      </c>
      <c r="AG31" s="1">
        <v>28.5</v>
      </c>
      <c r="AH31" s="1"/>
      <c r="AI31" s="1">
        <f t="shared" si="14"/>
        <v>0</v>
      </c>
      <c r="AJ31" s="7">
        <v>5.5</v>
      </c>
      <c r="AK31" s="9">
        <f t="shared" si="15"/>
        <v>0</v>
      </c>
      <c r="AL31" s="1">
        <f t="shared" si="16"/>
        <v>0</v>
      </c>
      <c r="AM31" s="1">
        <v>12</v>
      </c>
      <c r="AN31" s="1">
        <v>84</v>
      </c>
      <c r="AO31" s="9">
        <f t="shared" si="17"/>
        <v>0</v>
      </c>
      <c r="AP31" s="1"/>
      <c r="AQ31" s="1"/>
      <c r="AR31" s="1"/>
      <c r="AS31" s="1"/>
      <c r="AT31" s="1"/>
      <c r="AU31" s="1"/>
      <c r="AV31" s="1"/>
      <c r="AW31" s="1"/>
      <c r="AX31" s="1"/>
    </row>
    <row r="32" spans="1:50" hidden="1" x14ac:dyDescent="0.25">
      <c r="A32" s="1" t="s">
        <v>94</v>
      </c>
      <c r="B32" s="1" t="s">
        <v>90</v>
      </c>
      <c r="C32" s="1"/>
      <c r="D32" s="1">
        <v>69</v>
      </c>
      <c r="E32" s="19">
        <f>15+E69</f>
        <v>87</v>
      </c>
      <c r="F32" s="19">
        <f>0+F69</f>
        <v>255</v>
      </c>
      <c r="G32" s="7">
        <v>1</v>
      </c>
      <c r="H32" s="1">
        <v>180</v>
      </c>
      <c r="I32" s="1" t="s">
        <v>95</v>
      </c>
      <c r="J32" s="1"/>
      <c r="K32" s="1">
        <v>47</v>
      </c>
      <c r="L32" s="1">
        <f t="shared" si="2"/>
        <v>40</v>
      </c>
      <c r="M32" s="1"/>
      <c r="N32" s="1"/>
      <c r="O32" s="1">
        <v>0</v>
      </c>
      <c r="P32" s="1"/>
      <c r="Q32" s="1">
        <f t="shared" si="3"/>
        <v>17.399999999999999</v>
      </c>
      <c r="R32" s="5"/>
      <c r="S32" s="5">
        <v>380</v>
      </c>
      <c r="T32" s="5">
        <f t="shared" si="13"/>
        <v>378</v>
      </c>
      <c r="U32" s="1">
        <v>400</v>
      </c>
      <c r="V32" s="1">
        <f t="shared" si="4"/>
        <v>36.379310344827587</v>
      </c>
      <c r="W32" s="1">
        <f t="shared" si="5"/>
        <v>14.655172413793105</v>
      </c>
      <c r="X32" s="1">
        <v>19.34</v>
      </c>
      <c r="Y32" s="1">
        <v>32.6</v>
      </c>
      <c r="Z32" s="1">
        <v>21.88</v>
      </c>
      <c r="AA32" s="1">
        <v>28.8</v>
      </c>
      <c r="AB32" s="1">
        <v>28.2</v>
      </c>
      <c r="AC32" s="1">
        <v>29.4</v>
      </c>
      <c r="AD32" s="1">
        <v>24.6</v>
      </c>
      <c r="AE32" s="1">
        <v>25.8</v>
      </c>
      <c r="AF32" s="1">
        <v>45</v>
      </c>
      <c r="AG32" s="1">
        <v>40.799999999999997</v>
      </c>
      <c r="AH32" s="1"/>
      <c r="AI32" s="1">
        <f t="shared" si="14"/>
        <v>380</v>
      </c>
      <c r="AJ32" s="7">
        <v>3</v>
      </c>
      <c r="AK32" s="9">
        <f t="shared" si="15"/>
        <v>126</v>
      </c>
      <c r="AL32" s="1">
        <f t="shared" si="16"/>
        <v>378</v>
      </c>
      <c r="AM32" s="1">
        <v>14</v>
      </c>
      <c r="AN32" s="1">
        <v>126</v>
      </c>
      <c r="AO32" s="9">
        <f t="shared" si="17"/>
        <v>1</v>
      </c>
      <c r="AP32" s="1"/>
      <c r="AQ32" s="1"/>
      <c r="AR32" s="1"/>
      <c r="AS32" s="1"/>
      <c r="AT32" s="1"/>
      <c r="AU32" s="1"/>
      <c r="AV32" s="1"/>
      <c r="AW32" s="1"/>
      <c r="AX32" s="1"/>
    </row>
    <row r="33" spans="1:50" hidden="1" x14ac:dyDescent="0.25">
      <c r="A33" s="1" t="s">
        <v>96</v>
      </c>
      <c r="B33" s="1" t="s">
        <v>43</v>
      </c>
      <c r="C33" s="1"/>
      <c r="D33" s="1"/>
      <c r="E33" s="1"/>
      <c r="F33" s="1"/>
      <c r="G33" s="7">
        <v>0.23</v>
      </c>
      <c r="H33" s="1">
        <v>180</v>
      </c>
      <c r="I33" s="1" t="s">
        <v>97</v>
      </c>
      <c r="J33" s="1"/>
      <c r="K33" s="1"/>
      <c r="L33" s="1">
        <f t="shared" si="2"/>
        <v>0</v>
      </c>
      <c r="M33" s="1"/>
      <c r="N33" s="1"/>
      <c r="O33" s="1">
        <v>336</v>
      </c>
      <c r="P33" s="1"/>
      <c r="Q33" s="1">
        <f t="shared" si="3"/>
        <v>0</v>
      </c>
      <c r="R33" s="5"/>
      <c r="S33" s="5"/>
      <c r="T33" s="5">
        <f t="shared" si="13"/>
        <v>0</v>
      </c>
      <c r="U33" s="1"/>
      <c r="V33" s="1" t="e">
        <f t="shared" si="4"/>
        <v>#DIV/0!</v>
      </c>
      <c r="W33" s="1" t="e">
        <f t="shared" si="5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 t="s">
        <v>50</v>
      </c>
      <c r="AI33" s="1">
        <f t="shared" si="14"/>
        <v>0</v>
      </c>
      <c r="AJ33" s="7">
        <v>12</v>
      </c>
      <c r="AK33" s="9">
        <f t="shared" si="15"/>
        <v>0</v>
      </c>
      <c r="AL33" s="1">
        <f t="shared" si="16"/>
        <v>0</v>
      </c>
      <c r="AM33" s="1">
        <v>14</v>
      </c>
      <c r="AN33" s="1">
        <v>70</v>
      </c>
      <c r="AO33" s="9">
        <f t="shared" si="17"/>
        <v>0</v>
      </c>
      <c r="AP33" s="1"/>
      <c r="AQ33" s="1"/>
      <c r="AR33" s="1"/>
      <c r="AS33" s="1"/>
      <c r="AT33" s="1"/>
      <c r="AU33" s="1"/>
      <c r="AV33" s="1"/>
      <c r="AW33" s="1"/>
      <c r="AX33" s="1"/>
    </row>
    <row r="34" spans="1:50" hidden="1" x14ac:dyDescent="0.25">
      <c r="A34" s="1" t="s">
        <v>47</v>
      </c>
      <c r="B34" s="1" t="s">
        <v>43</v>
      </c>
      <c r="C34" s="1">
        <v>754</v>
      </c>
      <c r="D34" s="1">
        <v>909</v>
      </c>
      <c r="E34" s="19">
        <f>595+E7</f>
        <v>707</v>
      </c>
      <c r="F34" s="19">
        <f>476+F7</f>
        <v>700</v>
      </c>
      <c r="G34" s="7">
        <v>0.25</v>
      </c>
      <c r="H34" s="1">
        <v>365</v>
      </c>
      <c r="I34" s="1" t="s">
        <v>98</v>
      </c>
      <c r="J34" s="1"/>
      <c r="K34" s="1">
        <v>656</v>
      </c>
      <c r="L34" s="1">
        <f t="shared" si="2"/>
        <v>51</v>
      </c>
      <c r="M34" s="1"/>
      <c r="N34" s="1"/>
      <c r="O34" s="1">
        <v>1008</v>
      </c>
      <c r="P34" s="1"/>
      <c r="Q34" s="1">
        <f t="shared" si="3"/>
        <v>141.4</v>
      </c>
      <c r="R34" s="5">
        <v>271.60000000000014</v>
      </c>
      <c r="S34" s="5">
        <f>14*Q34-P34-O34-F34+Q34*$S$1</f>
        <v>780.6400000000001</v>
      </c>
      <c r="T34" s="5">
        <f t="shared" si="13"/>
        <v>756</v>
      </c>
      <c r="U34" s="1"/>
      <c r="V34" s="1">
        <f t="shared" si="4"/>
        <v>17.425742574257423</v>
      </c>
      <c r="W34" s="1">
        <f t="shared" si="5"/>
        <v>12.079207920792079</v>
      </c>
      <c r="X34" s="1">
        <v>155.4</v>
      </c>
      <c r="Y34" s="1">
        <v>152.19999999999999</v>
      </c>
      <c r="Z34" s="1">
        <v>145.19999999999999</v>
      </c>
      <c r="AA34" s="1">
        <v>148</v>
      </c>
      <c r="AB34" s="1">
        <v>170.6</v>
      </c>
      <c r="AC34" s="1">
        <v>128</v>
      </c>
      <c r="AD34" s="1">
        <v>141.4</v>
      </c>
      <c r="AE34" s="1">
        <v>216.8</v>
      </c>
      <c r="AF34" s="1">
        <v>147.4</v>
      </c>
      <c r="AG34" s="1">
        <v>151.19999999999999</v>
      </c>
      <c r="AH34" s="1"/>
      <c r="AI34" s="1">
        <f t="shared" si="14"/>
        <v>195.16000000000003</v>
      </c>
      <c r="AJ34" s="7">
        <v>6</v>
      </c>
      <c r="AK34" s="9">
        <f t="shared" si="15"/>
        <v>126</v>
      </c>
      <c r="AL34" s="1">
        <f t="shared" si="16"/>
        <v>189</v>
      </c>
      <c r="AM34" s="1">
        <v>14</v>
      </c>
      <c r="AN34" s="1">
        <v>140</v>
      </c>
      <c r="AO34" s="9">
        <f t="shared" si="17"/>
        <v>0.9</v>
      </c>
      <c r="AP34" s="1"/>
      <c r="AQ34" s="1"/>
      <c r="AR34" s="1"/>
      <c r="AS34" s="1"/>
      <c r="AT34" s="1"/>
      <c r="AU34" s="1"/>
      <c r="AV34" s="1"/>
      <c r="AW34" s="1"/>
      <c r="AX34" s="1"/>
    </row>
    <row r="35" spans="1:50" hidden="1" x14ac:dyDescent="0.25">
      <c r="A35" s="1" t="s">
        <v>99</v>
      </c>
      <c r="B35" s="1" t="s">
        <v>43</v>
      </c>
      <c r="C35" s="1">
        <v>6</v>
      </c>
      <c r="D35" s="1">
        <v>1294</v>
      </c>
      <c r="E35" s="1">
        <v>337</v>
      </c>
      <c r="F35" s="1">
        <v>857</v>
      </c>
      <c r="G35" s="7">
        <v>0.25</v>
      </c>
      <c r="H35" s="1">
        <v>365</v>
      </c>
      <c r="I35" s="1" t="s">
        <v>100</v>
      </c>
      <c r="J35" s="1"/>
      <c r="K35" s="1">
        <v>359</v>
      </c>
      <c r="L35" s="1">
        <f t="shared" si="2"/>
        <v>-22</v>
      </c>
      <c r="M35" s="1"/>
      <c r="N35" s="1"/>
      <c r="O35" s="1">
        <v>336</v>
      </c>
      <c r="P35" s="1"/>
      <c r="Q35" s="1">
        <f t="shared" si="3"/>
        <v>67.400000000000006</v>
      </c>
      <c r="R35" s="5"/>
      <c r="S35" s="5"/>
      <c r="T35" s="5">
        <f t="shared" si="13"/>
        <v>0</v>
      </c>
      <c r="U35" s="1"/>
      <c r="V35" s="1">
        <f t="shared" si="4"/>
        <v>17.700296735905042</v>
      </c>
      <c r="W35" s="1">
        <f t="shared" si="5"/>
        <v>17.700296735905042</v>
      </c>
      <c r="X35" s="1">
        <v>96.4</v>
      </c>
      <c r="Y35" s="1">
        <v>105.6</v>
      </c>
      <c r="Z35" s="1">
        <v>72.400000000000006</v>
      </c>
      <c r="AA35" s="1">
        <v>84.8</v>
      </c>
      <c r="AB35" s="1">
        <v>106.8</v>
      </c>
      <c r="AC35" s="1">
        <v>85.8</v>
      </c>
      <c r="AD35" s="1">
        <v>62</v>
      </c>
      <c r="AE35" s="1">
        <v>165.8</v>
      </c>
      <c r="AF35" s="1">
        <v>143</v>
      </c>
      <c r="AG35" s="1">
        <v>111.8</v>
      </c>
      <c r="AH35" s="1"/>
      <c r="AI35" s="1">
        <f t="shared" si="14"/>
        <v>0</v>
      </c>
      <c r="AJ35" s="7">
        <v>6</v>
      </c>
      <c r="AK35" s="9">
        <f t="shared" si="15"/>
        <v>0</v>
      </c>
      <c r="AL35" s="1">
        <f t="shared" si="16"/>
        <v>0</v>
      </c>
      <c r="AM35" s="1">
        <v>14</v>
      </c>
      <c r="AN35" s="1">
        <v>140</v>
      </c>
      <c r="AO35" s="9">
        <f t="shared" si="17"/>
        <v>0</v>
      </c>
      <c r="AP35" s="1"/>
      <c r="AQ35" s="1"/>
      <c r="AR35" s="1"/>
      <c r="AS35" s="1"/>
      <c r="AT35" s="1"/>
      <c r="AU35" s="1"/>
      <c r="AV35" s="1"/>
      <c r="AW35" s="1"/>
      <c r="AX35" s="1"/>
    </row>
    <row r="36" spans="1:50" hidden="1" x14ac:dyDescent="0.25">
      <c r="A36" s="14" t="s">
        <v>101</v>
      </c>
      <c r="B36" s="14" t="s">
        <v>90</v>
      </c>
      <c r="C36" s="14">
        <v>270</v>
      </c>
      <c r="D36" s="14">
        <v>1104</v>
      </c>
      <c r="E36" s="19">
        <v>588</v>
      </c>
      <c r="F36" s="19">
        <v>588</v>
      </c>
      <c r="G36" s="15">
        <v>0</v>
      </c>
      <c r="H36" s="14">
        <v>180</v>
      </c>
      <c r="I36" s="14" t="s">
        <v>52</v>
      </c>
      <c r="J36" s="14" t="s">
        <v>102</v>
      </c>
      <c r="K36" s="14">
        <v>657</v>
      </c>
      <c r="L36" s="14">
        <f t="shared" si="2"/>
        <v>-69</v>
      </c>
      <c r="M36" s="14"/>
      <c r="N36" s="14"/>
      <c r="O36" s="14"/>
      <c r="P36" s="14"/>
      <c r="Q36" s="14">
        <f t="shared" si="3"/>
        <v>117.6</v>
      </c>
      <c r="R36" s="16"/>
      <c r="S36" s="16"/>
      <c r="T36" s="16"/>
      <c r="U36" s="14"/>
      <c r="V36" s="14">
        <f t="shared" si="4"/>
        <v>5</v>
      </c>
      <c r="W36" s="14">
        <f t="shared" si="5"/>
        <v>5</v>
      </c>
      <c r="X36" s="14">
        <v>160.80000000000001</v>
      </c>
      <c r="Y36" s="14">
        <v>31.2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/>
      <c r="AI36" s="14"/>
      <c r="AJ36" s="15"/>
      <c r="AK36" s="17"/>
      <c r="AL36" s="14"/>
      <c r="AM36" s="14"/>
      <c r="AN36" s="14"/>
      <c r="AO36" s="17"/>
      <c r="AP36" s="1"/>
      <c r="AQ36" s="1"/>
      <c r="AR36" s="1"/>
      <c r="AS36" s="1"/>
      <c r="AT36" s="1"/>
      <c r="AU36" s="1"/>
      <c r="AV36" s="1"/>
      <c r="AW36" s="1"/>
      <c r="AX36" s="1"/>
    </row>
    <row r="37" spans="1:50" hidden="1" x14ac:dyDescent="0.25">
      <c r="A37" s="1" t="s">
        <v>102</v>
      </c>
      <c r="B37" s="1" t="s">
        <v>90</v>
      </c>
      <c r="C37" s="1">
        <v>-119</v>
      </c>
      <c r="D37" s="1">
        <v>131</v>
      </c>
      <c r="E37" s="19">
        <f>6+E36</f>
        <v>594</v>
      </c>
      <c r="F37" s="19">
        <f>0+F36</f>
        <v>588</v>
      </c>
      <c r="G37" s="7">
        <v>1</v>
      </c>
      <c r="H37" s="1">
        <v>180</v>
      </c>
      <c r="I37" s="1" t="s">
        <v>103</v>
      </c>
      <c r="J37" s="1"/>
      <c r="K37" s="1">
        <v>36</v>
      </c>
      <c r="L37" s="1">
        <f t="shared" si="2"/>
        <v>558</v>
      </c>
      <c r="M37" s="1"/>
      <c r="N37" s="1"/>
      <c r="O37" s="1">
        <v>1152</v>
      </c>
      <c r="P37" s="1">
        <v>1008</v>
      </c>
      <c r="Q37" s="1">
        <f t="shared" si="3"/>
        <v>118.8</v>
      </c>
      <c r="R37" s="5"/>
      <c r="S37" s="5">
        <v>450</v>
      </c>
      <c r="T37" s="5">
        <f t="shared" ref="T37:T62" si="18">AJ37*AK37</f>
        <v>432</v>
      </c>
      <c r="U37" s="1">
        <v>500</v>
      </c>
      <c r="V37" s="1">
        <f t="shared" si="4"/>
        <v>26.767676767676768</v>
      </c>
      <c r="W37" s="1">
        <f t="shared" si="5"/>
        <v>23.131313131313131</v>
      </c>
      <c r="X37" s="1">
        <v>160.80000000000001</v>
      </c>
      <c r="Y37" s="1">
        <v>138.80000000000001</v>
      </c>
      <c r="Z37" s="1">
        <v>99.6</v>
      </c>
      <c r="AA37" s="1">
        <v>98.6</v>
      </c>
      <c r="AB37" s="1">
        <v>101.4</v>
      </c>
      <c r="AC37" s="1">
        <v>99.4</v>
      </c>
      <c r="AD37" s="1">
        <v>85.799800000000005</v>
      </c>
      <c r="AE37" s="1">
        <v>51.4</v>
      </c>
      <c r="AF37" s="1">
        <v>49.8</v>
      </c>
      <c r="AG37" s="1">
        <v>51.6</v>
      </c>
      <c r="AH37" s="1"/>
      <c r="AI37" s="1">
        <f t="shared" ref="AI37:AI62" si="19">G37*S37</f>
        <v>450</v>
      </c>
      <c r="AJ37" s="7">
        <v>6</v>
      </c>
      <c r="AK37" s="9">
        <f t="shared" ref="AK37:AK62" si="20">MROUND(S37, AJ37*AM37)/AJ37</f>
        <v>72</v>
      </c>
      <c r="AL37" s="1">
        <f t="shared" ref="AL37:AL62" si="21">AK37*AJ37*G37</f>
        <v>432</v>
      </c>
      <c r="AM37" s="1">
        <v>12</v>
      </c>
      <c r="AN37" s="1">
        <v>84</v>
      </c>
      <c r="AO37" s="9">
        <f t="shared" ref="AO37:AO62" si="22">AK37/AN37</f>
        <v>0.8571428571428571</v>
      </c>
      <c r="AP37" s="1"/>
      <c r="AQ37" s="1"/>
      <c r="AR37" s="1"/>
      <c r="AS37" s="1"/>
      <c r="AT37" s="1"/>
      <c r="AU37" s="1"/>
      <c r="AV37" s="1"/>
      <c r="AW37" s="1"/>
      <c r="AX37" s="1"/>
    </row>
    <row r="38" spans="1:50" hidden="1" x14ac:dyDescent="0.25">
      <c r="A38" s="1" t="s">
        <v>104</v>
      </c>
      <c r="B38" s="1" t="s">
        <v>43</v>
      </c>
      <c r="C38" s="1">
        <v>1872</v>
      </c>
      <c r="D38" s="1">
        <v>2155</v>
      </c>
      <c r="E38" s="1">
        <v>453</v>
      </c>
      <c r="F38" s="1">
        <v>1415</v>
      </c>
      <c r="G38" s="7">
        <v>0.23</v>
      </c>
      <c r="H38" s="1">
        <v>180</v>
      </c>
      <c r="I38" s="13" t="s">
        <v>76</v>
      </c>
      <c r="J38" s="1"/>
      <c r="K38" s="1">
        <v>470</v>
      </c>
      <c r="L38" s="1">
        <f t="shared" ref="L38:L69" si="23">E38-K38</f>
        <v>-17</v>
      </c>
      <c r="M38" s="1"/>
      <c r="N38" s="1"/>
      <c r="O38" s="1">
        <v>1008</v>
      </c>
      <c r="P38" s="1"/>
      <c r="Q38" s="1">
        <f t="shared" ref="Q38:Q69" si="24">E38/5</f>
        <v>90.6</v>
      </c>
      <c r="R38" s="5"/>
      <c r="S38" s="5"/>
      <c r="T38" s="5">
        <f t="shared" si="18"/>
        <v>0</v>
      </c>
      <c r="U38" s="1"/>
      <c r="V38" s="1">
        <f t="shared" ref="V38:V69" si="25">(F38+O38+P38+T38)/Q38</f>
        <v>26.743929359823401</v>
      </c>
      <c r="W38" s="1">
        <f t="shared" ref="W38:W69" si="26">(F38+O38+P38)/Q38</f>
        <v>26.743929359823401</v>
      </c>
      <c r="X38" s="1">
        <v>180.2</v>
      </c>
      <c r="Y38" s="1">
        <v>99</v>
      </c>
      <c r="Z38" s="1">
        <v>206</v>
      </c>
      <c r="AA38" s="1">
        <v>45.4</v>
      </c>
      <c r="AB38" s="1">
        <v>70</v>
      </c>
      <c r="AC38" s="1">
        <v>177.4</v>
      </c>
      <c r="AD38" s="1">
        <v>205.4</v>
      </c>
      <c r="AE38" s="1">
        <v>210</v>
      </c>
      <c r="AF38" s="1">
        <v>71.8</v>
      </c>
      <c r="AG38" s="1">
        <v>104.2</v>
      </c>
      <c r="AH38" s="1"/>
      <c r="AI38" s="1">
        <f t="shared" si="19"/>
        <v>0</v>
      </c>
      <c r="AJ38" s="7">
        <v>12</v>
      </c>
      <c r="AK38" s="9">
        <f t="shared" si="20"/>
        <v>0</v>
      </c>
      <c r="AL38" s="1">
        <f t="shared" si="21"/>
        <v>0</v>
      </c>
      <c r="AM38" s="1">
        <v>14</v>
      </c>
      <c r="AN38" s="1">
        <v>70</v>
      </c>
      <c r="AO38" s="9">
        <f t="shared" si="22"/>
        <v>0</v>
      </c>
      <c r="AP38" s="1"/>
      <c r="AQ38" s="1"/>
      <c r="AR38" s="1"/>
      <c r="AS38" s="1"/>
      <c r="AT38" s="1"/>
      <c r="AU38" s="1"/>
      <c r="AV38" s="1"/>
      <c r="AW38" s="1"/>
      <c r="AX38" s="1"/>
    </row>
    <row r="39" spans="1:50" hidden="1" x14ac:dyDescent="0.25">
      <c r="A39" s="1" t="s">
        <v>105</v>
      </c>
      <c r="B39" s="1" t="s">
        <v>43</v>
      </c>
      <c r="C39" s="1">
        <v>1052</v>
      </c>
      <c r="D39" s="1">
        <v>3677</v>
      </c>
      <c r="E39" s="1">
        <v>1376</v>
      </c>
      <c r="F39" s="1">
        <v>1326</v>
      </c>
      <c r="G39" s="7">
        <v>0.25</v>
      </c>
      <c r="H39" s="1">
        <v>365</v>
      </c>
      <c r="I39" s="1" t="s">
        <v>106</v>
      </c>
      <c r="J39" s="1"/>
      <c r="K39" s="1">
        <v>1488</v>
      </c>
      <c r="L39" s="1">
        <f t="shared" si="23"/>
        <v>-112</v>
      </c>
      <c r="M39" s="1"/>
      <c r="N39" s="1"/>
      <c r="O39" s="1">
        <v>672</v>
      </c>
      <c r="P39" s="1">
        <v>840</v>
      </c>
      <c r="Q39" s="1">
        <f t="shared" si="24"/>
        <v>275.2</v>
      </c>
      <c r="R39" s="5">
        <v>1014.7999999999997</v>
      </c>
      <c r="S39" s="5">
        <f t="shared" ref="S39:S40" si="27">14*Q39-P39-O39-F39+Q39*$S$1</f>
        <v>2005.5199999999998</v>
      </c>
      <c r="T39" s="5">
        <f t="shared" si="18"/>
        <v>2016</v>
      </c>
      <c r="U39" s="1"/>
      <c r="V39" s="1">
        <f t="shared" si="25"/>
        <v>17.638081395348838</v>
      </c>
      <c r="W39" s="1">
        <f t="shared" si="26"/>
        <v>10.3125</v>
      </c>
      <c r="X39" s="1">
        <v>263</v>
      </c>
      <c r="Y39" s="1">
        <v>284.2</v>
      </c>
      <c r="Z39" s="1">
        <v>234.8</v>
      </c>
      <c r="AA39" s="1">
        <v>270.39999999999998</v>
      </c>
      <c r="AB39" s="1">
        <v>319.39999999999998</v>
      </c>
      <c r="AC39" s="1">
        <v>267.39999999999998</v>
      </c>
      <c r="AD39" s="1">
        <v>316.39999999999998</v>
      </c>
      <c r="AE39" s="1">
        <v>381</v>
      </c>
      <c r="AF39" s="1">
        <v>260</v>
      </c>
      <c r="AG39" s="1">
        <v>289</v>
      </c>
      <c r="AH39" s="1"/>
      <c r="AI39" s="1">
        <f t="shared" si="19"/>
        <v>501.37999999999994</v>
      </c>
      <c r="AJ39" s="7">
        <v>12</v>
      </c>
      <c r="AK39" s="9">
        <f t="shared" si="20"/>
        <v>168</v>
      </c>
      <c r="AL39" s="1">
        <f t="shared" si="21"/>
        <v>504</v>
      </c>
      <c r="AM39" s="1">
        <v>14</v>
      </c>
      <c r="AN39" s="1">
        <v>70</v>
      </c>
      <c r="AO39" s="9">
        <f t="shared" si="22"/>
        <v>2.4</v>
      </c>
      <c r="AP39" s="1"/>
      <c r="AQ39" s="1"/>
      <c r="AR39" s="1"/>
      <c r="AS39" s="1"/>
      <c r="AT39" s="1"/>
      <c r="AU39" s="1"/>
      <c r="AV39" s="1"/>
      <c r="AW39" s="1"/>
      <c r="AX39" s="1"/>
    </row>
    <row r="40" spans="1:50" hidden="1" x14ac:dyDescent="0.25">
      <c r="A40" s="1" t="s">
        <v>107</v>
      </c>
      <c r="B40" s="1" t="s">
        <v>43</v>
      </c>
      <c r="C40" s="1">
        <v>934</v>
      </c>
      <c r="D40" s="1">
        <v>2750</v>
      </c>
      <c r="E40" s="1">
        <v>912</v>
      </c>
      <c r="F40" s="1">
        <v>664</v>
      </c>
      <c r="G40" s="7">
        <v>0.25</v>
      </c>
      <c r="H40" s="1">
        <v>365</v>
      </c>
      <c r="I40" s="1" t="s">
        <v>108</v>
      </c>
      <c r="J40" s="1"/>
      <c r="K40" s="1">
        <v>982</v>
      </c>
      <c r="L40" s="1">
        <f t="shared" si="23"/>
        <v>-70</v>
      </c>
      <c r="M40" s="1"/>
      <c r="N40" s="1"/>
      <c r="O40" s="1">
        <v>504</v>
      </c>
      <c r="P40" s="1">
        <v>840</v>
      </c>
      <c r="Q40" s="1">
        <f t="shared" si="24"/>
        <v>182.4</v>
      </c>
      <c r="R40" s="5">
        <v>545.59999999999991</v>
      </c>
      <c r="S40" s="5">
        <f t="shared" si="27"/>
        <v>1202.2399999999998</v>
      </c>
      <c r="T40" s="5">
        <f t="shared" si="18"/>
        <v>1176</v>
      </c>
      <c r="U40" s="1"/>
      <c r="V40" s="1">
        <f t="shared" si="25"/>
        <v>17.456140350877192</v>
      </c>
      <c r="W40" s="1">
        <f t="shared" si="26"/>
        <v>11.008771929824562</v>
      </c>
      <c r="X40" s="1">
        <v>187.2</v>
      </c>
      <c r="Y40" s="1">
        <v>206.6</v>
      </c>
      <c r="Z40" s="1">
        <v>186.6</v>
      </c>
      <c r="AA40" s="1">
        <v>274</v>
      </c>
      <c r="AB40" s="1">
        <v>321</v>
      </c>
      <c r="AC40" s="1">
        <v>265.8</v>
      </c>
      <c r="AD40" s="1">
        <v>208.6</v>
      </c>
      <c r="AE40" s="1">
        <v>336</v>
      </c>
      <c r="AF40" s="1">
        <v>163.80000000000001</v>
      </c>
      <c r="AG40" s="1">
        <v>199.2</v>
      </c>
      <c r="AH40" s="1"/>
      <c r="AI40" s="1">
        <f t="shared" si="19"/>
        <v>300.55999999999995</v>
      </c>
      <c r="AJ40" s="7">
        <v>12</v>
      </c>
      <c r="AK40" s="9">
        <f t="shared" si="20"/>
        <v>98</v>
      </c>
      <c r="AL40" s="1">
        <f t="shared" si="21"/>
        <v>294</v>
      </c>
      <c r="AM40" s="1">
        <v>14</v>
      </c>
      <c r="AN40" s="1">
        <v>70</v>
      </c>
      <c r="AO40" s="9">
        <f t="shared" si="22"/>
        <v>1.4</v>
      </c>
      <c r="AP40" s="1"/>
      <c r="AQ40" s="1"/>
      <c r="AR40" s="1"/>
      <c r="AS40" s="1"/>
      <c r="AT40" s="1"/>
      <c r="AU40" s="1"/>
      <c r="AV40" s="1"/>
      <c r="AW40" s="1"/>
      <c r="AX40" s="1"/>
    </row>
    <row r="41" spans="1:50" hidden="1" x14ac:dyDescent="0.25">
      <c r="A41" s="1" t="s">
        <v>109</v>
      </c>
      <c r="B41" s="1" t="s">
        <v>43</v>
      </c>
      <c r="C41" s="1">
        <v>673</v>
      </c>
      <c r="D41" s="1">
        <v>1624</v>
      </c>
      <c r="E41" s="1">
        <v>730</v>
      </c>
      <c r="F41" s="1">
        <v>107</v>
      </c>
      <c r="G41" s="7">
        <v>0.25</v>
      </c>
      <c r="H41" s="1">
        <v>180</v>
      </c>
      <c r="I41" s="1" t="s">
        <v>110</v>
      </c>
      <c r="J41" s="1"/>
      <c r="K41" s="1">
        <v>788</v>
      </c>
      <c r="L41" s="1">
        <f t="shared" si="23"/>
        <v>-58</v>
      </c>
      <c r="M41" s="1"/>
      <c r="N41" s="1"/>
      <c r="O41" s="1">
        <v>672</v>
      </c>
      <c r="P41" s="1">
        <v>840</v>
      </c>
      <c r="Q41" s="1">
        <f t="shared" si="24"/>
        <v>146</v>
      </c>
      <c r="R41" s="5">
        <v>425</v>
      </c>
      <c r="S41" s="5">
        <f t="shared" ref="S41:S43" si="28">15*Q41-P41-O41-F41+Q41*($S$1-1)</f>
        <v>950.6</v>
      </c>
      <c r="T41" s="5">
        <f t="shared" si="18"/>
        <v>1008</v>
      </c>
      <c r="U41" s="1"/>
      <c r="V41" s="1">
        <f t="shared" si="25"/>
        <v>17.993150684931507</v>
      </c>
      <c r="W41" s="1">
        <f t="shared" si="26"/>
        <v>11.08904109589041</v>
      </c>
      <c r="X41" s="1">
        <v>150.4</v>
      </c>
      <c r="Y41" s="1">
        <v>124.8</v>
      </c>
      <c r="Z41" s="1">
        <v>125.4</v>
      </c>
      <c r="AA41" s="1">
        <v>141</v>
      </c>
      <c r="AB41" s="1">
        <v>163.19999999999999</v>
      </c>
      <c r="AC41" s="1">
        <v>128.19999999999999</v>
      </c>
      <c r="AD41" s="1">
        <v>133.80000000000001</v>
      </c>
      <c r="AE41" s="1">
        <v>172.6</v>
      </c>
      <c r="AF41" s="1">
        <v>55.8</v>
      </c>
      <c r="AG41" s="1">
        <v>145</v>
      </c>
      <c r="AH41" s="1"/>
      <c r="AI41" s="1">
        <f t="shared" si="19"/>
        <v>237.65</v>
      </c>
      <c r="AJ41" s="7">
        <v>12</v>
      </c>
      <c r="AK41" s="9">
        <f t="shared" si="20"/>
        <v>84</v>
      </c>
      <c r="AL41" s="1">
        <f t="shared" si="21"/>
        <v>252</v>
      </c>
      <c r="AM41" s="1">
        <v>14</v>
      </c>
      <c r="AN41" s="1">
        <v>70</v>
      </c>
      <c r="AO41" s="9">
        <f t="shared" si="22"/>
        <v>1.2</v>
      </c>
      <c r="AP41" s="1"/>
      <c r="AQ41" s="1"/>
      <c r="AR41" s="1"/>
      <c r="AS41" s="1"/>
      <c r="AT41" s="1"/>
      <c r="AU41" s="1"/>
      <c r="AV41" s="1"/>
      <c r="AW41" s="1"/>
      <c r="AX41" s="1"/>
    </row>
    <row r="42" spans="1:50" hidden="1" x14ac:dyDescent="0.25">
      <c r="A42" s="1" t="s">
        <v>59</v>
      </c>
      <c r="B42" s="1" t="s">
        <v>43</v>
      </c>
      <c r="C42" s="1">
        <v>-3</v>
      </c>
      <c r="D42" s="1">
        <v>182</v>
      </c>
      <c r="E42" s="19">
        <f>167+E12</f>
        <v>335</v>
      </c>
      <c r="F42" s="19">
        <f>0+F12</f>
        <v>210</v>
      </c>
      <c r="G42" s="7">
        <v>0.25</v>
      </c>
      <c r="H42" s="1">
        <v>180</v>
      </c>
      <c r="I42" s="1" t="s">
        <v>111</v>
      </c>
      <c r="J42" s="1"/>
      <c r="K42" s="1">
        <v>176</v>
      </c>
      <c r="L42" s="1">
        <f t="shared" si="23"/>
        <v>159</v>
      </c>
      <c r="M42" s="1"/>
      <c r="N42" s="1"/>
      <c r="O42" s="1">
        <v>840</v>
      </c>
      <c r="P42" s="1"/>
      <c r="Q42" s="1">
        <f t="shared" si="24"/>
        <v>67</v>
      </c>
      <c r="R42" s="5"/>
      <c r="S42" s="5">
        <f t="shared" si="28"/>
        <v>129.20000000000002</v>
      </c>
      <c r="T42" s="5">
        <f t="shared" si="18"/>
        <v>168</v>
      </c>
      <c r="U42" s="1"/>
      <c r="V42" s="1">
        <f t="shared" si="25"/>
        <v>18.17910447761194</v>
      </c>
      <c r="W42" s="1">
        <f t="shared" si="26"/>
        <v>15.671641791044776</v>
      </c>
      <c r="X42" s="1">
        <v>92.8</v>
      </c>
      <c r="Y42" s="1">
        <v>86.2</v>
      </c>
      <c r="Z42" s="1">
        <v>81.400000000000006</v>
      </c>
      <c r="AA42" s="1">
        <v>111.8</v>
      </c>
      <c r="AB42" s="1">
        <v>124.8</v>
      </c>
      <c r="AC42" s="1">
        <v>101</v>
      </c>
      <c r="AD42" s="1">
        <v>89.2</v>
      </c>
      <c r="AE42" s="1">
        <v>128.80000000000001</v>
      </c>
      <c r="AF42" s="1">
        <v>59.8</v>
      </c>
      <c r="AG42" s="1">
        <v>131</v>
      </c>
      <c r="AH42" s="1"/>
      <c r="AI42" s="1">
        <f t="shared" si="19"/>
        <v>32.300000000000004</v>
      </c>
      <c r="AJ42" s="7">
        <v>12</v>
      </c>
      <c r="AK42" s="9">
        <f t="shared" si="20"/>
        <v>14</v>
      </c>
      <c r="AL42" s="1">
        <f t="shared" si="21"/>
        <v>42</v>
      </c>
      <c r="AM42" s="1">
        <v>14</v>
      </c>
      <c r="AN42" s="1">
        <v>70</v>
      </c>
      <c r="AO42" s="9">
        <f t="shared" si="22"/>
        <v>0.2</v>
      </c>
      <c r="AP42" s="1"/>
      <c r="AQ42" s="1"/>
      <c r="AR42" s="1"/>
      <c r="AS42" s="1"/>
      <c r="AT42" s="1"/>
      <c r="AU42" s="1"/>
      <c r="AV42" s="1"/>
      <c r="AW42" s="1"/>
      <c r="AX42" s="1"/>
    </row>
    <row r="43" spans="1:50" hidden="1" x14ac:dyDescent="0.25">
      <c r="A43" s="1" t="s">
        <v>112</v>
      </c>
      <c r="B43" s="1" t="s">
        <v>43</v>
      </c>
      <c r="C43" s="1">
        <v>133</v>
      </c>
      <c r="D43" s="1">
        <v>723</v>
      </c>
      <c r="E43" s="1">
        <v>298</v>
      </c>
      <c r="F43" s="1">
        <v>404</v>
      </c>
      <c r="G43" s="7">
        <v>0.7</v>
      </c>
      <c r="H43" s="1">
        <v>180</v>
      </c>
      <c r="I43" s="1" t="s">
        <v>113</v>
      </c>
      <c r="J43" s="1"/>
      <c r="K43" s="1">
        <v>386</v>
      </c>
      <c r="L43" s="1">
        <f t="shared" si="23"/>
        <v>-88</v>
      </c>
      <c r="M43" s="1"/>
      <c r="N43" s="1"/>
      <c r="O43" s="1">
        <v>480</v>
      </c>
      <c r="P43" s="1"/>
      <c r="Q43" s="1">
        <f t="shared" si="24"/>
        <v>59.6</v>
      </c>
      <c r="R43" s="5"/>
      <c r="S43" s="5">
        <f t="shared" si="28"/>
        <v>164.96</v>
      </c>
      <c r="T43" s="5">
        <f t="shared" si="18"/>
        <v>192</v>
      </c>
      <c r="U43" s="1"/>
      <c r="V43" s="1">
        <f t="shared" si="25"/>
        <v>18.053691275167786</v>
      </c>
      <c r="W43" s="1">
        <f t="shared" si="26"/>
        <v>14.832214765100671</v>
      </c>
      <c r="X43" s="1">
        <v>83.8</v>
      </c>
      <c r="Y43" s="1">
        <v>93.6</v>
      </c>
      <c r="Z43" s="1">
        <v>71.8</v>
      </c>
      <c r="AA43" s="1">
        <v>57.2</v>
      </c>
      <c r="AB43" s="1">
        <v>85.2</v>
      </c>
      <c r="AC43" s="1">
        <v>65</v>
      </c>
      <c r="AD43" s="1">
        <v>68.2</v>
      </c>
      <c r="AE43" s="1">
        <v>69</v>
      </c>
      <c r="AF43" s="1">
        <v>33.4</v>
      </c>
      <c r="AG43" s="1">
        <v>60.6</v>
      </c>
      <c r="AH43" s="1"/>
      <c r="AI43" s="1">
        <f t="shared" si="19"/>
        <v>115.47199999999999</v>
      </c>
      <c r="AJ43" s="7">
        <v>8</v>
      </c>
      <c r="AK43" s="9">
        <f t="shared" si="20"/>
        <v>24</v>
      </c>
      <c r="AL43" s="1">
        <f t="shared" si="21"/>
        <v>134.39999999999998</v>
      </c>
      <c r="AM43" s="1">
        <v>12</v>
      </c>
      <c r="AN43" s="1">
        <v>84</v>
      </c>
      <c r="AO43" s="9">
        <f t="shared" si="22"/>
        <v>0.2857142857142857</v>
      </c>
      <c r="AP43" s="1"/>
      <c r="AQ43" s="1"/>
      <c r="AR43" s="1"/>
      <c r="AS43" s="1"/>
      <c r="AT43" s="1"/>
      <c r="AU43" s="1"/>
      <c r="AV43" s="1"/>
      <c r="AW43" s="1"/>
      <c r="AX43" s="1"/>
    </row>
    <row r="44" spans="1:50" hidden="1" x14ac:dyDescent="0.25">
      <c r="A44" s="1" t="s">
        <v>114</v>
      </c>
      <c r="B44" s="1" t="s">
        <v>43</v>
      </c>
      <c r="C44" s="1">
        <v>441</v>
      </c>
      <c r="D44" s="1">
        <v>19</v>
      </c>
      <c r="E44" s="1">
        <v>225</v>
      </c>
      <c r="F44" s="1">
        <v>223</v>
      </c>
      <c r="G44" s="7">
        <v>0.7</v>
      </c>
      <c r="H44" s="1">
        <v>180</v>
      </c>
      <c r="I44" s="1" t="s">
        <v>115</v>
      </c>
      <c r="J44" s="1"/>
      <c r="K44" s="1">
        <v>241</v>
      </c>
      <c r="L44" s="1">
        <f t="shared" si="23"/>
        <v>-16</v>
      </c>
      <c r="M44" s="1"/>
      <c r="N44" s="1"/>
      <c r="O44" s="1">
        <v>288</v>
      </c>
      <c r="P44" s="1"/>
      <c r="Q44" s="1">
        <f t="shared" si="24"/>
        <v>45</v>
      </c>
      <c r="R44" s="5">
        <v>119</v>
      </c>
      <c r="S44" s="5">
        <f>14*Q44-P44-O44-F44+Q44*$S$1</f>
        <v>281</v>
      </c>
      <c r="T44" s="5">
        <f t="shared" si="18"/>
        <v>288</v>
      </c>
      <c r="U44" s="1"/>
      <c r="V44" s="1">
        <f t="shared" si="25"/>
        <v>17.755555555555556</v>
      </c>
      <c r="W44" s="1">
        <f t="shared" si="26"/>
        <v>11.355555555555556</v>
      </c>
      <c r="X44" s="1">
        <v>47.8</v>
      </c>
      <c r="Y44" s="1">
        <v>21</v>
      </c>
      <c r="Z44" s="1">
        <v>63.6</v>
      </c>
      <c r="AA44" s="1">
        <v>21</v>
      </c>
      <c r="AB44" s="1">
        <v>35</v>
      </c>
      <c r="AC44" s="1">
        <v>30.8</v>
      </c>
      <c r="AD44" s="1">
        <v>48</v>
      </c>
      <c r="AE44" s="1">
        <v>41</v>
      </c>
      <c r="AF44" s="1">
        <v>22.2</v>
      </c>
      <c r="AG44" s="1">
        <v>21.8</v>
      </c>
      <c r="AH44" s="1"/>
      <c r="AI44" s="1">
        <f t="shared" si="19"/>
        <v>196.7</v>
      </c>
      <c r="AJ44" s="7">
        <v>8</v>
      </c>
      <c r="AK44" s="9">
        <f t="shared" si="20"/>
        <v>36</v>
      </c>
      <c r="AL44" s="1">
        <f t="shared" si="21"/>
        <v>201.6</v>
      </c>
      <c r="AM44" s="1">
        <v>12</v>
      </c>
      <c r="AN44" s="1">
        <v>84</v>
      </c>
      <c r="AO44" s="9">
        <f t="shared" si="22"/>
        <v>0.42857142857142855</v>
      </c>
      <c r="AP44" s="1"/>
      <c r="AQ44" s="1"/>
      <c r="AR44" s="1"/>
      <c r="AS44" s="1"/>
      <c r="AT44" s="1"/>
      <c r="AU44" s="1"/>
      <c r="AV44" s="1"/>
      <c r="AW44" s="1"/>
      <c r="AX44" s="1"/>
    </row>
    <row r="45" spans="1:50" hidden="1" x14ac:dyDescent="0.25">
      <c r="A45" s="1" t="s">
        <v>116</v>
      </c>
      <c r="B45" s="1" t="s">
        <v>43</v>
      </c>
      <c r="C45" s="1">
        <v>2</v>
      </c>
      <c r="D45" s="1"/>
      <c r="E45" s="1"/>
      <c r="F45" s="1"/>
      <c r="G45" s="7">
        <v>0.7</v>
      </c>
      <c r="H45" s="1">
        <v>180</v>
      </c>
      <c r="I45" s="1" t="s">
        <v>117</v>
      </c>
      <c r="J45" s="1"/>
      <c r="K45" s="1">
        <v>153</v>
      </c>
      <c r="L45" s="1">
        <f t="shared" si="23"/>
        <v>-153</v>
      </c>
      <c r="M45" s="1"/>
      <c r="N45" s="1"/>
      <c r="O45" s="1">
        <v>0</v>
      </c>
      <c r="P45" s="1"/>
      <c r="Q45" s="1">
        <f t="shared" si="24"/>
        <v>0</v>
      </c>
      <c r="R45" s="22">
        <v>0</v>
      </c>
      <c r="S45" s="22">
        <v>0</v>
      </c>
      <c r="T45" s="22">
        <f t="shared" si="18"/>
        <v>0</v>
      </c>
      <c r="U45" s="23"/>
      <c r="V45" s="1" t="e">
        <f t="shared" si="25"/>
        <v>#DIV/0!</v>
      </c>
      <c r="W45" s="1" t="e">
        <f t="shared" si="26"/>
        <v>#DIV/0!</v>
      </c>
      <c r="X45" s="1">
        <v>0</v>
      </c>
      <c r="Y45" s="1">
        <v>-0.4</v>
      </c>
      <c r="Z45" s="1">
        <v>0</v>
      </c>
      <c r="AA45" s="1">
        <v>0.6</v>
      </c>
      <c r="AB45" s="1">
        <v>0</v>
      </c>
      <c r="AC45" s="1">
        <v>0.2</v>
      </c>
      <c r="AD45" s="1">
        <v>1</v>
      </c>
      <c r="AE45" s="1">
        <v>0</v>
      </c>
      <c r="AF45" s="1">
        <v>2.2000000000000002</v>
      </c>
      <c r="AG45" s="1">
        <v>56.2</v>
      </c>
      <c r="AH45" s="23" t="s">
        <v>82</v>
      </c>
      <c r="AI45" s="1">
        <f t="shared" si="19"/>
        <v>0</v>
      </c>
      <c r="AJ45" s="7">
        <v>8</v>
      </c>
      <c r="AK45" s="9">
        <f t="shared" si="20"/>
        <v>0</v>
      </c>
      <c r="AL45" s="1">
        <f t="shared" si="21"/>
        <v>0</v>
      </c>
      <c r="AM45" s="1">
        <v>12</v>
      </c>
      <c r="AN45" s="1">
        <v>84</v>
      </c>
      <c r="AO45" s="9">
        <f t="shared" si="22"/>
        <v>0</v>
      </c>
      <c r="AP45" s="1"/>
      <c r="AQ45" s="1"/>
      <c r="AR45" s="1"/>
      <c r="AS45" s="1"/>
      <c r="AT45" s="1"/>
      <c r="AU45" s="1"/>
      <c r="AV45" s="1"/>
      <c r="AW45" s="1"/>
      <c r="AX45" s="1"/>
    </row>
    <row r="46" spans="1:50" hidden="1" x14ac:dyDescent="0.25">
      <c r="A46" s="13" t="s">
        <v>118</v>
      </c>
      <c r="B46" s="1" t="s">
        <v>43</v>
      </c>
      <c r="C46" s="1"/>
      <c r="D46" s="1">
        <v>192</v>
      </c>
      <c r="E46" s="1">
        <v>1</v>
      </c>
      <c r="F46" s="1">
        <v>191</v>
      </c>
      <c r="G46" s="7">
        <v>0.4</v>
      </c>
      <c r="H46" s="1">
        <v>180</v>
      </c>
      <c r="I46" s="1" t="s">
        <v>119</v>
      </c>
      <c r="J46" s="1"/>
      <c r="K46" s="1">
        <v>1</v>
      </c>
      <c r="L46" s="1">
        <f t="shared" si="23"/>
        <v>0</v>
      </c>
      <c r="M46" s="1"/>
      <c r="N46" s="1"/>
      <c r="O46" s="1">
        <v>0</v>
      </c>
      <c r="P46" s="1"/>
      <c r="Q46" s="1">
        <f t="shared" si="24"/>
        <v>0.2</v>
      </c>
      <c r="R46" s="5"/>
      <c r="S46" s="5"/>
      <c r="T46" s="5">
        <f t="shared" si="18"/>
        <v>0</v>
      </c>
      <c r="U46" s="1"/>
      <c r="V46" s="1">
        <f t="shared" si="25"/>
        <v>955</v>
      </c>
      <c r="W46" s="1">
        <f t="shared" si="26"/>
        <v>955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 t="s">
        <v>50</v>
      </c>
      <c r="AI46" s="1">
        <f t="shared" si="19"/>
        <v>0</v>
      </c>
      <c r="AJ46" s="7">
        <v>16</v>
      </c>
      <c r="AK46" s="9">
        <f t="shared" si="20"/>
        <v>0</v>
      </c>
      <c r="AL46" s="1">
        <f t="shared" si="21"/>
        <v>0</v>
      </c>
      <c r="AM46" s="1">
        <v>12</v>
      </c>
      <c r="AN46" s="1">
        <v>84</v>
      </c>
      <c r="AO46" s="9">
        <f t="shared" si="22"/>
        <v>0</v>
      </c>
      <c r="AP46" s="1"/>
      <c r="AQ46" s="1"/>
      <c r="AR46" s="1"/>
      <c r="AS46" s="1"/>
      <c r="AT46" s="1"/>
      <c r="AU46" s="1"/>
      <c r="AV46" s="1"/>
      <c r="AW46" s="1"/>
      <c r="AX46" s="1"/>
    </row>
    <row r="47" spans="1:50" hidden="1" x14ac:dyDescent="0.25">
      <c r="A47" s="1" t="s">
        <v>120</v>
      </c>
      <c r="B47" s="1" t="s">
        <v>43</v>
      </c>
      <c r="C47" s="1"/>
      <c r="D47" s="1">
        <v>96</v>
      </c>
      <c r="E47" s="1"/>
      <c r="F47" s="1">
        <v>96</v>
      </c>
      <c r="G47" s="7">
        <v>0.8</v>
      </c>
      <c r="H47" s="1">
        <v>180</v>
      </c>
      <c r="I47" s="1" t="s">
        <v>121</v>
      </c>
      <c r="J47" s="1"/>
      <c r="K47" s="1"/>
      <c r="L47" s="1">
        <f t="shared" si="23"/>
        <v>0</v>
      </c>
      <c r="M47" s="1"/>
      <c r="N47" s="1"/>
      <c r="O47" s="1">
        <v>0</v>
      </c>
      <c r="P47" s="1"/>
      <c r="Q47" s="1">
        <f t="shared" si="24"/>
        <v>0</v>
      </c>
      <c r="R47" s="5"/>
      <c r="S47" s="5"/>
      <c r="T47" s="5">
        <f t="shared" si="18"/>
        <v>0</v>
      </c>
      <c r="U47" s="1"/>
      <c r="V47" s="1" t="e">
        <f t="shared" si="25"/>
        <v>#DIV/0!</v>
      </c>
      <c r="W47" s="1" t="e">
        <f t="shared" si="26"/>
        <v>#DIV/0!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50</v>
      </c>
      <c r="AI47" s="1">
        <f t="shared" si="19"/>
        <v>0</v>
      </c>
      <c r="AJ47" s="7">
        <v>8</v>
      </c>
      <c r="AK47" s="9">
        <f t="shared" si="20"/>
        <v>0</v>
      </c>
      <c r="AL47" s="1">
        <f t="shared" si="21"/>
        <v>0</v>
      </c>
      <c r="AM47" s="1">
        <v>12</v>
      </c>
      <c r="AN47" s="1">
        <v>84</v>
      </c>
      <c r="AO47" s="9">
        <f t="shared" si="22"/>
        <v>0</v>
      </c>
      <c r="AP47" s="1"/>
      <c r="AQ47" s="1"/>
      <c r="AR47" s="1"/>
      <c r="AS47" s="1"/>
      <c r="AT47" s="1"/>
      <c r="AU47" s="1"/>
      <c r="AV47" s="1"/>
      <c r="AW47" s="1"/>
      <c r="AX47" s="1"/>
    </row>
    <row r="48" spans="1:50" hidden="1" x14ac:dyDescent="0.25">
      <c r="A48" s="1" t="s">
        <v>122</v>
      </c>
      <c r="B48" s="1" t="s">
        <v>43</v>
      </c>
      <c r="C48" s="1">
        <v>451</v>
      </c>
      <c r="D48" s="1">
        <v>807</v>
      </c>
      <c r="E48" s="1">
        <v>263</v>
      </c>
      <c r="F48" s="1">
        <v>133</v>
      </c>
      <c r="G48" s="7">
        <v>0.7</v>
      </c>
      <c r="H48" s="1">
        <v>180</v>
      </c>
      <c r="I48" s="1" t="s">
        <v>76</v>
      </c>
      <c r="J48" s="1"/>
      <c r="K48" s="1">
        <v>278</v>
      </c>
      <c r="L48" s="1">
        <f t="shared" si="23"/>
        <v>-15</v>
      </c>
      <c r="M48" s="1"/>
      <c r="N48" s="1"/>
      <c r="O48" s="1">
        <v>480</v>
      </c>
      <c r="P48" s="1"/>
      <c r="Q48" s="1">
        <f t="shared" si="24"/>
        <v>52.6</v>
      </c>
      <c r="R48" s="5">
        <v>123.39999999999998</v>
      </c>
      <c r="S48" s="5">
        <f>15*Q48-P48-O48-F48+Q48*($S$1-1)</f>
        <v>312.76</v>
      </c>
      <c r="T48" s="5">
        <f t="shared" si="18"/>
        <v>360</v>
      </c>
      <c r="U48" s="1"/>
      <c r="V48" s="1">
        <f t="shared" si="25"/>
        <v>18.49809885931559</v>
      </c>
      <c r="W48" s="1">
        <f t="shared" si="26"/>
        <v>11.653992395437262</v>
      </c>
      <c r="X48" s="1">
        <v>65.2</v>
      </c>
      <c r="Y48" s="1">
        <v>26.6</v>
      </c>
      <c r="Z48" s="1">
        <v>73.2</v>
      </c>
      <c r="AA48" s="1">
        <v>17.8</v>
      </c>
      <c r="AB48" s="1">
        <v>22.6</v>
      </c>
      <c r="AC48" s="1">
        <v>57</v>
      </c>
      <c r="AD48" s="1">
        <v>64.599999999999994</v>
      </c>
      <c r="AE48" s="1">
        <v>49.4</v>
      </c>
      <c r="AF48" s="1">
        <v>37.799999999999997</v>
      </c>
      <c r="AG48" s="1">
        <v>41.8</v>
      </c>
      <c r="AH48" s="1"/>
      <c r="AI48" s="1">
        <f t="shared" si="19"/>
        <v>218.93199999999999</v>
      </c>
      <c r="AJ48" s="7">
        <v>10</v>
      </c>
      <c r="AK48" s="9">
        <f t="shared" si="20"/>
        <v>36</v>
      </c>
      <c r="AL48" s="1">
        <f t="shared" si="21"/>
        <v>251.99999999999997</v>
      </c>
      <c r="AM48" s="1">
        <v>12</v>
      </c>
      <c r="AN48" s="1">
        <v>84</v>
      </c>
      <c r="AO48" s="9">
        <f t="shared" si="22"/>
        <v>0.42857142857142855</v>
      </c>
      <c r="AP48" s="1"/>
      <c r="AQ48" s="1"/>
      <c r="AR48" s="1"/>
      <c r="AS48" s="1"/>
      <c r="AT48" s="1"/>
      <c r="AU48" s="1"/>
      <c r="AV48" s="1"/>
      <c r="AW48" s="1"/>
      <c r="AX48" s="1"/>
    </row>
    <row r="49" spans="1:50" hidden="1" x14ac:dyDescent="0.25">
      <c r="A49" s="1" t="s">
        <v>123</v>
      </c>
      <c r="B49" s="1" t="s">
        <v>43</v>
      </c>
      <c r="C49" s="1">
        <v>48</v>
      </c>
      <c r="D49" s="1">
        <v>1755</v>
      </c>
      <c r="E49" s="1">
        <v>178</v>
      </c>
      <c r="F49" s="1">
        <v>792</v>
      </c>
      <c r="G49" s="7">
        <v>0.7</v>
      </c>
      <c r="H49" s="1">
        <v>180</v>
      </c>
      <c r="I49" s="1" t="s">
        <v>124</v>
      </c>
      <c r="J49" s="1"/>
      <c r="K49" s="1">
        <v>298</v>
      </c>
      <c r="L49" s="1">
        <f t="shared" si="23"/>
        <v>-120</v>
      </c>
      <c r="M49" s="1"/>
      <c r="N49" s="1"/>
      <c r="O49" s="1">
        <v>0</v>
      </c>
      <c r="P49" s="1"/>
      <c r="Q49" s="1">
        <f t="shared" si="24"/>
        <v>35.6</v>
      </c>
      <c r="R49" s="5"/>
      <c r="S49" s="5"/>
      <c r="T49" s="5">
        <f t="shared" si="18"/>
        <v>0</v>
      </c>
      <c r="U49" s="1"/>
      <c r="V49" s="1">
        <f t="shared" si="25"/>
        <v>22.247191011235955</v>
      </c>
      <c r="W49" s="1">
        <f t="shared" si="26"/>
        <v>22.247191011235955</v>
      </c>
      <c r="X49" s="1">
        <v>63.8</v>
      </c>
      <c r="Y49" s="1">
        <v>110.6</v>
      </c>
      <c r="Z49" s="1">
        <v>63.8</v>
      </c>
      <c r="AA49" s="1">
        <v>72.400000000000006</v>
      </c>
      <c r="AB49" s="1">
        <v>81.2</v>
      </c>
      <c r="AC49" s="1">
        <v>38.6</v>
      </c>
      <c r="AD49" s="1">
        <v>27</v>
      </c>
      <c r="AE49" s="1">
        <v>138.6</v>
      </c>
      <c r="AF49" s="1">
        <v>47.6</v>
      </c>
      <c r="AG49" s="1">
        <v>76.8</v>
      </c>
      <c r="AH49" s="1"/>
      <c r="AI49" s="1">
        <f t="shared" si="19"/>
        <v>0</v>
      </c>
      <c r="AJ49" s="7">
        <v>10</v>
      </c>
      <c r="AK49" s="9">
        <f t="shared" si="20"/>
        <v>0</v>
      </c>
      <c r="AL49" s="1">
        <f t="shared" si="21"/>
        <v>0</v>
      </c>
      <c r="AM49" s="1">
        <v>12</v>
      </c>
      <c r="AN49" s="1">
        <v>84</v>
      </c>
      <c r="AO49" s="9">
        <f t="shared" si="22"/>
        <v>0</v>
      </c>
      <c r="AP49" s="1"/>
      <c r="AQ49" s="1"/>
      <c r="AR49" s="1"/>
      <c r="AS49" s="1"/>
      <c r="AT49" s="1"/>
      <c r="AU49" s="1"/>
      <c r="AV49" s="1"/>
      <c r="AW49" s="1"/>
      <c r="AX49" s="1"/>
    </row>
    <row r="50" spans="1:50" hidden="1" x14ac:dyDescent="0.25">
      <c r="A50" s="1" t="s">
        <v>125</v>
      </c>
      <c r="B50" s="1" t="s">
        <v>43</v>
      </c>
      <c r="C50" s="1">
        <v>320</v>
      </c>
      <c r="D50" s="1">
        <v>1179</v>
      </c>
      <c r="E50" s="1">
        <v>200</v>
      </c>
      <c r="F50" s="1">
        <v>415</v>
      </c>
      <c r="G50" s="7">
        <v>0.4</v>
      </c>
      <c r="H50" s="1">
        <v>180</v>
      </c>
      <c r="I50" s="1" t="s">
        <v>126</v>
      </c>
      <c r="J50" s="1"/>
      <c r="K50" s="1">
        <v>230</v>
      </c>
      <c r="L50" s="1">
        <f t="shared" si="23"/>
        <v>-30</v>
      </c>
      <c r="M50" s="1"/>
      <c r="N50" s="1"/>
      <c r="O50" s="1">
        <v>0</v>
      </c>
      <c r="P50" s="1"/>
      <c r="Q50" s="1">
        <f t="shared" si="24"/>
        <v>40</v>
      </c>
      <c r="R50" s="5">
        <v>145</v>
      </c>
      <c r="S50" s="5">
        <f>15*Q50-P50-O50-F50+Q50*($S$1-1)</f>
        <v>289</v>
      </c>
      <c r="T50" s="5">
        <f t="shared" si="18"/>
        <v>384</v>
      </c>
      <c r="U50" s="1"/>
      <c r="V50" s="1">
        <f t="shared" si="25"/>
        <v>19.975000000000001</v>
      </c>
      <c r="W50" s="1">
        <f t="shared" si="26"/>
        <v>10.375</v>
      </c>
      <c r="X50" s="1">
        <v>49</v>
      </c>
      <c r="Y50" s="1">
        <v>84.6</v>
      </c>
      <c r="Z50" s="1">
        <v>19.2</v>
      </c>
      <c r="AA50" s="1">
        <v>82</v>
      </c>
      <c r="AB50" s="1">
        <v>87.8</v>
      </c>
      <c r="AC50" s="1">
        <v>60.6</v>
      </c>
      <c r="AD50" s="1">
        <v>50.8</v>
      </c>
      <c r="AE50" s="1">
        <v>35</v>
      </c>
      <c r="AF50" s="1">
        <v>72.8</v>
      </c>
      <c r="AG50" s="1">
        <v>63.4</v>
      </c>
      <c r="AH50" s="1"/>
      <c r="AI50" s="1">
        <f t="shared" si="19"/>
        <v>115.60000000000001</v>
      </c>
      <c r="AJ50" s="7">
        <v>16</v>
      </c>
      <c r="AK50" s="9">
        <f t="shared" si="20"/>
        <v>24</v>
      </c>
      <c r="AL50" s="1">
        <f t="shared" si="21"/>
        <v>153.60000000000002</v>
      </c>
      <c r="AM50" s="1">
        <v>12</v>
      </c>
      <c r="AN50" s="1">
        <v>84</v>
      </c>
      <c r="AO50" s="9">
        <f t="shared" si="22"/>
        <v>0.2857142857142857</v>
      </c>
      <c r="AP50" s="1"/>
      <c r="AQ50" s="1"/>
      <c r="AR50" s="1"/>
      <c r="AS50" s="1"/>
      <c r="AT50" s="1"/>
      <c r="AU50" s="1"/>
      <c r="AV50" s="1"/>
      <c r="AW50" s="1"/>
      <c r="AX50" s="1"/>
    </row>
    <row r="51" spans="1:50" hidden="1" x14ac:dyDescent="0.25">
      <c r="A51" s="1" t="s">
        <v>127</v>
      </c>
      <c r="B51" s="1" t="s">
        <v>43</v>
      </c>
      <c r="C51" s="1">
        <v>578</v>
      </c>
      <c r="D51" s="1">
        <v>1403</v>
      </c>
      <c r="E51" s="1">
        <v>439</v>
      </c>
      <c r="F51" s="1">
        <v>60</v>
      </c>
      <c r="G51" s="7">
        <v>0.7</v>
      </c>
      <c r="H51" s="1">
        <v>180</v>
      </c>
      <c r="I51" s="1" t="s">
        <v>128</v>
      </c>
      <c r="J51" s="1"/>
      <c r="K51" s="1">
        <v>481</v>
      </c>
      <c r="L51" s="1">
        <f t="shared" si="23"/>
        <v>-42</v>
      </c>
      <c r="M51" s="1"/>
      <c r="N51" s="1"/>
      <c r="O51" s="1">
        <v>720</v>
      </c>
      <c r="P51" s="1"/>
      <c r="Q51" s="1">
        <f t="shared" si="24"/>
        <v>87.8</v>
      </c>
      <c r="R51" s="5">
        <v>449.20000000000005</v>
      </c>
      <c r="S51" s="5">
        <f>14*Q51-P51-O51-F51+Q51*$S$1</f>
        <v>765.28</v>
      </c>
      <c r="T51" s="5">
        <f t="shared" si="18"/>
        <v>720</v>
      </c>
      <c r="U51" s="1"/>
      <c r="V51" s="1">
        <f t="shared" si="25"/>
        <v>17.084282460136674</v>
      </c>
      <c r="W51" s="1">
        <f t="shared" si="26"/>
        <v>8.8838268792710711</v>
      </c>
      <c r="X51" s="1">
        <v>87.2</v>
      </c>
      <c r="Y51" s="1">
        <v>83.6</v>
      </c>
      <c r="Z51" s="1">
        <v>89.6</v>
      </c>
      <c r="AA51" s="1">
        <v>84.6</v>
      </c>
      <c r="AB51" s="1">
        <v>111.4</v>
      </c>
      <c r="AC51" s="1">
        <v>97.4</v>
      </c>
      <c r="AD51" s="1">
        <v>77</v>
      </c>
      <c r="AE51" s="1">
        <v>89.4</v>
      </c>
      <c r="AF51" s="1">
        <v>39.200000000000003</v>
      </c>
      <c r="AG51" s="1">
        <v>87.4</v>
      </c>
      <c r="AH51" s="1"/>
      <c r="AI51" s="1">
        <f t="shared" si="19"/>
        <v>535.69599999999991</v>
      </c>
      <c r="AJ51" s="7">
        <v>10</v>
      </c>
      <c r="AK51" s="9">
        <f t="shared" si="20"/>
        <v>72</v>
      </c>
      <c r="AL51" s="1">
        <f t="shared" si="21"/>
        <v>503.99999999999994</v>
      </c>
      <c r="AM51" s="1">
        <v>12</v>
      </c>
      <c r="AN51" s="1">
        <v>84</v>
      </c>
      <c r="AO51" s="9">
        <f t="shared" si="22"/>
        <v>0.8571428571428571</v>
      </c>
      <c r="AP51" s="1"/>
      <c r="AQ51" s="1"/>
      <c r="AR51" s="1"/>
      <c r="AS51" s="1"/>
      <c r="AT51" s="1"/>
      <c r="AU51" s="1"/>
      <c r="AV51" s="1"/>
      <c r="AW51" s="1"/>
      <c r="AX51" s="1"/>
    </row>
    <row r="52" spans="1:50" hidden="1" x14ac:dyDescent="0.25">
      <c r="A52" s="1" t="s">
        <v>129</v>
      </c>
      <c r="B52" s="1" t="s">
        <v>43</v>
      </c>
      <c r="C52" s="1">
        <v>398</v>
      </c>
      <c r="D52" s="1">
        <v>2485</v>
      </c>
      <c r="E52" s="1">
        <v>613</v>
      </c>
      <c r="F52" s="1">
        <v>295</v>
      </c>
      <c r="G52" s="7">
        <v>0.7</v>
      </c>
      <c r="H52" s="1">
        <v>180</v>
      </c>
      <c r="I52" s="1" t="s">
        <v>130</v>
      </c>
      <c r="J52" s="1"/>
      <c r="K52" s="1">
        <v>799</v>
      </c>
      <c r="L52" s="1">
        <f t="shared" si="23"/>
        <v>-186</v>
      </c>
      <c r="M52" s="1"/>
      <c r="N52" s="1"/>
      <c r="O52" s="1">
        <v>840</v>
      </c>
      <c r="P52" s="1">
        <v>840</v>
      </c>
      <c r="Q52" s="1">
        <f t="shared" si="24"/>
        <v>122.6</v>
      </c>
      <c r="R52" s="5"/>
      <c r="S52" s="5">
        <f>15*Q52-P52-O52-F52+Q52*($S$1-1)</f>
        <v>182.76</v>
      </c>
      <c r="T52" s="5">
        <f t="shared" si="18"/>
        <v>240</v>
      </c>
      <c r="U52" s="1"/>
      <c r="V52" s="1">
        <f t="shared" si="25"/>
        <v>18.066884176182707</v>
      </c>
      <c r="W52" s="1">
        <f t="shared" si="26"/>
        <v>16.109298531810769</v>
      </c>
      <c r="X52" s="1">
        <v>171.2</v>
      </c>
      <c r="Y52" s="1">
        <v>158</v>
      </c>
      <c r="Z52" s="1">
        <v>122.4</v>
      </c>
      <c r="AA52" s="1">
        <v>141.80000000000001</v>
      </c>
      <c r="AB52" s="1">
        <v>170.8</v>
      </c>
      <c r="AC52" s="1">
        <v>164.8</v>
      </c>
      <c r="AD52" s="1">
        <v>98.2</v>
      </c>
      <c r="AE52" s="1">
        <v>162.80000000000001</v>
      </c>
      <c r="AF52" s="1">
        <v>154.19999999999999</v>
      </c>
      <c r="AG52" s="1">
        <v>122.6</v>
      </c>
      <c r="AH52" s="1"/>
      <c r="AI52" s="1">
        <f t="shared" si="19"/>
        <v>127.93199999999999</v>
      </c>
      <c r="AJ52" s="7">
        <v>10</v>
      </c>
      <c r="AK52" s="9">
        <f t="shared" si="20"/>
        <v>24</v>
      </c>
      <c r="AL52" s="1">
        <f t="shared" si="21"/>
        <v>168</v>
      </c>
      <c r="AM52" s="1">
        <v>12</v>
      </c>
      <c r="AN52" s="1">
        <v>84</v>
      </c>
      <c r="AO52" s="9">
        <f t="shared" si="22"/>
        <v>0.2857142857142857</v>
      </c>
      <c r="AP52" s="1"/>
      <c r="AQ52" s="1"/>
      <c r="AR52" s="1"/>
      <c r="AS52" s="1"/>
      <c r="AT52" s="1"/>
      <c r="AU52" s="1"/>
      <c r="AV52" s="1"/>
      <c r="AW52" s="1"/>
      <c r="AX52" s="1"/>
    </row>
    <row r="53" spans="1:50" hidden="1" x14ac:dyDescent="0.25">
      <c r="A53" s="1" t="s">
        <v>131</v>
      </c>
      <c r="B53" s="1" t="s">
        <v>90</v>
      </c>
      <c r="C53" s="1">
        <v>645</v>
      </c>
      <c r="D53" s="1">
        <v>655</v>
      </c>
      <c r="E53" s="1">
        <v>575</v>
      </c>
      <c r="F53" s="1">
        <v>505</v>
      </c>
      <c r="G53" s="7">
        <v>1</v>
      </c>
      <c r="H53" s="1">
        <v>180</v>
      </c>
      <c r="I53" s="1" t="s">
        <v>132</v>
      </c>
      <c r="J53" s="1"/>
      <c r="K53" s="1">
        <v>612</v>
      </c>
      <c r="L53" s="1">
        <f t="shared" si="23"/>
        <v>-37</v>
      </c>
      <c r="M53" s="1"/>
      <c r="N53" s="1"/>
      <c r="O53" s="1">
        <v>420</v>
      </c>
      <c r="P53" s="1"/>
      <c r="Q53" s="1">
        <f t="shared" si="24"/>
        <v>115</v>
      </c>
      <c r="R53" s="5">
        <v>685</v>
      </c>
      <c r="S53" s="5">
        <f>14*Q53-P53-O53-F53+Q53*$S$1</f>
        <v>1099</v>
      </c>
      <c r="T53" s="5">
        <f t="shared" si="18"/>
        <v>1080</v>
      </c>
      <c r="U53" s="1"/>
      <c r="V53" s="1">
        <f t="shared" si="25"/>
        <v>17.434782608695652</v>
      </c>
      <c r="W53" s="1">
        <f t="shared" si="26"/>
        <v>8.0434782608695645</v>
      </c>
      <c r="X53" s="1">
        <v>52</v>
      </c>
      <c r="Y53" s="1">
        <v>104</v>
      </c>
      <c r="Z53" s="1">
        <v>88</v>
      </c>
      <c r="AA53" s="1">
        <v>71</v>
      </c>
      <c r="AB53" s="1">
        <v>88</v>
      </c>
      <c r="AC53" s="1">
        <v>102.4</v>
      </c>
      <c r="AD53" s="1">
        <v>82</v>
      </c>
      <c r="AE53" s="1">
        <v>54</v>
      </c>
      <c r="AF53" s="1">
        <v>48</v>
      </c>
      <c r="AG53" s="1">
        <v>55</v>
      </c>
      <c r="AH53" s="1"/>
      <c r="AI53" s="1">
        <f t="shared" si="19"/>
        <v>1099</v>
      </c>
      <c r="AJ53" s="7">
        <v>5</v>
      </c>
      <c r="AK53" s="9">
        <f t="shared" si="20"/>
        <v>216</v>
      </c>
      <c r="AL53" s="1">
        <f t="shared" si="21"/>
        <v>1080</v>
      </c>
      <c r="AM53" s="1">
        <v>12</v>
      </c>
      <c r="AN53" s="1">
        <v>144</v>
      </c>
      <c r="AO53" s="9">
        <f t="shared" si="22"/>
        <v>1.5</v>
      </c>
      <c r="AP53" s="1"/>
      <c r="AQ53" s="1"/>
      <c r="AR53" s="1"/>
      <c r="AS53" s="1"/>
      <c r="AT53" s="1"/>
      <c r="AU53" s="1"/>
      <c r="AV53" s="1"/>
      <c r="AW53" s="1"/>
      <c r="AX53" s="1"/>
    </row>
    <row r="54" spans="1:50" hidden="1" x14ac:dyDescent="0.25">
      <c r="A54" s="1" t="s">
        <v>133</v>
      </c>
      <c r="B54" s="1" t="s">
        <v>43</v>
      </c>
      <c r="C54" s="1">
        <v>350</v>
      </c>
      <c r="D54" s="1">
        <v>1188</v>
      </c>
      <c r="E54" s="1">
        <v>104</v>
      </c>
      <c r="F54" s="1">
        <v>484</v>
      </c>
      <c r="G54" s="7">
        <v>0.4</v>
      </c>
      <c r="H54" s="1">
        <v>180</v>
      </c>
      <c r="I54" s="1" t="s">
        <v>134</v>
      </c>
      <c r="J54" s="1"/>
      <c r="K54" s="1">
        <v>319</v>
      </c>
      <c r="L54" s="1">
        <f t="shared" si="23"/>
        <v>-215</v>
      </c>
      <c r="M54" s="1"/>
      <c r="N54" s="1"/>
      <c r="O54" s="1">
        <v>0</v>
      </c>
      <c r="P54" s="1"/>
      <c r="Q54" s="1">
        <f t="shared" si="24"/>
        <v>20.8</v>
      </c>
      <c r="R54" s="5"/>
      <c r="S54" s="5"/>
      <c r="T54" s="5">
        <f t="shared" si="18"/>
        <v>0</v>
      </c>
      <c r="U54" s="1"/>
      <c r="V54" s="1">
        <f t="shared" si="25"/>
        <v>23.26923076923077</v>
      </c>
      <c r="W54" s="1">
        <f t="shared" si="26"/>
        <v>23.26923076923077</v>
      </c>
      <c r="X54" s="1">
        <v>24.4</v>
      </c>
      <c r="Y54" s="1">
        <v>88.2</v>
      </c>
      <c r="Z54" s="1">
        <v>33.799999999999997</v>
      </c>
      <c r="AA54" s="1">
        <v>84</v>
      </c>
      <c r="AB54" s="1">
        <v>83.6</v>
      </c>
      <c r="AC54" s="1">
        <v>66.599999999999994</v>
      </c>
      <c r="AD54" s="1">
        <v>50</v>
      </c>
      <c r="AE54" s="1">
        <v>50.6</v>
      </c>
      <c r="AF54" s="1">
        <v>104</v>
      </c>
      <c r="AG54" s="1">
        <v>70.8</v>
      </c>
      <c r="AH54" s="20" t="s">
        <v>135</v>
      </c>
      <c r="AI54" s="1">
        <f t="shared" si="19"/>
        <v>0</v>
      </c>
      <c r="AJ54" s="7">
        <v>16</v>
      </c>
      <c r="AK54" s="9">
        <f t="shared" si="20"/>
        <v>0</v>
      </c>
      <c r="AL54" s="1">
        <f t="shared" si="21"/>
        <v>0</v>
      </c>
      <c r="AM54" s="1">
        <v>12</v>
      </c>
      <c r="AN54" s="1">
        <v>84</v>
      </c>
      <c r="AO54" s="9">
        <f t="shared" si="22"/>
        <v>0</v>
      </c>
      <c r="AP54" s="1"/>
      <c r="AQ54" s="1"/>
      <c r="AR54" s="1"/>
      <c r="AS54" s="1"/>
      <c r="AT54" s="1"/>
      <c r="AU54" s="1"/>
      <c r="AV54" s="1"/>
      <c r="AW54" s="1"/>
      <c r="AX54" s="1"/>
    </row>
    <row r="55" spans="1:50" hidden="1" x14ac:dyDescent="0.25">
      <c r="A55" s="1" t="s">
        <v>136</v>
      </c>
      <c r="B55" s="1" t="s">
        <v>43</v>
      </c>
      <c r="C55" s="1">
        <v>1099</v>
      </c>
      <c r="D55" s="1">
        <v>2320</v>
      </c>
      <c r="E55" s="1">
        <v>847</v>
      </c>
      <c r="F55" s="1">
        <v>239</v>
      </c>
      <c r="G55" s="7">
        <v>0.7</v>
      </c>
      <c r="H55" s="1">
        <v>180</v>
      </c>
      <c r="I55" s="1" t="s">
        <v>137</v>
      </c>
      <c r="J55" s="1"/>
      <c r="K55" s="1">
        <v>900</v>
      </c>
      <c r="L55" s="1">
        <f t="shared" si="23"/>
        <v>-53</v>
      </c>
      <c r="M55" s="1"/>
      <c r="N55" s="1"/>
      <c r="O55" s="1">
        <v>1200</v>
      </c>
      <c r="P55" s="1">
        <v>840</v>
      </c>
      <c r="Q55" s="1">
        <f t="shared" si="24"/>
        <v>169.4</v>
      </c>
      <c r="R55" s="5">
        <v>92.599999999999909</v>
      </c>
      <c r="S55" s="5">
        <f t="shared" ref="S55:S60" si="29">14*Q55-P55-O55-F55+Q55*$S$1</f>
        <v>702.43999999999994</v>
      </c>
      <c r="T55" s="5">
        <f t="shared" si="18"/>
        <v>720</v>
      </c>
      <c r="U55" s="1"/>
      <c r="V55" s="1">
        <f t="shared" si="25"/>
        <v>17.70365997638725</v>
      </c>
      <c r="W55" s="1">
        <f t="shared" si="26"/>
        <v>13.45336481700118</v>
      </c>
      <c r="X55" s="1">
        <v>199.4</v>
      </c>
      <c r="Y55" s="1">
        <v>163.19999999999999</v>
      </c>
      <c r="Z55" s="1">
        <v>176</v>
      </c>
      <c r="AA55" s="1">
        <v>178.2</v>
      </c>
      <c r="AB55" s="1">
        <v>185.6</v>
      </c>
      <c r="AC55" s="1">
        <v>172</v>
      </c>
      <c r="AD55" s="1">
        <v>151.19999999999999</v>
      </c>
      <c r="AE55" s="1">
        <v>140.4</v>
      </c>
      <c r="AF55" s="1">
        <v>155.4</v>
      </c>
      <c r="AG55" s="1">
        <v>130.4</v>
      </c>
      <c r="AH55" s="1"/>
      <c r="AI55" s="1">
        <f t="shared" si="19"/>
        <v>491.70799999999991</v>
      </c>
      <c r="AJ55" s="7">
        <v>10</v>
      </c>
      <c r="AK55" s="9">
        <f t="shared" si="20"/>
        <v>72</v>
      </c>
      <c r="AL55" s="1">
        <f t="shared" si="21"/>
        <v>503.99999999999994</v>
      </c>
      <c r="AM55" s="1">
        <v>12</v>
      </c>
      <c r="AN55" s="1">
        <v>84</v>
      </c>
      <c r="AO55" s="9">
        <f t="shared" si="22"/>
        <v>0.8571428571428571</v>
      </c>
      <c r="AP55" s="1"/>
      <c r="AQ55" s="1"/>
      <c r="AR55" s="1"/>
      <c r="AS55" s="1"/>
      <c r="AT55" s="1"/>
      <c r="AU55" s="1"/>
      <c r="AV55" s="1"/>
      <c r="AW55" s="1"/>
      <c r="AX55" s="1"/>
    </row>
    <row r="56" spans="1:50" hidden="1" x14ac:dyDescent="0.25">
      <c r="A56" s="1" t="s">
        <v>138</v>
      </c>
      <c r="B56" s="1" t="s">
        <v>43</v>
      </c>
      <c r="C56" s="1">
        <v>1014</v>
      </c>
      <c r="D56" s="1">
        <v>968</v>
      </c>
      <c r="E56" s="1">
        <v>469</v>
      </c>
      <c r="F56" s="1">
        <v>483</v>
      </c>
      <c r="G56" s="7">
        <v>0.4</v>
      </c>
      <c r="H56" s="1">
        <v>180</v>
      </c>
      <c r="I56" s="1" t="s">
        <v>139</v>
      </c>
      <c r="J56" s="1"/>
      <c r="K56" s="1">
        <v>524</v>
      </c>
      <c r="L56" s="1">
        <f t="shared" si="23"/>
        <v>-55</v>
      </c>
      <c r="M56" s="1"/>
      <c r="N56" s="1"/>
      <c r="O56" s="1">
        <v>192</v>
      </c>
      <c r="P56" s="1"/>
      <c r="Q56" s="1">
        <f t="shared" si="24"/>
        <v>93.8</v>
      </c>
      <c r="R56" s="5">
        <v>638.20000000000005</v>
      </c>
      <c r="S56" s="5">
        <f t="shared" si="29"/>
        <v>975.88000000000011</v>
      </c>
      <c r="T56" s="5">
        <f t="shared" si="18"/>
        <v>960</v>
      </c>
      <c r="U56" s="1"/>
      <c r="V56" s="1">
        <f t="shared" si="25"/>
        <v>17.430703624733475</v>
      </c>
      <c r="W56" s="1">
        <f t="shared" si="26"/>
        <v>7.1961620469083156</v>
      </c>
      <c r="X56" s="1">
        <v>72</v>
      </c>
      <c r="Y56" s="1">
        <v>98.4</v>
      </c>
      <c r="Z56" s="1">
        <v>109.2</v>
      </c>
      <c r="AA56" s="1">
        <v>82.6</v>
      </c>
      <c r="AB56" s="1">
        <v>138.80000000000001</v>
      </c>
      <c r="AC56" s="1">
        <v>138.6</v>
      </c>
      <c r="AD56" s="1">
        <v>105.8</v>
      </c>
      <c r="AE56" s="1">
        <v>111.8</v>
      </c>
      <c r="AF56" s="1">
        <v>57.2</v>
      </c>
      <c r="AG56" s="1">
        <v>104.4</v>
      </c>
      <c r="AH56" s="1"/>
      <c r="AI56" s="1">
        <f t="shared" si="19"/>
        <v>390.35200000000009</v>
      </c>
      <c r="AJ56" s="7">
        <v>16</v>
      </c>
      <c r="AK56" s="9">
        <f t="shared" si="20"/>
        <v>60</v>
      </c>
      <c r="AL56" s="1">
        <f t="shared" si="21"/>
        <v>384</v>
      </c>
      <c r="AM56" s="1">
        <v>12</v>
      </c>
      <c r="AN56" s="1">
        <v>84</v>
      </c>
      <c r="AO56" s="9">
        <f t="shared" si="22"/>
        <v>0.7142857142857143</v>
      </c>
      <c r="AP56" s="1"/>
      <c r="AQ56" s="1"/>
      <c r="AR56" s="1"/>
      <c r="AS56" s="1"/>
      <c r="AT56" s="1"/>
      <c r="AU56" s="1"/>
      <c r="AV56" s="1"/>
      <c r="AW56" s="1"/>
      <c r="AX56" s="1"/>
    </row>
    <row r="57" spans="1:50" hidden="1" x14ac:dyDescent="0.25">
      <c r="A57" s="1" t="s">
        <v>140</v>
      </c>
      <c r="B57" s="1" t="s">
        <v>43</v>
      </c>
      <c r="C57" s="1">
        <v>935</v>
      </c>
      <c r="D57" s="1">
        <v>1694</v>
      </c>
      <c r="E57" s="1">
        <v>830</v>
      </c>
      <c r="F57" s="1">
        <v>412</v>
      </c>
      <c r="G57" s="7">
        <v>0.7</v>
      </c>
      <c r="H57" s="1">
        <v>180</v>
      </c>
      <c r="I57" s="1" t="s">
        <v>141</v>
      </c>
      <c r="J57" s="1"/>
      <c r="K57" s="1">
        <v>883</v>
      </c>
      <c r="L57" s="1">
        <f t="shared" si="23"/>
        <v>-53</v>
      </c>
      <c r="M57" s="1"/>
      <c r="N57" s="1"/>
      <c r="O57" s="1">
        <v>1080</v>
      </c>
      <c r="P57" s="1">
        <v>840</v>
      </c>
      <c r="Q57" s="1">
        <f t="shared" si="24"/>
        <v>166</v>
      </c>
      <c r="R57" s="5"/>
      <c r="S57" s="5">
        <f t="shared" si="29"/>
        <v>589.6</v>
      </c>
      <c r="T57" s="5">
        <f t="shared" si="18"/>
        <v>600</v>
      </c>
      <c r="U57" s="1"/>
      <c r="V57" s="1">
        <f t="shared" si="25"/>
        <v>17.662650602409638</v>
      </c>
      <c r="W57" s="1">
        <f t="shared" si="26"/>
        <v>14.048192771084338</v>
      </c>
      <c r="X57" s="1">
        <v>204.4</v>
      </c>
      <c r="Y57" s="1">
        <v>181.8</v>
      </c>
      <c r="Z57" s="1">
        <v>175.2</v>
      </c>
      <c r="AA57" s="1">
        <v>189.2</v>
      </c>
      <c r="AB57" s="1">
        <v>202.8</v>
      </c>
      <c r="AC57" s="1">
        <v>159</v>
      </c>
      <c r="AD57" s="1">
        <v>192.2</v>
      </c>
      <c r="AE57" s="1">
        <v>148.6</v>
      </c>
      <c r="AF57" s="1">
        <v>182.2</v>
      </c>
      <c r="AG57" s="1">
        <v>154</v>
      </c>
      <c r="AH57" s="1"/>
      <c r="AI57" s="1">
        <f t="shared" si="19"/>
        <v>412.71999999999997</v>
      </c>
      <c r="AJ57" s="7">
        <v>10</v>
      </c>
      <c r="AK57" s="9">
        <f t="shared" si="20"/>
        <v>60</v>
      </c>
      <c r="AL57" s="1">
        <f t="shared" si="21"/>
        <v>420</v>
      </c>
      <c r="AM57" s="1">
        <v>12</v>
      </c>
      <c r="AN57" s="1">
        <v>84</v>
      </c>
      <c r="AO57" s="9">
        <f t="shared" si="22"/>
        <v>0.7142857142857143</v>
      </c>
      <c r="AP57" s="1"/>
      <c r="AQ57" s="1"/>
      <c r="AR57" s="1"/>
      <c r="AS57" s="1"/>
      <c r="AT57" s="1"/>
      <c r="AU57" s="1"/>
      <c r="AV57" s="1"/>
      <c r="AW57" s="1"/>
      <c r="AX57" s="1"/>
    </row>
    <row r="58" spans="1:50" hidden="1" x14ac:dyDescent="0.25">
      <c r="A58" s="1" t="s">
        <v>142</v>
      </c>
      <c r="B58" s="1" t="s">
        <v>43</v>
      </c>
      <c r="C58" s="1">
        <v>740</v>
      </c>
      <c r="D58" s="1">
        <v>340</v>
      </c>
      <c r="E58" s="1">
        <v>342</v>
      </c>
      <c r="F58" s="1">
        <v>676</v>
      </c>
      <c r="G58" s="7">
        <v>0.8</v>
      </c>
      <c r="H58" s="1"/>
      <c r="I58" s="1" t="s">
        <v>143</v>
      </c>
      <c r="J58" s="1"/>
      <c r="K58" s="1">
        <v>350</v>
      </c>
      <c r="L58" s="1">
        <f t="shared" si="23"/>
        <v>-8</v>
      </c>
      <c r="M58" s="1"/>
      <c r="N58" s="1"/>
      <c r="O58" s="1">
        <v>0</v>
      </c>
      <c r="P58" s="1"/>
      <c r="Q58" s="1">
        <f t="shared" si="24"/>
        <v>68.400000000000006</v>
      </c>
      <c r="R58" s="5">
        <v>281.60000000000014</v>
      </c>
      <c r="S58" s="5">
        <f t="shared" si="29"/>
        <v>527.84000000000015</v>
      </c>
      <c r="T58" s="5">
        <f t="shared" si="18"/>
        <v>480</v>
      </c>
      <c r="U58" s="1"/>
      <c r="V58" s="1">
        <f t="shared" si="25"/>
        <v>16.900584795321635</v>
      </c>
      <c r="W58" s="1">
        <f t="shared" si="26"/>
        <v>9.8830409356725131</v>
      </c>
      <c r="X58" s="1">
        <v>61</v>
      </c>
      <c r="Y58" s="1">
        <v>63</v>
      </c>
      <c r="Z58" s="1">
        <v>42</v>
      </c>
      <c r="AA58" s="1">
        <v>56.4</v>
      </c>
      <c r="AB58" s="1">
        <v>77.8</v>
      </c>
      <c r="AC58" s="1">
        <v>74</v>
      </c>
      <c r="AD58" s="1">
        <v>40.200000000000003</v>
      </c>
      <c r="AE58" s="1">
        <v>8.1999999999999993</v>
      </c>
      <c r="AF58" s="1">
        <v>12.4</v>
      </c>
      <c r="AG58" s="1">
        <v>7.2</v>
      </c>
      <c r="AH58" s="1"/>
      <c r="AI58" s="1">
        <f t="shared" si="19"/>
        <v>422.27200000000016</v>
      </c>
      <c r="AJ58" s="7">
        <v>8</v>
      </c>
      <c r="AK58" s="9">
        <f t="shared" si="20"/>
        <v>60</v>
      </c>
      <c r="AL58" s="1">
        <f t="shared" si="21"/>
        <v>384</v>
      </c>
      <c r="AM58" s="1">
        <v>12</v>
      </c>
      <c r="AN58" s="1">
        <v>84</v>
      </c>
      <c r="AO58" s="9">
        <f t="shared" si="22"/>
        <v>0.7142857142857143</v>
      </c>
      <c r="AP58" s="1"/>
      <c r="AQ58" s="1"/>
      <c r="AR58" s="1"/>
      <c r="AS58" s="1"/>
      <c r="AT58" s="1"/>
      <c r="AU58" s="1"/>
      <c r="AV58" s="1"/>
      <c r="AW58" s="1"/>
      <c r="AX58" s="1"/>
    </row>
    <row r="59" spans="1:50" hidden="1" x14ac:dyDescent="0.25">
      <c r="A59" s="1" t="s">
        <v>144</v>
      </c>
      <c r="B59" s="1" t="s">
        <v>43</v>
      </c>
      <c r="C59" s="1">
        <v>774</v>
      </c>
      <c r="D59" s="1">
        <v>554</v>
      </c>
      <c r="E59" s="1">
        <v>670</v>
      </c>
      <c r="F59" s="1">
        <v>3</v>
      </c>
      <c r="G59" s="7">
        <v>1</v>
      </c>
      <c r="H59" s="1">
        <v>180</v>
      </c>
      <c r="I59" s="1" t="s">
        <v>145</v>
      </c>
      <c r="J59" s="1"/>
      <c r="K59" s="1">
        <v>700</v>
      </c>
      <c r="L59" s="1">
        <f t="shared" si="23"/>
        <v>-30</v>
      </c>
      <c r="M59" s="1"/>
      <c r="N59" s="1"/>
      <c r="O59" s="1">
        <v>900</v>
      </c>
      <c r="P59" s="1">
        <v>780</v>
      </c>
      <c r="Q59" s="1">
        <f t="shared" si="24"/>
        <v>134</v>
      </c>
      <c r="R59" s="5">
        <v>193</v>
      </c>
      <c r="S59" s="5">
        <f t="shared" si="29"/>
        <v>675.40000000000009</v>
      </c>
      <c r="T59" s="5">
        <f t="shared" si="18"/>
        <v>660</v>
      </c>
      <c r="U59" s="1"/>
      <c r="V59" s="1">
        <f t="shared" si="25"/>
        <v>17.485074626865671</v>
      </c>
      <c r="W59" s="1">
        <f t="shared" si="26"/>
        <v>12.559701492537313</v>
      </c>
      <c r="X59" s="1">
        <v>153.19999999999999</v>
      </c>
      <c r="Y59" s="1">
        <v>47.6</v>
      </c>
      <c r="Z59" s="1">
        <v>149</v>
      </c>
      <c r="AA59" s="1">
        <v>70</v>
      </c>
      <c r="AB59" s="1">
        <v>64</v>
      </c>
      <c r="AC59" s="1">
        <v>134</v>
      </c>
      <c r="AD59" s="1">
        <v>128.4</v>
      </c>
      <c r="AE59" s="1">
        <v>105.2</v>
      </c>
      <c r="AF59" s="1">
        <v>97</v>
      </c>
      <c r="AG59" s="1">
        <v>118.4</v>
      </c>
      <c r="AH59" s="1"/>
      <c r="AI59" s="1">
        <f t="shared" si="19"/>
        <v>675.40000000000009</v>
      </c>
      <c r="AJ59" s="7">
        <v>5</v>
      </c>
      <c r="AK59" s="9">
        <f t="shared" si="20"/>
        <v>132</v>
      </c>
      <c r="AL59" s="1">
        <f t="shared" si="21"/>
        <v>660</v>
      </c>
      <c r="AM59" s="1">
        <v>12</v>
      </c>
      <c r="AN59" s="1">
        <v>84</v>
      </c>
      <c r="AO59" s="9">
        <f t="shared" si="22"/>
        <v>1.5714285714285714</v>
      </c>
      <c r="AP59" s="1"/>
      <c r="AQ59" s="1"/>
      <c r="AR59" s="1"/>
      <c r="AS59" s="1"/>
      <c r="AT59" s="1"/>
      <c r="AU59" s="1"/>
      <c r="AV59" s="1"/>
      <c r="AW59" s="1"/>
      <c r="AX59" s="1"/>
    </row>
    <row r="60" spans="1:50" hidden="1" x14ac:dyDescent="0.25">
      <c r="A60" s="1" t="s">
        <v>146</v>
      </c>
      <c r="B60" s="1" t="s">
        <v>43</v>
      </c>
      <c r="C60" s="1">
        <v>110</v>
      </c>
      <c r="D60" s="1">
        <v>10</v>
      </c>
      <c r="E60" s="1">
        <v>74</v>
      </c>
      <c r="F60" s="1">
        <v>18</v>
      </c>
      <c r="G60" s="7">
        <v>0.9</v>
      </c>
      <c r="H60" s="1">
        <v>180</v>
      </c>
      <c r="I60" s="1" t="s">
        <v>147</v>
      </c>
      <c r="J60" s="1"/>
      <c r="K60" s="1">
        <v>75</v>
      </c>
      <c r="L60" s="1">
        <f t="shared" si="23"/>
        <v>-1</v>
      </c>
      <c r="M60" s="1"/>
      <c r="N60" s="1"/>
      <c r="O60" s="1">
        <v>96</v>
      </c>
      <c r="P60" s="1"/>
      <c r="Q60" s="1">
        <f t="shared" si="24"/>
        <v>14.8</v>
      </c>
      <c r="R60" s="5">
        <v>93.200000000000017</v>
      </c>
      <c r="S60" s="5">
        <f t="shared" si="29"/>
        <v>146.48000000000002</v>
      </c>
      <c r="T60" s="5">
        <f t="shared" si="18"/>
        <v>192</v>
      </c>
      <c r="U60" s="1"/>
      <c r="V60" s="1">
        <f t="shared" si="25"/>
        <v>20.675675675675674</v>
      </c>
      <c r="W60" s="1">
        <f t="shared" si="26"/>
        <v>7.7027027027027026</v>
      </c>
      <c r="X60" s="1">
        <v>17.600000000000001</v>
      </c>
      <c r="Y60" s="1">
        <v>15.4</v>
      </c>
      <c r="Z60" s="1">
        <v>17.600000000000001</v>
      </c>
      <c r="AA60" s="1">
        <v>17</v>
      </c>
      <c r="AB60" s="1">
        <v>21</v>
      </c>
      <c r="AC60" s="1">
        <v>25.2</v>
      </c>
      <c r="AD60" s="1">
        <v>28</v>
      </c>
      <c r="AE60" s="1">
        <v>25.4</v>
      </c>
      <c r="AF60" s="1">
        <v>20.399999999999999</v>
      </c>
      <c r="AG60" s="1">
        <v>28.2</v>
      </c>
      <c r="AH60" s="1"/>
      <c r="AI60" s="1">
        <f t="shared" si="19"/>
        <v>131.83200000000002</v>
      </c>
      <c r="AJ60" s="7">
        <v>8</v>
      </c>
      <c r="AK60" s="9">
        <f t="shared" si="20"/>
        <v>24</v>
      </c>
      <c r="AL60" s="1">
        <f t="shared" si="21"/>
        <v>172.8</v>
      </c>
      <c r="AM60" s="1">
        <v>12</v>
      </c>
      <c r="AN60" s="1">
        <v>84</v>
      </c>
      <c r="AO60" s="9">
        <f t="shared" si="22"/>
        <v>0.2857142857142857</v>
      </c>
      <c r="AP60" s="1"/>
      <c r="AQ60" s="1"/>
      <c r="AR60" s="1"/>
      <c r="AS60" s="1"/>
      <c r="AT60" s="1"/>
      <c r="AU60" s="1"/>
      <c r="AV60" s="1"/>
      <c r="AW60" s="1"/>
      <c r="AX60" s="1"/>
    </row>
    <row r="61" spans="1:50" hidden="1" x14ac:dyDescent="0.25">
      <c r="A61" s="1" t="s">
        <v>148</v>
      </c>
      <c r="B61" s="1" t="s">
        <v>90</v>
      </c>
      <c r="C61" s="1">
        <v>65</v>
      </c>
      <c r="D61" s="1">
        <v>45</v>
      </c>
      <c r="E61" s="1"/>
      <c r="F61" s="1"/>
      <c r="G61" s="7">
        <v>1</v>
      </c>
      <c r="H61" s="1">
        <v>180</v>
      </c>
      <c r="I61" s="1" t="s">
        <v>149</v>
      </c>
      <c r="J61" s="1"/>
      <c r="K61" s="1">
        <v>50</v>
      </c>
      <c r="L61" s="1">
        <f t="shared" si="23"/>
        <v>-50</v>
      </c>
      <c r="M61" s="1"/>
      <c r="N61" s="1"/>
      <c r="O61" s="1">
        <v>240</v>
      </c>
      <c r="P61" s="1"/>
      <c r="Q61" s="1">
        <f t="shared" si="24"/>
        <v>0</v>
      </c>
      <c r="R61" s="5"/>
      <c r="S61" s="5"/>
      <c r="T61" s="5">
        <f t="shared" si="18"/>
        <v>0</v>
      </c>
      <c r="U61" s="1"/>
      <c r="V61" s="1" t="e">
        <f t="shared" si="25"/>
        <v>#DIV/0!</v>
      </c>
      <c r="W61" s="1" t="e">
        <f t="shared" si="26"/>
        <v>#DIV/0!</v>
      </c>
      <c r="X61" s="1">
        <v>27</v>
      </c>
      <c r="Y61" s="1">
        <v>15</v>
      </c>
      <c r="Z61" s="1">
        <v>21</v>
      </c>
      <c r="AA61" s="1">
        <v>19</v>
      </c>
      <c r="AB61" s="1">
        <v>4</v>
      </c>
      <c r="AC61" s="1">
        <v>16</v>
      </c>
      <c r="AD61" s="1">
        <v>34</v>
      </c>
      <c r="AE61" s="1">
        <v>27.611999999999998</v>
      </c>
      <c r="AF61" s="1">
        <v>29</v>
      </c>
      <c r="AG61" s="1">
        <v>39</v>
      </c>
      <c r="AH61" s="13" t="s">
        <v>192</v>
      </c>
      <c r="AI61" s="1">
        <f t="shared" si="19"/>
        <v>0</v>
      </c>
      <c r="AJ61" s="7">
        <v>5</v>
      </c>
      <c r="AK61" s="9">
        <f t="shared" si="20"/>
        <v>0</v>
      </c>
      <c r="AL61" s="1">
        <f t="shared" si="21"/>
        <v>0</v>
      </c>
      <c r="AM61" s="1">
        <v>12</v>
      </c>
      <c r="AN61" s="1">
        <v>144</v>
      </c>
      <c r="AO61" s="9">
        <f t="shared" si="22"/>
        <v>0</v>
      </c>
      <c r="AP61" s="1"/>
      <c r="AQ61" s="1"/>
      <c r="AR61" s="1"/>
      <c r="AS61" s="1"/>
      <c r="AT61" s="1"/>
      <c r="AU61" s="1"/>
      <c r="AV61" s="1"/>
      <c r="AW61" s="1"/>
      <c r="AX61" s="1"/>
    </row>
    <row r="62" spans="1:50" hidden="1" x14ac:dyDescent="0.25">
      <c r="A62" s="1" t="s">
        <v>150</v>
      </c>
      <c r="B62" s="1" t="s">
        <v>43</v>
      </c>
      <c r="C62" s="1"/>
      <c r="D62" s="1"/>
      <c r="E62" s="19">
        <f>0+E63</f>
        <v>289</v>
      </c>
      <c r="F62" s="19">
        <f>0+F63</f>
        <v>758</v>
      </c>
      <c r="G62" s="7">
        <v>1</v>
      </c>
      <c r="H62" s="1">
        <v>180</v>
      </c>
      <c r="I62" s="1" t="s">
        <v>151</v>
      </c>
      <c r="J62" s="1"/>
      <c r="K62" s="1"/>
      <c r="L62" s="1">
        <f t="shared" si="23"/>
        <v>289</v>
      </c>
      <c r="M62" s="1"/>
      <c r="N62" s="1"/>
      <c r="O62" s="1">
        <v>0</v>
      </c>
      <c r="P62" s="1"/>
      <c r="Q62" s="1">
        <f t="shared" si="24"/>
        <v>57.8</v>
      </c>
      <c r="R62" s="5">
        <v>51.199999999999932</v>
      </c>
      <c r="S62" s="5">
        <f>14*Q62-P62-O62-F62+Q62*$S$1</f>
        <v>259.27999999999992</v>
      </c>
      <c r="T62" s="5">
        <f t="shared" si="18"/>
        <v>240</v>
      </c>
      <c r="U62" s="1"/>
      <c r="V62" s="1">
        <f t="shared" si="25"/>
        <v>17.26643598615917</v>
      </c>
      <c r="W62" s="1">
        <f t="shared" si="26"/>
        <v>13.114186851211073</v>
      </c>
      <c r="X62" s="1">
        <v>57</v>
      </c>
      <c r="Y62" s="1">
        <v>49.8</v>
      </c>
      <c r="Z62" s="1">
        <v>12.2</v>
      </c>
      <c r="AA62" s="1">
        <v>69.2</v>
      </c>
      <c r="AB62" s="1">
        <v>62</v>
      </c>
      <c r="AC62" s="1">
        <v>26.8</v>
      </c>
      <c r="AD62" s="1">
        <v>11.4</v>
      </c>
      <c r="AE62" s="1">
        <v>1.6</v>
      </c>
      <c r="AF62" s="1">
        <v>1.4</v>
      </c>
      <c r="AG62" s="1">
        <v>2.2000000000000002</v>
      </c>
      <c r="AH62" s="1"/>
      <c r="AI62" s="1">
        <f t="shared" si="19"/>
        <v>259.27999999999992</v>
      </c>
      <c r="AJ62" s="7">
        <v>5</v>
      </c>
      <c r="AK62" s="9">
        <f t="shared" si="20"/>
        <v>48</v>
      </c>
      <c r="AL62" s="1">
        <f t="shared" si="21"/>
        <v>240</v>
      </c>
      <c r="AM62" s="1">
        <v>12</v>
      </c>
      <c r="AN62" s="1">
        <v>84</v>
      </c>
      <c r="AO62" s="9">
        <f t="shared" si="22"/>
        <v>0.5714285714285714</v>
      </c>
      <c r="AP62" s="1"/>
      <c r="AQ62" s="1"/>
      <c r="AR62" s="1"/>
      <c r="AS62" s="1"/>
      <c r="AT62" s="1"/>
      <c r="AU62" s="1"/>
      <c r="AV62" s="1"/>
      <c r="AW62" s="1"/>
      <c r="AX62" s="1"/>
    </row>
    <row r="63" spans="1:50" hidden="1" x14ac:dyDescent="0.25">
      <c r="A63" s="14" t="s">
        <v>152</v>
      </c>
      <c r="B63" s="14" t="s">
        <v>43</v>
      </c>
      <c r="C63" s="14">
        <v>1012</v>
      </c>
      <c r="D63" s="14">
        <v>42</v>
      </c>
      <c r="E63" s="19">
        <v>289</v>
      </c>
      <c r="F63" s="19">
        <v>758</v>
      </c>
      <c r="G63" s="15">
        <v>0</v>
      </c>
      <c r="H63" s="14">
        <v>180</v>
      </c>
      <c r="I63" s="14" t="s">
        <v>52</v>
      </c>
      <c r="J63" s="14" t="s">
        <v>150</v>
      </c>
      <c r="K63" s="14">
        <v>296</v>
      </c>
      <c r="L63" s="14">
        <f t="shared" si="23"/>
        <v>-7</v>
      </c>
      <c r="M63" s="14"/>
      <c r="N63" s="14"/>
      <c r="O63" s="14"/>
      <c r="P63" s="14"/>
      <c r="Q63" s="14">
        <f t="shared" si="24"/>
        <v>57.8</v>
      </c>
      <c r="R63" s="16"/>
      <c r="S63" s="16"/>
      <c r="T63" s="16"/>
      <c r="U63" s="14"/>
      <c r="V63" s="14">
        <f t="shared" si="25"/>
        <v>13.114186851211073</v>
      </c>
      <c r="W63" s="14">
        <f t="shared" si="26"/>
        <v>13.114186851211073</v>
      </c>
      <c r="X63" s="14">
        <v>57</v>
      </c>
      <c r="Y63" s="14">
        <v>49.8</v>
      </c>
      <c r="Z63" s="14">
        <v>7</v>
      </c>
      <c r="AA63" s="14">
        <v>5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/>
      <c r="AI63" s="14"/>
      <c r="AJ63" s="15"/>
      <c r="AK63" s="17"/>
      <c r="AL63" s="14"/>
      <c r="AM63" s="14"/>
      <c r="AN63" s="14"/>
      <c r="AO63" s="17"/>
      <c r="AP63" s="1"/>
      <c r="AQ63" s="1"/>
      <c r="AR63" s="1"/>
      <c r="AS63" s="1"/>
      <c r="AT63" s="1"/>
      <c r="AU63" s="1"/>
      <c r="AV63" s="1"/>
      <c r="AW63" s="1"/>
      <c r="AX63" s="1"/>
    </row>
    <row r="64" spans="1:50" hidden="1" x14ac:dyDescent="0.25">
      <c r="A64" s="13" t="s">
        <v>153</v>
      </c>
      <c r="B64" s="1" t="s">
        <v>90</v>
      </c>
      <c r="C64" s="1">
        <v>95.9</v>
      </c>
      <c r="D64" s="1">
        <v>33.6</v>
      </c>
      <c r="E64" s="19">
        <f>88.8+E65</f>
        <v>129.5</v>
      </c>
      <c r="F64" s="19">
        <f>0+F65</f>
        <v>10.3</v>
      </c>
      <c r="G64" s="7">
        <v>1</v>
      </c>
      <c r="H64" s="1">
        <v>180</v>
      </c>
      <c r="I64" s="1" t="s">
        <v>154</v>
      </c>
      <c r="J64" s="1"/>
      <c r="K64" s="1">
        <v>88.8</v>
      </c>
      <c r="L64" s="1">
        <f t="shared" si="23"/>
        <v>40.700000000000003</v>
      </c>
      <c r="M64" s="1"/>
      <c r="N64" s="1"/>
      <c r="O64" s="1">
        <v>207.2</v>
      </c>
      <c r="P64" s="1"/>
      <c r="Q64" s="1">
        <f t="shared" si="24"/>
        <v>25.9</v>
      </c>
      <c r="R64" s="5">
        <v>145.09999999999997</v>
      </c>
      <c r="S64" s="5">
        <f>15*Q64-P64-O64-F64+Q64*($S$1-1)</f>
        <v>238.34</v>
      </c>
      <c r="T64" s="5">
        <f>AJ64*AK64</f>
        <v>259</v>
      </c>
      <c r="U64" s="1"/>
      <c r="V64" s="1">
        <f t="shared" si="25"/>
        <v>18.397683397683398</v>
      </c>
      <c r="W64" s="1">
        <f t="shared" si="26"/>
        <v>8.397683397683398</v>
      </c>
      <c r="X64" s="1">
        <v>25.14</v>
      </c>
      <c r="Y64" s="1">
        <v>23.68</v>
      </c>
      <c r="Z64" s="1">
        <v>12.58</v>
      </c>
      <c r="AA64" s="1">
        <v>31.08</v>
      </c>
      <c r="AB64" s="1">
        <v>28.12</v>
      </c>
      <c r="AC64" s="1">
        <v>16.28</v>
      </c>
      <c r="AD64" s="1">
        <v>29.6</v>
      </c>
      <c r="AE64" s="1">
        <v>25.92</v>
      </c>
      <c r="AF64" s="1">
        <v>22.2</v>
      </c>
      <c r="AG64" s="1">
        <v>19.98</v>
      </c>
      <c r="AH64" s="1"/>
      <c r="AI64" s="1">
        <f>G64*S64</f>
        <v>238.34</v>
      </c>
      <c r="AJ64" s="7">
        <v>3.7</v>
      </c>
      <c r="AK64" s="9">
        <f>MROUND(S64, AJ64*AM64)/AJ64</f>
        <v>70</v>
      </c>
      <c r="AL64" s="1">
        <f>AK64*AJ64*G64</f>
        <v>259</v>
      </c>
      <c r="AM64" s="1">
        <v>14</v>
      </c>
      <c r="AN64" s="1">
        <v>126</v>
      </c>
      <c r="AO64" s="9">
        <f>AK64/AN64</f>
        <v>0.55555555555555558</v>
      </c>
      <c r="AP64" s="1"/>
      <c r="AQ64" s="1"/>
      <c r="AR64" s="1"/>
      <c r="AS64" s="1"/>
      <c r="AT64" s="1"/>
      <c r="AU64" s="1"/>
      <c r="AV64" s="1"/>
      <c r="AW64" s="1"/>
      <c r="AX64" s="1"/>
    </row>
    <row r="65" spans="1:50" hidden="1" x14ac:dyDescent="0.25">
      <c r="A65" s="14" t="s">
        <v>155</v>
      </c>
      <c r="B65" s="14" t="s">
        <v>90</v>
      </c>
      <c r="C65" s="14"/>
      <c r="D65" s="14">
        <v>51.8</v>
      </c>
      <c r="E65" s="19">
        <v>40.700000000000003</v>
      </c>
      <c r="F65" s="19">
        <v>10.3</v>
      </c>
      <c r="G65" s="15">
        <v>0</v>
      </c>
      <c r="H65" s="14">
        <v>180</v>
      </c>
      <c r="I65" s="18" t="s">
        <v>52</v>
      </c>
      <c r="J65" s="14" t="s">
        <v>153</v>
      </c>
      <c r="K65" s="14">
        <v>43.3</v>
      </c>
      <c r="L65" s="14">
        <f t="shared" si="23"/>
        <v>-2.5999999999999943</v>
      </c>
      <c r="M65" s="14"/>
      <c r="N65" s="14"/>
      <c r="O65" s="14"/>
      <c r="P65" s="14"/>
      <c r="Q65" s="14">
        <f t="shared" si="24"/>
        <v>8.14</v>
      </c>
      <c r="R65" s="16"/>
      <c r="S65" s="16"/>
      <c r="T65" s="16"/>
      <c r="U65" s="14"/>
      <c r="V65" s="14">
        <f t="shared" si="25"/>
        <v>1.2653562653562653</v>
      </c>
      <c r="W65" s="14">
        <f t="shared" si="26"/>
        <v>1.2653562653562653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/>
      <c r="AI65" s="14">
        <f>G65*S65</f>
        <v>0</v>
      </c>
      <c r="AJ65" s="15"/>
      <c r="AK65" s="17"/>
      <c r="AL65" s="14"/>
      <c r="AM65" s="14"/>
      <c r="AN65" s="14"/>
      <c r="AO65" s="17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4" t="s">
        <v>156</v>
      </c>
      <c r="B66" s="14" t="s">
        <v>43</v>
      </c>
      <c r="C66" s="14">
        <v>166</v>
      </c>
      <c r="D66" s="14">
        <v>5</v>
      </c>
      <c r="E66" s="19">
        <v>50</v>
      </c>
      <c r="F66" s="19">
        <v>-2</v>
      </c>
      <c r="G66" s="15">
        <v>0</v>
      </c>
      <c r="H66" s="14">
        <v>180</v>
      </c>
      <c r="I66" s="14" t="s">
        <v>52</v>
      </c>
      <c r="J66" s="14" t="s">
        <v>54</v>
      </c>
      <c r="K66" s="14">
        <v>55</v>
      </c>
      <c r="L66" s="14">
        <f t="shared" si="23"/>
        <v>-5</v>
      </c>
      <c r="M66" s="14"/>
      <c r="N66" s="14"/>
      <c r="O66" s="14"/>
      <c r="P66" s="14"/>
      <c r="Q66" s="14">
        <f t="shared" si="24"/>
        <v>10</v>
      </c>
      <c r="R66" s="16"/>
      <c r="S66" s="16"/>
      <c r="T66" s="16"/>
      <c r="U66" s="14"/>
      <c r="V66" s="14">
        <f t="shared" si="25"/>
        <v>-0.2</v>
      </c>
      <c r="W66" s="14">
        <f t="shared" si="26"/>
        <v>-0.2</v>
      </c>
      <c r="X66" s="14">
        <v>0.4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/>
      <c r="AI66" s="14"/>
      <c r="AJ66" s="15"/>
      <c r="AK66" s="17"/>
      <c r="AL66" s="14"/>
      <c r="AM66" s="14"/>
      <c r="AN66" s="14"/>
      <c r="AO66" s="17"/>
      <c r="AP66" s="1"/>
      <c r="AQ66" s="1"/>
      <c r="AR66" s="1"/>
      <c r="AS66" s="1"/>
      <c r="AT66" s="1"/>
      <c r="AU66" s="1"/>
      <c r="AV66" s="1"/>
      <c r="AW66" s="1"/>
      <c r="AX66" s="1"/>
    </row>
    <row r="67" spans="1:50" hidden="1" x14ac:dyDescent="0.25">
      <c r="A67" s="14" t="s">
        <v>157</v>
      </c>
      <c r="B67" s="14" t="s">
        <v>43</v>
      </c>
      <c r="C67" s="14">
        <v>496</v>
      </c>
      <c r="D67" s="14">
        <v>490</v>
      </c>
      <c r="E67" s="19">
        <v>197</v>
      </c>
      <c r="F67" s="19">
        <v>270</v>
      </c>
      <c r="G67" s="15">
        <v>0</v>
      </c>
      <c r="H67" s="14">
        <v>180</v>
      </c>
      <c r="I67" s="14" t="s">
        <v>52</v>
      </c>
      <c r="J67" s="14" t="s">
        <v>64</v>
      </c>
      <c r="K67" s="14">
        <v>224</v>
      </c>
      <c r="L67" s="14">
        <f t="shared" si="23"/>
        <v>-27</v>
      </c>
      <c r="M67" s="14"/>
      <c r="N67" s="14"/>
      <c r="O67" s="14"/>
      <c r="P67" s="14"/>
      <c r="Q67" s="14">
        <f t="shared" si="24"/>
        <v>39.4</v>
      </c>
      <c r="R67" s="16"/>
      <c r="S67" s="16"/>
      <c r="T67" s="16"/>
      <c r="U67" s="14"/>
      <c r="V67" s="14">
        <f t="shared" si="25"/>
        <v>6.8527918781725887</v>
      </c>
      <c r="W67" s="14">
        <f t="shared" si="26"/>
        <v>6.8527918781725887</v>
      </c>
      <c r="X67" s="14">
        <v>1.6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/>
      <c r="AI67" s="14"/>
      <c r="AJ67" s="15"/>
      <c r="AK67" s="17"/>
      <c r="AL67" s="14"/>
      <c r="AM67" s="14"/>
      <c r="AN67" s="14"/>
      <c r="AO67" s="17"/>
      <c r="AP67" s="1"/>
      <c r="AQ67" s="1"/>
      <c r="AR67" s="1"/>
      <c r="AS67" s="1"/>
      <c r="AT67" s="1"/>
      <c r="AU67" s="1"/>
      <c r="AV67" s="1"/>
      <c r="AW67" s="1"/>
      <c r="AX67" s="1"/>
    </row>
    <row r="68" spans="1:50" hidden="1" x14ac:dyDescent="0.25">
      <c r="A68" s="14" t="s">
        <v>158</v>
      </c>
      <c r="B68" s="14" t="s">
        <v>43</v>
      </c>
      <c r="C68" s="14">
        <v>979</v>
      </c>
      <c r="D68" s="14">
        <v>68</v>
      </c>
      <c r="E68" s="19">
        <v>236</v>
      </c>
      <c r="F68" s="19">
        <v>537</v>
      </c>
      <c r="G68" s="15">
        <v>0</v>
      </c>
      <c r="H68" s="14">
        <v>180</v>
      </c>
      <c r="I68" s="14" t="s">
        <v>52</v>
      </c>
      <c r="J68" s="14" t="s">
        <v>159</v>
      </c>
      <c r="K68" s="14">
        <v>258</v>
      </c>
      <c r="L68" s="14">
        <f t="shared" si="23"/>
        <v>-22</v>
      </c>
      <c r="M68" s="14"/>
      <c r="N68" s="14"/>
      <c r="O68" s="14"/>
      <c r="P68" s="14"/>
      <c r="Q68" s="14">
        <f t="shared" si="24"/>
        <v>47.2</v>
      </c>
      <c r="R68" s="16"/>
      <c r="S68" s="16"/>
      <c r="T68" s="16"/>
      <c r="U68" s="14"/>
      <c r="V68" s="14">
        <f t="shared" si="25"/>
        <v>11.377118644067796</v>
      </c>
      <c r="W68" s="14">
        <f t="shared" si="26"/>
        <v>11.377118644067796</v>
      </c>
      <c r="X68" s="14">
        <v>4.5999999999999996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/>
      <c r="AI68" s="14"/>
      <c r="AJ68" s="15"/>
      <c r="AK68" s="17"/>
      <c r="AL68" s="14"/>
      <c r="AM68" s="14"/>
      <c r="AN68" s="14"/>
      <c r="AO68" s="17"/>
      <c r="AP68" s="1"/>
      <c r="AQ68" s="1"/>
      <c r="AR68" s="1"/>
      <c r="AS68" s="1"/>
      <c r="AT68" s="1"/>
      <c r="AU68" s="1"/>
      <c r="AV68" s="1"/>
      <c r="AW68" s="1"/>
      <c r="AX68" s="1"/>
    </row>
    <row r="69" spans="1:50" hidden="1" x14ac:dyDescent="0.25">
      <c r="A69" s="14" t="s">
        <v>160</v>
      </c>
      <c r="B69" s="14" t="s">
        <v>90</v>
      </c>
      <c r="C69" s="14">
        <v>62.9</v>
      </c>
      <c r="D69" s="14">
        <v>318.10000000000002</v>
      </c>
      <c r="E69" s="19">
        <v>72</v>
      </c>
      <c r="F69" s="19">
        <v>255</v>
      </c>
      <c r="G69" s="15">
        <v>0</v>
      </c>
      <c r="H69" s="14">
        <v>180</v>
      </c>
      <c r="I69" s="14" t="s">
        <v>52</v>
      </c>
      <c r="J69" s="14" t="s">
        <v>94</v>
      </c>
      <c r="K69" s="14">
        <v>78.400000000000006</v>
      </c>
      <c r="L69" s="14">
        <f t="shared" si="23"/>
        <v>-6.4000000000000057</v>
      </c>
      <c r="M69" s="14"/>
      <c r="N69" s="14"/>
      <c r="O69" s="14"/>
      <c r="P69" s="14"/>
      <c r="Q69" s="14">
        <f t="shared" si="24"/>
        <v>14.4</v>
      </c>
      <c r="R69" s="16"/>
      <c r="S69" s="16"/>
      <c r="T69" s="16"/>
      <c r="U69" s="14"/>
      <c r="V69" s="14">
        <f t="shared" si="25"/>
        <v>17.708333333333332</v>
      </c>
      <c r="W69" s="14">
        <f t="shared" si="26"/>
        <v>17.708333333333332</v>
      </c>
      <c r="X69" s="14">
        <v>4.2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/>
      <c r="AI69" s="14"/>
      <c r="AJ69" s="15"/>
      <c r="AK69" s="17"/>
      <c r="AL69" s="14"/>
      <c r="AM69" s="14"/>
      <c r="AN69" s="14"/>
      <c r="AO69" s="17"/>
      <c r="AP69" s="1"/>
      <c r="AQ69" s="1"/>
      <c r="AR69" s="1"/>
      <c r="AS69" s="1"/>
      <c r="AT69" s="1"/>
      <c r="AU69" s="1"/>
      <c r="AV69" s="1"/>
      <c r="AW69" s="1"/>
      <c r="AX69" s="1"/>
    </row>
    <row r="70" spans="1:50" hidden="1" x14ac:dyDescent="0.25">
      <c r="A70" s="18" t="s">
        <v>161</v>
      </c>
      <c r="B70" s="14" t="s">
        <v>43</v>
      </c>
      <c r="C70" s="14"/>
      <c r="D70" s="14">
        <v>1182</v>
      </c>
      <c r="E70" s="19">
        <v>186</v>
      </c>
      <c r="F70" s="19">
        <v>818</v>
      </c>
      <c r="G70" s="15">
        <v>0</v>
      </c>
      <c r="H70" s="14">
        <v>180</v>
      </c>
      <c r="I70" s="18" t="s">
        <v>52</v>
      </c>
      <c r="J70" s="14" t="s">
        <v>85</v>
      </c>
      <c r="K70" s="14">
        <v>192</v>
      </c>
      <c r="L70" s="14">
        <f t="shared" ref="L70:L88" si="30">E70-K70</f>
        <v>-6</v>
      </c>
      <c r="M70" s="14"/>
      <c r="N70" s="14"/>
      <c r="O70" s="14"/>
      <c r="P70" s="14"/>
      <c r="Q70" s="14">
        <f t="shared" ref="Q70:Q88" si="31">E70/5</f>
        <v>37.200000000000003</v>
      </c>
      <c r="R70" s="16"/>
      <c r="S70" s="16"/>
      <c r="T70" s="16"/>
      <c r="U70" s="14"/>
      <c r="V70" s="14">
        <f t="shared" ref="V70:V88" si="32">(F70+O70+P70+T70)/Q70</f>
        <v>21.989247311827956</v>
      </c>
      <c r="W70" s="14">
        <f t="shared" ref="W70:W88" si="33">(F70+O70+P70)/Q70</f>
        <v>21.989247311827956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/>
      <c r="AI70" s="14"/>
      <c r="AJ70" s="15"/>
      <c r="AK70" s="17"/>
      <c r="AL70" s="14"/>
      <c r="AM70" s="14"/>
      <c r="AN70" s="14"/>
      <c r="AO70" s="17"/>
      <c r="AP70" s="1"/>
      <c r="AQ70" s="1"/>
      <c r="AR70" s="1"/>
      <c r="AS70" s="1"/>
      <c r="AT70" s="1"/>
      <c r="AU70" s="1"/>
      <c r="AV70" s="1"/>
      <c r="AW70" s="1"/>
      <c r="AX70" s="1"/>
    </row>
    <row r="71" spans="1:50" hidden="1" x14ac:dyDescent="0.25">
      <c r="A71" s="1" t="s">
        <v>162</v>
      </c>
      <c r="B71" s="1" t="s">
        <v>43</v>
      </c>
      <c r="C71" s="1">
        <v>237</v>
      </c>
      <c r="D71" s="1">
        <v>987</v>
      </c>
      <c r="E71" s="1">
        <v>272</v>
      </c>
      <c r="F71" s="1">
        <v>179</v>
      </c>
      <c r="G71" s="7">
        <v>0.23</v>
      </c>
      <c r="H71" s="1">
        <v>180</v>
      </c>
      <c r="I71" s="1" t="s">
        <v>163</v>
      </c>
      <c r="J71" s="1"/>
      <c r="K71" s="1">
        <v>298</v>
      </c>
      <c r="L71" s="1">
        <f t="shared" si="30"/>
        <v>-26</v>
      </c>
      <c r="M71" s="1"/>
      <c r="N71" s="1"/>
      <c r="O71" s="1">
        <v>336</v>
      </c>
      <c r="P71" s="1"/>
      <c r="Q71" s="1">
        <f t="shared" si="31"/>
        <v>54.4</v>
      </c>
      <c r="R71" s="5">
        <v>246.60000000000002</v>
      </c>
      <c r="S71" s="5">
        <f t="shared" ref="S71:S72" si="34">14*Q71-P71-O71-F71+Q71*$S$1</f>
        <v>442.44000000000005</v>
      </c>
      <c r="T71" s="5">
        <f>AJ71*AK71</f>
        <v>420</v>
      </c>
      <c r="U71" s="1"/>
      <c r="V71" s="1">
        <f t="shared" si="32"/>
        <v>17.1875</v>
      </c>
      <c r="W71" s="1">
        <f t="shared" si="33"/>
        <v>9.4669117647058822</v>
      </c>
      <c r="X71" s="1">
        <v>55.6</v>
      </c>
      <c r="Y71" s="1">
        <v>63.4</v>
      </c>
      <c r="Z71" s="1">
        <v>56</v>
      </c>
      <c r="AA71" s="1">
        <v>59.6</v>
      </c>
      <c r="AB71" s="1">
        <v>75.400000000000006</v>
      </c>
      <c r="AC71" s="1">
        <v>71.2</v>
      </c>
      <c r="AD71" s="1">
        <v>53.4</v>
      </c>
      <c r="AE71" s="1">
        <v>112.6</v>
      </c>
      <c r="AF71" s="1">
        <v>101.4</v>
      </c>
      <c r="AG71" s="1">
        <v>87.4</v>
      </c>
      <c r="AH71" s="1"/>
      <c r="AI71" s="1">
        <f>G71*S71</f>
        <v>101.76120000000002</v>
      </c>
      <c r="AJ71" s="7">
        <v>6</v>
      </c>
      <c r="AK71" s="9">
        <f>MROUND(S71, AJ71*AM71)/AJ71</f>
        <v>70</v>
      </c>
      <c r="AL71" s="1">
        <f>AK71*AJ71*G71</f>
        <v>96.600000000000009</v>
      </c>
      <c r="AM71" s="1">
        <v>14</v>
      </c>
      <c r="AN71" s="1">
        <v>140</v>
      </c>
      <c r="AO71" s="9">
        <f>AK71/AN71</f>
        <v>0.5</v>
      </c>
      <c r="AP71" s="1"/>
      <c r="AQ71" s="1"/>
      <c r="AR71" s="1"/>
      <c r="AS71" s="1"/>
      <c r="AT71" s="1"/>
      <c r="AU71" s="1"/>
      <c r="AV71" s="1"/>
      <c r="AW71" s="1"/>
      <c r="AX71" s="1"/>
    </row>
    <row r="72" spans="1:50" hidden="1" x14ac:dyDescent="0.25">
      <c r="A72" s="1" t="s">
        <v>61</v>
      </c>
      <c r="B72" s="1" t="s">
        <v>43</v>
      </c>
      <c r="C72" s="1">
        <v>-30</v>
      </c>
      <c r="D72" s="1">
        <v>344</v>
      </c>
      <c r="E72" s="19">
        <f>304+E13</f>
        <v>958</v>
      </c>
      <c r="F72" s="19">
        <f>0+F13</f>
        <v>612</v>
      </c>
      <c r="G72" s="7">
        <v>0.25</v>
      </c>
      <c r="H72" s="1">
        <v>180</v>
      </c>
      <c r="I72" s="1" t="s">
        <v>164</v>
      </c>
      <c r="J72" s="1"/>
      <c r="K72" s="1">
        <v>314</v>
      </c>
      <c r="L72" s="1">
        <f t="shared" si="30"/>
        <v>644</v>
      </c>
      <c r="M72" s="1"/>
      <c r="N72" s="1"/>
      <c r="O72" s="1">
        <v>0</v>
      </c>
      <c r="P72" s="1"/>
      <c r="Q72" s="1">
        <f t="shared" si="31"/>
        <v>191.6</v>
      </c>
      <c r="R72" s="5">
        <v>2070.4</v>
      </c>
      <c r="S72" s="5">
        <f t="shared" si="34"/>
        <v>2760.16</v>
      </c>
      <c r="T72" s="5">
        <f>AJ72*AK72</f>
        <v>2688</v>
      </c>
      <c r="U72" s="1"/>
      <c r="V72" s="1">
        <f t="shared" si="32"/>
        <v>17.223382045929018</v>
      </c>
      <c r="W72" s="1">
        <f t="shared" si="33"/>
        <v>3.1941544885177455</v>
      </c>
      <c r="X72" s="1">
        <v>103</v>
      </c>
      <c r="Y72" s="1">
        <v>166.8</v>
      </c>
      <c r="Z72" s="1">
        <v>182.4</v>
      </c>
      <c r="AA72" s="1">
        <v>128.80000000000001</v>
      </c>
      <c r="AB72" s="1">
        <v>121.6</v>
      </c>
      <c r="AC72" s="1">
        <v>97.6</v>
      </c>
      <c r="AD72" s="1">
        <v>155.19999999999999</v>
      </c>
      <c r="AE72" s="1">
        <v>274</v>
      </c>
      <c r="AF72" s="1">
        <v>194.8</v>
      </c>
      <c r="AG72" s="1">
        <v>199.4</v>
      </c>
      <c r="AH72" s="1"/>
      <c r="AI72" s="1">
        <f>G72*S72</f>
        <v>690.04</v>
      </c>
      <c r="AJ72" s="7">
        <v>12</v>
      </c>
      <c r="AK72" s="9">
        <f>MROUND(S72, AJ72*AM72)/AJ72</f>
        <v>224</v>
      </c>
      <c r="AL72" s="1">
        <f>AK72*AJ72*G72</f>
        <v>672</v>
      </c>
      <c r="AM72" s="1">
        <v>14</v>
      </c>
      <c r="AN72" s="1">
        <v>70</v>
      </c>
      <c r="AO72" s="9">
        <f>AK72/AN72</f>
        <v>3.2</v>
      </c>
      <c r="AP72" s="1"/>
      <c r="AQ72" s="1"/>
      <c r="AR72" s="1"/>
      <c r="AS72" s="1"/>
      <c r="AT72" s="1"/>
      <c r="AU72" s="1"/>
      <c r="AV72" s="1"/>
      <c r="AW72" s="1"/>
      <c r="AX72" s="1"/>
    </row>
    <row r="73" spans="1:50" hidden="1" x14ac:dyDescent="0.25">
      <c r="A73" s="1" t="s">
        <v>63</v>
      </c>
      <c r="B73" s="1" t="s">
        <v>43</v>
      </c>
      <c r="C73" s="1">
        <v>-6</v>
      </c>
      <c r="D73" s="1">
        <v>217</v>
      </c>
      <c r="E73" s="19">
        <f>195+E14</f>
        <v>513</v>
      </c>
      <c r="F73" s="19">
        <f>0+F14</f>
        <v>383</v>
      </c>
      <c r="G73" s="7">
        <v>0.25</v>
      </c>
      <c r="H73" s="1">
        <v>180</v>
      </c>
      <c r="I73" s="1" t="s">
        <v>165</v>
      </c>
      <c r="J73" s="1"/>
      <c r="K73" s="1">
        <v>203</v>
      </c>
      <c r="L73" s="1">
        <f t="shared" si="30"/>
        <v>310</v>
      </c>
      <c r="M73" s="1"/>
      <c r="N73" s="1"/>
      <c r="O73" s="1">
        <v>1008</v>
      </c>
      <c r="P73" s="1"/>
      <c r="Q73" s="1">
        <f t="shared" si="31"/>
        <v>102.6</v>
      </c>
      <c r="R73" s="5">
        <v>148</v>
      </c>
      <c r="S73" s="5">
        <f>15*Q73-P73-O73-F73+Q73*($S$1-1)</f>
        <v>414.76</v>
      </c>
      <c r="T73" s="5">
        <f>AJ73*AK73</f>
        <v>336</v>
      </c>
      <c r="U73" s="1"/>
      <c r="V73" s="1">
        <f t="shared" si="32"/>
        <v>16.83235867446394</v>
      </c>
      <c r="W73" s="1">
        <f t="shared" si="33"/>
        <v>13.557504873294349</v>
      </c>
      <c r="X73" s="1">
        <v>125.2</v>
      </c>
      <c r="Y73" s="1">
        <v>47</v>
      </c>
      <c r="Z73" s="1">
        <v>104</v>
      </c>
      <c r="AA73" s="1">
        <v>104.6</v>
      </c>
      <c r="AB73" s="1">
        <v>125.6</v>
      </c>
      <c r="AC73" s="1">
        <v>93.2</v>
      </c>
      <c r="AD73" s="1">
        <v>111.4</v>
      </c>
      <c r="AE73" s="1">
        <v>196.6</v>
      </c>
      <c r="AF73" s="1">
        <v>144.4</v>
      </c>
      <c r="AG73" s="1">
        <v>139</v>
      </c>
      <c r="AH73" s="1"/>
      <c r="AI73" s="1">
        <f>G73*S73</f>
        <v>103.69</v>
      </c>
      <c r="AJ73" s="7">
        <v>12</v>
      </c>
      <c r="AK73" s="9">
        <f>MROUND(S73, AJ73*AM73)/AJ73</f>
        <v>28</v>
      </c>
      <c r="AL73" s="1">
        <f>AK73*AJ73*G73</f>
        <v>84</v>
      </c>
      <c r="AM73" s="1">
        <v>14</v>
      </c>
      <c r="AN73" s="1">
        <v>70</v>
      </c>
      <c r="AO73" s="9">
        <f>AK73/AN73</f>
        <v>0.4</v>
      </c>
      <c r="AP73" s="1"/>
      <c r="AQ73" s="1"/>
      <c r="AR73" s="1"/>
      <c r="AS73" s="1"/>
      <c r="AT73" s="1"/>
      <c r="AU73" s="1"/>
      <c r="AV73" s="1"/>
      <c r="AW73" s="1"/>
      <c r="AX73" s="1"/>
    </row>
    <row r="74" spans="1:50" hidden="1" x14ac:dyDescent="0.25">
      <c r="A74" s="14" t="s">
        <v>166</v>
      </c>
      <c r="B74" s="14" t="s">
        <v>43</v>
      </c>
      <c r="C74" s="14">
        <v>4</v>
      </c>
      <c r="D74" s="14">
        <v>166</v>
      </c>
      <c r="E74" s="14">
        <v>49</v>
      </c>
      <c r="F74" s="14">
        <v>102</v>
      </c>
      <c r="G74" s="15">
        <v>0</v>
      </c>
      <c r="H74" s="14">
        <v>180</v>
      </c>
      <c r="I74" s="14" t="s">
        <v>167</v>
      </c>
      <c r="J74" s="14"/>
      <c r="K74" s="14">
        <v>67</v>
      </c>
      <c r="L74" s="14">
        <f t="shared" si="30"/>
        <v>-18</v>
      </c>
      <c r="M74" s="14"/>
      <c r="N74" s="14"/>
      <c r="O74" s="14"/>
      <c r="P74" s="14"/>
      <c r="Q74" s="14">
        <f t="shared" si="31"/>
        <v>9.8000000000000007</v>
      </c>
      <c r="R74" s="16"/>
      <c r="S74" s="16"/>
      <c r="T74" s="16"/>
      <c r="U74" s="14"/>
      <c r="V74" s="14">
        <f t="shared" si="32"/>
        <v>10.408163265306122</v>
      </c>
      <c r="W74" s="14">
        <f t="shared" si="33"/>
        <v>10.408163265306122</v>
      </c>
      <c r="X74" s="14">
        <v>12.2</v>
      </c>
      <c r="Y74" s="14">
        <v>14.8</v>
      </c>
      <c r="Z74" s="14">
        <v>8.1999999999999993</v>
      </c>
      <c r="AA74" s="14">
        <v>8</v>
      </c>
      <c r="AB74" s="14">
        <v>14.8</v>
      </c>
      <c r="AC74" s="14">
        <v>18.399999999999999</v>
      </c>
      <c r="AD74" s="14">
        <v>6.2</v>
      </c>
      <c r="AE74" s="14">
        <v>22.4</v>
      </c>
      <c r="AF74" s="14">
        <v>18.2</v>
      </c>
      <c r="AG74" s="14">
        <v>16.399999999999999</v>
      </c>
      <c r="AH74" s="14"/>
      <c r="AI74" s="14"/>
      <c r="AJ74" s="15">
        <v>6</v>
      </c>
      <c r="AK74" s="17"/>
      <c r="AL74" s="14"/>
      <c r="AM74" s="14">
        <v>14</v>
      </c>
      <c r="AN74" s="14">
        <v>140</v>
      </c>
      <c r="AO74" s="17"/>
      <c r="AP74" s="1"/>
      <c r="AQ74" s="1"/>
      <c r="AR74" s="1"/>
      <c r="AS74" s="1"/>
      <c r="AT74" s="1"/>
      <c r="AU74" s="1"/>
      <c r="AV74" s="1"/>
      <c r="AW74" s="1"/>
      <c r="AX74" s="1"/>
    </row>
    <row r="75" spans="1:50" hidden="1" x14ac:dyDescent="0.25">
      <c r="A75" s="1" t="s">
        <v>168</v>
      </c>
      <c r="B75" s="1" t="s">
        <v>43</v>
      </c>
      <c r="C75" s="1">
        <v>72</v>
      </c>
      <c r="D75" s="1">
        <v>1078</v>
      </c>
      <c r="E75" s="1">
        <v>57</v>
      </c>
      <c r="F75" s="1">
        <v>1083</v>
      </c>
      <c r="G75" s="7">
        <v>0.18</v>
      </c>
      <c r="H75" s="1">
        <v>180</v>
      </c>
      <c r="I75" s="1" t="s">
        <v>169</v>
      </c>
      <c r="J75" s="1"/>
      <c r="K75" s="1">
        <v>67</v>
      </c>
      <c r="L75" s="1">
        <f t="shared" si="30"/>
        <v>-10</v>
      </c>
      <c r="M75" s="1"/>
      <c r="N75" s="1"/>
      <c r="O75" s="1">
        <v>84</v>
      </c>
      <c r="P75" s="1"/>
      <c r="Q75" s="1">
        <f t="shared" si="31"/>
        <v>11.4</v>
      </c>
      <c r="R75" s="5"/>
      <c r="S75" s="5"/>
      <c r="T75" s="5">
        <f>AJ75*AK75</f>
        <v>0</v>
      </c>
      <c r="U75" s="1"/>
      <c r="V75" s="1">
        <f t="shared" si="32"/>
        <v>102.36842105263158</v>
      </c>
      <c r="W75" s="1">
        <f t="shared" si="33"/>
        <v>102.36842105263158</v>
      </c>
      <c r="X75" s="1">
        <v>19.2</v>
      </c>
      <c r="Y75" s="1">
        <v>17.600000000000001</v>
      </c>
      <c r="Z75" s="1">
        <v>14.8</v>
      </c>
      <c r="AA75" s="1">
        <v>7.4</v>
      </c>
      <c r="AB75" s="1">
        <v>9.4</v>
      </c>
      <c r="AC75" s="1">
        <v>18</v>
      </c>
      <c r="AD75" s="1">
        <v>15.8</v>
      </c>
      <c r="AE75" s="1">
        <v>41.2</v>
      </c>
      <c r="AF75" s="1">
        <v>77.2</v>
      </c>
      <c r="AG75" s="1">
        <v>47</v>
      </c>
      <c r="AH75" s="1" t="s">
        <v>170</v>
      </c>
      <c r="AI75" s="1">
        <f>G75*S75</f>
        <v>0</v>
      </c>
      <c r="AJ75" s="7">
        <v>6</v>
      </c>
      <c r="AK75" s="9">
        <f>MROUND(S75, AJ75*AM75)/AJ75</f>
        <v>0</v>
      </c>
      <c r="AL75" s="1">
        <f>AK75*AJ75*G75</f>
        <v>0</v>
      </c>
      <c r="AM75" s="1">
        <v>14</v>
      </c>
      <c r="AN75" s="1">
        <v>140</v>
      </c>
      <c r="AO75" s="9">
        <f>AK75/AN75</f>
        <v>0</v>
      </c>
      <c r="AP75" s="1"/>
      <c r="AQ75" s="1"/>
      <c r="AR75" s="1"/>
      <c r="AS75" s="1"/>
      <c r="AT75" s="1"/>
      <c r="AU75" s="1"/>
      <c r="AV75" s="1"/>
      <c r="AW75" s="1"/>
      <c r="AX75" s="1"/>
    </row>
    <row r="76" spans="1:50" hidden="1" x14ac:dyDescent="0.25">
      <c r="A76" s="14" t="s">
        <v>171</v>
      </c>
      <c r="B76" s="14" t="s">
        <v>43</v>
      </c>
      <c r="C76" s="14">
        <v>27</v>
      </c>
      <c r="D76" s="14"/>
      <c r="E76" s="14">
        <v>1</v>
      </c>
      <c r="F76" s="14">
        <v>23</v>
      </c>
      <c r="G76" s="15">
        <v>0</v>
      </c>
      <c r="H76" s="14">
        <v>180</v>
      </c>
      <c r="I76" s="14" t="s">
        <v>167</v>
      </c>
      <c r="J76" s="14"/>
      <c r="K76" s="14">
        <v>1</v>
      </c>
      <c r="L76" s="14">
        <f t="shared" si="30"/>
        <v>0</v>
      </c>
      <c r="M76" s="14"/>
      <c r="N76" s="14"/>
      <c r="O76" s="14"/>
      <c r="P76" s="14"/>
      <c r="Q76" s="14">
        <f t="shared" si="31"/>
        <v>0.2</v>
      </c>
      <c r="R76" s="16"/>
      <c r="S76" s="16"/>
      <c r="T76" s="16"/>
      <c r="U76" s="14"/>
      <c r="V76" s="14">
        <f t="shared" si="32"/>
        <v>115</v>
      </c>
      <c r="W76" s="14">
        <f t="shared" si="33"/>
        <v>115</v>
      </c>
      <c r="X76" s="14">
        <v>0.2</v>
      </c>
      <c r="Y76" s="14">
        <v>0.8</v>
      </c>
      <c r="Z76" s="14">
        <v>0.8</v>
      </c>
      <c r="AA76" s="14">
        <v>0.6</v>
      </c>
      <c r="AB76" s="14">
        <v>0.6</v>
      </c>
      <c r="AC76" s="14">
        <v>1.2</v>
      </c>
      <c r="AD76" s="14">
        <v>0.8</v>
      </c>
      <c r="AE76" s="14">
        <v>1.6</v>
      </c>
      <c r="AF76" s="14">
        <v>1</v>
      </c>
      <c r="AG76" s="14">
        <v>0.6</v>
      </c>
      <c r="AH76" s="21" t="s">
        <v>172</v>
      </c>
      <c r="AI76" s="14"/>
      <c r="AJ76" s="15">
        <v>6</v>
      </c>
      <c r="AK76" s="17"/>
      <c r="AL76" s="14"/>
      <c r="AM76" s="14">
        <v>14</v>
      </c>
      <c r="AN76" s="14">
        <v>140</v>
      </c>
      <c r="AO76" s="17"/>
      <c r="AP76" s="1"/>
      <c r="AQ76" s="1"/>
      <c r="AR76" s="1"/>
      <c r="AS76" s="1"/>
      <c r="AT76" s="1"/>
      <c r="AU76" s="1"/>
      <c r="AV76" s="1"/>
      <c r="AW76" s="1"/>
      <c r="AX76" s="1"/>
    </row>
    <row r="77" spans="1:50" hidden="1" x14ac:dyDescent="0.25">
      <c r="A77" s="1" t="s">
        <v>173</v>
      </c>
      <c r="B77" s="1" t="s">
        <v>43</v>
      </c>
      <c r="C77" s="1">
        <v>926</v>
      </c>
      <c r="D77" s="1">
        <v>1426</v>
      </c>
      <c r="E77" s="1">
        <v>870</v>
      </c>
      <c r="F77" s="1">
        <v>394</v>
      </c>
      <c r="G77" s="7">
        <v>0.3</v>
      </c>
      <c r="H77" s="1">
        <v>180</v>
      </c>
      <c r="I77" s="1" t="s">
        <v>174</v>
      </c>
      <c r="J77" s="1"/>
      <c r="K77" s="1">
        <v>926</v>
      </c>
      <c r="L77" s="1">
        <f t="shared" si="30"/>
        <v>-56</v>
      </c>
      <c r="M77" s="1"/>
      <c r="N77" s="1"/>
      <c r="O77" s="1">
        <v>1680</v>
      </c>
      <c r="P77" s="1"/>
      <c r="Q77" s="1">
        <f t="shared" si="31"/>
        <v>174</v>
      </c>
      <c r="R77" s="5">
        <v>362</v>
      </c>
      <c r="S77" s="5">
        <f>14*Q77-P77-O77-F77+Q77*$S$1</f>
        <v>988.4</v>
      </c>
      <c r="T77" s="5">
        <f t="shared" ref="T77:T87" si="35">AJ77*AK77</f>
        <v>1008</v>
      </c>
      <c r="U77" s="1"/>
      <c r="V77" s="1">
        <f t="shared" si="32"/>
        <v>17.712643678160919</v>
      </c>
      <c r="W77" s="1">
        <f t="shared" si="33"/>
        <v>11.919540229885058</v>
      </c>
      <c r="X77" s="1">
        <v>184.6</v>
      </c>
      <c r="Y77" s="1">
        <v>183.6</v>
      </c>
      <c r="Z77" s="1">
        <v>166.8</v>
      </c>
      <c r="AA77" s="1">
        <v>194</v>
      </c>
      <c r="AB77" s="1">
        <v>197.4</v>
      </c>
      <c r="AC77" s="1">
        <v>146.6</v>
      </c>
      <c r="AD77" s="1">
        <v>166.6</v>
      </c>
      <c r="AE77" s="1">
        <v>185.6</v>
      </c>
      <c r="AF77" s="1">
        <v>233</v>
      </c>
      <c r="AG77" s="1">
        <v>187</v>
      </c>
      <c r="AH77" s="1"/>
      <c r="AI77" s="1">
        <f t="shared" ref="AI77:AI87" si="36">G77*S77</f>
        <v>296.52</v>
      </c>
      <c r="AJ77" s="7">
        <v>12</v>
      </c>
      <c r="AK77" s="9">
        <f t="shared" ref="AK77:AK87" si="37">MROUND(S77, AJ77*AM77)/AJ77</f>
        <v>84</v>
      </c>
      <c r="AL77" s="1">
        <f t="shared" ref="AL77:AL87" si="38">AK77*AJ77*G77</f>
        <v>302.39999999999998</v>
      </c>
      <c r="AM77" s="1">
        <v>14</v>
      </c>
      <c r="AN77" s="1">
        <v>70</v>
      </c>
      <c r="AO77" s="9">
        <f t="shared" ref="AO77:AO87" si="39">AK77/AN77</f>
        <v>1.2</v>
      </c>
      <c r="AP77" s="1"/>
      <c r="AQ77" s="1"/>
      <c r="AR77" s="1"/>
      <c r="AS77" s="1"/>
      <c r="AT77" s="1"/>
      <c r="AU77" s="1"/>
      <c r="AV77" s="1"/>
      <c r="AW77" s="1"/>
      <c r="AX77" s="1"/>
    </row>
    <row r="78" spans="1:50" hidden="1" x14ac:dyDescent="0.25">
      <c r="A78" s="1" t="s">
        <v>175</v>
      </c>
      <c r="B78" s="1" t="s">
        <v>43</v>
      </c>
      <c r="C78" s="1">
        <v>243</v>
      </c>
      <c r="D78" s="1">
        <v>842</v>
      </c>
      <c r="E78" s="1">
        <v>444</v>
      </c>
      <c r="F78" s="1">
        <v>146</v>
      </c>
      <c r="G78" s="7">
        <v>0.3</v>
      </c>
      <c r="H78" s="1">
        <v>180</v>
      </c>
      <c r="I78" s="1" t="s">
        <v>176</v>
      </c>
      <c r="J78" s="1"/>
      <c r="K78" s="1">
        <v>484</v>
      </c>
      <c r="L78" s="1">
        <f t="shared" si="30"/>
        <v>-40</v>
      </c>
      <c r="M78" s="1"/>
      <c r="N78" s="1"/>
      <c r="O78" s="1">
        <v>840</v>
      </c>
      <c r="P78" s="1"/>
      <c r="Q78" s="1">
        <f t="shared" si="31"/>
        <v>88.8</v>
      </c>
      <c r="R78" s="5">
        <v>257.20000000000005</v>
      </c>
      <c r="S78" s="5">
        <f t="shared" ref="S78:S79" si="40">15*Q78-P78-O78-F78+Q78*($S$1-1)</f>
        <v>576.88</v>
      </c>
      <c r="T78" s="5">
        <f t="shared" si="35"/>
        <v>504</v>
      </c>
      <c r="U78" s="1"/>
      <c r="V78" s="1">
        <f t="shared" si="32"/>
        <v>16.77927927927928</v>
      </c>
      <c r="W78" s="1">
        <f t="shared" si="33"/>
        <v>11.103603603603604</v>
      </c>
      <c r="X78" s="1">
        <v>98</v>
      </c>
      <c r="Y78" s="1">
        <v>86.8</v>
      </c>
      <c r="Z78" s="1">
        <v>78.400000000000006</v>
      </c>
      <c r="AA78" s="1">
        <v>105.2</v>
      </c>
      <c r="AB78" s="1">
        <v>107.6</v>
      </c>
      <c r="AC78" s="1">
        <v>75.599999999999994</v>
      </c>
      <c r="AD78" s="1">
        <v>87.4</v>
      </c>
      <c r="AE78" s="1">
        <v>115.2</v>
      </c>
      <c r="AF78" s="1">
        <v>51</v>
      </c>
      <c r="AG78" s="1">
        <v>118.8</v>
      </c>
      <c r="AH78" s="1"/>
      <c r="AI78" s="1">
        <f t="shared" si="36"/>
        <v>173.06399999999999</v>
      </c>
      <c r="AJ78" s="7">
        <v>12</v>
      </c>
      <c r="AK78" s="9">
        <f t="shared" si="37"/>
        <v>42</v>
      </c>
      <c r="AL78" s="1">
        <f t="shared" si="38"/>
        <v>151.19999999999999</v>
      </c>
      <c r="AM78" s="1">
        <v>14</v>
      </c>
      <c r="AN78" s="1">
        <v>70</v>
      </c>
      <c r="AO78" s="9">
        <f t="shared" si="39"/>
        <v>0.6</v>
      </c>
      <c r="AP78" s="1"/>
      <c r="AQ78" s="1"/>
      <c r="AR78" s="1"/>
      <c r="AS78" s="1"/>
      <c r="AT78" s="1"/>
      <c r="AU78" s="1"/>
      <c r="AV78" s="1"/>
      <c r="AW78" s="1"/>
      <c r="AX78" s="1"/>
    </row>
    <row r="79" spans="1:50" hidden="1" x14ac:dyDescent="0.25">
      <c r="A79" s="1" t="s">
        <v>159</v>
      </c>
      <c r="B79" s="1" t="s">
        <v>43</v>
      </c>
      <c r="C79" s="1">
        <v>-14</v>
      </c>
      <c r="D79" s="1">
        <v>332</v>
      </c>
      <c r="E79" s="19">
        <f>232+E68</f>
        <v>468</v>
      </c>
      <c r="F79" s="19">
        <f>0+F68</f>
        <v>537</v>
      </c>
      <c r="G79" s="7">
        <v>0.3</v>
      </c>
      <c r="H79" s="1">
        <v>180</v>
      </c>
      <c r="I79" s="1" t="s">
        <v>177</v>
      </c>
      <c r="J79" s="1"/>
      <c r="K79" s="1">
        <v>288</v>
      </c>
      <c r="L79" s="1">
        <f t="shared" si="30"/>
        <v>180</v>
      </c>
      <c r="M79" s="1"/>
      <c r="N79" s="1"/>
      <c r="O79" s="1">
        <v>0</v>
      </c>
      <c r="P79" s="1"/>
      <c r="Q79" s="1">
        <f t="shared" si="31"/>
        <v>93.6</v>
      </c>
      <c r="R79" s="5">
        <v>773.39999999999986</v>
      </c>
      <c r="S79" s="5">
        <f t="shared" si="40"/>
        <v>1110.3599999999999</v>
      </c>
      <c r="T79" s="5">
        <f t="shared" si="35"/>
        <v>1176</v>
      </c>
      <c r="U79" s="1"/>
      <c r="V79" s="1">
        <f t="shared" si="32"/>
        <v>18.301282051282051</v>
      </c>
      <c r="W79" s="1">
        <f t="shared" si="33"/>
        <v>5.7371794871794872</v>
      </c>
      <c r="X79" s="1">
        <v>38.6</v>
      </c>
      <c r="Y79" s="1">
        <v>34.200000000000003</v>
      </c>
      <c r="Z79" s="1">
        <v>118.2</v>
      </c>
      <c r="AA79" s="1">
        <v>19.399999999999999</v>
      </c>
      <c r="AB79" s="1">
        <v>29.4</v>
      </c>
      <c r="AC79" s="1">
        <v>72.2</v>
      </c>
      <c r="AD79" s="1">
        <v>90.2</v>
      </c>
      <c r="AE79" s="1">
        <v>17.600000000000001</v>
      </c>
      <c r="AF79" s="1">
        <v>47.2</v>
      </c>
      <c r="AG79" s="1">
        <v>88.6</v>
      </c>
      <c r="AH79" s="1"/>
      <c r="AI79" s="1">
        <f t="shared" si="36"/>
        <v>333.10799999999995</v>
      </c>
      <c r="AJ79" s="7">
        <v>14</v>
      </c>
      <c r="AK79" s="9">
        <f t="shared" si="37"/>
        <v>84</v>
      </c>
      <c r="AL79" s="1">
        <f t="shared" si="38"/>
        <v>352.8</v>
      </c>
      <c r="AM79" s="1">
        <v>14</v>
      </c>
      <c r="AN79" s="1">
        <v>70</v>
      </c>
      <c r="AO79" s="9">
        <f t="shared" si="39"/>
        <v>1.2</v>
      </c>
      <c r="AP79" s="1"/>
      <c r="AQ79" s="1"/>
      <c r="AR79" s="1"/>
      <c r="AS79" s="1"/>
      <c r="AT79" s="1"/>
      <c r="AU79" s="1"/>
      <c r="AV79" s="1"/>
      <c r="AW79" s="1"/>
      <c r="AX79" s="1"/>
    </row>
    <row r="80" spans="1:50" hidden="1" x14ac:dyDescent="0.25">
      <c r="A80" s="1" t="s">
        <v>178</v>
      </c>
      <c r="B80" s="1" t="s">
        <v>43</v>
      </c>
      <c r="C80" s="1">
        <v>98</v>
      </c>
      <c r="D80" s="1">
        <v>10</v>
      </c>
      <c r="E80" s="1">
        <v>91</v>
      </c>
      <c r="F80" s="1"/>
      <c r="G80" s="7">
        <v>0.22</v>
      </c>
      <c r="H80" s="1"/>
      <c r="I80" s="1" t="s">
        <v>179</v>
      </c>
      <c r="J80" s="1"/>
      <c r="K80" s="1">
        <v>98</v>
      </c>
      <c r="L80" s="1">
        <f t="shared" si="30"/>
        <v>-7</v>
      </c>
      <c r="M80" s="1"/>
      <c r="N80" s="1"/>
      <c r="O80" s="1">
        <v>168</v>
      </c>
      <c r="P80" s="1"/>
      <c r="Q80" s="1">
        <f t="shared" si="31"/>
        <v>18.2</v>
      </c>
      <c r="R80" s="5">
        <v>86.799999999999983</v>
      </c>
      <c r="S80" s="5">
        <f t="shared" ref="S80:S81" si="41">14*Q80-P80-O80-F80+Q80*$S$1</f>
        <v>152.32</v>
      </c>
      <c r="T80" s="5">
        <f t="shared" si="35"/>
        <v>168</v>
      </c>
      <c r="U80" s="1"/>
      <c r="V80" s="1">
        <f t="shared" si="32"/>
        <v>18.461538461538463</v>
      </c>
      <c r="W80" s="1">
        <f t="shared" si="33"/>
        <v>9.2307692307692317</v>
      </c>
      <c r="X80" s="1">
        <v>16</v>
      </c>
      <c r="Y80" s="1">
        <v>15.8</v>
      </c>
      <c r="Z80" s="1">
        <v>13.6</v>
      </c>
      <c r="AA80" s="1">
        <v>21.2</v>
      </c>
      <c r="AB80" s="1">
        <v>21.8</v>
      </c>
      <c r="AC80" s="1">
        <v>15.8</v>
      </c>
      <c r="AD80" s="1">
        <v>23.4</v>
      </c>
      <c r="AE80" s="1">
        <v>13</v>
      </c>
      <c r="AF80" s="1">
        <v>5.6</v>
      </c>
      <c r="AG80" s="1">
        <v>0</v>
      </c>
      <c r="AH80" s="1"/>
      <c r="AI80" s="1">
        <f t="shared" si="36"/>
        <v>33.510399999999997</v>
      </c>
      <c r="AJ80" s="7">
        <v>6</v>
      </c>
      <c r="AK80" s="9">
        <f t="shared" si="37"/>
        <v>28</v>
      </c>
      <c r="AL80" s="1">
        <f t="shared" si="38"/>
        <v>36.96</v>
      </c>
      <c r="AM80" s="1">
        <v>14</v>
      </c>
      <c r="AN80" s="1">
        <v>140</v>
      </c>
      <c r="AO80" s="9">
        <f t="shared" si="39"/>
        <v>0.2</v>
      </c>
      <c r="AP80" s="1"/>
      <c r="AQ80" s="1"/>
      <c r="AR80" s="1"/>
      <c r="AS80" s="1"/>
      <c r="AT80" s="1"/>
      <c r="AU80" s="1"/>
      <c r="AV80" s="1"/>
      <c r="AW80" s="1"/>
      <c r="AX80" s="1"/>
    </row>
    <row r="81" spans="1:50" hidden="1" x14ac:dyDescent="0.25">
      <c r="A81" s="1" t="s">
        <v>180</v>
      </c>
      <c r="B81" s="1" t="s">
        <v>43</v>
      </c>
      <c r="C81" s="1">
        <v>1226</v>
      </c>
      <c r="D81" s="1">
        <v>4801</v>
      </c>
      <c r="E81" s="1">
        <v>2092</v>
      </c>
      <c r="F81" s="1">
        <v>1165</v>
      </c>
      <c r="G81" s="7">
        <v>0.25</v>
      </c>
      <c r="H81" s="1">
        <v>180</v>
      </c>
      <c r="I81" s="1" t="s">
        <v>76</v>
      </c>
      <c r="J81" s="1"/>
      <c r="K81" s="1">
        <v>2248</v>
      </c>
      <c r="L81" s="1">
        <f t="shared" si="30"/>
        <v>-156</v>
      </c>
      <c r="M81" s="1"/>
      <c r="N81" s="1"/>
      <c r="O81" s="1">
        <v>2184</v>
      </c>
      <c r="P81" s="1"/>
      <c r="Q81" s="1">
        <f t="shared" si="31"/>
        <v>418.4</v>
      </c>
      <c r="R81" s="5">
        <v>2508.5999999999995</v>
      </c>
      <c r="S81" s="5">
        <f t="shared" si="41"/>
        <v>4014.8399999999992</v>
      </c>
      <c r="T81" s="5">
        <f t="shared" si="35"/>
        <v>4032</v>
      </c>
      <c r="U81" s="1"/>
      <c r="V81" s="1">
        <f t="shared" si="32"/>
        <v>17.641013384321223</v>
      </c>
      <c r="W81" s="1">
        <f t="shared" si="33"/>
        <v>8.0043021032504793</v>
      </c>
      <c r="X81" s="1">
        <v>344.2</v>
      </c>
      <c r="Y81" s="1">
        <v>406</v>
      </c>
      <c r="Z81" s="1">
        <v>296.8</v>
      </c>
      <c r="AA81" s="1">
        <v>394.4</v>
      </c>
      <c r="AB81" s="1">
        <v>410.2</v>
      </c>
      <c r="AC81" s="1">
        <v>272.39999999999998</v>
      </c>
      <c r="AD81" s="1">
        <v>376.4</v>
      </c>
      <c r="AE81" s="1">
        <v>523.4</v>
      </c>
      <c r="AF81" s="1">
        <v>215.2</v>
      </c>
      <c r="AG81" s="1">
        <v>414.6</v>
      </c>
      <c r="AH81" s="1"/>
      <c r="AI81" s="1">
        <f t="shared" si="36"/>
        <v>1003.7099999999998</v>
      </c>
      <c r="AJ81" s="7">
        <v>12</v>
      </c>
      <c r="AK81" s="9">
        <f t="shared" si="37"/>
        <v>336</v>
      </c>
      <c r="AL81" s="1">
        <f t="shared" si="38"/>
        <v>1008</v>
      </c>
      <c r="AM81" s="1">
        <v>14</v>
      </c>
      <c r="AN81" s="1">
        <v>70</v>
      </c>
      <c r="AO81" s="9">
        <f t="shared" si="39"/>
        <v>4.8</v>
      </c>
      <c r="AP81" s="1"/>
      <c r="AQ81" s="1"/>
      <c r="AR81" s="1"/>
      <c r="AS81" s="1"/>
      <c r="AT81" s="1"/>
      <c r="AU81" s="1"/>
      <c r="AV81" s="1"/>
      <c r="AW81" s="1"/>
      <c r="AX81" s="1"/>
    </row>
    <row r="82" spans="1:50" hidden="1" x14ac:dyDescent="0.25">
      <c r="A82" s="1" t="s">
        <v>53</v>
      </c>
      <c r="B82" s="1" t="s">
        <v>43</v>
      </c>
      <c r="C82" s="1">
        <v>6</v>
      </c>
      <c r="D82" s="1">
        <v>3345</v>
      </c>
      <c r="E82" s="19">
        <f>640+E9</f>
        <v>1071</v>
      </c>
      <c r="F82" s="19">
        <f>0+F9</f>
        <v>1701</v>
      </c>
      <c r="G82" s="7">
        <v>0.25</v>
      </c>
      <c r="H82" s="1">
        <v>180</v>
      </c>
      <c r="I82" s="1" t="s">
        <v>181</v>
      </c>
      <c r="J82" s="1"/>
      <c r="K82" s="1">
        <v>686</v>
      </c>
      <c r="L82" s="1">
        <f t="shared" si="30"/>
        <v>385</v>
      </c>
      <c r="M82" s="1"/>
      <c r="N82" s="1"/>
      <c r="O82" s="1">
        <v>2016</v>
      </c>
      <c r="P82" s="1"/>
      <c r="Q82" s="1">
        <f t="shared" si="31"/>
        <v>214.2</v>
      </c>
      <c r="R82" s="5"/>
      <c r="S82" s="5"/>
      <c r="T82" s="5">
        <f t="shared" si="35"/>
        <v>0</v>
      </c>
      <c r="U82" s="1"/>
      <c r="V82" s="1">
        <f t="shared" si="32"/>
        <v>17.352941176470591</v>
      </c>
      <c r="W82" s="1">
        <f t="shared" si="33"/>
        <v>17.352941176470591</v>
      </c>
      <c r="X82" s="1">
        <v>300.39999999999998</v>
      </c>
      <c r="Y82" s="1">
        <v>341.2</v>
      </c>
      <c r="Z82" s="1">
        <v>227.2</v>
      </c>
      <c r="AA82" s="1">
        <v>319.8</v>
      </c>
      <c r="AB82" s="1">
        <v>367</v>
      </c>
      <c r="AC82" s="1">
        <v>282</v>
      </c>
      <c r="AD82" s="1">
        <v>349.2</v>
      </c>
      <c r="AE82" s="1">
        <v>458.2</v>
      </c>
      <c r="AF82" s="1">
        <v>353.8</v>
      </c>
      <c r="AG82" s="1">
        <v>395.6</v>
      </c>
      <c r="AH82" s="1"/>
      <c r="AI82" s="1">
        <f t="shared" si="36"/>
        <v>0</v>
      </c>
      <c r="AJ82" s="7">
        <v>12</v>
      </c>
      <c r="AK82" s="9">
        <f t="shared" si="37"/>
        <v>0</v>
      </c>
      <c r="AL82" s="1">
        <f t="shared" si="38"/>
        <v>0</v>
      </c>
      <c r="AM82" s="1">
        <v>14</v>
      </c>
      <c r="AN82" s="1">
        <v>70</v>
      </c>
      <c r="AO82" s="9">
        <f t="shared" si="39"/>
        <v>0</v>
      </c>
      <c r="AP82" s="1"/>
      <c r="AQ82" s="1"/>
      <c r="AR82" s="1"/>
      <c r="AS82" s="1"/>
      <c r="AT82" s="1"/>
      <c r="AU82" s="1"/>
      <c r="AV82" s="1"/>
      <c r="AW82" s="1"/>
      <c r="AX82" s="1"/>
    </row>
    <row r="83" spans="1:50" hidden="1" x14ac:dyDescent="0.25">
      <c r="A83" s="1" t="s">
        <v>182</v>
      </c>
      <c r="B83" s="1" t="s">
        <v>43</v>
      </c>
      <c r="C83" s="1">
        <v>153</v>
      </c>
      <c r="D83" s="1">
        <v>996</v>
      </c>
      <c r="E83" s="1">
        <v>353</v>
      </c>
      <c r="F83" s="1">
        <v>230</v>
      </c>
      <c r="G83" s="7">
        <v>0.2</v>
      </c>
      <c r="H83" s="1">
        <v>365</v>
      </c>
      <c r="I83" s="1" t="s">
        <v>183</v>
      </c>
      <c r="J83" s="1"/>
      <c r="K83" s="1">
        <v>419</v>
      </c>
      <c r="L83" s="1">
        <f t="shared" si="30"/>
        <v>-66</v>
      </c>
      <c r="M83" s="1"/>
      <c r="N83" s="1"/>
      <c r="O83" s="1">
        <v>588</v>
      </c>
      <c r="P83" s="1"/>
      <c r="Q83" s="1">
        <f t="shared" si="31"/>
        <v>70.599999999999994</v>
      </c>
      <c r="R83" s="5">
        <v>170.39999999999986</v>
      </c>
      <c r="S83" s="5">
        <f t="shared" ref="S83:S84" si="42">14*Q83-P83-O83-F83+Q83*$S$1</f>
        <v>424.55999999999983</v>
      </c>
      <c r="T83" s="5">
        <f t="shared" si="35"/>
        <v>420</v>
      </c>
      <c r="U83" s="1"/>
      <c r="V83" s="1">
        <f t="shared" si="32"/>
        <v>17.535410764872523</v>
      </c>
      <c r="W83" s="1">
        <f t="shared" si="33"/>
        <v>11.586402266288953</v>
      </c>
      <c r="X83" s="1">
        <v>82.6</v>
      </c>
      <c r="Y83" s="1">
        <v>78.8</v>
      </c>
      <c r="Z83" s="1">
        <v>44.8</v>
      </c>
      <c r="AA83" s="1">
        <v>97.4</v>
      </c>
      <c r="AB83" s="1">
        <v>104.2</v>
      </c>
      <c r="AC83" s="1">
        <v>67.2</v>
      </c>
      <c r="AD83" s="1">
        <v>60.6</v>
      </c>
      <c r="AE83" s="1">
        <v>111.4</v>
      </c>
      <c r="AF83" s="1">
        <v>49.8</v>
      </c>
      <c r="AG83" s="1">
        <v>72</v>
      </c>
      <c r="AH83" s="1"/>
      <c r="AI83" s="1">
        <f t="shared" si="36"/>
        <v>84.911999999999978</v>
      </c>
      <c r="AJ83" s="7">
        <v>6</v>
      </c>
      <c r="AK83" s="9">
        <f t="shared" si="37"/>
        <v>70</v>
      </c>
      <c r="AL83" s="1">
        <f t="shared" si="38"/>
        <v>84</v>
      </c>
      <c r="AM83" s="1">
        <v>14</v>
      </c>
      <c r="AN83" s="1">
        <v>140</v>
      </c>
      <c r="AO83" s="9">
        <f t="shared" si="39"/>
        <v>0.5</v>
      </c>
      <c r="AP83" s="1"/>
      <c r="AQ83" s="1"/>
      <c r="AR83" s="1"/>
      <c r="AS83" s="1"/>
      <c r="AT83" s="1"/>
      <c r="AU83" s="1"/>
      <c r="AV83" s="1"/>
      <c r="AW83" s="1"/>
      <c r="AX83" s="1"/>
    </row>
    <row r="84" spans="1:50" hidden="1" x14ac:dyDescent="0.25">
      <c r="A84" s="1" t="s">
        <v>184</v>
      </c>
      <c r="B84" s="1" t="s">
        <v>43</v>
      </c>
      <c r="C84" s="1">
        <v>320</v>
      </c>
      <c r="D84" s="1">
        <v>2436</v>
      </c>
      <c r="E84" s="1">
        <v>625</v>
      </c>
      <c r="F84" s="1">
        <v>669</v>
      </c>
      <c r="G84" s="7">
        <v>0.23</v>
      </c>
      <c r="H84" s="1">
        <v>180</v>
      </c>
      <c r="I84" s="1" t="s">
        <v>185</v>
      </c>
      <c r="J84" s="1"/>
      <c r="K84" s="1">
        <v>691</v>
      </c>
      <c r="L84" s="1">
        <f t="shared" si="30"/>
        <v>-66</v>
      </c>
      <c r="M84" s="1"/>
      <c r="N84" s="1"/>
      <c r="O84" s="1">
        <v>840</v>
      </c>
      <c r="P84" s="1"/>
      <c r="Q84" s="1">
        <f t="shared" si="31"/>
        <v>125</v>
      </c>
      <c r="R84" s="5">
        <v>241</v>
      </c>
      <c r="S84" s="5">
        <f t="shared" si="42"/>
        <v>691</v>
      </c>
      <c r="T84" s="5">
        <f t="shared" si="35"/>
        <v>672</v>
      </c>
      <c r="U84" s="1"/>
      <c r="V84" s="1">
        <f t="shared" si="32"/>
        <v>17.448</v>
      </c>
      <c r="W84" s="1">
        <f t="shared" si="33"/>
        <v>12.071999999999999</v>
      </c>
      <c r="X84" s="1">
        <v>130.80000000000001</v>
      </c>
      <c r="Y84" s="1">
        <v>157.4</v>
      </c>
      <c r="Z84" s="1">
        <v>110.4</v>
      </c>
      <c r="AA84" s="1">
        <v>140.19999999999999</v>
      </c>
      <c r="AB84" s="1">
        <v>165.2</v>
      </c>
      <c r="AC84" s="1">
        <v>130.19999999999999</v>
      </c>
      <c r="AD84" s="1">
        <v>58.4</v>
      </c>
      <c r="AE84" s="1">
        <v>141.80000000000001</v>
      </c>
      <c r="AF84" s="1">
        <v>152</v>
      </c>
      <c r="AG84" s="1">
        <v>103.2</v>
      </c>
      <c r="AH84" s="1"/>
      <c r="AI84" s="1">
        <f t="shared" si="36"/>
        <v>158.93</v>
      </c>
      <c r="AJ84" s="7">
        <v>6</v>
      </c>
      <c r="AK84" s="9">
        <f t="shared" si="37"/>
        <v>112</v>
      </c>
      <c r="AL84" s="1">
        <f t="shared" si="38"/>
        <v>154.56</v>
      </c>
      <c r="AM84" s="1">
        <v>14</v>
      </c>
      <c r="AN84" s="1">
        <v>140</v>
      </c>
      <c r="AO84" s="9">
        <f t="shared" si="39"/>
        <v>0.8</v>
      </c>
      <c r="AP84" s="1"/>
      <c r="AQ84" s="1"/>
      <c r="AR84" s="1"/>
      <c r="AS84" s="1"/>
      <c r="AT84" s="1"/>
      <c r="AU84" s="1"/>
      <c r="AV84" s="1"/>
      <c r="AW84" s="1"/>
      <c r="AX84" s="1"/>
    </row>
    <row r="85" spans="1:50" hidden="1" x14ac:dyDescent="0.25">
      <c r="A85" s="1" t="s">
        <v>186</v>
      </c>
      <c r="B85" s="1" t="s">
        <v>43</v>
      </c>
      <c r="C85" s="1">
        <v>228</v>
      </c>
      <c r="D85" s="1">
        <v>166</v>
      </c>
      <c r="E85" s="1">
        <v>182</v>
      </c>
      <c r="F85" s="1">
        <v>204</v>
      </c>
      <c r="G85" s="7">
        <v>0.23</v>
      </c>
      <c r="H85" s="1"/>
      <c r="I85" s="1" t="s">
        <v>179</v>
      </c>
      <c r="J85" s="1"/>
      <c r="K85" s="1">
        <v>186</v>
      </c>
      <c r="L85" s="1">
        <f t="shared" si="30"/>
        <v>-4</v>
      </c>
      <c r="M85" s="1"/>
      <c r="N85" s="1"/>
      <c r="O85" s="1">
        <v>168</v>
      </c>
      <c r="P85" s="1"/>
      <c r="Q85" s="1">
        <f t="shared" si="31"/>
        <v>36.4</v>
      </c>
      <c r="R85" s="5">
        <v>137.59999999999997</v>
      </c>
      <c r="S85" s="5">
        <f t="shared" ref="S85:S86" si="43">15*Q85-P85-O85-F85+Q85*($S$1-1)</f>
        <v>268.64</v>
      </c>
      <c r="T85" s="5">
        <f t="shared" si="35"/>
        <v>252</v>
      </c>
      <c r="U85" s="1"/>
      <c r="V85" s="1">
        <f t="shared" si="32"/>
        <v>17.142857142857142</v>
      </c>
      <c r="W85" s="1">
        <f t="shared" si="33"/>
        <v>10.219780219780221</v>
      </c>
      <c r="X85" s="1">
        <v>34.200000000000003</v>
      </c>
      <c r="Y85" s="1">
        <v>35.799999999999997</v>
      </c>
      <c r="Z85" s="1">
        <v>39.4</v>
      </c>
      <c r="AA85" s="1">
        <v>36</v>
      </c>
      <c r="AB85" s="1">
        <v>44.4</v>
      </c>
      <c r="AC85" s="1">
        <v>41.4</v>
      </c>
      <c r="AD85" s="1">
        <v>48.4</v>
      </c>
      <c r="AE85" s="1">
        <v>34.6</v>
      </c>
      <c r="AF85" s="1">
        <v>12.4</v>
      </c>
      <c r="AG85" s="1">
        <v>0</v>
      </c>
      <c r="AH85" s="1"/>
      <c r="AI85" s="1">
        <f t="shared" si="36"/>
        <v>61.787199999999999</v>
      </c>
      <c r="AJ85" s="7">
        <v>6</v>
      </c>
      <c r="AK85" s="9">
        <f t="shared" si="37"/>
        <v>42</v>
      </c>
      <c r="AL85" s="1">
        <f t="shared" si="38"/>
        <v>57.96</v>
      </c>
      <c r="AM85" s="1">
        <v>14</v>
      </c>
      <c r="AN85" s="1">
        <v>140</v>
      </c>
      <c r="AO85" s="9">
        <f t="shared" si="39"/>
        <v>0.3</v>
      </c>
      <c r="AP85" s="1"/>
      <c r="AQ85" s="1"/>
      <c r="AR85" s="1"/>
      <c r="AS85" s="1"/>
      <c r="AT85" s="1"/>
      <c r="AU85" s="1"/>
      <c r="AV85" s="1"/>
      <c r="AW85" s="1"/>
      <c r="AX85" s="1"/>
    </row>
    <row r="86" spans="1:50" hidden="1" x14ac:dyDescent="0.25">
      <c r="A86" s="1" t="s">
        <v>187</v>
      </c>
      <c r="B86" s="1" t="s">
        <v>90</v>
      </c>
      <c r="C86" s="1">
        <v>32.4</v>
      </c>
      <c r="D86" s="1">
        <v>2.7</v>
      </c>
      <c r="E86" s="1">
        <v>27</v>
      </c>
      <c r="F86" s="1">
        <v>2.7</v>
      </c>
      <c r="G86" s="7">
        <v>1</v>
      </c>
      <c r="H86" s="1">
        <v>180</v>
      </c>
      <c r="I86" s="1" t="s">
        <v>188</v>
      </c>
      <c r="J86" s="1"/>
      <c r="K86" s="1">
        <v>29.7</v>
      </c>
      <c r="L86" s="1">
        <f t="shared" si="30"/>
        <v>-2.6999999999999993</v>
      </c>
      <c r="M86" s="1"/>
      <c r="N86" s="1"/>
      <c r="O86" s="1">
        <v>75.600000000000009</v>
      </c>
      <c r="P86" s="1"/>
      <c r="Q86" s="1">
        <f t="shared" si="31"/>
        <v>5.4</v>
      </c>
      <c r="R86" s="5"/>
      <c r="S86" s="5">
        <f t="shared" si="43"/>
        <v>16.739999999999991</v>
      </c>
      <c r="T86" s="5">
        <f t="shared" si="35"/>
        <v>0</v>
      </c>
      <c r="U86" s="1"/>
      <c r="V86" s="1">
        <f t="shared" si="32"/>
        <v>14.500000000000002</v>
      </c>
      <c r="W86" s="1">
        <f t="shared" si="33"/>
        <v>14.500000000000002</v>
      </c>
      <c r="X86" s="1">
        <v>7.56</v>
      </c>
      <c r="Y86" s="1">
        <v>1.62</v>
      </c>
      <c r="Z86" s="1">
        <v>4.32</v>
      </c>
      <c r="AA86" s="1">
        <v>1.62</v>
      </c>
      <c r="AB86" s="1">
        <v>1.62</v>
      </c>
      <c r="AC86" s="1">
        <v>4.32</v>
      </c>
      <c r="AD86" s="1">
        <v>3.24</v>
      </c>
      <c r="AE86" s="1">
        <v>2.7</v>
      </c>
      <c r="AF86" s="1">
        <v>4.8600000000000003</v>
      </c>
      <c r="AG86" s="1">
        <v>4.8600000000000003</v>
      </c>
      <c r="AH86" s="1"/>
      <c r="AI86" s="1">
        <f t="shared" si="36"/>
        <v>16.739999999999991</v>
      </c>
      <c r="AJ86" s="7">
        <v>2.7</v>
      </c>
      <c r="AK86" s="9">
        <f t="shared" si="37"/>
        <v>0</v>
      </c>
      <c r="AL86" s="1">
        <f t="shared" si="38"/>
        <v>0</v>
      </c>
      <c r="AM86" s="1">
        <v>14</v>
      </c>
      <c r="AN86" s="1">
        <v>126</v>
      </c>
      <c r="AO86" s="9">
        <f t="shared" si="39"/>
        <v>0</v>
      </c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189</v>
      </c>
      <c r="B87" s="1" t="s">
        <v>90</v>
      </c>
      <c r="C87" s="1">
        <v>-5</v>
      </c>
      <c r="D87" s="1">
        <v>1025</v>
      </c>
      <c r="E87" s="19">
        <f>410+E88</f>
        <v>420</v>
      </c>
      <c r="F87" s="1">
        <v>605</v>
      </c>
      <c r="G87" s="7">
        <v>1</v>
      </c>
      <c r="H87" s="1">
        <v>180</v>
      </c>
      <c r="I87" s="1" t="s">
        <v>190</v>
      </c>
      <c r="J87" s="1"/>
      <c r="K87" s="1">
        <v>435</v>
      </c>
      <c r="L87" s="1">
        <f t="shared" si="30"/>
        <v>-15</v>
      </c>
      <c r="M87" s="1"/>
      <c r="N87" s="1"/>
      <c r="O87" s="1">
        <v>120</v>
      </c>
      <c r="P87" s="1"/>
      <c r="Q87" s="1">
        <f t="shared" si="31"/>
        <v>84</v>
      </c>
      <c r="R87" s="5">
        <v>451</v>
      </c>
      <c r="S87" s="5">
        <f>14*Q87-P87-O87-F87+Q87*$S$1</f>
        <v>753.40000000000009</v>
      </c>
      <c r="T87" s="5">
        <f t="shared" si="35"/>
        <v>780</v>
      </c>
      <c r="U87" s="1"/>
      <c r="V87" s="1">
        <f t="shared" si="32"/>
        <v>17.916666666666668</v>
      </c>
      <c r="W87" s="1">
        <f t="shared" si="33"/>
        <v>8.6309523809523814</v>
      </c>
      <c r="X87" s="1">
        <v>83</v>
      </c>
      <c r="Y87" s="1">
        <v>114</v>
      </c>
      <c r="Z87" s="1">
        <v>70</v>
      </c>
      <c r="AA87" s="1">
        <v>99</v>
      </c>
      <c r="AB87" s="1">
        <v>94</v>
      </c>
      <c r="AC87" s="1">
        <v>94</v>
      </c>
      <c r="AD87" s="1">
        <v>77</v>
      </c>
      <c r="AE87" s="1">
        <v>56</v>
      </c>
      <c r="AF87" s="1">
        <v>77</v>
      </c>
      <c r="AG87" s="1">
        <v>62</v>
      </c>
      <c r="AH87" s="26"/>
      <c r="AI87" s="1">
        <f t="shared" si="36"/>
        <v>753.40000000000009</v>
      </c>
      <c r="AJ87" s="7">
        <v>5</v>
      </c>
      <c r="AK87" s="9">
        <f t="shared" si="37"/>
        <v>156</v>
      </c>
      <c r="AL87" s="1">
        <f t="shared" si="38"/>
        <v>780</v>
      </c>
      <c r="AM87" s="1">
        <v>12</v>
      </c>
      <c r="AN87" s="1">
        <v>84</v>
      </c>
      <c r="AO87" s="9">
        <f t="shared" si="39"/>
        <v>1.8571428571428572</v>
      </c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4" t="s">
        <v>191</v>
      </c>
      <c r="B88" s="14" t="s">
        <v>90</v>
      </c>
      <c r="C88" s="14">
        <v>20</v>
      </c>
      <c r="D88" s="14">
        <v>10</v>
      </c>
      <c r="E88" s="19">
        <v>10</v>
      </c>
      <c r="F88" s="14"/>
      <c r="G88" s="15">
        <v>0</v>
      </c>
      <c r="H88" s="14"/>
      <c r="I88" s="14" t="s">
        <v>52</v>
      </c>
      <c r="J88" s="14" t="s">
        <v>189</v>
      </c>
      <c r="K88" s="14">
        <v>80</v>
      </c>
      <c r="L88" s="14">
        <f t="shared" si="30"/>
        <v>-70</v>
      </c>
      <c r="M88" s="14"/>
      <c r="N88" s="14"/>
      <c r="O88" s="14"/>
      <c r="P88" s="14"/>
      <c r="Q88" s="14">
        <f t="shared" si="31"/>
        <v>2</v>
      </c>
      <c r="R88" s="16"/>
      <c r="S88" s="16"/>
      <c r="T88" s="16"/>
      <c r="U88" s="14"/>
      <c r="V88" s="14">
        <f t="shared" si="32"/>
        <v>0</v>
      </c>
      <c r="W88" s="14">
        <f t="shared" si="33"/>
        <v>0</v>
      </c>
      <c r="X88" s="14">
        <v>42</v>
      </c>
      <c r="Y88" s="14">
        <v>3</v>
      </c>
      <c r="Z88" s="14">
        <v>0</v>
      </c>
      <c r="AA88" s="14">
        <v>6</v>
      </c>
      <c r="AB88" s="14">
        <v>7</v>
      </c>
      <c r="AC88" s="14">
        <v>2</v>
      </c>
      <c r="AD88" s="14">
        <v>0</v>
      </c>
      <c r="AE88" s="14">
        <v>0</v>
      </c>
      <c r="AF88" s="14">
        <v>0</v>
      </c>
      <c r="AG88" s="14">
        <v>0</v>
      </c>
      <c r="AH88" s="14"/>
      <c r="AI88" s="14"/>
      <c r="AJ88" s="15"/>
      <c r="AK88" s="17"/>
      <c r="AL88" s="14"/>
      <c r="AM88" s="14"/>
      <c r="AN88" s="14"/>
      <c r="AO88" s="17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O88" xr:uid="{00000000-0009-0000-0000-000000000000}">
    <filterColumn colId="0">
      <filters>
        <filter val="БОНУС_Готовые чебупели сочные с мясом ТМ Горячая штучка флоу-пак 0,24 кг  ПОКОМ"/>
        <filter val="Готовые бельмеши сочные с мясом ТМ Горячая штучка 0,3кг зам  ПОКОМ"/>
        <filter val="Готовые круггетсы сочные ТМ Горячая штучка флоу пак 0,2кг  ПОКОМ"/>
        <filter val="Готовые чебупели сочные с мясом 0,24 кг НОВАЯ ТМ Горячая штучка флоу-пак  ПОКОМ"/>
        <filter val="Готовые чебупели сочные с мясом 0,48 кг НОВАЯ ТМ Горячая штучка флоу-пак МЕГАпачка  ПОКОМ"/>
        <filter val="Готовые чебупели сочные с мясом ТМ Горячая штучка флоу-пак 0,24 кг  ПОКОМ"/>
        <filter val="Готовые чебупели сочные с мясом ТМ Горячая штучка флоу-пак 0,48 кг XXL  Поком"/>
        <filter val="Круггетсы сочные ТМ Горячая штучка ТС Круггетсы 0,25 кг зам  ПОКОМ"/>
        <filter val="Круггетсы сочные ТМ Горячая штучка ТС Круггетсы флоу-пак  0,2 кг.  ПОКОМ"/>
        <filter val="ХБИ Готовые бельмеши сочные с мясом НД1 ТМ Горячая штучка 0,3кг зам  ПОКОМ"/>
        <filter val="Чебуреки сочные ТМ Зареченские ТС Зареченские продукты.  Поком"/>
        <filter val="Чебуреки сочные, ВЕС, куриные жарен. зам  ПОКОМ"/>
      </filters>
    </filterColumn>
  </autoFilter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2026-10-22T10:12:34Z</dcterms:created>
  <dcterms:modified xsi:type="dcterms:W3CDTF">2026-10-29T15:47:53Z</dcterms:modified>
</cp:coreProperties>
</file>