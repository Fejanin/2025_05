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19-20,10,26\"/>
    </mc:Choice>
  </mc:AlternateContent>
  <xr:revisionPtr revIDLastSave="0" documentId="13_ncr:1_{E0D0515C-09C7-438D-9F01-A7703D91949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Y469" i="2"/>
  <c r="X469" i="2"/>
  <c r="BO468" i="2"/>
  <c r="BM468" i="2"/>
  <c r="Y468" i="2"/>
  <c r="BP468" i="2" s="1"/>
  <c r="P468" i="2"/>
  <c r="BO467" i="2"/>
  <c r="BM467" i="2"/>
  <c r="Y467" i="2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P402" i="2"/>
  <c r="BO402" i="2"/>
  <c r="BN402" i="2"/>
  <c r="BM402" i="2"/>
  <c r="Z402" i="2"/>
  <c r="Y402" i="2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P383" i="2"/>
  <c r="BP382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P371" i="2"/>
  <c r="BO371" i="2"/>
  <c r="BN371" i="2"/>
  <c r="BM371" i="2"/>
  <c r="Z371" i="2"/>
  <c r="Y371" i="2"/>
  <c r="P371" i="2"/>
  <c r="BO370" i="2"/>
  <c r="BM370" i="2"/>
  <c r="Z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Z339" i="2"/>
  <c r="Y339" i="2"/>
  <c r="BN339" i="2" s="1"/>
  <c r="P339" i="2"/>
  <c r="X336" i="2"/>
  <c r="X335" i="2"/>
  <c r="BO334" i="2"/>
  <c r="BN334" i="2"/>
  <c r="BM334" i="2"/>
  <c r="Z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Z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P313" i="2"/>
  <c r="Y311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Z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Y194" i="2"/>
  <c r="X194" i="2"/>
  <c r="BO193" i="2"/>
  <c r="BM193" i="2"/>
  <c r="Y193" i="2"/>
  <c r="Y195" i="2" s="1"/>
  <c r="P193" i="2"/>
  <c r="X191" i="2"/>
  <c r="X190" i="2"/>
  <c r="BO189" i="2"/>
  <c r="BM189" i="2"/>
  <c r="Y189" i="2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Z158" i="2"/>
  <c r="Z159" i="2" s="1"/>
  <c r="Y158" i="2"/>
  <c r="BN158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Y141" i="2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Y131" i="2"/>
  <c r="X131" i="2"/>
  <c r="BO130" i="2"/>
  <c r="BM130" i="2"/>
  <c r="Y130" i="2"/>
  <c r="Z130" i="2" s="1"/>
  <c r="Z131" i="2" s="1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P124" i="2"/>
  <c r="BP123" i="2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P91" i="2"/>
  <c r="BO91" i="2"/>
  <c r="BN91" i="2"/>
  <c r="BM91" i="2"/>
  <c r="Z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Z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P60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Z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BN26" i="2" l="1"/>
  <c r="BP26" i="2"/>
  <c r="BP78" i="2"/>
  <c r="Z78" i="2"/>
  <c r="BP84" i="2"/>
  <c r="BN84" i="2"/>
  <c r="Z84" i="2"/>
  <c r="BN112" i="2"/>
  <c r="BN124" i="2"/>
  <c r="Z124" i="2"/>
  <c r="BN154" i="2"/>
  <c r="BN176" i="2"/>
  <c r="BP176" i="2"/>
  <c r="BN181" i="2"/>
  <c r="BN207" i="2"/>
  <c r="BN230" i="2"/>
  <c r="BN237" i="2"/>
  <c r="BN269" i="2"/>
  <c r="BN296" i="2"/>
  <c r="BP314" i="2"/>
  <c r="BN314" i="2"/>
  <c r="Z314" i="2"/>
  <c r="BN316" i="2"/>
  <c r="Z316" i="2"/>
  <c r="BN372" i="2"/>
  <c r="BP384" i="2"/>
  <c r="BN384" i="2"/>
  <c r="Z384" i="2"/>
  <c r="BN392" i="2"/>
  <c r="Z392" i="2"/>
  <c r="BN29" i="2"/>
  <c r="Y68" i="2"/>
  <c r="BN60" i="2"/>
  <c r="Z60" i="2"/>
  <c r="BN92" i="2"/>
  <c r="BN108" i="2"/>
  <c r="BP124" i="2"/>
  <c r="BN126" i="2"/>
  <c r="BP141" i="2"/>
  <c r="Z141" i="2"/>
  <c r="BP151" i="2"/>
  <c r="Z151" i="2"/>
  <c r="BN188" i="2"/>
  <c r="BP188" i="2"/>
  <c r="BN220" i="2"/>
  <c r="BN276" i="2"/>
  <c r="BP276" i="2"/>
  <c r="BN281" i="2"/>
  <c r="BP305" i="2"/>
  <c r="Y307" i="2"/>
  <c r="BP316" i="2"/>
  <c r="BN323" i="2"/>
  <c r="BN327" i="2"/>
  <c r="BP346" i="2"/>
  <c r="BN346" i="2"/>
  <c r="Z346" i="2"/>
  <c r="BN364" i="2"/>
  <c r="BN382" i="2"/>
  <c r="Z382" i="2"/>
  <c r="BP392" i="2"/>
  <c r="BP396" i="2"/>
  <c r="BN396" i="2"/>
  <c r="BN404" i="2"/>
  <c r="BN441" i="2"/>
  <c r="BP451" i="2"/>
  <c r="BN484" i="2"/>
  <c r="AA574" i="2"/>
  <c r="BN516" i="2"/>
  <c r="BN533" i="2"/>
  <c r="BP45" i="2"/>
  <c r="BN52" i="2"/>
  <c r="BN82" i="2"/>
  <c r="BN93" i="2"/>
  <c r="BN109" i="2"/>
  <c r="BN116" i="2"/>
  <c r="BN130" i="2"/>
  <c r="BN146" i="2"/>
  <c r="BN177" i="2"/>
  <c r="BN184" i="2"/>
  <c r="BN193" i="2"/>
  <c r="BN205" i="2"/>
  <c r="BN227" i="2"/>
  <c r="BN238" i="2"/>
  <c r="BP259" i="2"/>
  <c r="BN260" i="2"/>
  <c r="Y262" i="2"/>
  <c r="BN265" i="2"/>
  <c r="BN275" i="2"/>
  <c r="BN279" i="2"/>
  <c r="BN300" i="2"/>
  <c r="BN315" i="2"/>
  <c r="BP339" i="2"/>
  <c r="BN341" i="2"/>
  <c r="BN347" i="2"/>
  <c r="BP370" i="2"/>
  <c r="BN380" i="2"/>
  <c r="BN390" i="2"/>
  <c r="BN416" i="2"/>
  <c r="BN430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X565" i="2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Z79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Z433" i="2" s="1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Z469" i="2" s="1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Z399" i="2" s="1"/>
  <c r="BP410" i="2"/>
  <c r="BN410" i="2"/>
  <c r="Y413" i="2"/>
  <c r="Y453" i="2"/>
  <c r="BP449" i="2"/>
  <c r="Y452" i="2"/>
  <c r="BN449" i="2"/>
  <c r="Z449" i="2"/>
  <c r="X567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Z55" i="2" s="1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291" i="2" s="1"/>
  <c r="Z301" i="2"/>
  <c r="Z313" i="2"/>
  <c r="Z317" i="2" s="1"/>
  <c r="Z324" i="2"/>
  <c r="Y376" i="2"/>
  <c r="Y386" i="2"/>
  <c r="Y394" i="2"/>
  <c r="Z403" i="2"/>
  <c r="BP405" i="2"/>
  <c r="BP456" i="2"/>
  <c r="Z477" i="2"/>
  <c r="Z479" i="2" s="1"/>
  <c r="Z489" i="2"/>
  <c r="Z502" i="2"/>
  <c r="Z505" i="2" s="1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6" i="2" s="1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190" i="2" s="1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102" i="2" l="1"/>
  <c r="Z412" i="2"/>
  <c r="Z406" i="2"/>
  <c r="Z120" i="2"/>
  <c r="Z95" i="2"/>
  <c r="Z142" i="2"/>
  <c r="Z418" i="2"/>
  <c r="Z155" i="2"/>
  <c r="Z127" i="2"/>
  <c r="Z349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<sst xmlns="http://schemas.openxmlformats.org/spreadsheetml/2006/main" count="4287" uniqueCount="917">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</sst>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15" sqref="AA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46314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hidden="1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0</v>
      </c>
      <c r="Y446" s="43">
        <f>IFERROR(Y438/H438,"0")+IFERROR(Y439/H439,"0")+IFERROR(Y440/H440,"0")+IFERROR(Y441/H441,"0")+IFERROR(Y442/H442,"0")+IFERROR(Y443/H443,"0")+IFERROR(Y444/H444,"0")+IFERROR(Y445/H445,"0")</f>
        <v>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0</v>
      </c>
      <c r="Y447" s="43">
        <f>IFERROR(SUM(Y438:Y445),"0")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350</v>
      </c>
      <c r="Y449" s="55">
        <f>IFERROR(IF(X449="",0,CEILING((X449/$H449),1)*$H449),"")</f>
        <v>360</v>
      </c>
      <c r="Z449" s="41">
        <f>IFERROR(IF(Y449=0,"",ROUNDUP(Y449/H449,0)*0.02175),"")</f>
        <v>0.52200000000000002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360.96666666666664</v>
      </c>
      <c r="BN449" s="78">
        <f>IFERROR(Y449*I449/H449,"0")</f>
        <v>371.28</v>
      </c>
      <c r="BO449" s="78">
        <f>IFERROR(1/J449*(X449/H449),"0")</f>
        <v>0.48611111111111105</v>
      </c>
      <c r="BP449" s="78">
        <f>IFERROR(1/J449*(Y449/H449),"0")</f>
        <v>0.5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23.333333333333332</v>
      </c>
      <c r="Y452" s="43">
        <f>IFERROR(Y449/H449,"0")+IFERROR(Y450/H450,"0")+IFERROR(Y451/H451,"0")</f>
        <v>24</v>
      </c>
      <c r="Z452" s="43">
        <f>IFERROR(IF(Z449="",0,Z449),"0")+IFERROR(IF(Z450="",0,Z450),"0")+IFERROR(IF(Z451="",0,Z451),"0")</f>
        <v>0.52200000000000002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350</v>
      </c>
      <c r="Y453" s="43">
        <f>IFERROR(SUM(Y449:Y451),"0")</f>
        <v>360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350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360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360.96666666666664</v>
      </c>
      <c r="Y565" s="43">
        <f>IFERROR(SUM(BN22:BN561),"0")</f>
        <v>371.28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1</v>
      </c>
      <c r="Y566" s="44">
        <f>ROUNDUP(SUM(BP22:BP561),0)</f>
        <v>1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385.96666666666664</v>
      </c>
      <c r="Y567" s="43">
        <f>GrossWeightTotalR+PalletQtyTotalR*25</f>
        <v>396.28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23.333333333333332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24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0.52200000000000002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360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3,33"/>
        <filter val="350,00"/>
        <filter val="360,97"/>
        <filter val="385,9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2026-10-19T08:07:06Z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