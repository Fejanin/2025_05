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A56DD7-21C2-4B56-A196-11964C7B57B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P492" i="2"/>
  <c r="X488" i="2"/>
  <c r="X487" i="2"/>
  <c r="BO486" i="2"/>
  <c r="BM486" i="2"/>
  <c r="Y486" i="2"/>
  <c r="BN486" i="2" s="1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P467" i="2"/>
  <c r="BO466" i="2"/>
  <c r="BM466" i="2"/>
  <c r="Y466" i="2"/>
  <c r="P466" i="2"/>
  <c r="X462" i="2"/>
  <c r="X461" i="2"/>
  <c r="BO460" i="2"/>
  <c r="BM460" i="2"/>
  <c r="Y460" i="2"/>
  <c r="P460" i="2"/>
  <c r="BO459" i="2"/>
  <c r="BM459" i="2"/>
  <c r="Y459" i="2"/>
  <c r="Z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Y409" i="2" s="1"/>
  <c r="P406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P356" i="2"/>
  <c r="BO355" i="2"/>
  <c r="BM355" i="2"/>
  <c r="Y355" i="2"/>
  <c r="BN355" i="2" s="1"/>
  <c r="P355" i="2"/>
  <c r="BO354" i="2"/>
  <c r="BM354" i="2"/>
  <c r="Y354" i="2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Z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N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P270" i="2" s="1"/>
  <c r="P270" i="2"/>
  <c r="X268" i="2"/>
  <c r="X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Y152" i="2" l="1"/>
  <c r="BP85" i="2"/>
  <c r="BN85" i="2"/>
  <c r="Y440" i="2"/>
  <c r="Y416" i="2"/>
  <c r="Y164" i="2"/>
  <c r="Y134" i="2"/>
  <c r="Y539" i="2"/>
  <c r="Y540" i="2"/>
  <c r="BP537" i="2"/>
  <c r="Z537" i="2"/>
  <c r="Y534" i="2"/>
  <c r="Y535" i="2"/>
  <c r="Z533" i="2"/>
  <c r="Z534" i="2" s="1"/>
  <c r="Y527" i="2"/>
  <c r="BP525" i="2"/>
  <c r="Z525" i="2"/>
  <c r="Z526" i="2" s="1"/>
  <c r="Y522" i="2"/>
  <c r="Y523" i="2"/>
  <c r="Z521" i="2"/>
  <c r="Z522" i="2" s="1"/>
  <c r="Z512" i="2"/>
  <c r="BN512" i="2"/>
  <c r="Y516" i="2"/>
  <c r="BN509" i="2"/>
  <c r="BP499" i="2"/>
  <c r="BN499" i="2"/>
  <c r="BP497" i="2"/>
  <c r="Z497" i="2"/>
  <c r="BP492" i="2"/>
  <c r="BN492" i="2"/>
  <c r="BP485" i="2"/>
  <c r="BN485" i="2"/>
  <c r="Z485" i="2"/>
  <c r="Y481" i="2"/>
  <c r="Y482" i="2"/>
  <c r="BP480" i="2"/>
  <c r="Y477" i="2"/>
  <c r="Y476" i="2"/>
  <c r="BN475" i="2"/>
  <c r="Z467" i="2"/>
  <c r="BN467" i="2"/>
  <c r="BP460" i="2"/>
  <c r="BN460" i="2"/>
  <c r="Z458" i="2"/>
  <c r="BN458" i="2"/>
  <c r="BP450" i="2"/>
  <c r="BN450" i="2"/>
  <c r="BP439" i="2"/>
  <c r="BN439" i="2"/>
  <c r="BP437" i="2"/>
  <c r="Z437" i="2"/>
  <c r="BP433" i="2"/>
  <c r="BN433" i="2"/>
  <c r="BN431" i="2"/>
  <c r="BP431" i="2"/>
  <c r="Z431" i="2"/>
  <c r="BP427" i="2"/>
  <c r="BN427" i="2"/>
  <c r="BP425" i="2"/>
  <c r="BN425" i="2"/>
  <c r="BP423" i="2"/>
  <c r="BN423" i="2"/>
  <c r="Z423" i="2"/>
  <c r="BN407" i="2"/>
  <c r="BP407" i="2"/>
  <c r="Z407" i="2"/>
  <c r="BP401" i="2"/>
  <c r="BN401" i="2"/>
  <c r="BP399" i="2"/>
  <c r="Y402" i="2"/>
  <c r="BP395" i="2"/>
  <c r="BN395" i="2"/>
  <c r="Y397" i="2"/>
  <c r="BP393" i="2"/>
  <c r="Z393" i="2"/>
  <c r="BP387" i="2"/>
  <c r="BN387" i="2"/>
  <c r="BP381" i="2"/>
  <c r="BN381" i="2"/>
  <c r="BP374" i="2"/>
  <c r="BN374" i="2"/>
  <c r="Z367" i="2"/>
  <c r="BN367" i="2"/>
  <c r="BN366" i="2"/>
  <c r="BP366" i="2"/>
  <c r="BP364" i="2"/>
  <c r="BN364" i="2"/>
  <c r="BP359" i="2"/>
  <c r="BN359" i="2"/>
  <c r="Z359" i="2"/>
  <c r="Z357" i="2"/>
  <c r="BN357" i="2"/>
  <c r="BN356" i="2"/>
  <c r="BP356" i="2"/>
  <c r="BP354" i="2"/>
  <c r="BN354" i="2"/>
  <c r="BP348" i="2"/>
  <c r="BN348" i="2"/>
  <c r="Z346" i="2"/>
  <c r="BN346" i="2"/>
  <c r="BP341" i="2"/>
  <c r="BN341" i="2"/>
  <c r="BP339" i="2"/>
  <c r="BN339" i="2"/>
  <c r="Z339" i="2"/>
  <c r="BP333" i="2"/>
  <c r="BN333" i="2"/>
  <c r="BP327" i="2"/>
  <c r="BN327" i="2"/>
  <c r="Z327" i="2"/>
  <c r="BP318" i="2"/>
  <c r="BN318" i="2"/>
  <c r="BP316" i="2"/>
  <c r="BN316" i="2"/>
  <c r="BP315" i="2"/>
  <c r="BN315" i="2"/>
  <c r="Y303" i="2"/>
  <c r="BN301" i="2"/>
  <c r="BP293" i="2"/>
  <c r="BN293" i="2"/>
  <c r="BP292" i="2"/>
  <c r="BN292" i="2"/>
  <c r="Z292" i="2"/>
  <c r="BN286" i="2"/>
  <c r="BP286" i="2"/>
  <c r="BN281" i="2"/>
  <c r="BP281" i="2"/>
  <c r="Z281" i="2"/>
  <c r="BN280" i="2"/>
  <c r="Z280" i="2"/>
  <c r="Z277" i="2"/>
  <c r="BN277" i="2"/>
  <c r="BN276" i="2"/>
  <c r="BP276" i="2"/>
  <c r="BP274" i="2"/>
  <c r="BN274" i="2"/>
  <c r="BP272" i="2"/>
  <c r="BN272" i="2"/>
  <c r="BP271" i="2"/>
  <c r="BN271" i="2"/>
  <c r="Z271" i="2"/>
  <c r="BN266" i="2"/>
  <c r="BP266" i="2"/>
  <c r="BN264" i="2"/>
  <c r="BP264" i="2"/>
  <c r="Z264" i="2"/>
  <c r="BP261" i="2"/>
  <c r="BN261" i="2"/>
  <c r="BP249" i="2"/>
  <c r="BN249" i="2"/>
  <c r="Y246" i="2"/>
  <c r="Y245" i="2"/>
  <c r="BN244" i="2"/>
  <c r="BP238" i="2"/>
  <c r="BN238" i="2"/>
  <c r="Z233" i="2"/>
  <c r="BN233" i="2"/>
  <c r="BP226" i="2"/>
  <c r="BN226" i="2"/>
  <c r="Z223" i="2"/>
  <c r="BN223" i="2"/>
  <c r="Z222" i="2"/>
  <c r="BP222" i="2"/>
  <c r="BN221" i="2"/>
  <c r="Z221" i="2"/>
  <c r="BP219" i="2"/>
  <c r="BN219" i="2"/>
  <c r="Z219" i="2"/>
  <c r="BP217" i="2"/>
  <c r="BN217" i="2"/>
  <c r="Z202" i="2"/>
  <c r="BN202" i="2"/>
  <c r="Z201" i="2"/>
  <c r="BN201" i="2"/>
  <c r="BP200" i="2"/>
  <c r="BN200" i="2"/>
  <c r="Z200" i="2"/>
  <c r="Y194" i="2"/>
  <c r="BN193" i="2"/>
  <c r="Y191" i="2"/>
  <c r="Y190" i="2"/>
  <c r="BN189" i="2"/>
  <c r="BP184" i="2"/>
  <c r="BN184" i="2"/>
  <c r="Z184" i="2"/>
  <c r="Z179" i="2"/>
  <c r="BN179" i="2"/>
  <c r="Z177" i="2"/>
  <c r="BN177" i="2"/>
  <c r="BN174" i="2"/>
  <c r="Z174" i="2"/>
  <c r="BP159" i="2"/>
  <c r="BN159" i="2"/>
  <c r="BN150" i="2"/>
  <c r="BP150" i="2"/>
  <c r="Z150" i="2"/>
  <c r="BP142" i="2"/>
  <c r="BN142" i="2"/>
  <c r="Y127" i="2"/>
  <c r="BP126" i="2"/>
  <c r="Z126" i="2"/>
  <c r="Z127" i="2" s="1"/>
  <c r="Z122" i="2"/>
  <c r="BN122" i="2"/>
  <c r="BN115" i="2"/>
  <c r="BP115" i="2"/>
  <c r="Z111" i="2"/>
  <c r="BN111" i="2"/>
  <c r="Z102" i="2"/>
  <c r="BN102" i="2"/>
  <c r="BN95" i="2"/>
  <c r="BP95" i="2"/>
  <c r="Z95" i="2"/>
  <c r="BP89" i="2"/>
  <c r="Z89" i="2"/>
  <c r="BN89" i="2"/>
  <c r="BP87" i="2"/>
  <c r="BN87" i="2"/>
  <c r="BN78" i="2"/>
  <c r="BP78" i="2"/>
  <c r="Z78" i="2"/>
  <c r="BP73" i="2"/>
  <c r="BN73" i="2"/>
  <c r="Z73" i="2"/>
  <c r="BN72" i="2"/>
  <c r="Y75" i="2"/>
  <c r="Y74" i="2"/>
  <c r="BP72" i="2"/>
  <c r="Z72" i="2"/>
  <c r="Z68" i="2"/>
  <c r="BN68" i="2"/>
  <c r="BP65" i="2"/>
  <c r="BN65" i="2"/>
  <c r="Z65" i="2"/>
  <c r="Z58" i="2"/>
  <c r="BN58" i="2"/>
  <c r="BP55" i="2"/>
  <c r="BN55" i="2"/>
  <c r="Y50" i="2"/>
  <c r="BN46" i="2"/>
  <c r="BP39" i="2"/>
  <c r="BN39" i="2"/>
  <c r="BN29" i="2"/>
  <c r="Z29" i="2"/>
  <c r="BP29" i="2"/>
  <c r="BN27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487" i="2" l="1"/>
  <c r="Z539" i="2"/>
  <c r="Z461" i="2"/>
  <c r="Z69" i="2"/>
  <c r="Z133" i="2"/>
  <c r="Z151" i="2"/>
  <c r="Z251" i="2"/>
  <c r="Z74" i="2"/>
  <c r="Z408" i="2"/>
  <c r="Z241" i="2"/>
  <c r="Z440" i="2"/>
  <c r="Z186" i="2"/>
  <c r="Z434" i="2"/>
  <c r="Z396" i="2"/>
  <c r="Z321" i="2"/>
  <c r="Z235" i="2"/>
  <c r="Z349" i="2"/>
  <c r="Z402" i="2"/>
  <c r="X549" i="2"/>
  <c r="Z123" i="2"/>
  <c r="Z256" i="2"/>
  <c r="Z168" i="2"/>
  <c r="Z267" i="2"/>
  <c r="Z328" i="2"/>
  <c r="Z383" i="2"/>
  <c r="Z451" i="2"/>
  <c r="Z50" i="2"/>
  <c r="Z108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<sst xmlns="http://schemas.openxmlformats.org/spreadsheetml/2006/main" count="4117" uniqueCount="870">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</sst>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/>
      <c r="I5" s="971"/>
      <c r="J5" s="971"/>
      <c r="K5" s="971"/>
      <c r="L5" s="971"/>
      <c r="M5" s="971"/>
      <c r="N5" s="69"/>
      <c r="P5" s="26" t="s">
        <v>4</v>
      </c>
      <c r="Q5" s="973">
        <v>46304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852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Пятница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4.1666666666666664E-2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80</v>
      </c>
      <c r="Y46" s="53">
        <f>IFERROR(IF(X46="",0,CEILING((X46/$H46),1)*$H46),"")</f>
        <v>86.4</v>
      </c>
      <c r="Z46" s="39">
        <f>IFERROR(IF(Y46=0,"",ROUNDUP(Y46/H46,0)*0.01898),"")</f>
        <v>0.15184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83.037037037037038</v>
      </c>
      <c r="BN46" s="75">
        <f>IFERROR(Y46*I46/H46,"0")</f>
        <v>89.68</v>
      </c>
      <c r="BO46" s="75">
        <f>IFERROR(1/J46*(X46/H46),"0")</f>
        <v>0.11574074074074073</v>
      </c>
      <c r="BP46" s="75">
        <f>IFERROR(1/J46*(Y46/H46),"0")</f>
        <v>0.125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7.4074074074074066</v>
      </c>
      <c r="Y50" s="41">
        <f>IFERROR(Y46/H46,"0")+IFERROR(Y47/H47,"0")+IFERROR(Y48/H48,"0")+IFERROR(Y49/H49,"0")</f>
        <v>8</v>
      </c>
      <c r="Z50" s="41">
        <f>IFERROR(IF(Z46="",0,Z46),"0")+IFERROR(IF(Z47="",0,Z47),"0")+IFERROR(IF(Z48="",0,Z48),"0")+IFERROR(IF(Z49="",0,Z49),"0")</f>
        <v>0.15184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80</v>
      </c>
      <c r="Y51" s="41">
        <f>IFERROR(SUM(Y46:Y49),"0")</f>
        <v>86.4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200</v>
      </c>
      <c r="Y55" s="53">
        <f t="shared" si="0"/>
        <v>205.20000000000002</v>
      </c>
      <c r="Z55" s="39">
        <f>IFERROR(IF(Y55=0,"",ROUNDUP(Y55/H55,0)*0.01898),"")</f>
        <v>0.36062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207.59259259259258</v>
      </c>
      <c r="BN55" s="75">
        <f t="shared" si="2"/>
        <v>212.99</v>
      </c>
      <c r="BO55" s="75">
        <f t="shared" si="3"/>
        <v>0.28935185185185186</v>
      </c>
      <c r="BP55" s="75">
        <f t="shared" si="4"/>
        <v>0.296875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90</v>
      </c>
      <c r="Y61" s="53">
        <f t="shared" si="0"/>
        <v>90</v>
      </c>
      <c r="Z61" s="39">
        <f>IFERROR(IF(Y61=0,"",ROUNDUP(Y61/H61,0)*0.00902),"")</f>
        <v>0.1804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93.800000000000011</v>
      </c>
      <c r="BN61" s="75">
        <f t="shared" si="2"/>
        <v>93.800000000000011</v>
      </c>
      <c r="BO61" s="75">
        <f t="shared" si="3"/>
        <v>0.15151515151515152</v>
      </c>
      <c r="BP61" s="75">
        <f t="shared" si="4"/>
        <v>0.15151515151515152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38.518518518518519</v>
      </c>
      <c r="Y62" s="41">
        <f>IFERROR(Y54/H54,"0")+IFERROR(Y55/H55,"0")+IFERROR(Y56/H56,"0")+IFERROR(Y57/H57,"0")+IFERROR(Y58/H58,"0")+IFERROR(Y59/H59,"0")+IFERROR(Y60/H60,"0")+IFERROR(Y61/H61,"0")</f>
        <v>39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0.54102000000000006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290</v>
      </c>
      <c r="Y63" s="41">
        <f>IFERROR(SUM(Y54:Y61),"0")</f>
        <v>295.20000000000005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30</v>
      </c>
      <c r="Y65" s="53">
        <f>IFERROR(IF(X65="",0,CEILING((X65/$H65),1)*$H65),"")</f>
        <v>32.400000000000006</v>
      </c>
      <c r="Z65" s="39">
        <f>IFERROR(IF(Y65=0,"",ROUNDUP(Y65/H65,0)*0.01898),"")</f>
        <v>5.6940000000000004E-2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31.138888888888889</v>
      </c>
      <c r="BN65" s="75">
        <f>IFERROR(Y65*I65/H65,"0")</f>
        <v>33.630000000000003</v>
      </c>
      <c r="BO65" s="75">
        <f>IFERROR(1/J65*(X65/H65),"0")</f>
        <v>4.3402777777777776E-2</v>
      </c>
      <c r="BP65" s="75">
        <f>IFERROR(1/J65*(Y65/H65),"0")</f>
        <v>4.6875000000000007E-2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2.7777777777777777</v>
      </c>
      <c r="Y69" s="41">
        <f>IFERROR(Y65/H65,"0")+IFERROR(Y66/H66,"0")+IFERROR(Y67/H67,"0")+IFERROR(Y68/H68,"0")</f>
        <v>3.0000000000000004</v>
      </c>
      <c r="Z69" s="41">
        <f>IFERROR(IF(Z65="",0,Z65),"0")+IFERROR(IF(Z66="",0,Z66),"0")+IFERROR(IF(Z67="",0,Z67),"0")+IFERROR(IF(Z68="",0,Z68),"0")</f>
        <v>5.6940000000000004E-2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30</v>
      </c>
      <c r="Y70" s="41">
        <f>IFERROR(SUM(Y65:Y68),"0")</f>
        <v>32.400000000000006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100</v>
      </c>
      <c r="Y84" s="53">
        <f t="shared" ref="Y84:Y89" si="5">IFERROR(IF(X84="",0,CEILING((X84/$H84),1)*$H84),"")</f>
        <v>108</v>
      </c>
      <c r="Z84" s="39">
        <f>IFERROR(IF(Y84=0,"",ROUNDUP(Y84/H84,0)*0.01898),"")</f>
        <v>0.1898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103.79629629629629</v>
      </c>
      <c r="BN84" s="75">
        <f t="shared" ref="BN84:BN89" si="7">IFERROR(Y84*I84/H84,"0")</f>
        <v>112.1</v>
      </c>
      <c r="BO84" s="75">
        <f t="shared" ref="BO84:BO89" si="8">IFERROR(1/J84*(X84/H84),"0")</f>
        <v>0.14467592592592593</v>
      </c>
      <c r="BP84" s="75">
        <f t="shared" ref="BP84:BP89" si="9">IFERROR(1/J84*(Y84/H84),"0")</f>
        <v>0.15625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45</v>
      </c>
      <c r="Y89" s="53">
        <f t="shared" si="5"/>
        <v>45</v>
      </c>
      <c r="Z89" s="39">
        <f>IFERROR(IF(Y89=0,"",ROUNDUP(Y89/H89,0)*0.00902),"")</f>
        <v>9.0200000000000002E-2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46.900000000000006</v>
      </c>
      <c r="BN89" s="75">
        <f t="shared" si="7"/>
        <v>46.900000000000006</v>
      </c>
      <c r="BO89" s="75">
        <f t="shared" si="8"/>
        <v>7.575757575757576E-2</v>
      </c>
      <c r="BP89" s="75">
        <f t="shared" si="9"/>
        <v>7.575757575757576E-2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19.25925925925926</v>
      </c>
      <c r="Y90" s="41">
        <f>IFERROR(Y84/H84,"0")+IFERROR(Y85/H85,"0")+IFERROR(Y86/H86,"0")+IFERROR(Y87/H87,"0")+IFERROR(Y88/H88,"0")+IFERROR(Y89/H89,"0")</f>
        <v>20</v>
      </c>
      <c r="Z90" s="41">
        <f>IFERROR(IF(Z84="",0,Z84),"0")+IFERROR(IF(Z85="",0,Z85),"0")+IFERROR(IF(Z86="",0,Z86),"0")+IFERROR(IF(Z87="",0,Z87),"0")+IFERROR(IF(Z88="",0,Z88),"0")+IFERROR(IF(Z89="",0,Z89),"0")</f>
        <v>0.28000000000000003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145</v>
      </c>
      <c r="Y91" s="41">
        <f>IFERROR(SUM(Y84:Y89),"0")</f>
        <v>153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200</v>
      </c>
      <c r="Y93" s="53">
        <f>IFERROR(IF(X93="",0,CEILING((X93/$H93),1)*$H93),"")</f>
        <v>202.5</v>
      </c>
      <c r="Z93" s="39">
        <f>IFERROR(IF(Y93=0,"",ROUNDUP(Y93/H93,0)*0.01898),"")</f>
        <v>0.47450000000000003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212.19753086419755</v>
      </c>
      <c r="BN93" s="75">
        <f>IFERROR(Y93*I93/H93,"0")</f>
        <v>214.85</v>
      </c>
      <c r="BO93" s="75">
        <f>IFERROR(1/J93*(X93/H93),"0")</f>
        <v>0.38580246913580246</v>
      </c>
      <c r="BP93" s="75">
        <f>IFERROR(1/J93*(Y93/H93),"0")</f>
        <v>0.390625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24.691358024691358</v>
      </c>
      <c r="Y97" s="41">
        <f>IFERROR(Y93/H93,"0")+IFERROR(Y94/H94,"0")+IFERROR(Y95/H95,"0")+IFERROR(Y96/H96,"0")</f>
        <v>25</v>
      </c>
      <c r="Z97" s="41">
        <f>IFERROR(IF(Z93="",0,Z93),"0")+IFERROR(IF(Z94="",0,Z94),"0")+IFERROR(IF(Z95="",0,Z95),"0")+IFERROR(IF(Z96="",0,Z96),"0")</f>
        <v>0.47450000000000003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200</v>
      </c>
      <c r="Y98" s="41">
        <f>IFERROR(SUM(Y93:Y96),"0")</f>
        <v>202.5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100</v>
      </c>
      <c r="Y101" s="53">
        <f t="shared" ref="Y101:Y107" si="10">IFERROR(IF(X101="",0,CEILING((X101/$H101),1)*$H101),"")</f>
        <v>108</v>
      </c>
      <c r="Z101" s="39">
        <f>IFERROR(IF(Y101=0,"",ROUNDUP(Y101/H101,0)*0.01898),"")</f>
        <v>0.1898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103.79629629629629</v>
      </c>
      <c r="BN101" s="75">
        <f t="shared" ref="BN101:BN107" si="12">IFERROR(Y101*I101/H101,"0")</f>
        <v>112.1</v>
      </c>
      <c r="BO101" s="75">
        <f t="shared" ref="BO101:BO107" si="13">IFERROR(1/J101*(X101/H101),"0")</f>
        <v>0.14467592592592593</v>
      </c>
      <c r="BP101" s="75">
        <f t="shared" ref="BP101:BP107" si="14">IFERROR(1/J101*(Y101/H101),"0")</f>
        <v>0.15625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23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23.971111111111114</v>
      </c>
      <c r="BN105" s="75">
        <f t="shared" si="12"/>
        <v>28.14</v>
      </c>
      <c r="BO105" s="75">
        <f t="shared" si="13"/>
        <v>3.8720538720538718E-2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14.37037037037037</v>
      </c>
      <c r="Y108" s="41">
        <f>IFERROR(Y101/H101,"0")+IFERROR(Y102/H102,"0")+IFERROR(Y103/H103,"0")+IFERROR(Y104/H104,"0")+IFERROR(Y105/H105,"0")+IFERROR(Y106/H106,"0")+IFERROR(Y107/H107,"0")</f>
        <v>16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0.24392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123</v>
      </c>
      <c r="Y109" s="41">
        <f>IFERROR(SUM(Y101:Y107),"0")</f>
        <v>135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500</v>
      </c>
      <c r="Y119" s="53">
        <f>IFERROR(IF(X119="",0,CEILING((X119/$H119),1)*$H119),"")</f>
        <v>502.2</v>
      </c>
      <c r="Z119" s="39">
        <f>IFERROR(IF(Y119=0,"",ROUNDUP(Y119/H119,0)*0.01898),"")</f>
        <v>1.17676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530.12345679012344</v>
      </c>
      <c r="BN119" s="75">
        <f>IFERROR(Y119*I119/H119,"0")</f>
        <v>532.4559999999999</v>
      </c>
      <c r="BO119" s="75">
        <f>IFERROR(1/J119*(X119/H119),"0")</f>
        <v>0.96450617283950624</v>
      </c>
      <c r="BP119" s="75">
        <f>IFERROR(1/J119*(Y119/H119),"0")</f>
        <v>0.96875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61.728395061728399</v>
      </c>
      <c r="Y123" s="41">
        <f>IFERROR(Y119/H119,"0")+IFERROR(Y120/H120,"0")+IFERROR(Y121/H121,"0")+IFERROR(Y122/H122,"0")</f>
        <v>62</v>
      </c>
      <c r="Z123" s="41">
        <f>IFERROR(IF(Z119="",0,Z119),"0")+IFERROR(IF(Z120="",0,Z120),"0")+IFERROR(IF(Z121="",0,Z121),"0")+IFERROR(IF(Z122="",0,Z122),"0")</f>
        <v>1.17676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500</v>
      </c>
      <c r="Y124" s="41">
        <f>IFERROR(SUM(Y119:Y122),"0")</f>
        <v>502.2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100</v>
      </c>
      <c r="Y171" s="53">
        <f t="shared" ref="Y171:Y180" si="15">IFERROR(IF(X171="",0,CEILING((X171/$H171),1)*$H171),"")</f>
        <v>101.5</v>
      </c>
      <c r="Z171" s="39">
        <f>IFERROR(IF(Y171=0,"",ROUNDUP(Y171/H171,0)*0.00902),"")</f>
        <v>0.26158000000000003</v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105.42857142857143</v>
      </c>
      <c r="BN171" s="75">
        <f t="shared" ref="BN171:BN180" si="17">IFERROR(Y171*I171/H171,"0")</f>
        <v>107.00999999999999</v>
      </c>
      <c r="BO171" s="75">
        <f t="shared" ref="BO171:BO180" si="18">IFERROR(1/J171*(X171/H171),"0")</f>
        <v>0.21645021645021648</v>
      </c>
      <c r="BP171" s="75">
        <f t="shared" ref="BP171:BP180" si="19">IFERROR(1/J171*(Y171/H171),"0")</f>
        <v>0.2196969696969697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28.571428571428573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29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0.26158000000000003</v>
      </c>
      <c r="AA181" s="64"/>
      <c r="AB181" s="64"/>
      <c r="AC181" s="64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100</v>
      </c>
      <c r="Y182" s="41">
        <f>IFERROR(SUM(Y171:Y180),"0")</f>
        <v>101.5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0</v>
      </c>
      <c r="Y228" s="41">
        <f>IFERROR(SUM(Y214:Y226),"0")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100</v>
      </c>
      <c r="Y259" s="53">
        <f t="shared" ref="Y259:Y266" si="31">IFERROR(IF(X259="",0,CEILING((X259/$H259),1)*$H259),"")</f>
        <v>102.60000000000001</v>
      </c>
      <c r="Z259" s="39">
        <f>IFERROR(IF(Y259=0,"",ROUNDUP(Y259/H259,0)*0.00902),"")</f>
        <v>0.17138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103.5185185185185</v>
      </c>
      <c r="BN259" s="75">
        <f t="shared" ref="BN259:BN266" si="33">IFERROR(Y259*I259/H259,"0")</f>
        <v>106.21</v>
      </c>
      <c r="BO259" s="75">
        <f t="shared" ref="BO259:BO266" si="34">IFERROR(1/J259*(X259/H259),"0")</f>
        <v>0.14029180695847362</v>
      </c>
      <c r="BP259" s="75">
        <f t="shared" ref="BP259:BP266" si="35">IFERROR(1/J259*(Y259/H259),"0")</f>
        <v>0.14393939393939395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50</v>
      </c>
      <c r="Y260" s="53">
        <f t="shared" si="31"/>
        <v>54</v>
      </c>
      <c r="Z260" s="39">
        <f>IFERROR(IF(Y260=0,"",ROUNDUP(Y260/H260,0)*0.00902),"")</f>
        <v>9.0200000000000002E-2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51.759259259259252</v>
      </c>
      <c r="BN260" s="75">
        <f t="shared" si="33"/>
        <v>55.9</v>
      </c>
      <c r="BO260" s="75">
        <f t="shared" si="34"/>
        <v>7.0145903479236812E-2</v>
      </c>
      <c r="BP260" s="75">
        <f t="shared" si="35"/>
        <v>7.575757575757576E-2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200</v>
      </c>
      <c r="Y261" s="53">
        <f t="shared" si="31"/>
        <v>205.20000000000002</v>
      </c>
      <c r="Z261" s="39">
        <f>IFERROR(IF(Y261=0,"",ROUNDUP(Y261/H261,0)*0.00902),"")</f>
        <v>0.34276000000000001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207.03703703703701</v>
      </c>
      <c r="BN261" s="75">
        <f t="shared" si="33"/>
        <v>212.42</v>
      </c>
      <c r="BO261" s="75">
        <f t="shared" si="34"/>
        <v>0.28058361391694725</v>
      </c>
      <c r="BP261" s="75">
        <f t="shared" si="35"/>
        <v>0.2878787878787879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64.81481481481481</v>
      </c>
      <c r="Y267" s="41">
        <f>IFERROR(Y259/H259,"0")+IFERROR(Y260/H260,"0")+IFERROR(Y261/H261,"0")+IFERROR(Y262/H262,"0")+IFERROR(Y263/H263,"0")+IFERROR(Y264/H264,"0")+IFERROR(Y265/H265,"0")+IFERROR(Y266/H266,"0")</f>
        <v>67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0.6043400000000001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350</v>
      </c>
      <c r="Y268" s="41">
        <f>IFERROR(SUM(Y259:Y266),"0")</f>
        <v>361.80000000000007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100</v>
      </c>
      <c r="Y363" s="53">
        <f t="shared" ref="Y363:Y369" si="56">IFERROR(IF(X363="",0,CEILING((X363/$H363),1)*$H363),"")</f>
        <v>100.80000000000001</v>
      </c>
      <c r="Z363" s="39">
        <f>IFERROR(IF(Y363=0,"",ROUNDUP(Y363/H363,0)*0.00902),"")</f>
        <v>0.21648000000000001</v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105.95238095238095</v>
      </c>
      <c r="BN363" s="75">
        <f t="shared" ref="BN363:BN369" si="58">IFERROR(Y363*I363/H363,"0")</f>
        <v>106.80000000000001</v>
      </c>
      <c r="BO363" s="75">
        <f t="shared" ref="BO363:BO369" si="59">IFERROR(1/J363*(X363/H363),"0")</f>
        <v>0.18037518037518038</v>
      </c>
      <c r="BP363" s="75">
        <f t="shared" ref="BP363:BP369" si="60">IFERROR(1/J363*(Y363/H363),"0")</f>
        <v>0.18181818181818182</v>
      </c>
    </row>
    <row r="364" spans="1:68" ht="27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70</v>
      </c>
      <c r="Y364" s="53">
        <f t="shared" si="56"/>
        <v>71.400000000000006</v>
      </c>
      <c r="Z364" s="39">
        <f>IFERROR(IF(Y364=0,"",ROUNDUP(Y364/H364,0)*0.00902),"")</f>
        <v>0.15334</v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74.166666666666657</v>
      </c>
      <c r="BN364" s="75">
        <f t="shared" si="58"/>
        <v>75.650000000000006</v>
      </c>
      <c r="BO364" s="75">
        <f t="shared" si="59"/>
        <v>0.12626262626262624</v>
      </c>
      <c r="BP364" s="75">
        <f t="shared" si="60"/>
        <v>0.12878787878787878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40.476190476190474</v>
      </c>
      <c r="Y370" s="41">
        <f>IFERROR(Y363/H363,"0")+IFERROR(Y364/H364,"0")+IFERROR(Y365/H365,"0")+IFERROR(Y366/H366,"0")+IFERROR(Y367/H367,"0")+IFERROR(Y368/H368,"0")+IFERROR(Y369/H369,"0")</f>
        <v>41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0.36982000000000004</v>
      </c>
      <c r="AA370" s="64"/>
      <c r="AB370" s="64"/>
      <c r="AC370" s="64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170</v>
      </c>
      <c r="Y371" s="41">
        <f>IFERROR(SUM(Y363:Y369),"0")</f>
        <v>172.20000000000002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18</v>
      </c>
      <c r="Y389" s="53">
        <f>IFERROR(IF(X389="",0,CEILING((X389/$H389),1)*$H389),"")</f>
        <v>20.399999999999999</v>
      </c>
      <c r="Z389" s="39">
        <f>IFERROR(IF(Y389=0,"",ROUNDUP(Y389/H389,0)*0.00651),"")</f>
        <v>5.2080000000000001E-2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20.329411764705881</v>
      </c>
      <c r="BN389" s="75">
        <f>IFERROR(Y389*I389/H389,"0")</f>
        <v>23.04</v>
      </c>
      <c r="BO389" s="75">
        <f>IFERROR(1/J389*(X389/H389),"0")</f>
        <v>3.8784744667097616E-2</v>
      </c>
      <c r="BP389" s="75">
        <f>IFERROR(1/J389*(Y389/H389),"0")</f>
        <v>4.3956043956043959E-2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7.0588235294117654</v>
      </c>
      <c r="Y390" s="41">
        <f>IFERROR(Y386/H386,"0")+IFERROR(Y387/H387,"0")+IFERROR(Y388/H388,"0")+IFERROR(Y389/H389,"0")</f>
        <v>8</v>
      </c>
      <c r="Z390" s="41">
        <f>IFERROR(IF(Z386="",0,Z386),"0")+IFERROR(IF(Z387="",0,Z387),"0")+IFERROR(IF(Z388="",0,Z388),"0")+IFERROR(IF(Z389="",0,Z389),"0")</f>
        <v>5.2080000000000001E-2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18</v>
      </c>
      <c r="Y391" s="41">
        <f>IFERROR(SUM(Y386:Y389),"0")</f>
        <v>20.399999999999999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3000</v>
      </c>
      <c r="Y421" s="53">
        <f t="shared" si="61"/>
        <v>3000</v>
      </c>
      <c r="Z421" s="39">
        <f>IFERROR(IF(Y421=0,"",ROUNDUP(Y421/H421,0)*0.02175),"")</f>
        <v>4.3499999999999996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3094</v>
      </c>
      <c r="BN421" s="75">
        <f t="shared" si="63"/>
        <v>3094</v>
      </c>
      <c r="BO421" s="75">
        <f t="shared" si="64"/>
        <v>4.1666666666666661</v>
      </c>
      <c r="BP421" s="75">
        <f t="shared" si="65"/>
        <v>4.1666666666666661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1500</v>
      </c>
      <c r="Y422" s="53">
        <f t="shared" si="61"/>
        <v>1500</v>
      </c>
      <c r="Z422" s="39">
        <f>IFERROR(IF(Y422=0,"",ROUNDUP(Y422/H422,0)*0.02175),"")</f>
        <v>2.1749999999999998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1547</v>
      </c>
      <c r="BN422" s="75">
        <f t="shared" si="63"/>
        <v>1547</v>
      </c>
      <c r="BO422" s="75">
        <f t="shared" si="64"/>
        <v>2.083333333333333</v>
      </c>
      <c r="BP422" s="75">
        <f t="shared" si="65"/>
        <v>2.083333333333333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1500</v>
      </c>
      <c r="Y423" s="53">
        <f t="shared" si="61"/>
        <v>1500</v>
      </c>
      <c r="Z423" s="39">
        <f>IFERROR(IF(Y423=0,"",ROUNDUP(Y423/H423,0)*0.02175),"")</f>
        <v>2.1749999999999998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1547</v>
      </c>
      <c r="BN423" s="75">
        <f t="shared" si="63"/>
        <v>1547</v>
      </c>
      <c r="BO423" s="75">
        <f t="shared" si="64"/>
        <v>2.083333333333333</v>
      </c>
      <c r="BP423" s="75">
        <f t="shared" si="65"/>
        <v>2.083333333333333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400</v>
      </c>
      <c r="Y428" s="41">
        <f>IFERROR(Y420/H420,"0")+IFERROR(Y421/H421,"0")+IFERROR(Y422/H422,"0")+IFERROR(Y423/H423,"0")+IFERROR(Y424/H424,"0")+IFERROR(Y425/H425,"0")+IFERROR(Y426/H426,"0")+IFERROR(Y427/H427,"0")</f>
        <v>400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8.6999999999999993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6000</v>
      </c>
      <c r="Y429" s="41">
        <f>IFERROR(SUM(Y420:Y427),"0")</f>
        <v>6000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2500</v>
      </c>
      <c r="Y431" s="53">
        <f>IFERROR(IF(X431="",0,CEILING((X431/$H431),1)*$H431),"")</f>
        <v>2505</v>
      </c>
      <c r="Z431" s="39">
        <f>IFERROR(IF(Y431=0,"",ROUNDUP(Y431/H431,0)*0.02175),"")</f>
        <v>3.6322499999999995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2578.3333333333335</v>
      </c>
      <c r="BN431" s="75">
        <f>IFERROR(Y431*I431/H431,"0")</f>
        <v>2583.4899999999998</v>
      </c>
      <c r="BO431" s="75">
        <f>IFERROR(1/J431*(X431/H431),"0")</f>
        <v>3.4722222222222219</v>
      </c>
      <c r="BP431" s="75">
        <f>IFERROR(1/J431*(Y431/H431),"0")</f>
        <v>3.4791666666666665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166.66666666666666</v>
      </c>
      <c r="Y434" s="41">
        <f>IFERROR(Y431/H431,"0")+IFERROR(Y432/H432,"0")+IFERROR(Y433/H433,"0")</f>
        <v>167</v>
      </c>
      <c r="Z434" s="41">
        <f>IFERROR(IF(Z431="",0,Z431),"0")+IFERROR(IF(Z432="",0,Z432),"0")+IFERROR(IF(Z433="",0,Z433),"0")</f>
        <v>3.6322499999999995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2500</v>
      </c>
      <c r="Y435" s="41">
        <f>IFERROR(SUM(Y431:Y433),"0")</f>
        <v>2505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300</v>
      </c>
      <c r="Y458" s="53">
        <f>IFERROR(IF(X458="",0,CEILING((X458/$H458),1)*$H458),"")</f>
        <v>306</v>
      </c>
      <c r="Z458" s="39">
        <f>IFERROR(IF(Y458=0,"",ROUNDUP(Y458/H458,0)*0.01898),"")</f>
        <v>0.64532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316.46666666666664</v>
      </c>
      <c r="BN458" s="75">
        <f>IFERROR(Y458*I458/H458,"0")</f>
        <v>322.79599999999999</v>
      </c>
      <c r="BO458" s="75">
        <f>IFERROR(1/J458*(X458/H458),"0")</f>
        <v>0.52083333333333337</v>
      </c>
      <c r="BP458" s="75">
        <f>IFERROR(1/J458*(Y458/H458),"0")</f>
        <v>0.53125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33.333333333333336</v>
      </c>
      <c r="Y461" s="41">
        <f>IFERROR(Y458/H458,"0")+IFERROR(Y459/H459,"0")+IFERROR(Y460/H460,"0")</f>
        <v>34</v>
      </c>
      <c r="Z461" s="41">
        <f>IFERROR(IF(Z458="",0,Z458),"0")+IFERROR(IF(Z459="",0,Z459),"0")+IFERROR(IF(Z460="",0,Z460),"0")</f>
        <v>0.64532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300</v>
      </c>
      <c r="Y462" s="41">
        <f>IFERROR(SUM(Y458:Y460),"0")</f>
        <v>306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100</v>
      </c>
      <c r="Y467" s="53">
        <f t="shared" si="66"/>
        <v>102.60000000000001</v>
      </c>
      <c r="Z467" s="39">
        <f>IFERROR(IF(Y467=0,"",ROUNDUP(Y467/H467,0)*0.00902),"")</f>
        <v>0.17138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103.5185185185185</v>
      </c>
      <c r="BN467" s="75">
        <f t="shared" si="68"/>
        <v>106.21</v>
      </c>
      <c r="BO467" s="75">
        <f t="shared" si="69"/>
        <v>0.14029180695847362</v>
      </c>
      <c r="BP467" s="75">
        <f t="shared" si="70"/>
        <v>0.14393939393939395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18.518518518518519</v>
      </c>
      <c r="Y472" s="41">
        <f>IFERROR(Y466/H466,"0")+IFERROR(Y467/H467,"0")+IFERROR(Y468/H468,"0")+IFERROR(Y469/H469,"0")+IFERROR(Y470/H470,"0")+IFERROR(Y471/H471,"0")</f>
        <v>19</v>
      </c>
      <c r="Z472" s="41">
        <f>IFERROR(IF(Z466="",0,Z466),"0")+IFERROR(IF(Z467="",0,Z467),"0")+IFERROR(IF(Z468="",0,Z468),"0")+IFERROR(IF(Z469="",0,Z469),"0")+IFERROR(IF(Z470="",0,Z470),"0")+IFERROR(IF(Z471="",0,Z471),"0")</f>
        <v>0.17138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100</v>
      </c>
      <c r="Y473" s="41">
        <f>IFERROR(SUM(Y466:Y471),"0")</f>
        <v>102.60000000000001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0</v>
      </c>
      <c r="Y487" s="41">
        <f>IFERROR(Y484/H484,"0")+IFERROR(Y485/H485,"0")+IFERROR(Y486/H486,"0")</f>
        <v>0</v>
      </c>
      <c r="Z487" s="41">
        <f>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0</v>
      </c>
      <c r="Y488" s="41">
        <f>IFERROR(SUM(Y484:Y486),"0")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100</v>
      </c>
      <c r="Y494" s="53">
        <f t="shared" si="71"/>
        <v>100.32000000000001</v>
      </c>
      <c r="Z494" s="39">
        <f>IFERROR(IF(Y494=0,"",ROUNDUP(Y494/H494,0)*0.01196),"")</f>
        <v>0.22724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106.62878787878788</v>
      </c>
      <c r="BN494" s="75">
        <f t="shared" si="73"/>
        <v>106.97</v>
      </c>
      <c r="BO494" s="75">
        <f t="shared" si="74"/>
        <v>0.18210955710955709</v>
      </c>
      <c r="BP494" s="75">
        <f t="shared" si="75"/>
        <v>0.18269230769230771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200</v>
      </c>
      <c r="Y495" s="53">
        <f t="shared" si="71"/>
        <v>200.64000000000001</v>
      </c>
      <c r="Z495" s="39">
        <f>IFERROR(IF(Y495=0,"",ROUNDUP(Y495/H495,0)*0.01196),"")</f>
        <v>0.45448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213.25757575757575</v>
      </c>
      <c r="BN495" s="75">
        <f t="shared" si="73"/>
        <v>213.94</v>
      </c>
      <c r="BO495" s="75">
        <f t="shared" si="74"/>
        <v>0.36421911421911418</v>
      </c>
      <c r="BP495" s="75">
        <f t="shared" si="75"/>
        <v>0.36538461538461542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550</v>
      </c>
      <c r="Y496" s="53">
        <f t="shared" si="71"/>
        <v>554.4</v>
      </c>
      <c r="Z496" s="39">
        <f>IFERROR(IF(Y496=0,"",ROUNDUP(Y496/H496,0)*0.01196),"")</f>
        <v>1.2558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586.45833333333326</v>
      </c>
      <c r="BN496" s="75">
        <f t="shared" si="73"/>
        <v>591.15</v>
      </c>
      <c r="BO496" s="75">
        <f t="shared" si="74"/>
        <v>1.0016025641025641</v>
      </c>
      <c r="BP496" s="75">
        <f t="shared" si="75"/>
        <v>1.0096153846153846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160.98484848484847</v>
      </c>
      <c r="Y500" s="41">
        <f>IFERROR(Y492/H492,"0")+IFERROR(Y493/H493,"0")+IFERROR(Y494/H494,"0")+IFERROR(Y495/H495,"0")+IFERROR(Y496/H496,"0")+IFERROR(Y497/H497,"0")+IFERROR(Y498/H498,"0")+IFERROR(Y499/H499,"0")</f>
        <v>162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1.9375200000000001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850</v>
      </c>
      <c r="Y501" s="41">
        <f>IFERROR(SUM(Y492:Y499),"0")</f>
        <v>855.36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400</v>
      </c>
      <c r="Y503" s="53">
        <f>IFERROR(IF(X503="",0,CEILING((X503/$H503),1)*$H503),"")</f>
        <v>401.28000000000003</v>
      </c>
      <c r="Z503" s="39">
        <f>IFERROR(IF(Y503=0,"",ROUNDUP(Y503/H503,0)*0.01196),"")</f>
        <v>0.90895999999999999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426.5151515151515</v>
      </c>
      <c r="BN503" s="75">
        <f>IFERROR(Y503*I503/H503,"0")</f>
        <v>427.88</v>
      </c>
      <c r="BO503" s="75">
        <f>IFERROR(1/J503*(X503/H503),"0")</f>
        <v>0.72843822843822836</v>
      </c>
      <c r="BP503" s="75">
        <f>IFERROR(1/J503*(Y503/H503),"0")</f>
        <v>0.73076923076923084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75.757575757575751</v>
      </c>
      <c r="Y506" s="41">
        <f>IFERROR(Y503/H503,"0")+IFERROR(Y504/H504,"0")+IFERROR(Y505/H505,"0")</f>
        <v>76</v>
      </c>
      <c r="Z506" s="41">
        <f>IFERROR(IF(Z503="",0,Z503),"0")+IFERROR(IF(Z504="",0,Z504),"0")+IFERROR(IF(Z505="",0,Z505),"0")</f>
        <v>0.90895999999999999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400</v>
      </c>
      <c r="Y507" s="41">
        <f>IFERROR(SUM(Y503:Y505),"0")</f>
        <v>401.28000000000003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100</v>
      </c>
      <c r="Y509" s="53">
        <f t="shared" ref="Y509:Y515" si="76">IFERROR(IF(X509="",0,CEILING((X509/$H509),1)*$H509),"")</f>
        <v>100.32000000000001</v>
      </c>
      <c r="Z509" s="39">
        <f>IFERROR(IF(Y509=0,"",ROUNDUP(Y509/H509,0)*0.01196),"")</f>
        <v>0.22724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106.62878787878788</v>
      </c>
      <c r="BN509" s="75">
        <f t="shared" ref="BN509:BN515" si="78">IFERROR(Y509*I509/H509,"0")</f>
        <v>106.97</v>
      </c>
      <c r="BO509" s="75">
        <f t="shared" ref="BO509:BO515" si="79">IFERROR(1/J509*(X509/H509),"0")</f>
        <v>0.18210955710955709</v>
      </c>
      <c r="BP509" s="75">
        <f t="shared" ref="BP509:BP515" si="80">IFERROR(1/J509*(Y509/H509),"0")</f>
        <v>0.18269230769230771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150</v>
      </c>
      <c r="Y510" s="53">
        <f t="shared" si="76"/>
        <v>153.12</v>
      </c>
      <c r="Z510" s="39">
        <f>IFERROR(IF(Y510=0,"",ROUNDUP(Y510/H510,0)*0.01196),"")</f>
        <v>0.34683999999999998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159.94318181818181</v>
      </c>
      <c r="BN510" s="75">
        <f t="shared" si="78"/>
        <v>163.26999999999998</v>
      </c>
      <c r="BO510" s="75">
        <f t="shared" si="79"/>
        <v>0.27316433566433568</v>
      </c>
      <c r="BP510" s="75">
        <f t="shared" si="80"/>
        <v>0.27884615384615385</v>
      </c>
    </row>
    <row r="511" spans="1:68" ht="27" hidden="1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6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47.348484848484844</v>
      </c>
      <c r="Y516" s="41">
        <f>IFERROR(Y509/H509,"0")+IFERROR(Y510/H510,"0")+IFERROR(Y511/H511,"0")+IFERROR(Y512/H512,"0")+IFERROR(Y513/H513,"0")+IFERROR(Y514/H514,"0")+IFERROR(Y515/H515,"0")</f>
        <v>48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0.57407999999999992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250</v>
      </c>
      <c r="Y517" s="41">
        <f>IFERROR(SUM(Y509:Y515),"0")</f>
        <v>253.44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12406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12486.280000000002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12890.295392204021</v>
      </c>
      <c r="Y547" s="41">
        <f>IFERROR(SUM(BN22:BN543),"0")</f>
        <v>12974.351999999997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19</v>
      </c>
      <c r="Y548" s="42">
        <f>ROUNDUP(SUM(BP22:BP543),0)</f>
        <v>19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13365.295392204021</v>
      </c>
      <c r="Y549" s="41">
        <f>GrossWeightTotalR+PalletQtyTotalR*25</f>
        <v>13449.351999999997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1212.2837714210261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1224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20.782309999999999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86.4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327.60000000000002</v>
      </c>
      <c r="F556" s="50">
        <f>IFERROR(Y84*1,"0")+IFERROR(Y85*1,"0")+IFERROR(Y86*1,"0")+IFERROR(Y87*1,"0")+IFERROR(Y88*1,"0")+IFERROR(Y89*1,"0")+IFERROR(Y93*1,"0")+IFERROR(Y94*1,"0")+IFERROR(Y95*1,"0")+IFERROR(Y96*1,"0")</f>
        <v>355.5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637.20000000000005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101.5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361.80000000000007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192.60000000000002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8505</v>
      </c>
      <c r="X556" s="50">
        <f>IFERROR(Y449*1,"0")+IFERROR(Y450*1,"0")+IFERROR(Y454*1,"0")+IFERROR(Y458*1,"0")+IFERROR(Y459*1,"0")+IFERROR(Y460*1,"0")</f>
        <v>306</v>
      </c>
      <c r="Y556" s="50">
        <f>IFERROR(Y466*1,"0")+IFERROR(Y467*1,"0")+IFERROR(Y468*1,"0")+IFERROR(Y469*1,"0")+IFERROR(Y470*1,"0")+IFERROR(Y471*1,"0")+IFERROR(Y475*1,"0")</f>
        <v>102.60000000000001</v>
      </c>
      <c r="Z556" s="50">
        <f>IFERROR(Y480*1,"0")+IFERROR(Y484*1,"0")+IFERROR(Y485*1,"0")+IFERROR(Y486*1,"0")</f>
        <v>0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1510.08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2,28"/>
        <filter val="1 500,00"/>
        <filter val="100,00"/>
        <filter val="12 406,00"/>
        <filter val="12 890,30"/>
        <filter val="123,00"/>
        <filter val="13 365,30"/>
        <filter val="14,37"/>
        <filter val="145,00"/>
        <filter val="150,00"/>
        <filter val="160,98"/>
        <filter val="166,67"/>
        <filter val="170,00"/>
        <filter val="18,00"/>
        <filter val="18,52"/>
        <filter val="19"/>
        <filter val="19,26"/>
        <filter val="2 500,00"/>
        <filter val="2,78"/>
        <filter val="200,00"/>
        <filter val="23,00"/>
        <filter val="24,69"/>
        <filter val="250,00"/>
        <filter val="28,57"/>
        <filter val="290,00"/>
        <filter val="3 000,00"/>
        <filter val="30,00"/>
        <filter val="300,00"/>
        <filter val="33,33"/>
        <filter val="350,00"/>
        <filter val="38,52"/>
        <filter val="40,48"/>
        <filter val="400,00"/>
        <filter val="45,00"/>
        <filter val="47,35"/>
        <filter val="50,00"/>
        <filter val="500,00"/>
        <filter val="550,00"/>
        <filter val="6 000,00"/>
        <filter val="61,73"/>
        <filter val="64,81"/>
        <filter val="7,06"/>
        <filter val="7,41"/>
        <filter val="70,00"/>
        <filter val="75,76"/>
        <filter val="80,00"/>
        <filter val="850,00"/>
        <filter val="9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9" spans="2:8" x14ac:dyDescent="0.2">
      <c r="B9" s="51" t="s">
        <v>858</v>
      </c>
      <c r="C9" s="51" t="s">
        <v>853</v>
      </c>
      <c r="D9" s="51" t="s">
        <v>46</v>
      </c>
      <c r="E9" s="51" t="s">
        <v>46</v>
      </c>
    </row>
    <row r="11" spans="2:8" x14ac:dyDescent="0.2">
      <c r="B11" s="51" t="s">
        <v>858</v>
      </c>
      <c r="C11" s="51" t="s">
        <v>856</v>
      </c>
      <c r="D11" s="51" t="s">
        <v>46</v>
      </c>
      <c r="E11" s="51" t="s">
        <v>46</v>
      </c>
    </row>
    <row r="13" spans="2:8" x14ac:dyDescent="0.2">
      <c r="B13" s="51" t="s">
        <v>859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869</v>
      </c>
      <c r="C23" s="51" t="s">
        <v>46</v>
      </c>
      <c r="D23" s="51" t="s">
        <v>46</v>
      </c>
      <c r="E23" s="51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2026-10-13T08:46:39Z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