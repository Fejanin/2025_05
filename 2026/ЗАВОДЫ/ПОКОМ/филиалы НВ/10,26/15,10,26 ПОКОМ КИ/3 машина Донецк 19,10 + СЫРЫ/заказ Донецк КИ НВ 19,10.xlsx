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B95D7DE-679A-4C48-A3D0-77E8E0DA52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Z190" i="1"/>
  <c r="Z256" i="1"/>
  <c r="Y31" i="1"/>
  <c r="Y37" i="1"/>
  <c r="Y47" i="1"/>
  <c r="Y80" i="1"/>
  <c r="Y114" i="1"/>
  <c r="Y55" i="1"/>
  <c r="Y68" i="1"/>
  <c r="Y74" i="1"/>
  <c r="Y86" i="1"/>
  <c r="Y95" i="1"/>
  <c r="Y103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Y257" i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Z418" i="1"/>
  <c r="BP416" i="1"/>
  <c r="BN416" i="1"/>
  <c r="Z416" i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7" i="1" s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Z155" i="1" s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Z386" i="1" s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72" i="1" l="1"/>
  <c r="Z102" i="1"/>
  <c r="Y565" i="1"/>
  <c r="Y566" i="1"/>
  <c r="Z31" i="1"/>
  <c r="Z518" i="1"/>
  <c r="Z433" i="1"/>
  <c r="Z490" i="1"/>
  <c r="Z343" i="1"/>
  <c r="Z317" i="1"/>
  <c r="Z302" i="1"/>
  <c r="Z365" i="1"/>
  <c r="Z291" i="1"/>
  <c r="Z240" i="1"/>
  <c r="Z127" i="1"/>
  <c r="Z67" i="1"/>
  <c r="Y568" i="1"/>
  <c r="Z446" i="1"/>
  <c r="Z232" i="1"/>
  <c r="Z167" i="1"/>
  <c r="Z426" i="1"/>
  <c r="Z505" i="1"/>
  <c r="Z393" i="1"/>
  <c r="Z328" i="1"/>
  <c r="Z286" i="1"/>
  <c r="Z399" i="1"/>
  <c r="Z210" i="1"/>
  <c r="Z85" i="1"/>
  <c r="Y564" i="1"/>
  <c r="Z335" i="1"/>
  <c r="Z185" i="1"/>
  <c r="Z569" i="1" l="1"/>
  <c r="Y567" i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<sst xmlns="http://schemas.openxmlformats.org/spreadsheetml/2006/main" count="2536" uniqueCount="916">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</sst>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122</v>
      </c>
      <c r="Y51" s="634">
        <f>IFERROR(IF(X51="",0,CEILING((X51/$H51),1)*$H51),"")</f>
        <v>129.60000000000002</v>
      </c>
      <c r="Z51" s="36">
        <f>IFERROR(IF(Y51=0,"",ROUNDUP(Y51/H51,0)*0.01898),"")</f>
        <v>0.22776000000000002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126.63148148148149</v>
      </c>
      <c r="BN51" s="64">
        <f>IFERROR(Y51*I51/H51,"0")</f>
        <v>134.52000000000001</v>
      </c>
      <c r="BO51" s="64">
        <f>IFERROR(1/J51*(X51/H51),"0")</f>
        <v>0.17650462962962962</v>
      </c>
      <c r="BP51" s="64">
        <f>IFERROR(1/J51*(Y51/H51),"0")</f>
        <v>0.18750000000000003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19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19.975675675675674</v>
      </c>
      <c r="BN54" s="64">
        <f>IFERROR(Y54*I54/H54,"0")</f>
        <v>23.340000000000003</v>
      </c>
      <c r="BO54" s="64">
        <f>IFERROR(1/J54*(X54/H54),"0")</f>
        <v>3.8902538902538905E-2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16.431431431431431</v>
      </c>
      <c r="Y55" s="635">
        <f>IFERROR(Y51/H51,"0")+IFERROR(Y52/H52,"0")+IFERROR(Y53/H53,"0")+IFERROR(Y54/H54,"0")</f>
        <v>18.000000000000004</v>
      </c>
      <c r="Z55" s="635">
        <f>IFERROR(IF(Z51="",0,Z51),"0")+IFERROR(IF(Z52="",0,Z52),"0")+IFERROR(IF(Z53="",0,Z53),"0")+IFERROR(IF(Z54="",0,Z54),"0")</f>
        <v>0.28188000000000002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141</v>
      </c>
      <c r="Y56" s="635">
        <f>IFERROR(SUM(Y51:Y54),"0")</f>
        <v>151.80000000000001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67</v>
      </c>
      <c r="Y59" s="634">
        <f t="shared" ref="Y59:Y66" si="0">IFERROR(IF(X59="",0,CEILING((X59/$H59),1)*$H59),"")</f>
        <v>67.199999999999989</v>
      </c>
      <c r="Z59" s="36">
        <f>IFERROR(IF(Y59=0,"",ROUNDUP(Y59/H59,0)*0.01898),"")</f>
        <v>0.11388000000000001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69.452678571428578</v>
      </c>
      <c r="BN59" s="64">
        <f t="shared" ref="BN59:BN66" si="2">IFERROR(Y59*I59/H59,"0")</f>
        <v>69.659999999999982</v>
      </c>
      <c r="BO59" s="64">
        <f t="shared" ref="BO59:BO66" si="3">IFERROR(1/J59*(X59/H59),"0")</f>
        <v>9.3470982142857151E-2</v>
      </c>
      <c r="BP59" s="64">
        <f t="shared" ref="BP59:BP66" si="4">IFERROR(1/J59*(Y59/H59),"0")</f>
        <v>9.3749999999999986E-2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24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25.013333333333335</v>
      </c>
      <c r="BN66" s="64">
        <f t="shared" si="2"/>
        <v>28.14</v>
      </c>
      <c r="BO66" s="64">
        <f t="shared" si="3"/>
        <v>4.0404040404040401E-2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11.31547619047619</v>
      </c>
      <c r="Y67" s="635">
        <f>IFERROR(Y59/H59,"0")+IFERROR(Y60/H60,"0")+IFERROR(Y61/H61,"0")+IFERROR(Y62/H62,"0")+IFERROR(Y63/H63,"0")+IFERROR(Y64/H64,"0")+IFERROR(Y65/H65,"0")+IFERROR(Y66/H66,"0")</f>
        <v>12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0.16800000000000001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91</v>
      </c>
      <c r="Y68" s="635">
        <f>IFERROR(SUM(Y59:Y66),"0")</f>
        <v>94.199999999999989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30</v>
      </c>
      <c r="Y82" s="634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31.57692307692308</v>
      </c>
      <c r="BN82" s="64">
        <f>IFERROR(Y82*I82/H82,"0")</f>
        <v>32.840000000000003</v>
      </c>
      <c r="BO82" s="64">
        <f>IFERROR(1/J82*(X82/H82),"0")</f>
        <v>6.0096153846153848E-2</v>
      </c>
      <c r="BP82" s="64">
        <f>IFERROR(1/J82*(Y82/H82),"0")</f>
        <v>6.25E-2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3.8461538461538463</v>
      </c>
      <c r="Y85" s="635">
        <f>IFERROR(Y82/H82,"0")+IFERROR(Y83/H83,"0")+IFERROR(Y84/H84,"0")</f>
        <v>4</v>
      </c>
      <c r="Z85" s="635">
        <f>IFERROR(IF(Z82="",0,Z82),"0")+IFERROR(IF(Z83="",0,Z83),"0")+IFERROR(IF(Z84="",0,Z84),"0")</f>
        <v>7.5920000000000001E-2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30</v>
      </c>
      <c r="Y86" s="635">
        <f>IFERROR(SUM(Y82:Y84),"0")</f>
        <v>31.2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313</v>
      </c>
      <c r="Y89" s="634">
        <f t="shared" ref="Y89:Y94" si="5">IFERROR(IF(X89="",0,CEILING((X89/$H89),1)*$H89),"")</f>
        <v>313.20000000000005</v>
      </c>
      <c r="Z89" s="36">
        <f>IFERROR(IF(Y89=0,"",ROUNDUP(Y89/H89,0)*0.01898),"")</f>
        <v>0.55042000000000002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324.88240740740741</v>
      </c>
      <c r="BN89" s="64">
        <f t="shared" ref="BN89:BN94" si="7">IFERROR(Y89*I89/H89,"0")</f>
        <v>325.09000000000003</v>
      </c>
      <c r="BO89" s="64">
        <f t="shared" ref="BO89:BO94" si="8">IFERROR(1/J89*(X89/H89),"0")</f>
        <v>0.45283564814814814</v>
      </c>
      <c r="BP89" s="64">
        <f t="shared" ref="BP89:BP94" si="9">IFERROR(1/J89*(Y89/H89),"0")</f>
        <v>0.45312500000000006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92</v>
      </c>
      <c r="Y94" s="634">
        <f t="shared" si="5"/>
        <v>94.5</v>
      </c>
      <c r="Z94" s="36">
        <f>IFERROR(IF(Y94=0,"",ROUNDUP(Y94/H94,0)*0.00902),"")</f>
        <v>0.18942000000000001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95.884444444444455</v>
      </c>
      <c r="BN94" s="64">
        <f t="shared" si="7"/>
        <v>98.490000000000009</v>
      </c>
      <c r="BO94" s="64">
        <f t="shared" si="8"/>
        <v>0.15488215488215487</v>
      </c>
      <c r="BP94" s="64">
        <f t="shared" si="9"/>
        <v>0.15909090909090909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49.425925925925924</v>
      </c>
      <c r="Y95" s="635">
        <f>IFERROR(Y89/H89,"0")+IFERROR(Y90/H90,"0")+IFERROR(Y91/H91,"0")+IFERROR(Y92/H92,"0")+IFERROR(Y93/H93,"0")+IFERROR(Y94/H94,"0")</f>
        <v>50</v>
      </c>
      <c r="Z95" s="635">
        <f>IFERROR(IF(Z89="",0,Z89),"0")+IFERROR(IF(Z90="",0,Z90),"0")+IFERROR(IF(Z91="",0,Z91),"0")+IFERROR(IF(Z92="",0,Z92),"0")+IFERROR(IF(Z93="",0,Z93),"0")+IFERROR(IF(Z94="",0,Z94),"0")</f>
        <v>0.73984000000000005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405</v>
      </c>
      <c r="Y96" s="635">
        <f>IFERROR(SUM(Y89:Y94),"0")</f>
        <v>407.70000000000005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195</v>
      </c>
      <c r="Y98" s="634">
        <f>IFERROR(IF(X98="",0,CEILING((X98/$H98),1)*$H98),"")</f>
        <v>202.5</v>
      </c>
      <c r="Z98" s="36">
        <f>IFERROR(IF(Y98=0,"",ROUNDUP(Y98/H98,0)*0.01898),"")</f>
        <v>0.47450000000000003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206.89259259259259</v>
      </c>
      <c r="BN98" s="64">
        <f>IFERROR(Y98*I98/H98,"0")</f>
        <v>214.85</v>
      </c>
      <c r="BO98" s="64">
        <f>IFERROR(1/J98*(X98/H98),"0")</f>
        <v>0.37615740740740744</v>
      </c>
      <c r="BP98" s="64">
        <f>IFERROR(1/J98*(Y98/H98),"0")</f>
        <v>0.390625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252</v>
      </c>
      <c r="Y100" s="634">
        <f>IFERROR(IF(X100="",0,CEILING((X100/$H100),1)*$H100),"")</f>
        <v>253.8</v>
      </c>
      <c r="Z100" s="36">
        <f>IFERROR(IF(Y100=0,"",ROUNDUP(Y100/H100,0)*0.00651),"")</f>
        <v>0.61194000000000004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275.52</v>
      </c>
      <c r="BN100" s="64">
        <f>IFERROR(Y100*I100/H100,"0")</f>
        <v>277.488</v>
      </c>
      <c r="BO100" s="64">
        <f>IFERROR(1/J100*(X100/H100),"0")</f>
        <v>0.51282051282051289</v>
      </c>
      <c r="BP100" s="64">
        <f>IFERROR(1/J100*(Y100/H100),"0")</f>
        <v>0.51648351648351654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117.4074074074074</v>
      </c>
      <c r="Y102" s="635">
        <f>IFERROR(Y98/H98,"0")+IFERROR(Y99/H99,"0")+IFERROR(Y100/H100,"0")+IFERROR(Y101/H101,"0")</f>
        <v>119</v>
      </c>
      <c r="Z102" s="635">
        <f>IFERROR(IF(Z98="",0,Z98),"0")+IFERROR(IF(Z99="",0,Z99),"0")+IFERROR(IF(Z100="",0,Z100),"0")+IFERROR(IF(Z101="",0,Z101),"0")</f>
        <v>1.0864400000000001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447</v>
      </c>
      <c r="Y103" s="635">
        <f>IFERROR(SUM(Y98:Y101),"0")</f>
        <v>456.3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88</v>
      </c>
      <c r="Y106" s="634">
        <f t="shared" ref="Y106:Y112" si="10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91.340740740740742</v>
      </c>
      <c r="BN106" s="64">
        <f t="shared" ref="BN106:BN112" si="12">IFERROR(Y106*I106/H106,"0")</f>
        <v>100.89</v>
      </c>
      <c r="BO106" s="64">
        <f t="shared" ref="BO106:BO112" si="13">IFERROR(1/J106*(X106/H106),"0")</f>
        <v>0.1273148148148148</v>
      </c>
      <c r="BP106" s="64">
        <f t="shared" ref="BP106:BP112" si="14">IFERROR(1/J106*(Y106/H106),"0")</f>
        <v>0.140625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131</v>
      </c>
      <c r="Y110" s="634">
        <f t="shared" si="10"/>
        <v>135</v>
      </c>
      <c r="Z110" s="36">
        <f>IFERROR(IF(Y110=0,"",ROUNDUP(Y110/H110,0)*0.00902),"")</f>
        <v>0.27060000000000001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136.53111111111113</v>
      </c>
      <c r="BN110" s="64">
        <f t="shared" si="12"/>
        <v>140.70000000000002</v>
      </c>
      <c r="BO110" s="64">
        <f t="shared" si="13"/>
        <v>0.22053872053872053</v>
      </c>
      <c r="BP110" s="64">
        <f t="shared" si="14"/>
        <v>0.22727272727272729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37.25925925925926</v>
      </c>
      <c r="Y113" s="635">
        <f>IFERROR(Y106/H106,"0")+IFERROR(Y107/H107,"0")+IFERROR(Y108/H108,"0")+IFERROR(Y109/H109,"0")+IFERROR(Y110/H110,"0")+IFERROR(Y111/H111,"0")+IFERROR(Y112/H112,"0")</f>
        <v>39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0.44142000000000003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219</v>
      </c>
      <c r="Y114" s="635">
        <f>IFERROR(SUM(Y106:Y112),"0")</f>
        <v>232.2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29</v>
      </c>
      <c r="Y119" s="634">
        <f>IFERROR(IF(X119="",0,CEILING((X119/$H119),1)*$H119),"")</f>
        <v>31.2</v>
      </c>
      <c r="Z119" s="36">
        <f>IFERROR(IF(Y119=0,"",ROUNDUP(Y119/H119,0)*0.00651),"")</f>
        <v>8.4629999999999997E-2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31.175000000000004</v>
      </c>
      <c r="BN119" s="64">
        <f>IFERROR(Y119*I119/H119,"0")</f>
        <v>33.54</v>
      </c>
      <c r="BO119" s="64">
        <f>IFERROR(1/J119*(X119/H119),"0")</f>
        <v>6.6391941391941406E-2</v>
      </c>
      <c r="BP119" s="64">
        <f>IFERROR(1/J119*(Y119/H119),"0")</f>
        <v>7.1428571428571438E-2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12.083333333333334</v>
      </c>
      <c r="Y120" s="635">
        <f>IFERROR(Y116/H116,"0")+IFERROR(Y117/H117,"0")+IFERROR(Y118/H118,"0")+IFERROR(Y119/H119,"0")</f>
        <v>13</v>
      </c>
      <c r="Z120" s="635">
        <f>IFERROR(IF(Z116="",0,Z116),"0")+IFERROR(IF(Z117="",0,Z117),"0")+IFERROR(IF(Z118="",0,Z118),"0")+IFERROR(IF(Z119="",0,Z119),"0")</f>
        <v>8.4629999999999997E-2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29</v>
      </c>
      <c r="Y121" s="635">
        <f>IFERROR(SUM(Y116:Y119),"0")</f>
        <v>31.2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1656</v>
      </c>
      <c r="Y123" s="634">
        <f>IFERROR(IF(X123="",0,CEILING((X123/$H123),1)*$H123),"")</f>
        <v>1660.5</v>
      </c>
      <c r="Z123" s="36">
        <f>IFERROR(IF(Y123=0,"",ROUNDUP(Y123/H123,0)*0.01898),"")</f>
        <v>3.8909000000000002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1755.7688888888888</v>
      </c>
      <c r="BN123" s="64">
        <f>IFERROR(Y123*I123/H123,"0")</f>
        <v>1760.5399999999997</v>
      </c>
      <c r="BO123" s="64">
        <f>IFERROR(1/J123*(X123/H123),"0")</f>
        <v>3.1944444444444446</v>
      </c>
      <c r="BP123" s="64">
        <f>IFERROR(1/J123*(Y123/H123),"0")</f>
        <v>3.203125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526</v>
      </c>
      <c r="Y125" s="634">
        <f>IFERROR(IF(X125="",0,CEILING((X125/$H125),1)*$H125),"")</f>
        <v>526.5</v>
      </c>
      <c r="Z125" s="36">
        <f>IFERROR(IF(Y125=0,"",ROUNDUP(Y125/H125,0)*0.00651),"")</f>
        <v>1.26945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575.09333333333325</v>
      </c>
      <c r="BN125" s="64">
        <f>IFERROR(Y125*I125/H125,"0")</f>
        <v>575.64</v>
      </c>
      <c r="BO125" s="64">
        <f>IFERROR(1/J125*(X125/H125),"0")</f>
        <v>1.0704110704110705</v>
      </c>
      <c r="BP125" s="64">
        <f>IFERROR(1/J125*(Y125/H125),"0")</f>
        <v>1.0714285714285716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399.25925925925924</v>
      </c>
      <c r="Y127" s="635">
        <f>IFERROR(Y123/H123,"0")+IFERROR(Y124/H124,"0")+IFERROR(Y125/H125,"0")+IFERROR(Y126/H126,"0")</f>
        <v>400</v>
      </c>
      <c r="Z127" s="635">
        <f>IFERROR(IF(Z123="",0,Z123),"0")+IFERROR(IF(Z124="",0,Z124),"0")+IFERROR(IF(Z125="",0,Z125),"0")+IFERROR(IF(Z126="",0,Z126),"0")</f>
        <v>5.1603500000000002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2182</v>
      </c>
      <c r="Y128" s="635">
        <f>IFERROR(SUM(Y123:Y126),"0")</f>
        <v>2187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30</v>
      </c>
      <c r="Y130" s="634">
        <f>IFERROR(IF(X130="",0,CEILING((X130/$H130),1)*$H130),"")</f>
        <v>31.68</v>
      </c>
      <c r="Z130" s="36">
        <f>IFERROR(IF(Y130=0,"",ROUNDUP(Y130/H130,0)*0.00651),"")</f>
        <v>0.10416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33.909090909090907</v>
      </c>
      <c r="BN130" s="64">
        <f>IFERROR(Y130*I130/H130,"0")</f>
        <v>35.808</v>
      </c>
      <c r="BO130" s="64">
        <f>IFERROR(1/J130*(X130/H130),"0")</f>
        <v>8.3250083250083262E-2</v>
      </c>
      <c r="BP130" s="64">
        <f>IFERROR(1/J130*(Y130/H130),"0")</f>
        <v>8.7912087912087919E-2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15.151515151515152</v>
      </c>
      <c r="Y131" s="635">
        <f>IFERROR(Y130/H130,"0")</f>
        <v>16</v>
      </c>
      <c r="Z131" s="635">
        <f>IFERROR(IF(Z130="",0,Z130),"0")</f>
        <v>0.10416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30</v>
      </c>
      <c r="Y132" s="635">
        <f>IFERROR(SUM(Y130:Y130),"0")</f>
        <v>31.68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22</v>
      </c>
      <c r="Y135" s="634">
        <f>IFERROR(IF(X135="",0,CEILING((X135/$H135),1)*$H135),"")</f>
        <v>22.400000000000002</v>
      </c>
      <c r="Z135" s="36">
        <f>IFERROR(IF(Y135=0,"",ROUNDUP(Y135/H135,0)*0.00651),"")</f>
        <v>4.5569999999999999E-2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23.237499999999997</v>
      </c>
      <c r="BN135" s="64">
        <f>IFERROR(Y135*I135/H135,"0")</f>
        <v>23.66</v>
      </c>
      <c r="BO135" s="64">
        <f>IFERROR(1/J135*(X135/H135),"0")</f>
        <v>3.7774725274725279E-2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6.875</v>
      </c>
      <c r="Y137" s="635">
        <f>IFERROR(Y135/H135,"0")+IFERROR(Y136/H136,"0")</f>
        <v>7</v>
      </c>
      <c r="Z137" s="635">
        <f>IFERROR(IF(Z135="",0,Z135),"0")+IFERROR(IF(Z136="",0,Z136),"0")</f>
        <v>4.5569999999999999E-2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22</v>
      </c>
      <c r="Y138" s="635">
        <f>IFERROR(SUM(Y135:Y136),"0")</f>
        <v>22.400000000000002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25</v>
      </c>
      <c r="Y140" s="634">
        <f>IFERROR(IF(X140="",0,CEILING((X140/$H140),1)*$H140),"")</f>
        <v>25.2</v>
      </c>
      <c r="Z140" s="36">
        <f>IFERROR(IF(Y140=0,"",ROUNDUP(Y140/H140,0)*0.00651),"")</f>
        <v>5.8590000000000003E-2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27.392857142857146</v>
      </c>
      <c r="BN140" s="64">
        <f>IFERROR(Y140*I140/H140,"0")</f>
        <v>27.611999999999998</v>
      </c>
      <c r="BO140" s="64">
        <f>IFERROR(1/J140*(X140/H140),"0")</f>
        <v>4.9058084772370489E-2</v>
      </c>
      <c r="BP140" s="64">
        <f>IFERROR(1/J140*(Y140/H140),"0")</f>
        <v>4.9450549450549455E-2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8.9285714285714288</v>
      </c>
      <c r="Y142" s="635">
        <f>IFERROR(Y140/H140,"0")+IFERROR(Y141/H141,"0")</f>
        <v>9</v>
      </c>
      <c r="Z142" s="635">
        <f>IFERROR(IF(Z140="",0,Z140),"0")+IFERROR(IF(Z141="",0,Z141),"0")</f>
        <v>5.8590000000000003E-2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25</v>
      </c>
      <c r="Y143" s="635">
        <f>IFERROR(SUM(Y140:Y141),"0")</f>
        <v>25.2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25</v>
      </c>
      <c r="Y175" s="634">
        <f t="shared" ref="Y175:Y184" si="15">IFERROR(IF(X175="",0,CEILING((X175/$H175),1)*$H175),"")</f>
        <v>28</v>
      </c>
      <c r="Z175" s="36">
        <f>IFERROR(IF(Y175=0,"",ROUNDUP(Y175/H175,0)*0.00902),"")</f>
        <v>7.2160000000000002E-2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26.357142857142858</v>
      </c>
      <c r="BN175" s="64">
        <f t="shared" ref="BN175:BN184" si="17">IFERROR(Y175*I175/H175,"0")</f>
        <v>29.52</v>
      </c>
      <c r="BO175" s="64">
        <f t="shared" ref="BO175:BO184" si="18">IFERROR(1/J175*(X175/H175),"0")</f>
        <v>5.4112554112554119E-2</v>
      </c>
      <c r="BP175" s="64">
        <f t="shared" ref="BP175:BP184" si="19">IFERROR(1/J175*(Y175/H175),"0")</f>
        <v>6.0606060606060608E-2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43</v>
      </c>
      <c r="Y180" s="634">
        <f t="shared" si="15"/>
        <v>43.68</v>
      </c>
      <c r="Z180" s="36">
        <f>IFERROR(IF(Y180=0,"",ROUNDUP(Y180/H180,0)*0.00502),"")</f>
        <v>0.13052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45.559523809523817</v>
      </c>
      <c r="BN180" s="64">
        <f t="shared" si="17"/>
        <v>46.28</v>
      </c>
      <c r="BO180" s="64">
        <f t="shared" si="18"/>
        <v>0.10938135938135939</v>
      </c>
      <c r="BP180" s="64">
        <f t="shared" si="19"/>
        <v>0.11111111111111112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123</v>
      </c>
      <c r="Y182" s="634">
        <f t="shared" si="15"/>
        <v>124.32</v>
      </c>
      <c r="Z182" s="36">
        <f>IFERROR(IF(Y182=0,"",ROUNDUP(Y182/H182,0)*0.00502),"")</f>
        <v>0.37148000000000003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130.32142857142858</v>
      </c>
      <c r="BN182" s="64">
        <f t="shared" si="17"/>
        <v>131.72</v>
      </c>
      <c r="BO182" s="64">
        <f t="shared" si="18"/>
        <v>0.31288156288156294</v>
      </c>
      <c r="BP182" s="64">
        <f t="shared" si="19"/>
        <v>0.31623931623931628</v>
      </c>
    </row>
    <row r="183" spans="1:68" ht="27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3</v>
      </c>
      <c r="Y183" s="634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3.333333333333333</v>
      </c>
      <c r="BN183" s="64">
        <f t="shared" si="17"/>
        <v>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109.28571428571429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112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0.59084000000000003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194</v>
      </c>
      <c r="Y186" s="635">
        <f>IFERROR(SUM(Y175:Y184),"0")</f>
        <v>199.6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7</v>
      </c>
      <c r="Y222" s="634">
        <f t="shared" si="26"/>
        <v>7.2</v>
      </c>
      <c r="Z222" s="36">
        <f>IFERROR(IF(Y222=0,"",ROUNDUP(Y222/H222,0)*0.00556),"")</f>
        <v>5.0040000000000001E-2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8.1375000000000011</v>
      </c>
      <c r="BN222" s="64">
        <f t="shared" si="28"/>
        <v>8.370000000000001</v>
      </c>
      <c r="BO222" s="64">
        <f t="shared" si="29"/>
        <v>3.7393162393162399E-2</v>
      </c>
      <c r="BP222" s="64">
        <f t="shared" si="30"/>
        <v>3.8461538461538464E-2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16</v>
      </c>
      <c r="Y223" s="634">
        <f t="shared" si="26"/>
        <v>16.8</v>
      </c>
      <c r="Z223" s="36">
        <f>IFERROR(IF(Y223=0,"",ROUNDUP(Y223/H223,0)*0.00502),"")</f>
        <v>4.0160000000000001E-2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16.990476190476191</v>
      </c>
      <c r="BN223" s="64">
        <f t="shared" si="28"/>
        <v>17.84</v>
      </c>
      <c r="BO223" s="64">
        <f t="shared" si="29"/>
        <v>3.2560032560032565E-2</v>
      </c>
      <c r="BP223" s="64">
        <f t="shared" si="30"/>
        <v>3.4188034188034191E-2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60</v>
      </c>
      <c r="Y229" s="634">
        <f t="shared" si="26"/>
        <v>60.900000000000006</v>
      </c>
      <c r="Z229" s="36">
        <f>IFERROR(IF(Y229=0,"",ROUNDUP(Y229/H229,0)*0.00502),"")</f>
        <v>0.14558000000000001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62.857142857142854</v>
      </c>
      <c r="BN229" s="64">
        <f t="shared" si="28"/>
        <v>63.800000000000004</v>
      </c>
      <c r="BO229" s="64">
        <f t="shared" si="29"/>
        <v>0.12210012210012211</v>
      </c>
      <c r="BP229" s="64">
        <f t="shared" si="30"/>
        <v>0.12393162393162395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44.94047619047619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0.23578000000000002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83</v>
      </c>
      <c r="Y233" s="635">
        <f>IFERROR(SUM(Y218:Y231),"0")</f>
        <v>84.9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91</v>
      </c>
      <c r="Y264" s="634">
        <f t="shared" ref="Y264:Y271" si="31">IFERROR(IF(X264="",0,CEILING((X264/$H264),1)*$H264),"")</f>
        <v>91.800000000000011</v>
      </c>
      <c r="Z264" s="36">
        <f>IFERROR(IF(Y264=0,"",ROUNDUP(Y264/H264,0)*0.00902),"")</f>
        <v>0.15334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94.201851851851842</v>
      </c>
      <c r="BN264" s="64">
        <f t="shared" ref="BN264:BN271" si="33">IFERROR(Y264*I264/H264,"0")</f>
        <v>95.03</v>
      </c>
      <c r="BO264" s="64">
        <f t="shared" ref="BO264:BO271" si="34">IFERROR(1/J264*(X264/H264),"0")</f>
        <v>0.127665544332211</v>
      </c>
      <c r="BP264" s="64">
        <f t="shared" ref="BP264:BP271" si="35">IFERROR(1/J264*(Y264/H264),"0")</f>
        <v>0.12878787878787878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117</v>
      </c>
      <c r="Y265" s="634">
        <f t="shared" si="31"/>
        <v>118.80000000000001</v>
      </c>
      <c r="Z265" s="36">
        <f>IFERROR(IF(Y265=0,"",ROUNDUP(Y265/H265,0)*0.00902),"")</f>
        <v>0.19844000000000001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121.11666666666666</v>
      </c>
      <c r="BN265" s="64">
        <f t="shared" si="33"/>
        <v>122.98</v>
      </c>
      <c r="BO265" s="64">
        <f t="shared" si="34"/>
        <v>0.16414141414141412</v>
      </c>
      <c r="BP265" s="64">
        <f t="shared" si="35"/>
        <v>0.16666666666666669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79</v>
      </c>
      <c r="Y266" s="634">
        <f t="shared" si="31"/>
        <v>81</v>
      </c>
      <c r="Z266" s="36">
        <f>IFERROR(IF(Y266=0,"",ROUNDUP(Y266/H266,0)*0.00902),"")</f>
        <v>0.1353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81.779629629629625</v>
      </c>
      <c r="BN266" s="64">
        <f t="shared" si="33"/>
        <v>83.85</v>
      </c>
      <c r="BO266" s="64">
        <f t="shared" si="34"/>
        <v>0.11083052749719416</v>
      </c>
      <c r="BP266" s="64">
        <f t="shared" si="35"/>
        <v>0.11363636363636363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58</v>
      </c>
      <c r="Y267" s="634">
        <f t="shared" si="31"/>
        <v>59.400000000000006</v>
      </c>
      <c r="Z267" s="36">
        <f>IFERROR(IF(Y267=0,"",ROUNDUP(Y267/H267,0)*0.00902),"")</f>
        <v>9.9220000000000003E-2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60.040740740740731</v>
      </c>
      <c r="BN267" s="64">
        <f t="shared" si="33"/>
        <v>61.49</v>
      </c>
      <c r="BO267" s="64">
        <f t="shared" si="34"/>
        <v>8.1369248035914707E-2</v>
      </c>
      <c r="BP267" s="64">
        <f t="shared" si="35"/>
        <v>8.3333333333333343E-2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3</v>
      </c>
      <c r="Y268" s="634">
        <f t="shared" si="31"/>
        <v>3.6</v>
      </c>
      <c r="Z268" s="36">
        <f>IFERROR(IF(Y268=0,"",ROUNDUP(Y268/H268,0)*0.00502),"")</f>
        <v>1.004E-2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3.2166666666666668</v>
      </c>
      <c r="BN268" s="64">
        <f t="shared" si="33"/>
        <v>3.8599999999999994</v>
      </c>
      <c r="BO268" s="64">
        <f t="shared" si="34"/>
        <v>7.1225071225071226E-3</v>
      </c>
      <c r="BP268" s="64">
        <f t="shared" si="35"/>
        <v>8.5470085470085479E-3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3</v>
      </c>
      <c r="Y269" s="634">
        <f t="shared" si="31"/>
        <v>3.6</v>
      </c>
      <c r="Z269" s="36">
        <f>IFERROR(IF(Y269=0,"",ROUNDUP(Y269/H269,0)*0.00502),"")</f>
        <v>1.004E-2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3.1666666666666661</v>
      </c>
      <c r="BN269" s="64">
        <f t="shared" si="33"/>
        <v>3.8</v>
      </c>
      <c r="BO269" s="64">
        <f t="shared" si="34"/>
        <v>7.1225071225071226E-3</v>
      </c>
      <c r="BP269" s="64">
        <f t="shared" si="35"/>
        <v>8.5470085470085479E-3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23</v>
      </c>
      <c r="Y271" s="634">
        <f t="shared" si="31"/>
        <v>23.400000000000002</v>
      </c>
      <c r="Z271" s="36">
        <f>IFERROR(IF(Y271=0,"",ROUNDUP(Y271/H271,0)*0.00502),"")</f>
        <v>6.5259999999999999E-2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24.277777777777775</v>
      </c>
      <c r="BN271" s="64">
        <f t="shared" si="33"/>
        <v>24.7</v>
      </c>
      <c r="BO271" s="64">
        <f t="shared" si="34"/>
        <v>5.4605887939221276E-2</v>
      </c>
      <c r="BP271" s="64">
        <f t="shared" si="35"/>
        <v>5.5555555555555559E-2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80</v>
      </c>
      <c r="Y272" s="635">
        <f>IFERROR(Y264/H264,"0")+IFERROR(Y265/H265,"0")+IFERROR(Y266/H266,"0")+IFERROR(Y267/H267,"0")+IFERROR(Y268/H268,"0")+IFERROR(Y269/H269,"0")+IFERROR(Y270/H270,"0")+IFERROR(Y271/H271,"0")</f>
        <v>82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0.67164000000000001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374</v>
      </c>
      <c r="Y273" s="635">
        <f>IFERROR(SUM(Y264:Y271),"0")</f>
        <v>381.6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594</v>
      </c>
      <c r="Y275" s="634">
        <f t="shared" ref="Y275:Y285" si="36">IFERROR(IF(X275="",0,CEILING((X275/$H275),1)*$H275),"")</f>
        <v>599.4</v>
      </c>
      <c r="Z275" s="36">
        <f>IFERROR(IF(Y275=0,"",ROUNDUP(Y275/H275,0)*0.01898),"")</f>
        <v>1.40452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630.22666666666657</v>
      </c>
      <c r="BN275" s="64">
        <f t="shared" ref="BN275:BN285" si="38">IFERROR(Y275*I275/H275,"0")</f>
        <v>635.95600000000002</v>
      </c>
      <c r="BO275" s="64">
        <f t="shared" ref="BO275:BO285" si="39">IFERROR(1/J275*(X275/H275),"0")</f>
        <v>1.1458333333333335</v>
      </c>
      <c r="BP275" s="64">
        <f t="shared" ref="BP275:BP285" si="40">IFERROR(1/J275*(Y275/H275),"0")</f>
        <v>1.15625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71</v>
      </c>
      <c r="Y276" s="634">
        <f t="shared" si="36"/>
        <v>72.899999999999991</v>
      </c>
      <c r="Z276" s="36">
        <f>IFERROR(IF(Y276=0,"",ROUNDUP(Y276/H276,0)*0.01898),"")</f>
        <v>0.17082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75.172345679012352</v>
      </c>
      <c r="BN276" s="64">
        <f t="shared" si="38"/>
        <v>77.183999999999997</v>
      </c>
      <c r="BO276" s="64">
        <f t="shared" si="39"/>
        <v>0.13695987654320987</v>
      </c>
      <c r="BP276" s="64">
        <f t="shared" si="40"/>
        <v>0.140625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146</v>
      </c>
      <c r="Y277" s="634">
        <f t="shared" si="36"/>
        <v>147.89999999999998</v>
      </c>
      <c r="Z277" s="36">
        <f>IFERROR(IF(Y277=0,"",ROUNDUP(Y277/H277,0)*0.01898),"")</f>
        <v>0.32266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154.29011494252876</v>
      </c>
      <c r="BN277" s="64">
        <f t="shared" si="38"/>
        <v>156.298</v>
      </c>
      <c r="BO277" s="64">
        <f t="shared" si="39"/>
        <v>0.26221264367816094</v>
      </c>
      <c r="BP277" s="64">
        <f t="shared" si="40"/>
        <v>0.265625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113</v>
      </c>
      <c r="Y278" s="634">
        <f t="shared" si="36"/>
        <v>115.19999999999999</v>
      </c>
      <c r="Z278" s="36">
        <f>IFERROR(IF(Y278=0,"",ROUNDUP(Y278/H278,0)*0.00651),"")</f>
        <v>0.31247999999999998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125.71249999999999</v>
      </c>
      <c r="BN278" s="64">
        <f t="shared" si="38"/>
        <v>128.15999999999997</v>
      </c>
      <c r="BO278" s="64">
        <f t="shared" si="39"/>
        <v>0.25869963369963372</v>
      </c>
      <c r="BP278" s="64">
        <f t="shared" si="40"/>
        <v>0.26373626373626374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662</v>
      </c>
      <c r="Y280" s="634">
        <f t="shared" si="36"/>
        <v>662.4</v>
      </c>
      <c r="Z280" s="36">
        <f>IFERROR(IF(Y280=0,"",ROUNDUP(Y280/H280,0)*0.00651),"")</f>
        <v>1.7967600000000001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731.51</v>
      </c>
      <c r="BN280" s="64">
        <f t="shared" si="38"/>
        <v>731.952</v>
      </c>
      <c r="BO280" s="64">
        <f t="shared" si="39"/>
        <v>1.515567765567766</v>
      </c>
      <c r="BP280" s="64">
        <f t="shared" si="40"/>
        <v>1.5164835164835166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157</v>
      </c>
      <c r="Y282" s="634">
        <f t="shared" si="36"/>
        <v>158.4</v>
      </c>
      <c r="Z282" s="36">
        <f>IFERROR(IF(Y282=0,"",ROUNDUP(Y282/H282,0)*0.00651),"")</f>
        <v>0.42965999999999999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173.48500000000001</v>
      </c>
      <c r="BN282" s="64">
        <f t="shared" si="38"/>
        <v>175.03200000000004</v>
      </c>
      <c r="BO282" s="64">
        <f t="shared" si="39"/>
        <v>0.35943223443223449</v>
      </c>
      <c r="BP282" s="64">
        <f t="shared" si="40"/>
        <v>0.36263736263736268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109</v>
      </c>
      <c r="Y283" s="634">
        <f t="shared" si="36"/>
        <v>110.39999999999999</v>
      </c>
      <c r="Z283" s="36">
        <f>IFERROR(IF(Y283=0,"",ROUNDUP(Y283/H283,0)*0.00651),"")</f>
        <v>0.29946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120.44500000000002</v>
      </c>
      <c r="BN283" s="64">
        <f t="shared" si="38"/>
        <v>121.992</v>
      </c>
      <c r="BO283" s="64">
        <f t="shared" si="39"/>
        <v>0.2495421245421246</v>
      </c>
      <c r="BP283" s="64">
        <f t="shared" si="40"/>
        <v>0.25274725274725279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12</v>
      </c>
      <c r="Y284" s="634">
        <f t="shared" si="36"/>
        <v>12</v>
      </c>
      <c r="Z284" s="36">
        <f>IFERROR(IF(Y284=0,"",ROUNDUP(Y284/H284,0)*0.00651),"")</f>
        <v>3.2550000000000003E-2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13.290000000000001</v>
      </c>
      <c r="BN284" s="64">
        <f t="shared" si="38"/>
        <v>13.290000000000001</v>
      </c>
      <c r="BO284" s="64">
        <f t="shared" si="39"/>
        <v>2.7472527472527476E-2</v>
      </c>
      <c r="BP284" s="64">
        <f t="shared" si="40"/>
        <v>2.7472527472527476E-2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537.63037462750117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541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4.76891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1864</v>
      </c>
      <c r="Y287" s="635">
        <f>IFERROR(SUM(Y275:Y285),"0")</f>
        <v>1878.6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3</v>
      </c>
      <c r="Y309" s="634">
        <f>IFERROR(IF(X309="",0,CEILING((X309/$H309),1)*$H309),"")</f>
        <v>3.6</v>
      </c>
      <c r="Z309" s="36">
        <f>IFERROR(IF(Y309=0,"",ROUNDUP(Y309/H309,0)*0.0059),"")</f>
        <v>1.18E-2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3.291666666666667</v>
      </c>
      <c r="BN309" s="64">
        <f>IFERROR(Y309*I309/H309,"0")</f>
        <v>3.95</v>
      </c>
      <c r="BO309" s="64">
        <f>IFERROR(1/J309*(X309/H309),"0")</f>
        <v>7.7160493827160481E-3</v>
      </c>
      <c r="BP309" s="64">
        <f>IFERROR(1/J309*(Y309/H309),"0")</f>
        <v>9.2592592592592587E-3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1.6666666666666665</v>
      </c>
      <c r="Y310" s="635">
        <f>IFERROR(Y309/H309,"0")</f>
        <v>2</v>
      </c>
      <c r="Z310" s="635">
        <f>IFERROR(IF(Z309="",0,Z309),"0")</f>
        <v>1.18E-2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3</v>
      </c>
      <c r="Y311" s="635">
        <f>IFERROR(SUM(Y309:Y309),"0")</f>
        <v>3.6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77</v>
      </c>
      <c r="Y334" s="634">
        <f>IFERROR(IF(X334="",0,CEILING((X334/$H334),1)*$H334),"")</f>
        <v>79.2</v>
      </c>
      <c r="Z334" s="36">
        <f>IFERROR(IF(Y334=0,"",ROUNDUP(Y334/H334,0)*0.00651),"")</f>
        <v>0.21482999999999999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82.775000000000006</v>
      </c>
      <c r="BN334" s="64">
        <f>IFERROR(Y334*I334/H334,"0")</f>
        <v>85.140000000000015</v>
      </c>
      <c r="BO334" s="64">
        <f>IFERROR(1/J334*(X334/H334),"0")</f>
        <v>0.17628205128205132</v>
      </c>
      <c r="BP334" s="64">
        <f>IFERROR(1/J334*(Y334/H334),"0")</f>
        <v>0.18131868131868134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32.083333333333336</v>
      </c>
      <c r="Y335" s="635">
        <f>IFERROR(Y332/H332,"0")+IFERROR(Y333/H333,"0")+IFERROR(Y334/H334,"0")</f>
        <v>33</v>
      </c>
      <c r="Z335" s="635">
        <f>IFERROR(IF(Z332="",0,Z332),"0")+IFERROR(IF(Z333="",0,Z333),"0")+IFERROR(IF(Z334="",0,Z334),"0")</f>
        <v>0.21482999999999999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77</v>
      </c>
      <c r="Y336" s="635">
        <f>IFERROR(SUM(Y332:Y334),"0")</f>
        <v>79.2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97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102.09871794871796</v>
      </c>
      <c r="BN362" s="64">
        <f>IFERROR(Y362*I362/H362,"0")</f>
        <v>106.73</v>
      </c>
      <c r="BO362" s="64">
        <f>IFERROR(1/J362*(X362/H362),"0")</f>
        <v>0.19431089743589744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292</v>
      </c>
      <c r="Y363" s="634">
        <f>IFERROR(IF(X363="",0,CEILING((X363/$H363),1)*$H363),"")</f>
        <v>296.39999999999998</v>
      </c>
      <c r="Z363" s="36">
        <f>IFERROR(IF(Y363=0,"",ROUNDUP(Y363/H363,0)*0.01898),"")</f>
        <v>0.72123999999999999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307.34871794871799</v>
      </c>
      <c r="BN363" s="64">
        <f>IFERROR(Y363*I363/H363,"0")</f>
        <v>311.98</v>
      </c>
      <c r="BO363" s="64">
        <f>IFERROR(1/J363*(X363/H363),"0")</f>
        <v>0.58493589743589747</v>
      </c>
      <c r="BP363" s="64">
        <f>IFERROR(1/J363*(Y363/H363),"0")</f>
        <v>0.59375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75</v>
      </c>
      <c r="Y364" s="634">
        <f>IFERROR(IF(X364="",0,CEILING((X364/$H364),1)*$H364),"")</f>
        <v>78</v>
      </c>
      <c r="Z364" s="36">
        <f>IFERROR(IF(Y364=0,"",ROUNDUP(Y364/H364,0)*0.01898),"")</f>
        <v>0.1898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78.942307692307708</v>
      </c>
      <c r="BN364" s="64">
        <f>IFERROR(Y364*I364/H364,"0")</f>
        <v>82.100000000000023</v>
      </c>
      <c r="BO364" s="64">
        <f>IFERROR(1/J364*(X364/H364),"0")</f>
        <v>0.15024038461538461</v>
      </c>
      <c r="BP364" s="64">
        <f>IFERROR(1/J364*(Y364/H364),"0")</f>
        <v>0.15625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59.487179487179489</v>
      </c>
      <c r="Y365" s="635">
        <f>IFERROR(Y362/H362,"0")+IFERROR(Y363/H363,"0")+IFERROR(Y364/H364,"0")</f>
        <v>61</v>
      </c>
      <c r="Z365" s="635">
        <f>IFERROR(IF(Z362="",0,Z362),"0")+IFERROR(IF(Z363="",0,Z363),"0")+IFERROR(IF(Z364="",0,Z364),"0")</f>
        <v>1.15778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464</v>
      </c>
      <c r="Y366" s="635">
        <f>IFERROR(SUM(Y362:Y364),"0")</f>
        <v>475.79999999999995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26</v>
      </c>
      <c r="Y385" s="634">
        <f t="shared" si="56"/>
        <v>27</v>
      </c>
      <c r="Z385" s="36">
        <f>IFERROR(IF(Y385=0,"",ROUNDUP(Y385/H385,0)*0.00651),"")</f>
        <v>9.7650000000000001E-2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29.293333333333333</v>
      </c>
      <c r="BN385" s="64">
        <f t="shared" si="58"/>
        <v>30.419999999999998</v>
      </c>
      <c r="BO385" s="64">
        <f t="shared" si="59"/>
        <v>7.9365079365079375E-2</v>
      </c>
      <c r="BP385" s="64">
        <f t="shared" si="60"/>
        <v>8.241758241758243E-2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14.444444444444445</v>
      </c>
      <c r="Y386" s="635">
        <f>IFERROR(Y379/H379,"0")+IFERROR(Y380/H380,"0")+IFERROR(Y381/H381,"0")+IFERROR(Y382/H382,"0")+IFERROR(Y383/H383,"0")+IFERROR(Y384/H384,"0")+IFERROR(Y385/H385,"0")</f>
        <v>15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9.7650000000000001E-2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26</v>
      </c>
      <c r="Y387" s="635">
        <f>IFERROR(SUM(Y379:Y385),"0")</f>
        <v>27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399</v>
      </c>
      <c r="Y397" s="634">
        <f>IFERROR(IF(X397="",0,CEILING((X397/$H397),1)*$H397),"")</f>
        <v>405.59999999999997</v>
      </c>
      <c r="Z397" s="36">
        <f>IFERROR(IF(Y397=0,"",ROUNDUP(Y397/H397,0)*0.01898),"")</f>
        <v>0.98696000000000006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424.27000000000004</v>
      </c>
      <c r="BN397" s="64">
        <f>IFERROR(Y397*I397/H397,"0")</f>
        <v>431.28799999999995</v>
      </c>
      <c r="BO397" s="64">
        <f>IFERROR(1/J397*(X397/H397),"0")</f>
        <v>0.79927884615384615</v>
      </c>
      <c r="BP397" s="64">
        <f>IFERROR(1/J397*(Y397/H397),"0")</f>
        <v>0.8125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51.153846153846153</v>
      </c>
      <c r="Y399" s="635">
        <f>IFERROR(Y396/H396,"0")+IFERROR(Y397/H397,"0")+IFERROR(Y398/H398,"0")</f>
        <v>52</v>
      </c>
      <c r="Z399" s="635">
        <f>IFERROR(IF(Z396="",0,Z396),"0")+IFERROR(IF(Z397="",0,Z397),"0")+IFERROR(IF(Z398="",0,Z398),"0")</f>
        <v>0.98696000000000006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399</v>
      </c>
      <c r="Y400" s="635">
        <f>IFERROR(SUM(Y396:Y398),"0")</f>
        <v>405.59999999999997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4</v>
      </c>
      <c r="Y403" s="634">
        <f>IFERROR(IF(X403="",0,CEILING((X403/$H403),1)*$H403),"")</f>
        <v>6.08</v>
      </c>
      <c r="Z403" s="36">
        <f>IFERROR(IF(Y403=0,"",ROUNDUP(Y403/H403,0)*0.00902),"")</f>
        <v>1.804E-2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4.3026315789473681</v>
      </c>
      <c r="BN403" s="64">
        <f>IFERROR(Y403*I403/H403,"0")</f>
        <v>6.5399999999999991</v>
      </c>
      <c r="BO403" s="64">
        <f>IFERROR(1/J403*(X403/H403),"0")</f>
        <v>9.9681020733652318E-3</v>
      </c>
      <c r="BP403" s="64">
        <f>IFERROR(1/J403*(Y403/H403),"0")</f>
        <v>1.5151515151515152E-2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15</v>
      </c>
      <c r="Y404" s="634">
        <f>IFERROR(IF(X404="",0,CEILING((X404/$H404),1)*$H404),"")</f>
        <v>15.299999999999999</v>
      </c>
      <c r="Z404" s="36">
        <f>IFERROR(IF(Y404=0,"",ROUNDUP(Y404/H404,0)*0.00651),"")</f>
        <v>3.9059999999999997E-2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17.382352941176475</v>
      </c>
      <c r="BN404" s="64">
        <f>IFERROR(Y404*I404/H404,"0")</f>
        <v>17.73</v>
      </c>
      <c r="BO404" s="64">
        <f>IFERROR(1/J404*(X404/H404),"0")</f>
        <v>3.2320620555914677E-2</v>
      </c>
      <c r="BP404" s="64">
        <f>IFERROR(1/J404*(Y404/H404),"0")</f>
        <v>3.2967032967032968E-2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6</v>
      </c>
      <c r="Y405" s="634">
        <f>IFERROR(IF(X405="",0,CEILING((X405/$H405),1)*$H405),"")</f>
        <v>7.6499999999999995</v>
      </c>
      <c r="Z405" s="36">
        <f>IFERROR(IF(Y405=0,"",ROUNDUP(Y405/H405,0)*0.00651),"")</f>
        <v>1.9529999999999999E-2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6.7764705882352949</v>
      </c>
      <c r="BN405" s="64">
        <f>IFERROR(Y405*I405/H405,"0")</f>
        <v>8.6399999999999988</v>
      </c>
      <c r="BO405" s="64">
        <f>IFERROR(1/J405*(X405/H405),"0")</f>
        <v>1.292824822236587E-2</v>
      </c>
      <c r="BP405" s="64">
        <f>IFERROR(1/J405*(Y405/H405),"0")</f>
        <v>1.6483516483516484E-2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9.5510835913312704</v>
      </c>
      <c r="Y406" s="635">
        <f>IFERROR(Y402/H402,"0")+IFERROR(Y403/H403,"0")+IFERROR(Y404/H404,"0")+IFERROR(Y405/H405,"0")</f>
        <v>11</v>
      </c>
      <c r="Z406" s="635">
        <f>IFERROR(IF(Z402="",0,Z402),"0")+IFERROR(IF(Z403="",0,Z403),"0")+IFERROR(IF(Z404="",0,Z404),"0")+IFERROR(IF(Z405="",0,Z405),"0")</f>
        <v>7.6630000000000004E-2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25</v>
      </c>
      <c r="Y407" s="635">
        <f>IFERROR(SUM(Y402:Y405),"0")</f>
        <v>29.029999999999998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6</v>
      </c>
      <c r="Y409" s="634">
        <f>IFERROR(IF(X409="",0,CEILING((X409/$H409),1)*$H409),"")</f>
        <v>6</v>
      </c>
      <c r="Z409" s="36">
        <f>IFERROR(IF(Y409=0,"",ROUNDUP(Y409/H409,0)*0.00474),"")</f>
        <v>1.422E-2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6.7200000000000006</v>
      </c>
      <c r="BN409" s="64">
        <f>IFERROR(Y409*I409/H409,"0")</f>
        <v>6.7200000000000006</v>
      </c>
      <c r="BO409" s="64">
        <f>IFERROR(1/J409*(X409/H409),"0")</f>
        <v>1.2605042016806723E-2</v>
      </c>
      <c r="BP409" s="64">
        <f>IFERROR(1/J409*(Y409/H409),"0")</f>
        <v>1.2605042016806723E-2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3</v>
      </c>
      <c r="Y410" s="634">
        <f>IFERROR(IF(X410="",0,CEILING((X410/$H410),1)*$H410),"")</f>
        <v>4</v>
      </c>
      <c r="Z410" s="36">
        <f>IFERROR(IF(Y410=0,"",ROUNDUP(Y410/H410,0)*0.00474),"")</f>
        <v>9.4800000000000006E-3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3.3600000000000003</v>
      </c>
      <c r="BN410" s="64">
        <f>IFERROR(Y410*I410/H410,"0")</f>
        <v>4.4800000000000004</v>
      </c>
      <c r="BO410" s="64">
        <f>IFERROR(1/J410*(X410/H410),"0")</f>
        <v>6.3025210084033615E-3</v>
      </c>
      <c r="BP410" s="64">
        <f>IFERROR(1/J410*(Y410/H410),"0")</f>
        <v>8.4033613445378148E-3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6</v>
      </c>
      <c r="Y411" s="634">
        <f>IFERROR(IF(X411="",0,CEILING((X411/$H411),1)*$H411),"")</f>
        <v>6</v>
      </c>
      <c r="Z411" s="36">
        <f>IFERROR(IF(Y411=0,"",ROUNDUP(Y411/H411,0)*0.00474),"")</f>
        <v>1.422E-2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6.7200000000000006</v>
      </c>
      <c r="BN411" s="64">
        <f>IFERROR(Y411*I411/H411,"0")</f>
        <v>6.7200000000000006</v>
      </c>
      <c r="BO411" s="64">
        <f>IFERROR(1/J411*(X411/H411),"0")</f>
        <v>1.2605042016806723E-2</v>
      </c>
      <c r="BP411" s="64">
        <f>IFERROR(1/J411*(Y411/H411),"0")</f>
        <v>1.2605042016806723E-2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7.5</v>
      </c>
      <c r="Y412" s="635">
        <f>IFERROR(Y409/H409,"0")+IFERROR(Y410/H410,"0")+IFERROR(Y411/H411,"0")</f>
        <v>8</v>
      </c>
      <c r="Z412" s="635">
        <f>IFERROR(IF(Z409="",0,Z409),"0")+IFERROR(IF(Z410="",0,Z410),"0")+IFERROR(IF(Z411="",0,Z411),"0")</f>
        <v>3.7919999999999995E-2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15</v>
      </c>
      <c r="Y413" s="635">
        <f>IFERROR(SUM(Y409:Y411),"0")</f>
        <v>16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29</v>
      </c>
      <c r="Y432" s="634">
        <f>IFERROR(IF(X432="",0,CEILING((X432/$H432),1)*$H432),"")</f>
        <v>29.400000000000002</v>
      </c>
      <c r="Z432" s="36">
        <f>IFERROR(IF(Y432=0,"",ROUNDUP(Y432/H432,0)*0.00651),"")</f>
        <v>9.1139999999999999E-2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32.31428571428571</v>
      </c>
      <c r="BN432" s="64">
        <f>IFERROR(Y432*I432/H432,"0")</f>
        <v>32.760000000000005</v>
      </c>
      <c r="BO432" s="64">
        <f>IFERROR(1/J432*(X432/H432),"0")</f>
        <v>7.5876504447933021E-2</v>
      </c>
      <c r="BP432" s="64">
        <f>IFERROR(1/J432*(Y432/H432),"0")</f>
        <v>7.6923076923076927E-2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13.809523809523808</v>
      </c>
      <c r="Y433" s="635">
        <f>IFERROR(Y430/H430,"0")+IFERROR(Y431/H431,"0")+IFERROR(Y432/H432,"0")</f>
        <v>14</v>
      </c>
      <c r="Z433" s="635">
        <f>IFERROR(IF(Z430="",0,Z430),"0")+IFERROR(IF(Z431="",0,Z431),"0")+IFERROR(IF(Z432="",0,Z432),"0")</f>
        <v>9.1139999999999999E-2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29</v>
      </c>
      <c r="Y434" s="635">
        <f>IFERROR(SUM(Y430:Y432),"0")</f>
        <v>29.400000000000002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1656</v>
      </c>
      <c r="Y439" s="634">
        <f t="shared" si="61"/>
        <v>1665</v>
      </c>
      <c r="Z439" s="36">
        <f>IFERROR(IF(Y439=0,"",ROUNDUP(Y439/H439,0)*0.02175),"")</f>
        <v>2.41425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1707.8879999999999</v>
      </c>
      <c r="BN439" s="64">
        <f t="shared" si="63"/>
        <v>1717.1699999999998</v>
      </c>
      <c r="BO439" s="64">
        <f t="shared" si="64"/>
        <v>2.2999999999999998</v>
      </c>
      <c r="BP439" s="64">
        <f t="shared" si="65"/>
        <v>2.3125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390</v>
      </c>
      <c r="Y440" s="634">
        <f t="shared" si="61"/>
        <v>390</v>
      </c>
      <c r="Z440" s="36">
        <f>IFERROR(IF(Y440=0,"",ROUNDUP(Y440/H440,0)*0.02175),"")</f>
        <v>0.5655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402.22</v>
      </c>
      <c r="BN440" s="64">
        <f t="shared" si="63"/>
        <v>402.22</v>
      </c>
      <c r="BO440" s="64">
        <f t="shared" si="64"/>
        <v>0.54166666666666663</v>
      </c>
      <c r="BP440" s="64">
        <f t="shared" si="65"/>
        <v>0.54166666666666663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1558</v>
      </c>
      <c r="Y441" s="634">
        <f t="shared" si="61"/>
        <v>1560</v>
      </c>
      <c r="Z441" s="36">
        <f>IFERROR(IF(Y441=0,"",ROUNDUP(Y441/H441,0)*0.02175),"")</f>
        <v>2.262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1606.8173333333334</v>
      </c>
      <c r="BN441" s="64">
        <f t="shared" si="63"/>
        <v>1608.88</v>
      </c>
      <c r="BO441" s="64">
        <f t="shared" si="64"/>
        <v>2.1638888888888888</v>
      </c>
      <c r="BP441" s="64">
        <f t="shared" si="65"/>
        <v>2.1666666666666665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240.26666666666665</v>
      </c>
      <c r="Y446" s="635">
        <f>IFERROR(Y438/H438,"0")+IFERROR(Y439/H439,"0")+IFERROR(Y440/H440,"0")+IFERROR(Y441/H441,"0")+IFERROR(Y442/H442,"0")+IFERROR(Y443/H443,"0")+IFERROR(Y444/H444,"0")+IFERROR(Y445/H445,"0")</f>
        <v>241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5.2417499999999997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3604</v>
      </c>
      <c r="Y447" s="635">
        <f>IFERROR(SUM(Y438:Y445),"0")</f>
        <v>3615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850</v>
      </c>
      <c r="Y449" s="634">
        <f>IFERROR(IF(X449="",0,CEILING((X449/$H449),1)*$H449),"")</f>
        <v>855</v>
      </c>
      <c r="Z449" s="36">
        <f>IFERROR(IF(Y449=0,"",ROUNDUP(Y449/H449,0)*0.02175),"")</f>
        <v>1.2397499999999999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876.63333333333333</v>
      </c>
      <c r="BN449" s="64">
        <f>IFERROR(Y449*I449/H449,"0")</f>
        <v>881.79000000000008</v>
      </c>
      <c r="BO449" s="64">
        <f>IFERROR(1/J449*(X449/H449),"0")</f>
        <v>1.1805555555555554</v>
      </c>
      <c r="BP449" s="64">
        <f>IFERROR(1/J449*(Y449/H449),"0")</f>
        <v>1.1875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56.666666666666664</v>
      </c>
      <c r="Y452" s="635">
        <f>IFERROR(Y449/H449,"0")+IFERROR(Y450/H450,"0")+IFERROR(Y451/H451,"0")</f>
        <v>57</v>
      </c>
      <c r="Z452" s="635">
        <f>IFERROR(IF(Z449="",0,Z449),"0")+IFERROR(IF(Z450="",0,Z450),"0")+IFERROR(IF(Z451="",0,Z451),"0")</f>
        <v>1.2397499999999999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850</v>
      </c>
      <c r="Y453" s="635">
        <f>IFERROR(SUM(Y449:Y451),"0")</f>
        <v>855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732</v>
      </c>
      <c r="Y476" s="634">
        <f>IFERROR(IF(X476="",0,CEILING((X476/$H476),1)*$H476),"")</f>
        <v>738</v>
      </c>
      <c r="Z476" s="36">
        <f>IFERROR(IF(Y476=0,"",ROUNDUP(Y476/H476,0)*0.01898),"")</f>
        <v>1.55636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772.17866666666669</v>
      </c>
      <c r="BN476" s="64">
        <f>IFERROR(Y476*I476/H476,"0")</f>
        <v>778.50800000000004</v>
      </c>
      <c r="BO476" s="64">
        <f>IFERROR(1/J476*(X476/H476),"0")</f>
        <v>1.2708333333333333</v>
      </c>
      <c r="BP476" s="64">
        <f>IFERROR(1/J476*(Y476/H476),"0")</f>
        <v>1.28125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102</v>
      </c>
      <c r="Y477" s="634">
        <f>IFERROR(IF(X477="",0,CEILING((X477/$H477),1)*$H477),"")</f>
        <v>103.2</v>
      </c>
      <c r="Z477" s="36">
        <f>IFERROR(IF(Y477=0,"",ROUNDUP(Y477/H477,0)*0.00651),"")</f>
        <v>0.27993000000000001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113.22000000000001</v>
      </c>
      <c r="BN477" s="64">
        <f>IFERROR(Y477*I477/H477,"0")</f>
        <v>114.55200000000001</v>
      </c>
      <c r="BO477" s="64">
        <f>IFERROR(1/J477*(X477/H477),"0")</f>
        <v>0.23351648351648355</v>
      </c>
      <c r="BP477" s="64">
        <f>IFERROR(1/J477*(Y477/H477),"0")</f>
        <v>0.23626373626373628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123.83333333333333</v>
      </c>
      <c r="Y479" s="635">
        <f>IFERROR(Y476/H476,"0")+IFERROR(Y477/H477,"0")+IFERROR(Y478/H478,"0")</f>
        <v>125</v>
      </c>
      <c r="Z479" s="635">
        <f>IFERROR(IF(Z476="",0,Z476),"0")+IFERROR(IF(Z477="",0,Z477),"0")+IFERROR(IF(Z478="",0,Z478),"0")</f>
        <v>1.83629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834</v>
      </c>
      <c r="Y480" s="635">
        <f>IFERROR(SUM(Y476:Y478),"0")</f>
        <v>841.2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44</v>
      </c>
      <c r="Y510" s="634">
        <f t="shared" ref="Y510:Y517" si="71">IFERROR(IF(X510="",0,CEILING((X510/$H510),1)*$H510),"")</f>
        <v>47.52</v>
      </c>
      <c r="Z510" s="36">
        <f>IFERROR(IF(Y510=0,"",ROUNDUP(Y510/H510,0)*0.01196),"")</f>
        <v>0.10764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46.916666666666664</v>
      </c>
      <c r="BN510" s="64">
        <f t="shared" ref="BN510:BN517" si="73">IFERROR(Y510*I510/H510,"0")</f>
        <v>50.669999999999995</v>
      </c>
      <c r="BO510" s="64">
        <f t="shared" ref="BO510:BO517" si="74">IFERROR(1/J510*(X510/H510),"0")</f>
        <v>8.0128205128205121E-2</v>
      </c>
      <c r="BP510" s="64">
        <f t="shared" ref="BP510:BP517" si="75">IFERROR(1/J510*(Y510/H510),"0")</f>
        <v>8.6538461538461536E-2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401</v>
      </c>
      <c r="Y513" s="634">
        <f t="shared" si="71"/>
        <v>401.28000000000003</v>
      </c>
      <c r="Z513" s="36">
        <f>IFERROR(IF(Y513=0,"",ROUNDUP(Y513/H513,0)*0.01196),"")</f>
        <v>0.90895999999999999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427.58143939393938</v>
      </c>
      <c r="BN513" s="64">
        <f t="shared" si="73"/>
        <v>427.88</v>
      </c>
      <c r="BO513" s="64">
        <f t="shared" si="74"/>
        <v>0.73025932400932392</v>
      </c>
      <c r="BP513" s="64">
        <f t="shared" si="75"/>
        <v>0.73076923076923084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1826</v>
      </c>
      <c r="Y514" s="634">
        <f t="shared" si="71"/>
        <v>1826.88</v>
      </c>
      <c r="Z514" s="36">
        <f>IFERROR(IF(Y514=0,"",ROUNDUP(Y514/H514,0)*0.01196),"")</f>
        <v>4.1381600000000001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1947.0416666666665</v>
      </c>
      <c r="BN514" s="64">
        <f t="shared" si="73"/>
        <v>1947.9799999999998</v>
      </c>
      <c r="BO514" s="64">
        <f t="shared" si="74"/>
        <v>3.3253205128205128</v>
      </c>
      <c r="BP514" s="64">
        <f t="shared" si="75"/>
        <v>3.3269230769230771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234</v>
      </c>
      <c r="Y516" s="634">
        <f t="shared" si="71"/>
        <v>235.2</v>
      </c>
      <c r="Z516" s="36">
        <f>IFERROR(IF(Y516=0,"",ROUNDUP(Y516/H516,0)*0.00902),"")</f>
        <v>0.44198000000000004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336.86250000000001</v>
      </c>
      <c r="BN516" s="64">
        <f t="shared" si="73"/>
        <v>338.59000000000003</v>
      </c>
      <c r="BO516" s="64">
        <f t="shared" si="74"/>
        <v>0.36931818181818182</v>
      </c>
      <c r="BP516" s="64">
        <f t="shared" si="75"/>
        <v>0.37121212121212122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263</v>
      </c>
      <c r="Y517" s="634">
        <f t="shared" si="71"/>
        <v>264</v>
      </c>
      <c r="Z517" s="36">
        <f>IFERROR(IF(Y517=0,"",ROUNDUP(Y517/H517,0)*0.00902),"")</f>
        <v>0.49609999999999999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378.61041666666665</v>
      </c>
      <c r="BN517" s="64">
        <f t="shared" si="73"/>
        <v>380.05</v>
      </c>
      <c r="BO517" s="64">
        <f t="shared" si="74"/>
        <v>0.41508838383838387</v>
      </c>
      <c r="BP517" s="64">
        <f t="shared" si="75"/>
        <v>0.41666666666666669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533.655303030303</v>
      </c>
      <c r="Y518" s="635">
        <f>IFERROR(Y510/H510,"0")+IFERROR(Y511/H511,"0")+IFERROR(Y512/H512,"0")+IFERROR(Y513/H513,"0")+IFERROR(Y514/H514,"0")+IFERROR(Y515/H515,"0")+IFERROR(Y516/H516,"0")+IFERROR(Y517/H517,"0")</f>
        <v>535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6.0928399999999998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2768</v>
      </c>
      <c r="Y519" s="635">
        <f>IFERROR(SUM(Y510:Y517),"0")</f>
        <v>2774.88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877</v>
      </c>
      <c r="Y521" s="634">
        <f>IFERROR(IF(X521="",0,CEILING((X521/$H521),1)*$H521),"")</f>
        <v>881.76</v>
      </c>
      <c r="Z521" s="36">
        <f>IFERROR(IF(Y521=0,"",ROUNDUP(Y521/H521,0)*0.01196),"")</f>
        <v>1.99732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935.13446969696975</v>
      </c>
      <c r="BN521" s="64">
        <f>IFERROR(Y521*I521/H521,"0")</f>
        <v>940.20999999999992</v>
      </c>
      <c r="BO521" s="64">
        <f>IFERROR(1/J521*(X521/H521),"0")</f>
        <v>1.597100815850816</v>
      </c>
      <c r="BP521" s="64">
        <f>IFERROR(1/J521*(Y521/H521),"0")</f>
        <v>1.6057692307692308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115</v>
      </c>
      <c r="Y523" s="634">
        <f>IFERROR(IF(X523="",0,CEILING((X523/$H523),1)*$H523),"")</f>
        <v>115.19999999999999</v>
      </c>
      <c r="Z523" s="36">
        <f>IFERROR(IF(Y523=0,"",ROUNDUP(Y523/H523,0)*0.00902),"")</f>
        <v>0.21648000000000001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165.55208333333334</v>
      </c>
      <c r="BN523" s="64">
        <f>IFERROR(Y523*I523/H523,"0")</f>
        <v>165.84</v>
      </c>
      <c r="BO523" s="64">
        <f>IFERROR(1/J523*(X523/H523),"0")</f>
        <v>0.18150252525252528</v>
      </c>
      <c r="BP523" s="64">
        <f>IFERROR(1/J523*(Y523/H523),"0")</f>
        <v>0.18181818181818182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190.05681818181819</v>
      </c>
      <c r="Y524" s="635">
        <f>IFERROR(Y521/H521,"0")+IFERROR(Y522/H522,"0")+IFERROR(Y523/H523,"0")</f>
        <v>191</v>
      </c>
      <c r="Z524" s="635">
        <f>IFERROR(IF(Z521="",0,Z521),"0")+IFERROR(IF(Z522="",0,Z522),"0")+IFERROR(IF(Z523="",0,Z523),"0")</f>
        <v>2.2138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992</v>
      </c>
      <c r="Y525" s="635">
        <f>IFERROR(SUM(Y521:Y523),"0")</f>
        <v>996.96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241</v>
      </c>
      <c r="Y527" s="634">
        <f t="shared" ref="Y527:Y533" si="76">IFERROR(IF(X527="",0,CEILING((X527/$H527),1)*$H527),"")</f>
        <v>242.88000000000002</v>
      </c>
      <c r="Z527" s="36">
        <f>IFERROR(IF(Y527=0,"",ROUNDUP(Y527/H527,0)*0.01196),"")</f>
        <v>0.55015999999999998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256.97537878787875</v>
      </c>
      <c r="BN527" s="64">
        <f t="shared" ref="BN527:BN533" si="78">IFERROR(Y527*I527/H527,"0")</f>
        <v>258.98</v>
      </c>
      <c r="BO527" s="64">
        <f t="shared" ref="BO527:BO533" si="79">IFERROR(1/J527*(X527/H527),"0")</f>
        <v>0.43888403263403264</v>
      </c>
      <c r="BP527" s="64">
        <f t="shared" ref="BP527:BP533" si="80">IFERROR(1/J527*(Y527/H527),"0")</f>
        <v>0.44230769230769235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91</v>
      </c>
      <c r="Y528" s="634">
        <f t="shared" si="76"/>
        <v>95.04</v>
      </c>
      <c r="Z528" s="36">
        <f>IFERROR(IF(Y528=0,"",ROUNDUP(Y528/H528,0)*0.01196),"")</f>
        <v>0.21528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97.032196969696969</v>
      </c>
      <c r="BN528" s="64">
        <f t="shared" si="78"/>
        <v>101.33999999999999</v>
      </c>
      <c r="BO528" s="64">
        <f t="shared" si="79"/>
        <v>0.16571969696969696</v>
      </c>
      <c r="BP528" s="64">
        <f t="shared" si="80"/>
        <v>0.17307692307692307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731</v>
      </c>
      <c r="Y529" s="634">
        <f t="shared" si="76"/>
        <v>733.92000000000007</v>
      </c>
      <c r="Z529" s="36">
        <f>IFERROR(IF(Y529=0,"",ROUNDUP(Y529/H529,0)*0.01196),"")</f>
        <v>1.6624399999999999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779.45643939393926</v>
      </c>
      <c r="BN529" s="64">
        <f t="shared" si="78"/>
        <v>782.57</v>
      </c>
      <c r="BO529" s="64">
        <f t="shared" si="79"/>
        <v>1.3312208624708624</v>
      </c>
      <c r="BP529" s="64">
        <f t="shared" si="80"/>
        <v>1.3365384615384617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201.32575757575756</v>
      </c>
      <c r="Y534" s="635">
        <f>IFERROR(Y527/H527,"0")+IFERROR(Y528/H528,"0")+IFERROR(Y529/H529,"0")+IFERROR(Y530/H530,"0")+IFERROR(Y531/H531,"0")+IFERROR(Y532/H532,"0")+IFERROR(Y533/H533,"0")</f>
        <v>203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2.42788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1063</v>
      </c>
      <c r="Y535" s="635">
        <f>IFERROR(SUM(Y527:Y533),"0")</f>
        <v>1071.8400000000001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17285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17436.09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18511.482308938037</v>
      </c>
      <c r="Y565" s="635">
        <f>IFERROR(SUM(BN22:BN561),"0")</f>
        <v>18672.339999999997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31</v>
      </c>
      <c r="Y566" s="38">
        <f>ROUNDUP(SUM(BP22:BP561),0)</f>
        <v>31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19286.482308938037</v>
      </c>
      <c r="Y567" s="635">
        <f>GrossWeightTotalR+PalletQtyTotalR*25</f>
        <v>19447.339999999997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2985.3405212778953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3016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36.240990000000004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151.80000000000001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125.39999999999999</v>
      </c>
      <c r="F574" s="46">
        <f>IFERROR(Y89*1,"0")+IFERROR(Y90*1,"0")+IFERROR(Y91*1,"0")+IFERROR(Y92*1,"0")+IFERROR(Y93*1,"0")+IFERROR(Y94*1,"0")+IFERROR(Y98*1,"0")+IFERROR(Y99*1,"0")+IFERROR(Y100*1,"0")+IFERROR(Y101*1,"0")</f>
        <v>864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2482.08</v>
      </c>
      <c r="H574" s="46">
        <f>IFERROR(Y135*1,"0")+IFERROR(Y136*1,"0")+IFERROR(Y140*1,"0")+IFERROR(Y141*1,"0")+IFERROR(Y145*1,"0")+IFERROR(Y146*1,"0")</f>
        <v>47.6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199.6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84.9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2260.2000000000003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3.6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79.2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475.79999999999995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477.62999999999994</v>
      </c>
      <c r="V574" s="46">
        <f>IFERROR(Y422*1,"0")+IFERROR(Y423*1,"0")+IFERROR(Y424*1,"0")+IFERROR(Y425*1,"0")</f>
        <v>0</v>
      </c>
      <c r="W574" s="46">
        <f>IFERROR(Y430*1,"0")+IFERROR(Y431*1,"0")+IFERROR(Y432*1,"0")</f>
        <v>29.400000000000002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4470</v>
      </c>
      <c r="Y574" s="46">
        <f>IFERROR(Y467*1,"0")+IFERROR(Y468*1,"0")+IFERROR(Y472*1,"0")+IFERROR(Y476*1,"0")+IFERROR(Y477*1,"0")+IFERROR(Y478*1,"0")</f>
        <v>841.2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4843.68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3,00"/>
        <filter val="1 558,00"/>
        <filter val="1 656,00"/>
        <filter val="1 826,00"/>
        <filter val="1 864,00"/>
        <filter val="1,67"/>
        <filter val="102,00"/>
        <filter val="109,00"/>
        <filter val="109,29"/>
        <filter val="11,32"/>
        <filter val="113,00"/>
        <filter val="115,00"/>
        <filter val="117,00"/>
        <filter val="117,41"/>
        <filter val="12,00"/>
        <filter val="12,08"/>
        <filter val="122,00"/>
        <filter val="123,00"/>
        <filter val="123,83"/>
        <filter val="13,81"/>
        <filter val="131,00"/>
        <filter val="14,44"/>
        <filter val="141,00"/>
        <filter val="146,00"/>
        <filter val="15,00"/>
        <filter val="15,15"/>
        <filter val="157,00"/>
        <filter val="16,00"/>
        <filter val="16,43"/>
        <filter val="17 285,00"/>
        <filter val="18 511,48"/>
        <filter val="19 286,48"/>
        <filter val="19,00"/>
        <filter val="190,06"/>
        <filter val="194,00"/>
        <filter val="195,00"/>
        <filter val="2 182,00"/>
        <filter val="2 768,00"/>
        <filter val="2 985,34"/>
        <filter val="201,33"/>
        <filter val="219,00"/>
        <filter val="22,00"/>
        <filter val="23,00"/>
        <filter val="234,00"/>
        <filter val="24,00"/>
        <filter val="240,27"/>
        <filter val="241,00"/>
        <filter val="25,00"/>
        <filter val="252,00"/>
        <filter val="26,00"/>
        <filter val="263,00"/>
        <filter val="29,00"/>
        <filter val="292,00"/>
        <filter val="3 604,00"/>
        <filter val="3,00"/>
        <filter val="3,85"/>
        <filter val="30,00"/>
        <filter val="31"/>
        <filter val="313,00"/>
        <filter val="32,08"/>
        <filter val="37,26"/>
        <filter val="374,00"/>
        <filter val="390,00"/>
        <filter val="399,00"/>
        <filter val="399,26"/>
        <filter val="4,00"/>
        <filter val="401,00"/>
        <filter val="405,00"/>
        <filter val="43,00"/>
        <filter val="44,00"/>
        <filter val="44,94"/>
        <filter val="447,00"/>
        <filter val="464,00"/>
        <filter val="49,43"/>
        <filter val="51,15"/>
        <filter val="526,00"/>
        <filter val="533,66"/>
        <filter val="537,63"/>
        <filter val="56,67"/>
        <filter val="58,00"/>
        <filter val="59,49"/>
        <filter val="594,00"/>
        <filter val="6,00"/>
        <filter val="6,88"/>
        <filter val="60,00"/>
        <filter val="662,00"/>
        <filter val="67,00"/>
        <filter val="7,00"/>
        <filter val="7,50"/>
        <filter val="71,00"/>
        <filter val="731,00"/>
        <filter val="732,00"/>
        <filter val="75,00"/>
        <filter val="77,00"/>
        <filter val="79,00"/>
        <filter val="8,93"/>
        <filter val="80,00"/>
        <filter val="83,00"/>
        <filter val="834,00"/>
        <filter val="850,00"/>
        <filter val="877,00"/>
        <filter val="88,00"/>
        <filter val="9,55"/>
        <filter val="91,00"/>
        <filter val="92,00"/>
        <filter val="97,00"/>
        <filter val="992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