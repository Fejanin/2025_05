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8DA23455-5672-400A-B19D-6C0F7E3BAA5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P555" i="1"/>
  <c r="BO555" i="1"/>
  <c r="BN555" i="1"/>
  <c r="BM555" i="1"/>
  <c r="Z555" i="1"/>
  <c r="Y555" i="1"/>
  <c r="P555" i="1"/>
  <c r="X553" i="1"/>
  <c r="Y552" i="1"/>
  <c r="X552" i="1"/>
  <c r="BP551" i="1"/>
  <c r="BO551" i="1"/>
  <c r="BN551" i="1"/>
  <c r="BM551" i="1"/>
  <c r="Z551" i="1"/>
  <c r="Z552" i="1" s="1"/>
  <c r="Y551" i="1"/>
  <c r="Y553" i="1" s="1"/>
  <c r="P551" i="1"/>
  <c r="X549" i="1"/>
  <c r="Y548" i="1"/>
  <c r="X548" i="1"/>
  <c r="BP547" i="1"/>
  <c r="BO547" i="1"/>
  <c r="BN547" i="1"/>
  <c r="BM547" i="1"/>
  <c r="Z547" i="1"/>
  <c r="Z548" i="1" s="1"/>
  <c r="Y547" i="1"/>
  <c r="Y549" i="1" s="1"/>
  <c r="P547" i="1"/>
  <c r="X545" i="1"/>
  <c r="Y544" i="1"/>
  <c r="X544" i="1"/>
  <c r="BP543" i="1"/>
  <c r="BO543" i="1"/>
  <c r="BN543" i="1"/>
  <c r="BM543" i="1"/>
  <c r="Z543" i="1"/>
  <c r="Z544" i="1" s="1"/>
  <c r="Y543" i="1"/>
  <c r="Y545" i="1" s="1"/>
  <c r="P543" i="1"/>
  <c r="X541" i="1"/>
  <c r="Y540" i="1"/>
  <c r="X540" i="1"/>
  <c r="BP539" i="1"/>
  <c r="BO539" i="1"/>
  <c r="BN539" i="1"/>
  <c r="BM539" i="1"/>
  <c r="Z539" i="1"/>
  <c r="Z540" i="1" s="1"/>
  <c r="Y539" i="1"/>
  <c r="Y541" i="1" s="1"/>
  <c r="P539" i="1"/>
  <c r="X535" i="1"/>
  <c r="X534" i="1"/>
  <c r="BO533" i="1"/>
  <c r="BM533" i="1"/>
  <c r="Y533" i="1"/>
  <c r="P533" i="1"/>
  <c r="BO532" i="1"/>
  <c r="BM532" i="1"/>
  <c r="Y532" i="1"/>
  <c r="P532" i="1"/>
  <c r="BP531" i="1"/>
  <c r="BO531" i="1"/>
  <c r="BN531" i="1"/>
  <c r="BM531" i="1"/>
  <c r="Z531" i="1"/>
  <c r="Y531" i="1"/>
  <c r="P531" i="1"/>
  <c r="BO530" i="1"/>
  <c r="BM530" i="1"/>
  <c r="Y530" i="1"/>
  <c r="P530" i="1"/>
  <c r="BO529" i="1"/>
  <c r="BM529" i="1"/>
  <c r="Y529" i="1"/>
  <c r="P529" i="1"/>
  <c r="BO528" i="1"/>
  <c r="BM528" i="1"/>
  <c r="Y528" i="1"/>
  <c r="P528" i="1"/>
  <c r="BP527" i="1"/>
  <c r="BO527" i="1"/>
  <c r="BN527" i="1"/>
  <c r="BM527" i="1"/>
  <c r="Z527" i="1"/>
  <c r="Y527" i="1"/>
  <c r="P527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0" i="1"/>
  <c r="X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9" i="1"/>
  <c r="X458" i="1"/>
  <c r="BP457" i="1"/>
  <c r="BO457" i="1"/>
  <c r="BN457" i="1"/>
  <c r="BM457" i="1"/>
  <c r="Z457" i="1"/>
  <c r="Y457" i="1"/>
  <c r="P457" i="1"/>
  <c r="BO456" i="1"/>
  <c r="BM456" i="1"/>
  <c r="Y456" i="1"/>
  <c r="P456" i="1"/>
  <c r="BO455" i="1"/>
  <c r="BM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O409" i="1"/>
  <c r="BM409" i="1"/>
  <c r="Y409" i="1"/>
  <c r="P409" i="1"/>
  <c r="X407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X365" i="1"/>
  <c r="BO364" i="1"/>
  <c r="BM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X359" i="1"/>
  <c r="Y358" i="1"/>
  <c r="X358" i="1"/>
  <c r="BP357" i="1"/>
  <c r="BO357" i="1"/>
  <c r="BN357" i="1"/>
  <c r="BM357" i="1"/>
  <c r="Z357" i="1"/>
  <c r="Z358" i="1" s="1"/>
  <c r="Y357" i="1"/>
  <c r="Y359" i="1" s="1"/>
  <c r="P357" i="1"/>
  <c r="X355" i="1"/>
  <c r="Y354" i="1"/>
  <c r="X354" i="1"/>
  <c r="BP353" i="1"/>
  <c r="BO353" i="1"/>
  <c r="BN353" i="1"/>
  <c r="BM353" i="1"/>
  <c r="Z353" i="1"/>
  <c r="Z354" i="1" s="1"/>
  <c r="Y353" i="1"/>
  <c r="S574" i="1" s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4" i="1"/>
  <c r="X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N322" i="1"/>
  <c r="BM322" i="1"/>
  <c r="Z322" i="1"/>
  <c r="Y322" i="1"/>
  <c r="BP322" i="1" s="1"/>
  <c r="P322" i="1"/>
  <c r="BO321" i="1"/>
  <c r="BM321" i="1"/>
  <c r="Y321" i="1"/>
  <c r="P321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X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X292" i="1"/>
  <c r="X291" i="1"/>
  <c r="BO290" i="1"/>
  <c r="BM290" i="1"/>
  <c r="Y290" i="1"/>
  <c r="BP290" i="1" s="1"/>
  <c r="P290" i="1"/>
  <c r="BO289" i="1"/>
  <c r="BM289" i="1"/>
  <c r="Y289" i="1"/>
  <c r="P289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X273" i="1"/>
  <c r="X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X246" i="1"/>
  <c r="BP245" i="1"/>
  <c r="BO245" i="1"/>
  <c r="BN245" i="1"/>
  <c r="BM245" i="1"/>
  <c r="Z245" i="1"/>
  <c r="Y245" i="1"/>
  <c r="P245" i="1"/>
  <c r="BO244" i="1"/>
  <c r="BM244" i="1"/>
  <c r="Y244" i="1"/>
  <c r="P244" i="1"/>
  <c r="BO243" i="1"/>
  <c r="BM243" i="1"/>
  <c r="Y243" i="1"/>
  <c r="Y247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X233" i="1"/>
  <c r="X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P158" i="1"/>
  <c r="X156" i="1"/>
  <c r="X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X148" i="1"/>
  <c r="X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Y142" i="1" s="1"/>
  <c r="P140" i="1"/>
  <c r="X138" i="1"/>
  <c r="X137" i="1"/>
  <c r="BP136" i="1"/>
  <c r="BO136" i="1"/>
  <c r="BN136" i="1"/>
  <c r="BM136" i="1"/>
  <c r="Z136" i="1"/>
  <c r="Y136" i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G574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Y102" i="1" s="1"/>
  <c r="P98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246" i="1" l="1"/>
  <c r="BP326" i="1"/>
  <c r="BN326" i="1"/>
  <c r="Z326" i="1"/>
  <c r="Y350" i="1"/>
  <c r="BP346" i="1"/>
  <c r="BN346" i="1"/>
  <c r="Z346" i="1"/>
  <c r="BP371" i="1"/>
  <c r="BN371" i="1"/>
  <c r="Z371" i="1"/>
  <c r="BP381" i="1"/>
  <c r="BN381" i="1"/>
  <c r="Z381" i="1"/>
  <c r="BP391" i="1"/>
  <c r="BN391" i="1"/>
  <c r="Z391" i="1"/>
  <c r="Y413" i="1"/>
  <c r="BP409" i="1"/>
  <c r="BN409" i="1"/>
  <c r="Z409" i="1"/>
  <c r="BP424" i="1"/>
  <c r="BN424" i="1"/>
  <c r="Z424" i="1"/>
  <c r="BP443" i="1"/>
  <c r="BN443" i="1"/>
  <c r="Z443" i="1"/>
  <c r="Y459" i="1"/>
  <c r="BP455" i="1"/>
  <c r="BN455" i="1"/>
  <c r="Z455" i="1"/>
  <c r="BP478" i="1"/>
  <c r="BN478" i="1"/>
  <c r="Z478" i="1"/>
  <c r="BP484" i="1"/>
  <c r="BN484" i="1"/>
  <c r="Z484" i="1"/>
  <c r="BP511" i="1"/>
  <c r="BN511" i="1"/>
  <c r="Z511" i="1"/>
  <c r="Y525" i="1"/>
  <c r="BP521" i="1"/>
  <c r="BN521" i="1"/>
  <c r="Z521" i="1"/>
  <c r="BP533" i="1"/>
  <c r="BN533" i="1"/>
  <c r="Z533" i="1"/>
  <c r="X564" i="1"/>
  <c r="Y32" i="1"/>
  <c r="Z28" i="1"/>
  <c r="BN28" i="1"/>
  <c r="Z34" i="1"/>
  <c r="BN34" i="1"/>
  <c r="BP34" i="1"/>
  <c r="C574" i="1"/>
  <c r="Z44" i="1"/>
  <c r="BN44" i="1"/>
  <c r="D574" i="1"/>
  <c r="Z54" i="1"/>
  <c r="BN54" i="1"/>
  <c r="Z61" i="1"/>
  <c r="BN61" i="1"/>
  <c r="Z65" i="1"/>
  <c r="BN65" i="1"/>
  <c r="Y75" i="1"/>
  <c r="Z73" i="1"/>
  <c r="BN73" i="1"/>
  <c r="Y79" i="1"/>
  <c r="Z83" i="1"/>
  <c r="BN83" i="1"/>
  <c r="F574" i="1"/>
  <c r="Z92" i="1"/>
  <c r="BN92" i="1"/>
  <c r="Z98" i="1"/>
  <c r="BN98" i="1"/>
  <c r="BP98" i="1"/>
  <c r="Z107" i="1"/>
  <c r="BN107" i="1"/>
  <c r="Z111" i="1"/>
  <c r="BN111" i="1"/>
  <c r="Y121" i="1"/>
  <c r="Z119" i="1"/>
  <c r="BN119" i="1"/>
  <c r="Y127" i="1"/>
  <c r="Z125" i="1"/>
  <c r="BN125" i="1"/>
  <c r="H574" i="1"/>
  <c r="Z140" i="1"/>
  <c r="BN140" i="1"/>
  <c r="BP140" i="1"/>
  <c r="Z151" i="1"/>
  <c r="BN151" i="1"/>
  <c r="Z164" i="1"/>
  <c r="BN164" i="1"/>
  <c r="Z170" i="1"/>
  <c r="BN170" i="1"/>
  <c r="Z178" i="1"/>
  <c r="BN178" i="1"/>
  <c r="Z182" i="1"/>
  <c r="BN182" i="1"/>
  <c r="Z188" i="1"/>
  <c r="BN188" i="1"/>
  <c r="BP188" i="1"/>
  <c r="Z206" i="1"/>
  <c r="BN206" i="1"/>
  <c r="Z219" i="1"/>
  <c r="BN219" i="1"/>
  <c r="Z223" i="1"/>
  <c r="BN223" i="1"/>
  <c r="Z227" i="1"/>
  <c r="BN227" i="1"/>
  <c r="Z231" i="1"/>
  <c r="BN231" i="1"/>
  <c r="Y241" i="1"/>
  <c r="Z237" i="1"/>
  <c r="BN237" i="1"/>
  <c r="Z243" i="1"/>
  <c r="BN243" i="1"/>
  <c r="BP243" i="1"/>
  <c r="Z260" i="1"/>
  <c r="BN260" i="1"/>
  <c r="Z266" i="1"/>
  <c r="BN266" i="1"/>
  <c r="Z270" i="1"/>
  <c r="BN270" i="1"/>
  <c r="Z278" i="1"/>
  <c r="BN278" i="1"/>
  <c r="Z282" i="1"/>
  <c r="BN282" i="1"/>
  <c r="Z290" i="1"/>
  <c r="BN290" i="1"/>
  <c r="Z297" i="1"/>
  <c r="BN297" i="1"/>
  <c r="Z301" i="1"/>
  <c r="BN301" i="1"/>
  <c r="Z315" i="1"/>
  <c r="BN315" i="1"/>
  <c r="BP340" i="1"/>
  <c r="BN340" i="1"/>
  <c r="Z340" i="1"/>
  <c r="Y349" i="1"/>
  <c r="BP364" i="1"/>
  <c r="BN364" i="1"/>
  <c r="Z364" i="1"/>
  <c r="BP375" i="1"/>
  <c r="BN375" i="1"/>
  <c r="Z375" i="1"/>
  <c r="BP385" i="1"/>
  <c r="BN385" i="1"/>
  <c r="Z385" i="1"/>
  <c r="BP403" i="1"/>
  <c r="BN403" i="1"/>
  <c r="Z403" i="1"/>
  <c r="Y412" i="1"/>
  <c r="BP417" i="1"/>
  <c r="BN417" i="1"/>
  <c r="Z417" i="1"/>
  <c r="BP439" i="1"/>
  <c r="BN439" i="1"/>
  <c r="Z439" i="1"/>
  <c r="BP449" i="1"/>
  <c r="BN449" i="1"/>
  <c r="Z449" i="1"/>
  <c r="Y458" i="1"/>
  <c r="BP468" i="1"/>
  <c r="BN468" i="1"/>
  <c r="Z468" i="1"/>
  <c r="BP488" i="1"/>
  <c r="BN488" i="1"/>
  <c r="Z488" i="1"/>
  <c r="BP515" i="1"/>
  <c r="BN515" i="1"/>
  <c r="Z515" i="1"/>
  <c r="Y524" i="1"/>
  <c r="BP529" i="1"/>
  <c r="BN529" i="1"/>
  <c r="Z529" i="1"/>
  <c r="U574" i="1"/>
  <c r="Y393" i="1"/>
  <c r="Y480" i="1"/>
  <c r="Y479" i="1"/>
  <c r="Y557" i="1"/>
  <c r="AC574" i="1"/>
  <c r="Y31" i="1"/>
  <c r="Y37" i="1"/>
  <c r="Y47" i="1"/>
  <c r="Y55" i="1"/>
  <c r="Y68" i="1"/>
  <c r="Y74" i="1"/>
  <c r="Y80" i="1"/>
  <c r="Y86" i="1"/>
  <c r="Y95" i="1"/>
  <c r="Y103" i="1"/>
  <c r="Y114" i="1"/>
  <c r="Y120" i="1"/>
  <c r="Y128" i="1"/>
  <c r="Y132" i="1"/>
  <c r="Y137" i="1"/>
  <c r="Y143" i="1"/>
  <c r="Y148" i="1"/>
  <c r="BP145" i="1"/>
  <c r="BP154" i="1"/>
  <c r="BN154" i="1"/>
  <c r="Z154" i="1"/>
  <c r="Y156" i="1"/>
  <c r="Y159" i="1"/>
  <c r="BP158" i="1"/>
  <c r="BN158" i="1"/>
  <c r="Z158" i="1"/>
  <c r="Z159" i="1" s="1"/>
  <c r="Y160" i="1"/>
  <c r="J574" i="1"/>
  <c r="Y168" i="1"/>
  <c r="BP163" i="1"/>
  <c r="BN163" i="1"/>
  <c r="Z163" i="1"/>
  <c r="Y167" i="1"/>
  <c r="BP171" i="1"/>
  <c r="BN171" i="1"/>
  <c r="Z171" i="1"/>
  <c r="Z172" i="1" s="1"/>
  <c r="Y173" i="1"/>
  <c r="Y186" i="1"/>
  <c r="BP175" i="1"/>
  <c r="BN175" i="1"/>
  <c r="Z175" i="1"/>
  <c r="BP179" i="1"/>
  <c r="BN179" i="1"/>
  <c r="Z179" i="1"/>
  <c r="BP183" i="1"/>
  <c r="BN183" i="1"/>
  <c r="Z183" i="1"/>
  <c r="BP205" i="1"/>
  <c r="BN205" i="1"/>
  <c r="Z205" i="1"/>
  <c r="BP209" i="1"/>
  <c r="BN209" i="1"/>
  <c r="Z209" i="1"/>
  <c r="Y211" i="1"/>
  <c r="L574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55" i="1"/>
  <c r="BN255" i="1"/>
  <c r="Z255" i="1"/>
  <c r="Z256" i="1" s="1"/>
  <c r="Y257" i="1"/>
  <c r="Y262" i="1"/>
  <c r="BP259" i="1"/>
  <c r="BN259" i="1"/>
  <c r="Z259" i="1"/>
  <c r="BP267" i="1"/>
  <c r="BN267" i="1"/>
  <c r="Z267" i="1"/>
  <c r="BP298" i="1"/>
  <c r="BN298" i="1"/>
  <c r="Z298" i="1"/>
  <c r="Y302" i="1"/>
  <c r="BP314" i="1"/>
  <c r="BN314" i="1"/>
  <c r="Z314" i="1"/>
  <c r="Y318" i="1"/>
  <c r="BP323" i="1"/>
  <c r="BN323" i="1"/>
  <c r="Z323" i="1"/>
  <c r="BP327" i="1"/>
  <c r="BN327" i="1"/>
  <c r="Z327" i="1"/>
  <c r="Y329" i="1"/>
  <c r="Y335" i="1"/>
  <c r="BP332" i="1"/>
  <c r="BN332" i="1"/>
  <c r="Z332" i="1"/>
  <c r="Y336" i="1"/>
  <c r="BP341" i="1"/>
  <c r="BN341" i="1"/>
  <c r="Z341" i="1"/>
  <c r="BP372" i="1"/>
  <c r="BN372" i="1"/>
  <c r="Z372" i="1"/>
  <c r="Y376" i="1"/>
  <c r="BP380" i="1"/>
  <c r="BN380" i="1"/>
  <c r="Z380" i="1"/>
  <c r="Y386" i="1"/>
  <c r="BP384" i="1"/>
  <c r="BN384" i="1"/>
  <c r="Z384" i="1"/>
  <c r="BP416" i="1"/>
  <c r="BN416" i="1"/>
  <c r="Z416" i="1"/>
  <c r="Z418" i="1" s="1"/>
  <c r="Y418" i="1"/>
  <c r="BP462" i="1"/>
  <c r="BN462" i="1"/>
  <c r="Z462" i="1"/>
  <c r="Z463" i="1" s="1"/>
  <c r="Y464" i="1"/>
  <c r="Y470" i="1"/>
  <c r="BP467" i="1"/>
  <c r="BN467" i="1"/>
  <c r="Z467" i="1"/>
  <c r="Z469" i="1" s="1"/>
  <c r="Y469" i="1"/>
  <c r="Y574" i="1"/>
  <c r="Q574" i="1"/>
  <c r="H9" i="1"/>
  <c r="B574" i="1"/>
  <c r="X565" i="1"/>
  <c r="X566" i="1"/>
  <c r="X568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Y147" i="1"/>
  <c r="BP152" i="1"/>
  <c r="BN152" i="1"/>
  <c r="Z152" i="1"/>
  <c r="BP165" i="1"/>
  <c r="BN165" i="1"/>
  <c r="Z165" i="1"/>
  <c r="Y172" i="1"/>
  <c r="BP177" i="1"/>
  <c r="BN177" i="1"/>
  <c r="Z177" i="1"/>
  <c r="BP181" i="1"/>
  <c r="BN181" i="1"/>
  <c r="Z181" i="1"/>
  <c r="Y185" i="1"/>
  <c r="BP189" i="1"/>
  <c r="BN189" i="1"/>
  <c r="Z189" i="1"/>
  <c r="Z190" i="1" s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74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Y232" i="1"/>
  <c r="BP236" i="1"/>
  <c r="BN236" i="1"/>
  <c r="Z236" i="1"/>
  <c r="Z240" i="1" s="1"/>
  <c r="Y240" i="1"/>
  <c r="BP244" i="1"/>
  <c r="BN244" i="1"/>
  <c r="Z244" i="1"/>
  <c r="Z246" i="1" s="1"/>
  <c r="Y261" i="1"/>
  <c r="BP265" i="1"/>
  <c r="BN265" i="1"/>
  <c r="Z265" i="1"/>
  <c r="BP269" i="1"/>
  <c r="BN269" i="1"/>
  <c r="Z269" i="1"/>
  <c r="BP277" i="1"/>
  <c r="BN277" i="1"/>
  <c r="Z277" i="1"/>
  <c r="BP281" i="1"/>
  <c r="BN281" i="1"/>
  <c r="Z281" i="1"/>
  <c r="BP285" i="1"/>
  <c r="BN285" i="1"/>
  <c r="Z285" i="1"/>
  <c r="Y287" i="1"/>
  <c r="Y292" i="1"/>
  <c r="BP289" i="1"/>
  <c r="BN289" i="1"/>
  <c r="Z289" i="1"/>
  <c r="Y291" i="1"/>
  <c r="BP363" i="1"/>
  <c r="BN363" i="1"/>
  <c r="Z363" i="1"/>
  <c r="Z365" i="1" s="1"/>
  <c r="Y365" i="1"/>
  <c r="BP392" i="1"/>
  <c r="BN392" i="1"/>
  <c r="Z392" i="1"/>
  <c r="Y394" i="1"/>
  <c r="Y399" i="1"/>
  <c r="BP396" i="1"/>
  <c r="BN396" i="1"/>
  <c r="Z396" i="1"/>
  <c r="Y400" i="1"/>
  <c r="BP404" i="1"/>
  <c r="BN404" i="1"/>
  <c r="Z404" i="1"/>
  <c r="I574" i="1"/>
  <c r="Y155" i="1"/>
  <c r="M574" i="1"/>
  <c r="Y256" i="1"/>
  <c r="Y272" i="1"/>
  <c r="BP271" i="1"/>
  <c r="BN271" i="1"/>
  <c r="Z271" i="1"/>
  <c r="Y273" i="1"/>
  <c r="Y286" i="1"/>
  <c r="BP275" i="1"/>
  <c r="BN275" i="1"/>
  <c r="Z275" i="1"/>
  <c r="BP279" i="1"/>
  <c r="BN279" i="1"/>
  <c r="Z279" i="1"/>
  <c r="BP283" i="1"/>
  <c r="BN283" i="1"/>
  <c r="Z283" i="1"/>
  <c r="BP296" i="1"/>
  <c r="BN296" i="1"/>
  <c r="Z296" i="1"/>
  <c r="BP300" i="1"/>
  <c r="BN300" i="1"/>
  <c r="Z300" i="1"/>
  <c r="Y317" i="1"/>
  <c r="BP316" i="1"/>
  <c r="BN316" i="1"/>
  <c r="Z316" i="1"/>
  <c r="P574" i="1"/>
  <c r="Y328" i="1"/>
  <c r="BP321" i="1"/>
  <c r="BN321" i="1"/>
  <c r="Z321" i="1"/>
  <c r="BP325" i="1"/>
  <c r="BN325" i="1"/>
  <c r="Z325" i="1"/>
  <c r="BP334" i="1"/>
  <c r="BN334" i="1"/>
  <c r="Z334" i="1"/>
  <c r="R574" i="1"/>
  <c r="Y344" i="1"/>
  <c r="BP339" i="1"/>
  <c r="BN339" i="1"/>
  <c r="Z339" i="1"/>
  <c r="Z343" i="1" s="1"/>
  <c r="Y343" i="1"/>
  <c r="BP347" i="1"/>
  <c r="BN347" i="1"/>
  <c r="Z347" i="1"/>
  <c r="Z349" i="1" s="1"/>
  <c r="BP370" i="1"/>
  <c r="BN370" i="1"/>
  <c r="Z370" i="1"/>
  <c r="BP374" i="1"/>
  <c r="BN374" i="1"/>
  <c r="Z374" i="1"/>
  <c r="Y387" i="1"/>
  <c r="BP382" i="1"/>
  <c r="BN382" i="1"/>
  <c r="Z382" i="1"/>
  <c r="BP390" i="1"/>
  <c r="BN390" i="1"/>
  <c r="Z390" i="1"/>
  <c r="BP398" i="1"/>
  <c r="BN398" i="1"/>
  <c r="Z398" i="1"/>
  <c r="Y407" i="1"/>
  <c r="BP402" i="1"/>
  <c r="BN402" i="1"/>
  <c r="Z402" i="1"/>
  <c r="Z406" i="1" s="1"/>
  <c r="Y406" i="1"/>
  <c r="BP410" i="1"/>
  <c r="BN410" i="1"/>
  <c r="Z410" i="1"/>
  <c r="Z412" i="1" s="1"/>
  <c r="Y419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Z452" i="1"/>
  <c r="BP450" i="1"/>
  <c r="BN450" i="1"/>
  <c r="Z450" i="1"/>
  <c r="Y452" i="1"/>
  <c r="BP485" i="1"/>
  <c r="BN485" i="1"/>
  <c r="Z485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AA574" i="1"/>
  <c r="Y500" i="1"/>
  <c r="Y505" i="1"/>
  <c r="BP502" i="1"/>
  <c r="BN502" i="1"/>
  <c r="Z502" i="1"/>
  <c r="Y506" i="1"/>
  <c r="BP512" i="1"/>
  <c r="BN512" i="1"/>
  <c r="Z512" i="1"/>
  <c r="BP516" i="1"/>
  <c r="BN516" i="1"/>
  <c r="Z516" i="1"/>
  <c r="O574" i="1"/>
  <c r="Y303" i="1"/>
  <c r="Y355" i="1"/>
  <c r="T574" i="1"/>
  <c r="Y366" i="1"/>
  <c r="Y377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Z433" i="1" s="1"/>
  <c r="BP440" i="1"/>
  <c r="BN440" i="1"/>
  <c r="Z440" i="1"/>
  <c r="BP444" i="1"/>
  <c r="BN444" i="1"/>
  <c r="Z444" i="1"/>
  <c r="Y453" i="1"/>
  <c r="BP456" i="1"/>
  <c r="BN456" i="1"/>
  <c r="Z456" i="1"/>
  <c r="Z458" i="1" s="1"/>
  <c r="Y463" i="1"/>
  <c r="BP477" i="1"/>
  <c r="BN477" i="1"/>
  <c r="Z477" i="1"/>
  <c r="Z479" i="1" s="1"/>
  <c r="BP487" i="1"/>
  <c r="BN487" i="1"/>
  <c r="Z487" i="1"/>
  <c r="BP528" i="1"/>
  <c r="BN528" i="1"/>
  <c r="Z528" i="1"/>
  <c r="Y534" i="1"/>
  <c r="BP532" i="1"/>
  <c r="BN532" i="1"/>
  <c r="Z532" i="1"/>
  <c r="Z574" i="1"/>
  <c r="Y490" i="1"/>
  <c r="BP504" i="1"/>
  <c r="BN504" i="1"/>
  <c r="Z504" i="1"/>
  <c r="AB574" i="1"/>
  <c r="Y519" i="1"/>
  <c r="BP510" i="1"/>
  <c r="BN510" i="1"/>
  <c r="Z510" i="1"/>
  <c r="Z518" i="1" s="1"/>
  <c r="BP514" i="1"/>
  <c r="BN514" i="1"/>
  <c r="Z514" i="1"/>
  <c r="Y518" i="1"/>
  <c r="BP522" i="1"/>
  <c r="BN522" i="1"/>
  <c r="Z522" i="1"/>
  <c r="Y535" i="1"/>
  <c r="BP530" i="1"/>
  <c r="BN530" i="1"/>
  <c r="Z530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102" i="1" l="1"/>
  <c r="Y566" i="1"/>
  <c r="Z31" i="1"/>
  <c r="Z386" i="1"/>
  <c r="Y568" i="1"/>
  <c r="Z534" i="1"/>
  <c r="Z524" i="1"/>
  <c r="Z490" i="1"/>
  <c r="Z393" i="1"/>
  <c r="Z376" i="1"/>
  <c r="Z328" i="1"/>
  <c r="Z302" i="1"/>
  <c r="Z291" i="1"/>
  <c r="Z272" i="1"/>
  <c r="Z210" i="1"/>
  <c r="Z155" i="1"/>
  <c r="Z127" i="1"/>
  <c r="Z85" i="1"/>
  <c r="Z67" i="1"/>
  <c r="Y565" i="1"/>
  <c r="Y567" i="1" s="1"/>
  <c r="Z317" i="1"/>
  <c r="Z261" i="1"/>
  <c r="Z426" i="1"/>
  <c r="Z505" i="1"/>
  <c r="Z286" i="1"/>
  <c r="Z399" i="1"/>
  <c r="Y564" i="1"/>
  <c r="Z335" i="1"/>
  <c r="Z185" i="1"/>
  <c r="Z446" i="1"/>
  <c r="Z120" i="1"/>
  <c r="Z113" i="1"/>
  <c r="Z95" i="1"/>
  <c r="Z74" i="1"/>
  <c r="Z55" i="1"/>
  <c r="Z46" i="1"/>
  <c r="X567" i="1"/>
  <c r="Z232" i="1"/>
  <c r="Z167" i="1"/>
  <c r="Z569" i="1" l="1"/>
</calcChain>
</file>

<file path=xl/sharedStrings.xml><?xml version="1.0" encoding="utf-8"?>
<sst xmlns="http://schemas.openxmlformats.org/spreadsheetml/2006/main" count="2536" uniqueCount="916">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</sst>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21" t="s">
        <v>0</v>
      </c>
      <c r="E1" s="662"/>
      <c r="F1" s="662"/>
      <c r="G1" s="12" t="s">
        <v>1</v>
      </c>
      <c r="H1" s="721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1" t="s">
        <v>8</v>
      </c>
      <c r="B5" s="691"/>
      <c r="C5" s="692"/>
      <c r="D5" s="727"/>
      <c r="E5" s="728"/>
      <c r="F5" s="963" t="s">
        <v>9</v>
      </c>
      <c r="G5" s="692"/>
      <c r="H5" s="727"/>
      <c r="I5" s="893"/>
      <c r="J5" s="893"/>
      <c r="K5" s="893"/>
      <c r="L5" s="893"/>
      <c r="M5" s="728"/>
      <c r="N5" s="58"/>
      <c r="P5" s="24" t="s">
        <v>10</v>
      </c>
      <c r="Q5" s="976">
        <v>46314</v>
      </c>
      <c r="R5" s="759"/>
      <c r="T5" s="810" t="s">
        <v>11</v>
      </c>
      <c r="U5" s="799"/>
      <c r="V5" s="811" t="s">
        <v>12</v>
      </c>
      <c r="W5" s="759"/>
      <c r="AB5" s="51"/>
      <c r="AC5" s="51"/>
      <c r="AD5" s="51"/>
      <c r="AE5" s="51"/>
    </row>
    <row r="6" spans="1:32" s="627" customFormat="1" ht="24" customHeight="1" x14ac:dyDescent="0.2">
      <c r="A6" s="761" t="s">
        <v>13</v>
      </c>
      <c r="B6" s="691"/>
      <c r="C6" s="692"/>
      <c r="D6" s="898"/>
      <c r="E6" s="899"/>
      <c r="F6" s="899"/>
      <c r="G6" s="899"/>
      <c r="H6" s="899"/>
      <c r="I6" s="899"/>
      <c r="J6" s="899"/>
      <c r="K6" s="899"/>
      <c r="L6" s="899"/>
      <c r="M6" s="759"/>
      <c r="N6" s="59"/>
      <c r="P6" s="24" t="s">
        <v>14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18" t="s">
        <v>15</v>
      </c>
      <c r="U6" s="799"/>
      <c r="V6" s="880" t="s">
        <v>16</v>
      </c>
      <c r="W6" s="68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9">
        <f>IFERROR(VLOOKUP(DeliveryAddress,Table,3,0),1)</f>
        <v>1</v>
      </c>
      <c r="E7" s="700"/>
      <c r="F7" s="700"/>
      <c r="G7" s="700"/>
      <c r="H7" s="700"/>
      <c r="I7" s="700"/>
      <c r="J7" s="700"/>
      <c r="K7" s="700"/>
      <c r="L7" s="700"/>
      <c r="M7" s="701"/>
      <c r="N7" s="60"/>
      <c r="P7" s="24"/>
      <c r="Q7" s="42"/>
      <c r="R7" s="42"/>
      <c r="T7" s="645"/>
      <c r="U7" s="799"/>
      <c r="V7" s="881"/>
      <c r="W7" s="882"/>
      <c r="AB7" s="51"/>
      <c r="AC7" s="51"/>
      <c r="AD7" s="51"/>
      <c r="AE7" s="51"/>
    </row>
    <row r="8" spans="1:32" s="627" customFormat="1" ht="25.5" customHeight="1" x14ac:dyDescent="0.2">
      <c r="A8" s="997" t="s">
        <v>17</v>
      </c>
      <c r="B8" s="652"/>
      <c r="C8" s="653"/>
      <c r="D8" s="711"/>
      <c r="E8" s="712"/>
      <c r="F8" s="712"/>
      <c r="G8" s="712"/>
      <c r="H8" s="712"/>
      <c r="I8" s="712"/>
      <c r="J8" s="712"/>
      <c r="K8" s="712"/>
      <c r="L8" s="712"/>
      <c r="M8" s="713"/>
      <c r="N8" s="61"/>
      <c r="P8" s="24" t="s">
        <v>18</v>
      </c>
      <c r="Q8" s="769">
        <v>0.41666666666666669</v>
      </c>
      <c r="R8" s="701"/>
      <c r="T8" s="645"/>
      <c r="U8" s="799"/>
      <c r="V8" s="881"/>
      <c r="W8" s="882"/>
      <c r="AB8" s="51"/>
      <c r="AC8" s="51"/>
      <c r="AD8" s="51"/>
      <c r="AE8" s="51"/>
    </row>
    <row r="9" spans="1:32" s="627" customFormat="1" ht="39.950000000000003" customHeight="1" x14ac:dyDescent="0.2">
      <c r="A9" s="7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82"/>
      <c r="E9" s="650"/>
      <c r="F9" s="7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755"/>
      <c r="R9" s="756"/>
      <c r="T9" s="645"/>
      <c r="U9" s="799"/>
      <c r="V9" s="883"/>
      <c r="W9" s="88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82"/>
      <c r="E10" s="650"/>
      <c r="F10" s="7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70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19"/>
      <c r="R10" s="820"/>
      <c r="U10" s="24" t="s">
        <v>21</v>
      </c>
      <c r="V10" s="684" t="s">
        <v>22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8"/>
      <c r="R11" s="759"/>
      <c r="U11" s="24" t="s">
        <v>25</v>
      </c>
      <c r="V11" s="928" t="s">
        <v>26</v>
      </c>
      <c r="W11" s="756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05" t="s">
        <v>27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2"/>
      <c r="N12" s="62"/>
      <c r="P12" s="24" t="s">
        <v>28</v>
      </c>
      <c r="Q12" s="769"/>
      <c r="R12" s="701"/>
      <c r="S12" s="23"/>
      <c r="U12" s="24"/>
      <c r="V12" s="662"/>
      <c r="W12" s="645"/>
      <c r="AB12" s="51"/>
      <c r="AC12" s="51"/>
      <c r="AD12" s="51"/>
      <c r="AE12" s="51"/>
    </row>
    <row r="13" spans="1:32" s="627" customFormat="1" ht="23.25" customHeight="1" x14ac:dyDescent="0.2">
      <c r="A13" s="805" t="s">
        <v>29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2"/>
      <c r="N13" s="62"/>
      <c r="O13" s="26"/>
      <c r="P13" s="26" t="s">
        <v>30</v>
      </c>
      <c r="Q13" s="928"/>
      <c r="R13" s="7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05" t="s">
        <v>31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1" t="s">
        <v>32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2"/>
      <c r="N15" s="63"/>
      <c r="P15" s="795" t="s">
        <v>33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6"/>
      <c r="Q16" s="796"/>
      <c r="R16" s="796"/>
      <c r="S16" s="796"/>
      <c r="T16" s="79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34</v>
      </c>
      <c r="B17" s="679" t="s">
        <v>35</v>
      </c>
      <c r="C17" s="779" t="s">
        <v>36</v>
      </c>
      <c r="D17" s="679" t="s">
        <v>37</v>
      </c>
      <c r="E17" s="741"/>
      <c r="F17" s="679" t="s">
        <v>38</v>
      </c>
      <c r="G17" s="679" t="s">
        <v>39</v>
      </c>
      <c r="H17" s="679" t="s">
        <v>40</v>
      </c>
      <c r="I17" s="679" t="s">
        <v>41</v>
      </c>
      <c r="J17" s="679" t="s">
        <v>42</v>
      </c>
      <c r="K17" s="679" t="s">
        <v>43</v>
      </c>
      <c r="L17" s="679" t="s">
        <v>44</v>
      </c>
      <c r="M17" s="679" t="s">
        <v>45</v>
      </c>
      <c r="N17" s="679" t="s">
        <v>46</v>
      </c>
      <c r="O17" s="679" t="s">
        <v>47</v>
      </c>
      <c r="P17" s="679" t="s">
        <v>48</v>
      </c>
      <c r="Q17" s="740"/>
      <c r="R17" s="740"/>
      <c r="S17" s="740"/>
      <c r="T17" s="741"/>
      <c r="U17" s="991" t="s">
        <v>49</v>
      </c>
      <c r="V17" s="692"/>
      <c r="W17" s="679" t="s">
        <v>50</v>
      </c>
      <c r="X17" s="679" t="s">
        <v>51</v>
      </c>
      <c r="Y17" s="994" t="s">
        <v>52</v>
      </c>
      <c r="Z17" s="891" t="s">
        <v>53</v>
      </c>
      <c r="AA17" s="868" t="s">
        <v>54</v>
      </c>
      <c r="AB17" s="868" t="s">
        <v>55</v>
      </c>
      <c r="AC17" s="868" t="s">
        <v>56</v>
      </c>
      <c r="AD17" s="868" t="s">
        <v>57</v>
      </c>
      <c r="AE17" s="958"/>
      <c r="AF17" s="959"/>
      <c r="AG17" s="66"/>
      <c r="BD17" s="65" t="s">
        <v>58</v>
      </c>
    </row>
    <row r="18" spans="1:68" ht="14.25" customHeight="1" x14ac:dyDescent="0.2">
      <c r="A18" s="680"/>
      <c r="B18" s="680"/>
      <c r="C18" s="680"/>
      <c r="D18" s="742"/>
      <c r="E18" s="744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2"/>
      <c r="Q18" s="743"/>
      <c r="R18" s="743"/>
      <c r="S18" s="743"/>
      <c r="T18" s="744"/>
      <c r="U18" s="67" t="s">
        <v>59</v>
      </c>
      <c r="V18" s="67" t="s">
        <v>60</v>
      </c>
      <c r="W18" s="680"/>
      <c r="X18" s="680"/>
      <c r="Y18" s="995"/>
      <c r="Z18" s="892"/>
      <c r="AA18" s="869"/>
      <c r="AB18" s="869"/>
      <c r="AC18" s="869"/>
      <c r="AD18" s="960"/>
      <c r="AE18" s="961"/>
      <c r="AF18" s="962"/>
      <c r="AG18" s="66"/>
      <c r="BD18" s="65"/>
    </row>
    <row r="19" spans="1:68" ht="27.75" hidden="1" customHeight="1" x14ac:dyDescent="0.2">
      <c r="A19" s="674" t="s">
        <v>61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4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74" t="s">
        <v>100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74" t="s">
        <v>117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814</v>
      </c>
      <c r="Y51" s="634">
        <f>IFERROR(IF(X51="",0,CEILING((X51/$H51),1)*$H51),"")</f>
        <v>820.80000000000007</v>
      </c>
      <c r="Z51" s="36">
        <f>IFERROR(IF(Y51=0,"",ROUNDUP(Y51/H51,0)*0.01898),"")</f>
        <v>1.44248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844.9018518518518</v>
      </c>
      <c r="BN51" s="64">
        <f>IFERROR(Y51*I51/H51,"0")</f>
        <v>851.96</v>
      </c>
      <c r="BO51" s="64">
        <f>IFERROR(1/J51*(X51/H51),"0")</f>
        <v>1.177662037037037</v>
      </c>
      <c r="BP51" s="64">
        <f>IFERROR(1/J51*(Y51/H51),"0")</f>
        <v>1.1875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8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31</v>
      </c>
      <c r="Y54" s="634">
        <f>IFERROR(IF(X54="",0,CEILING((X54/$H54),1)*$H54),"")</f>
        <v>33.300000000000004</v>
      </c>
      <c r="Z54" s="36">
        <f>IFERROR(IF(Y54=0,"",ROUNDUP(Y54/H54,0)*0.00902),"")</f>
        <v>8.1180000000000002E-2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32.591891891891891</v>
      </c>
      <c r="BN54" s="64">
        <f>IFERROR(Y54*I54/H54,"0")</f>
        <v>35.010000000000005</v>
      </c>
      <c r="BO54" s="64">
        <f>IFERROR(1/J54*(X54/H54),"0")</f>
        <v>6.347256347256347E-2</v>
      </c>
      <c r="BP54" s="64">
        <f>IFERROR(1/J54*(Y54/H54),"0")</f>
        <v>6.8181818181818177E-2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83.748748748748739</v>
      </c>
      <c r="Y55" s="635">
        <f>IFERROR(Y51/H51,"0")+IFERROR(Y52/H52,"0")+IFERROR(Y53/H53,"0")+IFERROR(Y54/H54,"0")</f>
        <v>85</v>
      </c>
      <c r="Z55" s="635">
        <f>IFERROR(IF(Z51="",0,Z51),"0")+IFERROR(IF(Z52="",0,Z52),"0")+IFERROR(IF(Z53="",0,Z53),"0")+IFERROR(IF(Z54="",0,Z54),"0")</f>
        <v>1.52366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845</v>
      </c>
      <c r="Y56" s="635">
        <f>IFERROR(SUM(Y51:Y54),"0")</f>
        <v>854.1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144</v>
      </c>
      <c r="Y59" s="634">
        <f t="shared" ref="Y59:Y66" si="0">IFERROR(IF(X59="",0,CEILING((X59/$H59),1)*$H59),"")</f>
        <v>145.6</v>
      </c>
      <c r="Z59" s="36">
        <f>IFERROR(IF(Y59=0,"",ROUNDUP(Y59/H59,0)*0.01898),"")</f>
        <v>0.24674000000000001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149.27142857142857</v>
      </c>
      <c r="BN59" s="64">
        <f t="shared" ref="BN59:BN66" si="2">IFERROR(Y59*I59/H59,"0")</f>
        <v>150.93</v>
      </c>
      <c r="BO59" s="64">
        <f t="shared" ref="BO59:BO66" si="3">IFERROR(1/J59*(X59/H59),"0")</f>
        <v>0.20089285714285715</v>
      </c>
      <c r="BP59" s="64">
        <f t="shared" ref="BP59:BP66" si="4">IFERROR(1/J59*(Y59/H59),"0")</f>
        <v>0.203125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571</v>
      </c>
      <c r="Y60" s="634">
        <f t="shared" si="0"/>
        <v>572.40000000000009</v>
      </c>
      <c r="Z60" s="36">
        <f>IFERROR(IF(Y60=0,"",ROUNDUP(Y60/H60,0)*0.01898),"")</f>
        <v>1.0059400000000001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592.67685185185189</v>
      </c>
      <c r="BN60" s="64">
        <f t="shared" si="2"/>
        <v>594.13000000000011</v>
      </c>
      <c r="BO60" s="64">
        <f t="shared" si="3"/>
        <v>0.82609953703703698</v>
      </c>
      <c r="BP60" s="64">
        <f t="shared" si="4"/>
        <v>0.82812500000000011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44</v>
      </c>
      <c r="Y63" s="634">
        <f t="shared" si="0"/>
        <v>44</v>
      </c>
      <c r="Z63" s="36">
        <f>IFERROR(IF(Y63=0,"",ROUNDUP(Y63/H63,0)*0.00902),"")</f>
        <v>9.9220000000000003E-2</v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46.09</v>
      </c>
      <c r="BN63" s="64">
        <f t="shared" si="2"/>
        <v>46.09</v>
      </c>
      <c r="BO63" s="64">
        <f t="shared" si="3"/>
        <v>8.3333333333333343E-2</v>
      </c>
      <c r="BP63" s="64">
        <f t="shared" si="4"/>
        <v>8.3333333333333343E-2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34</v>
      </c>
      <c r="Y66" s="634">
        <f t="shared" si="0"/>
        <v>36</v>
      </c>
      <c r="Z66" s="36">
        <f>IFERROR(IF(Y66=0,"",ROUNDUP(Y66/H66,0)*0.00902),"")</f>
        <v>7.2160000000000002E-2</v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35.43555555555556</v>
      </c>
      <c r="BN66" s="64">
        <f t="shared" si="2"/>
        <v>37.520000000000003</v>
      </c>
      <c r="BO66" s="64">
        <f t="shared" si="3"/>
        <v>5.7239057239057242E-2</v>
      </c>
      <c r="BP66" s="64">
        <f t="shared" si="4"/>
        <v>6.0606060606060608E-2</v>
      </c>
    </row>
    <row r="67" spans="1:68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84.283068783068785</v>
      </c>
      <c r="Y67" s="635">
        <f>IFERROR(Y59/H59,"0")+IFERROR(Y60/H60,"0")+IFERROR(Y61/H61,"0")+IFERROR(Y62/H62,"0")+IFERROR(Y63/H63,"0")+IFERROR(Y64/H64,"0")+IFERROR(Y65/H65,"0")+IFERROR(Y66/H66,"0")</f>
        <v>85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1.4240600000000001</v>
      </c>
      <c r="AA67" s="636"/>
      <c r="AB67" s="636"/>
      <c r="AC67" s="636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793</v>
      </c>
      <c r="Y68" s="635">
        <f>IFERROR(SUM(Y59:Y66),"0")</f>
        <v>798.00000000000011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74</v>
      </c>
      <c r="Y70" s="634">
        <f>IFERROR(IF(X70="",0,CEILING((X70/$H70),1)*$H70),"")</f>
        <v>75.600000000000009</v>
      </c>
      <c r="Z70" s="36">
        <f>IFERROR(IF(Y70=0,"",ROUNDUP(Y70/H70,0)*0.01898),"")</f>
        <v>0.13286000000000001</v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76.809259259259264</v>
      </c>
      <c r="BN70" s="64">
        <f>IFERROR(Y70*I70/H70,"0")</f>
        <v>78.47</v>
      </c>
      <c r="BO70" s="64">
        <f>IFERROR(1/J70*(X70/H70),"0")</f>
        <v>0.10706018518518517</v>
      </c>
      <c r="BP70" s="64">
        <f>IFERROR(1/J70*(Y70/H70),"0")</f>
        <v>0.109375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6.8518518518518512</v>
      </c>
      <c r="Y74" s="635">
        <f>IFERROR(Y70/H70,"0")+IFERROR(Y71/H71,"0")+IFERROR(Y72/H72,"0")+IFERROR(Y73/H73,"0")</f>
        <v>7</v>
      </c>
      <c r="Z74" s="635">
        <f>IFERROR(IF(Z70="",0,Z70),"0")+IFERROR(IF(Z71="",0,Z71),"0")+IFERROR(IF(Z72="",0,Z72),"0")+IFERROR(IF(Z73="",0,Z73),"0")</f>
        <v>0.13286000000000001</v>
      </c>
      <c r="AA74" s="636"/>
      <c r="AB74" s="636"/>
      <c r="AC74" s="636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74</v>
      </c>
      <c r="Y75" s="635">
        <f>IFERROR(SUM(Y70:Y73),"0")</f>
        <v>75.600000000000009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hidden="1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0</v>
      </c>
      <c r="Y82" s="63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8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0</v>
      </c>
      <c r="Y85" s="635">
        <f>IFERROR(Y82/H82,"0")+IFERROR(Y83/H83,"0")+IFERROR(Y84/H84,"0")</f>
        <v>0</v>
      </c>
      <c r="Z85" s="635">
        <f>IFERROR(IF(Z82="",0,Z82),"0")+IFERROR(IF(Z83="",0,Z83),"0")+IFERROR(IF(Z84="",0,Z84),"0")</f>
        <v>0</v>
      </c>
      <c r="AA85" s="636"/>
      <c r="AB85" s="636"/>
      <c r="AC85" s="636"/>
    </row>
    <row r="86" spans="1:68" hidden="1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0</v>
      </c>
      <c r="Y86" s="635">
        <f>IFERROR(SUM(Y82:Y84),"0")</f>
        <v>0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165</v>
      </c>
      <c r="Y89" s="634">
        <f t="shared" ref="Y89:Y94" si="5">IFERROR(IF(X89="",0,CEILING((X89/$H89),1)*$H89),"")</f>
        <v>172.8</v>
      </c>
      <c r="Z89" s="36">
        <f>IFERROR(IF(Y89=0,"",ROUNDUP(Y89/H89,0)*0.01898),"")</f>
        <v>0.30368000000000001</v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171.26388888888889</v>
      </c>
      <c r="BN89" s="64">
        <f t="shared" ref="BN89:BN94" si="7">IFERROR(Y89*I89/H89,"0")</f>
        <v>179.36</v>
      </c>
      <c r="BO89" s="64">
        <f t="shared" ref="BO89:BO94" si="8">IFERROR(1/J89*(X89/H89),"0")</f>
        <v>0.23871527777777776</v>
      </c>
      <c r="BP89" s="64">
        <f t="shared" ref="BP89:BP94" si="9">IFERROR(1/J89*(Y89/H89),"0")</f>
        <v>0.25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5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83</v>
      </c>
      <c r="Y94" s="634">
        <f t="shared" si="5"/>
        <v>85.5</v>
      </c>
      <c r="Z94" s="36">
        <f>IFERROR(IF(Y94=0,"",ROUNDUP(Y94/H94,0)*0.00902),"")</f>
        <v>0.17138</v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86.504444444444459</v>
      </c>
      <c r="BN94" s="64">
        <f t="shared" si="7"/>
        <v>89.110000000000014</v>
      </c>
      <c r="BO94" s="64">
        <f t="shared" si="8"/>
        <v>0.13973063973063973</v>
      </c>
      <c r="BP94" s="64">
        <f t="shared" si="9"/>
        <v>0.14393939393939395</v>
      </c>
    </row>
    <row r="95" spans="1:68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33.722222222222221</v>
      </c>
      <c r="Y95" s="635">
        <f>IFERROR(Y89/H89,"0")+IFERROR(Y90/H90,"0")+IFERROR(Y91/H91,"0")+IFERROR(Y92/H92,"0")+IFERROR(Y93/H93,"0")+IFERROR(Y94/H94,"0")</f>
        <v>35</v>
      </c>
      <c r="Z95" s="635">
        <f>IFERROR(IF(Z89="",0,Z89),"0")+IFERROR(IF(Z90="",0,Z90),"0")+IFERROR(IF(Z91="",0,Z91),"0")+IFERROR(IF(Z92="",0,Z92),"0")+IFERROR(IF(Z93="",0,Z93),"0")+IFERROR(IF(Z94="",0,Z94),"0")</f>
        <v>0.47506000000000004</v>
      </c>
      <c r="AA95" s="636"/>
      <c r="AB95" s="636"/>
      <c r="AC95" s="636"/>
    </row>
    <row r="96" spans="1:68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248</v>
      </c>
      <c r="Y96" s="635">
        <f>IFERROR(SUM(Y89:Y94),"0")</f>
        <v>258.3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442</v>
      </c>
      <c r="Y98" s="634">
        <f>IFERROR(IF(X98="",0,CEILING((X98/$H98),1)*$H98),"")</f>
        <v>445.5</v>
      </c>
      <c r="Z98" s="36">
        <f>IFERROR(IF(Y98=0,"",ROUNDUP(Y98/H98,0)*0.01898),"")</f>
        <v>1.0439000000000001</v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468.95654320987654</v>
      </c>
      <c r="BN98" s="64">
        <f>IFERROR(Y98*I98/H98,"0")</f>
        <v>472.67</v>
      </c>
      <c r="BO98" s="64">
        <f>IFERROR(1/J98*(X98/H98),"0")</f>
        <v>0.85262345679012352</v>
      </c>
      <c r="BP98" s="64">
        <f>IFERROR(1/J98*(Y98/H98),"0")</f>
        <v>0.859375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172</v>
      </c>
      <c r="Y100" s="634">
        <f>IFERROR(IF(X100="",0,CEILING((X100/$H100),1)*$H100),"")</f>
        <v>172.8</v>
      </c>
      <c r="Z100" s="36">
        <f>IFERROR(IF(Y100=0,"",ROUNDUP(Y100/H100,0)*0.00651),"")</f>
        <v>0.41664000000000001</v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188.05333333333331</v>
      </c>
      <c r="BN100" s="64">
        <f>IFERROR(Y100*I100/H100,"0")</f>
        <v>188.928</v>
      </c>
      <c r="BO100" s="64">
        <f>IFERROR(1/J100*(X100/H100),"0")</f>
        <v>0.35002035002035004</v>
      </c>
      <c r="BP100" s="64">
        <f>IFERROR(1/J100*(Y100/H100),"0")</f>
        <v>0.35164835164835168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118.27160493827161</v>
      </c>
      <c r="Y102" s="635">
        <f>IFERROR(Y98/H98,"0")+IFERROR(Y99/H99,"0")+IFERROR(Y100/H100,"0")+IFERROR(Y101/H101,"0")</f>
        <v>119</v>
      </c>
      <c r="Z102" s="635">
        <f>IFERROR(IF(Z98="",0,Z98),"0")+IFERROR(IF(Z99="",0,Z99),"0")+IFERROR(IF(Z100="",0,Z100),"0")+IFERROR(IF(Z101="",0,Z101),"0")</f>
        <v>1.4605399999999999</v>
      </c>
      <c r="AA102" s="636"/>
      <c r="AB102" s="636"/>
      <c r="AC102" s="636"/>
    </row>
    <row r="103" spans="1:68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614</v>
      </c>
      <c r="Y103" s="635">
        <f>IFERROR(SUM(Y98:Y101),"0")</f>
        <v>618.29999999999995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272</v>
      </c>
      <c r="Y106" s="634">
        <f t="shared" ref="Y106:Y112" si="10">IFERROR(IF(X106="",0,CEILING((X106/$H106),1)*$H106),"")</f>
        <v>280.8</v>
      </c>
      <c r="Z106" s="36">
        <f>IFERROR(IF(Y106=0,"",ROUNDUP(Y106/H106,0)*0.01898),"")</f>
        <v>0.49348000000000003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282.32592592592596</v>
      </c>
      <c r="BN106" s="64">
        <f t="shared" ref="BN106:BN112" si="12">IFERROR(Y106*I106/H106,"0")</f>
        <v>291.46000000000004</v>
      </c>
      <c r="BO106" s="64">
        <f t="shared" ref="BO106:BO112" si="13">IFERROR(1/J106*(X106/H106),"0")</f>
        <v>0.39351851851851849</v>
      </c>
      <c r="BP106" s="64">
        <f t="shared" ref="BP106:BP112" si="14">IFERROR(1/J106*(Y106/H106),"0")</f>
        <v>0.40625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7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5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103</v>
      </c>
      <c r="Y110" s="634">
        <f t="shared" si="10"/>
        <v>103.5</v>
      </c>
      <c r="Z110" s="36">
        <f>IFERROR(IF(Y110=0,"",ROUNDUP(Y110/H110,0)*0.00902),"")</f>
        <v>0.20746000000000001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107.34888888888889</v>
      </c>
      <c r="BN110" s="64">
        <f t="shared" si="12"/>
        <v>107.87</v>
      </c>
      <c r="BO110" s="64">
        <f t="shared" si="13"/>
        <v>0.17340067340067342</v>
      </c>
      <c r="BP110" s="64">
        <f t="shared" si="14"/>
        <v>0.17424242424242425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48.074074074074076</v>
      </c>
      <c r="Y113" s="635">
        <f>IFERROR(Y106/H106,"0")+IFERROR(Y107/H107,"0")+IFERROR(Y108/H108,"0")+IFERROR(Y109/H109,"0")+IFERROR(Y110/H110,"0")+IFERROR(Y111/H111,"0")+IFERROR(Y112/H112,"0")</f>
        <v>49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0.70094000000000001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375</v>
      </c>
      <c r="Y114" s="635">
        <f>IFERROR(SUM(Y106:Y112),"0")</f>
        <v>384.3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47</v>
      </c>
      <c r="Y119" s="634">
        <f>IFERROR(IF(X119="",0,CEILING((X119/$H119),1)*$H119),"")</f>
        <v>48</v>
      </c>
      <c r="Z119" s="36">
        <f>IFERROR(IF(Y119=0,"",ROUNDUP(Y119/H119,0)*0.00651),"")</f>
        <v>0.13020000000000001</v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50.525000000000006</v>
      </c>
      <c r="BN119" s="64">
        <f>IFERROR(Y119*I119/H119,"0")</f>
        <v>51.6</v>
      </c>
      <c r="BO119" s="64">
        <f>IFERROR(1/J119*(X119/H119),"0")</f>
        <v>0.10760073260073262</v>
      </c>
      <c r="BP119" s="64">
        <f>IFERROR(1/J119*(Y119/H119),"0")</f>
        <v>0.1098901098901099</v>
      </c>
    </row>
    <row r="120" spans="1:68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19.583333333333336</v>
      </c>
      <c r="Y120" s="635">
        <f>IFERROR(Y116/H116,"0")+IFERROR(Y117/H117,"0")+IFERROR(Y118/H118,"0")+IFERROR(Y119/H119,"0")</f>
        <v>20</v>
      </c>
      <c r="Z120" s="635">
        <f>IFERROR(IF(Z116="",0,Z116),"0")+IFERROR(IF(Z117="",0,Z117),"0")+IFERROR(IF(Z118="",0,Z118),"0")+IFERROR(IF(Z119="",0,Z119),"0")</f>
        <v>0.13020000000000001</v>
      </c>
      <c r="AA120" s="636"/>
      <c r="AB120" s="636"/>
      <c r="AC120" s="636"/>
    </row>
    <row r="121" spans="1:68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47</v>
      </c>
      <c r="Y121" s="635">
        <f>IFERROR(SUM(Y116:Y119),"0")</f>
        <v>48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7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426</v>
      </c>
      <c r="Y123" s="634">
        <f>IFERROR(IF(X123="",0,CEILING((X123/$H123),1)*$H123),"")</f>
        <v>429.29999999999995</v>
      </c>
      <c r="Z123" s="36">
        <f>IFERROR(IF(Y123=0,"",ROUNDUP(Y123/H123,0)*0.01898),"")</f>
        <v>1.0059400000000001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451.66518518518518</v>
      </c>
      <c r="BN123" s="64">
        <f>IFERROR(Y123*I123/H123,"0")</f>
        <v>455.16399999999993</v>
      </c>
      <c r="BO123" s="64">
        <f>IFERROR(1/J123*(X123/H123),"0")</f>
        <v>0.8217592592592593</v>
      </c>
      <c r="BP123" s="64">
        <f>IFERROR(1/J123*(Y123/H123),"0")</f>
        <v>0.828125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166</v>
      </c>
      <c r="Y125" s="634">
        <f>IFERROR(IF(X125="",0,CEILING((X125/$H125),1)*$H125),"")</f>
        <v>167.4</v>
      </c>
      <c r="Z125" s="36">
        <f>IFERROR(IF(Y125=0,"",ROUNDUP(Y125/H125,0)*0.00651),"")</f>
        <v>0.40362000000000003</v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181.49333333333331</v>
      </c>
      <c r="BN125" s="64">
        <f>IFERROR(Y125*I125/H125,"0")</f>
        <v>183.024</v>
      </c>
      <c r="BO125" s="64">
        <f>IFERROR(1/J125*(X125/H125),"0")</f>
        <v>0.33781033781033781</v>
      </c>
      <c r="BP125" s="64">
        <f>IFERROR(1/J125*(Y125/H125),"0")</f>
        <v>0.34065934065934067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114.07407407407408</v>
      </c>
      <c r="Y127" s="635">
        <f>IFERROR(Y123/H123,"0")+IFERROR(Y124/H124,"0")+IFERROR(Y125/H125,"0")+IFERROR(Y126/H126,"0")</f>
        <v>115</v>
      </c>
      <c r="Z127" s="635">
        <f>IFERROR(IF(Z123="",0,Z123),"0")+IFERROR(IF(Z124="",0,Z124),"0")+IFERROR(IF(Z125="",0,Z125),"0")+IFERROR(IF(Z126="",0,Z126),"0")</f>
        <v>1.4095600000000001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592</v>
      </c>
      <c r="Y128" s="635">
        <f>IFERROR(SUM(Y123:Y126),"0")</f>
        <v>596.69999999999993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1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hidden="1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0</v>
      </c>
      <c r="Y137" s="635">
        <f>IFERROR(Y135/H135,"0")+IFERROR(Y136/H136,"0")</f>
        <v>0</v>
      </c>
      <c r="Z137" s="635">
        <f>IFERROR(IF(Z135="",0,Z135),"0")+IFERROR(IF(Z136="",0,Z136),"0")</f>
        <v>0</v>
      </c>
      <c r="AA137" s="636"/>
      <c r="AB137" s="636"/>
      <c r="AC137" s="636"/>
    </row>
    <row r="138" spans="1:68" hidden="1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0</v>
      </c>
      <c r="Y138" s="635">
        <f>IFERROR(SUM(Y135:Y136),"0")</f>
        <v>0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31</v>
      </c>
      <c r="Y140" s="634">
        <f>IFERROR(IF(X140="",0,CEILING((X140/$H140),1)*$H140),"")</f>
        <v>33.599999999999994</v>
      </c>
      <c r="Z140" s="36">
        <f>IFERROR(IF(Y140=0,"",ROUNDUP(Y140/H140,0)*0.00651),"")</f>
        <v>7.8119999999999995E-2</v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33.967142857142861</v>
      </c>
      <c r="BN140" s="64">
        <f>IFERROR(Y140*I140/H140,"0")</f>
        <v>36.815999999999995</v>
      </c>
      <c r="BO140" s="64">
        <f>IFERROR(1/J140*(X140/H140),"0")</f>
        <v>6.0832025117739413E-2</v>
      </c>
      <c r="BP140" s="64">
        <f>IFERROR(1/J140*(Y140/H140),"0")</f>
        <v>6.5934065934065936E-2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11.071428571428573</v>
      </c>
      <c r="Y142" s="635">
        <f>IFERROR(Y140/H140,"0")+IFERROR(Y141/H141,"0")</f>
        <v>11.999999999999998</v>
      </c>
      <c r="Z142" s="635">
        <f>IFERROR(IF(Z140="",0,Z140),"0")+IFERROR(IF(Z141="",0,Z141),"0")</f>
        <v>7.8119999999999995E-2</v>
      </c>
      <c r="AA142" s="636"/>
      <c r="AB142" s="636"/>
      <c r="AC142" s="636"/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31</v>
      </c>
      <c r="Y143" s="635">
        <f>IFERROR(SUM(Y140:Y141),"0")</f>
        <v>33.599999999999994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6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21</v>
      </c>
      <c r="Y145" s="634">
        <f>IFERROR(IF(X145="",0,CEILING((X145/$H145),1)*$H145),"")</f>
        <v>21.12</v>
      </c>
      <c r="Z145" s="36">
        <f>IFERROR(IF(Y145=0,"",ROUNDUP(Y145/H145,0)*0.00651),"")</f>
        <v>5.2080000000000001E-2</v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23.131818181818179</v>
      </c>
      <c r="BN145" s="64">
        <f>IFERROR(Y145*I145/H145,"0")</f>
        <v>23.263999999999999</v>
      </c>
      <c r="BO145" s="64">
        <f>IFERROR(1/J145*(X145/H145),"0")</f>
        <v>4.3706293706293704E-2</v>
      </c>
      <c r="BP145" s="64">
        <f>IFERROR(1/J145*(Y145/H145),"0")</f>
        <v>4.3956043956043959E-2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7.9545454545454541</v>
      </c>
      <c r="Y147" s="635">
        <f>IFERROR(Y145/H145,"0")+IFERROR(Y146/H146,"0")</f>
        <v>8</v>
      </c>
      <c r="Z147" s="635">
        <f>IFERROR(IF(Z145="",0,Z145),"0")+IFERROR(IF(Z146="",0,Z146),"0")</f>
        <v>5.2080000000000001E-2</v>
      </c>
      <c r="AA147" s="636"/>
      <c r="AB147" s="636"/>
      <c r="AC147" s="636"/>
    </row>
    <row r="148" spans="1:68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21</v>
      </c>
      <c r="Y148" s="635">
        <f>IFERROR(SUM(Y145:Y146),"0")</f>
        <v>21.12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1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73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9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331</v>
      </c>
      <c r="Y175" s="634">
        <f t="shared" ref="Y175:Y184" si="15">IFERROR(IF(X175="",0,CEILING((X175/$H175),1)*$H175),"")</f>
        <v>332.5</v>
      </c>
      <c r="Z175" s="36">
        <f>IFERROR(IF(Y175=0,"",ROUNDUP(Y175/H175,0)*0.00902),"")</f>
        <v>0.8569</v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348.96857142857141</v>
      </c>
      <c r="BN175" s="64">
        <f t="shared" ref="BN175:BN184" si="17">IFERROR(Y175*I175/H175,"0")</f>
        <v>350.55</v>
      </c>
      <c r="BO175" s="64">
        <f t="shared" ref="BO175:BO184" si="18">IFERROR(1/J175*(X175/H175),"0")</f>
        <v>0.71645021645021645</v>
      </c>
      <c r="BP175" s="64">
        <f t="shared" ref="BP175:BP184" si="19">IFERROR(1/J175*(Y175/H175),"0")</f>
        <v>0.71969696969696972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644</v>
      </c>
      <c r="Y177" s="634">
        <f t="shared" si="15"/>
        <v>644</v>
      </c>
      <c r="Z177" s="36">
        <f>IFERROR(IF(Y177=0,"",ROUNDUP(Y177/H177,0)*0.00902),"")</f>
        <v>1.65968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678.96</v>
      </c>
      <c r="BN177" s="64">
        <f t="shared" si="17"/>
        <v>678.96</v>
      </c>
      <c r="BO177" s="64">
        <f t="shared" si="18"/>
        <v>1.393939393939394</v>
      </c>
      <c r="BP177" s="64">
        <f t="shared" si="19"/>
        <v>1.393939393939394</v>
      </c>
    </row>
    <row r="178" spans="1:68" ht="27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3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270</v>
      </c>
      <c r="Y178" s="634">
        <f t="shared" si="15"/>
        <v>273</v>
      </c>
      <c r="Z178" s="36">
        <f>IFERROR(IF(Y178=0,"",ROUNDUP(Y178/H178,0)*0.00902),"")</f>
        <v>0.70355999999999996</v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284.65714285714284</v>
      </c>
      <c r="BN178" s="64">
        <f t="shared" si="17"/>
        <v>287.82</v>
      </c>
      <c r="BO178" s="64">
        <f t="shared" si="18"/>
        <v>0.58441558441558439</v>
      </c>
      <c r="BP178" s="64">
        <f t="shared" si="19"/>
        <v>0.59090909090909094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4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46</v>
      </c>
      <c r="Y180" s="634">
        <f t="shared" si="15"/>
        <v>47.04</v>
      </c>
      <c r="Z180" s="36">
        <f>IFERROR(IF(Y180=0,"",ROUNDUP(Y180/H180,0)*0.00502),"")</f>
        <v>0.14056000000000002</v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48.738095238095234</v>
      </c>
      <c r="BN180" s="64">
        <f t="shared" si="17"/>
        <v>49.84</v>
      </c>
      <c r="BO180" s="64">
        <f t="shared" si="18"/>
        <v>0.11701261701261703</v>
      </c>
      <c r="BP180" s="64">
        <f t="shared" si="19"/>
        <v>0.11965811965811968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67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35</v>
      </c>
      <c r="Y184" s="634">
        <f t="shared" si="15"/>
        <v>35.28</v>
      </c>
      <c r="Z184" s="36">
        <f>IFERROR(IF(Y184=0,"",ROUNDUP(Y184/H184,0)*0.00502),"")</f>
        <v>0.10542</v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37.083333333333336</v>
      </c>
      <c r="BN184" s="64">
        <f t="shared" si="17"/>
        <v>37.380000000000003</v>
      </c>
      <c r="BO184" s="64">
        <f t="shared" si="18"/>
        <v>8.9031339031339057E-2</v>
      </c>
      <c r="BP184" s="64">
        <f t="shared" si="19"/>
        <v>8.9743589743589758E-2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403.92857142857139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406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3.4661200000000005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1326</v>
      </c>
      <c r="Y186" s="635">
        <f>IFERROR(SUM(Y175:Y184),"0")</f>
        <v>1331.82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74" t="s">
        <v>332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128</v>
      </c>
      <c r="Y220" s="634">
        <f t="shared" si="26"/>
        <v>130.20000000000002</v>
      </c>
      <c r="Z220" s="36">
        <f>IFERROR(IF(Y220=0,"",ROUNDUP(Y220/H220,0)*0.00902),"")</f>
        <v>0.27961999999999998</v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133.79047619047617</v>
      </c>
      <c r="BN220" s="64">
        <f t="shared" si="28"/>
        <v>136.09</v>
      </c>
      <c r="BO220" s="64">
        <f t="shared" si="29"/>
        <v>0.23088023088023088</v>
      </c>
      <c r="BP220" s="64">
        <f t="shared" si="30"/>
        <v>0.23484848484848489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6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9</v>
      </c>
      <c r="Y222" s="634">
        <f t="shared" si="26"/>
        <v>9.6000000000000014</v>
      </c>
      <c r="Z222" s="36">
        <f>IFERROR(IF(Y222=0,"",ROUNDUP(Y222/H222,0)*0.00556),"")</f>
        <v>6.6720000000000002E-2</v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10.4625</v>
      </c>
      <c r="BN222" s="64">
        <f t="shared" si="28"/>
        <v>11.160000000000002</v>
      </c>
      <c r="BO222" s="64">
        <f t="shared" si="29"/>
        <v>4.807692307692308E-2</v>
      </c>
      <c r="BP222" s="64">
        <f t="shared" si="30"/>
        <v>5.1282051282051294E-2</v>
      </c>
    </row>
    <row r="223" spans="1:68" ht="27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93</v>
      </c>
      <c r="Y223" s="634">
        <f t="shared" si="26"/>
        <v>94.5</v>
      </c>
      <c r="Z223" s="36">
        <f>IFERROR(IF(Y223=0,"",ROUNDUP(Y223/H223,0)*0.00502),"")</f>
        <v>0.22590000000000002</v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98.757142857142853</v>
      </c>
      <c r="BN223" s="64">
        <f t="shared" si="28"/>
        <v>100.35</v>
      </c>
      <c r="BO223" s="64">
        <f t="shared" si="29"/>
        <v>0.18925518925518928</v>
      </c>
      <c r="BP223" s="64">
        <f t="shared" si="30"/>
        <v>0.19230769230769232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7</v>
      </c>
      <c r="Y228" s="634">
        <f t="shared" si="26"/>
        <v>7.2</v>
      </c>
      <c r="Z228" s="36">
        <f>IFERROR(IF(Y228=0,"",ROUNDUP(Y228/H228,0)*0.00417),"")</f>
        <v>3.7530000000000001E-2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8.8375000000000004</v>
      </c>
      <c r="BN228" s="64">
        <f t="shared" si="28"/>
        <v>9.09</v>
      </c>
      <c r="BO228" s="64">
        <f t="shared" si="29"/>
        <v>2.8044871794871792E-2</v>
      </c>
      <c r="BP228" s="64">
        <f t="shared" si="30"/>
        <v>2.8846153846153844E-2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333</v>
      </c>
      <c r="Y229" s="634">
        <f t="shared" si="26"/>
        <v>333.90000000000003</v>
      </c>
      <c r="Z229" s="36">
        <f>IFERROR(IF(Y229=0,"",ROUNDUP(Y229/H229,0)*0.00502),"")</f>
        <v>0.79818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348.85714285714283</v>
      </c>
      <c r="BN229" s="64">
        <f t="shared" si="28"/>
        <v>349.80000000000007</v>
      </c>
      <c r="BO229" s="64">
        <f t="shared" si="29"/>
        <v>0.67765567765567769</v>
      </c>
      <c r="BP229" s="64">
        <f t="shared" si="30"/>
        <v>0.67948717948717952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253.33333333333331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256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1.40795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570</v>
      </c>
      <c r="Y233" s="635">
        <f>IFERROR(SUM(Y218:Y231),"0")</f>
        <v>575.40000000000009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1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3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6</v>
      </c>
      <c r="Y249" s="634">
        <f>IFERROR(IF(X249="",0,CEILING((X249/$H249),1)*$H249),"")</f>
        <v>6.3</v>
      </c>
      <c r="Z249" s="36">
        <f>IFERROR(IF(Y249=0,"",ROUNDUP(Y249/H249,0)*0.0059),"")</f>
        <v>2.9499999999999998E-2</v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6.9047619047619042</v>
      </c>
      <c r="BN249" s="64">
        <f>IFERROR(Y249*I249/H249,"0")</f>
        <v>7.25</v>
      </c>
      <c r="BO249" s="64">
        <f>IFERROR(1/J249*(X249/H249),"0")</f>
        <v>2.2045855379188711E-2</v>
      </c>
      <c r="BP249" s="64">
        <f>IFERROR(1/J249*(Y249/H249),"0")</f>
        <v>2.3148148148148147E-2</v>
      </c>
    </row>
    <row r="250" spans="1:68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4.7619047619047619</v>
      </c>
      <c r="Y250" s="635">
        <f>IFERROR(Y249/H249,"0")</f>
        <v>5</v>
      </c>
      <c r="Z250" s="635">
        <f>IFERROR(IF(Z249="",0,Z249),"0")</f>
        <v>2.9499999999999998E-2</v>
      </c>
      <c r="AA250" s="636"/>
      <c r="AB250" s="636"/>
      <c r="AC250" s="636"/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6</v>
      </c>
      <c r="Y251" s="635">
        <f>IFERROR(SUM(Y249:Y249),"0")</f>
        <v>6.3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8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368</v>
      </c>
      <c r="Y264" s="634">
        <f t="shared" ref="Y264:Y271" si="31">IFERROR(IF(X264="",0,CEILING((X264/$H264),1)*$H264),"")</f>
        <v>372.6</v>
      </c>
      <c r="Z264" s="36">
        <f>IFERROR(IF(Y264=0,"",ROUNDUP(Y264/H264,0)*0.00902),"")</f>
        <v>0.62238000000000004</v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380.94814814814811</v>
      </c>
      <c r="BN264" s="64">
        <f t="shared" ref="BN264:BN271" si="33">IFERROR(Y264*I264/H264,"0")</f>
        <v>385.71000000000004</v>
      </c>
      <c r="BO264" s="64">
        <f t="shared" ref="BO264:BO271" si="34">IFERROR(1/J264*(X264/H264),"0")</f>
        <v>0.51627384960718292</v>
      </c>
      <c r="BP264" s="64">
        <f t="shared" ref="BP264:BP271" si="35">IFERROR(1/J264*(Y264/H264),"0")</f>
        <v>0.52272727272727271</v>
      </c>
    </row>
    <row r="265" spans="1:68" ht="27" hidden="1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0</v>
      </c>
      <c r="Y265" s="634">
        <f t="shared" si="31"/>
        <v>0</v>
      </c>
      <c r="Z265" s="36" t="str">
        <f>IFERROR(IF(Y265=0,"",ROUNDUP(Y265/H265,0)*0.00902),"")</f>
        <v/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240</v>
      </c>
      <c r="Y266" s="634">
        <f t="shared" si="31"/>
        <v>243.00000000000003</v>
      </c>
      <c r="Z266" s="36">
        <f>IFERROR(IF(Y266=0,"",ROUNDUP(Y266/H266,0)*0.00902),"")</f>
        <v>0.40590000000000004</v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248.4444444444444</v>
      </c>
      <c r="BN266" s="64">
        <f t="shared" si="33"/>
        <v>251.55</v>
      </c>
      <c r="BO266" s="64">
        <f t="shared" si="34"/>
        <v>0.33670033670033672</v>
      </c>
      <c r="BP266" s="64">
        <f t="shared" si="35"/>
        <v>0.34090909090909094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96</v>
      </c>
      <c r="Y267" s="634">
        <f t="shared" si="31"/>
        <v>97.2</v>
      </c>
      <c r="Z267" s="36">
        <f>IFERROR(IF(Y267=0,"",ROUNDUP(Y267/H267,0)*0.00902),"")</f>
        <v>0.16236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99.377777777777766</v>
      </c>
      <c r="BN267" s="64">
        <f t="shared" si="33"/>
        <v>100.61999999999999</v>
      </c>
      <c r="BO267" s="64">
        <f t="shared" si="34"/>
        <v>0.13468013468013465</v>
      </c>
      <c r="BP267" s="64">
        <f t="shared" si="35"/>
        <v>0.13636363636363635</v>
      </c>
    </row>
    <row r="268" spans="1:68" ht="27" hidden="1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0</v>
      </c>
      <c r="Y268" s="634">
        <f t="shared" si="31"/>
        <v>0</v>
      </c>
      <c r="Z268" s="36" t="str">
        <f>IFERROR(IF(Y268=0,"",ROUNDUP(Y268/H268,0)*0.00502),"")</f>
        <v/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0</v>
      </c>
      <c r="Y269" s="634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0</v>
      </c>
      <c r="Y271" s="634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130.37037037037035</v>
      </c>
      <c r="Y272" s="635">
        <f>IFERROR(Y264/H264,"0")+IFERROR(Y265/H265,"0")+IFERROR(Y266/H266,"0")+IFERROR(Y267/H267,"0")+IFERROR(Y268/H268,"0")+IFERROR(Y269/H269,"0")+IFERROR(Y270/H270,"0")+IFERROR(Y271/H271,"0")</f>
        <v>132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1.1906400000000001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704</v>
      </c>
      <c r="Y273" s="635">
        <f>IFERROR(SUM(Y264:Y271),"0")</f>
        <v>712.80000000000007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66</v>
      </c>
      <c r="Y275" s="634">
        <f t="shared" ref="Y275:Y285" si="36">IFERROR(IF(X275="",0,CEILING((X275/$H275),1)*$H275),"")</f>
        <v>72.899999999999991</v>
      </c>
      <c r="Z275" s="36">
        <f>IFERROR(IF(Y275=0,"",ROUNDUP(Y275/H275,0)*0.01898),"")</f>
        <v>0.17082</v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70.02518518518518</v>
      </c>
      <c r="BN275" s="64">
        <f t="shared" ref="BN275:BN285" si="38">IFERROR(Y275*I275/H275,"0")</f>
        <v>77.345999999999989</v>
      </c>
      <c r="BO275" s="64">
        <f t="shared" ref="BO275:BO285" si="39">IFERROR(1/J275*(X275/H275),"0")</f>
        <v>0.12731481481481483</v>
      </c>
      <c r="BP275" s="64">
        <f t="shared" ref="BP275:BP285" si="40">IFERROR(1/J275*(Y275/H275),"0")</f>
        <v>0.140625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186</v>
      </c>
      <c r="Y276" s="634">
        <f t="shared" si="36"/>
        <v>186.29999999999998</v>
      </c>
      <c r="Z276" s="36">
        <f>IFERROR(IF(Y276=0,"",ROUNDUP(Y276/H276,0)*0.01898),"")</f>
        <v>0.43653999999999998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196.93037037037041</v>
      </c>
      <c r="BN276" s="64">
        <f t="shared" si="38"/>
        <v>197.24799999999999</v>
      </c>
      <c r="BO276" s="64">
        <f t="shared" si="39"/>
        <v>0.35879629629629634</v>
      </c>
      <c r="BP276" s="64">
        <f t="shared" si="40"/>
        <v>0.359375</v>
      </c>
    </row>
    <row r="277" spans="1:68" ht="27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82</v>
      </c>
      <c r="Y277" s="634">
        <f t="shared" si="36"/>
        <v>87</v>
      </c>
      <c r="Z277" s="36">
        <f>IFERROR(IF(Y277=0,"",ROUNDUP(Y277/H277,0)*0.01898),"")</f>
        <v>0.1898</v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86.656091954022997</v>
      </c>
      <c r="BN277" s="64">
        <f t="shared" si="38"/>
        <v>91.940000000000012</v>
      </c>
      <c r="BO277" s="64">
        <f t="shared" si="39"/>
        <v>0.14727011494252876</v>
      </c>
      <c r="BP277" s="64">
        <f t="shared" si="40"/>
        <v>0.15625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107</v>
      </c>
      <c r="Y278" s="634">
        <f t="shared" si="36"/>
        <v>108</v>
      </c>
      <c r="Z278" s="36">
        <f>IFERROR(IF(Y278=0,"",ROUNDUP(Y278/H278,0)*0.00651),"")</f>
        <v>0.29294999999999999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119.03750000000001</v>
      </c>
      <c r="BN278" s="64">
        <f t="shared" si="38"/>
        <v>120.15</v>
      </c>
      <c r="BO278" s="64">
        <f t="shared" si="39"/>
        <v>0.24496336996337001</v>
      </c>
      <c r="BP278" s="64">
        <f t="shared" si="40"/>
        <v>0.24725274725274726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7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6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798</v>
      </c>
      <c r="Y280" s="634">
        <f t="shared" si="36"/>
        <v>799.19999999999993</v>
      </c>
      <c r="Z280" s="36">
        <f>IFERROR(IF(Y280=0,"",ROUNDUP(Y280/H280,0)*0.00651),"")</f>
        <v>2.1678299999999999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881.79000000000019</v>
      </c>
      <c r="BN280" s="64">
        <f t="shared" si="38"/>
        <v>883.11599999999999</v>
      </c>
      <c r="BO280" s="64">
        <f t="shared" si="39"/>
        <v>1.8269230769230771</v>
      </c>
      <c r="BP280" s="64">
        <f t="shared" si="40"/>
        <v>1.8296703296703298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158</v>
      </c>
      <c r="Y282" s="634">
        <f t="shared" si="36"/>
        <v>158.4</v>
      </c>
      <c r="Z282" s="36">
        <f>IFERROR(IF(Y282=0,"",ROUNDUP(Y282/H282,0)*0.00651),"")</f>
        <v>0.42965999999999999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174.59</v>
      </c>
      <c r="BN282" s="64">
        <f t="shared" si="38"/>
        <v>175.03200000000004</v>
      </c>
      <c r="BO282" s="64">
        <f t="shared" si="39"/>
        <v>0.36172161172161182</v>
      </c>
      <c r="BP282" s="64">
        <f t="shared" si="40"/>
        <v>0.36263736263736268</v>
      </c>
    </row>
    <row r="283" spans="1:68" ht="27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111</v>
      </c>
      <c r="Y283" s="634">
        <f t="shared" si="36"/>
        <v>112.8</v>
      </c>
      <c r="Z283" s="36">
        <f>IFERROR(IF(Y283=0,"",ROUNDUP(Y283/H283,0)*0.00651),"")</f>
        <v>0.30597000000000002</v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122.65500000000002</v>
      </c>
      <c r="BN283" s="64">
        <f t="shared" si="38"/>
        <v>124.64400000000001</v>
      </c>
      <c r="BO283" s="64">
        <f t="shared" si="39"/>
        <v>0.25412087912087916</v>
      </c>
      <c r="BP283" s="64">
        <f t="shared" si="40"/>
        <v>0.25824175824175827</v>
      </c>
    </row>
    <row r="284" spans="1:68" ht="27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105</v>
      </c>
      <c r="Y284" s="634">
        <f t="shared" si="36"/>
        <v>105.6</v>
      </c>
      <c r="Z284" s="36">
        <f>IFERROR(IF(Y284=0,"",ROUNDUP(Y284/H284,0)*0.00651),"")</f>
        <v>0.28644000000000003</v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116.28749999999999</v>
      </c>
      <c r="BN284" s="64">
        <f t="shared" si="38"/>
        <v>116.952</v>
      </c>
      <c r="BO284" s="64">
        <f t="shared" si="39"/>
        <v>0.24038461538461539</v>
      </c>
      <c r="BP284" s="64">
        <f t="shared" si="40"/>
        <v>0.24175824175824179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573.45306513409969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577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4.2800099999999999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1613</v>
      </c>
      <c r="Y287" s="635">
        <f>IFERROR(SUM(Y275:Y285),"0")</f>
        <v>1630.1999999999998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82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8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9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46</v>
      </c>
      <c r="Y334" s="634">
        <f>IFERROR(IF(X334="",0,CEILING((X334/$H334),1)*$H334),"")</f>
        <v>48</v>
      </c>
      <c r="Z334" s="36">
        <f>IFERROR(IF(Y334=0,"",ROUNDUP(Y334/H334,0)*0.00651),"")</f>
        <v>0.13020000000000001</v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49.45</v>
      </c>
      <c r="BN334" s="64">
        <f>IFERROR(Y334*I334/H334,"0")</f>
        <v>51.6</v>
      </c>
      <c r="BO334" s="64">
        <f>IFERROR(1/J334*(X334/H334),"0")</f>
        <v>0.10531135531135533</v>
      </c>
      <c r="BP334" s="64">
        <f>IFERROR(1/J334*(Y334/H334),"0")</f>
        <v>0.1098901098901099</v>
      </c>
    </row>
    <row r="335" spans="1:68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19.166666666666668</v>
      </c>
      <c r="Y335" s="635">
        <f>IFERROR(Y332/H332,"0")+IFERROR(Y333/H333,"0")+IFERROR(Y334/H334,"0")</f>
        <v>20</v>
      </c>
      <c r="Z335" s="635">
        <f>IFERROR(IF(Z332="",0,Z332),"0")+IFERROR(IF(Z333="",0,Z333),"0")+IFERROR(IF(Z334="",0,Z334),"0")</f>
        <v>0.13020000000000001</v>
      </c>
      <c r="AA335" s="636"/>
      <c r="AB335" s="636"/>
      <c r="AC335" s="636"/>
    </row>
    <row r="336" spans="1:68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46</v>
      </c>
      <c r="Y336" s="635">
        <f>IFERROR(SUM(Y332:Y334),"0")</f>
        <v>48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3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240</v>
      </c>
      <c r="Y362" s="634">
        <f>IFERROR(IF(X362="",0,CEILING((X362/$H362),1)*$H362),"")</f>
        <v>241.79999999999998</v>
      </c>
      <c r="Z362" s="36">
        <f>IFERROR(IF(Y362=0,"",ROUNDUP(Y362/H362,0)*0.01898),"")</f>
        <v>0.58838000000000001</v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252.61538461538464</v>
      </c>
      <c r="BN362" s="64">
        <f>IFERROR(Y362*I362/H362,"0")</f>
        <v>254.51000000000002</v>
      </c>
      <c r="BO362" s="64">
        <f>IFERROR(1/J362*(X362/H362),"0")</f>
        <v>0.48076923076923078</v>
      </c>
      <c r="BP362" s="64">
        <f>IFERROR(1/J362*(Y362/H362),"0")</f>
        <v>0.484375</v>
      </c>
    </row>
    <row r="363" spans="1:68" ht="27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308</v>
      </c>
      <c r="Y363" s="634">
        <f>IFERROR(IF(X363="",0,CEILING((X363/$H363),1)*$H363),"")</f>
        <v>312</v>
      </c>
      <c r="Z363" s="36">
        <f>IFERROR(IF(Y363=0,"",ROUNDUP(Y363/H363,0)*0.01898),"")</f>
        <v>0.75919999999999999</v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324.18974358974361</v>
      </c>
      <c r="BN363" s="64">
        <f>IFERROR(Y363*I363/H363,"0")</f>
        <v>328.40000000000009</v>
      </c>
      <c r="BO363" s="64">
        <f>IFERROR(1/J363*(X363/H363),"0")</f>
        <v>0.61698717948717952</v>
      </c>
      <c r="BP363" s="64">
        <f>IFERROR(1/J363*(Y363/H363),"0")</f>
        <v>0.625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70.256410256410263</v>
      </c>
      <c r="Y365" s="635">
        <f>IFERROR(Y362/H362,"0")+IFERROR(Y363/H363,"0")+IFERROR(Y364/H364,"0")</f>
        <v>71</v>
      </c>
      <c r="Z365" s="635">
        <f>IFERROR(IF(Z362="",0,Z362),"0")+IFERROR(IF(Z363="",0,Z363),"0")+IFERROR(IF(Z364="",0,Z364),"0")</f>
        <v>1.34758</v>
      </c>
      <c r="AA365" s="636"/>
      <c r="AB365" s="636"/>
      <c r="AC365" s="636"/>
    </row>
    <row r="366" spans="1:68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548</v>
      </c>
      <c r="Y366" s="635">
        <f>IFERROR(SUM(Y362:Y364),"0")</f>
        <v>553.79999999999995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7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0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69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19</v>
      </c>
      <c r="Y385" s="634">
        <f t="shared" si="56"/>
        <v>19.8</v>
      </c>
      <c r="Z385" s="36">
        <f>IFERROR(IF(Y385=0,"",ROUNDUP(Y385/H385,0)*0.00651),"")</f>
        <v>7.1610000000000007E-2</v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21.40666666666667</v>
      </c>
      <c r="BN385" s="64">
        <f t="shared" si="58"/>
        <v>22.308</v>
      </c>
      <c r="BO385" s="64">
        <f t="shared" si="59"/>
        <v>5.7997557997558E-2</v>
      </c>
      <c r="BP385" s="64">
        <f t="shared" si="60"/>
        <v>6.0439560439560447E-2</v>
      </c>
    </row>
    <row r="386" spans="1:68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10.555555555555555</v>
      </c>
      <c r="Y386" s="635">
        <f>IFERROR(Y379/H379,"0")+IFERROR(Y380/H380,"0")+IFERROR(Y381/H381,"0")+IFERROR(Y382/H382,"0")+IFERROR(Y383/H383,"0")+IFERROR(Y384/H384,"0")+IFERROR(Y385/H385,"0")</f>
        <v>11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7.1610000000000007E-2</v>
      </c>
      <c r="AA386" s="636"/>
      <c r="AB386" s="636"/>
      <c r="AC386" s="636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19</v>
      </c>
      <c r="Y387" s="635">
        <f>IFERROR(SUM(Y379:Y385),"0")</f>
        <v>19.8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6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68</v>
      </c>
      <c r="Y396" s="634">
        <f>IFERROR(IF(X396="",0,CEILING((X396/$H396),1)*$H396),"")</f>
        <v>75.600000000000009</v>
      </c>
      <c r="Z396" s="36">
        <f>IFERROR(IF(Y396=0,"",ROUNDUP(Y396/H396,0)*0.01898),"")</f>
        <v>0.17082</v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71.999047619047616</v>
      </c>
      <c r="BN396" s="64">
        <f>IFERROR(Y396*I396/H396,"0")</f>
        <v>80.046000000000006</v>
      </c>
      <c r="BO396" s="64">
        <f>IFERROR(1/J396*(X396/H396),"0")</f>
        <v>0.12648809523809523</v>
      </c>
      <c r="BP396" s="64">
        <f>IFERROR(1/J396*(Y396/H396),"0")</f>
        <v>0.140625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0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520</v>
      </c>
      <c r="Y397" s="634">
        <f>IFERROR(IF(X397="",0,CEILING((X397/$H397),1)*$H397),"")</f>
        <v>522.6</v>
      </c>
      <c r="Z397" s="36">
        <f>IFERROR(IF(Y397=0,"",ROUNDUP(Y397/H397,0)*0.01898),"")</f>
        <v>1.27166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552.93333333333339</v>
      </c>
      <c r="BN397" s="64">
        <f>IFERROR(Y397*I397/H397,"0")</f>
        <v>555.69800000000009</v>
      </c>
      <c r="BO397" s="64">
        <f>IFERROR(1/J397*(X397/H397),"0")</f>
        <v>1.0416666666666667</v>
      </c>
      <c r="BP397" s="64">
        <f>IFERROR(1/J397*(Y397/H397),"0")</f>
        <v>1.046875</v>
      </c>
    </row>
    <row r="398" spans="1:68" ht="27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138</v>
      </c>
      <c r="Y398" s="634">
        <f>IFERROR(IF(X398="",0,CEILING((X398/$H398),1)*$H398),"")</f>
        <v>142.80000000000001</v>
      </c>
      <c r="Z398" s="36">
        <f>IFERROR(IF(Y398=0,"",ROUNDUP(Y398/H398,0)*0.01898),"")</f>
        <v>0.32266</v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146.11571428571429</v>
      </c>
      <c r="BN398" s="64">
        <f>IFERROR(Y398*I398/H398,"0")</f>
        <v>151.19800000000001</v>
      </c>
      <c r="BO398" s="64">
        <f>IFERROR(1/J398*(X398/H398),"0")</f>
        <v>0.25669642857142855</v>
      </c>
      <c r="BP398" s="64">
        <f>IFERROR(1/J398*(Y398/H398),"0")</f>
        <v>0.265625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91.19047619047619</v>
      </c>
      <c r="Y399" s="635">
        <f>IFERROR(Y396/H396,"0")+IFERROR(Y397/H397,"0")+IFERROR(Y398/H398,"0")</f>
        <v>93</v>
      </c>
      <c r="Z399" s="635">
        <f>IFERROR(IF(Z396="",0,Z396),"0")+IFERROR(IF(Z397="",0,Z397),"0")+IFERROR(IF(Z398="",0,Z398),"0")</f>
        <v>1.7651399999999999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726</v>
      </c>
      <c r="Y400" s="635">
        <f>IFERROR(SUM(Y396:Y398),"0")</f>
        <v>741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0</v>
      </c>
      <c r="Y406" s="635">
        <f>IFERROR(Y402/H402,"0")+IFERROR(Y403/H403,"0")+IFERROR(Y404/H404,"0")+IFERROR(Y405/H405,"0")</f>
        <v>0</v>
      </c>
      <c r="Z406" s="635">
        <f>IFERROR(IF(Z402="",0,Z402),"0")+IFERROR(IF(Z403="",0,Z403),"0")+IFERROR(IF(Z404="",0,Z404),"0")+IFERROR(IF(Z405="",0,Z405),"0")</f>
        <v>0</v>
      </c>
      <c r="AA406" s="636"/>
      <c r="AB406" s="636"/>
      <c r="AC406" s="636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0</v>
      </c>
      <c r="Y407" s="635">
        <f>IFERROR(SUM(Y402:Y405),"0")</f>
        <v>0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16</v>
      </c>
      <c r="Y409" s="634">
        <f>IFERROR(IF(X409="",0,CEILING((X409/$H409),1)*$H409),"")</f>
        <v>16</v>
      </c>
      <c r="Z409" s="36">
        <f>IFERROR(IF(Y409=0,"",ROUNDUP(Y409/H409,0)*0.00474),"")</f>
        <v>3.7920000000000002E-2</v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17.920000000000002</v>
      </c>
      <c r="BN409" s="64">
        <f>IFERROR(Y409*I409/H409,"0")</f>
        <v>17.920000000000002</v>
      </c>
      <c r="BO409" s="64">
        <f>IFERROR(1/J409*(X409/H409),"0")</f>
        <v>3.3613445378151259E-2</v>
      </c>
      <c r="BP409" s="64">
        <f>IFERROR(1/J409*(Y409/H409),"0")</f>
        <v>3.3613445378151259E-2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0</v>
      </c>
      <c r="Y410" s="634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19</v>
      </c>
      <c r="Y411" s="634">
        <f>IFERROR(IF(X411="",0,CEILING((X411/$H411),1)*$H411),"")</f>
        <v>20</v>
      </c>
      <c r="Z411" s="36">
        <f>IFERROR(IF(Y411=0,"",ROUNDUP(Y411/H411,0)*0.00474),"")</f>
        <v>4.7400000000000005E-2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21.28</v>
      </c>
      <c r="BN411" s="64">
        <f>IFERROR(Y411*I411/H411,"0")</f>
        <v>22.400000000000002</v>
      </c>
      <c r="BO411" s="64">
        <f>IFERROR(1/J411*(X411/H411),"0")</f>
        <v>3.9915966386554619E-2</v>
      </c>
      <c r="BP411" s="64">
        <f>IFERROR(1/J411*(Y411/H411),"0")</f>
        <v>4.2016806722689072E-2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17.5</v>
      </c>
      <c r="Y412" s="635">
        <f>IFERROR(Y409/H409,"0")+IFERROR(Y410/H410,"0")+IFERROR(Y411/H411,"0")</f>
        <v>18</v>
      </c>
      <c r="Z412" s="635">
        <f>IFERROR(IF(Z409="",0,Z409),"0")+IFERROR(IF(Z410="",0,Z410),"0")+IFERROR(IF(Z411="",0,Z411),"0")</f>
        <v>8.5320000000000007E-2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35</v>
      </c>
      <c r="Y413" s="635">
        <f>IFERROR(SUM(Y409:Y411),"0")</f>
        <v>36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47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0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1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7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0</v>
      </c>
      <c r="Y431" s="634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7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idden="1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0</v>
      </c>
      <c r="Y433" s="635">
        <f>IFERROR(Y430/H430,"0")+IFERROR(Y431/H431,"0")+IFERROR(Y432/H432,"0")</f>
        <v>0</v>
      </c>
      <c r="Z433" s="635">
        <f>IFERROR(IF(Z430="",0,Z430),"0")+IFERROR(IF(Z431="",0,Z431),"0")+IFERROR(IF(Z432="",0,Z432),"0")</f>
        <v>0</v>
      </c>
      <c r="AA433" s="636"/>
      <c r="AB433" s="636"/>
      <c r="AC433" s="636"/>
    </row>
    <row r="434" spans="1:68" hidden="1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0</v>
      </c>
      <c r="Y434" s="635">
        <f>IFERROR(SUM(Y430:Y432),"0")</f>
        <v>0</v>
      </c>
      <c r="Z434" s="37"/>
      <c r="AA434" s="636"/>
      <c r="AB434" s="636"/>
      <c r="AC434" s="636"/>
    </row>
    <row r="435" spans="1:68" ht="27.75" hidden="1" customHeight="1" x14ac:dyDescent="0.2">
      <c r="A435" s="674" t="s">
        <v>696</v>
      </c>
      <c r="B435" s="675"/>
      <c r="C435" s="675"/>
      <c r="D435" s="675"/>
      <c r="E435" s="675"/>
      <c r="F435" s="675"/>
      <c r="G435" s="675"/>
      <c r="H435" s="675"/>
      <c r="I435" s="675"/>
      <c r="J435" s="675"/>
      <c r="K435" s="675"/>
      <c r="L435" s="675"/>
      <c r="M435" s="675"/>
      <c r="N435" s="675"/>
      <c r="O435" s="675"/>
      <c r="P435" s="675"/>
      <c r="Q435" s="675"/>
      <c r="R435" s="675"/>
      <c r="S435" s="675"/>
      <c r="T435" s="675"/>
      <c r="U435" s="675"/>
      <c r="V435" s="675"/>
      <c r="W435" s="675"/>
      <c r="X435" s="675"/>
      <c r="Y435" s="675"/>
      <c r="Z435" s="675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9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948</v>
      </c>
      <c r="Y439" s="634">
        <f t="shared" si="61"/>
        <v>960</v>
      </c>
      <c r="Z439" s="36">
        <f>IFERROR(IF(Y439=0,"",ROUNDUP(Y439/H439,0)*0.02175),"")</f>
        <v>1.3919999999999999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977.70400000000006</v>
      </c>
      <c r="BN439" s="64">
        <f t="shared" si="63"/>
        <v>990.08</v>
      </c>
      <c r="BO439" s="64">
        <f t="shared" si="64"/>
        <v>1.3166666666666667</v>
      </c>
      <c r="BP439" s="64">
        <f t="shared" si="65"/>
        <v>1.3333333333333333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1125</v>
      </c>
      <c r="Y440" s="634">
        <f t="shared" si="61"/>
        <v>1125</v>
      </c>
      <c r="Z440" s="36">
        <f>IFERROR(IF(Y440=0,"",ROUNDUP(Y440/H440,0)*0.02175),"")</f>
        <v>1.6312499999999999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1160.25</v>
      </c>
      <c r="BN440" s="64">
        <f t="shared" si="63"/>
        <v>1160.25</v>
      </c>
      <c r="BO440" s="64">
        <f t="shared" si="64"/>
        <v>1.5625</v>
      </c>
      <c r="BP440" s="64">
        <f t="shared" si="65"/>
        <v>1.5625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599</v>
      </c>
      <c r="Y441" s="634">
        <f t="shared" si="61"/>
        <v>600</v>
      </c>
      <c r="Z441" s="36">
        <f>IFERROR(IF(Y441=0,"",ROUNDUP(Y441/H441,0)*0.02175),"")</f>
        <v>0.86999999999999988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617.76866666666672</v>
      </c>
      <c r="BN441" s="64">
        <f t="shared" si="63"/>
        <v>618.79999999999995</v>
      </c>
      <c r="BO441" s="64">
        <f t="shared" si="64"/>
        <v>0.83194444444444438</v>
      </c>
      <c r="BP441" s="64">
        <f t="shared" si="65"/>
        <v>0.83333333333333326</v>
      </c>
    </row>
    <row r="442" spans="1:68" ht="27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914</v>
      </c>
      <c r="Y442" s="634">
        <f t="shared" si="61"/>
        <v>915</v>
      </c>
      <c r="Z442" s="36">
        <f>IFERROR(IF(Y442=0,"",ROUNDUP(Y442/H442,0)*0.02175),"")</f>
        <v>1.3267499999999999</v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942.63866666666661</v>
      </c>
      <c r="BN442" s="64">
        <f t="shared" si="63"/>
        <v>943.67000000000007</v>
      </c>
      <c r="BO442" s="64">
        <f t="shared" si="64"/>
        <v>1.2694444444444444</v>
      </c>
      <c r="BP442" s="64">
        <f t="shared" si="65"/>
        <v>1.2708333333333333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239.06666666666666</v>
      </c>
      <c r="Y446" s="635">
        <f>IFERROR(Y438/H438,"0")+IFERROR(Y439/H439,"0")+IFERROR(Y440/H440,"0")+IFERROR(Y441/H441,"0")+IFERROR(Y442/H442,"0")+IFERROR(Y443/H443,"0")+IFERROR(Y444/H444,"0")+IFERROR(Y445/H445,"0")</f>
        <v>240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5.22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3586</v>
      </c>
      <c r="Y447" s="635">
        <f>IFERROR(SUM(Y438:Y445),"0")</f>
        <v>3600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1561</v>
      </c>
      <c r="Y449" s="634">
        <f>IFERROR(IF(X449="",0,CEILING((X449/$H449),1)*$H449),"")</f>
        <v>1575</v>
      </c>
      <c r="Z449" s="36">
        <f>IFERROR(IF(Y449=0,"",ROUNDUP(Y449/H449,0)*0.02175),"")</f>
        <v>2.2837499999999999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1609.9113333333335</v>
      </c>
      <c r="BN449" s="64">
        <f>IFERROR(Y449*I449/H449,"0")</f>
        <v>1624.35</v>
      </c>
      <c r="BO449" s="64">
        <f>IFERROR(1/J449*(X449/H449),"0")</f>
        <v>2.1680555555555552</v>
      </c>
      <c r="BP449" s="64">
        <f>IFERROR(1/J449*(Y449/H449),"0")</f>
        <v>2.1875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8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104.06666666666666</v>
      </c>
      <c r="Y452" s="635">
        <f>IFERROR(Y449/H449,"0")+IFERROR(Y450/H450,"0")+IFERROR(Y451/H451,"0")</f>
        <v>105</v>
      </c>
      <c r="Z452" s="635">
        <f>IFERROR(IF(Z449="",0,Z449),"0")+IFERROR(IF(Z450="",0,Z450),"0")+IFERROR(IF(Z451="",0,Z451),"0")</f>
        <v>2.2837499999999999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1561</v>
      </c>
      <c r="Y453" s="635">
        <f>IFERROR(SUM(Y449:Y451),"0")</f>
        <v>1575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6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91</v>
      </c>
      <c r="Y462" s="634">
        <f>IFERROR(IF(X462="",0,CEILING((X462/$H462),1)*$H462),"")</f>
        <v>99</v>
      </c>
      <c r="Z462" s="36">
        <f>IFERROR(IF(Y462=0,"",ROUNDUP(Y462/H462,0)*0.01898),"")</f>
        <v>0.20877999999999999</v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95.99488888888888</v>
      </c>
      <c r="BN462" s="64">
        <f>IFERROR(Y462*I462/H462,"0")</f>
        <v>104.434</v>
      </c>
      <c r="BO462" s="64">
        <f>IFERROR(1/J462*(X462/H462),"0")</f>
        <v>0.1579861111111111</v>
      </c>
      <c r="BP462" s="64">
        <f>IFERROR(1/J462*(Y462/H462),"0")</f>
        <v>0.171875</v>
      </c>
    </row>
    <row r="463" spans="1:68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10.111111111111111</v>
      </c>
      <c r="Y463" s="635">
        <f>IFERROR(Y461/H461,"0")+IFERROR(Y462/H462,"0")</f>
        <v>11</v>
      </c>
      <c r="Z463" s="635">
        <f>IFERROR(IF(Z461="",0,Z461),"0")+IFERROR(IF(Z462="",0,Z462),"0")</f>
        <v>0.20877999999999999</v>
      </c>
      <c r="AA463" s="636"/>
      <c r="AB463" s="636"/>
      <c r="AC463" s="636"/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91</v>
      </c>
      <c r="Y464" s="635">
        <f>IFERROR(SUM(Y461:Y462),"0")</f>
        <v>99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844</v>
      </c>
      <c r="Y476" s="634">
        <f>IFERROR(IF(X476="",0,CEILING((X476/$H476),1)*$H476),"")</f>
        <v>846</v>
      </c>
      <c r="Z476" s="36">
        <f>IFERROR(IF(Y476=0,"",ROUNDUP(Y476/H476,0)*0.01898),"")</f>
        <v>1.7841199999999999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890.32622222222221</v>
      </c>
      <c r="BN476" s="64">
        <f>IFERROR(Y476*I476/H476,"0")</f>
        <v>892.43600000000004</v>
      </c>
      <c r="BO476" s="64">
        <f>IFERROR(1/J476*(X476/H476),"0")</f>
        <v>1.4652777777777777</v>
      </c>
      <c r="BP476" s="64">
        <f>IFERROR(1/J476*(Y476/H476),"0")</f>
        <v>1.46875</v>
      </c>
    </row>
    <row r="477" spans="1:68" ht="27" hidden="1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0</v>
      </c>
      <c r="Y477" s="634">
        <f>IFERROR(IF(X477="",0,CEILING((X477/$H477),1)*$H477),"")</f>
        <v>0</v>
      </c>
      <c r="Z477" s="36" t="str">
        <f>IFERROR(IF(Y477=0,"",ROUNDUP(Y477/H477,0)*0.00651),"")</f>
        <v/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93.777777777777771</v>
      </c>
      <c r="Y479" s="635">
        <f>IFERROR(Y476/H476,"0")+IFERROR(Y477/H477,"0")+IFERROR(Y478/H478,"0")</f>
        <v>94</v>
      </c>
      <c r="Z479" s="635">
        <f>IFERROR(IF(Z476="",0,Z476),"0")+IFERROR(IF(Z477="",0,Z477),"0")+IFERROR(IF(Z478="",0,Z478),"0")</f>
        <v>1.7841199999999999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844</v>
      </c>
      <c r="Y480" s="635">
        <f>IFERROR(SUM(Y476:Y478),"0")</f>
        <v>846</v>
      </c>
      <c r="Z480" s="37"/>
      <c r="AA480" s="636"/>
      <c r="AB480" s="636"/>
      <c r="AC480" s="636"/>
    </row>
    <row r="481" spans="1:68" ht="27.75" hidden="1" customHeight="1" x14ac:dyDescent="0.2">
      <c r="A481" s="674" t="s">
        <v>762</v>
      </c>
      <c r="B481" s="675"/>
      <c r="C481" s="675"/>
      <c r="D481" s="675"/>
      <c r="E481" s="675"/>
      <c r="F481" s="675"/>
      <c r="G481" s="675"/>
      <c r="H481" s="675"/>
      <c r="I481" s="675"/>
      <c r="J481" s="675"/>
      <c r="K481" s="675"/>
      <c r="L481" s="675"/>
      <c r="M481" s="675"/>
      <c r="N481" s="675"/>
      <c r="O481" s="675"/>
      <c r="P481" s="675"/>
      <c r="Q481" s="675"/>
      <c r="R481" s="675"/>
      <c r="S481" s="675"/>
      <c r="T481" s="675"/>
      <c r="U481" s="675"/>
      <c r="V481" s="675"/>
      <c r="W481" s="675"/>
      <c r="X481" s="675"/>
      <c r="Y481" s="675"/>
      <c r="Z481" s="675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5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85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74" t="s">
        <v>795</v>
      </c>
      <c r="B507" s="675"/>
      <c r="C507" s="675"/>
      <c r="D507" s="675"/>
      <c r="E507" s="675"/>
      <c r="F507" s="675"/>
      <c r="G507" s="675"/>
      <c r="H507" s="675"/>
      <c r="I507" s="675"/>
      <c r="J507" s="675"/>
      <c r="K507" s="675"/>
      <c r="L507" s="675"/>
      <c r="M507" s="675"/>
      <c r="N507" s="675"/>
      <c r="O507" s="675"/>
      <c r="P507" s="675"/>
      <c r="Q507" s="675"/>
      <c r="R507" s="675"/>
      <c r="S507" s="675"/>
      <c r="T507" s="675"/>
      <c r="U507" s="675"/>
      <c r="V507" s="675"/>
      <c r="W507" s="675"/>
      <c r="X507" s="675"/>
      <c r="Y507" s="675"/>
      <c r="Z507" s="675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hidden="1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8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0</v>
      </c>
      <c r="Y510" s="634">
        <f t="shared" ref="Y510:Y517" si="71">IFERROR(IF(X510="",0,CEILING((X510/$H510),1)*$H510),"")</f>
        <v>0</v>
      </c>
      <c r="Z510" s="36" t="str">
        <f>IFERROR(IF(Y510=0,"",ROUNDUP(Y510/H510,0)*0.01196),"")</f>
        <v/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0</v>
      </c>
      <c r="BN510" s="64">
        <f t="shared" ref="BN510:BN517" si="73">IFERROR(Y510*I510/H510,"0")</f>
        <v>0</v>
      </c>
      <c r="BO510" s="64">
        <f t="shared" ref="BO510:BO517" si="74">IFERROR(1/J510*(X510/H510),"0")</f>
        <v>0</v>
      </c>
      <c r="BP510" s="64">
        <f t="shared" ref="BP510:BP517" si="75">IFERROR(1/J510*(Y510/H510),"0")</f>
        <v>0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76</v>
      </c>
      <c r="Y512" s="634">
        <f t="shared" si="71"/>
        <v>79.2</v>
      </c>
      <c r="Z512" s="36">
        <f>IFERROR(IF(Y512=0,"",ROUNDUP(Y512/H512,0)*0.01196),"")</f>
        <v>0.1794</v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81.037878787878782</v>
      </c>
      <c r="BN512" s="64">
        <f t="shared" si="73"/>
        <v>84.45</v>
      </c>
      <c r="BO512" s="64">
        <f t="shared" si="74"/>
        <v>0.13840326340326339</v>
      </c>
      <c r="BP512" s="64">
        <f t="shared" si="75"/>
        <v>0.14423076923076925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208</v>
      </c>
      <c r="Y513" s="634">
        <f t="shared" si="71"/>
        <v>211.20000000000002</v>
      </c>
      <c r="Z513" s="36">
        <f>IFERROR(IF(Y513=0,"",ROUNDUP(Y513/H513,0)*0.01196),"")</f>
        <v>0.47839999999999999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221.78787878787878</v>
      </c>
      <c r="BN513" s="64">
        <f t="shared" si="73"/>
        <v>225.2</v>
      </c>
      <c r="BO513" s="64">
        <f t="shared" si="74"/>
        <v>0.37878787878787878</v>
      </c>
      <c r="BP513" s="64">
        <f t="shared" si="75"/>
        <v>0.38461538461538464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481</v>
      </c>
      <c r="Y514" s="634">
        <f t="shared" si="71"/>
        <v>485.76000000000005</v>
      </c>
      <c r="Z514" s="36">
        <f>IFERROR(IF(Y514=0,"",ROUNDUP(Y514/H514,0)*0.01196),"")</f>
        <v>1.10032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512.88446969696963</v>
      </c>
      <c r="BN514" s="64">
        <f t="shared" si="73"/>
        <v>517.96</v>
      </c>
      <c r="BO514" s="64">
        <f t="shared" si="74"/>
        <v>0.87594696969696972</v>
      </c>
      <c r="BP514" s="64">
        <f t="shared" si="75"/>
        <v>0.88461538461538469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82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144.88636363636363</v>
      </c>
      <c r="Y518" s="635">
        <f>IFERROR(Y510/H510,"0")+IFERROR(Y511/H511,"0")+IFERROR(Y512/H512,"0")+IFERROR(Y513/H513,"0")+IFERROR(Y514/H514,"0")+IFERROR(Y515/H515,"0")+IFERROR(Y516/H516,"0")+IFERROR(Y517/H517,"0")</f>
        <v>147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1.7581199999999999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765</v>
      </c>
      <c r="Y519" s="635">
        <f>IFERROR(SUM(Y510:Y517),"0")</f>
        <v>776.16000000000008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286</v>
      </c>
      <c r="Y521" s="634">
        <f>IFERROR(IF(X521="",0,CEILING((X521/$H521),1)*$H521),"")</f>
        <v>290.40000000000003</v>
      </c>
      <c r="Z521" s="36">
        <f>IFERROR(IF(Y521=0,"",ROUNDUP(Y521/H521,0)*0.01196),"")</f>
        <v>0.65780000000000005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304.95833333333331</v>
      </c>
      <c r="BN521" s="64">
        <f>IFERROR(Y521*I521/H521,"0")</f>
        <v>309.65000000000003</v>
      </c>
      <c r="BO521" s="64">
        <f>IFERROR(1/J521*(X521/H521),"0")</f>
        <v>0.52083333333333337</v>
      </c>
      <c r="BP521" s="64">
        <f>IFERROR(1/J521*(Y521/H521),"0")</f>
        <v>0.52884615384615397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70</v>
      </c>
      <c r="Y523" s="634">
        <f>IFERROR(IF(X523="",0,CEILING((X523/$H523),1)*$H523),"")</f>
        <v>72</v>
      </c>
      <c r="Z523" s="36">
        <f>IFERROR(IF(Y523=0,"",ROUNDUP(Y523/H523,0)*0.00902),"")</f>
        <v>0.1353</v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100.77083333333333</v>
      </c>
      <c r="BN523" s="64">
        <f>IFERROR(Y523*I523/H523,"0")</f>
        <v>103.65</v>
      </c>
      <c r="BO523" s="64">
        <f>IFERROR(1/J523*(X523/H523),"0")</f>
        <v>0.11047979797979798</v>
      </c>
      <c r="BP523" s="64">
        <f>IFERROR(1/J523*(Y523/H523),"0")</f>
        <v>0.11363636363636365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68.75</v>
      </c>
      <c r="Y524" s="635">
        <f>IFERROR(Y521/H521,"0")+IFERROR(Y522/H522,"0")+IFERROR(Y523/H523,"0")</f>
        <v>70</v>
      </c>
      <c r="Z524" s="635">
        <f>IFERROR(IF(Z521="",0,Z521),"0")+IFERROR(IF(Z522="",0,Z522),"0")+IFERROR(IF(Z523="",0,Z523),"0")</f>
        <v>0.79310000000000003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356</v>
      </c>
      <c r="Y525" s="635">
        <f>IFERROR(SUM(Y521:Y523),"0")</f>
        <v>362.40000000000003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84</v>
      </c>
      <c r="Y527" s="634">
        <f t="shared" ref="Y527:Y533" si="76">IFERROR(IF(X527="",0,CEILING((X527/$H527),1)*$H527),"")</f>
        <v>84.48</v>
      </c>
      <c r="Z527" s="36">
        <f>IFERROR(IF(Y527=0,"",ROUNDUP(Y527/H527,0)*0.01196),"")</f>
        <v>0.19136</v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89.568181818181813</v>
      </c>
      <c r="BN527" s="64">
        <f t="shared" ref="BN527:BN533" si="78">IFERROR(Y527*I527/H527,"0")</f>
        <v>90.08</v>
      </c>
      <c r="BO527" s="64">
        <f t="shared" ref="BO527:BO533" si="79">IFERROR(1/J527*(X527/H527),"0")</f>
        <v>0.15297202797202797</v>
      </c>
      <c r="BP527" s="64">
        <f t="shared" ref="BP527:BP533" si="80">IFERROR(1/J527*(Y527/H527),"0")</f>
        <v>0.15384615384615385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240</v>
      </c>
      <c r="Y528" s="634">
        <f t="shared" si="76"/>
        <v>242.88000000000002</v>
      </c>
      <c r="Z528" s="36">
        <f>IFERROR(IF(Y528=0,"",ROUNDUP(Y528/H528,0)*0.01196),"")</f>
        <v>0.55015999999999998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255.90909090909091</v>
      </c>
      <c r="BN528" s="64">
        <f t="shared" si="78"/>
        <v>258.98</v>
      </c>
      <c r="BO528" s="64">
        <f t="shared" si="79"/>
        <v>0.43706293706293708</v>
      </c>
      <c r="BP528" s="64">
        <f t="shared" si="80"/>
        <v>0.44230769230769235</v>
      </c>
    </row>
    <row r="529" spans="1:68" ht="27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253</v>
      </c>
      <c r="Y529" s="634">
        <f t="shared" si="76"/>
        <v>253.44</v>
      </c>
      <c r="Z529" s="36">
        <f>IFERROR(IF(Y529=0,"",ROUNDUP(Y529/H529,0)*0.01196),"")</f>
        <v>0.57408000000000003</v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269.77083333333331</v>
      </c>
      <c r="BN529" s="64">
        <f t="shared" si="78"/>
        <v>270.23999999999995</v>
      </c>
      <c r="BO529" s="64">
        <f t="shared" si="79"/>
        <v>0.46073717948717952</v>
      </c>
      <c r="BP529" s="64">
        <f t="shared" si="80"/>
        <v>0.46153846153846156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7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5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109.28030303030303</v>
      </c>
      <c r="Y534" s="635">
        <f>IFERROR(Y527/H527,"0")+IFERROR(Y528/H528,"0")+IFERROR(Y529/H529,"0")+IFERROR(Y530/H530,"0")+IFERROR(Y531/H531,"0")+IFERROR(Y532/H532,"0")+IFERROR(Y533/H533,"0")</f>
        <v>110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1.3155999999999999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577</v>
      </c>
      <c r="Y535" s="635">
        <f>IFERROR(SUM(Y527:Y533),"0")</f>
        <v>580.79999999999995</v>
      </c>
      <c r="Z535" s="37"/>
      <c r="AA535" s="636"/>
      <c r="AB535" s="636"/>
      <c r="AC535" s="636"/>
    </row>
    <row r="536" spans="1:68" ht="27.75" hidden="1" customHeight="1" x14ac:dyDescent="0.2">
      <c r="A536" s="674" t="s">
        <v>839</v>
      </c>
      <c r="B536" s="675"/>
      <c r="C536" s="675"/>
      <c r="D536" s="675"/>
      <c r="E536" s="675"/>
      <c r="F536" s="675"/>
      <c r="G536" s="675"/>
      <c r="H536" s="675"/>
      <c r="I536" s="675"/>
      <c r="J536" s="675"/>
      <c r="K536" s="675"/>
      <c r="L536" s="675"/>
      <c r="M536" s="675"/>
      <c r="N536" s="675"/>
      <c r="O536" s="675"/>
      <c r="P536" s="675"/>
      <c r="Q536" s="675"/>
      <c r="R536" s="675"/>
      <c r="S536" s="675"/>
      <c r="T536" s="675"/>
      <c r="U536" s="675"/>
      <c r="V536" s="675"/>
      <c r="W536" s="675"/>
      <c r="X536" s="675"/>
      <c r="Y536" s="675"/>
      <c r="Z536" s="675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2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82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1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4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798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799"/>
      <c r="P564" s="690" t="s">
        <v>861</v>
      </c>
      <c r="Q564" s="691"/>
      <c r="R564" s="691"/>
      <c r="S564" s="691"/>
      <c r="T564" s="691"/>
      <c r="U564" s="691"/>
      <c r="V564" s="692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17013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17182.5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799"/>
      <c r="P565" s="690" t="s">
        <v>862</v>
      </c>
      <c r="Q565" s="691"/>
      <c r="R565" s="691"/>
      <c r="S565" s="691"/>
      <c r="T565" s="691"/>
      <c r="U565" s="691"/>
      <c r="V565" s="692"/>
      <c r="W565" s="37" t="s">
        <v>67</v>
      </c>
      <c r="X565" s="635">
        <f>IFERROR(SUM(BM22:BM561),"0")</f>
        <v>17914.962195664953</v>
      </c>
      <c r="Y565" s="635">
        <f>IFERROR(SUM(BN22:BN561),"0")</f>
        <v>18094.284000000003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799"/>
      <c r="P566" s="690" t="s">
        <v>863</v>
      </c>
      <c r="Q566" s="691"/>
      <c r="R566" s="691"/>
      <c r="S566" s="691"/>
      <c r="T566" s="691"/>
      <c r="U566" s="691"/>
      <c r="V566" s="692"/>
      <c r="W566" s="37" t="s">
        <v>864</v>
      </c>
      <c r="X566" s="38">
        <f>ROUNDUP(SUM(BO22:BO561),0)</f>
        <v>30</v>
      </c>
      <c r="Y566" s="38">
        <f>ROUNDUP(SUM(BP22:BP561),0)</f>
        <v>30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799"/>
      <c r="P567" s="690" t="s">
        <v>865</v>
      </c>
      <c r="Q567" s="691"/>
      <c r="R567" s="691"/>
      <c r="S567" s="691"/>
      <c r="T567" s="691"/>
      <c r="U567" s="691"/>
      <c r="V567" s="692"/>
      <c r="W567" s="37" t="s">
        <v>67</v>
      </c>
      <c r="X567" s="635">
        <f>GrossWeightTotal+PalletQtyTotal*25</f>
        <v>18664.962195664953</v>
      </c>
      <c r="Y567" s="635">
        <f>GrossWeightTotalR+PalletQtyTotalR*25</f>
        <v>18844.284000000003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799"/>
      <c r="P568" s="690" t="s">
        <v>866</v>
      </c>
      <c r="Q568" s="691"/>
      <c r="R568" s="691"/>
      <c r="S568" s="691"/>
      <c r="T568" s="691"/>
      <c r="U568" s="691"/>
      <c r="V568" s="692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2872.0901946378958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2901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799"/>
      <c r="P569" s="690" t="s">
        <v>867</v>
      </c>
      <c r="Q569" s="691"/>
      <c r="R569" s="691"/>
      <c r="S569" s="691"/>
      <c r="T569" s="691"/>
      <c r="U569" s="691"/>
      <c r="V569" s="692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34.524619999999999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67" t="s">
        <v>117</v>
      </c>
      <c r="E571" s="983"/>
      <c r="F571" s="983"/>
      <c r="G571" s="983"/>
      <c r="H571" s="983"/>
      <c r="I571" s="983"/>
      <c r="J571" s="802"/>
      <c r="K571" s="667" t="s">
        <v>332</v>
      </c>
      <c r="L571" s="983"/>
      <c r="M571" s="983"/>
      <c r="N571" s="983"/>
      <c r="O571" s="983"/>
      <c r="P571" s="983"/>
      <c r="Q571" s="983"/>
      <c r="R571" s="983"/>
      <c r="S571" s="983"/>
      <c r="T571" s="983"/>
      <c r="U571" s="983"/>
      <c r="V571" s="983"/>
      <c r="W571" s="802"/>
      <c r="X571" s="667" t="s">
        <v>696</v>
      </c>
      <c r="Y571" s="802"/>
      <c r="Z571" s="667" t="s">
        <v>762</v>
      </c>
      <c r="AA571" s="802"/>
      <c r="AB571" s="630" t="s">
        <v>795</v>
      </c>
      <c r="AC571" s="667" t="s">
        <v>839</v>
      </c>
      <c r="AD571" s="802"/>
      <c r="AF571" s="631"/>
    </row>
    <row r="572" spans="1:68" ht="14.25" customHeight="1" thickTop="1" x14ac:dyDescent="0.2">
      <c r="A572" s="681" t="s">
        <v>870</v>
      </c>
      <c r="B572" s="667" t="s">
        <v>61</v>
      </c>
      <c r="C572" s="667" t="s">
        <v>101</v>
      </c>
      <c r="D572" s="667" t="s">
        <v>118</v>
      </c>
      <c r="E572" s="667" t="s">
        <v>134</v>
      </c>
      <c r="F572" s="667" t="s">
        <v>180</v>
      </c>
      <c r="G572" s="667" t="s">
        <v>204</v>
      </c>
      <c r="H572" s="667" t="s">
        <v>246</v>
      </c>
      <c r="I572" s="667" t="s">
        <v>259</v>
      </c>
      <c r="J572" s="667" t="s">
        <v>117</v>
      </c>
      <c r="K572" s="667" t="s">
        <v>333</v>
      </c>
      <c r="L572" s="667" t="s">
        <v>354</v>
      </c>
      <c r="M572" s="667" t="s">
        <v>418</v>
      </c>
      <c r="N572" s="631"/>
      <c r="O572" s="667" t="s">
        <v>484</v>
      </c>
      <c r="P572" s="667" t="s">
        <v>519</v>
      </c>
      <c r="Q572" s="667" t="s">
        <v>541</v>
      </c>
      <c r="R572" s="667" t="s">
        <v>550</v>
      </c>
      <c r="S572" s="667" t="s">
        <v>572</v>
      </c>
      <c r="T572" s="667" t="s">
        <v>579</v>
      </c>
      <c r="U572" s="667" t="s">
        <v>588</v>
      </c>
      <c r="V572" s="667" t="s">
        <v>674</v>
      </c>
      <c r="W572" s="667" t="s">
        <v>686</v>
      </c>
      <c r="X572" s="667" t="s">
        <v>697</v>
      </c>
      <c r="Y572" s="667" t="s">
        <v>746</v>
      </c>
      <c r="Z572" s="667" t="s">
        <v>763</v>
      </c>
      <c r="AA572" s="667" t="s">
        <v>783</v>
      </c>
      <c r="AB572" s="667" t="s">
        <v>795</v>
      </c>
      <c r="AC572" s="667" t="s">
        <v>839</v>
      </c>
      <c r="AD572" s="667" t="s">
        <v>857</v>
      </c>
      <c r="AF572" s="631"/>
    </row>
    <row r="573" spans="1:68" ht="13.5" customHeight="1" thickBot="1" x14ac:dyDescent="0.25">
      <c r="A573" s="682"/>
      <c r="B573" s="668"/>
      <c r="C573" s="668"/>
      <c r="D573" s="668"/>
      <c r="E573" s="668"/>
      <c r="F573" s="668"/>
      <c r="G573" s="668"/>
      <c r="H573" s="668"/>
      <c r="I573" s="668"/>
      <c r="J573" s="668"/>
      <c r="K573" s="668"/>
      <c r="L573" s="668"/>
      <c r="M573" s="668"/>
      <c r="N573" s="631"/>
      <c r="O573" s="668"/>
      <c r="P573" s="668"/>
      <c r="Q573" s="668"/>
      <c r="R573" s="668"/>
      <c r="S573" s="668"/>
      <c r="T573" s="668"/>
      <c r="U573" s="668"/>
      <c r="V573" s="668"/>
      <c r="W573" s="668"/>
      <c r="X573" s="668"/>
      <c r="Y573" s="668"/>
      <c r="Z573" s="668"/>
      <c r="AA573" s="668"/>
      <c r="AB573" s="668"/>
      <c r="AC573" s="668"/>
      <c r="AD573" s="668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854.1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873.60000000000014</v>
      </c>
      <c r="F574" s="46">
        <f>IFERROR(Y89*1,"0")+IFERROR(Y90*1,"0")+IFERROR(Y91*1,"0")+IFERROR(Y92*1,"0")+IFERROR(Y93*1,"0")+IFERROR(Y94*1,"0")+IFERROR(Y98*1,"0")+IFERROR(Y99*1,"0")+IFERROR(Y100*1,"0")+IFERROR(Y101*1,"0")</f>
        <v>876.59999999999991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1029</v>
      </c>
      <c r="H574" s="46">
        <f>IFERROR(Y135*1,"0")+IFERROR(Y136*1,"0")+IFERROR(Y140*1,"0")+IFERROR(Y141*1,"0")+IFERROR(Y145*1,"0")+IFERROR(Y146*1,"0")</f>
        <v>54.72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1331.82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581.70000000000005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2343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48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553.79999999999995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796.8</v>
      </c>
      <c r="V574" s="46">
        <f>IFERROR(Y422*1,"0")+IFERROR(Y423*1,"0")+IFERROR(Y424*1,"0")+IFERROR(Y425*1,"0")</f>
        <v>0</v>
      </c>
      <c r="W574" s="46">
        <f>IFERROR(Y430*1,"0")+IFERROR(Y431*1,"0")+IFERROR(Y432*1,"0")</f>
        <v>0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5274</v>
      </c>
      <c r="Y574" s="46">
        <f>IFERROR(Y467*1,"0")+IFERROR(Y468*1,"0")+IFERROR(Y472*1,"0")+IFERROR(Y476*1,"0")+IFERROR(Y477*1,"0")+IFERROR(Y478*1,"0")</f>
        <v>846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1719.3600000000004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5,00"/>
        <filter val="1 326,00"/>
        <filter val="1 561,00"/>
        <filter val="1 613,00"/>
        <filter val="10,11"/>
        <filter val="10,56"/>
        <filter val="103,00"/>
        <filter val="104,07"/>
        <filter val="105,00"/>
        <filter val="107,00"/>
        <filter val="109,28"/>
        <filter val="11,07"/>
        <filter val="111,00"/>
        <filter val="114,07"/>
        <filter val="118,27"/>
        <filter val="128,00"/>
        <filter val="130,37"/>
        <filter val="138,00"/>
        <filter val="144,00"/>
        <filter val="144,89"/>
        <filter val="158,00"/>
        <filter val="16,00"/>
        <filter val="165,00"/>
        <filter val="166,00"/>
        <filter val="17 013,00"/>
        <filter val="17 914,96"/>
        <filter val="17,50"/>
        <filter val="172,00"/>
        <filter val="18 664,96"/>
        <filter val="186,00"/>
        <filter val="19,00"/>
        <filter val="19,17"/>
        <filter val="19,58"/>
        <filter val="2 872,09"/>
        <filter val="208,00"/>
        <filter val="21,00"/>
        <filter val="239,07"/>
        <filter val="240,00"/>
        <filter val="248,00"/>
        <filter val="253,00"/>
        <filter val="253,33"/>
        <filter val="270,00"/>
        <filter val="272,00"/>
        <filter val="286,00"/>
        <filter val="3 586,00"/>
        <filter val="30"/>
        <filter val="308,00"/>
        <filter val="31,00"/>
        <filter val="33,72"/>
        <filter val="331,00"/>
        <filter val="333,00"/>
        <filter val="34,00"/>
        <filter val="35,00"/>
        <filter val="356,00"/>
        <filter val="368,00"/>
        <filter val="375,00"/>
        <filter val="4,76"/>
        <filter val="403,93"/>
        <filter val="426,00"/>
        <filter val="44,00"/>
        <filter val="442,00"/>
        <filter val="46,00"/>
        <filter val="47,00"/>
        <filter val="48,07"/>
        <filter val="481,00"/>
        <filter val="520,00"/>
        <filter val="548,00"/>
        <filter val="570,00"/>
        <filter val="571,00"/>
        <filter val="573,45"/>
        <filter val="577,00"/>
        <filter val="592,00"/>
        <filter val="599,00"/>
        <filter val="6,00"/>
        <filter val="6,85"/>
        <filter val="614,00"/>
        <filter val="644,00"/>
        <filter val="66,00"/>
        <filter val="68,00"/>
        <filter val="68,75"/>
        <filter val="7,00"/>
        <filter val="7,95"/>
        <filter val="70,00"/>
        <filter val="70,26"/>
        <filter val="704,00"/>
        <filter val="726,00"/>
        <filter val="74,00"/>
        <filter val="76,00"/>
        <filter val="765,00"/>
        <filter val="793,00"/>
        <filter val="798,00"/>
        <filter val="814,00"/>
        <filter val="82,00"/>
        <filter val="83,00"/>
        <filter val="83,75"/>
        <filter val="84,00"/>
        <filter val="84,28"/>
        <filter val="844,00"/>
        <filter val="845,00"/>
        <filter val="9,00"/>
        <filter val="91,00"/>
        <filter val="91,19"/>
        <filter val="914,00"/>
        <filter val="93,00"/>
        <filter val="93,78"/>
        <filter val="948,00"/>
        <filter val="96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P439:T439"/>
    <mergeCell ref="D249:E249"/>
    <mergeCell ref="D276:E276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83:T83"/>
    <mergeCell ref="D271:E271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P342:T342"/>
    <mergeCell ref="D323:E323"/>
    <mergeCell ref="P146:T14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D152:E152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543:T543"/>
    <mergeCell ref="D424:E424"/>
    <mergeCell ref="P224:T224"/>
    <mergeCell ref="P322:T322"/>
    <mergeCell ref="P260:T260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D530:E530"/>
    <mergeCell ref="A406:O407"/>
    <mergeCell ref="A263:Z263"/>
    <mergeCell ref="P264:T264"/>
    <mergeCell ref="P239:T239"/>
    <mergeCell ref="A210:O211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A540:O541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D514:E514"/>
    <mergeCell ref="D381:E381"/>
    <mergeCell ref="A345:Z345"/>
    <mergeCell ref="A250:O251"/>
    <mergeCell ref="D380:E380"/>
    <mergeCell ref="D209:E209"/>
    <mergeCell ref="P166:T166"/>
    <mergeCell ref="D445:E445"/>
    <mergeCell ref="P402:T402"/>
    <mergeCell ref="D516:E516"/>
    <mergeCell ref="D301:E301"/>
    <mergeCell ref="D245:E245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A505:O506"/>
    <mergeCell ref="D296:E296"/>
    <mergeCell ref="D269:E269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2026-10-16T10:19:51Z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