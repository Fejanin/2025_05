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34D9585-EE6E-4390-8D0A-041C64C23E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P555" i="1"/>
  <c r="X552" i="1"/>
  <c r="X551" i="1"/>
  <c r="BO550" i="1"/>
  <c r="BM550" i="1"/>
  <c r="Y550" i="1"/>
  <c r="P550" i="1"/>
  <c r="BO549" i="1"/>
  <c r="BM549" i="1"/>
  <c r="Y549" i="1"/>
  <c r="Y551" i="1" s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AB568" i="1" s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Y493" i="1" s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BP481" i="1" s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P476" i="1"/>
  <c r="X472" i="1"/>
  <c r="X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Y472" i="1" s="1"/>
  <c r="P468" i="1"/>
  <c r="X466" i="1"/>
  <c r="X465" i="1"/>
  <c r="BO464" i="1"/>
  <c r="BM464" i="1"/>
  <c r="Y464" i="1"/>
  <c r="Y466" i="1" s="1"/>
  <c r="P464" i="1"/>
  <c r="X462" i="1"/>
  <c r="X461" i="1"/>
  <c r="BO460" i="1"/>
  <c r="BM460" i="1"/>
  <c r="Y460" i="1"/>
  <c r="Y462" i="1" s="1"/>
  <c r="P460" i="1"/>
  <c r="BP459" i="1"/>
  <c r="BO459" i="1"/>
  <c r="BN459" i="1"/>
  <c r="BM459" i="1"/>
  <c r="Z459" i="1"/>
  <c r="Y459" i="1"/>
  <c r="P459" i="1"/>
  <c r="X456" i="1"/>
  <c r="X455" i="1"/>
  <c r="BO454" i="1"/>
  <c r="BM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Y445" i="1" s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P435" i="1" s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X426" i="1"/>
  <c r="X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V568" i="1" s="1"/>
  <c r="P422" i="1"/>
  <c r="X419" i="1"/>
  <c r="X418" i="1"/>
  <c r="BO417" i="1"/>
  <c r="BM417" i="1"/>
  <c r="Y417" i="1"/>
  <c r="Y419" i="1" s="1"/>
  <c r="P417" i="1"/>
  <c r="BP416" i="1"/>
  <c r="BO416" i="1"/>
  <c r="BN416" i="1"/>
  <c r="BM416" i="1"/>
  <c r="Z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M403" i="1"/>
  <c r="Y403" i="1"/>
  <c r="BP403" i="1" s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Y394" i="1" s="1"/>
  <c r="P390" i="1"/>
  <c r="X388" i="1"/>
  <c r="X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BP351" i="1" s="1"/>
  <c r="P351" i="1"/>
  <c r="BO350" i="1"/>
  <c r="BM350" i="1"/>
  <c r="Y350" i="1"/>
  <c r="Y352" i="1" s="1"/>
  <c r="P350" i="1"/>
  <c r="X348" i="1"/>
  <c r="X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BP336" i="1" s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Y323" i="1" s="1"/>
  <c r="P321" i="1"/>
  <c r="X319" i="1"/>
  <c r="X318" i="1"/>
  <c r="BO317" i="1"/>
  <c r="BM317" i="1"/>
  <c r="Y317" i="1"/>
  <c r="Y319" i="1" s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BP309" i="1" s="1"/>
  <c r="P309" i="1"/>
  <c r="BO308" i="1"/>
  <c r="BM308" i="1"/>
  <c r="Y308" i="1"/>
  <c r="BP308" i="1" s="1"/>
  <c r="P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P303" i="1"/>
  <c r="X300" i="1"/>
  <c r="X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Y279" i="1" s="1"/>
  <c r="P271" i="1"/>
  <c r="X269" i="1"/>
  <c r="X268" i="1"/>
  <c r="BO267" i="1"/>
  <c r="BM267" i="1"/>
  <c r="Y267" i="1"/>
  <c r="Y269" i="1" s="1"/>
  <c r="P267" i="1"/>
  <c r="BP266" i="1"/>
  <c r="BO266" i="1"/>
  <c r="BN266" i="1"/>
  <c r="BM266" i="1"/>
  <c r="Z266" i="1"/>
  <c r="Y266" i="1"/>
  <c r="P266" i="1"/>
  <c r="X264" i="1"/>
  <c r="X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Y258" i="1" s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Y218" i="1" s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BO190" i="1"/>
  <c r="BM190" i="1"/>
  <c r="Y190" i="1"/>
  <c r="Y194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Y173" i="1" s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I568" i="1" s="1"/>
  <c r="P150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Y100" i="1" s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Y78" i="1" s="1"/>
  <c r="P76" i="1"/>
  <c r="BP75" i="1"/>
  <c r="BO75" i="1"/>
  <c r="BN75" i="1"/>
  <c r="BM75" i="1"/>
  <c r="Z75" i="1"/>
  <c r="Y75" i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3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Y64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38" i="1" l="1"/>
  <c r="BN38" i="1"/>
  <c r="Z63" i="1"/>
  <c r="BN63" i="1"/>
  <c r="Z92" i="1"/>
  <c r="BN92" i="1"/>
  <c r="Z123" i="1"/>
  <c r="BN123" i="1"/>
  <c r="Z159" i="1"/>
  <c r="Z160" i="1" s="1"/>
  <c r="BN159" i="1"/>
  <c r="BP159" i="1"/>
  <c r="Y160" i="1"/>
  <c r="Z164" i="1"/>
  <c r="BN164" i="1"/>
  <c r="Y169" i="1"/>
  <c r="Z186" i="1"/>
  <c r="BN186" i="1"/>
  <c r="Z223" i="1"/>
  <c r="BN223" i="1"/>
  <c r="Z243" i="1"/>
  <c r="BN243" i="1"/>
  <c r="Z283" i="1"/>
  <c r="BN283" i="1"/>
  <c r="Z306" i="1"/>
  <c r="BN306" i="1"/>
  <c r="Z345" i="1"/>
  <c r="BN345" i="1"/>
  <c r="Z351" i="1"/>
  <c r="BN351" i="1"/>
  <c r="Z375" i="1"/>
  <c r="BN375" i="1"/>
  <c r="Z403" i="1"/>
  <c r="BN403" i="1"/>
  <c r="Y406" i="1"/>
  <c r="Z435" i="1"/>
  <c r="BN435" i="1"/>
  <c r="Z436" i="1"/>
  <c r="BN436" i="1"/>
  <c r="Z481" i="1"/>
  <c r="BN481" i="1"/>
  <c r="Z522" i="1"/>
  <c r="BN522" i="1"/>
  <c r="Y131" i="1"/>
  <c r="Y130" i="1"/>
  <c r="BP129" i="1"/>
  <c r="BN129" i="1"/>
  <c r="BP153" i="1"/>
  <c r="BN153" i="1"/>
  <c r="Z153" i="1"/>
  <c r="BP182" i="1"/>
  <c r="BN182" i="1"/>
  <c r="Z182" i="1"/>
  <c r="BP212" i="1"/>
  <c r="BN212" i="1"/>
  <c r="Z212" i="1"/>
  <c r="BP239" i="1"/>
  <c r="BN239" i="1"/>
  <c r="Z239" i="1"/>
  <c r="BP274" i="1"/>
  <c r="BN274" i="1"/>
  <c r="Z274" i="1"/>
  <c r="BP297" i="1"/>
  <c r="BN297" i="1"/>
  <c r="Z297" i="1"/>
  <c r="BP338" i="1"/>
  <c r="BN338" i="1"/>
  <c r="Z338" i="1"/>
  <c r="BP369" i="1"/>
  <c r="BN369" i="1"/>
  <c r="Z369" i="1"/>
  <c r="BP397" i="1"/>
  <c r="BN397" i="1"/>
  <c r="Z397" i="1"/>
  <c r="BP431" i="1"/>
  <c r="BN431" i="1"/>
  <c r="Z431" i="1"/>
  <c r="BP477" i="1"/>
  <c r="BN477" i="1"/>
  <c r="Z477" i="1"/>
  <c r="BP510" i="1"/>
  <c r="BN510" i="1"/>
  <c r="Z510" i="1"/>
  <c r="X562" i="1"/>
  <c r="Z28" i="1"/>
  <c r="BN28" i="1"/>
  <c r="Z48" i="1"/>
  <c r="BN48" i="1"/>
  <c r="Z59" i="1"/>
  <c r="BN59" i="1"/>
  <c r="Z69" i="1"/>
  <c r="BN69" i="1"/>
  <c r="Z88" i="1"/>
  <c r="BN88" i="1"/>
  <c r="Z98" i="1"/>
  <c r="BN98" i="1"/>
  <c r="G568" i="1"/>
  <c r="Z111" i="1"/>
  <c r="BN111" i="1"/>
  <c r="Z129" i="1"/>
  <c r="Z130" i="1" s="1"/>
  <c r="BP134" i="1"/>
  <c r="BN134" i="1"/>
  <c r="Z134" i="1"/>
  <c r="BP172" i="1"/>
  <c r="BN172" i="1"/>
  <c r="Z172" i="1"/>
  <c r="BP192" i="1"/>
  <c r="BN192" i="1"/>
  <c r="Z192" i="1"/>
  <c r="BP227" i="1"/>
  <c r="BN227" i="1"/>
  <c r="Z227" i="1"/>
  <c r="BP251" i="1"/>
  <c r="BN251" i="1"/>
  <c r="Z251" i="1"/>
  <c r="BP287" i="1"/>
  <c r="BN287" i="1"/>
  <c r="Z287" i="1"/>
  <c r="BP327" i="1"/>
  <c r="BN327" i="1"/>
  <c r="Z327" i="1"/>
  <c r="BP358" i="1"/>
  <c r="BN358" i="1"/>
  <c r="Z358" i="1"/>
  <c r="BP379" i="1"/>
  <c r="BN379" i="1"/>
  <c r="Z379" i="1"/>
  <c r="BP409" i="1"/>
  <c r="BN409" i="1"/>
  <c r="Z409" i="1"/>
  <c r="BP448" i="1"/>
  <c r="BN448" i="1"/>
  <c r="Z448" i="1"/>
  <c r="BP496" i="1"/>
  <c r="BN496" i="1"/>
  <c r="Z496" i="1"/>
  <c r="BP526" i="1"/>
  <c r="BN526" i="1"/>
  <c r="Z526" i="1"/>
  <c r="Y137" i="1"/>
  <c r="Y188" i="1"/>
  <c r="Y235" i="1"/>
  <c r="M568" i="1"/>
  <c r="Y300" i="1"/>
  <c r="O568" i="1"/>
  <c r="Y412" i="1"/>
  <c r="BP356" i="1"/>
  <c r="BN356" i="1"/>
  <c r="Z356" i="1"/>
  <c r="BP367" i="1"/>
  <c r="BN367" i="1"/>
  <c r="Z367" i="1"/>
  <c r="BP377" i="1"/>
  <c r="BN377" i="1"/>
  <c r="Z377" i="1"/>
  <c r="BP391" i="1"/>
  <c r="BN391" i="1"/>
  <c r="Z391" i="1"/>
  <c r="BP405" i="1"/>
  <c r="BN405" i="1"/>
  <c r="Z405" i="1"/>
  <c r="BP423" i="1"/>
  <c r="BN423" i="1"/>
  <c r="Z423" i="1"/>
  <c r="BP442" i="1"/>
  <c r="BN442" i="1"/>
  <c r="Z442" i="1"/>
  <c r="BP469" i="1"/>
  <c r="BN469" i="1"/>
  <c r="Z469" i="1"/>
  <c r="Y487" i="1"/>
  <c r="BP485" i="1"/>
  <c r="BN485" i="1"/>
  <c r="Z485" i="1"/>
  <c r="BP508" i="1"/>
  <c r="BN508" i="1"/>
  <c r="Z508" i="1"/>
  <c r="BP524" i="1"/>
  <c r="BN524" i="1"/>
  <c r="Z524" i="1"/>
  <c r="Z22" i="1"/>
  <c r="BN22" i="1"/>
  <c r="Y25" i="1"/>
  <c r="Y33" i="1"/>
  <c r="Z30" i="1"/>
  <c r="BN30" i="1"/>
  <c r="C568" i="1"/>
  <c r="Z40" i="1"/>
  <c r="BN40" i="1"/>
  <c r="D568" i="1"/>
  <c r="Z50" i="1"/>
  <c r="BN50" i="1"/>
  <c r="Z57" i="1"/>
  <c r="BN57" i="1"/>
  <c r="Z61" i="1"/>
  <c r="BN61" i="1"/>
  <c r="Z67" i="1"/>
  <c r="BN67" i="1"/>
  <c r="BP67" i="1"/>
  <c r="Y72" i="1"/>
  <c r="Z71" i="1"/>
  <c r="BN71" i="1"/>
  <c r="Y77" i="1"/>
  <c r="Z81" i="1"/>
  <c r="BN81" i="1"/>
  <c r="F568" i="1"/>
  <c r="Z90" i="1"/>
  <c r="BN90" i="1"/>
  <c r="Z96" i="1"/>
  <c r="BN96" i="1"/>
  <c r="BP96" i="1"/>
  <c r="Y101" i="1"/>
  <c r="Z105" i="1"/>
  <c r="BN105" i="1"/>
  <c r="Z109" i="1"/>
  <c r="BN109" i="1"/>
  <c r="Z117" i="1"/>
  <c r="BN117" i="1"/>
  <c r="Y126" i="1"/>
  <c r="Z125" i="1"/>
  <c r="BN125" i="1"/>
  <c r="Z140" i="1"/>
  <c r="BN140" i="1"/>
  <c r="Y146" i="1"/>
  <c r="Z151" i="1"/>
  <c r="BN151" i="1"/>
  <c r="Z155" i="1"/>
  <c r="BN155" i="1"/>
  <c r="Z166" i="1"/>
  <c r="BN166" i="1"/>
  <c r="Z176" i="1"/>
  <c r="BN176" i="1"/>
  <c r="BP176" i="1"/>
  <c r="Y187" i="1"/>
  <c r="Z180" i="1"/>
  <c r="BN180" i="1"/>
  <c r="Z184" i="1"/>
  <c r="BN184" i="1"/>
  <c r="Z190" i="1"/>
  <c r="BN190" i="1"/>
  <c r="BP190" i="1"/>
  <c r="Y193" i="1"/>
  <c r="Z196" i="1"/>
  <c r="Z197" i="1" s="1"/>
  <c r="BN196" i="1"/>
  <c r="BP196" i="1"/>
  <c r="Y197" i="1"/>
  <c r="Z200" i="1"/>
  <c r="Z201" i="1" s="1"/>
  <c r="BN200" i="1"/>
  <c r="BP200" i="1"/>
  <c r="Y201" i="1"/>
  <c r="Z206" i="1"/>
  <c r="BN206" i="1"/>
  <c r="Y213" i="1"/>
  <c r="Z210" i="1"/>
  <c r="BN210" i="1"/>
  <c r="Z217" i="1"/>
  <c r="Z218" i="1" s="1"/>
  <c r="BN217" i="1"/>
  <c r="BP217" i="1"/>
  <c r="Z221" i="1"/>
  <c r="BN221" i="1"/>
  <c r="BP221" i="1"/>
  <c r="Y236" i="1"/>
  <c r="Z225" i="1"/>
  <c r="BN225" i="1"/>
  <c r="Z229" i="1"/>
  <c r="BN229" i="1"/>
  <c r="Z233" i="1"/>
  <c r="BN233" i="1"/>
  <c r="Y248" i="1"/>
  <c r="Z241" i="1"/>
  <c r="BN241" i="1"/>
  <c r="Z245" i="1"/>
  <c r="BN245" i="1"/>
  <c r="Y254" i="1"/>
  <c r="Z262" i="1"/>
  <c r="BN262" i="1"/>
  <c r="Y268" i="1"/>
  <c r="Z272" i="1"/>
  <c r="BN272" i="1"/>
  <c r="Z276" i="1"/>
  <c r="BN276" i="1"/>
  <c r="Z277" i="1"/>
  <c r="BN277" i="1"/>
  <c r="Z285" i="1"/>
  <c r="BN285" i="1"/>
  <c r="Z289" i="1"/>
  <c r="BN289" i="1"/>
  <c r="Z293" i="1"/>
  <c r="BN293" i="1"/>
  <c r="Y299" i="1"/>
  <c r="Z304" i="1"/>
  <c r="BN304" i="1"/>
  <c r="Z308" i="1"/>
  <c r="BN308" i="1"/>
  <c r="P568" i="1"/>
  <c r="Z329" i="1"/>
  <c r="BN329" i="1"/>
  <c r="Z336" i="1"/>
  <c r="BN336" i="1"/>
  <c r="Y339" i="1"/>
  <c r="Z343" i="1"/>
  <c r="BN343" i="1"/>
  <c r="Y348" i="1"/>
  <c r="BP363" i="1"/>
  <c r="BN363" i="1"/>
  <c r="Z363" i="1"/>
  <c r="Y381" i="1"/>
  <c r="BP373" i="1"/>
  <c r="BN373" i="1"/>
  <c r="Z373" i="1"/>
  <c r="Y387" i="1"/>
  <c r="BP383" i="1"/>
  <c r="BN383" i="1"/>
  <c r="Z383" i="1"/>
  <c r="BP399" i="1"/>
  <c r="BN399" i="1"/>
  <c r="Z399" i="1"/>
  <c r="BP411" i="1"/>
  <c r="BN411" i="1"/>
  <c r="Z411" i="1"/>
  <c r="BP433" i="1"/>
  <c r="BN433" i="1"/>
  <c r="Z433" i="1"/>
  <c r="BP454" i="1"/>
  <c r="BN454" i="1"/>
  <c r="Z454" i="1"/>
  <c r="BP479" i="1"/>
  <c r="BN479" i="1"/>
  <c r="Z479" i="1"/>
  <c r="BP504" i="1"/>
  <c r="BN504" i="1"/>
  <c r="Z504" i="1"/>
  <c r="BP516" i="1"/>
  <c r="BN516" i="1"/>
  <c r="Z516" i="1"/>
  <c r="BP550" i="1"/>
  <c r="BN550" i="1"/>
  <c r="Z550" i="1"/>
  <c r="AC568" i="1"/>
  <c r="Y556" i="1"/>
  <c r="BP555" i="1"/>
  <c r="BN555" i="1"/>
  <c r="Z555" i="1"/>
  <c r="Z556" i="1" s="1"/>
  <c r="Y359" i="1"/>
  <c r="Y370" i="1"/>
  <c r="Y380" i="1"/>
  <c r="Y388" i="1"/>
  <c r="Y400" i="1"/>
  <c r="Y407" i="1"/>
  <c r="Y413" i="1"/>
  <c r="X568" i="1"/>
  <c r="Y568" i="1"/>
  <c r="Y488" i="1"/>
  <c r="Y499" i="1"/>
  <c r="Y529" i="1"/>
  <c r="H9" i="1"/>
  <c r="A10" i="1"/>
  <c r="B568" i="1"/>
  <c r="X559" i="1"/>
  <c r="X560" i="1"/>
  <c r="Z23" i="1"/>
  <c r="Z24" i="1" s="1"/>
  <c r="BN23" i="1"/>
  <c r="BP23" i="1"/>
  <c r="Y24" i="1"/>
  <c r="X558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8" i="1"/>
  <c r="Z56" i="1"/>
  <c r="BN56" i="1"/>
  <c r="BP56" i="1"/>
  <c r="Z58" i="1"/>
  <c r="BN58" i="1"/>
  <c r="Z60" i="1"/>
  <c r="BN60" i="1"/>
  <c r="Z62" i="1"/>
  <c r="BN62" i="1"/>
  <c r="Y65" i="1"/>
  <c r="Z68" i="1"/>
  <c r="BN68" i="1"/>
  <c r="BP68" i="1"/>
  <c r="Z70" i="1"/>
  <c r="BN70" i="1"/>
  <c r="Z76" i="1"/>
  <c r="Z77" i="1" s="1"/>
  <c r="BN76" i="1"/>
  <c r="BP76" i="1"/>
  <c r="Z80" i="1"/>
  <c r="BN80" i="1"/>
  <c r="BP80" i="1"/>
  <c r="Z82" i="1"/>
  <c r="BN82" i="1"/>
  <c r="Y83" i="1"/>
  <c r="Z87" i="1"/>
  <c r="BN87" i="1"/>
  <c r="BP87" i="1"/>
  <c r="Z89" i="1"/>
  <c r="BN89" i="1"/>
  <c r="Z91" i="1"/>
  <c r="BN91" i="1"/>
  <c r="Y94" i="1"/>
  <c r="Z97" i="1"/>
  <c r="BN97" i="1"/>
  <c r="BP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Y119" i="1"/>
  <c r="Z122" i="1"/>
  <c r="BN122" i="1"/>
  <c r="BP122" i="1"/>
  <c r="Z124" i="1"/>
  <c r="BN124" i="1"/>
  <c r="Y127" i="1"/>
  <c r="H568" i="1"/>
  <c r="Z135" i="1"/>
  <c r="Z136" i="1" s="1"/>
  <c r="BN135" i="1"/>
  <c r="BP135" i="1"/>
  <c r="Y136" i="1"/>
  <c r="Z139" i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Z154" i="1"/>
  <c r="BN154" i="1"/>
  <c r="Y157" i="1"/>
  <c r="J568" i="1"/>
  <c r="Z165" i="1"/>
  <c r="BN165" i="1"/>
  <c r="BP165" i="1"/>
  <c r="Z167" i="1"/>
  <c r="BN167" i="1"/>
  <c r="Y168" i="1"/>
  <c r="Z171" i="1"/>
  <c r="Z173" i="1" s="1"/>
  <c r="BN171" i="1"/>
  <c r="BP171" i="1"/>
  <c r="Y174" i="1"/>
  <c r="Z177" i="1"/>
  <c r="BN177" i="1"/>
  <c r="BP177" i="1"/>
  <c r="Z179" i="1"/>
  <c r="BN179" i="1"/>
  <c r="Z181" i="1"/>
  <c r="BN181" i="1"/>
  <c r="Z183" i="1"/>
  <c r="BN183" i="1"/>
  <c r="Z185" i="1"/>
  <c r="BN185" i="1"/>
  <c r="Z191" i="1"/>
  <c r="BN191" i="1"/>
  <c r="BP191" i="1"/>
  <c r="K568" i="1"/>
  <c r="Z207" i="1"/>
  <c r="BN207" i="1"/>
  <c r="BP207" i="1"/>
  <c r="Z209" i="1"/>
  <c r="BN209" i="1"/>
  <c r="Z211" i="1"/>
  <c r="BN211" i="1"/>
  <c r="Y214" i="1"/>
  <c r="L568" i="1"/>
  <c r="Y219" i="1"/>
  <c r="Z222" i="1"/>
  <c r="BN222" i="1"/>
  <c r="BP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4" i="1"/>
  <c r="BN244" i="1"/>
  <c r="Z246" i="1"/>
  <c r="BN246" i="1"/>
  <c r="Y247" i="1"/>
  <c r="Z250" i="1"/>
  <c r="BN250" i="1"/>
  <c r="BP250" i="1"/>
  <c r="Z252" i="1"/>
  <c r="BN252" i="1"/>
  <c r="Y253" i="1"/>
  <c r="Z256" i="1"/>
  <c r="Z257" i="1" s="1"/>
  <c r="BN256" i="1"/>
  <c r="BP256" i="1"/>
  <c r="Y257" i="1"/>
  <c r="Z261" i="1"/>
  <c r="Z263" i="1" s="1"/>
  <c r="BN261" i="1"/>
  <c r="BP261" i="1"/>
  <c r="Y264" i="1"/>
  <c r="Z267" i="1"/>
  <c r="Z268" i="1" s="1"/>
  <c r="BN267" i="1"/>
  <c r="BP267" i="1"/>
  <c r="Z271" i="1"/>
  <c r="BN271" i="1"/>
  <c r="BP271" i="1"/>
  <c r="Z273" i="1"/>
  <c r="BN273" i="1"/>
  <c r="Z275" i="1"/>
  <c r="BN275" i="1"/>
  <c r="BP284" i="1"/>
  <c r="BN284" i="1"/>
  <c r="Z284" i="1"/>
  <c r="BP288" i="1"/>
  <c r="BN288" i="1"/>
  <c r="Z288" i="1"/>
  <c r="BP292" i="1"/>
  <c r="BN292" i="1"/>
  <c r="Z292" i="1"/>
  <c r="F9" i="1"/>
  <c r="J9" i="1"/>
  <c r="Y43" i="1"/>
  <c r="Y51" i="1"/>
  <c r="Y93" i="1"/>
  <c r="Y114" i="1"/>
  <c r="Y156" i="1"/>
  <c r="Y263" i="1"/>
  <c r="BP278" i="1"/>
  <c r="BN278" i="1"/>
  <c r="Z278" i="1"/>
  <c r="Y280" i="1"/>
  <c r="Y295" i="1"/>
  <c r="BP282" i="1"/>
  <c r="BN282" i="1"/>
  <c r="Z282" i="1"/>
  <c r="BP286" i="1"/>
  <c r="BN286" i="1"/>
  <c r="Z286" i="1"/>
  <c r="BP290" i="1"/>
  <c r="BN290" i="1"/>
  <c r="Z290" i="1"/>
  <c r="Y294" i="1"/>
  <c r="Z298" i="1"/>
  <c r="Z299" i="1" s="1"/>
  <c r="BN298" i="1"/>
  <c r="BP298" i="1"/>
  <c r="Z303" i="1"/>
  <c r="BN303" i="1"/>
  <c r="BP303" i="1"/>
  <c r="Z305" i="1"/>
  <c r="BN305" i="1"/>
  <c r="Z307" i="1"/>
  <c r="BN307" i="1"/>
  <c r="Z309" i="1"/>
  <c r="BN309" i="1"/>
  <c r="Y310" i="1"/>
  <c r="Z313" i="1"/>
  <c r="Z314" i="1" s="1"/>
  <c r="BN313" i="1"/>
  <c r="BP313" i="1"/>
  <c r="Y314" i="1"/>
  <c r="Z317" i="1"/>
  <c r="Z318" i="1" s="1"/>
  <c r="BN317" i="1"/>
  <c r="BP317" i="1"/>
  <c r="Y318" i="1"/>
  <c r="Z321" i="1"/>
  <c r="Z322" i="1" s="1"/>
  <c r="BN321" i="1"/>
  <c r="BP321" i="1"/>
  <c r="Y322" i="1"/>
  <c r="Z326" i="1"/>
  <c r="BN326" i="1"/>
  <c r="BP326" i="1"/>
  <c r="Z328" i="1"/>
  <c r="BN328" i="1"/>
  <c r="Z330" i="1"/>
  <c r="BN330" i="1"/>
  <c r="Y333" i="1"/>
  <c r="Q568" i="1"/>
  <c r="Z337" i="1"/>
  <c r="BN337" i="1"/>
  <c r="BP337" i="1"/>
  <c r="Y340" i="1"/>
  <c r="R568" i="1"/>
  <c r="Z344" i="1"/>
  <c r="BN344" i="1"/>
  <c r="BP344" i="1"/>
  <c r="Z346" i="1"/>
  <c r="BN346" i="1"/>
  <c r="Y347" i="1"/>
  <c r="Z350" i="1"/>
  <c r="BN350" i="1"/>
  <c r="BP350" i="1"/>
  <c r="Y353" i="1"/>
  <c r="S568" i="1"/>
  <c r="Z357" i="1"/>
  <c r="Z359" i="1" s="1"/>
  <c r="BN357" i="1"/>
  <c r="BP357" i="1"/>
  <c r="Y360" i="1"/>
  <c r="T568" i="1"/>
  <c r="Z364" i="1"/>
  <c r="BN364" i="1"/>
  <c r="BP364" i="1"/>
  <c r="Z366" i="1"/>
  <c r="BN366" i="1"/>
  <c r="Z368" i="1"/>
  <c r="BN368" i="1"/>
  <c r="Y371" i="1"/>
  <c r="Z374" i="1"/>
  <c r="BN374" i="1"/>
  <c r="BP374" i="1"/>
  <c r="Z376" i="1"/>
  <c r="BN376" i="1"/>
  <c r="Z378" i="1"/>
  <c r="BN378" i="1"/>
  <c r="Z384" i="1"/>
  <c r="BN384" i="1"/>
  <c r="BP384" i="1"/>
  <c r="Z386" i="1"/>
  <c r="BN386" i="1"/>
  <c r="Z390" i="1"/>
  <c r="BN390" i="1"/>
  <c r="BP390" i="1"/>
  <c r="Z392" i="1"/>
  <c r="BN392" i="1"/>
  <c r="Y393" i="1"/>
  <c r="Z396" i="1"/>
  <c r="BN396" i="1"/>
  <c r="BP396" i="1"/>
  <c r="Z398" i="1"/>
  <c r="BN398" i="1"/>
  <c r="Y401" i="1"/>
  <c r="Z404" i="1"/>
  <c r="BN404" i="1"/>
  <c r="BP404" i="1"/>
  <c r="Z410" i="1"/>
  <c r="BN410" i="1"/>
  <c r="BP410" i="1"/>
  <c r="U568" i="1"/>
  <c r="Z417" i="1"/>
  <c r="Z418" i="1" s="1"/>
  <c r="BN417" i="1"/>
  <c r="BP417" i="1"/>
  <c r="Y418" i="1"/>
  <c r="Z422" i="1"/>
  <c r="BN422" i="1"/>
  <c r="BP422" i="1"/>
  <c r="Z424" i="1"/>
  <c r="BN424" i="1"/>
  <c r="Y425" i="1"/>
  <c r="Z430" i="1"/>
  <c r="BN430" i="1"/>
  <c r="Z432" i="1"/>
  <c r="BN432" i="1"/>
  <c r="Z434" i="1"/>
  <c r="BN434" i="1"/>
  <c r="BP443" i="1"/>
  <c r="BN443" i="1"/>
  <c r="Z443" i="1"/>
  <c r="Y450" i="1"/>
  <c r="BP447" i="1"/>
  <c r="BN447" i="1"/>
  <c r="Z447" i="1"/>
  <c r="Y311" i="1"/>
  <c r="Y332" i="1"/>
  <c r="Y426" i="1"/>
  <c r="W568" i="1"/>
  <c r="Y438" i="1"/>
  <c r="BP437" i="1"/>
  <c r="BN437" i="1"/>
  <c r="Z437" i="1"/>
  <c r="Y439" i="1"/>
  <c r="Y444" i="1"/>
  <c r="BP441" i="1"/>
  <c r="BN441" i="1"/>
  <c r="Z441" i="1"/>
  <c r="BP449" i="1"/>
  <c r="BN449" i="1"/>
  <c r="Z449" i="1"/>
  <c r="Y451" i="1"/>
  <c r="Y456" i="1"/>
  <c r="BP453" i="1"/>
  <c r="BN453" i="1"/>
  <c r="Z453" i="1"/>
  <c r="Z455" i="1" s="1"/>
  <c r="Z460" i="1"/>
  <c r="Z461" i="1" s="1"/>
  <c r="BN460" i="1"/>
  <c r="BP460" i="1"/>
  <c r="Y461" i="1"/>
  <c r="Z464" i="1"/>
  <c r="Z465" i="1" s="1"/>
  <c r="BN464" i="1"/>
  <c r="BP464" i="1"/>
  <c r="Y465" i="1"/>
  <c r="Z468" i="1"/>
  <c r="BN468" i="1"/>
  <c r="BP468" i="1"/>
  <c r="Z470" i="1"/>
  <c r="BN470" i="1"/>
  <c r="Y471" i="1"/>
  <c r="Z476" i="1"/>
  <c r="BN476" i="1"/>
  <c r="BP476" i="1"/>
  <c r="Z478" i="1"/>
  <c r="BN478" i="1"/>
  <c r="Z480" i="1"/>
  <c r="BN480" i="1"/>
  <c r="Y483" i="1"/>
  <c r="Z486" i="1"/>
  <c r="BN486" i="1"/>
  <c r="BP486" i="1"/>
  <c r="Z491" i="1"/>
  <c r="Z492" i="1" s="1"/>
  <c r="BN491" i="1"/>
  <c r="BP491" i="1"/>
  <c r="Y492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Z568" i="1"/>
  <c r="Y482" i="1"/>
  <c r="Y498" i="1"/>
  <c r="BP495" i="1"/>
  <c r="BN495" i="1"/>
  <c r="Z495" i="1"/>
  <c r="Z498" i="1" s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BP525" i="1"/>
  <c r="BN525" i="1"/>
  <c r="Z525" i="1"/>
  <c r="Y557" i="1"/>
  <c r="Z352" i="1" l="1"/>
  <c r="Z444" i="1"/>
  <c r="Z406" i="1"/>
  <c r="Z380" i="1"/>
  <c r="Z370" i="1"/>
  <c r="Z347" i="1"/>
  <c r="Z235" i="1"/>
  <c r="Z213" i="1"/>
  <c r="Z193" i="1"/>
  <c r="Y559" i="1"/>
  <c r="Y560" i="1"/>
  <c r="Y558" i="1"/>
  <c r="Z487" i="1"/>
  <c r="Z482" i="1"/>
  <c r="Z471" i="1"/>
  <c r="Z450" i="1"/>
  <c r="Z425" i="1"/>
  <c r="Z412" i="1"/>
  <c r="Z387" i="1"/>
  <c r="Z339" i="1"/>
  <c r="Z253" i="1"/>
  <c r="Z247" i="1"/>
  <c r="Z187" i="1"/>
  <c r="Z168" i="1"/>
  <c r="Z141" i="1"/>
  <c r="Z100" i="1"/>
  <c r="Z93" i="1"/>
  <c r="Z83" i="1"/>
  <c r="Z72" i="1"/>
  <c r="Z64" i="1"/>
  <c r="Z512" i="1"/>
  <c r="Z438" i="1"/>
  <c r="X561" i="1"/>
  <c r="Z528" i="1"/>
  <c r="Z518" i="1"/>
  <c r="Z400" i="1"/>
  <c r="Z393" i="1"/>
  <c r="Z332" i="1"/>
  <c r="Z310" i="1"/>
  <c r="Z294" i="1"/>
  <c r="Z279" i="1"/>
  <c r="Z156" i="1"/>
  <c r="Z126" i="1"/>
  <c r="Z119" i="1"/>
  <c r="Z113" i="1"/>
  <c r="Z51" i="1"/>
  <c r="Z42" i="1"/>
  <c r="Z32" i="1"/>
  <c r="Y562" i="1"/>
  <c r="Z563" i="1" l="1"/>
  <c r="Y561" i="1"/>
</calcChain>
</file>

<file path=xl/sharedStrings.xml><?xml version="1.0" encoding="utf-8"?>
<sst xmlns="http://schemas.openxmlformats.org/spreadsheetml/2006/main" count="2544" uniqueCount="909">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</sst>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5" t="s">
        <v>0</v>
      </c>
      <c r="E1" s="677"/>
      <c r="F1" s="677"/>
      <c r="G1" s="12" t="s">
        <v>1</v>
      </c>
      <c r="H1" s="725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3"/>
      <c r="Q3" s="663"/>
      <c r="R3" s="663"/>
      <c r="S3" s="663"/>
      <c r="T3" s="663"/>
      <c r="U3" s="663"/>
      <c r="V3" s="663"/>
      <c r="W3" s="663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3" t="s">
        <v>7</v>
      </c>
      <c r="B5" s="667"/>
      <c r="C5" s="668"/>
      <c r="D5" s="733"/>
      <c r="E5" s="734"/>
      <c r="F5" s="961" t="s">
        <v>8</v>
      </c>
      <c r="G5" s="668"/>
      <c r="H5" s="733"/>
      <c r="I5" s="901"/>
      <c r="J5" s="901"/>
      <c r="K5" s="901"/>
      <c r="L5" s="901"/>
      <c r="M5" s="734"/>
      <c r="N5" s="58"/>
      <c r="P5" s="24" t="s">
        <v>9</v>
      </c>
      <c r="Q5" s="980">
        <v>46300</v>
      </c>
      <c r="R5" s="772"/>
      <c r="T5" s="818" t="s">
        <v>10</v>
      </c>
      <c r="U5" s="819"/>
      <c r="V5" s="821" t="s">
        <v>11</v>
      </c>
      <c r="W5" s="772"/>
      <c r="AB5" s="51"/>
      <c r="AC5" s="51"/>
      <c r="AD5" s="51"/>
      <c r="AE5" s="51"/>
    </row>
    <row r="6" spans="1:32" s="635" customFormat="1" ht="24" customHeight="1" x14ac:dyDescent="0.2">
      <c r="A6" s="773" t="s">
        <v>12</v>
      </c>
      <c r="B6" s="667"/>
      <c r="C6" s="668"/>
      <c r="D6" s="905"/>
      <c r="E6" s="906"/>
      <c r="F6" s="906"/>
      <c r="G6" s="906"/>
      <c r="H6" s="906"/>
      <c r="I6" s="906"/>
      <c r="J6" s="906"/>
      <c r="K6" s="906"/>
      <c r="L6" s="906"/>
      <c r="M6" s="772"/>
      <c r="N6" s="59"/>
      <c r="P6" s="24" t="s">
        <v>13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27" t="s">
        <v>14</v>
      </c>
      <c r="U6" s="819"/>
      <c r="V6" s="885" t="s">
        <v>15</v>
      </c>
      <c r="W6" s="729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3"/>
      <c r="U7" s="819"/>
      <c r="V7" s="886"/>
      <c r="W7" s="887"/>
      <c r="AB7" s="51"/>
      <c r="AC7" s="51"/>
      <c r="AD7" s="51"/>
      <c r="AE7" s="51"/>
    </row>
    <row r="8" spans="1:32" s="635" customFormat="1" ht="25.5" customHeight="1" x14ac:dyDescent="0.2">
      <c r="A8" s="1007" t="s">
        <v>16</v>
      </c>
      <c r="B8" s="660"/>
      <c r="C8" s="661"/>
      <c r="D8" s="715"/>
      <c r="E8" s="716"/>
      <c r="F8" s="716"/>
      <c r="G8" s="716"/>
      <c r="H8" s="716"/>
      <c r="I8" s="716"/>
      <c r="J8" s="716"/>
      <c r="K8" s="716"/>
      <c r="L8" s="716"/>
      <c r="M8" s="717"/>
      <c r="N8" s="61"/>
      <c r="P8" s="24" t="s">
        <v>17</v>
      </c>
      <c r="Q8" s="784">
        <v>0.41666666666666669</v>
      </c>
      <c r="R8" s="710"/>
      <c r="T8" s="663"/>
      <c r="U8" s="819"/>
      <c r="V8" s="886"/>
      <c r="W8" s="887"/>
      <c r="AB8" s="51"/>
      <c r="AC8" s="51"/>
      <c r="AD8" s="51"/>
      <c r="AE8" s="51"/>
    </row>
    <row r="9" spans="1:32" s="635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3"/>
      <c r="C9" s="663"/>
      <c r="D9" s="792"/>
      <c r="E9" s="665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3"/>
      <c r="P9" s="26" t="s">
        <v>18</v>
      </c>
      <c r="Q9" s="768"/>
      <c r="R9" s="769"/>
      <c r="T9" s="663"/>
      <c r="U9" s="819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3"/>
      <c r="C10" s="663"/>
      <c r="D10" s="792"/>
      <c r="E10" s="665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3"/>
      <c r="H10" s="880" t="str">
        <f>IFERROR(VLOOKUP($D$10,Proxy,2,FALSE),"")</f>
        <v/>
      </c>
      <c r="I10" s="663"/>
      <c r="J10" s="663"/>
      <c r="K10" s="663"/>
      <c r="L10" s="663"/>
      <c r="M10" s="663"/>
      <c r="N10" s="634"/>
      <c r="P10" s="26" t="s">
        <v>19</v>
      </c>
      <c r="Q10" s="828"/>
      <c r="R10" s="829"/>
      <c r="U10" s="24" t="s">
        <v>20</v>
      </c>
      <c r="V10" s="728" t="s">
        <v>21</v>
      </c>
      <c r="W10" s="729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71"/>
      <c r="R11" s="772"/>
      <c r="U11" s="24" t="s">
        <v>24</v>
      </c>
      <c r="V11" s="929" t="s">
        <v>25</v>
      </c>
      <c r="W11" s="769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5" t="s">
        <v>26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8"/>
      <c r="N12" s="62"/>
      <c r="P12" s="24" t="s">
        <v>27</v>
      </c>
      <c r="Q12" s="784"/>
      <c r="R12" s="710"/>
      <c r="S12" s="23"/>
      <c r="U12" s="24"/>
      <c r="V12" s="677"/>
      <c r="W12" s="663"/>
      <c r="AB12" s="51"/>
      <c r="AC12" s="51"/>
      <c r="AD12" s="51"/>
      <c r="AE12" s="51"/>
    </row>
    <row r="13" spans="1:32" s="635" customFormat="1" ht="23.25" customHeight="1" x14ac:dyDescent="0.2">
      <c r="A13" s="815" t="s">
        <v>28</v>
      </c>
      <c r="B13" s="667"/>
      <c r="C13" s="667"/>
      <c r="D13" s="667"/>
      <c r="E13" s="667"/>
      <c r="F13" s="667"/>
      <c r="G13" s="667"/>
      <c r="H13" s="667"/>
      <c r="I13" s="667"/>
      <c r="J13" s="667"/>
      <c r="K13" s="667"/>
      <c r="L13" s="667"/>
      <c r="M13" s="668"/>
      <c r="N13" s="62"/>
      <c r="O13" s="26"/>
      <c r="P13" s="26" t="s">
        <v>29</v>
      </c>
      <c r="Q13" s="929"/>
      <c r="R13" s="7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5" t="s">
        <v>30</v>
      </c>
      <c r="B14" s="667"/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43" t="s">
        <v>31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8"/>
      <c r="N15" s="63"/>
      <c r="P15" s="804" t="s">
        <v>32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33</v>
      </c>
      <c r="B17" s="694" t="s">
        <v>34</v>
      </c>
      <c r="C17" s="789" t="s">
        <v>35</v>
      </c>
      <c r="D17" s="694" t="s">
        <v>36</v>
      </c>
      <c r="E17" s="752"/>
      <c r="F17" s="694" t="s">
        <v>37</v>
      </c>
      <c r="G17" s="694" t="s">
        <v>38</v>
      </c>
      <c r="H17" s="694" t="s">
        <v>39</v>
      </c>
      <c r="I17" s="694" t="s">
        <v>40</v>
      </c>
      <c r="J17" s="694" t="s">
        <v>41</v>
      </c>
      <c r="K17" s="694" t="s">
        <v>42</v>
      </c>
      <c r="L17" s="694" t="s">
        <v>43</v>
      </c>
      <c r="M17" s="694" t="s">
        <v>44</v>
      </c>
      <c r="N17" s="694" t="s">
        <v>45</v>
      </c>
      <c r="O17" s="694" t="s">
        <v>46</v>
      </c>
      <c r="P17" s="694" t="s">
        <v>47</v>
      </c>
      <c r="Q17" s="751"/>
      <c r="R17" s="751"/>
      <c r="S17" s="751"/>
      <c r="T17" s="752"/>
      <c r="U17" s="1006" t="s">
        <v>48</v>
      </c>
      <c r="V17" s="668"/>
      <c r="W17" s="694" t="s">
        <v>49</v>
      </c>
      <c r="X17" s="694" t="s">
        <v>50</v>
      </c>
      <c r="Y17" s="1004" t="s">
        <v>51</v>
      </c>
      <c r="Z17" s="899" t="s">
        <v>52</v>
      </c>
      <c r="AA17" s="877" t="s">
        <v>53</v>
      </c>
      <c r="AB17" s="877" t="s">
        <v>54</v>
      </c>
      <c r="AC17" s="877" t="s">
        <v>55</v>
      </c>
      <c r="AD17" s="877" t="s">
        <v>56</v>
      </c>
      <c r="AE17" s="956"/>
      <c r="AF17" s="957"/>
      <c r="AG17" s="66"/>
      <c r="BD17" s="65" t="s">
        <v>57</v>
      </c>
    </row>
    <row r="18" spans="1:68" ht="14.25" customHeight="1" x14ac:dyDescent="0.2">
      <c r="A18" s="695"/>
      <c r="B18" s="695"/>
      <c r="C18" s="695"/>
      <c r="D18" s="753"/>
      <c r="E18" s="755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53"/>
      <c r="Q18" s="754"/>
      <c r="R18" s="754"/>
      <c r="S18" s="754"/>
      <c r="T18" s="755"/>
      <c r="U18" s="67" t="s">
        <v>58</v>
      </c>
      <c r="V18" s="67" t="s">
        <v>59</v>
      </c>
      <c r="W18" s="695"/>
      <c r="X18" s="695"/>
      <c r="Y18" s="1005"/>
      <c r="Z18" s="900"/>
      <c r="AA18" s="878"/>
      <c r="AB18" s="878"/>
      <c r="AC18" s="878"/>
      <c r="AD18" s="958"/>
      <c r="AE18" s="959"/>
      <c r="AF18" s="960"/>
      <c r="AG18" s="66"/>
      <c r="BD18" s="65"/>
    </row>
    <row r="19" spans="1:68" ht="27.75" hidden="1" customHeight="1" x14ac:dyDescent="0.2">
      <c r="A19" s="657" t="s">
        <v>60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hidden="1" customHeight="1" x14ac:dyDescent="0.25">
      <c r="A20" s="669" t="s">
        <v>60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36"/>
      <c r="AB20" s="636"/>
      <c r="AC20" s="636"/>
    </row>
    <row r="21" spans="1:68" ht="14.25" hidden="1" customHeight="1" x14ac:dyDescent="0.25">
      <c r="A21" s="662" t="s">
        <v>61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5">
        <v>4680115886643</v>
      </c>
      <c r="E22" s="646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5">
        <v>4680115889071</v>
      </c>
      <c r="E23" s="646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9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80"/>
      <c r="P24" s="659" t="s">
        <v>71</v>
      </c>
      <c r="Q24" s="660"/>
      <c r="R24" s="660"/>
      <c r="S24" s="660"/>
      <c r="T24" s="660"/>
      <c r="U24" s="660"/>
      <c r="V24" s="661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80"/>
      <c r="P25" s="659" t="s">
        <v>71</v>
      </c>
      <c r="Q25" s="660"/>
      <c r="R25" s="660"/>
      <c r="S25" s="660"/>
      <c r="T25" s="660"/>
      <c r="U25" s="660"/>
      <c r="V25" s="661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62" t="s">
        <v>73</v>
      </c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5">
        <v>4680115885912</v>
      </c>
      <c r="E27" s="646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5">
        <v>4607091388237</v>
      </c>
      <c r="E28" s="646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5">
        <v>4680115887350</v>
      </c>
      <c r="E29" s="646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66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5">
        <v>4680115885905</v>
      </c>
      <c r="E30" s="646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5">
        <v>4680115887619</v>
      </c>
      <c r="E31" s="646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9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80"/>
      <c r="P32" s="659" t="s">
        <v>71</v>
      </c>
      <c r="Q32" s="660"/>
      <c r="R32" s="660"/>
      <c r="S32" s="660"/>
      <c r="T32" s="660"/>
      <c r="U32" s="660"/>
      <c r="V32" s="661"/>
      <c r="W32" s="37" t="s">
        <v>72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80"/>
      <c r="P33" s="659" t="s">
        <v>71</v>
      </c>
      <c r="Q33" s="660"/>
      <c r="R33" s="660"/>
      <c r="S33" s="660"/>
      <c r="T33" s="660"/>
      <c r="U33" s="660"/>
      <c r="V33" s="661"/>
      <c r="W33" s="37" t="s">
        <v>66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57" t="s">
        <v>91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hidden="1" customHeight="1" x14ac:dyDescent="0.25">
      <c r="A35" s="669" t="s">
        <v>92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36"/>
      <c r="AB35" s="636"/>
      <c r="AC35" s="636"/>
    </row>
    <row r="36" spans="1:68" ht="14.25" hidden="1" customHeight="1" x14ac:dyDescent="0.25">
      <c r="A36" s="662" t="s">
        <v>73</v>
      </c>
      <c r="B36" s="663"/>
      <c r="C36" s="663"/>
      <c r="D36" s="663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5">
        <v>4680115889354</v>
      </c>
      <c r="E37" s="646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5">
        <v>4680115888463</v>
      </c>
      <c r="E38" s="646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45">
        <v>4680115889590</v>
      </c>
      <c r="E39" s="646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5">
        <v>4680115888272</v>
      </c>
      <c r="E40" s="646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5">
        <v>4680115888364</v>
      </c>
      <c r="E41" s="646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9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80"/>
      <c r="P42" s="659" t="s">
        <v>71</v>
      </c>
      <c r="Q42" s="660"/>
      <c r="R42" s="660"/>
      <c r="S42" s="660"/>
      <c r="T42" s="660"/>
      <c r="U42" s="660"/>
      <c r="V42" s="661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80"/>
      <c r="P43" s="659" t="s">
        <v>71</v>
      </c>
      <c r="Q43" s="660"/>
      <c r="R43" s="660"/>
      <c r="S43" s="660"/>
      <c r="T43" s="660"/>
      <c r="U43" s="660"/>
      <c r="V43" s="661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57" t="s">
        <v>108</v>
      </c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  <c r="Z44" s="658"/>
      <c r="AA44" s="48"/>
      <c r="AB44" s="48"/>
      <c r="AC44" s="48"/>
    </row>
    <row r="45" spans="1:68" ht="16.5" hidden="1" customHeight="1" x14ac:dyDescent="0.25">
      <c r="A45" s="669" t="s">
        <v>109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36"/>
      <c r="AB45" s="636"/>
      <c r="AC45" s="636"/>
    </row>
    <row r="46" spans="1:68" ht="14.25" hidden="1" customHeight="1" x14ac:dyDescent="0.25">
      <c r="A46" s="662" t="s">
        <v>110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7"/>
      <c r="AB46" s="637"/>
      <c r="AC46" s="637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45">
        <v>4607091385670</v>
      </c>
      <c r="E47" s="646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66</v>
      </c>
      <c r="X47" s="641">
        <v>1682</v>
      </c>
      <c r="Y47" s="642">
        <f>IFERROR(IF(X47="",0,CEILING((X47/$H47),1)*$H47),"")</f>
        <v>1684.8000000000002</v>
      </c>
      <c r="Z47" s="36">
        <f>IFERROR(IF(Y47=0,"",ROUNDUP(Y47/H47,0)*0.01898),"")</f>
        <v>2.96088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1745.8537037037038</v>
      </c>
      <c r="BN47" s="64">
        <f>IFERROR(Y47*I47/H47,"0")</f>
        <v>1748.7600000000002</v>
      </c>
      <c r="BO47" s="64">
        <f>IFERROR(1/J47*(X47/H47),"0")</f>
        <v>2.433449074074074</v>
      </c>
      <c r="BP47" s="64">
        <f>IFERROR(1/J47*(Y47/H47),"0")</f>
        <v>2.4375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5">
        <v>4680115887725</v>
      </c>
      <c r="E48" s="646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5">
        <v>4607091385687</v>
      </c>
      <c r="E49" s="646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45">
        <v>4680115882539</v>
      </c>
      <c r="E50" s="646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66</v>
      </c>
      <c r="X50" s="641">
        <v>74</v>
      </c>
      <c r="Y50" s="642">
        <f>IFERROR(IF(X50="",0,CEILING((X50/$H50),1)*$H50),"")</f>
        <v>74</v>
      </c>
      <c r="Z50" s="36">
        <f>IFERROR(IF(Y50=0,"",ROUNDUP(Y50/H50,0)*0.00902),"")</f>
        <v>0.1804</v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77.8</v>
      </c>
      <c r="BN50" s="64">
        <f>IFERROR(Y50*I50/H50,"0")</f>
        <v>77.8</v>
      </c>
      <c r="BO50" s="64">
        <f>IFERROR(1/J50*(X50/H50),"0")</f>
        <v>0.15151515151515152</v>
      </c>
      <c r="BP50" s="64">
        <f>IFERROR(1/J50*(Y50/H50),"0")</f>
        <v>0.15151515151515152</v>
      </c>
    </row>
    <row r="51" spans="1:68" x14ac:dyDescent="0.2">
      <c r="A51" s="679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80"/>
      <c r="P51" s="659" t="s">
        <v>71</v>
      </c>
      <c r="Q51" s="660"/>
      <c r="R51" s="660"/>
      <c r="S51" s="660"/>
      <c r="T51" s="660"/>
      <c r="U51" s="660"/>
      <c r="V51" s="661"/>
      <c r="W51" s="37" t="s">
        <v>72</v>
      </c>
      <c r="X51" s="643">
        <f>IFERROR(X47/H47,"0")+IFERROR(X48/H48,"0")+IFERROR(X49/H49,"0")+IFERROR(X50/H50,"0")</f>
        <v>175.74074074074073</v>
      </c>
      <c r="Y51" s="643">
        <f>IFERROR(Y47/H47,"0")+IFERROR(Y48/H48,"0")+IFERROR(Y49/H49,"0")+IFERROR(Y50/H50,"0")</f>
        <v>176</v>
      </c>
      <c r="Z51" s="643">
        <f>IFERROR(IF(Z47="",0,Z47),"0")+IFERROR(IF(Z48="",0,Z48),"0")+IFERROR(IF(Z49="",0,Z49),"0")+IFERROR(IF(Z50="",0,Z50),"0")</f>
        <v>3.1412800000000001</v>
      </c>
      <c r="AA51" s="644"/>
      <c r="AB51" s="644"/>
      <c r="AC51" s="644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80"/>
      <c r="P52" s="659" t="s">
        <v>71</v>
      </c>
      <c r="Q52" s="660"/>
      <c r="R52" s="660"/>
      <c r="S52" s="660"/>
      <c r="T52" s="660"/>
      <c r="U52" s="660"/>
      <c r="V52" s="661"/>
      <c r="W52" s="37" t="s">
        <v>66</v>
      </c>
      <c r="X52" s="643">
        <f>IFERROR(SUM(X47:X50),"0")</f>
        <v>1756</v>
      </c>
      <c r="Y52" s="643">
        <f>IFERROR(SUM(Y47:Y50),"0")</f>
        <v>1758.8000000000002</v>
      </c>
      <c r="Z52" s="37"/>
      <c r="AA52" s="644"/>
      <c r="AB52" s="644"/>
      <c r="AC52" s="644"/>
    </row>
    <row r="53" spans="1:68" ht="16.5" hidden="1" customHeight="1" x14ac:dyDescent="0.25">
      <c r="A53" s="669" t="s">
        <v>125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36"/>
      <c r="AB53" s="636"/>
      <c r="AC53" s="636"/>
    </row>
    <row r="54" spans="1:68" ht="14.25" hidden="1" customHeight="1" x14ac:dyDescent="0.25">
      <c r="A54" s="662" t="s">
        <v>110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37"/>
      <c r="AB54" s="637"/>
      <c r="AC54" s="637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45">
        <v>4680115885882</v>
      </c>
      <c r="E55" s="646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66</v>
      </c>
      <c r="X55" s="641">
        <v>0</v>
      </c>
      <c r="Y55" s="642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45">
        <v>4680115881426</v>
      </c>
      <c r="E56" s="646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66</v>
      </c>
      <c r="X56" s="641">
        <v>146</v>
      </c>
      <c r="Y56" s="642">
        <f t="shared" si="0"/>
        <v>151.20000000000002</v>
      </c>
      <c r="Z56" s="36">
        <f>IFERROR(IF(Y56=0,"",ROUNDUP(Y56/H56,0)*0.01898),"")</f>
        <v>0.26572000000000001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151.5425925925926</v>
      </c>
      <c r="BN56" s="64">
        <f t="shared" si="2"/>
        <v>156.94</v>
      </c>
      <c r="BO56" s="64">
        <f t="shared" si="3"/>
        <v>0.21122685185185183</v>
      </c>
      <c r="BP56" s="64">
        <f t="shared" si="4"/>
        <v>0.21875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45">
        <v>4680115881426</v>
      </c>
      <c r="E57" s="646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8"/>
      <c r="R57" s="648"/>
      <c r="S57" s="648"/>
      <c r="T57" s="649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45">
        <v>4680115880283</v>
      </c>
      <c r="E58" s="646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45">
        <v>4680115881525</v>
      </c>
      <c r="E59" s="646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4"/>
      <c r="V59" s="34"/>
      <c r="W59" s="35" t="s">
        <v>66</v>
      </c>
      <c r="X59" s="641">
        <v>29</v>
      </c>
      <c r="Y59" s="642">
        <f t="shared" si="0"/>
        <v>32</v>
      </c>
      <c r="Z59" s="36">
        <f>IFERROR(IF(Y59=0,"",ROUNDUP(Y59/H59,0)*0.00902),"")</f>
        <v>7.2160000000000002E-2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30.377500000000001</v>
      </c>
      <c r="BN59" s="64">
        <f t="shared" si="2"/>
        <v>33.520000000000003</v>
      </c>
      <c r="BO59" s="64">
        <f t="shared" si="3"/>
        <v>5.4924242424242424E-2</v>
      </c>
      <c r="BP59" s="64">
        <f t="shared" si="4"/>
        <v>6.0606060606060608E-2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45">
        <v>4680115881525</v>
      </c>
      <c r="E60" s="646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99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8"/>
      <c r="R60" s="648"/>
      <c r="S60" s="648"/>
      <c r="T60" s="649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5">
        <v>4680115885899</v>
      </c>
      <c r="E61" s="646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8"/>
      <c r="R61" s="648"/>
      <c r="S61" s="648"/>
      <c r="T61" s="649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45">
        <v>4680115881419</v>
      </c>
      <c r="E62" s="646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8"/>
      <c r="R62" s="648"/>
      <c r="S62" s="648"/>
      <c r="T62" s="649"/>
      <c r="U62" s="34"/>
      <c r="V62" s="34"/>
      <c r="W62" s="35" t="s">
        <v>66</v>
      </c>
      <c r="X62" s="641">
        <v>53</v>
      </c>
      <c r="Y62" s="642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55.237777777777779</v>
      </c>
      <c r="BN62" s="64">
        <f t="shared" si="2"/>
        <v>56.28</v>
      </c>
      <c r="BO62" s="64">
        <f t="shared" si="3"/>
        <v>8.9225589225589236E-2</v>
      </c>
      <c r="BP62" s="64">
        <f t="shared" si="4"/>
        <v>9.0909090909090912E-2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45">
        <v>4680115881419</v>
      </c>
      <c r="E63" s="646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48"/>
      <c r="R63" s="648"/>
      <c r="S63" s="648"/>
      <c r="T63" s="649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9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80"/>
      <c r="P64" s="659" t="s">
        <v>71</v>
      </c>
      <c r="Q64" s="660"/>
      <c r="R64" s="660"/>
      <c r="S64" s="660"/>
      <c r="T64" s="660"/>
      <c r="U64" s="660"/>
      <c r="V64" s="661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32.546296296296298</v>
      </c>
      <c r="Y64" s="643">
        <f>IFERROR(Y55/H55,"0")+IFERROR(Y56/H56,"0")+IFERROR(Y57/H57,"0")+IFERROR(Y58/H58,"0")+IFERROR(Y59/H59,"0")+IFERROR(Y60/H60,"0")+IFERROR(Y61/H61,"0")+IFERROR(Y62/H62,"0")+IFERROR(Y63/H63,"0")</f>
        <v>34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0.44612000000000002</v>
      </c>
      <c r="AA64" s="644"/>
      <c r="AB64" s="644"/>
      <c r="AC64" s="644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80"/>
      <c r="P65" s="659" t="s">
        <v>71</v>
      </c>
      <c r="Q65" s="660"/>
      <c r="R65" s="660"/>
      <c r="S65" s="660"/>
      <c r="T65" s="660"/>
      <c r="U65" s="660"/>
      <c r="V65" s="661"/>
      <c r="W65" s="37" t="s">
        <v>66</v>
      </c>
      <c r="X65" s="643">
        <f>IFERROR(SUM(X55:X63),"0")</f>
        <v>228</v>
      </c>
      <c r="Y65" s="643">
        <f>IFERROR(SUM(Y55:Y63),"0")</f>
        <v>237.20000000000002</v>
      </c>
      <c r="Z65" s="37"/>
      <c r="AA65" s="644"/>
      <c r="AB65" s="644"/>
      <c r="AC65" s="644"/>
    </row>
    <row r="66" spans="1:68" ht="14.25" hidden="1" customHeight="1" x14ac:dyDescent="0.25">
      <c r="A66" s="662" t="s">
        <v>147</v>
      </c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37"/>
      <c r="AB66" s="637"/>
      <c r="AC66" s="637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45">
        <v>4680115881440</v>
      </c>
      <c r="E67" s="646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48"/>
      <c r="R67" s="648"/>
      <c r="S67" s="648"/>
      <c r="T67" s="649"/>
      <c r="U67" s="34"/>
      <c r="V67" s="34"/>
      <c r="W67" s="35" t="s">
        <v>66</v>
      </c>
      <c r="X67" s="641">
        <v>102</v>
      </c>
      <c r="Y67" s="642">
        <f>IFERROR(IF(X67="",0,CEILING((X67/$H67),1)*$H67),"")</f>
        <v>108</v>
      </c>
      <c r="Z67" s="36">
        <f>IFERROR(IF(Y67=0,"",ROUNDUP(Y67/H67,0)*0.01898),"")</f>
        <v>0.1898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105.87222222222222</v>
      </c>
      <c r="BN67" s="64">
        <f>IFERROR(Y67*I67/H67,"0")</f>
        <v>112.1</v>
      </c>
      <c r="BO67" s="64">
        <f>IFERROR(1/J67*(X67/H67),"0")</f>
        <v>0.14756944444444445</v>
      </c>
      <c r="BP67" s="64">
        <f>IFERROR(1/J67*(Y67/H67),"0")</f>
        <v>0.15625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45">
        <v>4680115881440</v>
      </c>
      <c r="E68" s="646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48"/>
      <c r="R68" s="648"/>
      <c r="S68" s="648"/>
      <c r="T68" s="649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45">
        <v>4680115885950</v>
      </c>
      <c r="E69" s="646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48"/>
      <c r="R69" s="648"/>
      <c r="S69" s="648"/>
      <c r="T69" s="649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45">
        <v>4680115887688</v>
      </c>
      <c r="E70" s="646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48"/>
      <c r="R70" s="648"/>
      <c r="S70" s="648"/>
      <c r="T70" s="649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45">
        <v>4680115881433</v>
      </c>
      <c r="E71" s="646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48"/>
      <c r="R71" s="648"/>
      <c r="S71" s="648"/>
      <c r="T71" s="649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79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80"/>
      <c r="P72" s="659" t="s">
        <v>71</v>
      </c>
      <c r="Q72" s="660"/>
      <c r="R72" s="660"/>
      <c r="S72" s="660"/>
      <c r="T72" s="660"/>
      <c r="U72" s="660"/>
      <c r="V72" s="661"/>
      <c r="W72" s="37" t="s">
        <v>72</v>
      </c>
      <c r="X72" s="643">
        <f>IFERROR(X67/H67,"0")+IFERROR(X68/H68,"0")+IFERROR(X69/H69,"0")+IFERROR(X70/H70,"0")+IFERROR(X71/H71,"0")</f>
        <v>9.4444444444444446</v>
      </c>
      <c r="Y72" s="643">
        <f>IFERROR(Y67/H67,"0")+IFERROR(Y68/H68,"0")+IFERROR(Y69/H69,"0")+IFERROR(Y70/H70,"0")+IFERROR(Y71/H71,"0")</f>
        <v>10</v>
      </c>
      <c r="Z72" s="643">
        <f>IFERROR(IF(Z67="",0,Z67),"0")+IFERROR(IF(Z68="",0,Z68),"0")+IFERROR(IF(Z69="",0,Z69),"0")+IFERROR(IF(Z70="",0,Z70),"0")+IFERROR(IF(Z71="",0,Z71),"0")</f>
        <v>0.1898</v>
      </c>
      <c r="AA72" s="644"/>
      <c r="AB72" s="644"/>
      <c r="AC72" s="644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80"/>
      <c r="P73" s="659" t="s">
        <v>71</v>
      </c>
      <c r="Q73" s="660"/>
      <c r="R73" s="660"/>
      <c r="S73" s="660"/>
      <c r="T73" s="660"/>
      <c r="U73" s="660"/>
      <c r="V73" s="661"/>
      <c r="W73" s="37" t="s">
        <v>66</v>
      </c>
      <c r="X73" s="643">
        <f>IFERROR(SUM(X67:X71),"0")</f>
        <v>102</v>
      </c>
      <c r="Y73" s="643">
        <f>IFERROR(SUM(Y67:Y71),"0")</f>
        <v>108</v>
      </c>
      <c r="Z73" s="37"/>
      <c r="AA73" s="644"/>
      <c r="AB73" s="644"/>
      <c r="AC73" s="644"/>
    </row>
    <row r="74" spans="1:68" ht="14.25" hidden="1" customHeight="1" x14ac:dyDescent="0.25">
      <c r="A74" s="662" t="s">
        <v>73</v>
      </c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45">
        <v>4680115884311</v>
      </c>
      <c r="E75" s="646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48"/>
      <c r="R75" s="648"/>
      <c r="S75" s="648"/>
      <c r="T75" s="649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48"/>
      <c r="R76" s="648"/>
      <c r="S76" s="648"/>
      <c r="T76" s="649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9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80"/>
      <c r="P77" s="659" t="s">
        <v>71</v>
      </c>
      <c r="Q77" s="660"/>
      <c r="R77" s="660"/>
      <c r="S77" s="660"/>
      <c r="T77" s="660"/>
      <c r="U77" s="660"/>
      <c r="V77" s="661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80"/>
      <c r="P78" s="659" t="s">
        <v>71</v>
      </c>
      <c r="Q78" s="660"/>
      <c r="R78" s="660"/>
      <c r="S78" s="660"/>
      <c r="T78" s="660"/>
      <c r="U78" s="660"/>
      <c r="V78" s="661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62" t="s">
        <v>166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7"/>
      <c r="AB79" s="637"/>
      <c r="AC79" s="637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66</v>
      </c>
      <c r="X80" s="641">
        <v>86</v>
      </c>
      <c r="Y80" s="642">
        <f>IFERROR(IF(X80="",0,CEILING((X80/$H80),1)*$H80),"")</f>
        <v>93.6</v>
      </c>
      <c r="Z80" s="36">
        <f>IFERROR(IF(Y80=0,"",ROUNDUP(Y80/H80,0)*0.01898),"")</f>
        <v>0.22776000000000002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90.520512820512835</v>
      </c>
      <c r="BN80" s="64">
        <f>IFERROR(Y80*I80/H80,"0")</f>
        <v>98.52000000000001</v>
      </c>
      <c r="BO80" s="64">
        <f>IFERROR(1/J80*(X80/H80),"0")</f>
        <v>0.17227564102564102</v>
      </c>
      <c r="BP80" s="64">
        <f>IFERROR(1/J80*(Y80/H80),"0")</f>
        <v>0.1875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45">
        <v>4680115881532</v>
      </c>
      <c r="E81" s="646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48"/>
      <c r="R81" s="648"/>
      <c r="S81" s="648"/>
      <c r="T81" s="649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45">
        <v>4680115881464</v>
      </c>
      <c r="E82" s="646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48"/>
      <c r="R82" s="648"/>
      <c r="S82" s="648"/>
      <c r="T82" s="649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9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80"/>
      <c r="P83" s="659" t="s">
        <v>71</v>
      </c>
      <c r="Q83" s="660"/>
      <c r="R83" s="660"/>
      <c r="S83" s="660"/>
      <c r="T83" s="660"/>
      <c r="U83" s="660"/>
      <c r="V83" s="661"/>
      <c r="W83" s="37" t="s">
        <v>72</v>
      </c>
      <c r="X83" s="643">
        <f>IFERROR(X80/H80,"0")+IFERROR(X81/H81,"0")+IFERROR(X82/H82,"0")</f>
        <v>11.025641025641026</v>
      </c>
      <c r="Y83" s="643">
        <f>IFERROR(Y80/H80,"0")+IFERROR(Y81/H81,"0")+IFERROR(Y82/H82,"0")</f>
        <v>12</v>
      </c>
      <c r="Z83" s="643">
        <f>IFERROR(IF(Z80="",0,Z80),"0")+IFERROR(IF(Z81="",0,Z81),"0")+IFERROR(IF(Z82="",0,Z82),"0")</f>
        <v>0.22776000000000002</v>
      </c>
      <c r="AA83" s="644"/>
      <c r="AB83" s="644"/>
      <c r="AC83" s="644"/>
    </row>
    <row r="84" spans="1:68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80"/>
      <c r="P84" s="659" t="s">
        <v>71</v>
      </c>
      <c r="Q84" s="660"/>
      <c r="R84" s="660"/>
      <c r="S84" s="660"/>
      <c r="T84" s="660"/>
      <c r="U84" s="660"/>
      <c r="V84" s="661"/>
      <c r="W84" s="37" t="s">
        <v>66</v>
      </c>
      <c r="X84" s="643">
        <f>IFERROR(SUM(X80:X82),"0")</f>
        <v>86</v>
      </c>
      <c r="Y84" s="643">
        <f>IFERROR(SUM(Y80:Y82),"0")</f>
        <v>93.6</v>
      </c>
      <c r="Z84" s="37"/>
      <c r="AA84" s="644"/>
      <c r="AB84" s="644"/>
      <c r="AC84" s="644"/>
    </row>
    <row r="85" spans="1:68" ht="16.5" hidden="1" customHeight="1" x14ac:dyDescent="0.25">
      <c r="A85" s="669" t="s">
        <v>174</v>
      </c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N85" s="663"/>
      <c r="O85" s="663"/>
      <c r="P85" s="663"/>
      <c r="Q85" s="663"/>
      <c r="R85" s="663"/>
      <c r="S85" s="663"/>
      <c r="T85" s="663"/>
      <c r="U85" s="663"/>
      <c r="V85" s="663"/>
      <c r="W85" s="663"/>
      <c r="X85" s="663"/>
      <c r="Y85" s="663"/>
      <c r="Z85" s="663"/>
      <c r="AA85" s="636"/>
      <c r="AB85" s="636"/>
      <c r="AC85" s="636"/>
    </row>
    <row r="86" spans="1:68" ht="14.25" hidden="1" customHeight="1" x14ac:dyDescent="0.25">
      <c r="A86" s="662" t="s">
        <v>110</v>
      </c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45">
        <v>4680115881327</v>
      </c>
      <c r="E87" s="646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48"/>
      <c r="R87" s="648"/>
      <c r="S87" s="648"/>
      <c r="T87" s="649"/>
      <c r="U87" s="34"/>
      <c r="V87" s="34"/>
      <c r="W87" s="35" t="s">
        <v>66</v>
      </c>
      <c r="X87" s="641">
        <v>223</v>
      </c>
      <c r="Y87" s="642">
        <f t="shared" ref="Y87:Y92" si="5">IFERROR(IF(X87="",0,CEILING((X87/$H87),1)*$H87),"")</f>
        <v>226.8</v>
      </c>
      <c r="Z87" s="36">
        <f>IFERROR(IF(Y87=0,"",ROUNDUP(Y87/H87,0)*0.01898),"")</f>
        <v>0.39857999999999999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231.46574074074076</v>
      </c>
      <c r="BN87" s="64">
        <f t="shared" ref="BN87:BN92" si="7">IFERROR(Y87*I87/H87,"0")</f>
        <v>235.41000000000003</v>
      </c>
      <c r="BO87" s="64">
        <f t="shared" ref="BO87:BO92" si="8">IFERROR(1/J87*(X87/H87),"0")</f>
        <v>0.32262731481481477</v>
      </c>
      <c r="BP87" s="64">
        <f t="shared" ref="BP87:BP92" si="9">IFERROR(1/J87*(Y87/H87),"0")</f>
        <v>0.328125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45">
        <v>4680115881327</v>
      </c>
      <c r="E88" s="646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4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48"/>
      <c r="R88" s="648"/>
      <c r="S88" s="648"/>
      <c r="T88" s="649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45">
        <v>4680115887732</v>
      </c>
      <c r="E89" s="646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45">
        <v>4680115881518</v>
      </c>
      <c r="E90" s="646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45">
        <v>4680115881518</v>
      </c>
      <c r="E91" s="646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48"/>
      <c r="R91" s="648"/>
      <c r="S91" s="648"/>
      <c r="T91" s="649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4301012250</v>
      </c>
      <c r="D92" s="645">
        <v>4680115881303</v>
      </c>
      <c r="E92" s="646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48"/>
      <c r="R92" s="648"/>
      <c r="S92" s="648"/>
      <c r="T92" s="649"/>
      <c r="U92" s="34"/>
      <c r="V92" s="34"/>
      <c r="W92" s="35" t="s">
        <v>66</v>
      </c>
      <c r="X92" s="641">
        <v>106</v>
      </c>
      <c r="Y92" s="642">
        <f t="shared" si="5"/>
        <v>108</v>
      </c>
      <c r="Z92" s="36">
        <f>IFERROR(IF(Y92=0,"",ROUNDUP(Y92/H92,0)*0.00902),"")</f>
        <v>0.21648000000000001</v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110.47555555555556</v>
      </c>
      <c r="BN92" s="64">
        <f t="shared" si="7"/>
        <v>112.56</v>
      </c>
      <c r="BO92" s="64">
        <f t="shared" si="8"/>
        <v>0.17845117845117847</v>
      </c>
      <c r="BP92" s="64">
        <f t="shared" si="9"/>
        <v>0.18181818181818182</v>
      </c>
    </row>
    <row r="93" spans="1:68" x14ac:dyDescent="0.2">
      <c r="A93" s="679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80"/>
      <c r="P93" s="659" t="s">
        <v>71</v>
      </c>
      <c r="Q93" s="660"/>
      <c r="R93" s="660"/>
      <c r="S93" s="660"/>
      <c r="T93" s="660"/>
      <c r="U93" s="660"/>
      <c r="V93" s="661"/>
      <c r="W93" s="37" t="s">
        <v>72</v>
      </c>
      <c r="X93" s="643">
        <f>IFERROR(X87/H87,"0")+IFERROR(X88/H88,"0")+IFERROR(X89/H89,"0")+IFERROR(X90/H90,"0")+IFERROR(X91/H91,"0")+IFERROR(X92/H92,"0")</f>
        <v>44.203703703703702</v>
      </c>
      <c r="Y93" s="643">
        <f>IFERROR(Y87/H87,"0")+IFERROR(Y88/H88,"0")+IFERROR(Y89/H89,"0")+IFERROR(Y90/H90,"0")+IFERROR(Y91/H91,"0")+IFERROR(Y92/H92,"0")</f>
        <v>45</v>
      </c>
      <c r="Z93" s="643">
        <f>IFERROR(IF(Z87="",0,Z87),"0")+IFERROR(IF(Z88="",0,Z88),"0")+IFERROR(IF(Z89="",0,Z89),"0")+IFERROR(IF(Z90="",0,Z90),"0")+IFERROR(IF(Z91="",0,Z91),"0")+IFERROR(IF(Z92="",0,Z92),"0")</f>
        <v>0.61505999999999994</v>
      </c>
      <c r="AA93" s="644"/>
      <c r="AB93" s="644"/>
      <c r="AC93" s="644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80"/>
      <c r="P94" s="659" t="s">
        <v>71</v>
      </c>
      <c r="Q94" s="660"/>
      <c r="R94" s="660"/>
      <c r="S94" s="660"/>
      <c r="T94" s="660"/>
      <c r="U94" s="660"/>
      <c r="V94" s="661"/>
      <c r="W94" s="37" t="s">
        <v>66</v>
      </c>
      <c r="X94" s="643">
        <f>IFERROR(SUM(X87:X92),"0")</f>
        <v>329</v>
      </c>
      <c r="Y94" s="643">
        <f>IFERROR(SUM(Y87:Y92),"0")</f>
        <v>334.8</v>
      </c>
      <c r="Z94" s="37"/>
      <c r="AA94" s="644"/>
      <c r="AB94" s="644"/>
      <c r="AC94" s="644"/>
    </row>
    <row r="95" spans="1:68" ht="14.25" hidden="1" customHeight="1" x14ac:dyDescent="0.25">
      <c r="A95" s="662" t="s">
        <v>73</v>
      </c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37"/>
      <c r="AB95" s="637"/>
      <c r="AC95" s="637"/>
    </row>
    <row r="96" spans="1:68" ht="27" customHeight="1" x14ac:dyDescent="0.25">
      <c r="A96" s="54" t="s">
        <v>187</v>
      </c>
      <c r="B96" s="54" t="s">
        <v>188</v>
      </c>
      <c r="C96" s="31">
        <v>4301052101</v>
      </c>
      <c r="D96" s="645">
        <v>4607091386967</v>
      </c>
      <c r="E96" s="646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8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48"/>
      <c r="R96" s="648"/>
      <c r="S96" s="648"/>
      <c r="T96" s="649"/>
      <c r="U96" s="34"/>
      <c r="V96" s="34"/>
      <c r="W96" s="35" t="s">
        <v>66</v>
      </c>
      <c r="X96" s="641">
        <v>443</v>
      </c>
      <c r="Y96" s="642">
        <f>IFERROR(IF(X96="",0,CEILING((X96/$H96),1)*$H96),"")</f>
        <v>445.5</v>
      </c>
      <c r="Z96" s="36">
        <f>IFERROR(IF(Y96=0,"",ROUNDUP(Y96/H96,0)*0.01898),"")</f>
        <v>1.0439000000000001</v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470.01753086419751</v>
      </c>
      <c r="BN96" s="64">
        <f>IFERROR(Y96*I96/H96,"0")</f>
        <v>472.67</v>
      </c>
      <c r="BO96" s="64">
        <f>IFERROR(1/J96*(X96/H96),"0")</f>
        <v>0.85455246913580252</v>
      </c>
      <c r="BP96" s="64">
        <f>IFERROR(1/J96*(Y96/H96),"0")</f>
        <v>0.859375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45">
        <v>4680115884953</v>
      </c>
      <c r="E97" s="646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4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48"/>
      <c r="R97" s="648"/>
      <c r="S97" s="648"/>
      <c r="T97" s="649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193</v>
      </c>
      <c r="B98" s="54" t="s">
        <v>194</v>
      </c>
      <c r="C98" s="31">
        <v>4301052094</v>
      </c>
      <c r="D98" s="645">
        <v>4607091385731</v>
      </c>
      <c r="E98" s="646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90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48"/>
      <c r="R98" s="648"/>
      <c r="S98" s="648"/>
      <c r="T98" s="649"/>
      <c r="U98" s="34"/>
      <c r="V98" s="34"/>
      <c r="W98" s="35" t="s">
        <v>66</v>
      </c>
      <c r="X98" s="641">
        <v>218</v>
      </c>
      <c r="Y98" s="642">
        <f>IFERROR(IF(X98="",0,CEILING((X98/$H98),1)*$H98),"")</f>
        <v>218.70000000000002</v>
      </c>
      <c r="Z98" s="36">
        <f>IFERROR(IF(Y98=0,"",ROUNDUP(Y98/H98,0)*0.00651),"")</f>
        <v>0.52731000000000006</v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238.34666666666664</v>
      </c>
      <c r="BN98" s="64">
        <f>IFERROR(Y98*I98/H98,"0")</f>
        <v>239.11199999999997</v>
      </c>
      <c r="BO98" s="64">
        <f>IFERROR(1/J98*(X98/H98),"0")</f>
        <v>0.44363044363044363</v>
      </c>
      <c r="BP98" s="64">
        <f>IFERROR(1/J98*(Y98/H98),"0")</f>
        <v>0.44505494505494508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45">
        <v>4680115880894</v>
      </c>
      <c r="E99" s="646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48"/>
      <c r="R99" s="648"/>
      <c r="S99" s="648"/>
      <c r="T99" s="649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79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80"/>
      <c r="P100" s="659" t="s">
        <v>71</v>
      </c>
      <c r="Q100" s="660"/>
      <c r="R100" s="660"/>
      <c r="S100" s="660"/>
      <c r="T100" s="660"/>
      <c r="U100" s="660"/>
      <c r="V100" s="661"/>
      <c r="W100" s="37" t="s">
        <v>72</v>
      </c>
      <c r="X100" s="643">
        <f>IFERROR(X96/H96,"0")+IFERROR(X97/H97,"0")+IFERROR(X98/H98,"0")+IFERROR(X99/H99,"0")</f>
        <v>135.4320987654321</v>
      </c>
      <c r="Y100" s="643">
        <f>IFERROR(Y96/H96,"0")+IFERROR(Y97/H97,"0")+IFERROR(Y98/H98,"0")+IFERROR(Y99/H99,"0")</f>
        <v>136</v>
      </c>
      <c r="Z100" s="643">
        <f>IFERROR(IF(Z96="",0,Z96),"0")+IFERROR(IF(Z97="",0,Z97),"0")+IFERROR(IF(Z98="",0,Z98),"0")+IFERROR(IF(Z99="",0,Z99),"0")</f>
        <v>1.5712100000000002</v>
      </c>
      <c r="AA100" s="644"/>
      <c r="AB100" s="644"/>
      <c r="AC100" s="644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80"/>
      <c r="P101" s="659" t="s">
        <v>71</v>
      </c>
      <c r="Q101" s="660"/>
      <c r="R101" s="660"/>
      <c r="S101" s="660"/>
      <c r="T101" s="660"/>
      <c r="U101" s="660"/>
      <c r="V101" s="661"/>
      <c r="W101" s="37" t="s">
        <v>66</v>
      </c>
      <c r="X101" s="643">
        <f>IFERROR(SUM(X96:X99),"0")</f>
        <v>661</v>
      </c>
      <c r="Y101" s="643">
        <f>IFERROR(SUM(Y96:Y99),"0")</f>
        <v>664.2</v>
      </c>
      <c r="Z101" s="37"/>
      <c r="AA101" s="644"/>
      <c r="AB101" s="644"/>
      <c r="AC101" s="644"/>
    </row>
    <row r="102" spans="1:68" ht="16.5" hidden="1" customHeight="1" x14ac:dyDescent="0.25">
      <c r="A102" s="669" t="s">
        <v>198</v>
      </c>
      <c r="B102" s="663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36"/>
      <c r="AB102" s="636"/>
      <c r="AC102" s="636"/>
    </row>
    <row r="103" spans="1:68" ht="14.25" hidden="1" customHeight="1" x14ac:dyDescent="0.25">
      <c r="A103" s="662" t="s">
        <v>110</v>
      </c>
      <c r="B103" s="663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  <c r="Z103" s="663"/>
      <c r="AA103" s="637"/>
      <c r="AB103" s="637"/>
      <c r="AC103" s="637"/>
    </row>
    <row r="104" spans="1:68" ht="37.5" customHeight="1" x14ac:dyDescent="0.25">
      <c r="A104" s="54" t="s">
        <v>199</v>
      </c>
      <c r="B104" s="54" t="s">
        <v>200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66</v>
      </c>
      <c r="X104" s="641">
        <v>478</v>
      </c>
      <c r="Y104" s="642">
        <f t="shared" ref="Y104:Y112" si="10">IFERROR(IF(X104="",0,CEILING((X104/$H104),1)*$H104),"")</f>
        <v>486.00000000000006</v>
      </c>
      <c r="Z104" s="36">
        <f>IFERROR(IF(Y104=0,"",ROUNDUP(Y104/H104,0)*0.01898),"")</f>
        <v>0.85409999999999997</v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496.14629629629627</v>
      </c>
      <c r="BN104" s="64">
        <f t="shared" ref="BN104:BN112" si="12">IFERROR(Y104*I104/H104,"0")</f>
        <v>504.4500000000001</v>
      </c>
      <c r="BO104" s="64">
        <f t="shared" ref="BO104:BO112" si="13">IFERROR(1/J104*(X104/H104),"0")</f>
        <v>0.69155092592592593</v>
      </c>
      <c r="BP104" s="64">
        <f t="shared" ref="BP104:BP112" si="14">IFERROR(1/J104*(Y104/H104),"0")</f>
        <v>0.703125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45">
        <v>4680115882133</v>
      </c>
      <c r="E105" s="646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3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48"/>
      <c r="R105" s="648"/>
      <c r="S105" s="648"/>
      <c r="T105" s="649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45">
        <v>4680115887718</v>
      </c>
      <c r="E106" s="646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45">
        <v>4680115880269</v>
      </c>
      <c r="E107" s="646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45">
        <v>4680115880269</v>
      </c>
      <c r="E108" s="646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48"/>
      <c r="R108" s="648"/>
      <c r="S108" s="648"/>
      <c r="T108" s="649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45">
        <v>4680115880429</v>
      </c>
      <c r="E109" s="646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48"/>
      <c r="R109" s="648"/>
      <c r="S109" s="648"/>
      <c r="T109" s="649"/>
      <c r="U109" s="34"/>
      <c r="V109" s="34"/>
      <c r="W109" s="35" t="s">
        <v>66</v>
      </c>
      <c r="X109" s="641">
        <v>144</v>
      </c>
      <c r="Y109" s="642">
        <f t="shared" si="10"/>
        <v>144</v>
      </c>
      <c r="Z109" s="36">
        <f>IFERROR(IF(Y109=0,"",ROUNDUP(Y109/H109,0)*0.00902),"")</f>
        <v>0.28864000000000001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150.08000000000001</v>
      </c>
      <c r="BN109" s="64">
        <f t="shared" si="12"/>
        <v>150.08000000000001</v>
      </c>
      <c r="BO109" s="64">
        <f t="shared" si="13"/>
        <v>0.24242424242424243</v>
      </c>
      <c r="BP109" s="64">
        <f t="shared" si="14"/>
        <v>0.24242424242424243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45">
        <v>4680115881457</v>
      </c>
      <c r="E110" s="646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45">
        <v>4680115881457</v>
      </c>
      <c r="E111" s="646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2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8"/>
      <c r="R111" s="648"/>
      <c r="S111" s="648"/>
      <c r="T111" s="649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45">
        <v>4680115889477</v>
      </c>
      <c r="E112" s="646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8"/>
      <c r="R112" s="648"/>
      <c r="S112" s="648"/>
      <c r="T112" s="649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9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80"/>
      <c r="P113" s="659" t="s">
        <v>71</v>
      </c>
      <c r="Q113" s="660"/>
      <c r="R113" s="660"/>
      <c r="S113" s="660"/>
      <c r="T113" s="660"/>
      <c r="U113" s="660"/>
      <c r="V113" s="661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76.259259259259267</v>
      </c>
      <c r="Y113" s="643">
        <f>IFERROR(Y104/H104,"0")+IFERROR(Y105/H105,"0")+IFERROR(Y106/H106,"0")+IFERROR(Y107/H107,"0")+IFERROR(Y108/H108,"0")+IFERROR(Y109/H109,"0")+IFERROR(Y110/H110,"0")+IFERROR(Y111/H111,"0")+IFERROR(Y112/H112,"0")</f>
        <v>77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1.1427399999999999</v>
      </c>
      <c r="AA113" s="644"/>
      <c r="AB113" s="644"/>
      <c r="AC113" s="644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80"/>
      <c r="P114" s="659" t="s">
        <v>71</v>
      </c>
      <c r="Q114" s="660"/>
      <c r="R114" s="660"/>
      <c r="S114" s="660"/>
      <c r="T114" s="660"/>
      <c r="U114" s="660"/>
      <c r="V114" s="661"/>
      <c r="W114" s="37" t="s">
        <v>66</v>
      </c>
      <c r="X114" s="643">
        <f>IFERROR(SUM(X104:X112),"0")</f>
        <v>622</v>
      </c>
      <c r="Y114" s="643">
        <f>IFERROR(SUM(Y104:Y112),"0")</f>
        <v>630</v>
      </c>
      <c r="Z114" s="37"/>
      <c r="AA114" s="644"/>
      <c r="AB114" s="644"/>
      <c r="AC114" s="644"/>
    </row>
    <row r="115" spans="1:68" ht="14.25" hidden="1" customHeight="1" x14ac:dyDescent="0.25">
      <c r="A115" s="662" t="s">
        <v>147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7"/>
      <c r="AB115" s="637"/>
      <c r="AC115" s="637"/>
    </row>
    <row r="116" spans="1:68" ht="27" customHeight="1" x14ac:dyDescent="0.25">
      <c r="A116" s="54" t="s">
        <v>218</v>
      </c>
      <c r="B116" s="54" t="s">
        <v>219</v>
      </c>
      <c r="C116" s="31">
        <v>4301020391</v>
      </c>
      <c r="D116" s="645">
        <v>4680115881488</v>
      </c>
      <c r="E116" s="646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8"/>
      <c r="R116" s="648"/>
      <c r="S116" s="648"/>
      <c r="T116" s="649"/>
      <c r="U116" s="34"/>
      <c r="V116" s="34"/>
      <c r="W116" s="35" t="s">
        <v>66</v>
      </c>
      <c r="X116" s="641">
        <v>9</v>
      </c>
      <c r="Y116" s="642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9.3416666666666668</v>
      </c>
      <c r="BN116" s="64">
        <f>IFERROR(Y116*I116/H116,"0")</f>
        <v>11.21</v>
      </c>
      <c r="BO116" s="64">
        <f>IFERROR(1/J116*(X116/H116),"0")</f>
        <v>1.3020833333333332E-2</v>
      </c>
      <c r="BP116" s="64">
        <f>IFERROR(1/J116*(Y116/H116),"0")</f>
        <v>1.5625E-2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45">
        <v>4680115882775</v>
      </c>
      <c r="E117" s="646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4301020392</v>
      </c>
      <c r="D118" s="645">
        <v>4680115880658</v>
      </c>
      <c r="E118" s="646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66</v>
      </c>
      <c r="X118" s="641">
        <v>14</v>
      </c>
      <c r="Y118" s="642">
        <f>IFERROR(IF(X118="",0,CEILING((X118/$H118),1)*$H118),"")</f>
        <v>14.399999999999999</v>
      </c>
      <c r="Z118" s="36">
        <f>IFERROR(IF(Y118=0,"",ROUNDUP(Y118/H118,0)*0.00651),"")</f>
        <v>3.9059999999999997E-2</v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15.050000000000002</v>
      </c>
      <c r="BN118" s="64">
        <f>IFERROR(Y118*I118/H118,"0")</f>
        <v>15.479999999999999</v>
      </c>
      <c r="BO118" s="64">
        <f>IFERROR(1/J118*(X118/H118),"0")</f>
        <v>3.2051282051282055E-2</v>
      </c>
      <c r="BP118" s="64">
        <f>IFERROR(1/J118*(Y118/H118),"0")</f>
        <v>3.2967032967032968E-2</v>
      </c>
    </row>
    <row r="119" spans="1:68" x14ac:dyDescent="0.2">
      <c r="A119" s="679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80"/>
      <c r="P119" s="659" t="s">
        <v>71</v>
      </c>
      <c r="Q119" s="660"/>
      <c r="R119" s="660"/>
      <c r="S119" s="660"/>
      <c r="T119" s="660"/>
      <c r="U119" s="660"/>
      <c r="V119" s="661"/>
      <c r="W119" s="37" t="s">
        <v>72</v>
      </c>
      <c r="X119" s="643">
        <f>IFERROR(X116/H116,"0")+IFERROR(X117/H117,"0")+IFERROR(X118/H118,"0")</f>
        <v>6.666666666666667</v>
      </c>
      <c r="Y119" s="643">
        <f>IFERROR(Y116/H116,"0")+IFERROR(Y117/H117,"0")+IFERROR(Y118/H118,"0")</f>
        <v>7</v>
      </c>
      <c r="Z119" s="643">
        <f>IFERROR(IF(Z116="",0,Z116),"0")+IFERROR(IF(Z117="",0,Z117),"0")+IFERROR(IF(Z118="",0,Z118),"0")</f>
        <v>5.8039999999999994E-2</v>
      </c>
      <c r="AA119" s="644"/>
      <c r="AB119" s="644"/>
      <c r="AC119" s="644"/>
    </row>
    <row r="120" spans="1:68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80"/>
      <c r="P120" s="659" t="s">
        <v>71</v>
      </c>
      <c r="Q120" s="660"/>
      <c r="R120" s="660"/>
      <c r="S120" s="660"/>
      <c r="T120" s="660"/>
      <c r="U120" s="660"/>
      <c r="V120" s="661"/>
      <c r="W120" s="37" t="s">
        <v>66</v>
      </c>
      <c r="X120" s="643">
        <f>IFERROR(SUM(X116:X118),"0")</f>
        <v>23</v>
      </c>
      <c r="Y120" s="643">
        <f>IFERROR(SUM(Y116:Y118),"0")</f>
        <v>25.2</v>
      </c>
      <c r="Z120" s="37"/>
      <c r="AA120" s="644"/>
      <c r="AB120" s="644"/>
      <c r="AC120" s="644"/>
    </row>
    <row r="121" spans="1:68" ht="14.25" hidden="1" customHeight="1" x14ac:dyDescent="0.25">
      <c r="A121" s="662" t="s">
        <v>73</v>
      </c>
      <c r="B121" s="663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37"/>
      <c r="AB121" s="637"/>
      <c r="AC121" s="637"/>
    </row>
    <row r="122" spans="1:68" ht="27" customHeight="1" x14ac:dyDescent="0.25">
      <c r="A122" s="54" t="s">
        <v>225</v>
      </c>
      <c r="B122" s="54" t="s">
        <v>226</v>
      </c>
      <c r="C122" s="31">
        <v>4301052088</v>
      </c>
      <c r="D122" s="645">
        <v>4607091385168</v>
      </c>
      <c r="E122" s="646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81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48"/>
      <c r="R122" s="648"/>
      <c r="S122" s="648"/>
      <c r="T122" s="649"/>
      <c r="U122" s="34"/>
      <c r="V122" s="34"/>
      <c r="W122" s="35" t="s">
        <v>66</v>
      </c>
      <c r="X122" s="641">
        <v>740</v>
      </c>
      <c r="Y122" s="642">
        <f>IFERROR(IF(X122="",0,CEILING((X122/$H122),1)*$H122),"")</f>
        <v>745.19999999999993</v>
      </c>
      <c r="Z122" s="36">
        <f>IFERROR(IF(Y122=0,"",ROUNDUP(Y122/H122,0)*0.01898),"")</f>
        <v>1.7461599999999999</v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784.58271604938261</v>
      </c>
      <c r="BN122" s="64">
        <f>IFERROR(Y122*I122/H122,"0")</f>
        <v>790.09599999999989</v>
      </c>
      <c r="BO122" s="64">
        <f>IFERROR(1/J122*(X122/H122),"0")</f>
        <v>1.4274691358024691</v>
      </c>
      <c r="BP122" s="64">
        <f>IFERROR(1/J122*(Y122/H122),"0")</f>
        <v>1.4375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45">
        <v>4607091383256</v>
      </c>
      <c r="E123" s="646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48"/>
      <c r="R123" s="648"/>
      <c r="S123" s="648"/>
      <c r="T123" s="649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230</v>
      </c>
      <c r="B124" s="54" t="s">
        <v>231</v>
      </c>
      <c r="C124" s="31">
        <v>4301052086</v>
      </c>
      <c r="D124" s="645">
        <v>4607091385748</v>
      </c>
      <c r="E124" s="646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48"/>
      <c r="R124" s="648"/>
      <c r="S124" s="648"/>
      <c r="T124" s="649"/>
      <c r="U124" s="34"/>
      <c r="V124" s="34"/>
      <c r="W124" s="35" t="s">
        <v>66</v>
      </c>
      <c r="X124" s="641">
        <v>329</v>
      </c>
      <c r="Y124" s="642">
        <f>IFERROR(IF(X124="",0,CEILING((X124/$H124),1)*$H124),"")</f>
        <v>329.40000000000003</v>
      </c>
      <c r="Z124" s="36">
        <f>IFERROR(IF(Y124=0,"",ROUNDUP(Y124/H124,0)*0.00651),"")</f>
        <v>0.79422000000000004</v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359.70666666666665</v>
      </c>
      <c r="BN124" s="64">
        <f>IFERROR(Y124*I124/H124,"0")</f>
        <v>360.14400000000001</v>
      </c>
      <c r="BO124" s="64">
        <f>IFERROR(1/J124*(X124/H124),"0")</f>
        <v>0.66951566951566954</v>
      </c>
      <c r="BP124" s="64">
        <f>IFERROR(1/J124*(Y124/H124),"0")</f>
        <v>0.67032967032967039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45">
        <v>4680115884533</v>
      </c>
      <c r="E125" s="646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2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48"/>
      <c r="R125" s="648"/>
      <c r="S125" s="648"/>
      <c r="T125" s="649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79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80"/>
      <c r="P126" s="659" t="s">
        <v>71</v>
      </c>
      <c r="Q126" s="660"/>
      <c r="R126" s="660"/>
      <c r="S126" s="660"/>
      <c r="T126" s="660"/>
      <c r="U126" s="660"/>
      <c r="V126" s="661"/>
      <c r="W126" s="37" t="s">
        <v>72</v>
      </c>
      <c r="X126" s="643">
        <f>IFERROR(X122/H122,"0")+IFERROR(X123/H123,"0")+IFERROR(X124/H124,"0")+IFERROR(X125/H125,"0")</f>
        <v>213.20987654320987</v>
      </c>
      <c r="Y126" s="643">
        <f>IFERROR(Y122/H122,"0")+IFERROR(Y123/H123,"0")+IFERROR(Y124/H124,"0")+IFERROR(Y125/H125,"0")</f>
        <v>214</v>
      </c>
      <c r="Z126" s="643">
        <f>IFERROR(IF(Z122="",0,Z122),"0")+IFERROR(IF(Z123="",0,Z123),"0")+IFERROR(IF(Z124="",0,Z124),"0")+IFERROR(IF(Z125="",0,Z125),"0")</f>
        <v>2.5403799999999999</v>
      </c>
      <c r="AA126" s="644"/>
      <c r="AB126" s="644"/>
      <c r="AC126" s="644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80"/>
      <c r="P127" s="659" t="s">
        <v>71</v>
      </c>
      <c r="Q127" s="660"/>
      <c r="R127" s="660"/>
      <c r="S127" s="660"/>
      <c r="T127" s="660"/>
      <c r="U127" s="660"/>
      <c r="V127" s="661"/>
      <c r="W127" s="37" t="s">
        <v>66</v>
      </c>
      <c r="X127" s="643">
        <f>IFERROR(SUM(X122:X125),"0")</f>
        <v>1069</v>
      </c>
      <c r="Y127" s="643">
        <f>IFERROR(SUM(Y122:Y125),"0")</f>
        <v>1074.5999999999999</v>
      </c>
      <c r="Z127" s="37"/>
      <c r="AA127" s="644"/>
      <c r="AB127" s="644"/>
      <c r="AC127" s="644"/>
    </row>
    <row r="128" spans="1:68" ht="14.25" hidden="1" customHeight="1" x14ac:dyDescent="0.25">
      <c r="A128" s="662" t="s">
        <v>166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37"/>
      <c r="AB128" s="637"/>
      <c r="AC128" s="637"/>
    </row>
    <row r="129" spans="1:68" ht="16.5" hidden="1" customHeight="1" x14ac:dyDescent="0.25">
      <c r="A129" s="54" t="s">
        <v>235</v>
      </c>
      <c r="B129" s="54" t="s">
        <v>236</v>
      </c>
      <c r="C129" s="31">
        <v>4301060525</v>
      </c>
      <c r="D129" s="645">
        <v>4680115880238</v>
      </c>
      <c r="E129" s="646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48"/>
      <c r="R129" s="648"/>
      <c r="S129" s="648"/>
      <c r="T129" s="649"/>
      <c r="U129" s="34"/>
      <c r="V129" s="34"/>
      <c r="W129" s="35" t="s">
        <v>66</v>
      </c>
      <c r="X129" s="641">
        <v>0</v>
      </c>
      <c r="Y129" s="6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79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80"/>
      <c r="P130" s="659" t="s">
        <v>71</v>
      </c>
      <c r="Q130" s="660"/>
      <c r="R130" s="660"/>
      <c r="S130" s="660"/>
      <c r="T130" s="660"/>
      <c r="U130" s="660"/>
      <c r="V130" s="661"/>
      <c r="W130" s="37" t="s">
        <v>72</v>
      </c>
      <c r="X130" s="643">
        <f>IFERROR(X129/H129,"0")</f>
        <v>0</v>
      </c>
      <c r="Y130" s="643">
        <f>IFERROR(Y129/H129,"0")</f>
        <v>0</v>
      </c>
      <c r="Z130" s="643">
        <f>IFERROR(IF(Z129="",0,Z129),"0")</f>
        <v>0</v>
      </c>
      <c r="AA130" s="644"/>
      <c r="AB130" s="644"/>
      <c r="AC130" s="644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80"/>
      <c r="P131" s="659" t="s">
        <v>71</v>
      </c>
      <c r="Q131" s="660"/>
      <c r="R131" s="660"/>
      <c r="S131" s="660"/>
      <c r="T131" s="660"/>
      <c r="U131" s="660"/>
      <c r="V131" s="661"/>
      <c r="W131" s="37" t="s">
        <v>66</v>
      </c>
      <c r="X131" s="643">
        <f>IFERROR(SUM(X129:X129),"0")</f>
        <v>0</v>
      </c>
      <c r="Y131" s="643">
        <f>IFERROR(SUM(Y129:Y129),"0")</f>
        <v>0</v>
      </c>
      <c r="Z131" s="37"/>
      <c r="AA131" s="644"/>
      <c r="AB131" s="644"/>
      <c r="AC131" s="644"/>
    </row>
    <row r="132" spans="1:68" ht="16.5" hidden="1" customHeight="1" x14ac:dyDescent="0.25">
      <c r="A132" s="669" t="s">
        <v>238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36"/>
      <c r="AB132" s="636"/>
      <c r="AC132" s="636"/>
    </row>
    <row r="133" spans="1:68" ht="14.25" hidden="1" customHeight="1" x14ac:dyDescent="0.25">
      <c r="A133" s="662" t="s">
        <v>110</v>
      </c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45">
        <v>4680115882577</v>
      </c>
      <c r="E135" s="646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9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80"/>
      <c r="P136" s="659" t="s">
        <v>71</v>
      </c>
      <c r="Q136" s="660"/>
      <c r="R136" s="660"/>
      <c r="S136" s="660"/>
      <c r="T136" s="660"/>
      <c r="U136" s="660"/>
      <c r="V136" s="661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80"/>
      <c r="P137" s="659" t="s">
        <v>71</v>
      </c>
      <c r="Q137" s="660"/>
      <c r="R137" s="660"/>
      <c r="S137" s="660"/>
      <c r="T137" s="660"/>
      <c r="U137" s="660"/>
      <c r="V137" s="661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62" t="s">
        <v>61</v>
      </c>
      <c r="B138" s="663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37"/>
      <c r="AB138" s="637"/>
      <c r="AC138" s="637"/>
    </row>
    <row r="139" spans="1:68" ht="27" hidden="1" customHeight="1" x14ac:dyDescent="0.25">
      <c r="A139" s="54" t="s">
        <v>244</v>
      </c>
      <c r="B139" s="54" t="s">
        <v>245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66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45">
        <v>4680115883444</v>
      </c>
      <c r="E140" s="646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48"/>
      <c r="R140" s="648"/>
      <c r="S140" s="648"/>
      <c r="T140" s="649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79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80"/>
      <c r="P141" s="659" t="s">
        <v>71</v>
      </c>
      <c r="Q141" s="660"/>
      <c r="R141" s="660"/>
      <c r="S141" s="660"/>
      <c r="T141" s="660"/>
      <c r="U141" s="660"/>
      <c r="V141" s="661"/>
      <c r="W141" s="37" t="s">
        <v>72</v>
      </c>
      <c r="X141" s="643">
        <f>IFERROR(X139/H139,"0")+IFERROR(X140/H140,"0")</f>
        <v>0</v>
      </c>
      <c r="Y141" s="643">
        <f>IFERROR(Y139/H139,"0")+IFERROR(Y140/H140,"0")</f>
        <v>0</v>
      </c>
      <c r="Z141" s="643">
        <f>IFERROR(IF(Z139="",0,Z139),"0")+IFERROR(IF(Z140="",0,Z140),"0")</f>
        <v>0</v>
      </c>
      <c r="AA141" s="644"/>
      <c r="AB141" s="644"/>
      <c r="AC141" s="644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80"/>
      <c r="P142" s="659" t="s">
        <v>71</v>
      </c>
      <c r="Q142" s="660"/>
      <c r="R142" s="660"/>
      <c r="S142" s="660"/>
      <c r="T142" s="660"/>
      <c r="U142" s="660"/>
      <c r="V142" s="661"/>
      <c r="W142" s="37" t="s">
        <v>66</v>
      </c>
      <c r="X142" s="643">
        <f>IFERROR(SUM(X139:X140),"0")</f>
        <v>0</v>
      </c>
      <c r="Y142" s="643">
        <f>IFERROR(SUM(Y139:Y140),"0")</f>
        <v>0</v>
      </c>
      <c r="Z142" s="37"/>
      <c r="AA142" s="644"/>
      <c r="AB142" s="644"/>
      <c r="AC142" s="644"/>
    </row>
    <row r="143" spans="1:68" ht="14.25" hidden="1" customHeight="1" x14ac:dyDescent="0.25">
      <c r="A143" s="662" t="s">
        <v>73</v>
      </c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37"/>
      <c r="AB143" s="637"/>
      <c r="AC143" s="637"/>
    </row>
    <row r="144" spans="1:68" ht="16.5" customHeight="1" x14ac:dyDescent="0.25">
      <c r="A144" s="54" t="s">
        <v>248</v>
      </c>
      <c r="B144" s="54" t="s">
        <v>249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66</v>
      </c>
      <c r="X144" s="641">
        <v>14</v>
      </c>
      <c r="Y144" s="642">
        <f>IFERROR(IF(X144="",0,CEILING((X144/$H144),1)*$H144),"")</f>
        <v>15.84</v>
      </c>
      <c r="Z144" s="36">
        <f>IFERROR(IF(Y144=0,"",ROUNDUP(Y144/H144,0)*0.00651),"")</f>
        <v>3.9059999999999997E-2</v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15.421212121212118</v>
      </c>
      <c r="BN144" s="64">
        <f>IFERROR(Y144*I144/H144,"0")</f>
        <v>17.448</v>
      </c>
      <c r="BO144" s="64">
        <f>IFERROR(1/J144*(X144/H144),"0")</f>
        <v>2.913752913752914E-2</v>
      </c>
      <c r="BP144" s="64">
        <f>IFERROR(1/J144*(Y144/H144),"0")</f>
        <v>3.2967032967032968E-2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45">
        <v>4680115882584</v>
      </c>
      <c r="E145" s="646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48"/>
      <c r="R145" s="648"/>
      <c r="S145" s="648"/>
      <c r="T145" s="649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79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80"/>
      <c r="P146" s="659" t="s">
        <v>71</v>
      </c>
      <c r="Q146" s="660"/>
      <c r="R146" s="660"/>
      <c r="S146" s="660"/>
      <c r="T146" s="660"/>
      <c r="U146" s="660"/>
      <c r="V146" s="661"/>
      <c r="W146" s="37" t="s">
        <v>72</v>
      </c>
      <c r="X146" s="643">
        <f>IFERROR(X144/H144,"0")+IFERROR(X145/H145,"0")</f>
        <v>5.3030303030303028</v>
      </c>
      <c r="Y146" s="643">
        <f>IFERROR(Y144/H144,"0")+IFERROR(Y145/H145,"0")</f>
        <v>6</v>
      </c>
      <c r="Z146" s="643">
        <f>IFERROR(IF(Z144="",0,Z144),"0")+IFERROR(IF(Z145="",0,Z145),"0")</f>
        <v>3.9059999999999997E-2</v>
      </c>
      <c r="AA146" s="644"/>
      <c r="AB146" s="644"/>
      <c r="AC146" s="644"/>
    </row>
    <row r="147" spans="1:68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80"/>
      <c r="P147" s="659" t="s">
        <v>71</v>
      </c>
      <c r="Q147" s="660"/>
      <c r="R147" s="660"/>
      <c r="S147" s="660"/>
      <c r="T147" s="660"/>
      <c r="U147" s="660"/>
      <c r="V147" s="661"/>
      <c r="W147" s="37" t="s">
        <v>66</v>
      </c>
      <c r="X147" s="643">
        <f>IFERROR(SUM(X144:X145),"0")</f>
        <v>14</v>
      </c>
      <c r="Y147" s="643">
        <f>IFERROR(SUM(Y144:Y145),"0")</f>
        <v>15.84</v>
      </c>
      <c r="Z147" s="37"/>
      <c r="AA147" s="644"/>
      <c r="AB147" s="644"/>
      <c r="AC147" s="644"/>
    </row>
    <row r="148" spans="1:68" ht="16.5" hidden="1" customHeight="1" x14ac:dyDescent="0.25">
      <c r="A148" s="669" t="s">
        <v>251</v>
      </c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36"/>
      <c r="AB148" s="636"/>
      <c r="AC148" s="636"/>
    </row>
    <row r="149" spans="1:68" ht="14.25" hidden="1" customHeight="1" x14ac:dyDescent="0.25">
      <c r="A149" s="662" t="s">
        <v>73</v>
      </c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45">
        <v>4680115888203</v>
      </c>
      <c r="E150" s="646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45">
        <v>4680115888180</v>
      </c>
      <c r="E151" s="646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8"/>
      <c r="R151" s="648"/>
      <c r="S151" s="648"/>
      <c r="T151" s="649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45">
        <v>4680115888180</v>
      </c>
      <c r="E152" s="646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8"/>
      <c r="R152" s="648"/>
      <c r="S152" s="648"/>
      <c r="T152" s="649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45">
        <v>4680115888197</v>
      </c>
      <c r="E153" s="646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8"/>
      <c r="R153" s="648"/>
      <c r="S153" s="648"/>
      <c r="T153" s="649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45">
        <v>4680115888210</v>
      </c>
      <c r="E154" s="646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45">
        <v>4680115888210</v>
      </c>
      <c r="E155" s="646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8"/>
      <c r="R155" s="648"/>
      <c r="S155" s="648"/>
      <c r="T155" s="649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9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80"/>
      <c r="P156" s="659" t="s">
        <v>71</v>
      </c>
      <c r="Q156" s="660"/>
      <c r="R156" s="660"/>
      <c r="S156" s="660"/>
      <c r="T156" s="660"/>
      <c r="U156" s="660"/>
      <c r="V156" s="661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80"/>
      <c r="P157" s="659" t="s">
        <v>71</v>
      </c>
      <c r="Q157" s="660"/>
      <c r="R157" s="660"/>
      <c r="S157" s="660"/>
      <c r="T157" s="660"/>
      <c r="U157" s="660"/>
      <c r="V157" s="661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62" t="s">
        <v>266</v>
      </c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45">
        <v>4680115889132</v>
      </c>
      <c r="E159" s="646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8"/>
      <c r="R159" s="648"/>
      <c r="S159" s="648"/>
      <c r="T159" s="649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80"/>
      <c r="P160" s="659" t="s">
        <v>71</v>
      </c>
      <c r="Q160" s="660"/>
      <c r="R160" s="660"/>
      <c r="S160" s="660"/>
      <c r="T160" s="660"/>
      <c r="U160" s="660"/>
      <c r="V160" s="661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80"/>
      <c r="P161" s="659" t="s">
        <v>71</v>
      </c>
      <c r="Q161" s="660"/>
      <c r="R161" s="660"/>
      <c r="S161" s="660"/>
      <c r="T161" s="660"/>
      <c r="U161" s="660"/>
      <c r="V161" s="661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69" t="s">
        <v>108</v>
      </c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36"/>
      <c r="AB162" s="636"/>
      <c r="AC162" s="636"/>
    </row>
    <row r="163" spans="1:68" ht="14.25" hidden="1" customHeight="1" x14ac:dyDescent="0.25">
      <c r="A163" s="662" t="s">
        <v>110</v>
      </c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37"/>
      <c r="AB163" s="637"/>
      <c r="AC163" s="637"/>
    </row>
    <row r="164" spans="1:68" ht="27" customHeight="1" x14ac:dyDescent="0.25">
      <c r="A164" s="54" t="s">
        <v>273</v>
      </c>
      <c r="B164" s="54" t="s">
        <v>274</v>
      </c>
      <c r="C164" s="31">
        <v>4301012338</v>
      </c>
      <c r="D164" s="645">
        <v>4680115887374</v>
      </c>
      <c r="E164" s="646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8"/>
      <c r="R164" s="648"/>
      <c r="S164" s="648"/>
      <c r="T164" s="649"/>
      <c r="U164" s="34"/>
      <c r="V164" s="34"/>
      <c r="W164" s="35" t="s">
        <v>66</v>
      </c>
      <c r="X164" s="641">
        <v>48</v>
      </c>
      <c r="Y164" s="642">
        <f>IFERROR(IF(X164="",0,CEILING((X164/$H164),1)*$H164),"")</f>
        <v>48</v>
      </c>
      <c r="Z164" s="36">
        <f>IFERROR(IF(Y164=0,"",ROUNDUP(Y164/H164,0)*0.01196),"")</f>
        <v>9.5680000000000001E-2</v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50.79999999999999</v>
      </c>
      <c r="BN164" s="64">
        <f>IFERROR(Y164*I164/H164,"0")</f>
        <v>50.79999999999999</v>
      </c>
      <c r="BO164" s="64">
        <f>IFERROR(1/J164*(X164/H164),"0")</f>
        <v>7.6923076923076927E-2</v>
      </c>
      <c r="BP164" s="64">
        <f>IFERROR(1/J164*(Y164/H164),"0")</f>
        <v>7.6923076923076927E-2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45">
        <v>4607091384604</v>
      </c>
      <c r="E165" s="646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8"/>
      <c r="R165" s="648"/>
      <c r="S165" s="648"/>
      <c r="T165" s="649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45">
        <v>4607091384604</v>
      </c>
      <c r="E166" s="646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8"/>
      <c r="R166" s="648"/>
      <c r="S166" s="648"/>
      <c r="T166" s="649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45">
        <v>4680115888876</v>
      </c>
      <c r="E167" s="646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8"/>
      <c r="R167" s="648"/>
      <c r="S167" s="648"/>
      <c r="T167" s="649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9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80"/>
      <c r="P168" s="659" t="s">
        <v>71</v>
      </c>
      <c r="Q168" s="660"/>
      <c r="R168" s="660"/>
      <c r="S168" s="660"/>
      <c r="T168" s="660"/>
      <c r="U168" s="660"/>
      <c r="V168" s="661"/>
      <c r="W168" s="37" t="s">
        <v>72</v>
      </c>
      <c r="X168" s="643">
        <f>IFERROR(X164/H164,"0")+IFERROR(X165/H165,"0")+IFERROR(X166/H166,"0")+IFERROR(X167/H167,"0")</f>
        <v>8</v>
      </c>
      <c r="Y168" s="643">
        <f>IFERROR(Y164/H164,"0")+IFERROR(Y165/H165,"0")+IFERROR(Y166/H166,"0")+IFERROR(Y167/H167,"0")</f>
        <v>8</v>
      </c>
      <c r="Z168" s="643">
        <f>IFERROR(IF(Z164="",0,Z164),"0")+IFERROR(IF(Z165="",0,Z165),"0")+IFERROR(IF(Z166="",0,Z166),"0")+IFERROR(IF(Z167="",0,Z167),"0")</f>
        <v>9.5680000000000001E-2</v>
      </c>
      <c r="AA168" s="644"/>
      <c r="AB168" s="644"/>
      <c r="AC168" s="644"/>
    </row>
    <row r="169" spans="1:68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80"/>
      <c r="P169" s="659" t="s">
        <v>71</v>
      </c>
      <c r="Q169" s="660"/>
      <c r="R169" s="660"/>
      <c r="S169" s="660"/>
      <c r="T169" s="660"/>
      <c r="U169" s="660"/>
      <c r="V169" s="661"/>
      <c r="W169" s="37" t="s">
        <v>66</v>
      </c>
      <c r="X169" s="643">
        <f>IFERROR(SUM(X164:X167),"0")</f>
        <v>48</v>
      </c>
      <c r="Y169" s="643">
        <f>IFERROR(SUM(Y164:Y167),"0")</f>
        <v>48</v>
      </c>
      <c r="Z169" s="37"/>
      <c r="AA169" s="644"/>
      <c r="AB169" s="644"/>
      <c r="AC169" s="644"/>
    </row>
    <row r="170" spans="1:68" ht="14.25" hidden="1" customHeight="1" x14ac:dyDescent="0.25">
      <c r="A170" s="662" t="s">
        <v>147</v>
      </c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45">
        <v>4680115887695</v>
      </c>
      <c r="E171" s="646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3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8"/>
      <c r="R171" s="648"/>
      <c r="S171" s="648"/>
      <c r="T171" s="649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45">
        <v>4680115889491</v>
      </c>
      <c r="E172" s="646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8"/>
      <c r="R172" s="648"/>
      <c r="S172" s="648"/>
      <c r="T172" s="649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9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80"/>
      <c r="P173" s="659" t="s">
        <v>71</v>
      </c>
      <c r="Q173" s="660"/>
      <c r="R173" s="660"/>
      <c r="S173" s="660"/>
      <c r="T173" s="660"/>
      <c r="U173" s="660"/>
      <c r="V173" s="661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80"/>
      <c r="P174" s="659" t="s">
        <v>71</v>
      </c>
      <c r="Q174" s="660"/>
      <c r="R174" s="660"/>
      <c r="S174" s="660"/>
      <c r="T174" s="660"/>
      <c r="U174" s="660"/>
      <c r="V174" s="661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62" t="s">
        <v>61</v>
      </c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45">
        <v>4680115887428</v>
      </c>
      <c r="E176" s="646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3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66</v>
      </c>
      <c r="X176" s="641">
        <v>106</v>
      </c>
      <c r="Y176" s="642">
        <f t="shared" ref="Y176:Y186" si="21">IFERROR(IF(X176="",0,CEILING((X176/$H176),1)*$H176),"")</f>
        <v>108.5</v>
      </c>
      <c r="Z176" s="36">
        <f>IFERROR(IF(Y176=0,"",ROUNDUP(Y176/H176,0)*0.00902),"")</f>
        <v>0.27961999999999998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111.75428571428571</v>
      </c>
      <c r="BN176" s="64">
        <f t="shared" ref="BN176:BN186" si="23">IFERROR(Y176*I176/H176,"0")</f>
        <v>114.39</v>
      </c>
      <c r="BO176" s="64">
        <f t="shared" ref="BO176:BO186" si="24">IFERROR(1/J176*(X176/H176),"0")</f>
        <v>0.22943722943722944</v>
      </c>
      <c r="BP176" s="64">
        <f t="shared" ref="BP176:BP186" si="25">IFERROR(1/J176*(Y176/H176),"0")</f>
        <v>0.23484848484848486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45">
        <v>4680115889170</v>
      </c>
      <c r="E177" s="646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48"/>
      <c r="R177" s="648"/>
      <c r="S177" s="648"/>
      <c r="T177" s="649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45">
        <v>4680115887398</v>
      </c>
      <c r="E178" s="646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48"/>
      <c r="R178" s="648"/>
      <c r="S178" s="648"/>
      <c r="T178" s="649"/>
      <c r="U178" s="34"/>
      <c r="V178" s="34"/>
      <c r="W178" s="35" t="s">
        <v>66</v>
      </c>
      <c r="X178" s="641">
        <v>1000</v>
      </c>
      <c r="Y178" s="642">
        <f t="shared" si="21"/>
        <v>1001</v>
      </c>
      <c r="Z178" s="36">
        <f>IFERROR(IF(Y178=0,"",ROUNDUP(Y178/H178,0)*0.00902),"")</f>
        <v>2.57972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1054.2857142857142</v>
      </c>
      <c r="BN178" s="64">
        <f t="shared" si="23"/>
        <v>1055.3399999999999</v>
      </c>
      <c r="BO178" s="64">
        <f t="shared" si="24"/>
        <v>2.1645021645021645</v>
      </c>
      <c r="BP178" s="64">
        <f t="shared" si="25"/>
        <v>2.1666666666666665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45">
        <v>4680115887336</v>
      </c>
      <c r="E179" s="646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4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48"/>
      <c r="R179" s="648"/>
      <c r="S179" s="648"/>
      <c r="T179" s="649"/>
      <c r="U179" s="34"/>
      <c r="V179" s="34"/>
      <c r="W179" s="35" t="s">
        <v>66</v>
      </c>
      <c r="X179" s="641">
        <v>50</v>
      </c>
      <c r="Y179" s="642">
        <f t="shared" si="21"/>
        <v>52.5</v>
      </c>
      <c r="Z179" s="36">
        <f>IFERROR(IF(Y179=0,"",ROUNDUP(Y179/H179,0)*0.00902),"")</f>
        <v>0.1353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52.714285714285715</v>
      </c>
      <c r="BN179" s="64">
        <f t="shared" si="23"/>
        <v>55.35</v>
      </c>
      <c r="BO179" s="64">
        <f t="shared" si="24"/>
        <v>0.10822510822510824</v>
      </c>
      <c r="BP179" s="64">
        <f t="shared" si="25"/>
        <v>0.11363636363636365</v>
      </c>
    </row>
    <row r="180" spans="1:68" ht="16.5" customHeight="1" x14ac:dyDescent="0.25">
      <c r="A180" s="54" t="s">
        <v>301</v>
      </c>
      <c r="B180" s="54" t="s">
        <v>302</v>
      </c>
      <c r="C180" s="31">
        <v>4301032049</v>
      </c>
      <c r="D180" s="645">
        <v>4680115887787</v>
      </c>
      <c r="E180" s="646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66</v>
      </c>
      <c r="X180" s="641">
        <v>1</v>
      </c>
      <c r="Y180" s="642">
        <f t="shared" si="21"/>
        <v>1.8</v>
      </c>
      <c r="Z180" s="36">
        <f>IFERROR(IF(Y180=0,"",ROUNDUP(Y180/H180,0)*0.00417),"")</f>
        <v>8.3400000000000002E-3</v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1.2333333333333334</v>
      </c>
      <c r="BN180" s="64">
        <f t="shared" si="23"/>
        <v>2.2200000000000002</v>
      </c>
      <c r="BO180" s="64">
        <f t="shared" si="24"/>
        <v>3.3068783068783067E-3</v>
      </c>
      <c r="BP180" s="64">
        <f t="shared" si="25"/>
        <v>5.9523809523809521E-3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45">
        <v>4680115887787</v>
      </c>
      <c r="E181" s="646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7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305</v>
      </c>
      <c r="B182" s="54" t="s">
        <v>306</v>
      </c>
      <c r="C182" s="31">
        <v>4301031448</v>
      </c>
      <c r="D182" s="645">
        <v>4680115887503</v>
      </c>
      <c r="E182" s="646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4"/>
      <c r="V182" s="34"/>
      <c r="W182" s="35" t="s">
        <v>66</v>
      </c>
      <c r="X182" s="641">
        <v>0</v>
      </c>
      <c r="Y182" s="642">
        <f t="shared" si="21"/>
        <v>0</v>
      </c>
      <c r="Z182" s="36" t="str">
        <f>IFERROR(IF(Y182=0,"",ROUNDUP(Y182/H182,0)*0.00502),"")</f>
        <v/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4301031389</v>
      </c>
      <c r="D183" s="645">
        <v>4680115887763</v>
      </c>
      <c r="E183" s="646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4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4"/>
      <c r="V183" s="34"/>
      <c r="W183" s="35" t="s">
        <v>66</v>
      </c>
      <c r="X183" s="641">
        <v>4</v>
      </c>
      <c r="Y183" s="642">
        <f t="shared" si="21"/>
        <v>4.5</v>
      </c>
      <c r="Z183" s="36">
        <f>IFERROR(IF(Y183=0,"",ROUNDUP(Y183/H183,0)*0.00417),"")</f>
        <v>2.085E-2</v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4.9333333333333336</v>
      </c>
      <c r="BN183" s="64">
        <f t="shared" si="23"/>
        <v>5.55</v>
      </c>
      <c r="BO183" s="64">
        <f t="shared" si="24"/>
        <v>1.3227513227513227E-2</v>
      </c>
      <c r="BP183" s="64">
        <f t="shared" si="25"/>
        <v>1.488095238095238E-2</v>
      </c>
    </row>
    <row r="184" spans="1:68" ht="27" hidden="1" customHeight="1" x14ac:dyDescent="0.25">
      <c r="A184" s="54" t="s">
        <v>310</v>
      </c>
      <c r="B184" s="54" t="s">
        <v>311</v>
      </c>
      <c r="C184" s="31">
        <v>4301031521</v>
      </c>
      <c r="D184" s="645">
        <v>4680115887480</v>
      </c>
      <c r="E184" s="646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8"/>
      <c r="R184" s="648"/>
      <c r="S184" s="648"/>
      <c r="T184" s="649"/>
      <c r="U184" s="34"/>
      <c r="V184" s="34"/>
      <c r="W184" s="35" t="s">
        <v>66</v>
      </c>
      <c r="X184" s="641">
        <v>0</v>
      </c>
      <c r="Y184" s="642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45">
        <v>4680115888067</v>
      </c>
      <c r="E185" s="646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hidden="1" customHeight="1" x14ac:dyDescent="0.25">
      <c r="A186" s="54" t="s">
        <v>315</v>
      </c>
      <c r="B186" s="54" t="s">
        <v>316</v>
      </c>
      <c r="C186" s="31">
        <v>4301031519</v>
      </c>
      <c r="D186" s="645">
        <v>4680115887435</v>
      </c>
      <c r="E186" s="646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8"/>
      <c r="R186" s="648"/>
      <c r="S186" s="648"/>
      <c r="T186" s="649"/>
      <c r="U186" s="34"/>
      <c r="V186" s="34"/>
      <c r="W186" s="35" t="s">
        <v>66</v>
      </c>
      <c r="X186" s="641">
        <v>0</v>
      </c>
      <c r="Y186" s="642">
        <f t="shared" si="21"/>
        <v>0</v>
      </c>
      <c r="Z186" s="36" t="str">
        <f>IFERROR(IF(Y186=0,"",ROUNDUP(Y186/H186,0)*0.00502),"")</f>
        <v/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0</v>
      </c>
      <c r="BN186" s="64">
        <f t="shared" si="23"/>
        <v>0</v>
      </c>
      <c r="BO186" s="64">
        <f t="shared" si="24"/>
        <v>0</v>
      </c>
      <c r="BP186" s="64">
        <f t="shared" si="25"/>
        <v>0</v>
      </c>
    </row>
    <row r="187" spans="1:68" x14ac:dyDescent="0.2">
      <c r="A187" s="679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80"/>
      <c r="P187" s="659" t="s">
        <v>71</v>
      </c>
      <c r="Q187" s="660"/>
      <c r="R187" s="660"/>
      <c r="S187" s="660"/>
      <c r="T187" s="660"/>
      <c r="U187" s="660"/>
      <c r="V187" s="661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335.84126984126982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339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3.0238299999999998</v>
      </c>
      <c r="AA187" s="644"/>
      <c r="AB187" s="644"/>
      <c r="AC187" s="644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80"/>
      <c r="P188" s="659" t="s">
        <v>71</v>
      </c>
      <c r="Q188" s="660"/>
      <c r="R188" s="660"/>
      <c r="S188" s="660"/>
      <c r="T188" s="660"/>
      <c r="U188" s="660"/>
      <c r="V188" s="661"/>
      <c r="W188" s="37" t="s">
        <v>66</v>
      </c>
      <c r="X188" s="643">
        <f>IFERROR(SUM(X176:X186),"0")</f>
        <v>1161</v>
      </c>
      <c r="Y188" s="643">
        <f>IFERROR(SUM(Y176:Y186),"0")</f>
        <v>1168.3</v>
      </c>
      <c r="Z188" s="37"/>
      <c r="AA188" s="644"/>
      <c r="AB188" s="644"/>
      <c r="AC188" s="644"/>
    </row>
    <row r="189" spans="1:68" ht="14.25" hidden="1" customHeight="1" x14ac:dyDescent="0.25">
      <c r="A189" s="662" t="s">
        <v>73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45">
        <v>4680115888395</v>
      </c>
      <c r="E190" s="646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8"/>
      <c r="R190" s="648"/>
      <c r="S190" s="648"/>
      <c r="T190" s="649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45">
        <v>4680115888371</v>
      </c>
      <c r="E191" s="646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8"/>
      <c r="R191" s="648"/>
      <c r="S191" s="648"/>
      <c r="T191" s="649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45">
        <v>4680115887459</v>
      </c>
      <c r="E192" s="646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48"/>
      <c r="R192" s="648"/>
      <c r="S192" s="648"/>
      <c r="T192" s="649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80"/>
      <c r="P193" s="659" t="s">
        <v>71</v>
      </c>
      <c r="Q193" s="660"/>
      <c r="R193" s="660"/>
      <c r="S193" s="660"/>
      <c r="T193" s="660"/>
      <c r="U193" s="660"/>
      <c r="V193" s="661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80"/>
      <c r="P194" s="659" t="s">
        <v>71</v>
      </c>
      <c r="Q194" s="660"/>
      <c r="R194" s="660"/>
      <c r="S194" s="660"/>
      <c r="T194" s="660"/>
      <c r="U194" s="660"/>
      <c r="V194" s="661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62" t="s">
        <v>266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45">
        <v>4680115889026</v>
      </c>
      <c r="E196" s="646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48"/>
      <c r="R196" s="648"/>
      <c r="S196" s="648"/>
      <c r="T196" s="649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9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80"/>
      <c r="P197" s="659" t="s">
        <v>71</v>
      </c>
      <c r="Q197" s="660"/>
      <c r="R197" s="660"/>
      <c r="S197" s="660"/>
      <c r="T197" s="660"/>
      <c r="U197" s="660"/>
      <c r="V197" s="661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80"/>
      <c r="P198" s="659" t="s">
        <v>71</v>
      </c>
      <c r="Q198" s="660"/>
      <c r="R198" s="660"/>
      <c r="S198" s="660"/>
      <c r="T198" s="660"/>
      <c r="U198" s="660"/>
      <c r="V198" s="661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62" t="s">
        <v>330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45">
        <v>4680115889033</v>
      </c>
      <c r="E200" s="646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8"/>
      <c r="R200" s="648"/>
      <c r="S200" s="648"/>
      <c r="T200" s="649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9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80"/>
      <c r="P201" s="659" t="s">
        <v>71</v>
      </c>
      <c r="Q201" s="660"/>
      <c r="R201" s="660"/>
      <c r="S201" s="660"/>
      <c r="T201" s="660"/>
      <c r="U201" s="660"/>
      <c r="V201" s="661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80"/>
      <c r="P202" s="659" t="s">
        <v>71</v>
      </c>
      <c r="Q202" s="660"/>
      <c r="R202" s="660"/>
      <c r="S202" s="660"/>
      <c r="T202" s="660"/>
      <c r="U202" s="660"/>
      <c r="V202" s="661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57" t="s">
        <v>334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48"/>
      <c r="AB203" s="48"/>
      <c r="AC203" s="48"/>
    </row>
    <row r="204" spans="1:68" ht="16.5" hidden="1" customHeight="1" x14ac:dyDescent="0.25">
      <c r="A204" s="669" t="s">
        <v>335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6"/>
      <c r="AB204" s="636"/>
      <c r="AC204" s="636"/>
    </row>
    <row r="205" spans="1:68" ht="14.25" hidden="1" customHeight="1" x14ac:dyDescent="0.25">
      <c r="A205" s="662" t="s">
        <v>110</v>
      </c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45">
        <v>4607091383423</v>
      </c>
      <c r="E206" s="646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8"/>
      <c r="R206" s="648"/>
      <c r="S206" s="648"/>
      <c r="T206" s="649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45">
        <v>4680115888760</v>
      </c>
      <c r="E207" s="646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8"/>
      <c r="R207" s="648"/>
      <c r="S207" s="648"/>
      <c r="T207" s="649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45">
        <v>4680115888807</v>
      </c>
      <c r="E208" s="646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8"/>
      <c r="R208" s="648"/>
      <c r="S208" s="648"/>
      <c r="T208" s="649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45">
        <v>4680115888852</v>
      </c>
      <c r="E209" s="646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45">
        <v>4680115886957</v>
      </c>
      <c r="E210" s="646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8"/>
      <c r="R210" s="648"/>
      <c r="S210" s="648"/>
      <c r="T210" s="649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45">
        <v>4680115885660</v>
      </c>
      <c r="E211" s="646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8"/>
      <c r="R211" s="648"/>
      <c r="S211" s="648"/>
      <c r="T211" s="649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45">
        <v>4680115886773</v>
      </c>
      <c r="E212" s="646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8"/>
      <c r="R212" s="648"/>
      <c r="S212" s="648"/>
      <c r="T212" s="649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9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80"/>
      <c r="P213" s="659" t="s">
        <v>71</v>
      </c>
      <c r="Q213" s="660"/>
      <c r="R213" s="660"/>
      <c r="S213" s="660"/>
      <c r="T213" s="660"/>
      <c r="U213" s="660"/>
      <c r="V213" s="661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80"/>
      <c r="P214" s="659" t="s">
        <v>71</v>
      </c>
      <c r="Q214" s="660"/>
      <c r="R214" s="660"/>
      <c r="S214" s="660"/>
      <c r="T214" s="660"/>
      <c r="U214" s="660"/>
      <c r="V214" s="661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69" t="s">
        <v>356</v>
      </c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36"/>
      <c r="AB215" s="636"/>
      <c r="AC215" s="636"/>
    </row>
    <row r="216" spans="1:68" ht="14.25" hidden="1" customHeight="1" x14ac:dyDescent="0.25">
      <c r="A216" s="662" t="s">
        <v>147</v>
      </c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45">
        <v>4680115886223</v>
      </c>
      <c r="E217" s="646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8"/>
      <c r="R217" s="648"/>
      <c r="S217" s="648"/>
      <c r="T217" s="649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9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80"/>
      <c r="P218" s="659" t="s">
        <v>71</v>
      </c>
      <c r="Q218" s="660"/>
      <c r="R218" s="660"/>
      <c r="S218" s="660"/>
      <c r="T218" s="660"/>
      <c r="U218" s="660"/>
      <c r="V218" s="661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80"/>
      <c r="P219" s="659" t="s">
        <v>71</v>
      </c>
      <c r="Q219" s="660"/>
      <c r="R219" s="660"/>
      <c r="S219" s="660"/>
      <c r="T219" s="660"/>
      <c r="U219" s="660"/>
      <c r="V219" s="661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62" t="s">
        <v>61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45">
        <v>4680115880993</v>
      </c>
      <c r="E221" s="646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8"/>
      <c r="R221" s="648"/>
      <c r="S221" s="648"/>
      <c r="T221" s="649"/>
      <c r="U221" s="34"/>
      <c r="V221" s="34"/>
      <c r="W221" s="35" t="s">
        <v>66</v>
      </c>
      <c r="X221" s="641">
        <v>25</v>
      </c>
      <c r="Y221" s="642">
        <f t="shared" ref="Y221:Y234" si="32">IFERROR(IF(X221="",0,CEILING((X221/$H221),1)*$H221),"")</f>
        <v>25.200000000000003</v>
      </c>
      <c r="Z221" s="36">
        <f>IFERROR(IF(Y221=0,"",ROUNDUP(Y221/H221,0)*0.00902),"")</f>
        <v>5.4120000000000001E-2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26.488095238095237</v>
      </c>
      <c r="BN221" s="64">
        <f t="shared" ref="BN221:BN234" si="34">IFERROR(Y221*I221/H221,"0")</f>
        <v>26.700000000000003</v>
      </c>
      <c r="BO221" s="64">
        <f t="shared" ref="BO221:BO234" si="35">IFERROR(1/J221*(X221/H221),"0")</f>
        <v>4.5093795093795096E-2</v>
      </c>
      <c r="BP221" s="64">
        <f t="shared" ref="BP221:BP234" si="36">IFERROR(1/J221*(Y221/H221),"0")</f>
        <v>4.5454545454545456E-2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45">
        <v>4680115881761</v>
      </c>
      <c r="E222" s="646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8"/>
      <c r="R222" s="648"/>
      <c r="S222" s="648"/>
      <c r="T222" s="649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45">
        <v>4680115881563</v>
      </c>
      <c r="E223" s="646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8"/>
      <c r="R223" s="648"/>
      <c r="S223" s="648"/>
      <c r="T223" s="649"/>
      <c r="U223" s="34"/>
      <c r="V223" s="34"/>
      <c r="W223" s="35" t="s">
        <v>66</v>
      </c>
      <c r="X223" s="641">
        <v>119</v>
      </c>
      <c r="Y223" s="642">
        <f t="shared" si="32"/>
        <v>121.80000000000001</v>
      </c>
      <c r="Z223" s="36">
        <f>IFERROR(IF(Y223=0,"",ROUNDUP(Y223/H223,0)*0.00902),"")</f>
        <v>0.26158000000000003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124.38333333333333</v>
      </c>
      <c r="BN223" s="64">
        <f t="shared" si="34"/>
        <v>127.30999999999999</v>
      </c>
      <c r="BO223" s="64">
        <f t="shared" si="35"/>
        <v>0.21464646464646464</v>
      </c>
      <c r="BP223" s="64">
        <f t="shared" si="36"/>
        <v>0.2196969696969697</v>
      </c>
    </row>
    <row r="224" spans="1:68" ht="37.5" customHeight="1" x14ac:dyDescent="0.25">
      <c r="A224" s="54" t="s">
        <v>369</v>
      </c>
      <c r="B224" s="54" t="s">
        <v>370</v>
      </c>
      <c r="C224" s="31">
        <v>4301031447</v>
      </c>
      <c r="D224" s="645">
        <v>4680115887565</v>
      </c>
      <c r="E224" s="646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8"/>
      <c r="R224" s="648"/>
      <c r="S224" s="648"/>
      <c r="T224" s="649"/>
      <c r="U224" s="34"/>
      <c r="V224" s="34"/>
      <c r="W224" s="35" t="s">
        <v>66</v>
      </c>
      <c r="X224" s="641">
        <v>6</v>
      </c>
      <c r="Y224" s="642">
        <f t="shared" si="32"/>
        <v>6.4</v>
      </c>
      <c r="Z224" s="36">
        <f>IFERROR(IF(Y224=0,"",ROUNDUP(Y224/H224,0)*0.00556),"")</f>
        <v>4.4479999999999999E-2</v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6.9749999999999996</v>
      </c>
      <c r="BN224" s="64">
        <f t="shared" si="34"/>
        <v>7.44</v>
      </c>
      <c r="BO224" s="64">
        <f t="shared" si="35"/>
        <v>2.976190476190476E-2</v>
      </c>
      <c r="BP224" s="64">
        <f t="shared" si="36"/>
        <v>3.1746031746031744E-2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45">
        <v>4680115880986</v>
      </c>
      <c r="E225" s="646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8"/>
      <c r="R225" s="648"/>
      <c r="S225" s="648"/>
      <c r="T225" s="649"/>
      <c r="U225" s="34"/>
      <c r="V225" s="34"/>
      <c r="W225" s="35" t="s">
        <v>66</v>
      </c>
      <c r="X225" s="641">
        <v>70</v>
      </c>
      <c r="Y225" s="642">
        <f t="shared" si="32"/>
        <v>71.400000000000006</v>
      </c>
      <c r="Z225" s="36">
        <f>IFERROR(IF(Y225=0,"",ROUNDUP(Y225/H225,0)*0.00502),"")</f>
        <v>0.17068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74.333333333333329</v>
      </c>
      <c r="BN225" s="64">
        <f t="shared" si="34"/>
        <v>75.820000000000007</v>
      </c>
      <c r="BO225" s="64">
        <f t="shared" si="35"/>
        <v>0.14245014245014245</v>
      </c>
      <c r="BP225" s="64">
        <f t="shared" si="36"/>
        <v>0.14529914529914531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45">
        <v>4680115887213</v>
      </c>
      <c r="E226" s="646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8"/>
      <c r="R226" s="648"/>
      <c r="S226" s="648"/>
      <c r="T226" s="649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45">
        <v>4680115881785</v>
      </c>
      <c r="E227" s="646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8"/>
      <c r="R227" s="648"/>
      <c r="S227" s="648"/>
      <c r="T227" s="649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45">
        <v>4680115888432</v>
      </c>
      <c r="E228" s="646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8"/>
      <c r="R228" s="648"/>
      <c r="S228" s="648"/>
      <c r="T228" s="649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customHeight="1" x14ac:dyDescent="0.25">
      <c r="A229" s="54" t="s">
        <v>382</v>
      </c>
      <c r="B229" s="54" t="s">
        <v>383</v>
      </c>
      <c r="C229" s="31">
        <v>4301031503</v>
      </c>
      <c r="D229" s="645">
        <v>4680115886537</v>
      </c>
      <c r="E229" s="646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48"/>
      <c r="R229" s="648"/>
      <c r="S229" s="648"/>
      <c r="T229" s="649"/>
      <c r="U229" s="34"/>
      <c r="V229" s="34"/>
      <c r="W229" s="35" t="s">
        <v>66</v>
      </c>
      <c r="X229" s="641">
        <v>3</v>
      </c>
      <c r="Y229" s="642">
        <f t="shared" si="32"/>
        <v>3.6</v>
      </c>
      <c r="Z229" s="36">
        <f>IFERROR(IF(Y229=0,"",ROUNDUP(Y229/H229,0)*0.00502),"")</f>
        <v>1.004E-2</v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3.2166666666666668</v>
      </c>
      <c r="BN229" s="64">
        <f t="shared" si="34"/>
        <v>3.8599999999999994</v>
      </c>
      <c r="BO229" s="64">
        <f t="shared" si="35"/>
        <v>7.1225071225071226E-3</v>
      </c>
      <c r="BP229" s="64">
        <f t="shared" si="36"/>
        <v>8.5470085470085479E-3</v>
      </c>
    </row>
    <row r="230" spans="1:68" ht="27" customHeight="1" x14ac:dyDescent="0.25">
      <c r="A230" s="54" t="s">
        <v>385</v>
      </c>
      <c r="B230" s="54" t="s">
        <v>386</v>
      </c>
      <c r="C230" s="31">
        <v>4301031279</v>
      </c>
      <c r="D230" s="645">
        <v>4680115887596</v>
      </c>
      <c r="E230" s="646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48"/>
      <c r="R230" s="648"/>
      <c r="S230" s="648"/>
      <c r="T230" s="649"/>
      <c r="U230" s="34"/>
      <c r="V230" s="34"/>
      <c r="W230" s="35" t="s">
        <v>66</v>
      </c>
      <c r="X230" s="641">
        <v>9</v>
      </c>
      <c r="Y230" s="642">
        <f t="shared" si="32"/>
        <v>9.6000000000000014</v>
      </c>
      <c r="Z230" s="36">
        <f>IFERROR(IF(Y230=0,"",ROUNDUP(Y230/H230,0)*0.00417),"")</f>
        <v>5.0040000000000001E-2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11.362499999999999</v>
      </c>
      <c r="BN230" s="64">
        <f t="shared" si="34"/>
        <v>12.120000000000001</v>
      </c>
      <c r="BO230" s="64">
        <f t="shared" si="35"/>
        <v>3.3482142857142856E-2</v>
      </c>
      <c r="BP230" s="64">
        <f t="shared" si="36"/>
        <v>3.5714285714285719E-2</v>
      </c>
    </row>
    <row r="231" spans="1:68" ht="37.5" customHeight="1" x14ac:dyDescent="0.25">
      <c r="A231" s="54" t="s">
        <v>388</v>
      </c>
      <c r="B231" s="54" t="s">
        <v>389</v>
      </c>
      <c r="C231" s="31">
        <v>4301031530</v>
      </c>
      <c r="D231" s="645">
        <v>4680115881679</v>
      </c>
      <c r="E231" s="646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66</v>
      </c>
      <c r="X231" s="641">
        <v>280</v>
      </c>
      <c r="Y231" s="642">
        <f t="shared" si="32"/>
        <v>281.40000000000003</v>
      </c>
      <c r="Z231" s="36">
        <f>IFERROR(IF(Y231=0,"",ROUNDUP(Y231/H231,0)*0.00502),"")</f>
        <v>0.67268000000000006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293.33333333333331</v>
      </c>
      <c r="BN231" s="64">
        <f t="shared" si="34"/>
        <v>294.80000000000007</v>
      </c>
      <c r="BO231" s="64">
        <f t="shared" si="35"/>
        <v>0.56980056980056981</v>
      </c>
      <c r="BP231" s="64">
        <f t="shared" si="36"/>
        <v>0.57264957264957272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45">
        <v>4680115880191</v>
      </c>
      <c r="E232" s="646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48"/>
      <c r="R232" s="648"/>
      <c r="S232" s="648"/>
      <c r="T232" s="649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45">
        <v>4680115880191</v>
      </c>
      <c r="E233" s="646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48"/>
      <c r="R233" s="648"/>
      <c r="S233" s="648"/>
      <c r="T233" s="649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45">
        <v>4680115883963</v>
      </c>
      <c r="E234" s="646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8"/>
      <c r="R234" s="648"/>
      <c r="S234" s="648"/>
      <c r="T234" s="649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9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80"/>
      <c r="P235" s="659" t="s">
        <v>71</v>
      </c>
      <c r="Q235" s="660"/>
      <c r="R235" s="660"/>
      <c r="S235" s="660"/>
      <c r="T235" s="660"/>
      <c r="U235" s="660"/>
      <c r="V235" s="661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221.36904761904759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225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1.2636200000000002</v>
      </c>
      <c r="AA235" s="644"/>
      <c r="AB235" s="644"/>
      <c r="AC235" s="644"/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80"/>
      <c r="P236" s="659" t="s">
        <v>71</v>
      </c>
      <c r="Q236" s="660"/>
      <c r="R236" s="660"/>
      <c r="S236" s="660"/>
      <c r="T236" s="660"/>
      <c r="U236" s="660"/>
      <c r="V236" s="661"/>
      <c r="W236" s="37" t="s">
        <v>66</v>
      </c>
      <c r="X236" s="643">
        <f>IFERROR(SUM(X221:X234),"0")</f>
        <v>512</v>
      </c>
      <c r="Y236" s="643">
        <f>IFERROR(SUM(Y221:Y234),"0")</f>
        <v>519.40000000000009</v>
      </c>
      <c r="Z236" s="37"/>
      <c r="AA236" s="644"/>
      <c r="AB236" s="644"/>
      <c r="AC236" s="644"/>
    </row>
    <row r="237" spans="1:68" ht="14.25" hidden="1" customHeight="1" x14ac:dyDescent="0.25">
      <c r="A237" s="662" t="s">
        <v>73</v>
      </c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45">
        <v>4680115888692</v>
      </c>
      <c r="E238" s="646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45">
        <v>4680115888692</v>
      </c>
      <c r="E239" s="646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45">
        <v>4680115888722</v>
      </c>
      <c r="E240" s="646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48"/>
      <c r="R240" s="648"/>
      <c r="S240" s="648"/>
      <c r="T240" s="649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45">
        <v>4680115888722</v>
      </c>
      <c r="E241" s="646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45">
        <v>4680115888951</v>
      </c>
      <c r="E242" s="646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45">
        <v>4680115888951</v>
      </c>
      <c r="E243" s="646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45">
        <v>4680115888975</v>
      </c>
      <c r="E244" s="646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48"/>
      <c r="R244" s="648"/>
      <c r="S244" s="648"/>
      <c r="T244" s="649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45">
        <v>4680115888982</v>
      </c>
      <c r="E245" s="646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45">
        <v>4680115888982</v>
      </c>
      <c r="E246" s="646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48"/>
      <c r="R246" s="648"/>
      <c r="S246" s="648"/>
      <c r="T246" s="649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9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80"/>
      <c r="P247" s="659" t="s">
        <v>71</v>
      </c>
      <c r="Q247" s="660"/>
      <c r="R247" s="660"/>
      <c r="S247" s="660"/>
      <c r="T247" s="660"/>
      <c r="U247" s="660"/>
      <c r="V247" s="661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80"/>
      <c r="P248" s="659" t="s">
        <v>71</v>
      </c>
      <c r="Q248" s="660"/>
      <c r="R248" s="660"/>
      <c r="S248" s="660"/>
      <c r="T248" s="660"/>
      <c r="U248" s="660"/>
      <c r="V248" s="661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62" t="s">
        <v>266</v>
      </c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45">
        <v>4680115886780</v>
      </c>
      <c r="E250" s="646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45">
        <v>4680115886742</v>
      </c>
      <c r="E251" s="646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45">
        <v>4680115886766</v>
      </c>
      <c r="E252" s="646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66</v>
      </c>
      <c r="X252" s="641">
        <v>11</v>
      </c>
      <c r="Y252" s="642">
        <f>IFERROR(IF(X252="",0,CEILING((X252/$H252),1)*$H252),"")</f>
        <v>11.34</v>
      </c>
      <c r="Z252" s="36">
        <f>IFERROR(IF(Y252=0,"",ROUNDUP(Y252/H252,0)*0.0059),"")</f>
        <v>5.3100000000000001E-2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12.658730158730158</v>
      </c>
      <c r="BN252" s="64">
        <f>IFERROR(Y252*I252/H252,"0")</f>
        <v>13.049999999999999</v>
      </c>
      <c r="BO252" s="64">
        <f>IFERROR(1/J252*(X252/H252),"0")</f>
        <v>4.0417401528512635E-2</v>
      </c>
      <c r="BP252" s="64">
        <f>IFERROR(1/J252*(Y252/H252),"0")</f>
        <v>4.1666666666666664E-2</v>
      </c>
    </row>
    <row r="253" spans="1:68" x14ac:dyDescent="0.2">
      <c r="A253" s="679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80"/>
      <c r="P253" s="659" t="s">
        <v>71</v>
      </c>
      <c r="Q253" s="660"/>
      <c r="R253" s="660"/>
      <c r="S253" s="660"/>
      <c r="T253" s="660"/>
      <c r="U253" s="660"/>
      <c r="V253" s="661"/>
      <c r="W253" s="37" t="s">
        <v>72</v>
      </c>
      <c r="X253" s="643">
        <f>IFERROR(X250/H250,"0")+IFERROR(X251/H251,"0")+IFERROR(X252/H252,"0")</f>
        <v>8.7301587301587293</v>
      </c>
      <c r="Y253" s="643">
        <f>IFERROR(Y250/H250,"0")+IFERROR(Y251/H251,"0")+IFERROR(Y252/H252,"0")</f>
        <v>9</v>
      </c>
      <c r="Z253" s="643">
        <f>IFERROR(IF(Z250="",0,Z250),"0")+IFERROR(IF(Z251="",0,Z251),"0")+IFERROR(IF(Z252="",0,Z252),"0")</f>
        <v>5.3100000000000001E-2</v>
      </c>
      <c r="AA253" s="644"/>
      <c r="AB253" s="644"/>
      <c r="AC253" s="644"/>
    </row>
    <row r="254" spans="1:68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80"/>
      <c r="P254" s="659" t="s">
        <v>71</v>
      </c>
      <c r="Q254" s="660"/>
      <c r="R254" s="660"/>
      <c r="S254" s="660"/>
      <c r="T254" s="660"/>
      <c r="U254" s="660"/>
      <c r="V254" s="661"/>
      <c r="W254" s="37" t="s">
        <v>66</v>
      </c>
      <c r="X254" s="643">
        <f>IFERROR(SUM(X250:X252),"0")</f>
        <v>11</v>
      </c>
      <c r="Y254" s="643">
        <f>IFERROR(SUM(Y250:Y252),"0")</f>
        <v>11.34</v>
      </c>
      <c r="Z254" s="37"/>
      <c r="AA254" s="644"/>
      <c r="AB254" s="644"/>
      <c r="AC254" s="644"/>
    </row>
    <row r="255" spans="1:68" ht="14.25" hidden="1" customHeight="1" x14ac:dyDescent="0.25">
      <c r="A255" s="662" t="s">
        <v>424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A255" s="637"/>
      <c r="AB255" s="637"/>
      <c r="AC255" s="637"/>
    </row>
    <row r="256" spans="1:68" ht="27" customHeight="1" x14ac:dyDescent="0.25">
      <c r="A256" s="54" t="s">
        <v>425</v>
      </c>
      <c r="B256" s="54" t="s">
        <v>426</v>
      </c>
      <c r="C256" s="31">
        <v>4301170013</v>
      </c>
      <c r="D256" s="645">
        <v>4680115886797</v>
      </c>
      <c r="E256" s="646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48"/>
      <c r="R256" s="648"/>
      <c r="S256" s="648"/>
      <c r="T256" s="649"/>
      <c r="U256" s="34"/>
      <c r="V256" s="34"/>
      <c r="W256" s="35" t="s">
        <v>66</v>
      </c>
      <c r="X256" s="641">
        <v>6</v>
      </c>
      <c r="Y256" s="642">
        <f>IFERROR(IF(X256="",0,CEILING((X256/$H256),1)*$H256),"")</f>
        <v>6.3</v>
      </c>
      <c r="Z256" s="36">
        <f>IFERROR(IF(Y256=0,"",ROUNDUP(Y256/H256,0)*0.0059),"")</f>
        <v>2.9499999999999998E-2</v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6.9047619047619042</v>
      </c>
      <c r="BN256" s="64">
        <f>IFERROR(Y256*I256/H256,"0")</f>
        <v>7.25</v>
      </c>
      <c r="BO256" s="64">
        <f>IFERROR(1/J256*(X256/H256),"0")</f>
        <v>2.2045855379188711E-2</v>
      </c>
      <c r="BP256" s="64">
        <f>IFERROR(1/J256*(Y256/H256),"0")</f>
        <v>2.3148148148148147E-2</v>
      </c>
    </row>
    <row r="257" spans="1:68" x14ac:dyDescent="0.2">
      <c r="A257" s="679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80"/>
      <c r="P257" s="659" t="s">
        <v>71</v>
      </c>
      <c r="Q257" s="660"/>
      <c r="R257" s="660"/>
      <c r="S257" s="660"/>
      <c r="T257" s="660"/>
      <c r="U257" s="660"/>
      <c r="V257" s="661"/>
      <c r="W257" s="37" t="s">
        <v>72</v>
      </c>
      <c r="X257" s="643">
        <f>IFERROR(X256/H256,"0")</f>
        <v>4.7619047619047619</v>
      </c>
      <c r="Y257" s="643">
        <f>IFERROR(Y256/H256,"0")</f>
        <v>5</v>
      </c>
      <c r="Z257" s="643">
        <f>IFERROR(IF(Z256="",0,Z256),"0")</f>
        <v>2.9499999999999998E-2</v>
      </c>
      <c r="AA257" s="644"/>
      <c r="AB257" s="644"/>
      <c r="AC257" s="644"/>
    </row>
    <row r="258" spans="1:68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80"/>
      <c r="P258" s="659" t="s">
        <v>71</v>
      </c>
      <c r="Q258" s="660"/>
      <c r="R258" s="660"/>
      <c r="S258" s="660"/>
      <c r="T258" s="660"/>
      <c r="U258" s="660"/>
      <c r="V258" s="661"/>
      <c r="W258" s="37" t="s">
        <v>66</v>
      </c>
      <c r="X258" s="643">
        <f>IFERROR(SUM(X256:X256),"0")</f>
        <v>6</v>
      </c>
      <c r="Y258" s="643">
        <f>IFERROR(SUM(Y256:Y256),"0")</f>
        <v>6.3</v>
      </c>
      <c r="Z258" s="37"/>
      <c r="AA258" s="644"/>
      <c r="AB258" s="644"/>
      <c r="AC258" s="644"/>
    </row>
    <row r="259" spans="1:68" ht="16.5" hidden="1" customHeight="1" x14ac:dyDescent="0.25">
      <c r="A259" s="669" t="s">
        <v>427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36"/>
      <c r="AB259" s="636"/>
      <c r="AC259" s="636"/>
    </row>
    <row r="260" spans="1:68" ht="14.25" hidden="1" customHeight="1" x14ac:dyDescent="0.25">
      <c r="A260" s="662" t="s">
        <v>110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45">
        <v>4680115881402</v>
      </c>
      <c r="E261" s="646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45">
        <v>4680115881396</v>
      </c>
      <c r="E262" s="646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48"/>
      <c r="R262" s="648"/>
      <c r="S262" s="648"/>
      <c r="T262" s="649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9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80"/>
      <c r="P263" s="659" t="s">
        <v>71</v>
      </c>
      <c r="Q263" s="660"/>
      <c r="R263" s="660"/>
      <c r="S263" s="660"/>
      <c r="T263" s="660"/>
      <c r="U263" s="660"/>
      <c r="V263" s="661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80"/>
      <c r="P264" s="659" t="s">
        <v>71</v>
      </c>
      <c r="Q264" s="660"/>
      <c r="R264" s="660"/>
      <c r="S264" s="660"/>
      <c r="T264" s="660"/>
      <c r="U264" s="660"/>
      <c r="V264" s="661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62" t="s">
        <v>147</v>
      </c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45">
        <v>4680115882935</v>
      </c>
      <c r="E266" s="646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48"/>
      <c r="R266" s="648"/>
      <c r="S266" s="648"/>
      <c r="T266" s="649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45">
        <v>4680115880764</v>
      </c>
      <c r="E267" s="646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48"/>
      <c r="R267" s="648"/>
      <c r="S267" s="648"/>
      <c r="T267" s="649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9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80"/>
      <c r="P268" s="659" t="s">
        <v>71</v>
      </c>
      <c r="Q268" s="660"/>
      <c r="R268" s="660"/>
      <c r="S268" s="660"/>
      <c r="T268" s="660"/>
      <c r="U268" s="660"/>
      <c r="V268" s="661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80"/>
      <c r="P269" s="659" t="s">
        <v>71</v>
      </c>
      <c r="Q269" s="660"/>
      <c r="R269" s="660"/>
      <c r="S269" s="660"/>
      <c r="T269" s="660"/>
      <c r="U269" s="660"/>
      <c r="V269" s="661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62" t="s">
        <v>61</v>
      </c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45">
        <v>4680115882683</v>
      </c>
      <c r="E271" s="646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66</v>
      </c>
      <c r="X271" s="641">
        <v>550</v>
      </c>
      <c r="Y271" s="642">
        <f t="shared" ref="Y271:Y278" si="42">IFERROR(IF(X271="",0,CEILING((X271/$H271),1)*$H271),"")</f>
        <v>550.80000000000007</v>
      </c>
      <c r="Z271" s="36">
        <f>IFERROR(IF(Y271=0,"",ROUNDUP(Y271/H271,0)*0.00902),"")</f>
        <v>0.92003999999999997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569.35185185185185</v>
      </c>
      <c r="BN271" s="64">
        <f t="shared" ref="BN271:BN278" si="44">IFERROR(Y271*I271/H271,"0")</f>
        <v>570.17999999999995</v>
      </c>
      <c r="BO271" s="64">
        <f t="shared" ref="BO271:BO278" si="45">IFERROR(1/J271*(X271/H271),"0")</f>
        <v>0.77160493827160492</v>
      </c>
      <c r="BP271" s="64">
        <f t="shared" ref="BP271:BP278" si="46">IFERROR(1/J271*(Y271/H271),"0")</f>
        <v>0.77272727272727271</v>
      </c>
    </row>
    <row r="272" spans="1:68" ht="27" hidden="1" customHeight="1" x14ac:dyDescent="0.25">
      <c r="A272" s="54" t="s">
        <v>441</v>
      </c>
      <c r="B272" s="54" t="s">
        <v>442</v>
      </c>
      <c r="C272" s="31">
        <v>4301031230</v>
      </c>
      <c r="D272" s="645">
        <v>4680115882690</v>
      </c>
      <c r="E272" s="646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66</v>
      </c>
      <c r="X272" s="641">
        <v>0</v>
      </c>
      <c r="Y272" s="642">
        <f t="shared" si="42"/>
        <v>0</v>
      </c>
      <c r="Z272" s="36" t="str">
        <f>IFERROR(IF(Y272=0,"",ROUNDUP(Y272/H272,0)*0.00902),"")</f>
        <v/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0</v>
      </c>
      <c r="BN272" s="64">
        <f t="shared" si="44"/>
        <v>0</v>
      </c>
      <c r="BO272" s="64">
        <f t="shared" si="45"/>
        <v>0</v>
      </c>
      <c r="BP272" s="64">
        <f t="shared" si="46"/>
        <v>0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45">
        <v>4680115882669</v>
      </c>
      <c r="E273" s="646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66</v>
      </c>
      <c r="X273" s="641">
        <v>100</v>
      </c>
      <c r="Y273" s="642">
        <f t="shared" si="42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103.5185185185185</v>
      </c>
      <c r="BN273" s="64">
        <f t="shared" si="44"/>
        <v>106.21</v>
      </c>
      <c r="BO273" s="64">
        <f t="shared" si="45"/>
        <v>0.14029180695847362</v>
      </c>
      <c r="BP273" s="64">
        <f t="shared" si="46"/>
        <v>0.14393939393939395</v>
      </c>
    </row>
    <row r="274" spans="1:68" ht="27" customHeight="1" x14ac:dyDescent="0.25">
      <c r="A274" s="54" t="s">
        <v>447</v>
      </c>
      <c r="B274" s="54" t="s">
        <v>448</v>
      </c>
      <c r="C274" s="31">
        <v>4301031221</v>
      </c>
      <c r="D274" s="645">
        <v>4680115882676</v>
      </c>
      <c r="E274" s="646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66</v>
      </c>
      <c r="X274" s="641">
        <v>30</v>
      </c>
      <c r="Y274" s="642">
        <f t="shared" si="42"/>
        <v>32.400000000000006</v>
      </c>
      <c r="Z274" s="36">
        <f>IFERROR(IF(Y274=0,"",ROUNDUP(Y274/H274,0)*0.00902),"")</f>
        <v>5.4120000000000001E-2</v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31.05555555555555</v>
      </c>
      <c r="BN274" s="64">
        <f t="shared" si="44"/>
        <v>33.54</v>
      </c>
      <c r="BO274" s="64">
        <f t="shared" si="45"/>
        <v>4.208754208754209E-2</v>
      </c>
      <c r="BP274" s="64">
        <f t="shared" si="46"/>
        <v>4.5454545454545463E-2</v>
      </c>
    </row>
    <row r="275" spans="1:68" ht="27" customHeight="1" x14ac:dyDescent="0.25">
      <c r="A275" s="54" t="s">
        <v>450</v>
      </c>
      <c r="B275" s="54" t="s">
        <v>451</v>
      </c>
      <c r="C275" s="31">
        <v>4301031223</v>
      </c>
      <c r="D275" s="645">
        <v>4680115884014</v>
      </c>
      <c r="E275" s="646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66</v>
      </c>
      <c r="X275" s="641">
        <v>6</v>
      </c>
      <c r="Y275" s="642">
        <f t="shared" si="42"/>
        <v>7.2</v>
      </c>
      <c r="Z275" s="36">
        <f>IFERROR(IF(Y275=0,"",ROUNDUP(Y275/H275,0)*0.00502),"")</f>
        <v>2.0080000000000001E-2</v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6.4333333333333336</v>
      </c>
      <c r="BN275" s="64">
        <f t="shared" si="44"/>
        <v>7.7199999999999989</v>
      </c>
      <c r="BO275" s="64">
        <f t="shared" si="45"/>
        <v>1.4245014245014245E-2</v>
      </c>
      <c r="BP275" s="64">
        <f t="shared" si="46"/>
        <v>1.7094017094017096E-2</v>
      </c>
    </row>
    <row r="276" spans="1:68" ht="27" customHeight="1" x14ac:dyDescent="0.25">
      <c r="A276" s="54" t="s">
        <v>452</v>
      </c>
      <c r="B276" s="54" t="s">
        <v>453</v>
      </c>
      <c r="C276" s="31">
        <v>4301031222</v>
      </c>
      <c r="D276" s="645">
        <v>4680115884007</v>
      </c>
      <c r="E276" s="646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66</v>
      </c>
      <c r="X276" s="641">
        <v>14</v>
      </c>
      <c r="Y276" s="642">
        <f t="shared" si="42"/>
        <v>14.4</v>
      </c>
      <c r="Z276" s="36">
        <f>IFERROR(IF(Y276=0,"",ROUNDUP(Y276/H276,0)*0.00502),"")</f>
        <v>4.0160000000000001E-2</v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14.777777777777777</v>
      </c>
      <c r="BN276" s="64">
        <f t="shared" si="44"/>
        <v>15.2</v>
      </c>
      <c r="BO276" s="64">
        <f t="shared" si="45"/>
        <v>3.3238366571699908E-2</v>
      </c>
      <c r="BP276" s="64">
        <f t="shared" si="46"/>
        <v>3.4188034188034191E-2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45">
        <v>4680115884038</v>
      </c>
      <c r="E277" s="646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customHeight="1" x14ac:dyDescent="0.25">
      <c r="A278" s="54" t="s">
        <v>456</v>
      </c>
      <c r="B278" s="54" t="s">
        <v>457</v>
      </c>
      <c r="C278" s="31">
        <v>4301031225</v>
      </c>
      <c r="D278" s="645">
        <v>4680115884021</v>
      </c>
      <c r="E278" s="646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66</v>
      </c>
      <c r="X278" s="641">
        <v>3</v>
      </c>
      <c r="Y278" s="642">
        <f t="shared" si="42"/>
        <v>3.6</v>
      </c>
      <c r="Z278" s="36">
        <f>IFERROR(IF(Y278=0,"",ROUNDUP(Y278/H278,0)*0.00502),"")</f>
        <v>1.004E-2</v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3.1666666666666661</v>
      </c>
      <c r="BN278" s="64">
        <f t="shared" si="44"/>
        <v>3.8</v>
      </c>
      <c r="BO278" s="64">
        <f t="shared" si="45"/>
        <v>7.1225071225071226E-3</v>
      </c>
      <c r="BP278" s="64">
        <f t="shared" si="46"/>
        <v>8.5470085470085479E-3</v>
      </c>
    </row>
    <row r="279" spans="1:68" x14ac:dyDescent="0.2">
      <c r="A279" s="679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80"/>
      <c r="P279" s="659" t="s">
        <v>71</v>
      </c>
      <c r="Q279" s="660"/>
      <c r="R279" s="660"/>
      <c r="S279" s="660"/>
      <c r="T279" s="660"/>
      <c r="U279" s="660"/>
      <c r="V279" s="661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138.7037037037037</v>
      </c>
      <c r="Y279" s="643">
        <f>IFERROR(Y271/H271,"0")+IFERROR(Y272/H272,"0")+IFERROR(Y273/H273,"0")+IFERROR(Y274/H274,"0")+IFERROR(Y275/H275,"0")+IFERROR(Y276/H276,"0")+IFERROR(Y277/H277,"0")+IFERROR(Y278/H278,"0")</f>
        <v>141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1.2158200000000001</v>
      </c>
      <c r="AA279" s="644"/>
      <c r="AB279" s="644"/>
      <c r="AC279" s="644"/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80"/>
      <c r="P280" s="659" t="s">
        <v>71</v>
      </c>
      <c r="Q280" s="660"/>
      <c r="R280" s="660"/>
      <c r="S280" s="660"/>
      <c r="T280" s="660"/>
      <c r="U280" s="660"/>
      <c r="V280" s="661"/>
      <c r="W280" s="37" t="s">
        <v>66</v>
      </c>
      <c r="X280" s="643">
        <f>IFERROR(SUM(X271:X278),"0")</f>
        <v>703</v>
      </c>
      <c r="Y280" s="643">
        <f>IFERROR(SUM(Y271:Y278),"0")</f>
        <v>711.00000000000011</v>
      </c>
      <c r="Z280" s="37"/>
      <c r="AA280" s="644"/>
      <c r="AB280" s="644"/>
      <c r="AC280" s="644"/>
    </row>
    <row r="281" spans="1:68" ht="14.25" hidden="1" customHeight="1" x14ac:dyDescent="0.25">
      <c r="A281" s="662" t="s">
        <v>73</v>
      </c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45">
        <v>4680115881594</v>
      </c>
      <c r="E282" s="646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48"/>
      <c r="R282" s="648"/>
      <c r="S282" s="648"/>
      <c r="T282" s="649"/>
      <c r="U282" s="34"/>
      <c r="V282" s="34"/>
      <c r="W282" s="35" t="s">
        <v>66</v>
      </c>
      <c r="X282" s="641">
        <v>169</v>
      </c>
      <c r="Y282" s="642">
        <f t="shared" ref="Y282:Y293" si="47">IFERROR(IF(X282="",0,CEILING((X282/$H282),1)*$H282),"")</f>
        <v>170.1</v>
      </c>
      <c r="Z282" s="36">
        <f>IFERROR(IF(Y282=0,"",ROUNDUP(Y282/H282,0)*0.01898),"")</f>
        <v>0.39857999999999999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179.30691358024691</v>
      </c>
      <c r="BN282" s="64">
        <f t="shared" ref="BN282:BN293" si="49">IFERROR(Y282*I282/H282,"0")</f>
        <v>180.47399999999999</v>
      </c>
      <c r="BO282" s="64">
        <f t="shared" ref="BO282:BO293" si="50">IFERROR(1/J282*(X282/H282),"0")</f>
        <v>0.32600308641975312</v>
      </c>
      <c r="BP282" s="64">
        <f t="shared" ref="BP282:BP293" si="51">IFERROR(1/J282*(Y282/H282),"0")</f>
        <v>0.328125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45">
        <v>4680115881617</v>
      </c>
      <c r="E283" s="646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48"/>
      <c r="R283" s="648"/>
      <c r="S283" s="648"/>
      <c r="T283" s="649"/>
      <c r="U283" s="34"/>
      <c r="V283" s="34"/>
      <c r="W283" s="35" t="s">
        <v>66</v>
      </c>
      <c r="X283" s="641">
        <v>322</v>
      </c>
      <c r="Y283" s="642">
        <f t="shared" si="47"/>
        <v>324</v>
      </c>
      <c r="Z283" s="36">
        <f>IFERROR(IF(Y283=0,"",ROUNDUP(Y283/H283,0)*0.01898),"")</f>
        <v>0.75919999999999999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340.92246913580249</v>
      </c>
      <c r="BN283" s="64">
        <f t="shared" si="49"/>
        <v>343.04</v>
      </c>
      <c r="BO283" s="64">
        <f t="shared" si="50"/>
        <v>0.62114197530864201</v>
      </c>
      <c r="BP283" s="64">
        <f t="shared" si="51"/>
        <v>0.625</v>
      </c>
    </row>
    <row r="284" spans="1:68" ht="27" customHeight="1" x14ac:dyDescent="0.25">
      <c r="A284" s="54" t="s">
        <v>464</v>
      </c>
      <c r="B284" s="54" t="s">
        <v>465</v>
      </c>
      <c r="C284" s="31">
        <v>4301051656</v>
      </c>
      <c r="D284" s="645">
        <v>4680115880573</v>
      </c>
      <c r="E284" s="646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48"/>
      <c r="R284" s="648"/>
      <c r="S284" s="648"/>
      <c r="T284" s="649"/>
      <c r="U284" s="34"/>
      <c r="V284" s="34"/>
      <c r="W284" s="35" t="s">
        <v>66</v>
      </c>
      <c r="X284" s="641">
        <v>72</v>
      </c>
      <c r="Y284" s="642">
        <f t="shared" si="47"/>
        <v>78.3</v>
      </c>
      <c r="Z284" s="36">
        <f>IFERROR(IF(Y284=0,"",ROUNDUP(Y284/H284,0)*0.01898),"")</f>
        <v>0.17082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76.088275862068983</v>
      </c>
      <c r="BN284" s="64">
        <f t="shared" si="49"/>
        <v>82.746000000000009</v>
      </c>
      <c r="BO284" s="64">
        <f t="shared" si="50"/>
        <v>0.12931034482758622</v>
      </c>
      <c r="BP284" s="64">
        <f t="shared" si="51"/>
        <v>0.140625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45">
        <v>4680115882195</v>
      </c>
      <c r="E285" s="646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48"/>
      <c r="R285" s="648"/>
      <c r="S285" s="648"/>
      <c r="T285" s="649"/>
      <c r="U285" s="34"/>
      <c r="V285" s="34"/>
      <c r="W285" s="35" t="s">
        <v>66</v>
      </c>
      <c r="X285" s="641">
        <v>275</v>
      </c>
      <c r="Y285" s="642">
        <f t="shared" si="47"/>
        <v>276</v>
      </c>
      <c r="Z285" s="36">
        <f>IFERROR(IF(Y285=0,"",ROUNDUP(Y285/H285,0)*0.00651),"")</f>
        <v>0.74865000000000004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305.9375</v>
      </c>
      <c r="BN285" s="64">
        <f t="shared" si="49"/>
        <v>307.05</v>
      </c>
      <c r="BO285" s="64">
        <f t="shared" si="50"/>
        <v>0.62957875457875467</v>
      </c>
      <c r="BP285" s="64">
        <f t="shared" si="51"/>
        <v>0.63186813186813195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45">
        <v>4680115882607</v>
      </c>
      <c r="E286" s="646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48"/>
      <c r="R286" s="648"/>
      <c r="S286" s="648"/>
      <c r="T286" s="649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45">
        <v>4680115882607</v>
      </c>
      <c r="E287" s="646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7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48"/>
      <c r="R287" s="648"/>
      <c r="S287" s="648"/>
      <c r="T287" s="649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45">
        <v>4680115880092</v>
      </c>
      <c r="E288" s="646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66</v>
      </c>
      <c r="X288" s="641">
        <v>1151</v>
      </c>
      <c r="Y288" s="642">
        <f t="shared" si="47"/>
        <v>1152</v>
      </c>
      <c r="Z288" s="36">
        <f>IFERROR(IF(Y288=0,"",ROUNDUP(Y288/H288,0)*0.00651),"")</f>
        <v>3.1248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1271.8550000000002</v>
      </c>
      <c r="BN288" s="64">
        <f t="shared" si="49"/>
        <v>1272.9600000000003</v>
      </c>
      <c r="BO288" s="64">
        <f t="shared" si="50"/>
        <v>2.6350732600732605</v>
      </c>
      <c r="BP288" s="64">
        <f t="shared" si="51"/>
        <v>2.6373626373626378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45">
        <v>4680115889064</v>
      </c>
      <c r="E289" s="646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48"/>
      <c r="R289" s="648"/>
      <c r="S289" s="648"/>
      <c r="T289" s="649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45">
        <v>4680115880221</v>
      </c>
      <c r="E290" s="646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66</v>
      </c>
      <c r="X290" s="641">
        <v>427</v>
      </c>
      <c r="Y290" s="642">
        <f t="shared" si="47"/>
        <v>427.2</v>
      </c>
      <c r="Z290" s="36">
        <f>IFERROR(IF(Y290=0,"",ROUNDUP(Y290/H290,0)*0.00651),"")</f>
        <v>1.1587799999999999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471.83500000000004</v>
      </c>
      <c r="BN290" s="64">
        <f t="shared" si="49"/>
        <v>472.05600000000004</v>
      </c>
      <c r="BO290" s="64">
        <f t="shared" si="50"/>
        <v>0.97756410256410275</v>
      </c>
      <c r="BP290" s="64">
        <f t="shared" si="51"/>
        <v>0.9780219780219781</v>
      </c>
    </row>
    <row r="291" spans="1:68" ht="27" customHeight="1" x14ac:dyDescent="0.25">
      <c r="A291" s="54" t="s">
        <v>480</v>
      </c>
      <c r="B291" s="54" t="s">
        <v>481</v>
      </c>
      <c r="C291" s="31">
        <v>4301051945</v>
      </c>
      <c r="D291" s="645">
        <v>4680115880504</v>
      </c>
      <c r="E291" s="646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48"/>
      <c r="R291" s="648"/>
      <c r="S291" s="648"/>
      <c r="T291" s="649"/>
      <c r="U291" s="34"/>
      <c r="V291" s="34"/>
      <c r="W291" s="35" t="s">
        <v>66</v>
      </c>
      <c r="X291" s="641">
        <v>33</v>
      </c>
      <c r="Y291" s="642">
        <f t="shared" si="47"/>
        <v>33.6</v>
      </c>
      <c r="Z291" s="36">
        <f>IFERROR(IF(Y291=0,"",ROUNDUP(Y291/H291,0)*0.00651),"")</f>
        <v>9.1139999999999999E-2</v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36.465000000000003</v>
      </c>
      <c r="BN291" s="64">
        <f t="shared" si="49"/>
        <v>37.128000000000007</v>
      </c>
      <c r="BO291" s="64">
        <f t="shared" si="50"/>
        <v>7.5549450549450559E-2</v>
      </c>
      <c r="BP291" s="64">
        <f t="shared" si="51"/>
        <v>7.6923076923076941E-2</v>
      </c>
    </row>
    <row r="292" spans="1:68" ht="27" customHeight="1" x14ac:dyDescent="0.25">
      <c r="A292" s="54" t="s">
        <v>483</v>
      </c>
      <c r="B292" s="54" t="s">
        <v>484</v>
      </c>
      <c r="C292" s="31">
        <v>4301051410</v>
      </c>
      <c r="D292" s="645">
        <v>4680115882164</v>
      </c>
      <c r="E292" s="646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48"/>
      <c r="R292" s="648"/>
      <c r="S292" s="648"/>
      <c r="T292" s="649"/>
      <c r="U292" s="34"/>
      <c r="V292" s="34"/>
      <c r="W292" s="35" t="s">
        <v>66</v>
      </c>
      <c r="X292" s="641">
        <v>154</v>
      </c>
      <c r="Y292" s="642">
        <f t="shared" si="47"/>
        <v>156</v>
      </c>
      <c r="Z292" s="36">
        <f>IFERROR(IF(Y292=0,"",ROUNDUP(Y292/H292,0)*0.00651),"")</f>
        <v>0.42315000000000003</v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170.55500000000001</v>
      </c>
      <c r="BN292" s="64">
        <f t="shared" si="49"/>
        <v>172.76999999999998</v>
      </c>
      <c r="BO292" s="64">
        <f t="shared" si="50"/>
        <v>0.35256410256410264</v>
      </c>
      <c r="BP292" s="64">
        <f t="shared" si="51"/>
        <v>0.35714285714285715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45">
        <v>4680115888340</v>
      </c>
      <c r="E293" s="646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9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9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80"/>
      <c r="P294" s="659" t="s">
        <v>71</v>
      </c>
      <c r="Q294" s="660"/>
      <c r="R294" s="660"/>
      <c r="S294" s="660"/>
      <c r="T294" s="660"/>
      <c r="U294" s="660"/>
      <c r="V294" s="661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918.89314601958279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922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6.8751199999999999</v>
      </c>
      <c r="AA294" s="644"/>
      <c r="AB294" s="644"/>
      <c r="AC294" s="644"/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80"/>
      <c r="P295" s="659" t="s">
        <v>71</v>
      </c>
      <c r="Q295" s="660"/>
      <c r="R295" s="660"/>
      <c r="S295" s="660"/>
      <c r="T295" s="660"/>
      <c r="U295" s="660"/>
      <c r="V295" s="661"/>
      <c r="W295" s="37" t="s">
        <v>66</v>
      </c>
      <c r="X295" s="643">
        <f>IFERROR(SUM(X282:X293),"0")</f>
        <v>2603</v>
      </c>
      <c r="Y295" s="643">
        <f>IFERROR(SUM(Y282:Y293),"0")</f>
        <v>2617.1999999999998</v>
      </c>
      <c r="Z295" s="37"/>
      <c r="AA295" s="644"/>
      <c r="AB295" s="644"/>
      <c r="AC295" s="644"/>
    </row>
    <row r="296" spans="1:68" ht="14.25" hidden="1" customHeight="1" x14ac:dyDescent="0.25">
      <c r="A296" s="662" t="s">
        <v>166</v>
      </c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A296" s="637"/>
      <c r="AB296" s="637"/>
      <c r="AC296" s="637"/>
    </row>
    <row r="297" spans="1:68" ht="27" customHeight="1" x14ac:dyDescent="0.25">
      <c r="A297" s="54" t="s">
        <v>489</v>
      </c>
      <c r="B297" s="54" t="s">
        <v>490</v>
      </c>
      <c r="C297" s="31">
        <v>4301060463</v>
      </c>
      <c r="D297" s="645">
        <v>4680115880818</v>
      </c>
      <c r="E297" s="646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48"/>
      <c r="R297" s="648"/>
      <c r="S297" s="648"/>
      <c r="T297" s="649"/>
      <c r="U297" s="34"/>
      <c r="V297" s="34"/>
      <c r="W297" s="35" t="s">
        <v>66</v>
      </c>
      <c r="X297" s="641">
        <v>7</v>
      </c>
      <c r="Y297" s="642">
        <f>IFERROR(IF(X297="",0,CEILING((X297/$H297),1)*$H297),"")</f>
        <v>7.1999999999999993</v>
      </c>
      <c r="Z297" s="36">
        <f>IFERROR(IF(Y297=0,"",ROUNDUP(Y297/H297,0)*0.00651),"")</f>
        <v>1.9529999999999999E-2</v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7.7350000000000003</v>
      </c>
      <c r="BN297" s="64">
        <f>IFERROR(Y297*I297/H297,"0")</f>
        <v>7.9560000000000004</v>
      </c>
      <c r="BO297" s="64">
        <f>IFERROR(1/J297*(X297/H297),"0")</f>
        <v>1.6025641025641028E-2</v>
      </c>
      <c r="BP297" s="64">
        <f>IFERROR(1/J297*(Y297/H297),"0")</f>
        <v>1.6483516483516484E-2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45">
        <v>4680115880801</v>
      </c>
      <c r="E298" s="646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9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80"/>
      <c r="P299" s="659" t="s">
        <v>71</v>
      </c>
      <c r="Q299" s="660"/>
      <c r="R299" s="660"/>
      <c r="S299" s="660"/>
      <c r="T299" s="660"/>
      <c r="U299" s="660"/>
      <c r="V299" s="661"/>
      <c r="W299" s="37" t="s">
        <v>72</v>
      </c>
      <c r="X299" s="643">
        <f>IFERROR(X297/H297,"0")+IFERROR(X298/H298,"0")</f>
        <v>2.916666666666667</v>
      </c>
      <c r="Y299" s="643">
        <f>IFERROR(Y297/H297,"0")+IFERROR(Y298/H298,"0")</f>
        <v>3</v>
      </c>
      <c r="Z299" s="643">
        <f>IFERROR(IF(Z297="",0,Z297),"0")+IFERROR(IF(Z298="",0,Z298),"0")</f>
        <v>1.9529999999999999E-2</v>
      </c>
      <c r="AA299" s="644"/>
      <c r="AB299" s="644"/>
      <c r="AC299" s="644"/>
    </row>
    <row r="300" spans="1:68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80"/>
      <c r="P300" s="659" t="s">
        <v>71</v>
      </c>
      <c r="Q300" s="660"/>
      <c r="R300" s="660"/>
      <c r="S300" s="660"/>
      <c r="T300" s="660"/>
      <c r="U300" s="660"/>
      <c r="V300" s="661"/>
      <c r="W300" s="37" t="s">
        <v>66</v>
      </c>
      <c r="X300" s="643">
        <f>IFERROR(SUM(X297:X298),"0")</f>
        <v>7</v>
      </c>
      <c r="Y300" s="643">
        <f>IFERROR(SUM(Y297:Y298),"0")</f>
        <v>7.1999999999999993</v>
      </c>
      <c r="Z300" s="37"/>
      <c r="AA300" s="644"/>
      <c r="AB300" s="644"/>
      <c r="AC300" s="644"/>
    </row>
    <row r="301" spans="1:68" ht="16.5" hidden="1" customHeight="1" x14ac:dyDescent="0.25">
      <c r="A301" s="669" t="s">
        <v>495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A301" s="636"/>
      <c r="AB301" s="636"/>
      <c r="AC301" s="636"/>
    </row>
    <row r="302" spans="1:68" ht="14.25" hidden="1" customHeight="1" x14ac:dyDescent="0.25">
      <c r="A302" s="662" t="s">
        <v>110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37"/>
      <c r="AB302" s="637"/>
      <c r="AC302" s="637"/>
    </row>
    <row r="303" spans="1:68" ht="27" customHeight="1" x14ac:dyDescent="0.25">
      <c r="A303" s="54" t="s">
        <v>496</v>
      </c>
      <c r="B303" s="54" t="s">
        <v>497</v>
      </c>
      <c r="C303" s="31">
        <v>4301011826</v>
      </c>
      <c r="D303" s="645">
        <v>4680115884137</v>
      </c>
      <c r="E303" s="646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66</v>
      </c>
      <c r="X303" s="641">
        <v>127</v>
      </c>
      <c r="Y303" s="642">
        <f t="shared" ref="Y303:Y309" si="52">IFERROR(IF(X303="",0,CEILING((X303/$H303),1)*$H303),"")</f>
        <v>127.6</v>
      </c>
      <c r="Z303" s="36">
        <f>IFERROR(IF(Y303=0,"",ROUNDUP(Y303/H303,0)*0.01898),"")</f>
        <v>0.20877999999999999</v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131.48879310344827</v>
      </c>
      <c r="BN303" s="64">
        <f t="shared" ref="BN303:BN309" si="54">IFERROR(Y303*I303/H303,"0")</f>
        <v>132.10999999999999</v>
      </c>
      <c r="BO303" s="64">
        <f t="shared" ref="BO303:BO309" si="55">IFERROR(1/J303*(X303/H303),"0")</f>
        <v>0.1710668103448276</v>
      </c>
      <c r="BP303" s="64">
        <f t="shared" ref="BP303:BP309" si="56">IFERROR(1/J303*(Y303/H303),"0")</f>
        <v>0.171875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45">
        <v>4680115884236</v>
      </c>
      <c r="E304" s="646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45">
        <v>4680115884175</v>
      </c>
      <c r="E305" s="646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45">
        <v>4680115884144</v>
      </c>
      <c r="E306" s="646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48"/>
      <c r="R306" s="648"/>
      <c r="S306" s="648"/>
      <c r="T306" s="649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45">
        <v>4680115886551</v>
      </c>
      <c r="E307" s="646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48"/>
      <c r="R307" s="648"/>
      <c r="S307" s="648"/>
      <c r="T307" s="649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45">
        <v>4680115887282</v>
      </c>
      <c r="E308" s="646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customHeight="1" x14ac:dyDescent="0.25">
      <c r="A309" s="54" t="s">
        <v>512</v>
      </c>
      <c r="B309" s="54" t="s">
        <v>513</v>
      </c>
      <c r="C309" s="31">
        <v>4301011722</v>
      </c>
      <c r="D309" s="645">
        <v>4680115884205</v>
      </c>
      <c r="E309" s="646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48"/>
      <c r="R309" s="648"/>
      <c r="S309" s="648"/>
      <c r="T309" s="649"/>
      <c r="U309" s="34"/>
      <c r="V309" s="34"/>
      <c r="W309" s="35" t="s">
        <v>66</v>
      </c>
      <c r="X309" s="641">
        <v>18</v>
      </c>
      <c r="Y309" s="642">
        <f t="shared" si="52"/>
        <v>20</v>
      </c>
      <c r="Z309" s="36">
        <f>IFERROR(IF(Y309=0,"",ROUNDUP(Y309/H309,0)*0.00902),"")</f>
        <v>4.5100000000000001E-2</v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18.855</v>
      </c>
      <c r="BN309" s="64">
        <f t="shared" si="54"/>
        <v>20.950000000000003</v>
      </c>
      <c r="BO309" s="64">
        <f t="shared" si="55"/>
        <v>3.4090909090909088E-2</v>
      </c>
      <c r="BP309" s="64">
        <f t="shared" si="56"/>
        <v>3.787878787878788E-2</v>
      </c>
    </row>
    <row r="310" spans="1:68" x14ac:dyDescent="0.2">
      <c r="A310" s="679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80"/>
      <c r="P310" s="659" t="s">
        <v>71</v>
      </c>
      <c r="Q310" s="660"/>
      <c r="R310" s="660"/>
      <c r="S310" s="660"/>
      <c r="T310" s="660"/>
      <c r="U310" s="660"/>
      <c r="V310" s="661"/>
      <c r="W310" s="37" t="s">
        <v>72</v>
      </c>
      <c r="X310" s="643">
        <f>IFERROR(X303/H303,"0")+IFERROR(X304/H304,"0")+IFERROR(X305/H305,"0")+IFERROR(X306/H306,"0")+IFERROR(X307/H307,"0")+IFERROR(X308/H308,"0")+IFERROR(X309/H309,"0")</f>
        <v>15.448275862068966</v>
      </c>
      <c r="Y310" s="643">
        <f>IFERROR(Y303/H303,"0")+IFERROR(Y304/H304,"0")+IFERROR(Y305/H305,"0")+IFERROR(Y306/H306,"0")+IFERROR(Y307/H307,"0")+IFERROR(Y308/H308,"0")+IFERROR(Y309/H309,"0")</f>
        <v>16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0.25387999999999999</v>
      </c>
      <c r="AA310" s="644"/>
      <c r="AB310" s="644"/>
      <c r="AC310" s="644"/>
    </row>
    <row r="311" spans="1:68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80"/>
      <c r="P311" s="659" t="s">
        <v>71</v>
      </c>
      <c r="Q311" s="660"/>
      <c r="R311" s="660"/>
      <c r="S311" s="660"/>
      <c r="T311" s="660"/>
      <c r="U311" s="660"/>
      <c r="V311" s="661"/>
      <c r="W311" s="37" t="s">
        <v>66</v>
      </c>
      <c r="X311" s="643">
        <f>IFERROR(SUM(X303:X309),"0")</f>
        <v>145</v>
      </c>
      <c r="Y311" s="643">
        <f>IFERROR(SUM(Y303:Y309),"0")</f>
        <v>147.6</v>
      </c>
      <c r="Z311" s="37"/>
      <c r="AA311" s="644"/>
      <c r="AB311" s="644"/>
      <c r="AC311" s="644"/>
    </row>
    <row r="312" spans="1:68" ht="14.25" hidden="1" customHeight="1" x14ac:dyDescent="0.25">
      <c r="A312" s="662" t="s">
        <v>147</v>
      </c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45">
        <v>4680115885981</v>
      </c>
      <c r="E313" s="646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48"/>
      <c r="R313" s="648"/>
      <c r="S313" s="648"/>
      <c r="T313" s="649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9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80"/>
      <c r="P314" s="659" t="s">
        <v>71</v>
      </c>
      <c r="Q314" s="660"/>
      <c r="R314" s="660"/>
      <c r="S314" s="660"/>
      <c r="T314" s="660"/>
      <c r="U314" s="660"/>
      <c r="V314" s="661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80"/>
      <c r="P315" s="659" t="s">
        <v>71</v>
      </c>
      <c r="Q315" s="660"/>
      <c r="R315" s="660"/>
      <c r="S315" s="660"/>
      <c r="T315" s="660"/>
      <c r="U315" s="660"/>
      <c r="V315" s="661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62" t="s">
        <v>517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45">
        <v>4680115886803</v>
      </c>
      <c r="E317" s="646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48"/>
      <c r="R317" s="648"/>
      <c r="S317" s="648"/>
      <c r="T317" s="649"/>
      <c r="U317" s="34"/>
      <c r="V317" s="34"/>
      <c r="W317" s="35" t="s">
        <v>66</v>
      </c>
      <c r="X317" s="641">
        <v>7</v>
      </c>
      <c r="Y317" s="642">
        <f>IFERROR(IF(X317="",0,CEILING((X317/$H317),1)*$H317),"")</f>
        <v>7.2</v>
      </c>
      <c r="Z317" s="36">
        <f>IFERROR(IF(Y317=0,"",ROUNDUP(Y317/H317,0)*0.0059),"")</f>
        <v>2.3599999999999999E-2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7.6805555555555562</v>
      </c>
      <c r="BN317" s="64">
        <f>IFERROR(Y317*I317/H317,"0")</f>
        <v>7.9</v>
      </c>
      <c r="BO317" s="64">
        <f>IFERROR(1/J317*(X317/H317),"0")</f>
        <v>1.8004115226337446E-2</v>
      </c>
      <c r="BP317" s="64">
        <f>IFERROR(1/J317*(Y317/H317),"0")</f>
        <v>1.8518518518518517E-2</v>
      </c>
    </row>
    <row r="318" spans="1:68" x14ac:dyDescent="0.2">
      <c r="A318" s="679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80"/>
      <c r="P318" s="659" t="s">
        <v>71</v>
      </c>
      <c r="Q318" s="660"/>
      <c r="R318" s="660"/>
      <c r="S318" s="660"/>
      <c r="T318" s="660"/>
      <c r="U318" s="660"/>
      <c r="V318" s="661"/>
      <c r="W318" s="37" t="s">
        <v>72</v>
      </c>
      <c r="X318" s="643">
        <f>IFERROR(X317/H317,"0")</f>
        <v>3.8888888888888888</v>
      </c>
      <c r="Y318" s="643">
        <f>IFERROR(Y317/H317,"0")</f>
        <v>4</v>
      </c>
      <c r="Z318" s="643">
        <f>IFERROR(IF(Z317="",0,Z317),"0")</f>
        <v>2.3599999999999999E-2</v>
      </c>
      <c r="AA318" s="644"/>
      <c r="AB318" s="644"/>
      <c r="AC318" s="644"/>
    </row>
    <row r="319" spans="1:68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80"/>
      <c r="P319" s="659" t="s">
        <v>71</v>
      </c>
      <c r="Q319" s="660"/>
      <c r="R319" s="660"/>
      <c r="S319" s="660"/>
      <c r="T319" s="660"/>
      <c r="U319" s="660"/>
      <c r="V319" s="661"/>
      <c r="W319" s="37" t="s">
        <v>66</v>
      </c>
      <c r="X319" s="643">
        <f>IFERROR(SUM(X317:X317),"0")</f>
        <v>7</v>
      </c>
      <c r="Y319" s="643">
        <f>IFERROR(SUM(Y317:Y317),"0")</f>
        <v>7.2</v>
      </c>
      <c r="Z319" s="37"/>
      <c r="AA319" s="644"/>
      <c r="AB319" s="644"/>
      <c r="AC319" s="644"/>
    </row>
    <row r="320" spans="1:68" ht="14.25" hidden="1" customHeight="1" x14ac:dyDescent="0.25">
      <c r="A320" s="662" t="s">
        <v>330</v>
      </c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/>
      <c r="Z320" s="663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45">
        <v>4680115886681</v>
      </c>
      <c r="E321" s="646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48"/>
      <c r="R321" s="648"/>
      <c r="S321" s="648"/>
      <c r="T321" s="649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9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80"/>
      <c r="P322" s="659" t="s">
        <v>71</v>
      </c>
      <c r="Q322" s="660"/>
      <c r="R322" s="660"/>
      <c r="S322" s="660"/>
      <c r="T322" s="660"/>
      <c r="U322" s="660"/>
      <c r="V322" s="661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80"/>
      <c r="P323" s="659" t="s">
        <v>71</v>
      </c>
      <c r="Q323" s="660"/>
      <c r="R323" s="660"/>
      <c r="S323" s="660"/>
      <c r="T323" s="660"/>
      <c r="U323" s="660"/>
      <c r="V323" s="661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9" t="s">
        <v>524</v>
      </c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3"/>
      <c r="P324" s="663"/>
      <c r="Q324" s="663"/>
      <c r="R324" s="663"/>
      <c r="S324" s="663"/>
      <c r="T324" s="663"/>
      <c r="U324" s="663"/>
      <c r="V324" s="663"/>
      <c r="W324" s="663"/>
      <c r="X324" s="663"/>
      <c r="Y324" s="663"/>
      <c r="Z324" s="663"/>
      <c r="AA324" s="636"/>
      <c r="AB324" s="636"/>
      <c r="AC324" s="636"/>
    </row>
    <row r="325" spans="1:68" ht="14.25" hidden="1" customHeight="1" x14ac:dyDescent="0.25">
      <c r="A325" s="662" t="s">
        <v>110</v>
      </c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P325" s="663"/>
      <c r="Q325" s="663"/>
      <c r="R325" s="663"/>
      <c r="S325" s="663"/>
      <c r="T325" s="663"/>
      <c r="U325" s="663"/>
      <c r="V325" s="663"/>
      <c r="W325" s="663"/>
      <c r="X325" s="663"/>
      <c r="Y325" s="663"/>
      <c r="Z325" s="663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45">
        <v>4680115885837</v>
      </c>
      <c r="E326" s="646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45">
        <v>4680115889637</v>
      </c>
      <c r="E327" s="646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45">
        <v>4680115887237</v>
      </c>
      <c r="E328" s="646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45">
        <v>4680115885806</v>
      </c>
      <c r="E329" s="646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45">
        <v>4680115885844</v>
      </c>
      <c r="E330" s="646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45">
        <v>4680115885820</v>
      </c>
      <c r="E331" s="646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48"/>
      <c r="R331" s="648"/>
      <c r="S331" s="648"/>
      <c r="T331" s="649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9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80"/>
      <c r="P332" s="659" t="s">
        <v>71</v>
      </c>
      <c r="Q332" s="660"/>
      <c r="R332" s="660"/>
      <c r="S332" s="660"/>
      <c r="T332" s="660"/>
      <c r="U332" s="660"/>
      <c r="V332" s="661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80"/>
      <c r="P333" s="659" t="s">
        <v>71</v>
      </c>
      <c r="Q333" s="660"/>
      <c r="R333" s="660"/>
      <c r="S333" s="660"/>
      <c r="T333" s="660"/>
      <c r="U333" s="660"/>
      <c r="V333" s="661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69" t="s">
        <v>543</v>
      </c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3"/>
      <c r="P334" s="663"/>
      <c r="Q334" s="663"/>
      <c r="R334" s="663"/>
      <c r="S334" s="663"/>
      <c r="T334" s="663"/>
      <c r="U334" s="663"/>
      <c r="V334" s="663"/>
      <c r="W334" s="663"/>
      <c r="X334" s="663"/>
      <c r="Y334" s="663"/>
      <c r="Z334" s="663"/>
      <c r="AA334" s="636"/>
      <c r="AB334" s="636"/>
      <c r="AC334" s="636"/>
    </row>
    <row r="335" spans="1:68" ht="14.25" hidden="1" customHeight="1" x14ac:dyDescent="0.25">
      <c r="A335" s="662" t="s">
        <v>73</v>
      </c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3"/>
      <c r="P335" s="663"/>
      <c r="Q335" s="663"/>
      <c r="R335" s="663"/>
      <c r="S335" s="663"/>
      <c r="T335" s="663"/>
      <c r="U335" s="663"/>
      <c r="V335" s="663"/>
      <c r="W335" s="663"/>
      <c r="X335" s="663"/>
      <c r="Y335" s="663"/>
      <c r="Z335" s="663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45">
        <v>4680115886186</v>
      </c>
      <c r="E336" s="646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4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48"/>
      <c r="R336" s="648"/>
      <c r="S336" s="648"/>
      <c r="T336" s="649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4301051795</v>
      </c>
      <c r="D337" s="645">
        <v>4680115881228</v>
      </c>
      <c r="E337" s="646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7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48"/>
      <c r="R337" s="648"/>
      <c r="S337" s="648"/>
      <c r="T337" s="649"/>
      <c r="U337" s="34"/>
      <c r="V337" s="34"/>
      <c r="W337" s="35" t="s">
        <v>66</v>
      </c>
      <c r="X337" s="641">
        <v>77</v>
      </c>
      <c r="Y337" s="642">
        <f>IFERROR(IF(X337="",0,CEILING((X337/$H337),1)*$H337),"")</f>
        <v>79.2</v>
      </c>
      <c r="Z337" s="36">
        <f>IFERROR(IF(Y337=0,"",ROUNDUP(Y337/H337,0)*0.00651),"")</f>
        <v>0.21482999999999999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85.085000000000008</v>
      </c>
      <c r="BN337" s="64">
        <f>IFERROR(Y337*I337/H337,"0")</f>
        <v>87.51600000000002</v>
      </c>
      <c r="BO337" s="64">
        <f>IFERROR(1/J337*(X337/H337),"0")</f>
        <v>0.17628205128205132</v>
      </c>
      <c r="BP337" s="64">
        <f>IFERROR(1/J337*(Y337/H337),"0")</f>
        <v>0.18131868131868134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45">
        <v>4680115881211</v>
      </c>
      <c r="E338" s="646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48"/>
      <c r="R338" s="648"/>
      <c r="S338" s="648"/>
      <c r="T338" s="649"/>
      <c r="U338" s="34"/>
      <c r="V338" s="34"/>
      <c r="W338" s="35" t="s">
        <v>66</v>
      </c>
      <c r="X338" s="641">
        <v>40</v>
      </c>
      <c r="Y338" s="642">
        <f>IFERROR(IF(X338="",0,CEILING((X338/$H338),1)*$H338),"")</f>
        <v>40.799999999999997</v>
      </c>
      <c r="Z338" s="36">
        <f>IFERROR(IF(Y338=0,"",ROUNDUP(Y338/H338,0)*0.00651),"")</f>
        <v>0.11067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43</v>
      </c>
      <c r="BN338" s="64">
        <f>IFERROR(Y338*I338/H338,"0")</f>
        <v>43.86</v>
      </c>
      <c r="BO338" s="64">
        <f>IFERROR(1/J338*(X338/H338),"0")</f>
        <v>9.1575091575091583E-2</v>
      </c>
      <c r="BP338" s="64">
        <f>IFERROR(1/J338*(Y338/H338),"0")</f>
        <v>9.3406593406593408E-2</v>
      </c>
    </row>
    <row r="339" spans="1:68" x14ac:dyDescent="0.2">
      <c r="A339" s="679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80"/>
      <c r="P339" s="659" t="s">
        <v>71</v>
      </c>
      <c r="Q339" s="660"/>
      <c r="R339" s="660"/>
      <c r="S339" s="660"/>
      <c r="T339" s="660"/>
      <c r="U339" s="660"/>
      <c r="V339" s="661"/>
      <c r="W339" s="37" t="s">
        <v>72</v>
      </c>
      <c r="X339" s="643">
        <f>IFERROR(X336/H336,"0")+IFERROR(X337/H337,"0")+IFERROR(X338/H338,"0")</f>
        <v>48.75</v>
      </c>
      <c r="Y339" s="643">
        <f>IFERROR(Y336/H336,"0")+IFERROR(Y337/H337,"0")+IFERROR(Y338/H338,"0")</f>
        <v>50</v>
      </c>
      <c r="Z339" s="643">
        <f>IFERROR(IF(Z336="",0,Z336),"0")+IFERROR(IF(Z337="",0,Z337),"0")+IFERROR(IF(Z338="",0,Z338),"0")</f>
        <v>0.32550000000000001</v>
      </c>
      <c r="AA339" s="644"/>
      <c r="AB339" s="644"/>
      <c r="AC339" s="644"/>
    </row>
    <row r="340" spans="1:68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80"/>
      <c r="P340" s="659" t="s">
        <v>71</v>
      </c>
      <c r="Q340" s="660"/>
      <c r="R340" s="660"/>
      <c r="S340" s="660"/>
      <c r="T340" s="660"/>
      <c r="U340" s="660"/>
      <c r="V340" s="661"/>
      <c r="W340" s="37" t="s">
        <v>66</v>
      </c>
      <c r="X340" s="643">
        <f>IFERROR(SUM(X336:X338),"0")</f>
        <v>117</v>
      </c>
      <c r="Y340" s="643">
        <f>IFERROR(SUM(Y336:Y338),"0")</f>
        <v>120</v>
      </c>
      <c r="Z340" s="37"/>
      <c r="AA340" s="644"/>
      <c r="AB340" s="644"/>
      <c r="AC340" s="644"/>
    </row>
    <row r="341" spans="1:68" ht="16.5" hidden="1" customHeight="1" x14ac:dyDescent="0.25">
      <c r="A341" s="669" t="s">
        <v>552</v>
      </c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3"/>
      <c r="P341" s="663"/>
      <c r="Q341" s="663"/>
      <c r="R341" s="663"/>
      <c r="S341" s="663"/>
      <c r="T341" s="663"/>
      <c r="U341" s="663"/>
      <c r="V341" s="663"/>
      <c r="W341" s="663"/>
      <c r="X341" s="663"/>
      <c r="Y341" s="663"/>
      <c r="Z341" s="663"/>
      <c r="AA341" s="636"/>
      <c r="AB341" s="636"/>
      <c r="AC341" s="636"/>
    </row>
    <row r="342" spans="1:68" ht="14.25" hidden="1" customHeight="1" x14ac:dyDescent="0.25">
      <c r="A342" s="662" t="s">
        <v>61</v>
      </c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3"/>
      <c r="P342" s="663"/>
      <c r="Q342" s="663"/>
      <c r="R342" s="663"/>
      <c r="S342" s="663"/>
      <c r="T342" s="663"/>
      <c r="U342" s="663"/>
      <c r="V342" s="663"/>
      <c r="W342" s="663"/>
      <c r="X342" s="663"/>
      <c r="Y342" s="663"/>
      <c r="Z342" s="663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45">
        <v>4680115888319</v>
      </c>
      <c r="E343" s="646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48"/>
      <c r="R343" s="648"/>
      <c r="S343" s="648"/>
      <c r="T343" s="649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45">
        <v>4680115884700</v>
      </c>
      <c r="E344" s="646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48"/>
      <c r="R344" s="648"/>
      <c r="S344" s="648"/>
      <c r="T344" s="649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45">
        <v>4680115880344</v>
      </c>
      <c r="E345" s="646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48"/>
      <c r="R345" s="648"/>
      <c r="S345" s="648"/>
      <c r="T345" s="649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45">
        <v>4680115886919</v>
      </c>
      <c r="E346" s="646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48"/>
      <c r="R346" s="648"/>
      <c r="S346" s="648"/>
      <c r="T346" s="649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9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80"/>
      <c r="P347" s="659" t="s">
        <v>71</v>
      </c>
      <c r="Q347" s="660"/>
      <c r="R347" s="660"/>
      <c r="S347" s="660"/>
      <c r="T347" s="660"/>
      <c r="U347" s="660"/>
      <c r="V347" s="661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80"/>
      <c r="P348" s="659" t="s">
        <v>71</v>
      </c>
      <c r="Q348" s="660"/>
      <c r="R348" s="660"/>
      <c r="S348" s="660"/>
      <c r="T348" s="660"/>
      <c r="U348" s="660"/>
      <c r="V348" s="661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62" t="s">
        <v>73</v>
      </c>
      <c r="B349" s="663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N349" s="663"/>
      <c r="O349" s="663"/>
      <c r="P349" s="663"/>
      <c r="Q349" s="663"/>
      <c r="R349" s="663"/>
      <c r="S349" s="663"/>
      <c r="T349" s="663"/>
      <c r="U349" s="663"/>
      <c r="V349" s="663"/>
      <c r="W349" s="663"/>
      <c r="X349" s="663"/>
      <c r="Y349" s="663"/>
      <c r="Z349" s="663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45">
        <v>4680115884618</v>
      </c>
      <c r="E350" s="646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45">
        <v>4680115887114</v>
      </c>
      <c r="E351" s="646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9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80"/>
      <c r="P352" s="659" t="s">
        <v>71</v>
      </c>
      <c r="Q352" s="660"/>
      <c r="R352" s="660"/>
      <c r="S352" s="660"/>
      <c r="T352" s="660"/>
      <c r="U352" s="660"/>
      <c r="V352" s="661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80"/>
      <c r="P353" s="659" t="s">
        <v>71</v>
      </c>
      <c r="Q353" s="660"/>
      <c r="R353" s="660"/>
      <c r="S353" s="660"/>
      <c r="T353" s="660"/>
      <c r="U353" s="660"/>
      <c r="V353" s="661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9" t="s">
        <v>571</v>
      </c>
      <c r="B354" s="663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N354" s="663"/>
      <c r="O354" s="663"/>
      <c r="P354" s="663"/>
      <c r="Q354" s="663"/>
      <c r="R354" s="663"/>
      <c r="S354" s="663"/>
      <c r="T354" s="663"/>
      <c r="U354" s="663"/>
      <c r="V354" s="663"/>
      <c r="W354" s="663"/>
      <c r="X354" s="663"/>
      <c r="Y354" s="663"/>
      <c r="Z354" s="663"/>
      <c r="AA354" s="636"/>
      <c r="AB354" s="636"/>
      <c r="AC354" s="636"/>
    </row>
    <row r="355" spans="1:68" ht="14.25" hidden="1" customHeight="1" x14ac:dyDescent="0.25">
      <c r="A355" s="662" t="s">
        <v>110</v>
      </c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3"/>
      <c r="P355" s="663"/>
      <c r="Q355" s="663"/>
      <c r="R355" s="663"/>
      <c r="S355" s="663"/>
      <c r="T355" s="663"/>
      <c r="U355" s="663"/>
      <c r="V355" s="663"/>
      <c r="W355" s="663"/>
      <c r="X355" s="663"/>
      <c r="Y355" s="663"/>
      <c r="Z355" s="663"/>
      <c r="AA355" s="637"/>
      <c r="AB355" s="637"/>
      <c r="AC355" s="637"/>
    </row>
    <row r="356" spans="1:68" ht="27" hidden="1" customHeight="1" x14ac:dyDescent="0.25">
      <c r="A356" s="54" t="s">
        <v>572</v>
      </c>
      <c r="B356" s="54" t="s">
        <v>573</v>
      </c>
      <c r="C356" s="31">
        <v>4301012324</v>
      </c>
      <c r="D356" s="645">
        <v>4680115887947</v>
      </c>
      <c r="E356" s="646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66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574</v>
      </c>
      <c r="B357" s="54" t="s">
        <v>575</v>
      </c>
      <c r="C357" s="31">
        <v>4301012325</v>
      </c>
      <c r="D357" s="645">
        <v>4680115887978</v>
      </c>
      <c r="E357" s="646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7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66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45">
        <v>4680115887992</v>
      </c>
      <c r="E358" s="646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80"/>
      <c r="P359" s="659" t="s">
        <v>71</v>
      </c>
      <c r="Q359" s="660"/>
      <c r="R359" s="660"/>
      <c r="S359" s="660"/>
      <c r="T359" s="660"/>
      <c r="U359" s="660"/>
      <c r="V359" s="661"/>
      <c r="W359" s="37" t="s">
        <v>72</v>
      </c>
      <c r="X359" s="643">
        <f>IFERROR(X356/H356,"0")+IFERROR(X357/H357,"0")+IFERROR(X358/H358,"0")</f>
        <v>0</v>
      </c>
      <c r="Y359" s="643">
        <f>IFERROR(Y356/H356,"0")+IFERROR(Y357/H357,"0")+IFERROR(Y358/H358,"0")</f>
        <v>0</v>
      </c>
      <c r="Z359" s="643">
        <f>IFERROR(IF(Z356="",0,Z356),"0")+IFERROR(IF(Z357="",0,Z357),"0")+IFERROR(IF(Z358="",0,Z358),"0")</f>
        <v>0</v>
      </c>
      <c r="AA359" s="644"/>
      <c r="AB359" s="644"/>
      <c r="AC359" s="644"/>
    </row>
    <row r="360" spans="1:68" hidden="1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80"/>
      <c r="P360" s="659" t="s">
        <v>71</v>
      </c>
      <c r="Q360" s="660"/>
      <c r="R360" s="660"/>
      <c r="S360" s="660"/>
      <c r="T360" s="660"/>
      <c r="U360" s="660"/>
      <c r="V360" s="661"/>
      <c r="W360" s="37" t="s">
        <v>66</v>
      </c>
      <c r="X360" s="643">
        <f>IFERROR(SUM(X356:X358),"0")</f>
        <v>0</v>
      </c>
      <c r="Y360" s="643">
        <f>IFERROR(SUM(Y356:Y358),"0")</f>
        <v>0</v>
      </c>
      <c r="Z360" s="37"/>
      <c r="AA360" s="644"/>
      <c r="AB360" s="644"/>
      <c r="AC360" s="644"/>
    </row>
    <row r="361" spans="1:68" ht="16.5" hidden="1" customHeight="1" x14ac:dyDescent="0.25">
      <c r="A361" s="669" t="s">
        <v>580</v>
      </c>
      <c r="B361" s="663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N361" s="663"/>
      <c r="O361" s="663"/>
      <c r="P361" s="663"/>
      <c r="Q361" s="663"/>
      <c r="R361" s="663"/>
      <c r="S361" s="663"/>
      <c r="T361" s="663"/>
      <c r="U361" s="663"/>
      <c r="V361" s="663"/>
      <c r="W361" s="663"/>
      <c r="X361" s="663"/>
      <c r="Y361" s="663"/>
      <c r="Z361" s="663"/>
      <c r="AA361" s="636"/>
      <c r="AB361" s="636"/>
      <c r="AC361" s="636"/>
    </row>
    <row r="362" spans="1:68" ht="14.25" hidden="1" customHeight="1" x14ac:dyDescent="0.25">
      <c r="A362" s="662" t="s">
        <v>110</v>
      </c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3"/>
      <c r="P362" s="663"/>
      <c r="Q362" s="663"/>
      <c r="R362" s="663"/>
      <c r="S362" s="663"/>
      <c r="T362" s="663"/>
      <c r="U362" s="663"/>
      <c r="V362" s="663"/>
      <c r="W362" s="663"/>
      <c r="X362" s="663"/>
      <c r="Y362" s="663"/>
      <c r="Z362" s="663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45">
        <v>4680115889293</v>
      </c>
      <c r="E363" s="646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101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45">
        <v>4680115887190</v>
      </c>
      <c r="E364" s="646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45">
        <v>4680115889880</v>
      </c>
      <c r="E365" s="646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94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customHeight="1" x14ac:dyDescent="0.25">
      <c r="A366" s="54" t="s">
        <v>589</v>
      </c>
      <c r="B366" s="54" t="s">
        <v>590</v>
      </c>
      <c r="C366" s="31">
        <v>4301012233</v>
      </c>
      <c r="D366" s="645">
        <v>4680115887138</v>
      </c>
      <c r="E366" s="646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66</v>
      </c>
      <c r="X366" s="641">
        <v>5</v>
      </c>
      <c r="Y366" s="642">
        <f t="shared" si="62"/>
        <v>10.8</v>
      </c>
      <c r="Z366" s="36">
        <f>IFERROR(IF(Y366=0,"",ROUNDUP(Y366/H366,0)*0.01898),"")</f>
        <v>1.898E-2</v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5.1898148148148149</v>
      </c>
      <c r="BN366" s="64">
        <f t="shared" si="64"/>
        <v>11.21</v>
      </c>
      <c r="BO366" s="64">
        <f t="shared" si="65"/>
        <v>7.2337962962962955E-3</v>
      </c>
      <c r="BP366" s="64">
        <f t="shared" si="66"/>
        <v>1.5625E-2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45">
        <v>4680115885554</v>
      </c>
      <c r="E367" s="646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45">
        <v>4680115887220</v>
      </c>
      <c r="E368" s="646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9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48"/>
      <c r="R368" s="648"/>
      <c r="S368" s="648"/>
      <c r="T368" s="649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45">
        <v>4680115885608</v>
      </c>
      <c r="E369" s="646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48"/>
      <c r="R369" s="648"/>
      <c r="S369" s="648"/>
      <c r="T369" s="649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x14ac:dyDescent="0.2">
      <c r="A370" s="679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80"/>
      <c r="P370" s="659" t="s">
        <v>71</v>
      </c>
      <c r="Q370" s="660"/>
      <c r="R370" s="660"/>
      <c r="S370" s="660"/>
      <c r="T370" s="660"/>
      <c r="U370" s="660"/>
      <c r="V370" s="661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0.46296296296296291</v>
      </c>
      <c r="Y370" s="643">
        <f>IFERROR(Y363/H363,"0")+IFERROR(Y364/H364,"0")+IFERROR(Y365/H365,"0")+IFERROR(Y366/H366,"0")+IFERROR(Y367/H367,"0")+IFERROR(Y368/H368,"0")+IFERROR(Y369/H369,"0")</f>
        <v>1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1.898E-2</v>
      </c>
      <c r="AA370" s="644"/>
      <c r="AB370" s="644"/>
      <c r="AC370" s="644"/>
    </row>
    <row r="371" spans="1:68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80"/>
      <c r="P371" s="659" t="s">
        <v>71</v>
      </c>
      <c r="Q371" s="660"/>
      <c r="R371" s="660"/>
      <c r="S371" s="660"/>
      <c r="T371" s="660"/>
      <c r="U371" s="660"/>
      <c r="V371" s="661"/>
      <c r="W371" s="37" t="s">
        <v>66</v>
      </c>
      <c r="X371" s="643">
        <f>IFERROR(SUM(X363:X369),"0")</f>
        <v>5</v>
      </c>
      <c r="Y371" s="643">
        <f>IFERROR(SUM(Y363:Y369),"0")</f>
        <v>10.8</v>
      </c>
      <c r="Z371" s="37"/>
      <c r="AA371" s="644"/>
      <c r="AB371" s="644"/>
      <c r="AC371" s="644"/>
    </row>
    <row r="372" spans="1:68" ht="14.25" hidden="1" customHeight="1" x14ac:dyDescent="0.25">
      <c r="A372" s="662" t="s">
        <v>61</v>
      </c>
      <c r="B372" s="663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N372" s="663"/>
      <c r="O372" s="663"/>
      <c r="P372" s="663"/>
      <c r="Q372" s="663"/>
      <c r="R372" s="663"/>
      <c r="S372" s="663"/>
      <c r="T372" s="663"/>
      <c r="U372" s="663"/>
      <c r="V372" s="663"/>
      <c r="W372" s="663"/>
      <c r="X372" s="663"/>
      <c r="Y372" s="663"/>
      <c r="Z372" s="663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45">
        <v>4607091387193</v>
      </c>
      <c r="E373" s="646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customHeight="1" x14ac:dyDescent="0.25">
      <c r="A374" s="54" t="s">
        <v>603</v>
      </c>
      <c r="B374" s="54" t="s">
        <v>604</v>
      </c>
      <c r="C374" s="31">
        <v>4301031153</v>
      </c>
      <c r="D374" s="645">
        <v>4607091387230</v>
      </c>
      <c r="E374" s="646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66</v>
      </c>
      <c r="X374" s="641">
        <v>67</v>
      </c>
      <c r="Y374" s="642">
        <f t="shared" si="67"/>
        <v>67.2</v>
      </c>
      <c r="Z374" s="36">
        <f>IFERROR(IF(Y374=0,"",ROUNDUP(Y374/H374,0)*0.00902),"")</f>
        <v>0.14432</v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70.988095238095241</v>
      </c>
      <c r="BN374" s="64">
        <f t="shared" si="69"/>
        <v>71.2</v>
      </c>
      <c r="BO374" s="64">
        <f t="shared" si="70"/>
        <v>0.12085137085137086</v>
      </c>
      <c r="BP374" s="64">
        <f t="shared" si="71"/>
        <v>0.12121212121212122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45">
        <v>4607091387292</v>
      </c>
      <c r="E375" s="646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45">
        <v>4607091387285</v>
      </c>
      <c r="E376" s="646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45">
        <v>4607091389845</v>
      </c>
      <c r="E377" s="646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45">
        <v>4680115887442</v>
      </c>
      <c r="E378" s="646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48"/>
      <c r="R378" s="648"/>
      <c r="S378" s="648"/>
      <c r="T378" s="649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45">
        <v>4607091383836</v>
      </c>
      <c r="E379" s="646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48"/>
      <c r="R379" s="648"/>
      <c r="S379" s="648"/>
      <c r="T379" s="649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x14ac:dyDescent="0.2">
      <c r="A380" s="679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80"/>
      <c r="P380" s="659" t="s">
        <v>71</v>
      </c>
      <c r="Q380" s="660"/>
      <c r="R380" s="660"/>
      <c r="S380" s="660"/>
      <c r="T380" s="660"/>
      <c r="U380" s="660"/>
      <c r="V380" s="661"/>
      <c r="W380" s="37" t="s">
        <v>72</v>
      </c>
      <c r="X380" s="643">
        <f>IFERROR(X373/H373,"0")+IFERROR(X374/H374,"0")+IFERROR(X375/H375,"0")+IFERROR(X376/H376,"0")+IFERROR(X377/H377,"0")+IFERROR(X378/H378,"0")+IFERROR(X379/H379,"0")</f>
        <v>15.952380952380953</v>
      </c>
      <c r="Y380" s="643">
        <f>IFERROR(Y373/H373,"0")+IFERROR(Y374/H374,"0")+IFERROR(Y375/H375,"0")+IFERROR(Y376/H376,"0")+IFERROR(Y377/H377,"0")+IFERROR(Y378/H378,"0")+IFERROR(Y379/H379,"0")</f>
        <v>16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0.14432</v>
      </c>
      <c r="AA380" s="644"/>
      <c r="AB380" s="644"/>
      <c r="AC380" s="644"/>
    </row>
    <row r="381" spans="1:68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80"/>
      <c r="P381" s="659" t="s">
        <v>71</v>
      </c>
      <c r="Q381" s="660"/>
      <c r="R381" s="660"/>
      <c r="S381" s="660"/>
      <c r="T381" s="660"/>
      <c r="U381" s="660"/>
      <c r="V381" s="661"/>
      <c r="W381" s="37" t="s">
        <v>66</v>
      </c>
      <c r="X381" s="643">
        <f>IFERROR(SUM(X373:X379),"0")</f>
        <v>67</v>
      </c>
      <c r="Y381" s="643">
        <f>IFERROR(SUM(Y373:Y379),"0")</f>
        <v>67.2</v>
      </c>
      <c r="Z381" s="37"/>
      <c r="AA381" s="644"/>
      <c r="AB381" s="644"/>
      <c r="AC381" s="644"/>
    </row>
    <row r="382" spans="1:68" ht="14.25" hidden="1" customHeight="1" x14ac:dyDescent="0.25">
      <c r="A382" s="662" t="s">
        <v>73</v>
      </c>
      <c r="B382" s="663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N382" s="663"/>
      <c r="O382" s="663"/>
      <c r="P382" s="663"/>
      <c r="Q382" s="663"/>
      <c r="R382" s="663"/>
      <c r="S382" s="663"/>
      <c r="T382" s="663"/>
      <c r="U382" s="663"/>
      <c r="V382" s="663"/>
      <c r="W382" s="663"/>
      <c r="X382" s="663"/>
      <c r="Y382" s="663"/>
      <c r="Z382" s="663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45">
        <v>4607091387766</v>
      </c>
      <c r="E383" s="646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99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48"/>
      <c r="R383" s="648"/>
      <c r="S383" s="648"/>
      <c r="T383" s="649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45">
        <v>4607091387957</v>
      </c>
      <c r="E384" s="646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45">
        <v>4607091387964</v>
      </c>
      <c r="E385" s="646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45">
        <v>4680115884588</v>
      </c>
      <c r="E386" s="646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48"/>
      <c r="R386" s="648"/>
      <c r="S386" s="648"/>
      <c r="T386" s="649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9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80"/>
      <c r="P387" s="659" t="s">
        <v>71</v>
      </c>
      <c r="Q387" s="660"/>
      <c r="R387" s="660"/>
      <c r="S387" s="660"/>
      <c r="T387" s="660"/>
      <c r="U387" s="660"/>
      <c r="V387" s="661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80"/>
      <c r="P388" s="659" t="s">
        <v>71</v>
      </c>
      <c r="Q388" s="660"/>
      <c r="R388" s="660"/>
      <c r="S388" s="660"/>
      <c r="T388" s="660"/>
      <c r="U388" s="660"/>
      <c r="V388" s="661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62" t="s">
        <v>166</v>
      </c>
      <c r="B389" s="663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N389" s="663"/>
      <c r="O389" s="663"/>
      <c r="P389" s="663"/>
      <c r="Q389" s="663"/>
      <c r="R389" s="663"/>
      <c r="S389" s="663"/>
      <c r="T389" s="663"/>
      <c r="U389" s="663"/>
      <c r="V389" s="663"/>
      <c r="W389" s="663"/>
      <c r="X389" s="663"/>
      <c r="Y389" s="663"/>
      <c r="Z389" s="663"/>
      <c r="AA389" s="637"/>
      <c r="AB389" s="637"/>
      <c r="AC389" s="637"/>
    </row>
    <row r="390" spans="1:68" ht="27" customHeight="1" x14ac:dyDescent="0.25">
      <c r="A390" s="54" t="s">
        <v>630</v>
      </c>
      <c r="B390" s="54" t="s">
        <v>631</v>
      </c>
      <c r="C390" s="31">
        <v>4301060387</v>
      </c>
      <c r="D390" s="645">
        <v>4607091380880</v>
      </c>
      <c r="E390" s="646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48"/>
      <c r="R390" s="648"/>
      <c r="S390" s="648"/>
      <c r="T390" s="649"/>
      <c r="U390" s="34"/>
      <c r="V390" s="34"/>
      <c r="W390" s="35" t="s">
        <v>66</v>
      </c>
      <c r="X390" s="641">
        <v>10</v>
      </c>
      <c r="Y390" s="642">
        <f>IFERROR(IF(X390="",0,CEILING((X390/$H390),1)*$H390),"")</f>
        <v>16.8</v>
      </c>
      <c r="Z390" s="36">
        <f>IFERROR(IF(Y390=0,"",ROUNDUP(Y390/H390,0)*0.01898),"")</f>
        <v>3.7960000000000001E-2</v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10.588095238095237</v>
      </c>
      <c r="BN390" s="64">
        <f>IFERROR(Y390*I390/H390,"0")</f>
        <v>17.788</v>
      </c>
      <c r="BO390" s="64">
        <f>IFERROR(1/J390*(X390/H390),"0")</f>
        <v>1.8601190476190476E-2</v>
      </c>
      <c r="BP390" s="64">
        <f>IFERROR(1/J390*(Y390/H390),"0")</f>
        <v>3.125E-2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45">
        <v>4607091384482</v>
      </c>
      <c r="E391" s="646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48"/>
      <c r="R391" s="648"/>
      <c r="S391" s="648"/>
      <c r="T391" s="649"/>
      <c r="U391" s="34"/>
      <c r="V391" s="34"/>
      <c r="W391" s="35" t="s">
        <v>66</v>
      </c>
      <c r="X391" s="641">
        <v>821</v>
      </c>
      <c r="Y391" s="642">
        <f>IFERROR(IF(X391="",0,CEILING((X391/$H391),1)*$H391),"")</f>
        <v>826.8</v>
      </c>
      <c r="Z391" s="36">
        <f>IFERROR(IF(Y391=0,"",ROUNDUP(Y391/H391,0)*0.01898),"")</f>
        <v>2.0118800000000001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872.99666666666678</v>
      </c>
      <c r="BN391" s="64">
        <f>IFERROR(Y391*I391/H391,"0")</f>
        <v>879.16399999999999</v>
      </c>
      <c r="BO391" s="64">
        <f>IFERROR(1/J391*(X391/H391),"0")</f>
        <v>1.6446314102564104</v>
      </c>
      <c r="BP391" s="64">
        <f>IFERROR(1/J391*(Y391/H391),"0")</f>
        <v>1.65625</v>
      </c>
    </row>
    <row r="392" spans="1:68" ht="27" customHeight="1" x14ac:dyDescent="0.25">
      <c r="A392" s="54" t="s">
        <v>636</v>
      </c>
      <c r="B392" s="54" t="s">
        <v>637</v>
      </c>
      <c r="C392" s="31">
        <v>4301060484</v>
      </c>
      <c r="D392" s="645">
        <v>4607091380897</v>
      </c>
      <c r="E392" s="646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48"/>
      <c r="R392" s="648"/>
      <c r="S392" s="648"/>
      <c r="T392" s="649"/>
      <c r="U392" s="34"/>
      <c r="V392" s="34"/>
      <c r="W392" s="35" t="s">
        <v>66</v>
      </c>
      <c r="X392" s="641">
        <v>90</v>
      </c>
      <c r="Y392" s="642">
        <f>IFERROR(IF(X392="",0,CEILING((X392/$H392),1)*$H392),"")</f>
        <v>92.4</v>
      </c>
      <c r="Z392" s="36">
        <f>IFERROR(IF(Y392=0,"",ROUNDUP(Y392/H392,0)*0.01898),"")</f>
        <v>0.20877999999999999</v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95.292857142857144</v>
      </c>
      <c r="BN392" s="64">
        <f>IFERROR(Y392*I392/H392,"0")</f>
        <v>97.834000000000003</v>
      </c>
      <c r="BO392" s="64">
        <f>IFERROR(1/J392*(X392/H392),"0")</f>
        <v>0.16741071428571427</v>
      </c>
      <c r="BP392" s="64">
        <f>IFERROR(1/J392*(Y392/H392),"0")</f>
        <v>0.171875</v>
      </c>
    </row>
    <row r="393" spans="1:68" x14ac:dyDescent="0.2">
      <c r="A393" s="679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80"/>
      <c r="P393" s="659" t="s">
        <v>71</v>
      </c>
      <c r="Q393" s="660"/>
      <c r="R393" s="660"/>
      <c r="S393" s="660"/>
      <c r="T393" s="660"/>
      <c r="U393" s="660"/>
      <c r="V393" s="661"/>
      <c r="W393" s="37" t="s">
        <v>72</v>
      </c>
      <c r="X393" s="643">
        <f>IFERROR(X390/H390,"0")+IFERROR(X391/H391,"0")+IFERROR(X392/H392,"0")</f>
        <v>117.16117216117216</v>
      </c>
      <c r="Y393" s="643">
        <f>IFERROR(Y390/H390,"0")+IFERROR(Y391/H391,"0")+IFERROR(Y392/H392,"0")</f>
        <v>119</v>
      </c>
      <c r="Z393" s="643">
        <f>IFERROR(IF(Z390="",0,Z390),"0")+IFERROR(IF(Z391="",0,Z391),"0")+IFERROR(IF(Z392="",0,Z392),"0")</f>
        <v>2.2586200000000001</v>
      </c>
      <c r="AA393" s="644"/>
      <c r="AB393" s="644"/>
      <c r="AC393" s="644"/>
    </row>
    <row r="394" spans="1:68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80"/>
      <c r="P394" s="659" t="s">
        <v>71</v>
      </c>
      <c r="Q394" s="660"/>
      <c r="R394" s="660"/>
      <c r="S394" s="660"/>
      <c r="T394" s="660"/>
      <c r="U394" s="660"/>
      <c r="V394" s="661"/>
      <c r="W394" s="37" t="s">
        <v>66</v>
      </c>
      <c r="X394" s="643">
        <f>IFERROR(SUM(X390:X392),"0")</f>
        <v>921</v>
      </c>
      <c r="Y394" s="643">
        <f>IFERROR(SUM(Y390:Y392),"0")</f>
        <v>935.99999999999989</v>
      </c>
      <c r="Z394" s="37"/>
      <c r="AA394" s="644"/>
      <c r="AB394" s="644"/>
      <c r="AC394" s="644"/>
    </row>
    <row r="395" spans="1:68" ht="14.25" hidden="1" customHeight="1" x14ac:dyDescent="0.25">
      <c r="A395" s="662" t="s">
        <v>266</v>
      </c>
      <c r="B395" s="663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N395" s="663"/>
      <c r="O395" s="663"/>
      <c r="P395" s="663"/>
      <c r="Q395" s="663"/>
      <c r="R395" s="663"/>
      <c r="S395" s="663"/>
      <c r="T395" s="663"/>
      <c r="U395" s="663"/>
      <c r="V395" s="663"/>
      <c r="W395" s="663"/>
      <c r="X395" s="663"/>
      <c r="Y395" s="663"/>
      <c r="Z395" s="663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45">
        <v>4607091388381</v>
      </c>
      <c r="E396" s="646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48"/>
      <c r="R396" s="648"/>
      <c r="S396" s="648"/>
      <c r="T396" s="649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45">
        <v>4607091388374</v>
      </c>
      <c r="E397" s="646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48"/>
      <c r="R397" s="648"/>
      <c r="S397" s="648"/>
      <c r="T397" s="649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644</v>
      </c>
      <c r="B398" s="54" t="s">
        <v>645</v>
      </c>
      <c r="C398" s="31">
        <v>4301032015</v>
      </c>
      <c r="D398" s="645">
        <v>4607091383102</v>
      </c>
      <c r="E398" s="646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48"/>
      <c r="R398" s="648"/>
      <c r="S398" s="648"/>
      <c r="T398" s="649"/>
      <c r="U398" s="34"/>
      <c r="V398" s="34"/>
      <c r="W398" s="35" t="s">
        <v>66</v>
      </c>
      <c r="X398" s="641">
        <v>6</v>
      </c>
      <c r="Y398" s="642">
        <f>IFERROR(IF(X398="",0,CEILING((X398/$H398),1)*$H398),"")</f>
        <v>7.6499999999999995</v>
      </c>
      <c r="Z398" s="36">
        <f>IFERROR(IF(Y398=0,"",ROUNDUP(Y398/H398,0)*0.00651),"")</f>
        <v>1.9529999999999999E-2</v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6.9529411764705893</v>
      </c>
      <c r="BN398" s="64">
        <f>IFERROR(Y398*I398/H398,"0")</f>
        <v>8.8650000000000002</v>
      </c>
      <c r="BO398" s="64">
        <f>IFERROR(1/J398*(X398/H398),"0")</f>
        <v>1.292824822236587E-2</v>
      </c>
      <c r="BP398" s="64">
        <f>IFERROR(1/J398*(Y398/H398),"0")</f>
        <v>1.6483516483516484E-2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45">
        <v>4607091388404</v>
      </c>
      <c r="E399" s="646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48"/>
      <c r="R399" s="648"/>
      <c r="S399" s="648"/>
      <c r="T399" s="649"/>
      <c r="U399" s="34"/>
      <c r="V399" s="34"/>
      <c r="W399" s="35" t="s">
        <v>66</v>
      </c>
      <c r="X399" s="641">
        <v>25</v>
      </c>
      <c r="Y399" s="642">
        <f>IFERROR(IF(X399="",0,CEILING((X399/$H399),1)*$H399),"")</f>
        <v>25.5</v>
      </c>
      <c r="Z399" s="36">
        <f>IFERROR(IF(Y399=0,"",ROUNDUP(Y399/H399,0)*0.00651),"")</f>
        <v>6.5100000000000005E-2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28.235294117647062</v>
      </c>
      <c r="BN399" s="64">
        <f>IFERROR(Y399*I399/H399,"0")</f>
        <v>28.8</v>
      </c>
      <c r="BO399" s="64">
        <f>IFERROR(1/J399*(X399/H399),"0")</f>
        <v>5.3867700926524466E-2</v>
      </c>
      <c r="BP399" s="64">
        <f>IFERROR(1/J399*(Y399/H399),"0")</f>
        <v>5.4945054945054951E-2</v>
      </c>
    </row>
    <row r="400" spans="1:68" x14ac:dyDescent="0.2">
      <c r="A400" s="679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80"/>
      <c r="P400" s="659" t="s">
        <v>71</v>
      </c>
      <c r="Q400" s="660"/>
      <c r="R400" s="660"/>
      <c r="S400" s="660"/>
      <c r="T400" s="660"/>
      <c r="U400" s="660"/>
      <c r="V400" s="661"/>
      <c r="W400" s="37" t="s">
        <v>72</v>
      </c>
      <c r="X400" s="643">
        <f>IFERROR(X396/H396,"0")+IFERROR(X397/H397,"0")+IFERROR(X398/H398,"0")+IFERROR(X399/H399,"0")</f>
        <v>12.15686274509804</v>
      </c>
      <c r="Y400" s="643">
        <f>IFERROR(Y396/H396,"0")+IFERROR(Y397/H397,"0")+IFERROR(Y398/H398,"0")+IFERROR(Y399/H399,"0")</f>
        <v>13</v>
      </c>
      <c r="Z400" s="643">
        <f>IFERROR(IF(Z396="",0,Z396),"0")+IFERROR(IF(Z397="",0,Z397),"0")+IFERROR(IF(Z398="",0,Z398),"0")+IFERROR(IF(Z399="",0,Z399),"0")</f>
        <v>8.4630000000000011E-2</v>
      </c>
      <c r="AA400" s="644"/>
      <c r="AB400" s="644"/>
      <c r="AC400" s="644"/>
    </row>
    <row r="401" spans="1:68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80"/>
      <c r="P401" s="659" t="s">
        <v>71</v>
      </c>
      <c r="Q401" s="660"/>
      <c r="R401" s="660"/>
      <c r="S401" s="660"/>
      <c r="T401" s="660"/>
      <c r="U401" s="660"/>
      <c r="V401" s="661"/>
      <c r="W401" s="37" t="s">
        <v>66</v>
      </c>
      <c r="X401" s="643">
        <f>IFERROR(SUM(X396:X399),"0")</f>
        <v>31</v>
      </c>
      <c r="Y401" s="643">
        <f>IFERROR(SUM(Y396:Y399),"0")</f>
        <v>33.15</v>
      </c>
      <c r="Z401" s="37"/>
      <c r="AA401" s="644"/>
      <c r="AB401" s="644"/>
      <c r="AC401" s="644"/>
    </row>
    <row r="402" spans="1:68" ht="14.25" hidden="1" customHeight="1" x14ac:dyDescent="0.25">
      <c r="A402" s="662" t="s">
        <v>648</v>
      </c>
      <c r="B402" s="663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N402" s="663"/>
      <c r="O402" s="663"/>
      <c r="P402" s="663"/>
      <c r="Q402" s="663"/>
      <c r="R402" s="663"/>
      <c r="S402" s="663"/>
      <c r="T402" s="663"/>
      <c r="U402" s="663"/>
      <c r="V402" s="663"/>
      <c r="W402" s="663"/>
      <c r="X402" s="663"/>
      <c r="Y402" s="663"/>
      <c r="Z402" s="663"/>
      <c r="AA402" s="637"/>
      <c r="AB402" s="637"/>
      <c r="AC402" s="637"/>
    </row>
    <row r="403" spans="1:68" ht="16.5" customHeight="1" x14ac:dyDescent="0.25">
      <c r="A403" s="54" t="s">
        <v>649</v>
      </c>
      <c r="B403" s="54" t="s">
        <v>650</v>
      </c>
      <c r="C403" s="31">
        <v>4301180007</v>
      </c>
      <c r="D403" s="645">
        <v>4680115881808</v>
      </c>
      <c r="E403" s="646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66</v>
      </c>
      <c r="X403" s="641">
        <v>8</v>
      </c>
      <c r="Y403" s="642">
        <f>IFERROR(IF(X403="",0,CEILING((X403/$H403),1)*$H403),"")</f>
        <v>8</v>
      </c>
      <c r="Z403" s="36">
        <f>IFERROR(IF(Y403=0,"",ROUNDUP(Y403/H403,0)*0.00474),"")</f>
        <v>1.8960000000000001E-2</v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8.9600000000000009</v>
      </c>
      <c r="BN403" s="64">
        <f>IFERROR(Y403*I403/H403,"0")</f>
        <v>8.9600000000000009</v>
      </c>
      <c r="BO403" s="64">
        <f>IFERROR(1/J403*(X403/H403),"0")</f>
        <v>1.680672268907563E-2</v>
      </c>
      <c r="BP403" s="64">
        <f>IFERROR(1/J403*(Y403/H403),"0")</f>
        <v>1.680672268907563E-2</v>
      </c>
    </row>
    <row r="404" spans="1:68" ht="27" customHeight="1" x14ac:dyDescent="0.25">
      <c r="A404" s="54" t="s">
        <v>653</v>
      </c>
      <c r="B404" s="54" t="s">
        <v>654</v>
      </c>
      <c r="C404" s="31">
        <v>4301180006</v>
      </c>
      <c r="D404" s="645">
        <v>4680115881822</v>
      </c>
      <c r="E404" s="646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6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66</v>
      </c>
      <c r="X404" s="641">
        <v>12</v>
      </c>
      <c r="Y404" s="642">
        <f>IFERROR(IF(X404="",0,CEILING((X404/$H404),1)*$H404),"")</f>
        <v>12</v>
      </c>
      <c r="Z404" s="36">
        <f>IFERROR(IF(Y404=0,"",ROUNDUP(Y404/H404,0)*0.00474),"")</f>
        <v>2.844E-2</v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13.440000000000001</v>
      </c>
      <c r="BN404" s="64">
        <f>IFERROR(Y404*I404/H404,"0")</f>
        <v>13.440000000000001</v>
      </c>
      <c r="BO404" s="64">
        <f>IFERROR(1/J404*(X404/H404),"0")</f>
        <v>2.5210084033613446E-2</v>
      </c>
      <c r="BP404" s="64">
        <f>IFERROR(1/J404*(Y404/H404),"0")</f>
        <v>2.5210084033613446E-2</v>
      </c>
    </row>
    <row r="405" spans="1:68" ht="27" customHeight="1" x14ac:dyDescent="0.25">
      <c r="A405" s="54" t="s">
        <v>655</v>
      </c>
      <c r="B405" s="54" t="s">
        <v>656</v>
      </c>
      <c r="C405" s="31">
        <v>4301180001</v>
      </c>
      <c r="D405" s="645">
        <v>4680115880016</v>
      </c>
      <c r="E405" s="646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48"/>
      <c r="R405" s="648"/>
      <c r="S405" s="648"/>
      <c r="T405" s="649"/>
      <c r="U405" s="34"/>
      <c r="V405" s="34"/>
      <c r="W405" s="35" t="s">
        <v>66</v>
      </c>
      <c r="X405" s="641">
        <v>10</v>
      </c>
      <c r="Y405" s="642">
        <f>IFERROR(IF(X405="",0,CEILING((X405/$H405),1)*$H405),"")</f>
        <v>10</v>
      </c>
      <c r="Z405" s="36">
        <f>IFERROR(IF(Y405=0,"",ROUNDUP(Y405/H405,0)*0.00474),"")</f>
        <v>2.3700000000000002E-2</v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11.200000000000001</v>
      </c>
      <c r="BN405" s="64">
        <f>IFERROR(Y405*I405/H405,"0")</f>
        <v>11.200000000000001</v>
      </c>
      <c r="BO405" s="64">
        <f>IFERROR(1/J405*(X405/H405),"0")</f>
        <v>2.1008403361344536E-2</v>
      </c>
      <c r="BP405" s="64">
        <f>IFERROR(1/J405*(Y405/H405),"0")</f>
        <v>2.1008403361344536E-2</v>
      </c>
    </row>
    <row r="406" spans="1:68" x14ac:dyDescent="0.2">
      <c r="A406" s="679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80"/>
      <c r="P406" s="659" t="s">
        <v>71</v>
      </c>
      <c r="Q406" s="660"/>
      <c r="R406" s="660"/>
      <c r="S406" s="660"/>
      <c r="T406" s="660"/>
      <c r="U406" s="660"/>
      <c r="V406" s="661"/>
      <c r="W406" s="37" t="s">
        <v>72</v>
      </c>
      <c r="X406" s="643">
        <f>IFERROR(X403/H403,"0")+IFERROR(X404/H404,"0")+IFERROR(X405/H405,"0")</f>
        <v>15</v>
      </c>
      <c r="Y406" s="643">
        <f>IFERROR(Y403/H403,"0")+IFERROR(Y404/H404,"0")+IFERROR(Y405/H405,"0")</f>
        <v>15</v>
      </c>
      <c r="Z406" s="643">
        <f>IFERROR(IF(Z403="",0,Z403),"0")+IFERROR(IF(Z404="",0,Z404),"0")+IFERROR(IF(Z405="",0,Z405),"0")</f>
        <v>7.1099999999999997E-2</v>
      </c>
      <c r="AA406" s="644"/>
      <c r="AB406" s="644"/>
      <c r="AC406" s="644"/>
    </row>
    <row r="407" spans="1:68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80"/>
      <c r="P407" s="659" t="s">
        <v>71</v>
      </c>
      <c r="Q407" s="660"/>
      <c r="R407" s="660"/>
      <c r="S407" s="660"/>
      <c r="T407" s="660"/>
      <c r="U407" s="660"/>
      <c r="V407" s="661"/>
      <c r="W407" s="37" t="s">
        <v>66</v>
      </c>
      <c r="X407" s="643">
        <f>IFERROR(SUM(X403:X405),"0")</f>
        <v>30</v>
      </c>
      <c r="Y407" s="643">
        <f>IFERROR(SUM(Y403:Y405),"0")</f>
        <v>30</v>
      </c>
      <c r="Z407" s="37"/>
      <c r="AA407" s="644"/>
      <c r="AB407" s="644"/>
      <c r="AC407" s="644"/>
    </row>
    <row r="408" spans="1:68" ht="14.25" hidden="1" customHeight="1" x14ac:dyDescent="0.25">
      <c r="A408" s="662" t="s">
        <v>657</v>
      </c>
      <c r="B408" s="663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N408" s="663"/>
      <c r="O408" s="663"/>
      <c r="P408" s="663"/>
      <c r="Q408" s="663"/>
      <c r="R408" s="663"/>
      <c r="S408" s="663"/>
      <c r="T408" s="663"/>
      <c r="U408" s="663"/>
      <c r="V408" s="663"/>
      <c r="W408" s="663"/>
      <c r="X408" s="663"/>
      <c r="Y408" s="663"/>
      <c r="Z408" s="663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45">
        <v>4680115888678</v>
      </c>
      <c r="E409" s="646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48"/>
      <c r="R409" s="648"/>
      <c r="S409" s="648"/>
      <c r="T409" s="649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45">
        <v>4680115888654</v>
      </c>
      <c r="E410" s="646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48"/>
      <c r="R410" s="648"/>
      <c r="S410" s="648"/>
      <c r="T410" s="649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45">
        <v>4680115888753</v>
      </c>
      <c r="E411" s="646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48"/>
      <c r="R411" s="648"/>
      <c r="S411" s="648"/>
      <c r="T411" s="649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9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80"/>
      <c r="P412" s="659" t="s">
        <v>71</v>
      </c>
      <c r="Q412" s="660"/>
      <c r="R412" s="660"/>
      <c r="S412" s="660"/>
      <c r="T412" s="660"/>
      <c r="U412" s="660"/>
      <c r="V412" s="661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80"/>
      <c r="P413" s="659" t="s">
        <v>71</v>
      </c>
      <c r="Q413" s="660"/>
      <c r="R413" s="660"/>
      <c r="S413" s="660"/>
      <c r="T413" s="660"/>
      <c r="U413" s="660"/>
      <c r="V413" s="661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69" t="s">
        <v>666</v>
      </c>
      <c r="B414" s="663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N414" s="663"/>
      <c r="O414" s="663"/>
      <c r="P414" s="663"/>
      <c r="Q414" s="663"/>
      <c r="R414" s="663"/>
      <c r="S414" s="663"/>
      <c r="T414" s="663"/>
      <c r="U414" s="663"/>
      <c r="V414" s="663"/>
      <c r="W414" s="663"/>
      <c r="X414" s="663"/>
      <c r="Y414" s="663"/>
      <c r="Z414" s="663"/>
      <c r="AA414" s="636"/>
      <c r="AB414" s="636"/>
      <c r="AC414" s="636"/>
    </row>
    <row r="415" spans="1:68" ht="14.25" hidden="1" customHeight="1" x14ac:dyDescent="0.25">
      <c r="A415" s="662" t="s">
        <v>73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45">
        <v>4680115889415</v>
      </c>
      <c r="E416" s="646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45">
        <v>4680115889422</v>
      </c>
      <c r="E417" s="646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9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80"/>
      <c r="P418" s="659" t="s">
        <v>71</v>
      </c>
      <c r="Q418" s="660"/>
      <c r="R418" s="660"/>
      <c r="S418" s="660"/>
      <c r="T418" s="660"/>
      <c r="U418" s="660"/>
      <c r="V418" s="661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80"/>
      <c r="P419" s="659" t="s">
        <v>71</v>
      </c>
      <c r="Q419" s="660"/>
      <c r="R419" s="660"/>
      <c r="S419" s="660"/>
      <c r="T419" s="660"/>
      <c r="U419" s="660"/>
      <c r="V419" s="661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69" t="s">
        <v>673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6"/>
      <c r="AB420" s="636"/>
      <c r="AC420" s="636"/>
    </row>
    <row r="421" spans="1:68" ht="14.25" hidden="1" customHeight="1" x14ac:dyDescent="0.25">
      <c r="A421" s="662" t="s">
        <v>73</v>
      </c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3"/>
      <c r="P421" s="663"/>
      <c r="Q421" s="663"/>
      <c r="R421" s="663"/>
      <c r="S421" s="663"/>
      <c r="T421" s="663"/>
      <c r="U421" s="663"/>
      <c r="V421" s="663"/>
      <c r="W421" s="663"/>
      <c r="X421" s="663"/>
      <c r="Y421" s="663"/>
      <c r="Z421" s="663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45">
        <v>4607091387919</v>
      </c>
      <c r="E422" s="646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48"/>
      <c r="R422" s="648"/>
      <c r="S422" s="648"/>
      <c r="T422" s="649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677</v>
      </c>
      <c r="B423" s="54" t="s">
        <v>678</v>
      </c>
      <c r="C423" s="31">
        <v>4301051461</v>
      </c>
      <c r="D423" s="645">
        <v>4680115883604</v>
      </c>
      <c r="E423" s="646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66</v>
      </c>
      <c r="X423" s="641">
        <v>7</v>
      </c>
      <c r="Y423" s="642">
        <f>IFERROR(IF(X423="",0,CEILING((X423/$H423),1)*$H423),"")</f>
        <v>8.4</v>
      </c>
      <c r="Z423" s="36">
        <f>IFERROR(IF(Y423=0,"",ROUNDUP(Y423/H423,0)*0.00651),"")</f>
        <v>2.6040000000000001E-2</v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7.839999999999999</v>
      </c>
      <c r="BN423" s="64">
        <f>IFERROR(Y423*I423/H423,"0")</f>
        <v>9.4079999999999995</v>
      </c>
      <c r="BO423" s="64">
        <f>IFERROR(1/J423*(X423/H423),"0")</f>
        <v>1.8315018315018316E-2</v>
      </c>
      <c r="BP423" s="64">
        <f>IFERROR(1/J423*(Y423/H423),"0")</f>
        <v>2.197802197802198E-2</v>
      </c>
    </row>
    <row r="424" spans="1:68" ht="27" customHeight="1" x14ac:dyDescent="0.25">
      <c r="A424" s="54" t="s">
        <v>680</v>
      </c>
      <c r="B424" s="54" t="s">
        <v>681</v>
      </c>
      <c r="C424" s="31">
        <v>4301051864</v>
      </c>
      <c r="D424" s="645">
        <v>4680115883567</v>
      </c>
      <c r="E424" s="646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66</v>
      </c>
      <c r="X424" s="641">
        <v>4</v>
      </c>
      <c r="Y424" s="642">
        <f>IFERROR(IF(X424="",0,CEILING((X424/$H424),1)*$H424),"")</f>
        <v>4.2</v>
      </c>
      <c r="Z424" s="36">
        <f>IFERROR(IF(Y424=0,"",ROUNDUP(Y424/H424,0)*0.00651),"")</f>
        <v>1.302E-2</v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4.4571428571428564</v>
      </c>
      <c r="BN424" s="64">
        <f>IFERROR(Y424*I424/H424,"0")</f>
        <v>4.68</v>
      </c>
      <c r="BO424" s="64">
        <f>IFERROR(1/J424*(X424/H424),"0")</f>
        <v>1.0465724751439037E-2</v>
      </c>
      <c r="BP424" s="64">
        <f>IFERROR(1/J424*(Y424/H424),"0")</f>
        <v>1.098901098901099E-2</v>
      </c>
    </row>
    <row r="425" spans="1:68" x14ac:dyDescent="0.2">
      <c r="A425" s="679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80"/>
      <c r="P425" s="659" t="s">
        <v>71</v>
      </c>
      <c r="Q425" s="660"/>
      <c r="R425" s="660"/>
      <c r="S425" s="660"/>
      <c r="T425" s="660"/>
      <c r="U425" s="660"/>
      <c r="V425" s="661"/>
      <c r="W425" s="37" t="s">
        <v>72</v>
      </c>
      <c r="X425" s="643">
        <f>IFERROR(X422/H422,"0")+IFERROR(X423/H423,"0")+IFERROR(X424/H424,"0")</f>
        <v>5.2380952380952372</v>
      </c>
      <c r="Y425" s="643">
        <f>IFERROR(Y422/H422,"0")+IFERROR(Y423/H423,"0")+IFERROR(Y424/H424,"0")</f>
        <v>6</v>
      </c>
      <c r="Z425" s="643">
        <f>IFERROR(IF(Z422="",0,Z422),"0")+IFERROR(IF(Z423="",0,Z423),"0")+IFERROR(IF(Z424="",0,Z424),"0")</f>
        <v>3.9059999999999997E-2</v>
      </c>
      <c r="AA425" s="644"/>
      <c r="AB425" s="644"/>
      <c r="AC425" s="644"/>
    </row>
    <row r="426" spans="1:68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80"/>
      <c r="P426" s="659" t="s">
        <v>71</v>
      </c>
      <c r="Q426" s="660"/>
      <c r="R426" s="660"/>
      <c r="S426" s="660"/>
      <c r="T426" s="660"/>
      <c r="U426" s="660"/>
      <c r="V426" s="661"/>
      <c r="W426" s="37" t="s">
        <v>66</v>
      </c>
      <c r="X426" s="643">
        <f>IFERROR(SUM(X422:X424),"0")</f>
        <v>11</v>
      </c>
      <c r="Y426" s="643">
        <f>IFERROR(SUM(Y422:Y424),"0")</f>
        <v>12.600000000000001</v>
      </c>
      <c r="Z426" s="37"/>
      <c r="AA426" s="644"/>
      <c r="AB426" s="644"/>
      <c r="AC426" s="644"/>
    </row>
    <row r="427" spans="1:68" ht="27.75" hidden="1" customHeight="1" x14ac:dyDescent="0.2">
      <c r="A427" s="657" t="s">
        <v>683</v>
      </c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8"/>
      <c r="P427" s="658"/>
      <c r="Q427" s="658"/>
      <c r="R427" s="658"/>
      <c r="S427" s="658"/>
      <c r="T427" s="658"/>
      <c r="U427" s="658"/>
      <c r="V427" s="658"/>
      <c r="W427" s="658"/>
      <c r="X427" s="658"/>
      <c r="Y427" s="658"/>
      <c r="Z427" s="658"/>
      <c r="AA427" s="48"/>
      <c r="AB427" s="48"/>
      <c r="AC427" s="48"/>
    </row>
    <row r="428" spans="1:68" ht="16.5" hidden="1" customHeight="1" x14ac:dyDescent="0.25">
      <c r="A428" s="669" t="s">
        <v>684</v>
      </c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3"/>
      <c r="P428" s="663"/>
      <c r="Q428" s="663"/>
      <c r="R428" s="663"/>
      <c r="S428" s="663"/>
      <c r="T428" s="663"/>
      <c r="U428" s="663"/>
      <c r="V428" s="663"/>
      <c r="W428" s="663"/>
      <c r="X428" s="663"/>
      <c r="Y428" s="663"/>
      <c r="Z428" s="663"/>
      <c r="AA428" s="636"/>
      <c r="AB428" s="636"/>
      <c r="AC428" s="636"/>
    </row>
    <row r="429" spans="1:68" ht="14.25" hidden="1" customHeight="1" x14ac:dyDescent="0.25">
      <c r="A429" s="662" t="s">
        <v>110</v>
      </c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3"/>
      <c r="P429" s="663"/>
      <c r="Q429" s="663"/>
      <c r="R429" s="663"/>
      <c r="S429" s="663"/>
      <c r="T429" s="663"/>
      <c r="U429" s="663"/>
      <c r="V429" s="663"/>
      <c r="W429" s="663"/>
      <c r="X429" s="663"/>
      <c r="Y429" s="663"/>
      <c r="Z429" s="663"/>
      <c r="AA429" s="637"/>
      <c r="AB429" s="637"/>
      <c r="AC429" s="637"/>
    </row>
    <row r="430" spans="1:68" ht="27" hidden="1" customHeight="1" x14ac:dyDescent="0.25">
      <c r="A430" s="54" t="s">
        <v>685</v>
      </c>
      <c r="B430" s="54" t="s">
        <v>686</v>
      </c>
      <c r="C430" s="31">
        <v>4301012332</v>
      </c>
      <c r="D430" s="645">
        <v>4680115888401</v>
      </c>
      <c r="E430" s="646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66</v>
      </c>
      <c r="X430" s="641">
        <v>0</v>
      </c>
      <c r="Y430" s="642">
        <f t="shared" ref="Y430:Y437" si="72">IFERROR(IF(X430="",0,CEILING((X430/$H430),1)*$H430),"")</f>
        <v>0</v>
      </c>
      <c r="Z430" s="36" t="str">
        <f>IFERROR(IF(Y430=0,"",ROUNDUP(Y430/H430,0)*0.02175),"")</f>
        <v/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0</v>
      </c>
      <c r="BN430" s="64">
        <f t="shared" ref="BN430:BN437" si="74">IFERROR(Y430*I430/H430,"0")</f>
        <v>0</v>
      </c>
      <c r="BO430" s="64">
        <f t="shared" ref="BO430:BO437" si="75">IFERROR(1/J430*(X430/H430),"0")</f>
        <v>0</v>
      </c>
      <c r="BP430" s="64">
        <f t="shared" ref="BP430:BP437" si="76">IFERROR(1/J430*(Y430/H430),"0")</f>
        <v>0</v>
      </c>
    </row>
    <row r="431" spans="1:68" ht="37.5" customHeight="1" x14ac:dyDescent="0.25">
      <c r="A431" s="54" t="s">
        <v>688</v>
      </c>
      <c r="B431" s="54" t="s">
        <v>689</v>
      </c>
      <c r="C431" s="31">
        <v>4301011869</v>
      </c>
      <c r="D431" s="645">
        <v>4680115884847</v>
      </c>
      <c r="E431" s="646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66</v>
      </c>
      <c r="X431" s="641">
        <v>385</v>
      </c>
      <c r="Y431" s="642">
        <f t="shared" si="72"/>
        <v>390</v>
      </c>
      <c r="Z431" s="36">
        <f>IFERROR(IF(Y431=0,"",ROUNDUP(Y431/H431,0)*0.02175),"")</f>
        <v>0.5655</v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397.06333333333333</v>
      </c>
      <c r="BN431" s="64">
        <f t="shared" si="74"/>
        <v>402.22</v>
      </c>
      <c r="BO431" s="64">
        <f t="shared" si="75"/>
        <v>0.53472222222222221</v>
      </c>
      <c r="BP431" s="64">
        <f t="shared" si="76"/>
        <v>0.54166666666666663</v>
      </c>
    </row>
    <row r="432" spans="1:68" ht="27" customHeight="1" x14ac:dyDescent="0.25">
      <c r="A432" s="54" t="s">
        <v>691</v>
      </c>
      <c r="B432" s="54" t="s">
        <v>692</v>
      </c>
      <c r="C432" s="31">
        <v>4301012083</v>
      </c>
      <c r="D432" s="645">
        <v>4680115884854</v>
      </c>
      <c r="E432" s="646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66</v>
      </c>
      <c r="X432" s="641">
        <v>369</v>
      </c>
      <c r="Y432" s="642">
        <f t="shared" si="72"/>
        <v>375</v>
      </c>
      <c r="Z432" s="36">
        <f>IFERROR(IF(Y432=0,"",ROUNDUP(Y432/H432,0)*0.02175),"")</f>
        <v>0.54374999999999996</v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380.56200000000001</v>
      </c>
      <c r="BN432" s="64">
        <f t="shared" si="74"/>
        <v>386.75</v>
      </c>
      <c r="BO432" s="64">
        <f t="shared" si="75"/>
        <v>0.51249999999999996</v>
      </c>
      <c r="BP432" s="64">
        <f t="shared" si="76"/>
        <v>0.52083333333333326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45">
        <v>4680115884830</v>
      </c>
      <c r="E433" s="646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9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66</v>
      </c>
      <c r="X433" s="641">
        <v>1179</v>
      </c>
      <c r="Y433" s="642">
        <f t="shared" si="72"/>
        <v>1185</v>
      </c>
      <c r="Z433" s="36">
        <f>IFERROR(IF(Y433=0,"",ROUNDUP(Y433/H433,0)*0.02175),"")</f>
        <v>1.7182499999999998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1215.942</v>
      </c>
      <c r="BN433" s="64">
        <f t="shared" si="74"/>
        <v>1222.1300000000001</v>
      </c>
      <c r="BO433" s="64">
        <f t="shared" si="75"/>
        <v>1.6374999999999997</v>
      </c>
      <c r="BP433" s="64">
        <f t="shared" si="76"/>
        <v>1.6458333333333333</v>
      </c>
    </row>
    <row r="434" spans="1:68" ht="27" customHeight="1" x14ac:dyDescent="0.25">
      <c r="A434" s="54" t="s">
        <v>697</v>
      </c>
      <c r="B434" s="54" t="s">
        <v>698</v>
      </c>
      <c r="C434" s="31">
        <v>4301012356</v>
      </c>
      <c r="D434" s="645">
        <v>4680115889231</v>
      </c>
      <c r="E434" s="646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48"/>
      <c r="R434" s="648"/>
      <c r="S434" s="648"/>
      <c r="T434" s="649"/>
      <c r="U434" s="34"/>
      <c r="V434" s="34"/>
      <c r="W434" s="35" t="s">
        <v>66</v>
      </c>
      <c r="X434" s="641">
        <v>442</v>
      </c>
      <c r="Y434" s="642">
        <f t="shared" si="72"/>
        <v>450</v>
      </c>
      <c r="Z434" s="36">
        <f>IFERROR(IF(Y434=0,"",ROUNDUP(Y434/H434,0)*0.02175),"")</f>
        <v>0.65249999999999997</v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455.84933333333339</v>
      </c>
      <c r="BN434" s="64">
        <f t="shared" si="74"/>
        <v>464.1</v>
      </c>
      <c r="BO434" s="64">
        <f t="shared" si="75"/>
        <v>0.61388888888888882</v>
      </c>
      <c r="BP434" s="64">
        <f t="shared" si="76"/>
        <v>0.625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45">
        <v>4680115882638</v>
      </c>
      <c r="E435" s="646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48"/>
      <c r="R435" s="648"/>
      <c r="S435" s="648"/>
      <c r="T435" s="649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45">
        <v>4680115884922</v>
      </c>
      <c r="E436" s="646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48"/>
      <c r="R436" s="648"/>
      <c r="S436" s="648"/>
      <c r="T436" s="649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45">
        <v>4680115884861</v>
      </c>
      <c r="E437" s="646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48"/>
      <c r="R437" s="648"/>
      <c r="S437" s="648"/>
      <c r="T437" s="649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9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80"/>
      <c r="P438" s="659" t="s">
        <v>71</v>
      </c>
      <c r="Q438" s="660"/>
      <c r="R438" s="660"/>
      <c r="S438" s="660"/>
      <c r="T438" s="660"/>
      <c r="U438" s="660"/>
      <c r="V438" s="661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158.33333333333334</v>
      </c>
      <c r="Y438" s="643">
        <f>IFERROR(Y430/H430,"0")+IFERROR(Y431/H431,"0")+IFERROR(Y432/H432,"0")+IFERROR(Y433/H433,"0")+IFERROR(Y434/H434,"0")+IFERROR(Y435/H435,"0")+IFERROR(Y436/H436,"0")+IFERROR(Y437/H437,"0")</f>
        <v>160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3.4799999999999995</v>
      </c>
      <c r="AA438" s="644"/>
      <c r="AB438" s="644"/>
      <c r="AC438" s="644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80"/>
      <c r="P439" s="659" t="s">
        <v>71</v>
      </c>
      <c r="Q439" s="660"/>
      <c r="R439" s="660"/>
      <c r="S439" s="660"/>
      <c r="T439" s="660"/>
      <c r="U439" s="660"/>
      <c r="V439" s="661"/>
      <c r="W439" s="37" t="s">
        <v>66</v>
      </c>
      <c r="X439" s="643">
        <f>IFERROR(SUM(X430:X437),"0")</f>
        <v>2375</v>
      </c>
      <c r="Y439" s="643">
        <f>IFERROR(SUM(Y430:Y437),"0")</f>
        <v>2400</v>
      </c>
      <c r="Z439" s="37"/>
      <c r="AA439" s="644"/>
      <c r="AB439" s="644"/>
      <c r="AC439" s="644"/>
    </row>
    <row r="440" spans="1:68" ht="14.25" hidden="1" customHeight="1" x14ac:dyDescent="0.25">
      <c r="A440" s="662" t="s">
        <v>147</v>
      </c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A440" s="637"/>
      <c r="AB440" s="637"/>
      <c r="AC440" s="637"/>
    </row>
    <row r="441" spans="1:68" ht="27" customHeight="1" x14ac:dyDescent="0.25">
      <c r="A441" s="54" t="s">
        <v>709</v>
      </c>
      <c r="B441" s="54" t="s">
        <v>710</v>
      </c>
      <c r="C441" s="31">
        <v>4301020178</v>
      </c>
      <c r="D441" s="645">
        <v>4607091383980</v>
      </c>
      <c r="E441" s="646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48"/>
      <c r="R441" s="648"/>
      <c r="S441" s="648"/>
      <c r="T441" s="649"/>
      <c r="U441" s="34"/>
      <c r="V441" s="34"/>
      <c r="W441" s="35" t="s">
        <v>66</v>
      </c>
      <c r="X441" s="641">
        <v>612</v>
      </c>
      <c r="Y441" s="642">
        <f>IFERROR(IF(X441="",0,CEILING((X441/$H441),1)*$H441),"")</f>
        <v>615</v>
      </c>
      <c r="Z441" s="36">
        <f>IFERROR(IF(Y441=0,"",ROUNDUP(Y441/H441,0)*0.02175),"")</f>
        <v>0.89174999999999993</v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631.17600000000004</v>
      </c>
      <c r="BN441" s="64">
        <f>IFERROR(Y441*I441/H441,"0")</f>
        <v>634.2700000000001</v>
      </c>
      <c r="BO441" s="64">
        <f>IFERROR(1/J441*(X441/H441),"0")</f>
        <v>0.84999999999999987</v>
      </c>
      <c r="BP441" s="64">
        <f>IFERROR(1/J441*(Y441/H441),"0")</f>
        <v>0.85416666666666663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45">
        <v>4680115888425</v>
      </c>
      <c r="E442" s="646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48"/>
      <c r="R442" s="648"/>
      <c r="S442" s="648"/>
      <c r="T442" s="649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45">
        <v>4607091384178</v>
      </c>
      <c r="E443" s="646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48"/>
      <c r="R443" s="648"/>
      <c r="S443" s="648"/>
      <c r="T443" s="649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9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80"/>
      <c r="P444" s="659" t="s">
        <v>71</v>
      </c>
      <c r="Q444" s="660"/>
      <c r="R444" s="660"/>
      <c r="S444" s="660"/>
      <c r="T444" s="660"/>
      <c r="U444" s="660"/>
      <c r="V444" s="661"/>
      <c r="W444" s="37" t="s">
        <v>72</v>
      </c>
      <c r="X444" s="643">
        <f>IFERROR(X441/H441,"0")+IFERROR(X442/H442,"0")+IFERROR(X443/H443,"0")</f>
        <v>40.799999999999997</v>
      </c>
      <c r="Y444" s="643">
        <f>IFERROR(Y441/H441,"0")+IFERROR(Y442/H442,"0")+IFERROR(Y443/H443,"0")</f>
        <v>41</v>
      </c>
      <c r="Z444" s="643">
        <f>IFERROR(IF(Z441="",0,Z441),"0")+IFERROR(IF(Z442="",0,Z442),"0")+IFERROR(IF(Z443="",0,Z443),"0")</f>
        <v>0.89174999999999993</v>
      </c>
      <c r="AA444" s="644"/>
      <c r="AB444" s="644"/>
      <c r="AC444" s="644"/>
    </row>
    <row r="445" spans="1:68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80"/>
      <c r="P445" s="659" t="s">
        <v>71</v>
      </c>
      <c r="Q445" s="660"/>
      <c r="R445" s="660"/>
      <c r="S445" s="660"/>
      <c r="T445" s="660"/>
      <c r="U445" s="660"/>
      <c r="V445" s="661"/>
      <c r="W445" s="37" t="s">
        <v>66</v>
      </c>
      <c r="X445" s="643">
        <f>IFERROR(SUM(X441:X443),"0")</f>
        <v>612</v>
      </c>
      <c r="Y445" s="643">
        <f>IFERROR(SUM(Y441:Y443),"0")</f>
        <v>615</v>
      </c>
      <c r="Z445" s="37"/>
      <c r="AA445" s="644"/>
      <c r="AB445" s="644"/>
      <c r="AC445" s="644"/>
    </row>
    <row r="446" spans="1:68" ht="14.25" hidden="1" customHeight="1" x14ac:dyDescent="0.25">
      <c r="A446" s="662" t="s">
        <v>73</v>
      </c>
      <c r="B446" s="663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N446" s="663"/>
      <c r="O446" s="663"/>
      <c r="P446" s="663"/>
      <c r="Q446" s="663"/>
      <c r="R446" s="663"/>
      <c r="S446" s="663"/>
      <c r="T446" s="663"/>
      <c r="U446" s="663"/>
      <c r="V446" s="663"/>
      <c r="W446" s="663"/>
      <c r="X446" s="663"/>
      <c r="Y446" s="663"/>
      <c r="Z446" s="663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45">
        <v>4607091383928</v>
      </c>
      <c r="E447" s="646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45">
        <v>4607091384260</v>
      </c>
      <c r="E448" s="646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45">
        <v>4680115889538</v>
      </c>
      <c r="E449" s="646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10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9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80"/>
      <c r="P450" s="659" t="s">
        <v>71</v>
      </c>
      <c r="Q450" s="660"/>
      <c r="R450" s="660"/>
      <c r="S450" s="660"/>
      <c r="T450" s="660"/>
      <c r="U450" s="660"/>
      <c r="V450" s="661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80"/>
      <c r="P451" s="659" t="s">
        <v>71</v>
      </c>
      <c r="Q451" s="660"/>
      <c r="R451" s="660"/>
      <c r="S451" s="660"/>
      <c r="T451" s="660"/>
      <c r="U451" s="660"/>
      <c r="V451" s="661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62" t="s">
        <v>166</v>
      </c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N452" s="663"/>
      <c r="O452" s="663"/>
      <c r="P452" s="663"/>
      <c r="Q452" s="663"/>
      <c r="R452" s="663"/>
      <c r="S452" s="663"/>
      <c r="T452" s="663"/>
      <c r="U452" s="663"/>
      <c r="V452" s="663"/>
      <c r="W452" s="663"/>
      <c r="X452" s="663"/>
      <c r="Y452" s="663"/>
      <c r="Z452" s="663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45">
        <v>4680115889545</v>
      </c>
      <c r="E453" s="646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3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48"/>
      <c r="R453" s="648"/>
      <c r="S453" s="648"/>
      <c r="T453" s="649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customHeight="1" x14ac:dyDescent="0.25">
      <c r="A454" s="54" t="s">
        <v>730</v>
      </c>
      <c r="B454" s="54" t="s">
        <v>731</v>
      </c>
      <c r="C454" s="31">
        <v>4301060524</v>
      </c>
      <c r="D454" s="645">
        <v>4607091384673</v>
      </c>
      <c r="E454" s="646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48"/>
      <c r="R454" s="648"/>
      <c r="S454" s="648"/>
      <c r="T454" s="649"/>
      <c r="U454" s="34"/>
      <c r="V454" s="34"/>
      <c r="W454" s="35" t="s">
        <v>66</v>
      </c>
      <c r="X454" s="641">
        <v>75</v>
      </c>
      <c r="Y454" s="642">
        <f>IFERROR(IF(X454="",0,CEILING((X454/$H454),1)*$H454),"")</f>
        <v>81</v>
      </c>
      <c r="Z454" s="36">
        <f>IFERROR(IF(Y454=0,"",ROUNDUP(Y454/H454,0)*0.01898),"")</f>
        <v>0.17082</v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79.11666666666666</v>
      </c>
      <c r="BN454" s="64">
        <f>IFERROR(Y454*I454/H454,"0")</f>
        <v>85.445999999999998</v>
      </c>
      <c r="BO454" s="64">
        <f>IFERROR(1/J454*(X454/H454),"0")</f>
        <v>0.13020833333333334</v>
      </c>
      <c r="BP454" s="64">
        <f>IFERROR(1/J454*(Y454/H454),"0")</f>
        <v>0.140625</v>
      </c>
    </row>
    <row r="455" spans="1:68" x14ac:dyDescent="0.2">
      <c r="A455" s="679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80"/>
      <c r="P455" s="659" t="s">
        <v>71</v>
      </c>
      <c r="Q455" s="660"/>
      <c r="R455" s="660"/>
      <c r="S455" s="660"/>
      <c r="T455" s="660"/>
      <c r="U455" s="660"/>
      <c r="V455" s="661"/>
      <c r="W455" s="37" t="s">
        <v>72</v>
      </c>
      <c r="X455" s="643">
        <f>IFERROR(X453/H453,"0")+IFERROR(X454/H454,"0")</f>
        <v>8.3333333333333339</v>
      </c>
      <c r="Y455" s="643">
        <f>IFERROR(Y453/H453,"0")+IFERROR(Y454/H454,"0")</f>
        <v>9</v>
      </c>
      <c r="Z455" s="643">
        <f>IFERROR(IF(Z453="",0,Z453),"0")+IFERROR(IF(Z454="",0,Z454),"0")</f>
        <v>0.17082</v>
      </c>
      <c r="AA455" s="644"/>
      <c r="AB455" s="644"/>
      <c r="AC455" s="644"/>
    </row>
    <row r="456" spans="1:68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80"/>
      <c r="P456" s="659" t="s">
        <v>71</v>
      </c>
      <c r="Q456" s="660"/>
      <c r="R456" s="660"/>
      <c r="S456" s="660"/>
      <c r="T456" s="660"/>
      <c r="U456" s="660"/>
      <c r="V456" s="661"/>
      <c r="W456" s="37" t="s">
        <v>66</v>
      </c>
      <c r="X456" s="643">
        <f>IFERROR(SUM(X453:X454),"0")</f>
        <v>75</v>
      </c>
      <c r="Y456" s="643">
        <f>IFERROR(SUM(Y453:Y454),"0")</f>
        <v>81</v>
      </c>
      <c r="Z456" s="37"/>
      <c r="AA456" s="644"/>
      <c r="AB456" s="644"/>
      <c r="AC456" s="644"/>
    </row>
    <row r="457" spans="1:68" ht="16.5" hidden="1" customHeight="1" x14ac:dyDescent="0.25">
      <c r="A457" s="669" t="s">
        <v>733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6"/>
      <c r="AB457" s="636"/>
      <c r="AC457" s="636"/>
    </row>
    <row r="458" spans="1:68" ht="14.25" hidden="1" customHeight="1" x14ac:dyDescent="0.25">
      <c r="A458" s="662" t="s">
        <v>110</v>
      </c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3"/>
      <c r="P458" s="663"/>
      <c r="Q458" s="663"/>
      <c r="R458" s="663"/>
      <c r="S458" s="663"/>
      <c r="T458" s="663"/>
      <c r="U458" s="663"/>
      <c r="V458" s="663"/>
      <c r="W458" s="663"/>
      <c r="X458" s="663"/>
      <c r="Y458" s="663"/>
      <c r="Z458" s="663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45">
        <v>4680115884885</v>
      </c>
      <c r="E459" s="646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48"/>
      <c r="R459" s="648"/>
      <c r="S459" s="648"/>
      <c r="T459" s="649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45">
        <v>4680115884908</v>
      </c>
      <c r="E460" s="646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48"/>
      <c r="R460" s="648"/>
      <c r="S460" s="648"/>
      <c r="T460" s="649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80"/>
      <c r="P461" s="659" t="s">
        <v>71</v>
      </c>
      <c r="Q461" s="660"/>
      <c r="R461" s="660"/>
      <c r="S461" s="660"/>
      <c r="T461" s="660"/>
      <c r="U461" s="660"/>
      <c r="V461" s="661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80"/>
      <c r="P462" s="659" t="s">
        <v>71</v>
      </c>
      <c r="Q462" s="660"/>
      <c r="R462" s="660"/>
      <c r="S462" s="660"/>
      <c r="T462" s="660"/>
      <c r="U462" s="660"/>
      <c r="V462" s="661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62" t="s">
        <v>61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  <c r="Y463" s="663"/>
      <c r="Z463" s="663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45">
        <v>4607091384802</v>
      </c>
      <c r="E464" s="646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48"/>
      <c r="R464" s="648"/>
      <c r="S464" s="648"/>
      <c r="T464" s="649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9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80"/>
      <c r="P465" s="659" t="s">
        <v>71</v>
      </c>
      <c r="Q465" s="660"/>
      <c r="R465" s="660"/>
      <c r="S465" s="660"/>
      <c r="T465" s="660"/>
      <c r="U465" s="660"/>
      <c r="V465" s="661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80"/>
      <c r="P466" s="659" t="s">
        <v>71</v>
      </c>
      <c r="Q466" s="660"/>
      <c r="R466" s="660"/>
      <c r="S466" s="660"/>
      <c r="T466" s="660"/>
      <c r="U466" s="660"/>
      <c r="V466" s="661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62" t="s">
        <v>73</v>
      </c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A467" s="637"/>
      <c r="AB467" s="637"/>
      <c r="AC467" s="637"/>
    </row>
    <row r="468" spans="1:68" ht="27" customHeight="1" x14ac:dyDescent="0.25">
      <c r="A468" s="54" t="s">
        <v>742</v>
      </c>
      <c r="B468" s="54" t="s">
        <v>743</v>
      </c>
      <c r="C468" s="31">
        <v>4301051899</v>
      </c>
      <c r="D468" s="645">
        <v>4607091384246</v>
      </c>
      <c r="E468" s="646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48"/>
      <c r="R468" s="648"/>
      <c r="S468" s="648"/>
      <c r="T468" s="649"/>
      <c r="U468" s="34"/>
      <c r="V468" s="34"/>
      <c r="W468" s="35" t="s">
        <v>66</v>
      </c>
      <c r="X468" s="641">
        <v>984</v>
      </c>
      <c r="Y468" s="642">
        <f>IFERROR(IF(X468="",0,CEILING((X468/$H468),1)*$H468),"")</f>
        <v>990</v>
      </c>
      <c r="Z468" s="36">
        <f>IFERROR(IF(Y468=0,"",ROUNDUP(Y468/H468,0)*0.01898),"")</f>
        <v>2.0878000000000001</v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1038.0106666666666</v>
      </c>
      <c r="BN468" s="64">
        <f>IFERROR(Y468*I468/H468,"0")</f>
        <v>1044.3399999999999</v>
      </c>
      <c r="BO468" s="64">
        <f>IFERROR(1/J468*(X468/H468),"0")</f>
        <v>1.7083333333333333</v>
      </c>
      <c r="BP468" s="64">
        <f>IFERROR(1/J468*(Y468/H468),"0")</f>
        <v>1.71875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45">
        <v>4607091384253</v>
      </c>
      <c r="E469" s="646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48"/>
      <c r="R469" s="648"/>
      <c r="S469" s="648"/>
      <c r="T469" s="649"/>
      <c r="U469" s="34"/>
      <c r="V469" s="34"/>
      <c r="W469" s="35" t="s">
        <v>66</v>
      </c>
      <c r="X469" s="641">
        <v>4</v>
      </c>
      <c r="Y469" s="642">
        <f>IFERROR(IF(X469="",0,CEILING((X469/$H469),1)*$H469),"")</f>
        <v>4.8</v>
      </c>
      <c r="Z469" s="36">
        <f>IFERROR(IF(Y469=0,"",ROUNDUP(Y469/H469,0)*0.00651),"")</f>
        <v>1.302E-2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4.4400000000000004</v>
      </c>
      <c r="BN469" s="64">
        <f>IFERROR(Y469*I469/H469,"0")</f>
        <v>5.3280000000000003</v>
      </c>
      <c r="BO469" s="64">
        <f>IFERROR(1/J469*(X469/H469),"0")</f>
        <v>9.1575091575091579E-3</v>
      </c>
      <c r="BP469" s="64">
        <f>IFERROR(1/J469*(Y469/H469),"0")</f>
        <v>1.098901098901099E-2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45">
        <v>4607091384253</v>
      </c>
      <c r="E470" s="646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48"/>
      <c r="R470" s="648"/>
      <c r="S470" s="648"/>
      <c r="T470" s="649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9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80"/>
      <c r="P471" s="659" t="s">
        <v>71</v>
      </c>
      <c r="Q471" s="660"/>
      <c r="R471" s="660"/>
      <c r="S471" s="660"/>
      <c r="T471" s="660"/>
      <c r="U471" s="660"/>
      <c r="V471" s="661"/>
      <c r="W471" s="37" t="s">
        <v>72</v>
      </c>
      <c r="X471" s="643">
        <f>IFERROR(X468/H468,"0")+IFERROR(X469/H469,"0")+IFERROR(X470/H470,"0")</f>
        <v>111</v>
      </c>
      <c r="Y471" s="643">
        <f>IFERROR(Y468/H468,"0")+IFERROR(Y469/H469,"0")+IFERROR(Y470/H470,"0")</f>
        <v>112</v>
      </c>
      <c r="Z471" s="643">
        <f>IFERROR(IF(Z468="",0,Z468),"0")+IFERROR(IF(Z469="",0,Z469),"0")+IFERROR(IF(Z470="",0,Z470),"0")</f>
        <v>2.1008200000000001</v>
      </c>
      <c r="AA471" s="644"/>
      <c r="AB471" s="644"/>
      <c r="AC471" s="644"/>
    </row>
    <row r="472" spans="1:68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80"/>
      <c r="P472" s="659" t="s">
        <v>71</v>
      </c>
      <c r="Q472" s="660"/>
      <c r="R472" s="660"/>
      <c r="S472" s="660"/>
      <c r="T472" s="660"/>
      <c r="U472" s="660"/>
      <c r="V472" s="661"/>
      <c r="W472" s="37" t="s">
        <v>66</v>
      </c>
      <c r="X472" s="643">
        <f>IFERROR(SUM(X468:X470),"0")</f>
        <v>988</v>
      </c>
      <c r="Y472" s="643">
        <f>IFERROR(SUM(Y468:Y470),"0")</f>
        <v>994.8</v>
      </c>
      <c r="Z472" s="37"/>
      <c r="AA472" s="644"/>
      <c r="AB472" s="644"/>
      <c r="AC472" s="644"/>
    </row>
    <row r="473" spans="1:68" ht="27.75" hidden="1" customHeight="1" x14ac:dyDescent="0.2">
      <c r="A473" s="657" t="s">
        <v>749</v>
      </c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8"/>
      <c r="P473" s="658"/>
      <c r="Q473" s="658"/>
      <c r="R473" s="658"/>
      <c r="S473" s="658"/>
      <c r="T473" s="658"/>
      <c r="U473" s="658"/>
      <c r="V473" s="658"/>
      <c r="W473" s="658"/>
      <c r="X473" s="658"/>
      <c r="Y473" s="658"/>
      <c r="Z473" s="658"/>
      <c r="AA473" s="48"/>
      <c r="AB473" s="48"/>
      <c r="AC473" s="48"/>
    </row>
    <row r="474" spans="1:68" ht="16.5" hidden="1" customHeight="1" x14ac:dyDescent="0.25">
      <c r="A474" s="669" t="s">
        <v>750</v>
      </c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3"/>
      <c r="P474" s="663"/>
      <c r="Q474" s="663"/>
      <c r="R474" s="663"/>
      <c r="S474" s="663"/>
      <c r="T474" s="663"/>
      <c r="U474" s="663"/>
      <c r="V474" s="663"/>
      <c r="W474" s="663"/>
      <c r="X474" s="663"/>
      <c r="Y474" s="663"/>
      <c r="Z474" s="663"/>
      <c r="AA474" s="636"/>
      <c r="AB474" s="636"/>
      <c r="AC474" s="636"/>
    </row>
    <row r="475" spans="1:68" ht="14.25" hidden="1" customHeight="1" x14ac:dyDescent="0.25">
      <c r="A475" s="662" t="s">
        <v>61</v>
      </c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3"/>
      <c r="P475" s="663"/>
      <c r="Q475" s="663"/>
      <c r="R475" s="663"/>
      <c r="S475" s="663"/>
      <c r="T475" s="663"/>
      <c r="U475" s="663"/>
      <c r="V475" s="663"/>
      <c r="W475" s="663"/>
      <c r="X475" s="663"/>
      <c r="Y475" s="663"/>
      <c r="Z475" s="663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45">
        <v>4680115886100</v>
      </c>
      <c r="E476" s="646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45">
        <v>4680115886124</v>
      </c>
      <c r="E477" s="646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45">
        <v>4607091384338</v>
      </c>
      <c r="E478" s="646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48"/>
      <c r="R478" s="648"/>
      <c r="S478" s="648"/>
      <c r="T478" s="649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45">
        <v>4680115883161</v>
      </c>
      <c r="E479" s="646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48"/>
      <c r="R479" s="648"/>
      <c r="S479" s="648"/>
      <c r="T479" s="649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45">
        <v>4607091389531</v>
      </c>
      <c r="E480" s="646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48"/>
      <c r="R480" s="648"/>
      <c r="S480" s="648"/>
      <c r="T480" s="649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45">
        <v>4607091384345</v>
      </c>
      <c r="E481" s="646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48"/>
      <c r="R481" s="648"/>
      <c r="S481" s="648"/>
      <c r="T481" s="649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9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80"/>
      <c r="P482" s="659" t="s">
        <v>71</v>
      </c>
      <c r="Q482" s="660"/>
      <c r="R482" s="660"/>
      <c r="S482" s="660"/>
      <c r="T482" s="660"/>
      <c r="U482" s="660"/>
      <c r="V482" s="661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80"/>
      <c r="P483" s="659" t="s">
        <v>71</v>
      </c>
      <c r="Q483" s="660"/>
      <c r="R483" s="660"/>
      <c r="S483" s="660"/>
      <c r="T483" s="660"/>
      <c r="U483" s="660"/>
      <c r="V483" s="661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62" t="s">
        <v>73</v>
      </c>
      <c r="B484" s="663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N484" s="663"/>
      <c r="O484" s="663"/>
      <c r="P484" s="663"/>
      <c r="Q484" s="663"/>
      <c r="R484" s="663"/>
      <c r="S484" s="663"/>
      <c r="T484" s="663"/>
      <c r="U484" s="663"/>
      <c r="V484" s="663"/>
      <c r="W484" s="663"/>
      <c r="X484" s="663"/>
      <c r="Y484" s="663"/>
      <c r="Z484" s="663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45">
        <v>4607091384352</v>
      </c>
      <c r="E485" s="646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48"/>
      <c r="R485" s="648"/>
      <c r="S485" s="648"/>
      <c r="T485" s="649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45">
        <v>4607091389654</v>
      </c>
      <c r="E486" s="646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48"/>
      <c r="R486" s="648"/>
      <c r="S486" s="648"/>
      <c r="T486" s="649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9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80"/>
      <c r="P487" s="659" t="s">
        <v>71</v>
      </c>
      <c r="Q487" s="660"/>
      <c r="R487" s="660"/>
      <c r="S487" s="660"/>
      <c r="T487" s="660"/>
      <c r="U487" s="660"/>
      <c r="V487" s="661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80"/>
      <c r="P488" s="659" t="s">
        <v>71</v>
      </c>
      <c r="Q488" s="660"/>
      <c r="R488" s="660"/>
      <c r="S488" s="660"/>
      <c r="T488" s="660"/>
      <c r="U488" s="660"/>
      <c r="V488" s="661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69" t="s">
        <v>773</v>
      </c>
      <c r="B489" s="663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N489" s="663"/>
      <c r="O489" s="663"/>
      <c r="P489" s="663"/>
      <c r="Q489" s="663"/>
      <c r="R489" s="663"/>
      <c r="S489" s="663"/>
      <c r="T489" s="663"/>
      <c r="U489" s="663"/>
      <c r="V489" s="663"/>
      <c r="W489" s="663"/>
      <c r="X489" s="663"/>
      <c r="Y489" s="663"/>
      <c r="Z489" s="663"/>
      <c r="AA489" s="636"/>
      <c r="AB489" s="636"/>
      <c r="AC489" s="636"/>
    </row>
    <row r="490" spans="1:68" ht="14.25" hidden="1" customHeight="1" x14ac:dyDescent="0.25">
      <c r="A490" s="662" t="s">
        <v>147</v>
      </c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3"/>
      <c r="P490" s="663"/>
      <c r="Q490" s="663"/>
      <c r="R490" s="663"/>
      <c r="S490" s="663"/>
      <c r="T490" s="663"/>
      <c r="U490" s="663"/>
      <c r="V490" s="663"/>
      <c r="W490" s="663"/>
      <c r="X490" s="663"/>
      <c r="Y490" s="663"/>
      <c r="Z490" s="663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45">
        <v>4680115885240</v>
      </c>
      <c r="E491" s="646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48"/>
      <c r="R491" s="648"/>
      <c r="S491" s="648"/>
      <c r="T491" s="649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9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80"/>
      <c r="P492" s="659" t="s">
        <v>71</v>
      </c>
      <c r="Q492" s="660"/>
      <c r="R492" s="660"/>
      <c r="S492" s="660"/>
      <c r="T492" s="660"/>
      <c r="U492" s="660"/>
      <c r="V492" s="661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80"/>
      <c r="P493" s="659" t="s">
        <v>71</v>
      </c>
      <c r="Q493" s="660"/>
      <c r="R493" s="660"/>
      <c r="S493" s="660"/>
      <c r="T493" s="660"/>
      <c r="U493" s="660"/>
      <c r="V493" s="661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62" t="s">
        <v>61</v>
      </c>
      <c r="B494" s="663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N494" s="663"/>
      <c r="O494" s="663"/>
      <c r="P494" s="663"/>
      <c r="Q494" s="663"/>
      <c r="R494" s="663"/>
      <c r="S494" s="663"/>
      <c r="T494" s="663"/>
      <c r="U494" s="663"/>
      <c r="V494" s="663"/>
      <c r="W494" s="663"/>
      <c r="X494" s="663"/>
      <c r="Y494" s="663"/>
      <c r="Z494" s="663"/>
      <c r="AA494" s="637"/>
      <c r="AB494" s="637"/>
      <c r="AC494" s="637"/>
    </row>
    <row r="495" spans="1:68" ht="27" hidden="1" customHeight="1" x14ac:dyDescent="0.25">
      <c r="A495" s="54" t="s">
        <v>777</v>
      </c>
      <c r="B495" s="54" t="s">
        <v>778</v>
      </c>
      <c r="C495" s="31">
        <v>4301031407</v>
      </c>
      <c r="D495" s="645">
        <v>4680115886094</v>
      </c>
      <c r="E495" s="646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48"/>
      <c r="R495" s="648"/>
      <c r="S495" s="648"/>
      <c r="T495" s="649"/>
      <c r="U495" s="34"/>
      <c r="V495" s="34"/>
      <c r="W495" s="35" t="s">
        <v>66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IFERROR(IF(Y495=0,"",ROUNDUP(Y495/H495,0)*0.00902),"")</f>
        <v/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45">
        <v>4680115880771</v>
      </c>
      <c r="E496" s="646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48"/>
      <c r="R496" s="648"/>
      <c r="S496" s="648"/>
      <c r="T496" s="649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45">
        <v>4607091389500</v>
      </c>
      <c r="E497" s="646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48"/>
      <c r="R497" s="648"/>
      <c r="S497" s="648"/>
      <c r="T497" s="649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idden="1" x14ac:dyDescent="0.2">
      <c r="A498" s="679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80"/>
      <c r="P498" s="659" t="s">
        <v>71</v>
      </c>
      <c r="Q498" s="660"/>
      <c r="R498" s="660"/>
      <c r="S498" s="660"/>
      <c r="T498" s="660"/>
      <c r="U498" s="660"/>
      <c r="V498" s="661"/>
      <c r="W498" s="37" t="s">
        <v>72</v>
      </c>
      <c r="X498" s="643">
        <f>IFERROR(X495/H495,"0")+IFERROR(X496/H496,"0")+IFERROR(X497/H497,"0")</f>
        <v>0</v>
      </c>
      <c r="Y498" s="643">
        <f>IFERROR(Y495/H495,"0")+IFERROR(Y496/H496,"0")+IFERROR(Y497/H497,"0")</f>
        <v>0</v>
      </c>
      <c r="Z498" s="643">
        <f>IFERROR(IF(Z495="",0,Z495),"0")+IFERROR(IF(Z496="",0,Z496),"0")+IFERROR(IF(Z497="",0,Z497),"0")</f>
        <v>0</v>
      </c>
      <c r="AA498" s="644"/>
      <c r="AB498" s="644"/>
      <c r="AC498" s="644"/>
    </row>
    <row r="499" spans="1:68" hidden="1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80"/>
      <c r="P499" s="659" t="s">
        <v>71</v>
      </c>
      <c r="Q499" s="660"/>
      <c r="R499" s="660"/>
      <c r="S499" s="660"/>
      <c r="T499" s="660"/>
      <c r="U499" s="660"/>
      <c r="V499" s="661"/>
      <c r="W499" s="37" t="s">
        <v>66</v>
      </c>
      <c r="X499" s="643">
        <f>IFERROR(SUM(X495:X497),"0")</f>
        <v>0</v>
      </c>
      <c r="Y499" s="643">
        <f>IFERROR(SUM(Y495:Y497),"0")</f>
        <v>0</v>
      </c>
      <c r="Z499" s="37"/>
      <c r="AA499" s="644"/>
      <c r="AB499" s="644"/>
      <c r="AC499" s="644"/>
    </row>
    <row r="500" spans="1:68" ht="27.75" hidden="1" customHeight="1" x14ac:dyDescent="0.2">
      <c r="A500" s="657" t="s">
        <v>785</v>
      </c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8"/>
      <c r="P500" s="658"/>
      <c r="Q500" s="658"/>
      <c r="R500" s="658"/>
      <c r="S500" s="658"/>
      <c r="T500" s="658"/>
      <c r="U500" s="658"/>
      <c r="V500" s="658"/>
      <c r="W500" s="658"/>
      <c r="X500" s="658"/>
      <c r="Y500" s="658"/>
      <c r="Z500" s="658"/>
      <c r="AA500" s="48"/>
      <c r="AB500" s="48"/>
      <c r="AC500" s="48"/>
    </row>
    <row r="501" spans="1:68" ht="16.5" hidden="1" customHeight="1" x14ac:dyDescent="0.25">
      <c r="A501" s="669" t="s">
        <v>785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  <c r="Y501" s="663"/>
      <c r="Z501" s="663"/>
      <c r="AA501" s="636"/>
      <c r="AB501" s="636"/>
      <c r="AC501" s="636"/>
    </row>
    <row r="502" spans="1:68" ht="14.25" hidden="1" customHeight="1" x14ac:dyDescent="0.25">
      <c r="A502" s="662" t="s">
        <v>110</v>
      </c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3"/>
      <c r="P502" s="663"/>
      <c r="Q502" s="663"/>
      <c r="R502" s="663"/>
      <c r="S502" s="663"/>
      <c r="T502" s="663"/>
      <c r="U502" s="663"/>
      <c r="V502" s="663"/>
      <c r="W502" s="663"/>
      <c r="X502" s="663"/>
      <c r="Y502" s="663"/>
      <c r="Z502" s="663"/>
      <c r="AA502" s="637"/>
      <c r="AB502" s="637"/>
      <c r="AC502" s="637"/>
    </row>
    <row r="503" spans="1:68" ht="27" hidden="1" customHeight="1" x14ac:dyDescent="0.25">
      <c r="A503" s="54" t="s">
        <v>786</v>
      </c>
      <c r="B503" s="54" t="s">
        <v>787</v>
      </c>
      <c r="C503" s="31">
        <v>4301011769</v>
      </c>
      <c r="D503" s="645">
        <v>4607091389067</v>
      </c>
      <c r="E503" s="646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48"/>
      <c r="R503" s="648"/>
      <c r="S503" s="648"/>
      <c r="T503" s="649"/>
      <c r="U503" s="34"/>
      <c r="V503" s="34"/>
      <c r="W503" s="35" t="s">
        <v>66</v>
      </c>
      <c r="X503" s="641">
        <v>0</v>
      </c>
      <c r="Y503" s="642">
        <f t="shared" ref="Y503:Y511" si="82">IFERROR(IF(X503="",0,CEILING((X503/$H503),1)*$H503),"")</f>
        <v>0</v>
      </c>
      <c r="Z503" s="36" t="str">
        <f t="shared" ref="Z503:Z508" si="83">IFERROR(IF(Y503=0,"",ROUNDUP(Y503/H503,0)*0.01196),"")</f>
        <v/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0</v>
      </c>
      <c r="BN503" s="64">
        <f t="shared" ref="BN503:BN511" si="85">IFERROR(Y503*I503/H503,"0")</f>
        <v>0</v>
      </c>
      <c r="BO503" s="64">
        <f t="shared" ref="BO503:BO511" si="86">IFERROR(1/J503*(X503/H503),"0")</f>
        <v>0</v>
      </c>
      <c r="BP503" s="64">
        <f t="shared" ref="BP503:BP511" si="87">IFERROR(1/J503*(Y503/H503),"0")</f>
        <v>0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45">
        <v>4680115889576</v>
      </c>
      <c r="E504" s="646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48"/>
      <c r="R504" s="648"/>
      <c r="S504" s="648"/>
      <c r="T504" s="649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45">
        <v>4680115885271</v>
      </c>
      <c r="E505" s="646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10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48"/>
      <c r="R505" s="648"/>
      <c r="S505" s="648"/>
      <c r="T505" s="649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customHeight="1" x14ac:dyDescent="0.25">
      <c r="A506" s="54" t="s">
        <v>794</v>
      </c>
      <c r="B506" s="54" t="s">
        <v>795</v>
      </c>
      <c r="C506" s="31">
        <v>4301011369</v>
      </c>
      <c r="D506" s="645">
        <v>4680115885226</v>
      </c>
      <c r="E506" s="646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48"/>
      <c r="R506" s="648"/>
      <c r="S506" s="648"/>
      <c r="T506" s="649"/>
      <c r="U506" s="34"/>
      <c r="V506" s="34"/>
      <c r="W506" s="35" t="s">
        <v>66</v>
      </c>
      <c r="X506" s="641">
        <v>184</v>
      </c>
      <c r="Y506" s="642">
        <f t="shared" si="82"/>
        <v>184.8</v>
      </c>
      <c r="Z506" s="36">
        <f t="shared" si="83"/>
        <v>0.41860000000000003</v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196.19696969696969</v>
      </c>
      <c r="BN506" s="64">
        <f t="shared" si="85"/>
        <v>197.04999999999998</v>
      </c>
      <c r="BO506" s="64">
        <f t="shared" si="86"/>
        <v>0.33508158508158503</v>
      </c>
      <c r="BP506" s="64">
        <f t="shared" si="87"/>
        <v>0.33653846153846156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45">
        <v>4680115884502</v>
      </c>
      <c r="E507" s="646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10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48"/>
      <c r="R507" s="648"/>
      <c r="S507" s="648"/>
      <c r="T507" s="649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customHeight="1" x14ac:dyDescent="0.25">
      <c r="A508" s="54" t="s">
        <v>800</v>
      </c>
      <c r="B508" s="54" t="s">
        <v>801</v>
      </c>
      <c r="C508" s="31">
        <v>4301011771</v>
      </c>
      <c r="D508" s="645">
        <v>4607091389104</v>
      </c>
      <c r="E508" s="646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48"/>
      <c r="R508" s="648"/>
      <c r="S508" s="648"/>
      <c r="T508" s="649"/>
      <c r="U508" s="34"/>
      <c r="V508" s="34"/>
      <c r="W508" s="35" t="s">
        <v>66</v>
      </c>
      <c r="X508" s="641">
        <v>367</v>
      </c>
      <c r="Y508" s="642">
        <f t="shared" si="82"/>
        <v>369.6</v>
      </c>
      <c r="Z508" s="36">
        <f t="shared" si="83"/>
        <v>0.83720000000000006</v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391.3276515151515</v>
      </c>
      <c r="BN508" s="64">
        <f t="shared" si="85"/>
        <v>394.09999999999997</v>
      </c>
      <c r="BO508" s="64">
        <f t="shared" si="86"/>
        <v>0.66834207459207451</v>
      </c>
      <c r="BP508" s="64">
        <f t="shared" si="87"/>
        <v>0.67307692307692313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45">
        <v>4680115886391</v>
      </c>
      <c r="E509" s="646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48"/>
      <c r="R509" s="648"/>
      <c r="S509" s="648"/>
      <c r="T509" s="649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customHeight="1" x14ac:dyDescent="0.25">
      <c r="A510" s="54" t="s">
        <v>805</v>
      </c>
      <c r="B510" s="54" t="s">
        <v>806</v>
      </c>
      <c r="C510" s="31">
        <v>4301012048</v>
      </c>
      <c r="D510" s="645">
        <v>4680115880603</v>
      </c>
      <c r="E510" s="646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48"/>
      <c r="R510" s="648"/>
      <c r="S510" s="648"/>
      <c r="T510" s="649"/>
      <c r="U510" s="34"/>
      <c r="V510" s="34"/>
      <c r="W510" s="35" t="s">
        <v>66</v>
      </c>
      <c r="X510" s="641">
        <v>8</v>
      </c>
      <c r="Y510" s="642">
        <f t="shared" si="82"/>
        <v>9.6</v>
      </c>
      <c r="Z510" s="36">
        <f>IFERROR(IF(Y510=0,"",ROUNDUP(Y510/H510,0)*0.00902),"")</f>
        <v>1.804E-2</v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11.516666666666667</v>
      </c>
      <c r="BN510" s="64">
        <f t="shared" si="85"/>
        <v>13.82</v>
      </c>
      <c r="BO510" s="64">
        <f t="shared" si="86"/>
        <v>1.2626262626262628E-2</v>
      </c>
      <c r="BP510" s="64">
        <f t="shared" si="87"/>
        <v>1.5151515151515152E-2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45">
        <v>4607091389982</v>
      </c>
      <c r="E511" s="646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48"/>
      <c r="R511" s="648"/>
      <c r="S511" s="648"/>
      <c r="T511" s="649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x14ac:dyDescent="0.2">
      <c r="A512" s="679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80"/>
      <c r="P512" s="659" t="s">
        <v>71</v>
      </c>
      <c r="Q512" s="660"/>
      <c r="R512" s="660"/>
      <c r="S512" s="660"/>
      <c r="T512" s="660"/>
      <c r="U512" s="660"/>
      <c r="V512" s="661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106.02272727272727</v>
      </c>
      <c r="Y512" s="643">
        <f>IFERROR(Y503/H503,"0")+IFERROR(Y504/H504,"0")+IFERROR(Y505/H505,"0")+IFERROR(Y506/H506,"0")+IFERROR(Y507/H507,"0")+IFERROR(Y508/H508,"0")+IFERROR(Y509/H509,"0")+IFERROR(Y510/H510,"0")+IFERROR(Y511/H511,"0")</f>
        <v>107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1.2738400000000001</v>
      </c>
      <c r="AA512" s="644"/>
      <c r="AB512" s="644"/>
      <c r="AC512" s="644"/>
    </row>
    <row r="513" spans="1:68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80"/>
      <c r="P513" s="659" t="s">
        <v>71</v>
      </c>
      <c r="Q513" s="660"/>
      <c r="R513" s="660"/>
      <c r="S513" s="660"/>
      <c r="T513" s="660"/>
      <c r="U513" s="660"/>
      <c r="V513" s="661"/>
      <c r="W513" s="37" t="s">
        <v>66</v>
      </c>
      <c r="X513" s="643">
        <f>IFERROR(SUM(X503:X511),"0")</f>
        <v>559</v>
      </c>
      <c r="Y513" s="643">
        <f>IFERROR(SUM(Y503:Y511),"0")</f>
        <v>564.00000000000011</v>
      </c>
      <c r="Z513" s="37"/>
      <c r="AA513" s="644"/>
      <c r="AB513" s="644"/>
      <c r="AC513" s="644"/>
    </row>
    <row r="514" spans="1:68" ht="14.25" hidden="1" customHeight="1" x14ac:dyDescent="0.25">
      <c r="A514" s="662" t="s">
        <v>147</v>
      </c>
      <c r="B514" s="663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663"/>
      <c r="S514" s="663"/>
      <c r="T514" s="663"/>
      <c r="U514" s="663"/>
      <c r="V514" s="663"/>
      <c r="W514" s="663"/>
      <c r="X514" s="663"/>
      <c r="Y514" s="663"/>
      <c r="Z514" s="663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45">
        <v>4607091388930</v>
      </c>
      <c r="E515" s="646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9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48"/>
      <c r="R515" s="648"/>
      <c r="S515" s="648"/>
      <c r="T515" s="649"/>
      <c r="U515" s="34"/>
      <c r="V515" s="34"/>
      <c r="W515" s="35" t="s">
        <v>66</v>
      </c>
      <c r="X515" s="641">
        <v>669</v>
      </c>
      <c r="Y515" s="642">
        <f>IFERROR(IF(X515="",0,CEILING((X515/$H515),1)*$H515),"")</f>
        <v>670.56000000000006</v>
      </c>
      <c r="Z515" s="36">
        <f>IFERROR(IF(Y515=0,"",ROUNDUP(Y515/H515,0)*0.01196),"")</f>
        <v>1.51892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713.34659090909088</v>
      </c>
      <c r="BN515" s="64">
        <f>IFERROR(Y515*I515/H515,"0")</f>
        <v>715.01</v>
      </c>
      <c r="BO515" s="64">
        <f>IFERROR(1/J515*(X515/H515),"0")</f>
        <v>1.2183129370629371</v>
      </c>
      <c r="BP515" s="64">
        <f>IFERROR(1/J515*(Y515/H515),"0")</f>
        <v>1.2211538461538463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45">
        <v>4680115886407</v>
      </c>
      <c r="E516" s="646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48"/>
      <c r="R516" s="648"/>
      <c r="S516" s="648"/>
      <c r="T516" s="649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customHeight="1" x14ac:dyDescent="0.25">
      <c r="A517" s="54" t="s">
        <v>814</v>
      </c>
      <c r="B517" s="54" t="s">
        <v>815</v>
      </c>
      <c r="C517" s="31">
        <v>4301020385</v>
      </c>
      <c r="D517" s="645">
        <v>4680115880054</v>
      </c>
      <c r="E517" s="646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48"/>
      <c r="R517" s="648"/>
      <c r="S517" s="648"/>
      <c r="T517" s="649"/>
      <c r="U517" s="34"/>
      <c r="V517" s="34"/>
      <c r="W517" s="35" t="s">
        <v>66</v>
      </c>
      <c r="X517" s="641">
        <v>37</v>
      </c>
      <c r="Y517" s="642">
        <f>IFERROR(IF(X517="",0,CEILING((X517/$H517),1)*$H517),"")</f>
        <v>38.4</v>
      </c>
      <c r="Z517" s="36">
        <f>IFERROR(IF(Y517=0,"",ROUNDUP(Y517/H517,0)*0.00902),"")</f>
        <v>7.2160000000000002E-2</v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53.264583333333341</v>
      </c>
      <c r="BN517" s="64">
        <f>IFERROR(Y517*I517/H517,"0")</f>
        <v>55.28</v>
      </c>
      <c r="BO517" s="64">
        <f>IFERROR(1/J517*(X517/H517),"0")</f>
        <v>5.8396464646464655E-2</v>
      </c>
      <c r="BP517" s="64">
        <f>IFERROR(1/J517*(Y517/H517),"0")</f>
        <v>6.0606060606060608E-2</v>
      </c>
    </row>
    <row r="518" spans="1:68" x14ac:dyDescent="0.2">
      <c r="A518" s="679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80"/>
      <c r="P518" s="659" t="s">
        <v>71</v>
      </c>
      <c r="Q518" s="660"/>
      <c r="R518" s="660"/>
      <c r="S518" s="660"/>
      <c r="T518" s="660"/>
      <c r="U518" s="660"/>
      <c r="V518" s="661"/>
      <c r="W518" s="37" t="s">
        <v>72</v>
      </c>
      <c r="X518" s="643">
        <f>IFERROR(X515/H515,"0")+IFERROR(X516/H516,"0")+IFERROR(X517/H517,"0")</f>
        <v>134.41287878787878</v>
      </c>
      <c r="Y518" s="643">
        <f>IFERROR(Y515/H515,"0")+IFERROR(Y516/H516,"0")+IFERROR(Y517/H517,"0")</f>
        <v>135</v>
      </c>
      <c r="Z518" s="643">
        <f>IFERROR(IF(Z515="",0,Z515),"0")+IFERROR(IF(Z516="",0,Z516),"0")+IFERROR(IF(Z517="",0,Z517),"0")</f>
        <v>1.59108</v>
      </c>
      <c r="AA518" s="644"/>
      <c r="AB518" s="644"/>
      <c r="AC518" s="644"/>
    </row>
    <row r="519" spans="1:68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80"/>
      <c r="P519" s="659" t="s">
        <v>71</v>
      </c>
      <c r="Q519" s="660"/>
      <c r="R519" s="660"/>
      <c r="S519" s="660"/>
      <c r="T519" s="660"/>
      <c r="U519" s="660"/>
      <c r="V519" s="661"/>
      <c r="W519" s="37" t="s">
        <v>66</v>
      </c>
      <c r="X519" s="643">
        <f>IFERROR(SUM(X515:X517),"0")</f>
        <v>706</v>
      </c>
      <c r="Y519" s="643">
        <f>IFERROR(SUM(Y515:Y517),"0")</f>
        <v>708.96</v>
      </c>
      <c r="Z519" s="37"/>
      <c r="AA519" s="644"/>
      <c r="AB519" s="644"/>
      <c r="AC519" s="644"/>
    </row>
    <row r="520" spans="1:68" ht="14.25" hidden="1" customHeight="1" x14ac:dyDescent="0.25">
      <c r="A520" s="662" t="s">
        <v>61</v>
      </c>
      <c r="B520" s="663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N520" s="663"/>
      <c r="O520" s="663"/>
      <c r="P520" s="663"/>
      <c r="Q520" s="663"/>
      <c r="R520" s="663"/>
      <c r="S520" s="663"/>
      <c r="T520" s="663"/>
      <c r="U520" s="663"/>
      <c r="V520" s="663"/>
      <c r="W520" s="663"/>
      <c r="X520" s="663"/>
      <c r="Y520" s="663"/>
      <c r="Z520" s="663"/>
      <c r="AA520" s="637"/>
      <c r="AB520" s="637"/>
      <c r="AC520" s="637"/>
    </row>
    <row r="521" spans="1:68" ht="27" customHeight="1" x14ac:dyDescent="0.25">
      <c r="A521" s="54" t="s">
        <v>816</v>
      </c>
      <c r="B521" s="54" t="s">
        <v>817</v>
      </c>
      <c r="C521" s="31">
        <v>4301031349</v>
      </c>
      <c r="D521" s="645">
        <v>4680115883116</v>
      </c>
      <c r="E521" s="646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48"/>
      <c r="R521" s="648"/>
      <c r="S521" s="648"/>
      <c r="T521" s="649"/>
      <c r="U521" s="34"/>
      <c r="V521" s="34"/>
      <c r="W521" s="35" t="s">
        <v>66</v>
      </c>
      <c r="X521" s="641">
        <v>38</v>
      </c>
      <c r="Y521" s="642">
        <f t="shared" ref="Y521:Y527" si="88">IFERROR(IF(X521="",0,CEILING((X521/$H521),1)*$H521),"")</f>
        <v>42.24</v>
      </c>
      <c r="Z521" s="36">
        <f>IFERROR(IF(Y521=0,"",ROUNDUP(Y521/H521,0)*0.01196),"")</f>
        <v>9.5680000000000001E-2</v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40.518939393939391</v>
      </c>
      <c r="BN521" s="64">
        <f t="shared" ref="BN521:BN527" si="90">IFERROR(Y521*I521/H521,"0")</f>
        <v>45.04</v>
      </c>
      <c r="BO521" s="64">
        <f t="shared" ref="BO521:BO527" si="91">IFERROR(1/J521*(X521/H521),"0")</f>
        <v>6.9201631701631697E-2</v>
      </c>
      <c r="BP521" s="64">
        <f t="shared" ref="BP521:BP527" si="92">IFERROR(1/J521*(Y521/H521),"0")</f>
        <v>7.6923076923076927E-2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45">
        <v>4680115883093</v>
      </c>
      <c r="E522" s="646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48"/>
      <c r="R522" s="648"/>
      <c r="S522" s="648"/>
      <c r="T522" s="649"/>
      <c r="U522" s="34"/>
      <c r="V522" s="34"/>
      <c r="W522" s="35" t="s">
        <v>66</v>
      </c>
      <c r="X522" s="641">
        <v>130</v>
      </c>
      <c r="Y522" s="642">
        <f t="shared" si="88"/>
        <v>132</v>
      </c>
      <c r="Z522" s="36">
        <f>IFERROR(IF(Y522=0,"",ROUNDUP(Y522/H522,0)*0.01196),"")</f>
        <v>0.29899999999999999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138.61742424242422</v>
      </c>
      <c r="BN522" s="64">
        <f t="shared" si="90"/>
        <v>140.75</v>
      </c>
      <c r="BO522" s="64">
        <f t="shared" si="91"/>
        <v>0.23674242424242425</v>
      </c>
      <c r="BP522" s="64">
        <f t="shared" si="92"/>
        <v>0.24038461538461539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45">
        <v>4680115883109</v>
      </c>
      <c r="E523" s="646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7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48"/>
      <c r="R523" s="648"/>
      <c r="S523" s="648"/>
      <c r="T523" s="649"/>
      <c r="U523" s="34"/>
      <c r="V523" s="34"/>
      <c r="W523" s="35" t="s">
        <v>66</v>
      </c>
      <c r="X523" s="641">
        <v>102</v>
      </c>
      <c r="Y523" s="642">
        <f t="shared" si="88"/>
        <v>105.60000000000001</v>
      </c>
      <c r="Z523" s="36">
        <f>IFERROR(IF(Y523=0,"",ROUNDUP(Y523/H523,0)*0.01196),"")</f>
        <v>0.2392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108.76136363636363</v>
      </c>
      <c r="BN523" s="64">
        <f t="shared" si="90"/>
        <v>112.6</v>
      </c>
      <c r="BO523" s="64">
        <f t="shared" si="91"/>
        <v>0.18575174825174826</v>
      </c>
      <c r="BP523" s="64">
        <f t="shared" si="92"/>
        <v>0.19230769230769232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45">
        <v>4680115882072</v>
      </c>
      <c r="E524" s="646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8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48"/>
      <c r="R524" s="648"/>
      <c r="S524" s="648"/>
      <c r="T524" s="649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45">
        <v>4680115882102</v>
      </c>
      <c r="E525" s="646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45">
        <v>4680115882102</v>
      </c>
      <c r="E526" s="646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9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45">
        <v>4680115882096</v>
      </c>
      <c r="E527" s="646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9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80"/>
      <c r="P528" s="659" t="s">
        <v>71</v>
      </c>
      <c r="Q528" s="660"/>
      <c r="R528" s="660"/>
      <c r="S528" s="660"/>
      <c r="T528" s="660"/>
      <c r="U528" s="660"/>
      <c r="V528" s="661"/>
      <c r="W528" s="37" t="s">
        <v>72</v>
      </c>
      <c r="X528" s="643">
        <f>IFERROR(X521/H521,"0")+IFERROR(X522/H522,"0")+IFERROR(X523/H523,"0")+IFERROR(X524/H524,"0")+IFERROR(X525/H525,"0")+IFERROR(X526/H526,"0")+IFERROR(X527/H527,"0")</f>
        <v>51.136363636363633</v>
      </c>
      <c r="Y528" s="643">
        <f>IFERROR(Y521/H521,"0")+IFERROR(Y522/H522,"0")+IFERROR(Y523/H523,"0")+IFERROR(Y524/H524,"0")+IFERROR(Y525/H525,"0")+IFERROR(Y526/H526,"0")+IFERROR(Y527/H527,"0")</f>
        <v>53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0.63388</v>
      </c>
      <c r="AA528" s="644"/>
      <c r="AB528" s="644"/>
      <c r="AC528" s="644"/>
    </row>
    <row r="529" spans="1:68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80"/>
      <c r="P529" s="659" t="s">
        <v>71</v>
      </c>
      <c r="Q529" s="660"/>
      <c r="R529" s="660"/>
      <c r="S529" s="660"/>
      <c r="T529" s="660"/>
      <c r="U529" s="660"/>
      <c r="V529" s="661"/>
      <c r="W529" s="37" t="s">
        <v>66</v>
      </c>
      <c r="X529" s="643">
        <f>IFERROR(SUM(X521:X527),"0")</f>
        <v>270</v>
      </c>
      <c r="Y529" s="643">
        <f>IFERROR(SUM(Y521:Y527),"0")</f>
        <v>279.84000000000003</v>
      </c>
      <c r="Z529" s="37"/>
      <c r="AA529" s="644"/>
      <c r="AB529" s="644"/>
      <c r="AC529" s="644"/>
    </row>
    <row r="530" spans="1:68" ht="27.75" hidden="1" customHeight="1" x14ac:dyDescent="0.2">
      <c r="A530" s="657" t="s">
        <v>832</v>
      </c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8"/>
      <c r="P530" s="658"/>
      <c r="Q530" s="658"/>
      <c r="R530" s="658"/>
      <c r="S530" s="658"/>
      <c r="T530" s="658"/>
      <c r="U530" s="658"/>
      <c r="V530" s="658"/>
      <c r="W530" s="658"/>
      <c r="X530" s="658"/>
      <c r="Y530" s="658"/>
      <c r="Z530" s="658"/>
      <c r="AA530" s="48"/>
      <c r="AB530" s="48"/>
      <c r="AC530" s="48"/>
    </row>
    <row r="531" spans="1:68" ht="16.5" hidden="1" customHeight="1" x14ac:dyDescent="0.25">
      <c r="A531" s="669" t="s">
        <v>832</v>
      </c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3"/>
      <c r="P531" s="663"/>
      <c r="Q531" s="663"/>
      <c r="R531" s="663"/>
      <c r="S531" s="663"/>
      <c r="T531" s="663"/>
      <c r="U531" s="663"/>
      <c r="V531" s="663"/>
      <c r="W531" s="663"/>
      <c r="X531" s="663"/>
      <c r="Y531" s="663"/>
      <c r="Z531" s="663"/>
      <c r="AA531" s="636"/>
      <c r="AB531" s="636"/>
      <c r="AC531" s="636"/>
    </row>
    <row r="532" spans="1:68" ht="14.25" hidden="1" customHeight="1" x14ac:dyDescent="0.25">
      <c r="A532" s="662" t="s">
        <v>110</v>
      </c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3"/>
      <c r="P532" s="663"/>
      <c r="Q532" s="663"/>
      <c r="R532" s="663"/>
      <c r="S532" s="663"/>
      <c r="T532" s="663"/>
      <c r="U532" s="663"/>
      <c r="V532" s="663"/>
      <c r="W532" s="663"/>
      <c r="X532" s="663"/>
      <c r="Y532" s="663"/>
      <c r="Z532" s="663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45">
        <v>4680115889736</v>
      </c>
      <c r="E533" s="646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48"/>
      <c r="R533" s="648"/>
      <c r="S533" s="648"/>
      <c r="T533" s="649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9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80"/>
      <c r="P534" s="659" t="s">
        <v>71</v>
      </c>
      <c r="Q534" s="660"/>
      <c r="R534" s="660"/>
      <c r="S534" s="660"/>
      <c r="T534" s="660"/>
      <c r="U534" s="660"/>
      <c r="V534" s="661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80"/>
      <c r="P535" s="659" t="s">
        <v>71</v>
      </c>
      <c r="Q535" s="660"/>
      <c r="R535" s="660"/>
      <c r="S535" s="660"/>
      <c r="T535" s="660"/>
      <c r="U535" s="660"/>
      <c r="V535" s="661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62" t="s">
        <v>147</v>
      </c>
      <c r="B536" s="663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N536" s="663"/>
      <c r="O536" s="663"/>
      <c r="P536" s="663"/>
      <c r="Q536" s="663"/>
      <c r="R536" s="663"/>
      <c r="S536" s="663"/>
      <c r="T536" s="663"/>
      <c r="U536" s="663"/>
      <c r="V536" s="663"/>
      <c r="W536" s="663"/>
      <c r="X536" s="663"/>
      <c r="Y536" s="663"/>
      <c r="Z536" s="663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45">
        <v>4680115889781</v>
      </c>
      <c r="E537" s="646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48"/>
      <c r="R537" s="648"/>
      <c r="S537" s="648"/>
      <c r="T537" s="649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9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80"/>
      <c r="P538" s="659" t="s">
        <v>71</v>
      </c>
      <c r="Q538" s="660"/>
      <c r="R538" s="660"/>
      <c r="S538" s="660"/>
      <c r="T538" s="660"/>
      <c r="U538" s="660"/>
      <c r="V538" s="661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80"/>
      <c r="P539" s="659" t="s">
        <v>71</v>
      </c>
      <c r="Q539" s="660"/>
      <c r="R539" s="660"/>
      <c r="S539" s="660"/>
      <c r="T539" s="660"/>
      <c r="U539" s="660"/>
      <c r="V539" s="661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62" t="s">
        <v>61</v>
      </c>
      <c r="B540" s="663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N540" s="663"/>
      <c r="O540" s="663"/>
      <c r="P540" s="663"/>
      <c r="Q540" s="663"/>
      <c r="R540" s="663"/>
      <c r="S540" s="663"/>
      <c r="T540" s="663"/>
      <c r="U540" s="663"/>
      <c r="V540" s="663"/>
      <c r="W540" s="663"/>
      <c r="X540" s="663"/>
      <c r="Y540" s="663"/>
      <c r="Z540" s="663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45">
        <v>4680115889774</v>
      </c>
      <c r="E541" s="646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9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48"/>
      <c r="R541" s="648"/>
      <c r="S541" s="648"/>
      <c r="T541" s="649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9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80"/>
      <c r="P542" s="659" t="s">
        <v>71</v>
      </c>
      <c r="Q542" s="660"/>
      <c r="R542" s="660"/>
      <c r="S542" s="660"/>
      <c r="T542" s="660"/>
      <c r="U542" s="660"/>
      <c r="V542" s="661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80"/>
      <c r="P543" s="659" t="s">
        <v>71</v>
      </c>
      <c r="Q543" s="660"/>
      <c r="R543" s="660"/>
      <c r="S543" s="660"/>
      <c r="T543" s="660"/>
      <c r="U543" s="660"/>
      <c r="V543" s="661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62" t="s">
        <v>73</v>
      </c>
      <c r="B544" s="663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N544" s="663"/>
      <c r="O544" s="663"/>
      <c r="P544" s="663"/>
      <c r="Q544" s="663"/>
      <c r="R544" s="663"/>
      <c r="S544" s="663"/>
      <c r="T544" s="663"/>
      <c r="U544" s="663"/>
      <c r="V544" s="663"/>
      <c r="W544" s="663"/>
      <c r="X544" s="663"/>
      <c r="Y544" s="663"/>
      <c r="Z544" s="663"/>
      <c r="AA544" s="637"/>
      <c r="AB544" s="637"/>
      <c r="AC544" s="637"/>
    </row>
    <row r="545" spans="1:68" ht="27" hidden="1" customHeight="1" x14ac:dyDescent="0.25">
      <c r="A545" s="54" t="s">
        <v>841</v>
      </c>
      <c r="B545" s="54" t="s">
        <v>842</v>
      </c>
      <c r="C545" s="31">
        <v>4301052282</v>
      </c>
      <c r="D545" s="645">
        <v>4680115889811</v>
      </c>
      <c r="E545" s="646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83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48"/>
      <c r="R545" s="648"/>
      <c r="S545" s="648"/>
      <c r="T545" s="649"/>
      <c r="U545" s="34"/>
      <c r="V545" s="34"/>
      <c r="W545" s="35" t="s">
        <v>66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79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80"/>
      <c r="P546" s="659" t="s">
        <v>71</v>
      </c>
      <c r="Q546" s="660"/>
      <c r="R546" s="660"/>
      <c r="S546" s="660"/>
      <c r="T546" s="660"/>
      <c r="U546" s="660"/>
      <c r="V546" s="661"/>
      <c r="W546" s="37" t="s">
        <v>72</v>
      </c>
      <c r="X546" s="643">
        <f>IFERROR(X545/H545,"0")</f>
        <v>0</v>
      </c>
      <c r="Y546" s="643">
        <f>IFERROR(Y545/H545,"0")</f>
        <v>0</v>
      </c>
      <c r="Z546" s="643">
        <f>IFERROR(IF(Z545="",0,Z545),"0")</f>
        <v>0</v>
      </c>
      <c r="AA546" s="644"/>
      <c r="AB546" s="644"/>
      <c r="AC546" s="644"/>
    </row>
    <row r="547" spans="1:68" hidden="1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80"/>
      <c r="P547" s="659" t="s">
        <v>71</v>
      </c>
      <c r="Q547" s="660"/>
      <c r="R547" s="660"/>
      <c r="S547" s="660"/>
      <c r="T547" s="660"/>
      <c r="U547" s="660"/>
      <c r="V547" s="661"/>
      <c r="W547" s="37" t="s">
        <v>66</v>
      </c>
      <c r="X547" s="643">
        <f>IFERROR(SUM(X545:X545),"0")</f>
        <v>0</v>
      </c>
      <c r="Y547" s="643">
        <f>IFERROR(SUM(Y545:Y545),"0")</f>
        <v>0</v>
      </c>
      <c r="Z547" s="37"/>
      <c r="AA547" s="644"/>
      <c r="AB547" s="644"/>
      <c r="AC547" s="644"/>
    </row>
    <row r="548" spans="1:68" ht="14.25" hidden="1" customHeight="1" x14ac:dyDescent="0.25">
      <c r="A548" s="662" t="s">
        <v>166</v>
      </c>
      <c r="B548" s="663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N548" s="663"/>
      <c r="O548" s="663"/>
      <c r="P548" s="663"/>
      <c r="Q548" s="663"/>
      <c r="R548" s="663"/>
      <c r="S548" s="663"/>
      <c r="T548" s="663"/>
      <c r="U548" s="663"/>
      <c r="V548" s="663"/>
      <c r="W548" s="663"/>
      <c r="X548" s="663"/>
      <c r="Y548" s="663"/>
      <c r="Z548" s="663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45">
        <v>4680115889804</v>
      </c>
      <c r="E549" s="646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8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45">
        <v>4680115889828</v>
      </c>
      <c r="E550" s="646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9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80"/>
      <c r="P551" s="659" t="s">
        <v>71</v>
      </c>
      <c r="Q551" s="660"/>
      <c r="R551" s="660"/>
      <c r="S551" s="660"/>
      <c r="T551" s="660"/>
      <c r="U551" s="660"/>
      <c r="V551" s="661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80"/>
      <c r="P552" s="659" t="s">
        <v>71</v>
      </c>
      <c r="Q552" s="660"/>
      <c r="R552" s="660"/>
      <c r="S552" s="660"/>
      <c r="T552" s="660"/>
      <c r="U552" s="660"/>
      <c r="V552" s="661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69" t="s">
        <v>850</v>
      </c>
      <c r="B553" s="663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N553" s="663"/>
      <c r="O553" s="663"/>
      <c r="P553" s="663"/>
      <c r="Q553" s="663"/>
      <c r="R553" s="663"/>
      <c r="S553" s="663"/>
      <c r="T553" s="663"/>
      <c r="U553" s="663"/>
      <c r="V553" s="663"/>
      <c r="W553" s="663"/>
      <c r="X553" s="663"/>
      <c r="Y553" s="663"/>
      <c r="Z553" s="663"/>
      <c r="AA553" s="636"/>
      <c r="AB553" s="636"/>
      <c r="AC553" s="636"/>
    </row>
    <row r="554" spans="1:68" ht="14.25" hidden="1" customHeight="1" x14ac:dyDescent="0.25">
      <c r="A554" s="662" t="s">
        <v>147</v>
      </c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3"/>
      <c r="P554" s="663"/>
      <c r="Q554" s="663"/>
      <c r="R554" s="663"/>
      <c r="S554" s="663"/>
      <c r="T554" s="663"/>
      <c r="U554" s="663"/>
      <c r="V554" s="663"/>
      <c r="W554" s="663"/>
      <c r="X554" s="663"/>
      <c r="Y554" s="663"/>
      <c r="Z554" s="663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45">
        <v>4680115889798</v>
      </c>
      <c r="E555" s="646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2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48"/>
      <c r="R555" s="648"/>
      <c r="S555" s="648"/>
      <c r="T555" s="649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9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80"/>
      <c r="P556" s="659" t="s">
        <v>71</v>
      </c>
      <c r="Q556" s="660"/>
      <c r="R556" s="660"/>
      <c r="S556" s="660"/>
      <c r="T556" s="660"/>
      <c r="U556" s="660"/>
      <c r="V556" s="661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80"/>
      <c r="P557" s="659" t="s">
        <v>71</v>
      </c>
      <c r="Q557" s="660"/>
      <c r="R557" s="660"/>
      <c r="S557" s="660"/>
      <c r="T557" s="660"/>
      <c r="U557" s="660"/>
      <c r="V557" s="661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32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819"/>
      <c r="P558" s="666" t="s">
        <v>854</v>
      </c>
      <c r="Q558" s="667"/>
      <c r="R558" s="667"/>
      <c r="S558" s="667"/>
      <c r="T558" s="667"/>
      <c r="U558" s="667"/>
      <c r="V558" s="668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16860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17039.13</v>
      </c>
      <c r="Z558" s="37"/>
      <c r="AA558" s="644"/>
      <c r="AB558" s="644"/>
      <c r="AC558" s="644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819"/>
      <c r="P559" s="666" t="s">
        <v>855</v>
      </c>
      <c r="Q559" s="667"/>
      <c r="R559" s="667"/>
      <c r="S559" s="667"/>
      <c r="T559" s="667"/>
      <c r="U559" s="667"/>
      <c r="V559" s="668"/>
      <c r="W559" s="37" t="s">
        <v>66</v>
      </c>
      <c r="X559" s="643">
        <f>IFERROR(SUM(BM22:BM555),"0")</f>
        <v>17840.179374679956</v>
      </c>
      <c r="Y559" s="643">
        <f>IFERROR(SUM(BN22:BN555),"0")</f>
        <v>18030.528999999999</v>
      </c>
      <c r="Z559" s="37"/>
      <c r="AA559" s="644"/>
      <c r="AB559" s="644"/>
      <c r="AC559" s="644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819"/>
      <c r="P560" s="666" t="s">
        <v>856</v>
      </c>
      <c r="Q560" s="667"/>
      <c r="R560" s="667"/>
      <c r="S560" s="667"/>
      <c r="T560" s="667"/>
      <c r="U560" s="667"/>
      <c r="V560" s="668"/>
      <c r="W560" s="37" t="s">
        <v>857</v>
      </c>
      <c r="X560" s="38">
        <f>ROUNDUP(SUM(BO22:BO555),0)</f>
        <v>31</v>
      </c>
      <c r="Y560" s="38">
        <f>ROUNDUP(SUM(BP22:BP555),0)</f>
        <v>31</v>
      </c>
      <c r="Z560" s="37"/>
      <c r="AA560" s="644"/>
      <c r="AB560" s="644"/>
      <c r="AC560" s="644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819"/>
      <c r="P561" s="666" t="s">
        <v>858</v>
      </c>
      <c r="Q561" s="667"/>
      <c r="R561" s="667"/>
      <c r="S561" s="667"/>
      <c r="T561" s="667"/>
      <c r="U561" s="667"/>
      <c r="V561" s="668"/>
      <c r="W561" s="37" t="s">
        <v>66</v>
      </c>
      <c r="X561" s="643">
        <f>GrossWeightTotal+PalletQtyTotal*25</f>
        <v>18615.179374679956</v>
      </c>
      <c r="Y561" s="643">
        <f>GrossWeightTotalR+PalletQtyTotalR*25</f>
        <v>18805.528999999999</v>
      </c>
      <c r="Z561" s="37"/>
      <c r="AA561" s="644"/>
      <c r="AB561" s="644"/>
      <c r="AC561" s="644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819"/>
      <c r="P562" s="666" t="s">
        <v>859</v>
      </c>
      <c r="Q562" s="667"/>
      <c r="R562" s="667"/>
      <c r="S562" s="667"/>
      <c r="T562" s="667"/>
      <c r="U562" s="667"/>
      <c r="V562" s="668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3193.1449302650622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3226</v>
      </c>
      <c r="Z562" s="37"/>
      <c r="AA562" s="644"/>
      <c r="AB562" s="644"/>
      <c r="AC562" s="644"/>
    </row>
    <row r="563" spans="1:32" ht="14.25" hidden="1" customHeight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819"/>
      <c r="P563" s="666" t="s">
        <v>860</v>
      </c>
      <c r="Q563" s="667"/>
      <c r="R563" s="667"/>
      <c r="S563" s="667"/>
      <c r="T563" s="667"/>
      <c r="U563" s="667"/>
      <c r="V563" s="668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35.909529999999997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52" t="s">
        <v>108</v>
      </c>
      <c r="E565" s="971"/>
      <c r="F565" s="971"/>
      <c r="G565" s="971"/>
      <c r="H565" s="971"/>
      <c r="I565" s="971"/>
      <c r="J565" s="750"/>
      <c r="K565" s="652" t="s">
        <v>334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0"/>
      <c r="W565" s="652" t="s">
        <v>683</v>
      </c>
      <c r="X565" s="750"/>
      <c r="Y565" s="652" t="s">
        <v>749</v>
      </c>
      <c r="Z565" s="750"/>
      <c r="AA565" s="638" t="s">
        <v>785</v>
      </c>
      <c r="AB565" s="652" t="s">
        <v>832</v>
      </c>
      <c r="AC565" s="750"/>
      <c r="AF565" s="639"/>
    </row>
    <row r="566" spans="1:32" ht="14.25" customHeight="1" thickTop="1" x14ac:dyDescent="0.2">
      <c r="A566" s="655" t="s">
        <v>863</v>
      </c>
      <c r="B566" s="652" t="s">
        <v>60</v>
      </c>
      <c r="C566" s="652" t="s">
        <v>92</v>
      </c>
      <c r="D566" s="652" t="s">
        <v>109</v>
      </c>
      <c r="E566" s="652" t="s">
        <v>125</v>
      </c>
      <c r="F566" s="652" t="s">
        <v>174</v>
      </c>
      <c r="G566" s="652" t="s">
        <v>198</v>
      </c>
      <c r="H566" s="652" t="s">
        <v>238</v>
      </c>
      <c r="I566" s="652" t="s">
        <v>251</v>
      </c>
      <c r="J566" s="652" t="s">
        <v>108</v>
      </c>
      <c r="K566" s="652" t="s">
        <v>335</v>
      </c>
      <c r="L566" s="652" t="s">
        <v>356</v>
      </c>
      <c r="M566" s="652" t="s">
        <v>427</v>
      </c>
      <c r="N566" s="639"/>
      <c r="O566" s="652" t="s">
        <v>495</v>
      </c>
      <c r="P566" s="652" t="s">
        <v>524</v>
      </c>
      <c r="Q566" s="652" t="s">
        <v>543</v>
      </c>
      <c r="R566" s="652" t="s">
        <v>552</v>
      </c>
      <c r="S566" s="652" t="s">
        <v>571</v>
      </c>
      <c r="T566" s="652" t="s">
        <v>580</v>
      </c>
      <c r="U566" s="652" t="s">
        <v>666</v>
      </c>
      <c r="V566" s="652" t="s">
        <v>673</v>
      </c>
      <c r="W566" s="652" t="s">
        <v>684</v>
      </c>
      <c r="X566" s="652" t="s">
        <v>733</v>
      </c>
      <c r="Y566" s="652" t="s">
        <v>750</v>
      </c>
      <c r="Z566" s="652" t="s">
        <v>773</v>
      </c>
      <c r="AA566" s="652" t="s">
        <v>785</v>
      </c>
      <c r="AB566" s="652" t="s">
        <v>832</v>
      </c>
      <c r="AC566" s="652" t="s">
        <v>850</v>
      </c>
      <c r="AF566" s="639"/>
    </row>
    <row r="567" spans="1:32" ht="13.5" customHeight="1" thickBot="1" x14ac:dyDescent="0.25">
      <c r="A567" s="656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39"/>
      <c r="O567" s="653"/>
      <c r="P567" s="653"/>
      <c r="Q567" s="653"/>
      <c r="R567" s="653"/>
      <c r="S567" s="653"/>
      <c r="T567" s="653"/>
      <c r="U567" s="653"/>
      <c r="V567" s="653"/>
      <c r="W567" s="653"/>
      <c r="X567" s="653"/>
      <c r="Y567" s="653"/>
      <c r="Z567" s="653"/>
      <c r="AA567" s="653"/>
      <c r="AB567" s="653"/>
      <c r="AC567" s="653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1758.8000000000002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438.80000000000007</v>
      </c>
      <c r="F568" s="46">
        <f>IFERROR(Y87*1,"0")+IFERROR(Y88*1,"0")+IFERROR(Y89*1,"0")+IFERROR(Y90*1,"0")+IFERROR(Y91*1,"0")+IFERROR(Y92*1,"0")+IFERROR(Y96*1,"0")+IFERROR(Y97*1,"0")+IFERROR(Y98*1,"0")+IFERROR(Y99*1,"0")</f>
        <v>999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1729.8</v>
      </c>
      <c r="H568" s="46">
        <f>IFERROR(Y134*1,"0")+IFERROR(Y135*1,"0")+IFERROR(Y139*1,"0")+IFERROR(Y140*1,"0")+IFERROR(Y144*1,"0")+IFERROR(Y145*1,"0")</f>
        <v>15.84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1216.3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537.04000000000008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3335.3999999999996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154.79999999999998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120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0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1077.1499999999999</v>
      </c>
      <c r="U568" s="46">
        <f>IFERROR(Y416*1,"0")+IFERROR(Y417*1,"0")</f>
        <v>0</v>
      </c>
      <c r="V568" s="46">
        <f>IFERROR(Y422*1,"0")+IFERROR(Y423*1,"0")+IFERROR(Y424*1,"0")</f>
        <v>12.600000000000001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3096</v>
      </c>
      <c r="X568" s="46">
        <f>IFERROR(Y459*1,"0")+IFERROR(Y460*1,"0")+IFERROR(Y464*1,"0")+IFERROR(Y468*1,"0")+IFERROR(Y469*1,"0")+IFERROR(Y470*1,"0")</f>
        <v>994.8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0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1552.8000000000002</v>
      </c>
      <c r="AB568" s="46">
        <f>IFERROR(Y533*1,"0")+IFERROR(Y537*1,"0")+IFERROR(Y541*1,"0")+IFERROR(Y545*1,"0")+IFERROR(Y549*1,"0")+IFERROR(Y550*1,"0")</f>
        <v>0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6"/>
        <filter val="1 000,00"/>
        <filter val="1 069,00"/>
        <filter val="1 151,00"/>
        <filter val="1 161,00"/>
        <filter val="1 179,00"/>
        <filter val="1 682,00"/>
        <filter val="1 756,00"/>
        <filter val="1,00"/>
        <filter val="10,00"/>
        <filter val="100,00"/>
        <filter val="102,00"/>
        <filter val="106,00"/>
        <filter val="106,02"/>
        <filter val="11,00"/>
        <filter val="11,03"/>
        <filter val="111,00"/>
        <filter val="117,00"/>
        <filter val="117,16"/>
        <filter val="119,00"/>
        <filter val="12,00"/>
        <filter val="12,16"/>
        <filter val="127,00"/>
        <filter val="130,00"/>
        <filter val="134,41"/>
        <filter val="135,43"/>
        <filter val="138,70"/>
        <filter val="14,00"/>
        <filter val="144,00"/>
        <filter val="145,00"/>
        <filter val="146,00"/>
        <filter val="15,00"/>
        <filter val="15,45"/>
        <filter val="15,95"/>
        <filter val="154,00"/>
        <filter val="158,33"/>
        <filter val="16 860,00"/>
        <filter val="169,00"/>
        <filter val="17 840,18"/>
        <filter val="175,74"/>
        <filter val="18 615,18"/>
        <filter val="18,00"/>
        <filter val="184,00"/>
        <filter val="2 375,00"/>
        <filter val="2 603,00"/>
        <filter val="2,92"/>
        <filter val="213,21"/>
        <filter val="218,00"/>
        <filter val="221,37"/>
        <filter val="223,00"/>
        <filter val="228,00"/>
        <filter val="23,00"/>
        <filter val="25,00"/>
        <filter val="270,00"/>
        <filter val="275,00"/>
        <filter val="280,00"/>
        <filter val="29,00"/>
        <filter val="3 193,14"/>
        <filter val="3,00"/>
        <filter val="3,89"/>
        <filter val="30,00"/>
        <filter val="31"/>
        <filter val="31,00"/>
        <filter val="32,55"/>
        <filter val="322,00"/>
        <filter val="329,00"/>
        <filter val="33,00"/>
        <filter val="335,84"/>
        <filter val="367,00"/>
        <filter val="369,00"/>
        <filter val="37,00"/>
        <filter val="38,00"/>
        <filter val="385,00"/>
        <filter val="4,00"/>
        <filter val="4,76"/>
        <filter val="40,00"/>
        <filter val="40,80"/>
        <filter val="427,00"/>
        <filter val="44,20"/>
        <filter val="442,00"/>
        <filter val="443,00"/>
        <filter val="478,00"/>
        <filter val="48,00"/>
        <filter val="48,75"/>
        <filter val="5,00"/>
        <filter val="5,24"/>
        <filter val="5,30"/>
        <filter val="50,00"/>
        <filter val="51,14"/>
        <filter val="512,00"/>
        <filter val="53,00"/>
        <filter val="550,00"/>
        <filter val="559,00"/>
        <filter val="6,00"/>
        <filter val="6,67"/>
        <filter val="612,00"/>
        <filter val="622,00"/>
        <filter val="661,00"/>
        <filter val="669,00"/>
        <filter val="67,00"/>
        <filter val="7,00"/>
        <filter val="70,00"/>
        <filter val="703,00"/>
        <filter val="706,00"/>
        <filter val="72,00"/>
        <filter val="74,00"/>
        <filter val="740,00"/>
        <filter val="75,00"/>
        <filter val="76,26"/>
        <filter val="77,00"/>
        <filter val="8,00"/>
        <filter val="8,33"/>
        <filter val="8,73"/>
        <filter val="821,00"/>
        <filter val="86,00"/>
        <filter val="9,00"/>
        <filter val="9,44"/>
        <filter val="90,00"/>
        <filter val="918,89"/>
        <filter val="921,00"/>
        <filter val="984,00"/>
        <filter val="988,00"/>
      </filters>
    </filterColumn>
    <filterColumn colId="29" showButton="0"/>
    <filterColumn colId="30" showButton="0"/>
  </autoFilter>
  <mergeCells count="1001">
    <mergeCell ref="D17:E18"/>
    <mergeCell ref="P71:T71"/>
    <mergeCell ref="P313:T313"/>
    <mergeCell ref="P373:T373"/>
    <mergeCell ref="P307:T307"/>
    <mergeCell ref="D123:E123"/>
    <mergeCell ref="D250:E250"/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P515:T515"/>
    <mergeCell ref="P344:T344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A349:Z349"/>
    <mergeCell ref="P262:T262"/>
    <mergeCell ref="D105:E105"/>
    <mergeCell ref="A83:O84"/>
    <mergeCell ref="A536:Z536"/>
    <mergeCell ref="D468:E468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K565:V565"/>
    <mergeCell ref="D152:E152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Y565:Z565"/>
    <mergeCell ref="D385:E385"/>
    <mergeCell ref="P178:T178"/>
    <mergeCell ref="P276:T276"/>
    <mergeCell ref="P105:T105"/>
    <mergeCell ref="A400:O401"/>
    <mergeCell ref="D384:E384"/>
    <mergeCell ref="A64:O65"/>
    <mergeCell ref="D566:D567"/>
    <mergeCell ref="A457:Z457"/>
    <mergeCell ref="A387:O388"/>
    <mergeCell ref="D449:E449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A558:O563"/>
    <mergeCell ref="P241:T241"/>
    <mergeCell ref="P41:T41"/>
    <mergeCell ref="D155:E155"/>
    <mergeCell ref="A532:Z532"/>
    <mergeCell ref="P59:T59"/>
    <mergeCell ref="P190:T190"/>
    <mergeCell ref="D434:E434"/>
    <mergeCell ref="P482:V482"/>
    <mergeCell ref="A412:O413"/>
    <mergeCell ref="P282:T282"/>
    <mergeCell ref="D154:E154"/>
    <mergeCell ref="D225:E225"/>
    <mergeCell ref="P409:T409"/>
    <mergeCell ref="P111:T111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P196:T196"/>
    <mergeCell ref="A312:Z312"/>
    <mergeCell ref="D177:E177"/>
    <mergeCell ref="D226:E226"/>
    <mergeCell ref="P352:V352"/>
    <mergeCell ref="P183:T183"/>
    <mergeCell ref="D164:E164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517:T517"/>
    <mergeCell ref="D267:E267"/>
    <mergeCell ref="D509:E509"/>
    <mergeCell ref="P96:T96"/>
    <mergeCell ref="H17:H18"/>
    <mergeCell ref="P261:T261"/>
    <mergeCell ref="P90:T90"/>
    <mergeCell ref="A518:O519"/>
    <mergeCell ref="P503:T503"/>
    <mergeCell ref="P217:T217"/>
    <mergeCell ref="P459:T459"/>
    <mergeCell ref="P27:T27"/>
    <mergeCell ref="P154:T154"/>
    <mergeCell ref="D75:E75"/>
    <mergeCell ref="P560:V560"/>
    <mergeCell ref="P247:V247"/>
    <mergeCell ref="P390:T390"/>
    <mergeCell ref="D206:E206"/>
    <mergeCell ref="D504:E504"/>
    <mergeCell ref="A66:Z66"/>
    <mergeCell ref="P483:V483"/>
    <mergeCell ref="D298:E298"/>
    <mergeCell ref="D181:E181"/>
    <mergeCell ref="A158:Z158"/>
    <mergeCell ref="P91:T91"/>
    <mergeCell ref="D273:E273"/>
    <mergeCell ref="P327:T327"/>
    <mergeCell ref="A444:O445"/>
    <mergeCell ref="A489:Z489"/>
    <mergeCell ref="D39:E39"/>
    <mergeCell ref="P212:T212"/>
    <mergeCell ref="P552:V552"/>
    <mergeCell ref="Y566:Y567"/>
    <mergeCell ref="A133:Z133"/>
    <mergeCell ref="P375:T375"/>
    <mergeCell ref="P179:T179"/>
    <mergeCell ref="D125:E125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Q566:Q567"/>
    <mergeCell ref="P516:T516"/>
    <mergeCell ref="P245:T245"/>
    <mergeCell ref="P126:V126"/>
    <mergeCell ref="D424:E424"/>
    <mergeCell ref="P224:T224"/>
    <mergeCell ref="P491:T491"/>
    <mergeCell ref="P211:T211"/>
    <mergeCell ref="D399:E399"/>
    <mergeCell ref="A141:O142"/>
    <mergeCell ref="P89:T89"/>
    <mergeCell ref="P309:T309"/>
    <mergeCell ref="D59:E59"/>
    <mergeCell ref="P545:T545"/>
    <mergeCell ref="D178:E178"/>
    <mergeCell ref="D172:E172"/>
    <mergeCell ref="A156:O157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AB565:AC565"/>
    <mergeCell ref="P83:V83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P136:V136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22:E22"/>
    <mergeCell ref="M17:M18"/>
    <mergeCell ref="O17:O18"/>
    <mergeCell ref="P365:T365"/>
    <mergeCell ref="P62:T62"/>
    <mergeCell ref="N17:N18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6:C6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P182:T182"/>
    <mergeCell ref="P480:T480"/>
    <mergeCell ref="Q12:R12"/>
    <mergeCell ref="D261:E261"/>
    <mergeCell ref="D90:E90"/>
    <mergeCell ref="P411:T411"/>
    <mergeCell ref="A130:O131"/>
    <mergeCell ref="P442:T442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I17:I18"/>
    <mergeCell ref="D306:E306"/>
    <mergeCell ref="D135:E135"/>
    <mergeCell ref="D377:E377"/>
    <mergeCell ref="P114:V114"/>
    <mergeCell ref="A119:O120"/>
    <mergeCell ref="P287:T287"/>
    <mergeCell ref="P523:T523"/>
    <mergeCell ref="H566:H567"/>
    <mergeCell ref="J566:J567"/>
    <mergeCell ref="L566:L567"/>
    <mergeCell ref="P295:V295"/>
    <mergeCell ref="A301:Z301"/>
    <mergeCell ref="P547:V547"/>
    <mergeCell ref="P214:V214"/>
    <mergeCell ref="A95:Z95"/>
    <mergeCell ref="Q9:R9"/>
    <mergeCell ref="A556:O557"/>
    <mergeCell ref="P465:V465"/>
    <mergeCell ref="P376:T376"/>
    <mergeCell ref="A395:Z395"/>
    <mergeCell ref="Q11:R11"/>
    <mergeCell ref="D453:E453"/>
    <mergeCell ref="P495:T495"/>
    <mergeCell ref="A406:O407"/>
    <mergeCell ref="P239:T239"/>
    <mergeCell ref="P68:T68"/>
    <mergeCell ref="A418:O419"/>
    <mergeCell ref="A247:O248"/>
    <mergeCell ref="D38:E38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A26:Z26"/>
    <mergeCell ref="P230:T230"/>
    <mergeCell ref="P97:T97"/>
    <mergeCell ref="D211:E211"/>
    <mergeCell ref="P130:V130"/>
    <mergeCell ref="D1:F1"/>
    <mergeCell ref="P488:V488"/>
    <mergeCell ref="A512:O513"/>
    <mergeCell ref="P47:T47"/>
    <mergeCell ref="J17:J18"/>
    <mergeCell ref="D82:E82"/>
    <mergeCell ref="L17:L18"/>
    <mergeCell ref="P359:V359"/>
    <mergeCell ref="D240:E240"/>
    <mergeCell ref="D511:E511"/>
    <mergeCell ref="A342:Z342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D145:E145"/>
    <mergeCell ref="D443:E443"/>
    <mergeCell ref="D272:E272"/>
    <mergeCell ref="D210:E210"/>
    <mergeCell ref="A316:Z316"/>
    <mergeCell ref="A492:O493"/>
    <mergeCell ref="D308:E308"/>
    <mergeCell ref="P39:T39"/>
    <mergeCell ref="A46:Z46"/>
    <mergeCell ref="P537:T537"/>
    <mergeCell ref="P508:T508"/>
    <mergeCell ref="P337:T337"/>
    <mergeCell ref="D209:E209"/>
    <mergeCell ref="P464:T464"/>
    <mergeCell ref="A187:O188"/>
    <mergeCell ref="D274:E274"/>
    <mergeCell ref="D245:E245"/>
    <mergeCell ref="D516:E516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P521:T521"/>
    <mergeCell ref="D442:E442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A149:Z149"/>
    <mergeCell ref="P209:T209"/>
    <mergeCell ref="A193:O194"/>
    <mergeCell ref="W17:W18"/>
    <mergeCell ref="A86:Z86"/>
    <mergeCell ref="P332:V332"/>
    <mergeCell ref="P559:V559"/>
    <mergeCell ref="P388:V388"/>
    <mergeCell ref="P161:V161"/>
    <mergeCell ref="P546:V546"/>
    <mergeCell ref="P234:T234"/>
    <mergeCell ref="B566:B567"/>
    <mergeCell ref="P561:V561"/>
    <mergeCell ref="A215:Z215"/>
    <mergeCell ref="D378:E378"/>
    <mergeCell ref="D129:E129"/>
    <mergeCell ref="S566:S567"/>
    <mergeCell ref="D417:E417"/>
    <mergeCell ref="D69:E69"/>
    <mergeCell ref="P240:T240"/>
    <mergeCell ref="A538:O539"/>
    <mergeCell ref="A475:Z475"/>
    <mergeCell ref="A332:O333"/>
    <mergeCell ref="P33:V33"/>
    <mergeCell ref="D527:E527"/>
    <mergeCell ref="D356:E356"/>
    <mergeCell ref="P264:V264"/>
    <mergeCell ref="P269:V269"/>
    <mergeCell ref="A216:Z216"/>
    <mergeCell ref="P462:V46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D124:E124"/>
    <mergeCell ref="P81:T8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2026-10-02T09:33:14Z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