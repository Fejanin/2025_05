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9,09 Колесник(Мелитополь) КИ КСК с филиалами на 05,10\"/>
    </mc:Choice>
  </mc:AlternateContent>
  <xr:revisionPtr revIDLastSave="0" documentId="13_ncr:1_{F3096E09-2B9E-4925-AEA1-FF74375EF87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Y254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P229" i="2" l="1"/>
  <c r="BP412" i="2"/>
  <c r="Z68" i="2"/>
  <c r="BN68" i="2"/>
  <c r="BP306" i="2"/>
  <c r="Z460" i="2"/>
  <c r="BP128" i="2"/>
  <c r="BP266" i="2"/>
  <c r="Z397" i="2"/>
  <c r="BN397" i="2"/>
  <c r="Y402" i="2"/>
  <c r="Z436" i="2"/>
  <c r="BN436" i="2"/>
  <c r="Z512" i="2"/>
  <c r="Z48" i="2"/>
  <c r="BN48" i="2"/>
  <c r="Z50" i="2"/>
  <c r="BN50" i="2"/>
  <c r="Z111" i="2"/>
  <c r="BN111" i="2"/>
  <c r="BP152" i="2"/>
  <c r="BP285" i="2"/>
  <c r="Z347" i="2"/>
  <c r="BN347" i="2"/>
  <c r="BP365" i="2"/>
  <c r="Z498" i="2"/>
  <c r="Z378" i="2"/>
  <c r="BN378" i="2"/>
  <c r="BP385" i="2"/>
  <c r="X563" i="2"/>
  <c r="Y84" i="2"/>
  <c r="Z90" i="2"/>
  <c r="BN90" i="2"/>
  <c r="I569" i="2"/>
  <c r="BP233" i="2"/>
  <c r="Z246" i="2"/>
  <c r="BP276" i="2"/>
  <c r="Z288" i="2"/>
  <c r="BN288" i="2"/>
  <c r="BP291" i="2"/>
  <c r="Z309" i="2"/>
  <c r="BN309" i="2"/>
  <c r="BP330" i="2"/>
  <c r="Z387" i="2"/>
  <c r="BP418" i="2"/>
  <c r="Z450" i="2"/>
  <c r="BP479" i="2"/>
  <c r="Z506" i="2"/>
  <c r="Z522" i="2"/>
  <c r="BN522" i="2"/>
  <c r="BP527" i="2"/>
  <c r="BP38" i="2"/>
  <c r="BN116" i="2"/>
  <c r="BN122" i="2"/>
  <c r="BN178" i="2"/>
  <c r="BN199" i="2"/>
  <c r="Y201" i="2"/>
  <c r="BN223" i="2"/>
  <c r="BN227" i="2"/>
  <c r="BN232" i="2"/>
  <c r="BN234" i="2"/>
  <c r="BN278" i="2"/>
  <c r="BN298" i="2"/>
  <c r="BN368" i="2"/>
  <c r="BN391" i="2"/>
  <c r="BN400" i="2"/>
  <c r="BN406" i="2"/>
  <c r="BN417" i="2"/>
  <c r="BN424" i="2"/>
  <c r="BN432" i="2"/>
  <c r="BN437" i="2"/>
  <c r="BP478" i="2"/>
  <c r="Z487" i="2"/>
  <c r="BN487" i="2"/>
  <c r="BP496" i="2"/>
  <c r="BP512" i="2"/>
  <c r="BN524" i="2"/>
  <c r="Z534" i="2"/>
  <c r="Z535" i="2" s="1"/>
  <c r="BN534" i="2"/>
  <c r="BP542" i="2"/>
  <c r="BN546" i="2"/>
  <c r="BN39" i="2"/>
  <c r="BN57" i="2"/>
  <c r="BN151" i="2"/>
  <c r="BN28" i="2"/>
  <c r="Z38" i="2"/>
  <c r="BP63" i="2"/>
  <c r="BN80" i="2"/>
  <c r="Z82" i="2"/>
  <c r="Z89" i="2"/>
  <c r="BP96" i="2"/>
  <c r="BN103" i="2"/>
  <c r="Z105" i="2"/>
  <c r="BN105" i="2"/>
  <c r="BN106" i="2"/>
  <c r="BP107" i="2"/>
  <c r="Z134" i="2"/>
  <c r="BN134" i="2"/>
  <c r="BP164" i="2"/>
  <c r="BP184" i="2"/>
  <c r="BN189" i="2"/>
  <c r="Z207" i="2"/>
  <c r="BN207" i="2"/>
  <c r="BP208" i="2"/>
  <c r="BN211" i="2"/>
  <c r="BN224" i="2"/>
  <c r="BN238" i="2"/>
  <c r="BP239" i="2"/>
  <c r="BP243" i="2"/>
  <c r="BP252" i="2"/>
  <c r="BP275" i="2"/>
  <c r="BP286" i="2"/>
  <c r="BN293" i="2"/>
  <c r="BP307" i="2"/>
  <c r="BN321" i="2"/>
  <c r="BP329" i="2"/>
  <c r="Z336" i="2"/>
  <c r="BN336" i="2"/>
  <c r="BP376" i="2"/>
  <c r="BP386" i="2"/>
  <c r="BN410" i="2"/>
  <c r="BN425" i="2"/>
  <c r="BN442" i="2"/>
  <c r="BP448" i="2"/>
  <c r="Y483" i="2"/>
  <c r="BN511" i="2"/>
  <c r="BN526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2" i="2" s="1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Y500" i="2"/>
  <c r="P569" i="2"/>
  <c r="A10" i="2"/>
  <c r="Y160" i="2"/>
  <c r="Y371" i="2"/>
  <c r="Y381" i="2"/>
  <c r="Y389" i="2"/>
  <c r="Z398" i="2"/>
  <c r="Y413" i="2"/>
  <c r="Z434" i="2"/>
  <c r="Z444" i="2"/>
  <c r="Z445" i="2" s="1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7" i="2"/>
  <c r="Z49" i="2"/>
  <c r="Z51" i="2" s="1"/>
  <c r="Z60" i="2"/>
  <c r="Z70" i="2"/>
  <c r="BP95" i="2"/>
  <c r="Z104" i="2"/>
  <c r="Z124" i="2"/>
  <c r="Y129" i="2"/>
  <c r="BP139" i="2"/>
  <c r="BP163" i="2"/>
  <c r="Z171" i="2"/>
  <c r="Z181" i="2"/>
  <c r="Z191" i="2"/>
  <c r="Y196" i="2"/>
  <c r="Z205" i="2"/>
  <c r="Z216" i="2"/>
  <c r="Z217" i="2" s="1"/>
  <c r="Z226" i="2"/>
  <c r="Z256" i="2"/>
  <c r="Z257" i="2" s="1"/>
  <c r="BP271" i="2"/>
  <c r="Y300" i="2"/>
  <c r="Y311" i="2"/>
  <c r="Z345" i="2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Y513" i="2"/>
  <c r="BP534" i="2"/>
  <c r="BP546" i="2"/>
  <c r="Y558" i="2"/>
  <c r="BP423" i="2"/>
  <c r="BN480" i="2"/>
  <c r="AB569" i="2"/>
  <c r="Y167" i="2"/>
  <c r="Z394" i="2" l="1"/>
  <c r="Z192" i="2"/>
  <c r="Z172" i="2"/>
  <c r="Z125" i="2"/>
  <c r="Z42" i="2"/>
  <c r="Z381" i="2"/>
  <c r="Z83" i="2"/>
  <c r="Z140" i="2"/>
  <c r="Z263" i="2"/>
  <c r="Z488" i="2"/>
  <c r="Z253" i="2"/>
  <c r="Z353" i="2"/>
  <c r="Z462" i="2"/>
  <c r="Z247" i="2"/>
  <c r="Z299" i="2"/>
  <c r="Z426" i="2"/>
  <c r="Z348" i="2"/>
  <c r="Z72" i="2"/>
  <c r="Z451" i="2"/>
  <c r="X562" i="2"/>
  <c r="Z529" i="2"/>
  <c r="Z388" i="2"/>
  <c r="Z371" i="2"/>
  <c r="Z472" i="2"/>
  <c r="Z135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<sst xmlns="http://schemas.openxmlformats.org/spreadsheetml/2006/main" count="4286" uniqueCount="892">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</sst>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46293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874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4.1666666666666664E-2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72</v>
      </c>
      <c r="Y49" s="55">
        <f>IFERROR(IF(X49="",0,CEILING((X49/$H49),1)*$H49),"")</f>
        <v>72</v>
      </c>
      <c r="Z49" s="41">
        <f>IFERROR(IF(Y49=0,"",ROUNDUP(Y49/H49,0)*0.00902),"")</f>
        <v>0.16236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75.42</v>
      </c>
      <c r="BN49" s="78">
        <f>IFERROR(Y49*I49/H49,"0")</f>
        <v>75.42</v>
      </c>
      <c r="BO49" s="78">
        <f>IFERROR(1/J49*(X49/H49),"0")</f>
        <v>0.13636363636363635</v>
      </c>
      <c r="BP49" s="78">
        <f>IFERROR(1/J49*(Y49/H49),"0")</f>
        <v>0.13636363636363635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18</v>
      </c>
      <c r="Y51" s="43">
        <f>IFERROR(Y47/H47,"0")+IFERROR(Y48/H48,"0")+IFERROR(Y49/H49,"0")+IFERROR(Y50/H50,"0")</f>
        <v>18</v>
      </c>
      <c r="Z51" s="43">
        <f>IFERROR(IF(Z47="",0,Z47),"0")+IFERROR(IF(Z48="",0,Z48),"0")+IFERROR(IF(Z49="",0,Z49),"0")+IFERROR(IF(Z50="",0,Z50),"0")</f>
        <v>0.16236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72</v>
      </c>
      <c r="Y52" s="43">
        <f>IFERROR(SUM(Y47:Y50),"0")</f>
        <v>72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60</v>
      </c>
      <c r="Y67" s="55">
        <f>IFERROR(IF(X67="",0,CEILING((X67/$H67),1)*$H67),"")</f>
        <v>64.800000000000011</v>
      </c>
      <c r="Z67" s="41">
        <f>IFERROR(IF(Y67=0,"",ROUNDUP(Y67/H67,0)*0.01898),"")</f>
        <v>0.11388000000000001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62.277777777777779</v>
      </c>
      <c r="BN67" s="78">
        <f>IFERROR(Y67*I67/H67,"0")</f>
        <v>67.260000000000005</v>
      </c>
      <c r="BO67" s="78">
        <f>IFERROR(1/J67*(X67/H67),"0")</f>
        <v>8.6805555555555552E-2</v>
      </c>
      <c r="BP67" s="78">
        <f>IFERROR(1/J67*(Y67/H67),"0")</f>
        <v>9.3750000000000014E-2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5.5555555555555554</v>
      </c>
      <c r="Y72" s="43">
        <f>IFERROR(Y67/H67,"0")+IFERROR(Y68/H68,"0")+IFERROR(Y69/H69,"0")+IFERROR(Y70/H70,"0")+IFERROR(Y71/H71,"0")</f>
        <v>6.0000000000000009</v>
      </c>
      <c r="Z72" s="43">
        <f>IFERROR(IF(Z67="",0,Z67),"0")+IFERROR(IF(Z68="",0,Z68),"0")+IFERROR(IF(Z69="",0,Z69),"0")+IFERROR(IF(Z70="",0,Z70),"0")+IFERROR(IF(Z71="",0,Z71),"0")</f>
        <v>0.11388000000000001</v>
      </c>
      <c r="AA72" s="67"/>
      <c r="AB72" s="67"/>
      <c r="AC72" s="67"/>
    </row>
    <row r="73" spans="1:68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60</v>
      </c>
      <c r="Y73" s="43">
        <f>IFERROR(SUM(Y67:Y71),"0")</f>
        <v>64.800000000000011</v>
      </c>
      <c r="Z73" s="42"/>
      <c r="AA73" s="67"/>
      <c r="AB73" s="67"/>
      <c r="AC73" s="67"/>
    </row>
    <row r="74" spans="1:68" ht="14.25" hidden="1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60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63.15384615384616</v>
      </c>
      <c r="BN80" s="78">
        <f>IFERROR(Y80*I80/H80,"0")</f>
        <v>65.680000000000007</v>
      </c>
      <c r="BO80" s="78">
        <f>IFERROR(1/J80*(X80/H80),"0")</f>
        <v>0.1201923076923077</v>
      </c>
      <c r="BP80" s="78">
        <f>IFERROR(1/J80*(Y80/H80),"0")</f>
        <v>0.125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7.6923076923076925</v>
      </c>
      <c r="Y83" s="43">
        <f>IFERROR(Y80/H80,"0")+IFERROR(Y81/H81,"0")+IFERROR(Y82/H82,"0")</f>
        <v>8</v>
      </c>
      <c r="Z83" s="43">
        <f>IFERROR(IF(Z80="",0,Z80),"0")+IFERROR(IF(Z81="",0,Z81),"0")+IFERROR(IF(Z82="",0,Z82),"0")</f>
        <v>0.15184</v>
      </c>
      <c r="AA83" s="67"/>
      <c r="AB83" s="67"/>
      <c r="AC83" s="67"/>
    </row>
    <row r="84" spans="1:68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60</v>
      </c>
      <c r="Y84" s="43">
        <f>IFERROR(SUM(Y80:Y82),"0")</f>
        <v>62.4</v>
      </c>
      <c r="Z84" s="42"/>
      <c r="AA84" s="67"/>
      <c r="AB84" s="67"/>
      <c r="AC84" s="67"/>
    </row>
    <row r="85" spans="1:68" ht="16.5" hidden="1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hidden="1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81</v>
      </c>
      <c r="Y91" s="55">
        <f>IFERROR(IF(X91="",0,CEILING((X91/$H91),1)*$H91),"")</f>
        <v>81</v>
      </c>
      <c r="Z91" s="41">
        <f>IFERROR(IF(Y91=0,"",ROUNDUP(Y91/H91,0)*0.00902),"")</f>
        <v>0.16236</v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84.420000000000016</v>
      </c>
      <c r="BN91" s="78">
        <f>IFERROR(Y91*I91/H91,"0")</f>
        <v>84.420000000000016</v>
      </c>
      <c r="BO91" s="78">
        <f>IFERROR(1/J91*(X91/H91),"0")</f>
        <v>0.13636363636363635</v>
      </c>
      <c r="BP91" s="78">
        <f>IFERROR(1/J91*(Y91/H91),"0")</f>
        <v>0.13636363636363635</v>
      </c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18</v>
      </c>
      <c r="Y92" s="43">
        <f>IFERROR(Y87/H87,"0")+IFERROR(Y88/H88,"0")+IFERROR(Y89/H89,"0")+IFERROR(Y90/H90,"0")+IFERROR(Y91/H91,"0")</f>
        <v>18</v>
      </c>
      <c r="Z92" s="43">
        <f>IFERROR(IF(Z87="",0,Z87),"0")+IFERROR(IF(Z88="",0,Z88),"0")+IFERROR(IF(Z89="",0,Z89),"0")+IFERROR(IF(Z90="",0,Z90),"0")+IFERROR(IF(Z91="",0,Z91),"0")</f>
        <v>0.16236</v>
      </c>
      <c r="AA92" s="67"/>
      <c r="AB92" s="67"/>
      <c r="AC92" s="67"/>
    </row>
    <row r="93" spans="1:68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81</v>
      </c>
      <c r="Y93" s="43">
        <f>IFERROR(SUM(Y87:Y91),"0")</f>
        <v>81</v>
      </c>
      <c r="Z93" s="42"/>
      <c r="AA93" s="67"/>
      <c r="AB93" s="67"/>
      <c r="AC93" s="67"/>
    </row>
    <row r="94" spans="1:68" ht="14.25" hidden="1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200</v>
      </c>
      <c r="Y95" s="55">
        <f>IFERROR(IF(X95="",0,CEILING((X95/$H95),1)*$H95),"")</f>
        <v>202.5</v>
      </c>
      <c r="Z95" s="41">
        <f>IFERROR(IF(Y95=0,"",ROUNDUP(Y95/H95,0)*0.01898),"")</f>
        <v>0.47450000000000003</v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212.19753086419755</v>
      </c>
      <c r="BN95" s="78">
        <f>IFERROR(Y95*I95/H95,"0")</f>
        <v>214.85</v>
      </c>
      <c r="BO95" s="78">
        <f>IFERROR(1/J95*(X95/H95),"0")</f>
        <v>0.38580246913580246</v>
      </c>
      <c r="BP95" s="78">
        <f>IFERROR(1/J95*(Y95/H95),"0")</f>
        <v>0.390625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24.691358024691358</v>
      </c>
      <c r="Y99" s="43">
        <f>IFERROR(Y95/H95,"0")+IFERROR(Y96/H96,"0")+IFERROR(Y97/H97,"0")+IFERROR(Y98/H98,"0")</f>
        <v>25</v>
      </c>
      <c r="Z99" s="43">
        <f>IFERROR(IF(Z95="",0,Z95),"0")+IFERROR(IF(Z96="",0,Z96),"0")+IFERROR(IF(Z97="",0,Z97),"0")+IFERROR(IF(Z98="",0,Z98),"0")</f>
        <v>0.47450000000000003</v>
      </c>
      <c r="AA99" s="67"/>
      <c r="AB99" s="67"/>
      <c r="AC99" s="67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200</v>
      </c>
      <c r="Y100" s="43">
        <f>IFERROR(SUM(Y95:Y98),"0")</f>
        <v>202.5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81</v>
      </c>
      <c r="Y108" s="55">
        <f t="shared" si="5"/>
        <v>81</v>
      </c>
      <c r="Z108" s="41">
        <f>IFERROR(IF(Y108=0,"",ROUNDUP(Y108/H108,0)*0.00902),"")</f>
        <v>0.16236</v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84.420000000000016</v>
      </c>
      <c r="BN108" s="78">
        <f t="shared" si="7"/>
        <v>84.420000000000016</v>
      </c>
      <c r="BO108" s="78">
        <f t="shared" si="8"/>
        <v>0.13636363636363635</v>
      </c>
      <c r="BP108" s="78">
        <f t="shared" si="9"/>
        <v>0.13636363636363635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18</v>
      </c>
      <c r="Y112" s="43">
        <f>IFERROR(Y103/H103,"0")+IFERROR(Y104/H104,"0")+IFERROR(Y105/H105,"0")+IFERROR(Y106/H106,"0")+IFERROR(Y107/H107,"0")+IFERROR(Y108/H108,"0")+IFERROR(Y109/H109,"0")+IFERROR(Y110/H110,"0")+IFERROR(Y111/H111,"0")</f>
        <v>18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0.16236</v>
      </c>
      <c r="AA112" s="67"/>
      <c r="AB112" s="67"/>
      <c r="AC112" s="67"/>
    </row>
    <row r="113" spans="1:68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81</v>
      </c>
      <c r="Y113" s="43">
        <f>IFERROR(SUM(Y103:Y111),"0")</f>
        <v>81</v>
      </c>
      <c r="Z113" s="42"/>
      <c r="AA113" s="67"/>
      <c r="AB113" s="67"/>
      <c r="AC113" s="67"/>
    </row>
    <row r="114" spans="1:68" ht="14.25" hidden="1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200</v>
      </c>
      <c r="Y121" s="55">
        <f>IFERROR(IF(X121="",0,CEILING((X121/$H121),1)*$H121),"")</f>
        <v>202.5</v>
      </c>
      <c r="Z121" s="41">
        <f>IFERROR(IF(Y121=0,"",ROUNDUP(Y121/H121,0)*0.01898),"")</f>
        <v>0.47450000000000003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212.04938271604939</v>
      </c>
      <c r="BN121" s="78">
        <f>IFERROR(Y121*I121/H121,"0")</f>
        <v>214.7</v>
      </c>
      <c r="BO121" s="78">
        <f>IFERROR(1/J121*(X121/H121),"0")</f>
        <v>0.38580246913580246</v>
      </c>
      <c r="BP121" s="78">
        <f>IFERROR(1/J121*(Y121/H121),"0")</f>
        <v>0.390625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24.691358024691358</v>
      </c>
      <c r="Y125" s="43">
        <f>IFERROR(Y121/H121,"0")+IFERROR(Y122/H122,"0")+IFERROR(Y123/H123,"0")+IFERROR(Y124/H124,"0")</f>
        <v>25</v>
      </c>
      <c r="Z125" s="43">
        <f>IFERROR(IF(Z121="",0,Z121),"0")+IFERROR(IF(Z122="",0,Z122),"0")+IFERROR(IF(Z123="",0,Z123),"0")+IFERROR(IF(Z124="",0,Z124),"0")</f>
        <v>0.47450000000000003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200</v>
      </c>
      <c r="Y126" s="43">
        <f>IFERROR(SUM(Y121:Y124),"0")</f>
        <v>202.5</v>
      </c>
      <c r="Z126" s="42"/>
      <c r="AA126" s="67"/>
      <c r="AB126" s="67"/>
      <c r="AC126" s="67"/>
    </row>
    <row r="127" spans="1:68" ht="14.25" hidden="1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hidden="1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hidden="1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hidden="1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hidden="1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hidden="1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hidden="1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130</v>
      </c>
      <c r="Y220" s="55">
        <f t="shared" ref="Y220:Y234" si="27">IFERROR(IF(X220="",0,CEILING((X220/$H220),1)*$H220),"")</f>
        <v>130.20000000000002</v>
      </c>
      <c r="Z220" s="41">
        <f>IFERROR(IF(Y220=0,"",ROUNDUP(Y220/H220,0)*0.00902),"")</f>
        <v>0.27961999999999998</v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137.73809523809524</v>
      </c>
      <c r="BN220" s="78">
        <f t="shared" ref="BN220:BN234" si="29">IFERROR(Y220*I220/H220,"0")</f>
        <v>137.95000000000002</v>
      </c>
      <c r="BO220" s="78">
        <f t="shared" ref="BO220:BO234" si="30">IFERROR(1/J220*(X220/H220),"0")</f>
        <v>0.23448773448773449</v>
      </c>
      <c r="BP220" s="78">
        <f t="shared" ref="BP220:BP234" si="31">IFERROR(1/J220*(Y220/H220),"0")</f>
        <v>0.23484848484848489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120</v>
      </c>
      <c r="Y222" s="55">
        <f t="shared" si="27"/>
        <v>121.80000000000001</v>
      </c>
      <c r="Z222" s="41">
        <f>IFERROR(IF(Y222=0,"",ROUNDUP(Y222/H222,0)*0.00902),"")</f>
        <v>0.26158000000000003</v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125.42857142857142</v>
      </c>
      <c r="BN222" s="78">
        <f t="shared" si="29"/>
        <v>127.30999999999999</v>
      </c>
      <c r="BO222" s="78">
        <f t="shared" si="30"/>
        <v>0.21645021645021645</v>
      </c>
      <c r="BP222" s="78">
        <f t="shared" si="31"/>
        <v>0.2196969696969697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59.523809523809518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0.54120000000000001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250</v>
      </c>
      <c r="Y236" s="43">
        <f>IFERROR(SUM(Y220:Y234),"0")</f>
        <v>252.00000000000003</v>
      </c>
      <c r="Z236" s="42"/>
      <c r="AA236" s="67"/>
      <c r="AB236" s="67"/>
      <c r="AC236" s="67"/>
    </row>
    <row r="237" spans="1:68" ht="14.25" hidden="1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hidden="1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170</v>
      </c>
      <c r="Y271" s="55">
        <f t="shared" ref="Y271:Y278" si="38">IFERROR(IF(X271="",0,CEILING((X271/$H271),1)*$H271),"")</f>
        <v>172.8</v>
      </c>
      <c r="Z271" s="41">
        <f>IFERROR(IF(Y271=0,"",ROUNDUP(Y271/H271,0)*0.00902),"")</f>
        <v>0.28864000000000001</v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175.98148148148147</v>
      </c>
      <c r="BN271" s="78">
        <f t="shared" ref="BN271:BN278" si="40">IFERROR(Y271*I271/H271,"0")</f>
        <v>178.88</v>
      </c>
      <c r="BO271" s="78">
        <f t="shared" ref="BO271:BO278" si="41">IFERROR(1/J271*(X271/H271),"0")</f>
        <v>0.23849607182940516</v>
      </c>
      <c r="BP271" s="78">
        <f t="shared" ref="BP271:BP278" si="42">IFERROR(1/J271*(Y271/H271),"0")</f>
        <v>0.24242424242424243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170</v>
      </c>
      <c r="Y272" s="55">
        <f t="shared" si="38"/>
        <v>172.8</v>
      </c>
      <c r="Z272" s="41">
        <f>IFERROR(IF(Y272=0,"",ROUNDUP(Y272/H272,0)*0.00902),"")</f>
        <v>0.28864000000000001</v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175.98148148148147</v>
      </c>
      <c r="BN272" s="78">
        <f t="shared" si="40"/>
        <v>178.88</v>
      </c>
      <c r="BO272" s="78">
        <f t="shared" si="41"/>
        <v>0.23849607182940516</v>
      </c>
      <c r="BP272" s="78">
        <f t="shared" si="42"/>
        <v>0.24242424242424243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170</v>
      </c>
      <c r="Y273" s="55">
        <f t="shared" si="38"/>
        <v>172.8</v>
      </c>
      <c r="Z273" s="41">
        <f>IFERROR(IF(Y273=0,"",ROUNDUP(Y273/H273,0)*0.00902),"")</f>
        <v>0.28864000000000001</v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175.98148148148147</v>
      </c>
      <c r="BN273" s="78">
        <f t="shared" si="40"/>
        <v>178.88</v>
      </c>
      <c r="BO273" s="78">
        <f t="shared" si="41"/>
        <v>0.23849607182940516</v>
      </c>
      <c r="BP273" s="78">
        <f t="shared" si="42"/>
        <v>0.24242424242424243</v>
      </c>
    </row>
    <row r="274" spans="1:68" ht="27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170</v>
      </c>
      <c r="Y274" s="55">
        <f t="shared" si="38"/>
        <v>172.8</v>
      </c>
      <c r="Z274" s="41">
        <f>IFERROR(IF(Y274=0,"",ROUNDUP(Y274/H274,0)*0.00902),"")</f>
        <v>0.28864000000000001</v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175.98148148148147</v>
      </c>
      <c r="BN274" s="78">
        <f t="shared" si="40"/>
        <v>178.88</v>
      </c>
      <c r="BO274" s="78">
        <f t="shared" si="41"/>
        <v>0.23849607182940516</v>
      </c>
      <c r="BP274" s="78">
        <f t="shared" si="42"/>
        <v>0.24242424242424243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125.92592592592592</v>
      </c>
      <c r="Y279" s="43">
        <f>IFERROR(Y271/H271,"0")+IFERROR(Y272/H272,"0")+IFERROR(Y273/H273,"0")+IFERROR(Y274/H274,"0")+IFERROR(Y275/H275,"0")+IFERROR(Y276/H276,"0")+IFERROR(Y277/H277,"0")+IFERROR(Y278/H278,"0")</f>
        <v>128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1.15456</v>
      </c>
      <c r="AA279" s="67"/>
      <c r="AB279" s="67"/>
      <c r="AC279" s="67"/>
    </row>
    <row r="280" spans="1:68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680</v>
      </c>
      <c r="Y280" s="43">
        <f>IFERROR(SUM(Y271:Y278),"0")</f>
        <v>691.2</v>
      </c>
      <c r="Z280" s="42"/>
      <c r="AA280" s="67"/>
      <c r="AB280" s="67"/>
      <c r="AC280" s="67"/>
    </row>
    <row r="281" spans="1:68" ht="14.25" hidden="1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hidden="1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hidden="1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hidden="1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hidden="1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hidden="1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hidden="1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hidden="1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idden="1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200</v>
      </c>
      <c r="Y391" s="55">
        <f>IFERROR(IF(X391="",0,CEILING((X391/$H391),1)*$H391),"")</f>
        <v>201.60000000000002</v>
      </c>
      <c r="Z391" s="41">
        <f>IFERROR(IF(Y391=0,"",ROUNDUP(Y391/H391,0)*0.01898),"")</f>
        <v>0.45552000000000004</v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211.76190476190476</v>
      </c>
      <c r="BN391" s="78">
        <f>IFERROR(Y391*I391/H391,"0")</f>
        <v>213.45600000000002</v>
      </c>
      <c r="BO391" s="78">
        <f>IFERROR(1/J391*(X391/H391),"0")</f>
        <v>0.37202380952380953</v>
      </c>
      <c r="BP391" s="78">
        <f>IFERROR(1/J391*(Y391/H391),"0")</f>
        <v>0.375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23.80952380952381</v>
      </c>
      <c r="Y394" s="43">
        <f>IFERROR(Y391/H391,"0")+IFERROR(Y392/H392,"0")+IFERROR(Y393/H393,"0")</f>
        <v>24</v>
      </c>
      <c r="Z394" s="43">
        <f>IFERROR(IF(Z391="",0,Z391),"0")+IFERROR(IF(Z392="",0,Z392),"0")+IFERROR(IF(Z393="",0,Z393),"0")</f>
        <v>0.45552000000000004</v>
      </c>
      <c r="AA394" s="67"/>
      <c r="AB394" s="67"/>
      <c r="AC394" s="67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200</v>
      </c>
      <c r="Y395" s="43">
        <f>IFERROR(SUM(Y391:Y393),"0")</f>
        <v>201.60000000000002</v>
      </c>
      <c r="Z395" s="42"/>
      <c r="AA395" s="67"/>
      <c r="AB395" s="67"/>
      <c r="AC395" s="67"/>
    </row>
    <row r="396" spans="1:68" ht="14.25" hidden="1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600</v>
      </c>
      <c r="Y432" s="55">
        <f t="shared" si="68"/>
        <v>600</v>
      </c>
      <c r="Z432" s="41">
        <f>IFERROR(IF(Y432=0,"",ROUNDUP(Y432/H432,0)*0.02175),"")</f>
        <v>0.86999999999999988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618.79999999999995</v>
      </c>
      <c r="BN432" s="78">
        <f t="shared" si="70"/>
        <v>618.79999999999995</v>
      </c>
      <c r="BO432" s="78">
        <f t="shared" si="71"/>
        <v>0.83333333333333326</v>
      </c>
      <c r="BP432" s="78">
        <f t="shared" si="72"/>
        <v>0.83333333333333326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600</v>
      </c>
      <c r="Y434" s="55">
        <f t="shared" si="68"/>
        <v>600</v>
      </c>
      <c r="Z434" s="41">
        <f>IFERROR(IF(Y434=0,"",ROUNDUP(Y434/H434,0)*0.02175),"")</f>
        <v>0.86999999999999988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618.79999999999995</v>
      </c>
      <c r="BN434" s="78">
        <f t="shared" si="70"/>
        <v>618.79999999999995</v>
      </c>
      <c r="BO434" s="78">
        <f t="shared" si="71"/>
        <v>0.83333333333333326</v>
      </c>
      <c r="BP434" s="78">
        <f t="shared" si="72"/>
        <v>0.83333333333333326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80</v>
      </c>
      <c r="Y439" s="43">
        <f>IFERROR(Y431/H431,"0")+IFERROR(Y432/H432,"0")+IFERROR(Y433/H433,"0")+IFERROR(Y434/H434,"0")+IFERROR(Y435/H435,"0")+IFERROR(Y436/H436,"0")+IFERROR(Y437/H437,"0")+IFERROR(Y438/H438,"0")</f>
        <v>80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1.7399999999999998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1200</v>
      </c>
      <c r="Y440" s="43">
        <f>IFERROR(SUM(Y431:Y438),"0")</f>
        <v>1200</v>
      </c>
      <c r="Z440" s="42"/>
      <c r="AA440" s="67"/>
      <c r="AB440" s="67"/>
      <c r="AC440" s="67"/>
    </row>
    <row r="441" spans="1:68" ht="14.25" hidden="1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hidden="1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350</v>
      </c>
      <c r="Y449" s="55">
        <f>IFERROR(IF(X449="",0,CEILING((X449/$H449),1)*$H449),"")</f>
        <v>351</v>
      </c>
      <c r="Z449" s="41">
        <f>IFERROR(IF(Y449=0,"",ROUNDUP(Y449/H449,0)*0.01898),"")</f>
        <v>0.74021999999999999</v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369.21111111111111</v>
      </c>
      <c r="BN449" s="78">
        <f>IFERROR(Y449*I449/H449,"0")</f>
        <v>370.26599999999996</v>
      </c>
      <c r="BO449" s="78">
        <f>IFERROR(1/J449*(X449/H449),"0")</f>
        <v>0.60763888888888884</v>
      </c>
      <c r="BP449" s="78">
        <f>IFERROR(1/J449*(Y449/H449),"0")</f>
        <v>0.609375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38.888888888888886</v>
      </c>
      <c r="Y451" s="43">
        <f>IFERROR(Y448/H448,"0")+IFERROR(Y449/H449,"0")+IFERROR(Y450/H450,"0")</f>
        <v>39</v>
      </c>
      <c r="Z451" s="43">
        <f>IFERROR(IF(Z448="",0,Z448),"0")+IFERROR(IF(Z449="",0,Z449),"0")+IFERROR(IF(Z450="",0,Z450),"0")</f>
        <v>0.74021999999999999</v>
      </c>
      <c r="AA451" s="67"/>
      <c r="AB451" s="67"/>
      <c r="AC451" s="67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350</v>
      </c>
      <c r="Y452" s="43">
        <f>IFERROR(SUM(Y448:Y450),"0")</f>
        <v>351</v>
      </c>
      <c r="Z452" s="42"/>
      <c r="AA452" s="67"/>
      <c r="AB452" s="67"/>
      <c r="AC452" s="67"/>
    </row>
    <row r="453" spans="1:68" ht="14.25" hidden="1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250</v>
      </c>
      <c r="Y455" s="55">
        <f>IFERROR(IF(X455="",0,CEILING((X455/$H455),1)*$H455),"")</f>
        <v>252</v>
      </c>
      <c r="Z455" s="41">
        <f>IFERROR(IF(Y455=0,"",ROUNDUP(Y455/H455,0)*0.01898),"")</f>
        <v>0.53144000000000002</v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263.72222222222223</v>
      </c>
      <c r="BN455" s="78">
        <f>IFERROR(Y455*I455/H455,"0")</f>
        <v>265.83199999999999</v>
      </c>
      <c r="BO455" s="78">
        <f>IFERROR(1/J455*(X455/H455),"0")</f>
        <v>0.43402777777777779</v>
      </c>
      <c r="BP455" s="78">
        <f>IFERROR(1/J455*(Y455/H455),"0")</f>
        <v>0.4375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27.777777777777779</v>
      </c>
      <c r="Y456" s="43">
        <f>IFERROR(Y454/H454,"0")+IFERROR(Y455/H455,"0")</f>
        <v>28</v>
      </c>
      <c r="Z456" s="43">
        <f>IFERROR(IF(Z454="",0,Z454),"0")+IFERROR(IF(Z455="",0,Z455),"0")</f>
        <v>0.53144000000000002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250</v>
      </c>
      <c r="Y457" s="43">
        <f>IFERROR(SUM(Y454:Y455),"0")</f>
        <v>252</v>
      </c>
      <c r="Z457" s="42"/>
      <c r="AA457" s="67"/>
      <c r="AB457" s="67"/>
      <c r="AC457" s="67"/>
    </row>
    <row r="458" spans="1:68" ht="16.5" hidden="1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150</v>
      </c>
      <c r="Y477" s="55">
        <f t="shared" ref="Y477:Y482" si="73">IFERROR(IF(X477="",0,CEILING((X477/$H477),1)*$H477),"")</f>
        <v>151.20000000000002</v>
      </c>
      <c r="Z477" s="41">
        <f>IFERROR(IF(Y477=0,"",ROUNDUP(Y477/H477,0)*0.00902),"")</f>
        <v>0.25256000000000001</v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155.27777777777777</v>
      </c>
      <c r="BN477" s="78">
        <f t="shared" ref="BN477:BN482" si="75">IFERROR(Y477*I477/H477,"0")</f>
        <v>156.52000000000001</v>
      </c>
      <c r="BO477" s="78">
        <f t="shared" ref="BO477:BO482" si="76">IFERROR(1/J477*(X477/H477),"0")</f>
        <v>0.21043771043771042</v>
      </c>
      <c r="BP477" s="78">
        <f t="shared" ref="BP477:BP482" si="77">IFERROR(1/J477*(Y477/H477),"0")</f>
        <v>0.21212121212121213</v>
      </c>
    </row>
    <row r="478" spans="1:68" ht="27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60</v>
      </c>
      <c r="Y478" s="55">
        <f t="shared" si="73"/>
        <v>64.800000000000011</v>
      </c>
      <c r="Z478" s="41">
        <f>IFERROR(IF(Y478=0,"",ROUNDUP(Y478/H478,0)*0.00902),"")</f>
        <v>0.10824</v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62.1111111111111</v>
      </c>
      <c r="BN478" s="78">
        <f t="shared" si="75"/>
        <v>67.08</v>
      </c>
      <c r="BO478" s="78">
        <f t="shared" si="76"/>
        <v>8.4175084175084181E-2</v>
      </c>
      <c r="BP478" s="78">
        <f t="shared" si="77"/>
        <v>9.0909090909090925E-2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38.888888888888886</v>
      </c>
      <c r="Y483" s="43">
        <f>IFERROR(Y477/H477,"0")+IFERROR(Y478/H478,"0")+IFERROR(Y479/H479,"0")+IFERROR(Y480/H480,"0")+IFERROR(Y481/H481,"0")+IFERROR(Y482/H482,"0")</f>
        <v>40</v>
      </c>
      <c r="Z483" s="43">
        <f>IFERROR(IF(Z477="",0,Z477),"0")+IFERROR(IF(Z478="",0,Z478),"0")+IFERROR(IF(Z479="",0,Z479),"0")+IFERROR(IF(Z480="",0,Z480),"0")+IFERROR(IF(Z481="",0,Z481),"0")+IFERROR(IF(Z482="",0,Z482),"0")</f>
        <v>0.36080000000000001</v>
      </c>
      <c r="AA483" s="67"/>
      <c r="AB483" s="67"/>
      <c r="AC483" s="67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210</v>
      </c>
      <c r="Y484" s="43">
        <f>IFERROR(SUM(Y477:Y482),"0")</f>
        <v>216.00000000000003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170</v>
      </c>
      <c r="Y496" s="55">
        <f>IFERROR(IF(X496="",0,CEILING((X496/$H496),1)*$H496),"")</f>
        <v>172.8</v>
      </c>
      <c r="Z496" s="41">
        <f>IFERROR(IF(Y496=0,"",ROUNDUP(Y496/H496,0)*0.00902),"")</f>
        <v>0.28864000000000001</v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175.98148148148147</v>
      </c>
      <c r="BN496" s="78">
        <f>IFERROR(Y496*I496/H496,"0")</f>
        <v>178.88</v>
      </c>
      <c r="BO496" s="78">
        <f>IFERROR(1/J496*(X496/H496),"0")</f>
        <v>0.23849607182940516</v>
      </c>
      <c r="BP496" s="78">
        <f>IFERROR(1/J496*(Y496/H496),"0")</f>
        <v>0.24242424242424243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31.481481481481481</v>
      </c>
      <c r="Y499" s="43">
        <f>IFERROR(Y496/H496,"0")+IFERROR(Y497/H497,"0")+IFERROR(Y498/H498,"0")</f>
        <v>32</v>
      </c>
      <c r="Z499" s="43">
        <f>IFERROR(IF(Z496="",0,Z496),"0")+IFERROR(IF(Z497="",0,Z497),"0")+IFERROR(IF(Z498="",0,Z498),"0")</f>
        <v>0.28864000000000001</v>
      </c>
      <c r="AA499" s="67"/>
      <c r="AB499" s="67"/>
      <c r="AC499" s="67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170</v>
      </c>
      <c r="Y500" s="43">
        <f>IFERROR(SUM(Y496:Y498),"0")</f>
        <v>172.8</v>
      </c>
      <c r="Z500" s="42"/>
      <c r="AA500" s="67"/>
      <c r="AB500" s="67"/>
      <c r="AC500" s="67"/>
    </row>
    <row r="501" spans="1:68" ht="27.75" hidden="1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100</v>
      </c>
      <c r="Y507" s="55">
        <f t="shared" si="78"/>
        <v>100.32000000000001</v>
      </c>
      <c r="Z507" s="41">
        <f t="shared" si="79"/>
        <v>0.22724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106.62878787878788</v>
      </c>
      <c r="BN507" s="78">
        <f t="shared" si="81"/>
        <v>106.97</v>
      </c>
      <c r="BO507" s="78">
        <f t="shared" si="82"/>
        <v>0.18210955710955709</v>
      </c>
      <c r="BP507" s="78">
        <f t="shared" si="83"/>
        <v>0.18269230769230771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si="78"/>
        <v>100.32000000000001</v>
      </c>
      <c r="Z509" s="41">
        <f t="shared" si="79"/>
        <v>0.22724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106.62878787878788</v>
      </c>
      <c r="BN509" s="78">
        <f t="shared" si="81"/>
        <v>106.97</v>
      </c>
      <c r="BO509" s="78">
        <f t="shared" si="82"/>
        <v>0.18210955710955709</v>
      </c>
      <c r="BP509" s="78">
        <f t="shared" si="83"/>
        <v>0.18269230769230771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37.878787878787875</v>
      </c>
      <c r="Y513" s="43">
        <f>IFERROR(Y504/H504,"0")+IFERROR(Y505/H505,"0")+IFERROR(Y506/H506,"0")+IFERROR(Y507/H507,"0")+IFERROR(Y508/H508,"0")+IFERROR(Y509/H509,"0")+IFERROR(Y510/H510,"0")+IFERROR(Y511/H511,"0")+IFERROR(Y512/H512,"0")</f>
        <v>38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0.45448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200</v>
      </c>
      <c r="Y514" s="43">
        <f>IFERROR(SUM(Y504:Y512),"0")</f>
        <v>200.64000000000001</v>
      </c>
      <c r="Z514" s="42"/>
      <c r="AA514" s="67"/>
      <c r="AB514" s="67"/>
      <c r="AC514" s="67"/>
    </row>
    <row r="515" spans="1:68" ht="14.25" hidden="1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150</v>
      </c>
      <c r="Y516" s="55">
        <f>IFERROR(IF(X516="",0,CEILING((X516/$H516),1)*$H516),"")</f>
        <v>153.12</v>
      </c>
      <c r="Z516" s="41">
        <f>IFERROR(IF(Y516=0,"",ROUNDUP(Y516/H516,0)*0.01196),"")</f>
        <v>0.34683999999999998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159.94318181818181</v>
      </c>
      <c r="BN516" s="78">
        <f>IFERROR(Y516*I516/H516,"0")</f>
        <v>163.26999999999998</v>
      </c>
      <c r="BO516" s="78">
        <f>IFERROR(1/J516*(X516/H516),"0")</f>
        <v>0.27316433566433568</v>
      </c>
      <c r="BP516" s="78">
        <f>IFERROR(1/J516*(Y516/H516),"0")</f>
        <v>0.27884615384615385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28.409090909090907</v>
      </c>
      <c r="Y519" s="43">
        <f>IFERROR(Y516/H516,"0")+IFERROR(Y517/H517,"0")+IFERROR(Y518/H518,"0")</f>
        <v>29</v>
      </c>
      <c r="Z519" s="43">
        <f>IFERROR(IF(Z516="",0,Z516),"0")+IFERROR(IF(Z517="",0,Z517),"0")+IFERROR(IF(Z518="",0,Z518),"0")</f>
        <v>0.34683999999999998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150</v>
      </c>
      <c r="Y520" s="43">
        <f>IFERROR(SUM(Y516:Y518),"0")</f>
        <v>153.12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hidden="1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120</v>
      </c>
      <c r="Y542" s="55">
        <f>IFERROR(IF(X542="",0,CEILING((X542/$H542),1)*$H542),"")</f>
        <v>121.80000000000001</v>
      </c>
      <c r="Z542" s="41">
        <f>IFERROR(IF(Y542=0,"",ROUNDUP(Y542/H542,0)*0.00902),"")</f>
        <v>0.26158000000000003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127.14285714285714</v>
      </c>
      <c r="BN542" s="78">
        <f>IFERROR(Y542*I542/H542,"0")</f>
        <v>129.05000000000001</v>
      </c>
      <c r="BO542" s="78">
        <f>IFERROR(1/J542*(X542/H542),"0")</f>
        <v>0.21645021645021645</v>
      </c>
      <c r="BP542" s="78">
        <f>IFERROR(1/J542*(Y542/H542),"0")</f>
        <v>0.2196969696969697</v>
      </c>
    </row>
    <row r="543" spans="1:68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28.571428571428569</v>
      </c>
      <c r="Y543" s="43">
        <f>IFERROR(Y542/H542,"0")</f>
        <v>29</v>
      </c>
      <c r="Z543" s="43">
        <f>IFERROR(IF(Z542="",0,Z542),"0")</f>
        <v>0.26158000000000003</v>
      </c>
      <c r="AA543" s="67"/>
      <c r="AB543" s="67"/>
      <c r="AC543" s="67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120</v>
      </c>
      <c r="Y544" s="43">
        <f>IFERROR(SUM(Y542:Y542),"0")</f>
        <v>121.80000000000001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500</v>
      </c>
      <c r="Y546" s="55">
        <f>IFERROR(IF(X546="",0,CEILING((X546/$H546),1)*$H546),"")</f>
        <v>504</v>
      </c>
      <c r="Z546" s="41">
        <f>IFERROR(IF(Y546=0,"",ROUNDUP(Y546/H546,0)*0.01898),"")</f>
        <v>1.06288</v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527.44444444444446</v>
      </c>
      <c r="BN546" s="78">
        <f>IFERROR(Y546*I546/H546,"0")</f>
        <v>531.66399999999999</v>
      </c>
      <c r="BO546" s="78">
        <f>IFERROR(1/J546*(X546/H546),"0")</f>
        <v>0.86805555555555558</v>
      </c>
      <c r="BP546" s="78">
        <f>IFERROR(1/J546*(Y546/H546),"0")</f>
        <v>0.875</v>
      </c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55.555555555555557</v>
      </c>
      <c r="Y547" s="43">
        <f>IFERROR(Y546/H546,"0")</f>
        <v>56</v>
      </c>
      <c r="Z547" s="43">
        <f>IFERROR(IF(Z546="",0,Z546),"0")</f>
        <v>1.06288</v>
      </c>
      <c r="AA547" s="67"/>
      <c r="AB547" s="67"/>
      <c r="AC547" s="67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500</v>
      </c>
      <c r="Y548" s="43">
        <f>IFERROR(SUM(Y546:Y546),"0")</f>
        <v>504</v>
      </c>
      <c r="Z548" s="42"/>
      <c r="AA548" s="67"/>
      <c r="AB548" s="67"/>
      <c r="AC548" s="67"/>
    </row>
    <row r="549" spans="1:68" ht="14.25" hidden="1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5034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5082.3600000000006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5264.484797733131</v>
      </c>
      <c r="Y560" s="43">
        <f>IFERROR(SUM(BN22:BN556),"0")</f>
        <v>5315.0880000000016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9</v>
      </c>
      <c r="Y561" s="44">
        <f>ROUNDUP(SUM(BP22:BP556),0)</f>
        <v>9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5489.484797733131</v>
      </c>
      <c r="Y562" s="43">
        <f>GrossWeightTotalR+PalletQtyTotalR*25</f>
        <v>5540.0880000000016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693.34173850840511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701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9.6399600000000003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72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127.20000000000002</v>
      </c>
      <c r="F569" s="52">
        <f>IFERROR(Y87*1,"0")+IFERROR(Y88*1,"0")+IFERROR(Y89*1,"0")+IFERROR(Y90*1,"0")+IFERROR(Y91*1,"0")+IFERROR(Y95*1,"0")+IFERROR(Y96*1,"0")+IFERROR(Y97*1,"0")+IFERROR(Y98*1,"0")</f>
        <v>283.5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283.5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252.00000000000003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691.2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201.60000000000002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1803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216.00000000000003</v>
      </c>
      <c r="Z569" s="52">
        <f>IFERROR(Y492*1,"0")+IFERROR(Y496*1,"0")+IFERROR(Y497*1,"0")+IFERROR(Y498*1,"0")</f>
        <v>172.8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353.76</v>
      </c>
      <c r="AB569" s="52">
        <f>IFERROR(Y534*1,"0")+IFERROR(Y538*1,"0")+IFERROR(Y542*1,"0")+IFERROR(Y546*1,"0")+IFERROR(Y550*1,"0")+IFERROR(Y551*1,"0")</f>
        <v>625.79999999999995</v>
      </c>
      <c r="AC569" s="52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00,00"/>
        <filter val="120,00"/>
        <filter val="125,93"/>
        <filter val="130,00"/>
        <filter val="150,00"/>
        <filter val="170,00"/>
        <filter val="18,00"/>
        <filter val="200,00"/>
        <filter val="210,00"/>
        <filter val="23,81"/>
        <filter val="24,69"/>
        <filter val="250,00"/>
        <filter val="27,78"/>
        <filter val="28,41"/>
        <filter val="28,57"/>
        <filter val="31,48"/>
        <filter val="350,00"/>
        <filter val="37,88"/>
        <filter val="38,89"/>
        <filter val="5 034,00"/>
        <filter val="5 264,48"/>
        <filter val="5 489,48"/>
        <filter val="5,56"/>
        <filter val="500,00"/>
        <filter val="55,56"/>
        <filter val="59,52"/>
        <filter val="60,00"/>
        <filter val="600,00"/>
        <filter val="680,00"/>
        <filter val="693,34"/>
        <filter val="7,69"/>
        <filter val="72,00"/>
        <filter val="80,00"/>
        <filter val="81,00"/>
        <filter val="9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9" spans="2:8" x14ac:dyDescent="0.2">
      <c r="B9" s="53" t="s">
        <v>880</v>
      </c>
      <c r="C9" s="53" t="s">
        <v>875</v>
      </c>
      <c r="D9" s="53" t="s">
        <v>46</v>
      </c>
      <c r="E9" s="53" t="s">
        <v>46</v>
      </c>
    </row>
    <row r="11" spans="2:8" x14ac:dyDescent="0.2">
      <c r="B11" s="53" t="s">
        <v>880</v>
      </c>
      <c r="C11" s="53" t="s">
        <v>878</v>
      </c>
      <c r="D11" s="53" t="s">
        <v>46</v>
      </c>
      <c r="E11" s="53" t="s">
        <v>46</v>
      </c>
    </row>
    <row r="13" spans="2:8" x14ac:dyDescent="0.2">
      <c r="B13" s="53" t="s">
        <v>881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2026-10-02T07:02:18Z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