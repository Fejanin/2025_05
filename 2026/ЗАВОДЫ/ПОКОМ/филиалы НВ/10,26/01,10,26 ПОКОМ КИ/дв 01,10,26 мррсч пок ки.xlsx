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ПОКОМ КИ\"/>
    </mc:Choice>
  </mc:AlternateContent>
  <xr:revisionPtr revIDLastSave="0" documentId="13_ncr:1_{63E1D2F4-D245-4EED-A628-43EFE50E0B94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Sheet!$A$3:$Z$131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Z7" i="1" l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22" i="1"/>
  <c r="Z123" i="1"/>
  <c r="Z124" i="1"/>
  <c r="Z125" i="1"/>
  <c r="Z126" i="1"/>
  <c r="Z127" i="1"/>
  <c r="Z128" i="1"/>
  <c r="Z129" i="1"/>
  <c r="Z130" i="1"/>
  <c r="Z131" i="1"/>
  <c r="Z6" i="1"/>
  <c r="S131" i="1" l="1"/>
  <c r="V131" i="1" s="1"/>
  <c r="L131" i="1"/>
  <c r="S130" i="1"/>
  <c r="V130" i="1" s="1"/>
  <c r="L130" i="1"/>
  <c r="S129" i="1"/>
  <c r="V129" i="1" s="1"/>
  <c r="L129" i="1"/>
  <c r="S128" i="1"/>
  <c r="V128" i="1" s="1"/>
  <c r="L128" i="1"/>
  <c r="S127" i="1"/>
  <c r="V127" i="1" s="1"/>
  <c r="L127" i="1"/>
  <c r="S126" i="1"/>
  <c r="V126" i="1" s="1"/>
  <c r="L126" i="1"/>
  <c r="S125" i="1"/>
  <c r="L125" i="1"/>
  <c r="S124" i="1"/>
  <c r="V124" i="1" s="1"/>
  <c r="L124" i="1"/>
  <c r="S123" i="1"/>
  <c r="V123" i="1" s="1"/>
  <c r="L123" i="1"/>
  <c r="F122" i="1"/>
  <c r="E122" i="1"/>
  <c r="L122" i="1" s="1"/>
  <c r="S121" i="1"/>
  <c r="L121" i="1"/>
  <c r="S120" i="1"/>
  <c r="V120" i="1" s="1"/>
  <c r="L120" i="1"/>
  <c r="S119" i="1"/>
  <c r="V119" i="1" s="1"/>
  <c r="L119" i="1"/>
  <c r="S118" i="1"/>
  <c r="V118" i="1" s="1"/>
  <c r="L118" i="1"/>
  <c r="S117" i="1"/>
  <c r="L117" i="1"/>
  <c r="S116" i="1"/>
  <c r="V116" i="1" s="1"/>
  <c r="L116" i="1"/>
  <c r="S115" i="1"/>
  <c r="V115" i="1" s="1"/>
  <c r="L115" i="1"/>
  <c r="S114" i="1"/>
  <c r="V114" i="1" s="1"/>
  <c r="L114" i="1"/>
  <c r="S113" i="1"/>
  <c r="L113" i="1"/>
  <c r="S112" i="1"/>
  <c r="V112" i="1" s="1"/>
  <c r="L112" i="1"/>
  <c r="S111" i="1"/>
  <c r="V111" i="1" s="1"/>
  <c r="L111" i="1"/>
  <c r="S110" i="1"/>
  <c r="U110" i="1" s="1"/>
  <c r="L110" i="1"/>
  <c r="S109" i="1"/>
  <c r="V109" i="1" s="1"/>
  <c r="L109" i="1"/>
  <c r="S108" i="1"/>
  <c r="V108" i="1" s="1"/>
  <c r="L108" i="1"/>
  <c r="S107" i="1"/>
  <c r="V107" i="1" s="1"/>
  <c r="L107" i="1"/>
  <c r="S106" i="1"/>
  <c r="L106" i="1"/>
  <c r="S105" i="1"/>
  <c r="V105" i="1" s="1"/>
  <c r="L105" i="1"/>
  <c r="S104" i="1"/>
  <c r="V104" i="1" s="1"/>
  <c r="L104" i="1"/>
  <c r="S103" i="1"/>
  <c r="V103" i="1" s="1"/>
  <c r="L103" i="1"/>
  <c r="S102" i="1"/>
  <c r="U102" i="1" s="1"/>
  <c r="L102" i="1"/>
  <c r="S101" i="1"/>
  <c r="V101" i="1" s="1"/>
  <c r="L101" i="1"/>
  <c r="S100" i="1"/>
  <c r="L100" i="1"/>
  <c r="S99" i="1"/>
  <c r="T99" i="1" s="1"/>
  <c r="L99" i="1"/>
  <c r="S98" i="1"/>
  <c r="V98" i="1" s="1"/>
  <c r="L98" i="1"/>
  <c r="S97" i="1"/>
  <c r="L97" i="1"/>
  <c r="S96" i="1"/>
  <c r="L96" i="1"/>
  <c r="S95" i="1"/>
  <c r="U95" i="1" s="1"/>
  <c r="L95" i="1"/>
  <c r="S94" i="1"/>
  <c r="V94" i="1" s="1"/>
  <c r="L94" i="1"/>
  <c r="S93" i="1"/>
  <c r="V93" i="1" s="1"/>
  <c r="L93" i="1"/>
  <c r="F92" i="1"/>
  <c r="E92" i="1"/>
  <c r="L92" i="1" s="1"/>
  <c r="S91" i="1"/>
  <c r="V91" i="1" s="1"/>
  <c r="L91" i="1"/>
  <c r="S90" i="1"/>
  <c r="T90" i="1" s="1"/>
  <c r="L90" i="1"/>
  <c r="S89" i="1"/>
  <c r="V89" i="1" s="1"/>
  <c r="L89" i="1"/>
  <c r="S88" i="1"/>
  <c r="V88" i="1" s="1"/>
  <c r="L88" i="1"/>
  <c r="S87" i="1"/>
  <c r="V87" i="1" s="1"/>
  <c r="L87" i="1"/>
  <c r="S86" i="1"/>
  <c r="V86" i="1" s="1"/>
  <c r="L86" i="1"/>
  <c r="S85" i="1"/>
  <c r="V85" i="1" s="1"/>
  <c r="L85" i="1"/>
  <c r="S84" i="1"/>
  <c r="L84" i="1"/>
  <c r="S83" i="1"/>
  <c r="V83" i="1" s="1"/>
  <c r="L83" i="1"/>
  <c r="S82" i="1"/>
  <c r="V82" i="1" s="1"/>
  <c r="L82" i="1"/>
  <c r="S81" i="1"/>
  <c r="L81" i="1"/>
  <c r="S80" i="1"/>
  <c r="L80" i="1"/>
  <c r="S79" i="1"/>
  <c r="V79" i="1" s="1"/>
  <c r="L79" i="1"/>
  <c r="S78" i="1"/>
  <c r="V78" i="1" s="1"/>
  <c r="L78" i="1"/>
  <c r="S77" i="1"/>
  <c r="V77" i="1" s="1"/>
  <c r="L77" i="1"/>
  <c r="S76" i="1"/>
  <c r="V76" i="1" s="1"/>
  <c r="L76" i="1"/>
  <c r="S75" i="1"/>
  <c r="V75" i="1" s="1"/>
  <c r="L75" i="1"/>
  <c r="S74" i="1"/>
  <c r="V74" i="1" s="1"/>
  <c r="L74" i="1"/>
  <c r="S73" i="1"/>
  <c r="L73" i="1"/>
  <c r="S72" i="1"/>
  <c r="V72" i="1" s="1"/>
  <c r="L72" i="1"/>
  <c r="S71" i="1"/>
  <c r="L71" i="1"/>
  <c r="S70" i="1"/>
  <c r="L70" i="1"/>
  <c r="S69" i="1"/>
  <c r="V69" i="1" s="1"/>
  <c r="L69" i="1"/>
  <c r="S68" i="1"/>
  <c r="V68" i="1" s="1"/>
  <c r="L68" i="1"/>
  <c r="S67" i="1"/>
  <c r="L67" i="1"/>
  <c r="S66" i="1"/>
  <c r="T66" i="1" s="1"/>
  <c r="L66" i="1"/>
  <c r="S65" i="1"/>
  <c r="L65" i="1"/>
  <c r="S64" i="1"/>
  <c r="V64" i="1" s="1"/>
  <c r="L64" i="1"/>
  <c r="S63" i="1"/>
  <c r="L63" i="1"/>
  <c r="S62" i="1"/>
  <c r="L62" i="1"/>
  <c r="S61" i="1"/>
  <c r="V61" i="1" s="1"/>
  <c r="L61" i="1"/>
  <c r="S60" i="1"/>
  <c r="V60" i="1" s="1"/>
  <c r="L60" i="1"/>
  <c r="F59" i="1"/>
  <c r="F5" i="1" s="1"/>
  <c r="E59" i="1"/>
  <c r="S58" i="1"/>
  <c r="V58" i="1" s="1"/>
  <c r="L58" i="1"/>
  <c r="S57" i="1"/>
  <c r="L57" i="1"/>
  <c r="S56" i="1"/>
  <c r="V56" i="1" s="1"/>
  <c r="L56" i="1"/>
  <c r="S55" i="1"/>
  <c r="V55" i="1" s="1"/>
  <c r="L55" i="1"/>
  <c r="S54" i="1"/>
  <c r="V54" i="1" s="1"/>
  <c r="L54" i="1"/>
  <c r="S53" i="1"/>
  <c r="V53" i="1" s="1"/>
  <c r="L53" i="1"/>
  <c r="S52" i="1"/>
  <c r="T52" i="1" s="1"/>
  <c r="L52" i="1"/>
  <c r="S51" i="1"/>
  <c r="V51" i="1" s="1"/>
  <c r="L51" i="1"/>
  <c r="S50" i="1"/>
  <c r="V50" i="1" s="1"/>
  <c r="L50" i="1"/>
  <c r="S49" i="1"/>
  <c r="L49" i="1"/>
  <c r="S48" i="1"/>
  <c r="V48" i="1" s="1"/>
  <c r="L48" i="1"/>
  <c r="S47" i="1"/>
  <c r="V47" i="1" s="1"/>
  <c r="L47" i="1"/>
  <c r="S46" i="1"/>
  <c r="V46" i="1" s="1"/>
  <c r="L46" i="1"/>
  <c r="S45" i="1"/>
  <c r="V45" i="1" s="1"/>
  <c r="L45" i="1"/>
  <c r="S44" i="1"/>
  <c r="V44" i="1" s="1"/>
  <c r="L44" i="1"/>
  <c r="S43" i="1"/>
  <c r="V43" i="1" s="1"/>
  <c r="L43" i="1"/>
  <c r="S42" i="1"/>
  <c r="V42" i="1" s="1"/>
  <c r="L42" i="1"/>
  <c r="S41" i="1"/>
  <c r="V41" i="1" s="1"/>
  <c r="L41" i="1"/>
  <c r="S40" i="1"/>
  <c r="L40" i="1"/>
  <c r="S39" i="1"/>
  <c r="V39" i="1" s="1"/>
  <c r="L39" i="1"/>
  <c r="S38" i="1"/>
  <c r="V38" i="1" s="1"/>
  <c r="L38" i="1"/>
  <c r="S37" i="1"/>
  <c r="L37" i="1"/>
  <c r="S36" i="1"/>
  <c r="U36" i="1" s="1"/>
  <c r="L36" i="1"/>
  <c r="S35" i="1"/>
  <c r="V35" i="1" s="1"/>
  <c r="L35" i="1"/>
  <c r="S34" i="1"/>
  <c r="V34" i="1" s="1"/>
  <c r="L34" i="1"/>
  <c r="S33" i="1"/>
  <c r="V33" i="1" s="1"/>
  <c r="L33" i="1"/>
  <c r="S32" i="1"/>
  <c r="L32" i="1"/>
  <c r="S31" i="1"/>
  <c r="V31" i="1" s="1"/>
  <c r="L31" i="1"/>
  <c r="S30" i="1"/>
  <c r="V30" i="1" s="1"/>
  <c r="L30" i="1"/>
  <c r="S29" i="1"/>
  <c r="V29" i="1" s="1"/>
  <c r="L29" i="1"/>
  <c r="S28" i="1"/>
  <c r="V28" i="1" s="1"/>
  <c r="L28" i="1"/>
  <c r="S27" i="1"/>
  <c r="L27" i="1"/>
  <c r="S26" i="1"/>
  <c r="L26" i="1"/>
  <c r="S25" i="1"/>
  <c r="V25" i="1" s="1"/>
  <c r="L25" i="1"/>
  <c r="S24" i="1"/>
  <c r="V24" i="1" s="1"/>
  <c r="L24" i="1"/>
  <c r="S23" i="1"/>
  <c r="V23" i="1" s="1"/>
  <c r="L23" i="1"/>
  <c r="S22" i="1"/>
  <c r="V22" i="1" s="1"/>
  <c r="L22" i="1"/>
  <c r="S21" i="1"/>
  <c r="V21" i="1" s="1"/>
  <c r="L21" i="1"/>
  <c r="S20" i="1"/>
  <c r="V20" i="1" s="1"/>
  <c r="L20" i="1"/>
  <c r="S19" i="1"/>
  <c r="U19" i="1" s="1"/>
  <c r="L19" i="1"/>
  <c r="S18" i="1"/>
  <c r="V18" i="1" s="1"/>
  <c r="L18" i="1"/>
  <c r="S17" i="1"/>
  <c r="V17" i="1" s="1"/>
  <c r="L17" i="1"/>
  <c r="S16" i="1"/>
  <c r="V16" i="1" s="1"/>
  <c r="L16" i="1"/>
  <c r="S15" i="1"/>
  <c r="V15" i="1" s="1"/>
  <c r="L15" i="1"/>
  <c r="S14" i="1"/>
  <c r="V14" i="1" s="1"/>
  <c r="L14" i="1"/>
  <c r="S13" i="1"/>
  <c r="V13" i="1" s="1"/>
  <c r="L13" i="1"/>
  <c r="S12" i="1"/>
  <c r="V12" i="1" s="1"/>
  <c r="L12" i="1"/>
  <c r="S11" i="1"/>
  <c r="V11" i="1" s="1"/>
  <c r="L11" i="1"/>
  <c r="S10" i="1"/>
  <c r="V10" i="1" s="1"/>
  <c r="L10" i="1"/>
  <c r="S9" i="1"/>
  <c r="V9" i="1" s="1"/>
  <c r="L9" i="1"/>
  <c r="S8" i="1"/>
  <c r="L8" i="1"/>
  <c r="S7" i="1"/>
  <c r="L7" i="1"/>
  <c r="S6" i="1"/>
  <c r="V6" i="1" s="1"/>
  <c r="L6" i="1"/>
  <c r="X5" i="1"/>
  <c r="W5" i="1"/>
  <c r="R5" i="1"/>
  <c r="Q5" i="1"/>
  <c r="P5" i="1"/>
  <c r="O5" i="1"/>
  <c r="N5" i="1"/>
  <c r="M5" i="1"/>
  <c r="K5" i="1"/>
  <c r="T118" i="1" l="1"/>
  <c r="V106" i="1"/>
  <c r="E5" i="1"/>
  <c r="T91" i="1"/>
  <c r="T16" i="1"/>
  <c r="T17" i="1"/>
  <c r="U40" i="1"/>
  <c r="U37" i="1"/>
  <c r="U85" i="1"/>
  <c r="T114" i="1"/>
  <c r="T115" i="1"/>
  <c r="U73" i="1"/>
  <c r="U80" i="1"/>
  <c r="S122" i="1"/>
  <c r="T24" i="1"/>
  <c r="T25" i="1"/>
  <c r="T48" i="1"/>
  <c r="V52" i="1"/>
  <c r="U67" i="1"/>
  <c r="V81" i="1"/>
  <c r="U117" i="1"/>
  <c r="T29" i="1"/>
  <c r="T50" i="1"/>
  <c r="U96" i="1"/>
  <c r="V117" i="1"/>
  <c r="U71" i="1"/>
  <c r="V19" i="1"/>
  <c r="V40" i="1"/>
  <c r="V110" i="1"/>
  <c r="U52" i="1"/>
  <c r="U26" i="1"/>
  <c r="U27" i="1"/>
  <c r="T32" i="1"/>
  <c r="T100" i="1"/>
  <c r="U97" i="1"/>
  <c r="U7" i="1"/>
  <c r="T55" i="1"/>
  <c r="T11" i="1"/>
  <c r="T104" i="1"/>
  <c r="U23" i="1"/>
  <c r="U62" i="1"/>
  <c r="U70" i="1"/>
  <c r="T13" i="1"/>
  <c r="U8" i="1"/>
  <c r="U49" i="1"/>
  <c r="U84" i="1"/>
  <c r="U113" i="1"/>
  <c r="T14" i="1"/>
  <c r="T39" i="1"/>
  <c r="U57" i="1"/>
  <c r="U63" i="1"/>
  <c r="U99" i="1"/>
  <c r="T81" i="1"/>
  <c r="T130" i="1"/>
  <c r="U90" i="1"/>
  <c r="U91" i="1"/>
  <c r="U106" i="1"/>
  <c r="U66" i="1"/>
  <c r="V8" i="1"/>
  <c r="V26" i="1"/>
  <c r="U44" i="1"/>
  <c r="V95" i="1"/>
  <c r="V113" i="1"/>
  <c r="U77" i="1"/>
  <c r="V27" i="1"/>
  <c r="U33" i="1"/>
  <c r="U56" i="1"/>
  <c r="V73" i="1"/>
  <c r="V66" i="1"/>
  <c r="V96" i="1"/>
  <c r="V62" i="1"/>
  <c r="U89" i="1"/>
  <c r="V71" i="1"/>
  <c r="V57" i="1"/>
  <c r="V63" i="1"/>
  <c r="S92" i="1"/>
  <c r="T92" i="1" s="1"/>
  <c r="U20" i="1"/>
  <c r="V49" i="1"/>
  <c r="V67" i="1"/>
  <c r="V121" i="1"/>
  <c r="V70" i="1"/>
  <c r="V99" i="1"/>
  <c r="V100" i="1"/>
  <c r="U109" i="1"/>
  <c r="V97" i="1"/>
  <c r="V37" i="1"/>
  <c r="U87" i="1"/>
  <c r="U112" i="1"/>
  <c r="U116" i="1"/>
  <c r="U120" i="1"/>
  <c r="U18" i="1"/>
  <c r="U43" i="1"/>
  <c r="U47" i="1"/>
  <c r="U51" i="1"/>
  <c r="L59" i="1"/>
  <c r="L5" i="1" s="1"/>
  <c r="U6" i="1"/>
  <c r="U31" i="1"/>
  <c r="S59" i="1"/>
  <c r="U75" i="1"/>
  <c r="U83" i="1"/>
  <c r="U108" i="1"/>
  <c r="U61" i="1"/>
  <c r="V7" i="1"/>
  <c r="U28" i="1"/>
  <c r="V32" i="1"/>
  <c r="V36" i="1"/>
  <c r="U60" i="1"/>
  <c r="U64" i="1"/>
  <c r="U68" i="1"/>
  <c r="U72" i="1"/>
  <c r="V80" i="1"/>
  <c r="V84" i="1"/>
  <c r="U101" i="1"/>
  <c r="V125" i="1"/>
  <c r="U93" i="1"/>
  <c r="U118" i="1"/>
  <c r="U12" i="1"/>
  <c r="U41" i="1"/>
  <c r="U45" i="1"/>
  <c r="U122" i="1"/>
  <c r="U69" i="1"/>
  <c r="V65" i="1"/>
  <c r="V90" i="1"/>
  <c r="U94" i="1"/>
  <c r="V102" i="1"/>
  <c r="U111" i="1"/>
  <c r="U119" i="1"/>
  <c r="U38" i="1"/>
  <c r="U46" i="1"/>
  <c r="U54" i="1"/>
  <c r="U131" i="1"/>
  <c r="U98" i="1"/>
  <c r="U42" i="1"/>
  <c r="U50" i="1"/>
  <c r="U86" i="1"/>
  <c r="U9" i="1"/>
  <c r="U74" i="1"/>
  <c r="U78" i="1"/>
  <c r="U82" i="1"/>
  <c r="U127" i="1"/>
  <c r="V122" i="1" l="1"/>
  <c r="U81" i="1"/>
  <c r="U55" i="1"/>
  <c r="U17" i="1"/>
  <c r="U121" i="1"/>
  <c r="U24" i="1"/>
  <c r="U25" i="1"/>
  <c r="U88" i="1"/>
  <c r="U10" i="1"/>
  <c r="U21" i="1"/>
  <c r="U34" i="1"/>
  <c r="U130" i="1"/>
  <c r="U58" i="1"/>
  <c r="U105" i="1"/>
  <c r="U124" i="1"/>
  <c r="U13" i="1"/>
  <c r="U16" i="1"/>
  <c r="U32" i="1"/>
  <c r="U29" i="1"/>
  <c r="U11" i="1"/>
  <c r="U65" i="1"/>
  <c r="U30" i="1"/>
  <c r="U126" i="1"/>
  <c r="U100" i="1"/>
  <c r="U53" i="1"/>
  <c r="U48" i="1"/>
  <c r="U129" i="1"/>
  <c r="U14" i="1"/>
  <c r="U22" i="1"/>
  <c r="U114" i="1"/>
  <c r="U115" i="1"/>
  <c r="U15" i="1"/>
  <c r="U103" i="1"/>
  <c r="V59" i="1"/>
  <c r="U76" i="1"/>
  <c r="U39" i="1"/>
  <c r="U104" i="1"/>
  <c r="U123" i="1"/>
  <c r="U79" i="1"/>
  <c r="U107" i="1"/>
  <c r="U35" i="1"/>
  <c r="U128" i="1"/>
  <c r="U125" i="1"/>
  <c r="U92" i="1"/>
  <c r="V92" i="1"/>
  <c r="S5" i="1"/>
  <c r="U59" i="1" l="1"/>
  <c r="T5" i="1"/>
  <c r="Z5" i="1"/>
</calcChain>
</file>

<file path=xl/sharedStrings.xml><?xml version="1.0" encoding="utf-8"?>
<sst xmlns="http://schemas.openxmlformats.org/spreadsheetml/2006/main" count="451" uniqueCount="167">
  <si>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</si>
  <si>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</si>
  <si>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</si>
  <si>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</si>
  <si>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</si>
  <si>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</si>
  <si>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</si>
  <si>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</si>
  <si>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</si>
  <si>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</si>
  <si>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</si>
  <si>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</si>
  <si>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</si>
  <si>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</si>
  <si>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</si>
  <si>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</si>
  <si>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кон ост</t>
  </si>
  <si>
    <t>факт</t>
  </si>
  <si>
    <t>ср</t>
  </si>
  <si>
    <t>комментарии</t>
  </si>
  <si>
    <t>вес</t>
  </si>
  <si>
    <t>27,09,</t>
  </si>
  <si>
    <t>27,09,недогр</t>
  </si>
  <si>
    <t>29,09,</t>
  </si>
  <si>
    <t>03,10,</t>
  </si>
  <si>
    <t>01,10,</t>
  </si>
  <si>
    <t>24,09,</t>
  </si>
  <si>
    <t xml:space="preserve"> 005  Колбаса Докторская ГОСТ, Вязанка вектор,ВЕС. ПОКОМ</t>
  </si>
  <si>
    <t>кг</t>
  </si>
  <si>
    <t>матрица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</si>
  <si>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</si>
  <si>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</si>
  <si>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023  Колбаса Докторская ГОСТ, Вязанка вектор, 0,4 кг, ПОКОМ</t>
  </si>
  <si>
    <t>шт</t>
  </si>
  <si>
    <t>нет потребности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</si>
  <si>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</si>
  <si>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</si>
  <si>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</si>
  <si>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 xml:space="preserve"> 062  Колбаса Кракушка пряная с сальцем, 0.3кг в/у п/к, БАВАРУШКА ПОКОМ</t>
  </si>
  <si>
    <t>НЕДОГРУЗ / матрица</t>
  </si>
  <si>
    <t xml:space="preserve"> 083  Колбаса Швейцарская 0,17 кг., ШТ., сырокопченая  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</si>
  <si>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</si>
  <si>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</si>
  <si>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</si>
  <si>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217  Колбаса Докторская Дугушка, ВЕС, НЕ ГОСТ, ТМ Стародворье ПОКОМ</t>
  </si>
  <si>
    <t>не в матрице</t>
  </si>
  <si>
    <t xml:space="preserve"> 219  Колбаса Докторская Особая ТМ Особый рецепт, ВЕС  ПОКОМ</t>
  </si>
  <si>
    <t xml:space="preserve"> 597  Колбаса Классическая ТМ Особый рецепт в оболочке полиамид ВЕС. ПОКОМ</t>
  </si>
  <si>
    <t xml:space="preserve"> 225  Колбаса Дугушка со шпиком, ВЕС, ТМ Стародворье   ПОКОМ</t>
  </si>
  <si>
    <t xml:space="preserve"> 226  Колбаса Княжеская, с/к белков.обол в термоусад. пакете, ВЕС, ТМ Стародворье ПОКОМ</t>
  </si>
  <si>
    <t>нужно увеличить продажи!!!</t>
  </si>
  <si>
    <t xml:space="preserve"> 229  Колбаса Молочная Дугушка, в/у, ВЕС, ТМ Стародворье   ПОКОМ</t>
  </si>
  <si>
    <t xml:space="preserve"> 230  Колбаса Молочная Особая ТМ Особый рецепт, п/а, ВЕС. ПОКОМ</t>
  </si>
  <si>
    <t xml:space="preserve"> 457  Колбаса Молочная ТМ Особый рецепт ВЕС большой батон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</si>
  <si>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</si>
  <si>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</si>
  <si>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>ПРОМО сентябрь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</si>
  <si>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</si>
  <si>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</si>
  <si>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 xml:space="preserve"> 244  Колбаса Сервелат Кремлевский, ВЕС. ПОКОМ</t>
  </si>
  <si>
    <t xml:space="preserve"> 247  Сардельки Нежные, ВЕС.  ПОКОМ</t>
  </si>
  <si>
    <t>нужно увеличить продажи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</si>
  <si>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</si>
  <si>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</si>
  <si>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</si>
  <si>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</si>
  <si>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</si>
  <si>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</si>
  <si>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266  Колбаса Филейбургская с сочным окороком,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</si>
  <si>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</si>
  <si>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</si>
  <si>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</si>
  <si>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</si>
  <si>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</si>
  <si>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</si>
  <si>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 xml:space="preserve"> 285  Паштет печеночный со слив.маслом ТМ Стародворье ламистер 0,1 кг  ПОКОМ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</si>
  <si>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</si>
  <si>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</si>
  <si>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</si>
  <si>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</si>
  <si>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</si>
  <si>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</si>
  <si>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</si>
  <si>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</si>
  <si>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</si>
  <si>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</si>
  <si>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</si>
  <si>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</si>
  <si>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</si>
  <si>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</si>
  <si>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</si>
  <si>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</si>
  <si>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</si>
  <si>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</si>
  <si>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</si>
  <si>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</si>
  <si>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 xml:space="preserve"> 340  Сосиски Сочинки Молочные ТМ Стародворье, ВЕС ПОКОМ</t>
  </si>
  <si>
    <t xml:space="preserve"> 341 Сосиски Сочинки Сливочные ТМ Стародворье ВЕС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</si>
  <si>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</si>
  <si>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</si>
  <si>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</si>
  <si>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</si>
  <si>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</si>
  <si>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</si>
  <si>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355  Колбаса Сервелат запеченный ТМ Стародворье ТС Дугушка. 0,6 кг. ПОКОМ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</si>
  <si>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</si>
  <si>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</si>
  <si>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</si>
  <si>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</si>
  <si>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</si>
  <si>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</si>
  <si>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</si>
  <si>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 xml:space="preserve"> 397  Ветчина Дугушка ТМ Стародворье ТС Дугушка в полиамидной оболочке 0,6 кг. ПОКОМ</t>
  </si>
  <si>
    <t xml:space="preserve"> 405  Сардельки Сливушки ТМ Вязанка в оболочке айпил 0,33 кг. ПОКОМ</t>
  </si>
  <si>
    <t xml:space="preserve"> 408  Ветчина Сливушка с индейкой ТМ Вязанка, 0,4кг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</si>
  <si>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</si>
  <si>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</si>
  <si>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</si>
  <si>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</si>
  <si>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</si>
  <si>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</si>
  <si>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</si>
  <si>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</si>
  <si>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</si>
  <si>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460  Колбаса Стародворская Традиционная ВЕС ТМ Стародворье в оболочке полиамид. ПОКОМ</t>
  </si>
  <si>
    <t xml:space="preserve"> 498  Колбаса Сочинка рубленая с сочным окороком 0,3кг ТМ Стародворье  ПОКОМ</t>
  </si>
  <si>
    <t xml:space="preserve"> 517  Сосиски С сыром ТМ Ядрена копоть 0,3кг  ПОКОМ</t>
  </si>
  <si>
    <t xml:space="preserve"> 523  Колбаса Сальчичон нарезка 0,07кг ТМ Стародворье  ПОКОМ 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</si>
  <si>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</si>
  <si>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</si>
  <si>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544  Сосиски Мясные для гриля ТС Ядрена копоть 0,3 кг  ПОКОМ</t>
  </si>
  <si>
    <t xml:space="preserve"> 547  Колбаса Мясная Классическая ТМ Вязанка в оболочке полиамид. ВЕС  ПОКОМ</t>
  </si>
  <si>
    <t xml:space="preserve"> 551  Колбаса Сливушка ТМ Вязанка в модифицированной газовой среде 0,11 кг нарезка  ПОКОМ</t>
  </si>
  <si>
    <t xml:space="preserve"> 552  Ветчина Сливушка с индейкой ТМ Вязанка в модифицированной газовой среде 0,1 кг нарезка  ПОКОМ</t>
  </si>
  <si>
    <t xml:space="preserve"> 553  Ассорти колбас Мясорубская коллекция: Сервелат Делюкс, С балыком 0,08 кг нарезка  ПОКОМ</t>
  </si>
  <si>
    <t xml:space="preserve"> 554  Колбаса Сервелат Мясорубский ТМ Стародворье в упаковке скин 0,08 кг нарезка  ПОКОМ</t>
  </si>
  <si>
    <t xml:space="preserve"> 555  Колбаса Молокуша ТМ Вязанка в модифицированной газовой среде 0,17 кг нарезка  ПОКОМ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</si>
  <si>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</si>
  <si>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</si>
  <si>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558  Колбаса Балыковая НОВАЯ ВЕС Вязанка фиброуз в/у ПОКОМ</t>
  </si>
  <si>
    <t xml:space="preserve"> 564  Сосиски Сочные 0,3 кг ТМ Вязанка  ПОКОМ</t>
  </si>
  <si>
    <t xml:space="preserve"> 567 Колбаса Со шпиком Стародворская ТМ Стародворье в оболочке полиамид ВЕС  ПОКОМ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</si>
  <si>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</si>
  <si>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</si>
  <si>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</si>
  <si>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</si>
  <si>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</si>
  <si>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</si>
  <si>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</si>
  <si>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</si>
  <si>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 xml:space="preserve"> 585  Колбаса Молочная ТМ Стародворье в оболочке вектор НД ВЕС.  ПОКОМ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</si>
  <si>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</si>
  <si>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</si>
  <si>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 xml:space="preserve"> 614  Буженина в пряном маринаде 0,25 кг консервы из мяса индейки ТМ Стародворье  ПОКОМ</t>
  </si>
  <si>
    <t xml:space="preserve"> 615  Гречка по-купечески с говядиной и овощами 0,325кг ТМ Стародворье  ПОКОМ</t>
  </si>
  <si>
    <t xml:space="preserve"> 616  Индейка томлёная в собственном соку 0,25кг ТМ Стародлворье Консервый из мяс.птицы  ПОКОМ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</si>
  <si>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</si>
  <si>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</si>
  <si>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</si>
  <si>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</si>
  <si>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</si>
  <si>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>БОНУС_ 334  Паштет Любительский ТМ Стародворье ламистер 0,1 кг  ПОКОМ</t>
  </si>
  <si>
    <t>бонус</t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</si>
  <si>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  <family val="2"/>
        <charset val="204"/>
      </rPr>
      <t xml:space="preserve"> / ПРОМО сентябрь</t>
    </r>
  </si>
  <si>
    <t>заказ</t>
  </si>
  <si>
    <t>05,10,</t>
  </si>
  <si>
    <t>нет потребности / нет в бланке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</si>
</sst>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7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  <font>
      <sz val="10"/>
      <name val="Arial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18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164" fontId="1" fillId="5" borderId="1" xfId="1" applyNumberFormat="1" applyFill="1"/>
    <xf numFmtId="2" fontId="1" fillId="5" borderId="1" xfId="1" applyNumberFormat="1" applyFill="1"/>
    <xf numFmtId="164" fontId="1" fillId="5" borderId="2" xfId="1" applyNumberFormat="1" applyFill="1" applyBorder="1"/>
    <xf numFmtId="164" fontId="4" fillId="6" borderId="1" xfId="1" applyNumberFormat="1" applyFont="1" applyFill="1"/>
    <xf numFmtId="164" fontId="1" fillId="7" borderId="1" xfId="1" applyNumberFormat="1" applyFill="1"/>
    <xf numFmtId="164" fontId="6" fillId="7" borderId="1" xfId="1" applyNumberFormat="1" applyFont="1" applyFill="1"/>
    <xf numFmtId="164" fontId="1" fillId="0" borderId="1" xfId="1" applyNumberFormat="1" applyFill="1"/>
    <xf numFmtId="164" fontId="5" fillId="7" borderId="1" xfId="1" applyNumberFormat="1" applyFont="1" applyFill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48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P8" sqref="AP8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12" customWidth="1"/>
    <col min="10" max="10" width="1" customWidth="1"/>
    <col min="11" max="12" width="7" customWidth="1"/>
    <col min="13" max="14" width="0.7109375" customWidth="1"/>
    <col min="15" max="20" width="7" customWidth="1"/>
    <col min="21" max="22" width="5" customWidth="1"/>
    <col min="23" max="24" width="6" customWidth="1"/>
    <col min="25" max="25" width="44.42578125" customWidth="1"/>
    <col min="26" max="26" width="7" customWidth="1"/>
    <col min="27" max="49" width="3" customWidth="1"/>
  </cols>
  <sheetData>
    <row r="1" spans="1:49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14</v>
      </c>
      <c r="R3" s="2" t="s">
        <v>14</v>
      </c>
      <c r="S3" s="2" t="s">
        <v>15</v>
      </c>
      <c r="T3" s="3" t="s">
        <v>164</v>
      </c>
      <c r="U3" s="2" t="s">
        <v>16</v>
      </c>
      <c r="V3" s="2" t="s">
        <v>17</v>
      </c>
      <c r="W3" s="2" t="s">
        <v>18</v>
      </c>
      <c r="X3" s="2" t="s">
        <v>18</v>
      </c>
      <c r="Y3" s="2" t="s">
        <v>19</v>
      </c>
      <c r="Z3" s="2" t="s">
        <v>20</v>
      </c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21</v>
      </c>
      <c r="P4" s="1" t="s">
        <v>22</v>
      </c>
      <c r="Q4" s="1" t="s">
        <v>23</v>
      </c>
      <c r="R4" s="1" t="s">
        <v>24</v>
      </c>
      <c r="S4" s="1" t="s">
        <v>25</v>
      </c>
      <c r="T4" s="1" t="s">
        <v>165</v>
      </c>
      <c r="U4" s="1"/>
      <c r="V4" s="1"/>
      <c r="W4" s="1" t="s">
        <v>23</v>
      </c>
      <c r="X4" s="1" t="s">
        <v>26</v>
      </c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</row>
    <row r="5" spans="1:49" x14ac:dyDescent="0.25">
      <c r="A5" s="1"/>
      <c r="B5" s="1"/>
      <c r="C5" s="1"/>
      <c r="D5" s="1"/>
      <c r="E5" s="4">
        <f>SUM(E6:E480)</f>
        <v>7676.3900000000021</v>
      </c>
      <c r="F5" s="4">
        <f>SUM(F6:F480)</f>
        <v>10469.285000000002</v>
      </c>
      <c r="G5" s="7"/>
      <c r="H5" s="1"/>
      <c r="I5" s="1"/>
      <c r="J5" s="1"/>
      <c r="K5" s="4">
        <f t="shared" ref="K5:T5" si="0">SUM(K6:K480)</f>
        <v>10557.78</v>
      </c>
      <c r="L5" s="4">
        <f t="shared" si="0"/>
        <v>-2881.3899999999994</v>
      </c>
      <c r="M5" s="4">
        <f t="shared" si="0"/>
        <v>0</v>
      </c>
      <c r="N5" s="4">
        <f t="shared" si="0"/>
        <v>0</v>
      </c>
      <c r="O5" s="4">
        <f t="shared" si="0"/>
        <v>5719.2397073431584</v>
      </c>
      <c r="P5" s="4">
        <f t="shared" si="0"/>
        <v>-403.2380952380953</v>
      </c>
      <c r="Q5" s="4">
        <f t="shared" si="0"/>
        <v>4608.5156793737242</v>
      </c>
      <c r="R5" s="4">
        <f t="shared" si="0"/>
        <v>4295.6332802177858</v>
      </c>
      <c r="S5" s="4">
        <f t="shared" si="0"/>
        <v>1535.2779999999998</v>
      </c>
      <c r="T5" s="4">
        <f t="shared" si="0"/>
        <v>3516.1213999175316</v>
      </c>
      <c r="U5" s="1"/>
      <c r="V5" s="1"/>
      <c r="W5" s="4">
        <f>SUM(W6:W480)</f>
        <v>1488.0051999999996</v>
      </c>
      <c r="X5" s="4">
        <f>SUM(X6:X480)</f>
        <v>1172.1378</v>
      </c>
      <c r="Y5" s="1"/>
      <c r="Z5" s="4">
        <f>SUM(Z6:Z480)</f>
        <v>2670</v>
      </c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</row>
    <row r="6" spans="1:49" x14ac:dyDescent="0.25">
      <c r="A6" s="1" t="s">
        <v>27</v>
      </c>
      <c r="B6" s="1" t="s">
        <v>28</v>
      </c>
      <c r="C6" s="1">
        <v>6.0830000000000002</v>
      </c>
      <c r="D6" s="1">
        <v>165.464</v>
      </c>
      <c r="E6" s="1">
        <v>78.022000000000006</v>
      </c>
      <c r="F6" s="1">
        <v>80.113</v>
      </c>
      <c r="G6" s="7">
        <v>1</v>
      </c>
      <c r="H6" s="1">
        <v>50</v>
      </c>
      <c r="I6" s="1" t="s">
        <v>29</v>
      </c>
      <c r="J6" s="1"/>
      <c r="K6" s="1">
        <v>132.44</v>
      </c>
      <c r="L6" s="1">
        <f t="shared" ref="L6:L37" si="1">E6-K6</f>
        <v>-54.417999999999992</v>
      </c>
      <c r="M6" s="1"/>
      <c r="N6" s="1"/>
      <c r="O6" s="1">
        <v>0</v>
      </c>
      <c r="P6" s="1"/>
      <c r="Q6" s="1">
        <v>224.64779999999999</v>
      </c>
      <c r="R6" s="1">
        <v>0</v>
      </c>
      <c r="S6" s="1">
        <f t="shared" ref="S6:S37" si="2">E6/5</f>
        <v>15.604400000000002</v>
      </c>
      <c r="T6" s="5"/>
      <c r="U6" s="1">
        <f t="shared" ref="U6:U37" si="3">(F6+O6+P6+Q6+R6+T6)/S6</f>
        <v>19.530440132270385</v>
      </c>
      <c r="V6" s="1">
        <f t="shared" ref="V6:V37" si="4">(F6+O6+P6+Q6+R6)/S6</f>
        <v>19.530440132270385</v>
      </c>
      <c r="W6" s="1">
        <v>21.5792</v>
      </c>
      <c r="X6" s="1">
        <v>26.789200000000001</v>
      </c>
      <c r="Y6" s="1"/>
      <c r="Z6" s="1">
        <f>ROUND(G6*T6,0)</f>
        <v>0</v>
      </c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</row>
    <row r="7" spans="1:49" x14ac:dyDescent="0.25">
      <c r="A7" s="1" t="s">
        <v>30</v>
      </c>
      <c r="B7" s="1" t="s">
        <v>28</v>
      </c>
      <c r="C7" s="1">
        <v>164.81800000000001</v>
      </c>
      <c r="D7" s="1">
        <v>416.06</v>
      </c>
      <c r="E7" s="1">
        <v>113.187</v>
      </c>
      <c r="F7" s="1">
        <v>431.69600000000003</v>
      </c>
      <c r="G7" s="7">
        <v>1</v>
      </c>
      <c r="H7" s="1">
        <v>45</v>
      </c>
      <c r="I7" s="1" t="s">
        <v>29</v>
      </c>
      <c r="J7" s="1"/>
      <c r="K7" s="1">
        <v>135.5</v>
      </c>
      <c r="L7" s="1">
        <f t="shared" si="1"/>
        <v>-22.313000000000002</v>
      </c>
      <c r="M7" s="1"/>
      <c r="N7" s="1"/>
      <c r="O7" s="1">
        <v>73.584519631732064</v>
      </c>
      <c r="P7" s="1"/>
      <c r="Q7" s="1">
        <v>0</v>
      </c>
      <c r="R7" s="1">
        <v>0</v>
      </c>
      <c r="S7" s="1">
        <f t="shared" si="2"/>
        <v>22.6374</v>
      </c>
      <c r="T7" s="5"/>
      <c r="U7" s="1">
        <f t="shared" si="3"/>
        <v>22.320607473991362</v>
      </c>
      <c r="V7" s="1">
        <f t="shared" si="4"/>
        <v>22.320607473991362</v>
      </c>
      <c r="W7" s="1">
        <v>20.7254</v>
      </c>
      <c r="X7" s="1">
        <v>21.689</v>
      </c>
      <c r="Y7" s="14" t="s">
        <v>61</v>
      </c>
      <c r="Z7" s="1">
        <f t="shared" ref="Z7:Z70" si="5">ROUND(G7*T7,0)</f>
        <v>0</v>
      </c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</row>
    <row r="8" spans="1:49" x14ac:dyDescent="0.25">
      <c r="A8" s="1" t="s">
        <v>31</v>
      </c>
      <c r="B8" s="1" t="s">
        <v>28</v>
      </c>
      <c r="C8" s="1">
        <v>237.28100000000001</v>
      </c>
      <c r="D8" s="1">
        <v>66.510999999999996</v>
      </c>
      <c r="E8" s="1">
        <v>116.90900000000001</v>
      </c>
      <c r="F8" s="1">
        <v>123.172</v>
      </c>
      <c r="G8" s="7">
        <v>1</v>
      </c>
      <c r="H8" s="1">
        <v>45</v>
      </c>
      <c r="I8" s="1" t="s">
        <v>29</v>
      </c>
      <c r="J8" s="1"/>
      <c r="K8" s="1">
        <v>170</v>
      </c>
      <c r="L8" s="1">
        <f t="shared" si="1"/>
        <v>-53.090999999999994</v>
      </c>
      <c r="M8" s="1"/>
      <c r="N8" s="1"/>
      <c r="O8" s="1">
        <v>98.832299555938491</v>
      </c>
      <c r="P8" s="1">
        <v>-41</v>
      </c>
      <c r="Q8" s="1">
        <v>0</v>
      </c>
      <c r="R8" s="1">
        <v>99</v>
      </c>
      <c r="S8" s="1">
        <f t="shared" si="2"/>
        <v>23.381800000000002</v>
      </c>
      <c r="T8" s="5">
        <v>30</v>
      </c>
      <c r="U8" s="1">
        <f t="shared" si="3"/>
        <v>13.258359046606268</v>
      </c>
      <c r="V8" s="1">
        <f t="shared" si="4"/>
        <v>11.975309837392265</v>
      </c>
      <c r="W8" s="1">
        <v>24.181999999999999</v>
      </c>
      <c r="X8" s="1">
        <v>21.139399999999998</v>
      </c>
      <c r="Y8" s="1"/>
      <c r="Z8" s="1">
        <f t="shared" si="5"/>
        <v>30</v>
      </c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</row>
    <row r="9" spans="1:49" x14ac:dyDescent="0.25">
      <c r="A9" s="10" t="s">
        <v>32</v>
      </c>
      <c r="B9" s="10" t="s">
        <v>33</v>
      </c>
      <c r="C9" s="10"/>
      <c r="D9" s="10"/>
      <c r="E9" s="10"/>
      <c r="F9" s="10"/>
      <c r="G9" s="11">
        <v>0</v>
      </c>
      <c r="H9" s="10"/>
      <c r="I9" s="10" t="s">
        <v>29</v>
      </c>
      <c r="J9" s="10"/>
      <c r="K9" s="10"/>
      <c r="L9" s="10">
        <f t="shared" si="1"/>
        <v>0</v>
      </c>
      <c r="M9" s="10"/>
      <c r="N9" s="10"/>
      <c r="O9" s="10"/>
      <c r="P9" s="10"/>
      <c r="Q9" s="10">
        <v>0</v>
      </c>
      <c r="R9" s="10">
        <v>0</v>
      </c>
      <c r="S9" s="10">
        <f t="shared" si="2"/>
        <v>0</v>
      </c>
      <c r="T9" s="12"/>
      <c r="U9" s="10" t="e">
        <f t="shared" si="3"/>
        <v>#DIV/0!</v>
      </c>
      <c r="V9" s="10" t="e">
        <f t="shared" si="4"/>
        <v>#DIV/0!</v>
      </c>
      <c r="W9" s="10">
        <v>0</v>
      </c>
      <c r="X9" s="10">
        <v>0</v>
      </c>
      <c r="Y9" s="10" t="s">
        <v>34</v>
      </c>
      <c r="Z9" s="1">
        <f t="shared" si="5"/>
        <v>0</v>
      </c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</row>
    <row r="10" spans="1:49" x14ac:dyDescent="0.25">
      <c r="A10" s="1" t="s">
        <v>35</v>
      </c>
      <c r="B10" s="1" t="s">
        <v>33</v>
      </c>
      <c r="C10" s="1"/>
      <c r="D10" s="1">
        <v>149</v>
      </c>
      <c r="E10" s="1">
        <v>118</v>
      </c>
      <c r="F10" s="1">
        <v>2</v>
      </c>
      <c r="G10" s="7">
        <v>0.45</v>
      </c>
      <c r="H10" s="1">
        <v>45</v>
      </c>
      <c r="I10" s="1" t="s">
        <v>29</v>
      </c>
      <c r="J10" s="1"/>
      <c r="K10" s="1">
        <v>342</v>
      </c>
      <c r="L10" s="1">
        <f t="shared" si="1"/>
        <v>-224</v>
      </c>
      <c r="M10" s="1"/>
      <c r="N10" s="1"/>
      <c r="O10" s="1">
        <v>500</v>
      </c>
      <c r="P10" s="1"/>
      <c r="Q10" s="1">
        <v>0</v>
      </c>
      <c r="R10" s="1">
        <v>300</v>
      </c>
      <c r="S10" s="1">
        <f t="shared" si="2"/>
        <v>23.6</v>
      </c>
      <c r="T10" s="5"/>
      <c r="U10" s="1">
        <f t="shared" si="3"/>
        <v>33.983050847457626</v>
      </c>
      <c r="V10" s="1">
        <f t="shared" si="4"/>
        <v>33.983050847457626</v>
      </c>
      <c r="W10" s="1">
        <v>21.8</v>
      </c>
      <c r="X10" s="1">
        <v>-0.6</v>
      </c>
      <c r="Y10" s="1"/>
      <c r="Z10" s="1">
        <f t="shared" si="5"/>
        <v>0</v>
      </c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</row>
    <row r="11" spans="1:49" x14ac:dyDescent="0.25">
      <c r="A11" s="1" t="s">
        <v>36</v>
      </c>
      <c r="B11" s="1" t="s">
        <v>33</v>
      </c>
      <c r="C11" s="1">
        <v>595</v>
      </c>
      <c r="D11" s="1">
        <v>163</v>
      </c>
      <c r="E11" s="1">
        <v>413</v>
      </c>
      <c r="F11" s="1">
        <v>167</v>
      </c>
      <c r="G11" s="7">
        <v>0.45</v>
      </c>
      <c r="H11" s="1">
        <v>45</v>
      </c>
      <c r="I11" s="1" t="s">
        <v>29</v>
      </c>
      <c r="J11" s="1"/>
      <c r="K11" s="1">
        <v>437</v>
      </c>
      <c r="L11" s="1">
        <f t="shared" si="1"/>
        <v>-24</v>
      </c>
      <c r="M11" s="1"/>
      <c r="N11" s="1"/>
      <c r="O11" s="1">
        <v>481.9070569366479</v>
      </c>
      <c r="P11" s="1"/>
      <c r="Q11" s="1">
        <v>0</v>
      </c>
      <c r="R11" s="1">
        <v>0</v>
      </c>
      <c r="S11" s="1">
        <f t="shared" si="2"/>
        <v>82.6</v>
      </c>
      <c r="T11" s="5">
        <f t="shared" ref="T11:T17" si="6">12*S11-R11-Q11-P11-O11-F11</f>
        <v>342.29294306335203</v>
      </c>
      <c r="U11" s="1">
        <f t="shared" si="3"/>
        <v>12</v>
      </c>
      <c r="V11" s="1">
        <f t="shared" si="4"/>
        <v>7.8560176384582077</v>
      </c>
      <c r="W11" s="1">
        <v>72.2</v>
      </c>
      <c r="X11" s="1">
        <v>58.4</v>
      </c>
      <c r="Y11" s="1"/>
      <c r="Z11" s="1">
        <f t="shared" si="5"/>
        <v>154</v>
      </c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</row>
    <row r="12" spans="1:49" x14ac:dyDescent="0.25">
      <c r="A12" s="1" t="s">
        <v>37</v>
      </c>
      <c r="B12" s="1" t="s">
        <v>33</v>
      </c>
      <c r="C12" s="1">
        <v>2</v>
      </c>
      <c r="D12" s="1">
        <v>60</v>
      </c>
      <c r="E12" s="1">
        <v>30</v>
      </c>
      <c r="F12" s="1">
        <v>30</v>
      </c>
      <c r="G12" s="7">
        <v>0.17</v>
      </c>
      <c r="H12" s="1">
        <v>180</v>
      </c>
      <c r="I12" s="1" t="s">
        <v>29</v>
      </c>
      <c r="J12" s="1"/>
      <c r="K12" s="1">
        <v>31</v>
      </c>
      <c r="L12" s="1">
        <f t="shared" si="1"/>
        <v>-1</v>
      </c>
      <c r="M12" s="1"/>
      <c r="N12" s="1"/>
      <c r="O12" s="1">
        <v>86.1311203319502</v>
      </c>
      <c r="P12" s="1"/>
      <c r="Q12" s="1">
        <v>0</v>
      </c>
      <c r="R12" s="1">
        <v>0</v>
      </c>
      <c r="S12" s="1">
        <f t="shared" si="2"/>
        <v>6</v>
      </c>
      <c r="T12" s="5"/>
      <c r="U12" s="1">
        <f t="shared" si="3"/>
        <v>19.3551867219917</v>
      </c>
      <c r="V12" s="1">
        <f t="shared" si="4"/>
        <v>19.3551867219917</v>
      </c>
      <c r="W12" s="1">
        <v>2.8</v>
      </c>
      <c r="X12" s="1">
        <v>4.8</v>
      </c>
      <c r="Y12" s="1"/>
      <c r="Z12" s="1">
        <f t="shared" si="5"/>
        <v>0</v>
      </c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</row>
    <row r="13" spans="1:49" x14ac:dyDescent="0.25">
      <c r="A13" s="1" t="s">
        <v>38</v>
      </c>
      <c r="B13" s="1" t="s">
        <v>33</v>
      </c>
      <c r="C13" s="1"/>
      <c r="D13" s="1">
        <v>60</v>
      </c>
      <c r="E13" s="1">
        <v>28</v>
      </c>
      <c r="F13" s="1">
        <v>30</v>
      </c>
      <c r="G13" s="7">
        <v>0.3</v>
      </c>
      <c r="H13" s="1">
        <v>40</v>
      </c>
      <c r="I13" s="9" t="s">
        <v>39</v>
      </c>
      <c r="J13" s="1"/>
      <c r="K13" s="1">
        <v>28</v>
      </c>
      <c r="L13" s="1">
        <f t="shared" si="1"/>
        <v>0</v>
      </c>
      <c r="M13" s="1"/>
      <c r="N13" s="1"/>
      <c r="O13" s="1">
        <v>18.691099476439788</v>
      </c>
      <c r="P13" s="1"/>
      <c r="Q13" s="1">
        <v>0</v>
      </c>
      <c r="R13" s="1">
        <v>0</v>
      </c>
      <c r="S13" s="1">
        <f t="shared" si="2"/>
        <v>5.6</v>
      </c>
      <c r="T13" s="5">
        <f t="shared" si="6"/>
        <v>18.5089005235602</v>
      </c>
      <c r="U13" s="1">
        <f t="shared" si="3"/>
        <v>11.999999999999998</v>
      </c>
      <c r="V13" s="1">
        <f t="shared" si="4"/>
        <v>8.6948391922213908</v>
      </c>
      <c r="W13" s="1">
        <v>3</v>
      </c>
      <c r="X13" s="1">
        <v>0</v>
      </c>
      <c r="Y13" s="1"/>
      <c r="Z13" s="1">
        <f t="shared" si="5"/>
        <v>6</v>
      </c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</row>
    <row r="14" spans="1:49" x14ac:dyDescent="0.25">
      <c r="A14" s="1" t="s">
        <v>40</v>
      </c>
      <c r="B14" s="1" t="s">
        <v>33</v>
      </c>
      <c r="C14" s="1">
        <v>242</v>
      </c>
      <c r="D14" s="1">
        <v>129</v>
      </c>
      <c r="E14" s="1">
        <v>104</v>
      </c>
      <c r="F14" s="1">
        <v>239</v>
      </c>
      <c r="G14" s="7">
        <v>0.17</v>
      </c>
      <c r="H14" s="1">
        <v>180</v>
      </c>
      <c r="I14" s="1" t="s">
        <v>29</v>
      </c>
      <c r="J14" s="1"/>
      <c r="K14" s="1">
        <v>129</v>
      </c>
      <c r="L14" s="1">
        <f t="shared" si="1"/>
        <v>-25</v>
      </c>
      <c r="M14" s="1"/>
      <c r="N14" s="1"/>
      <c r="O14" s="1">
        <v>0</v>
      </c>
      <c r="P14" s="1"/>
      <c r="Q14" s="1">
        <v>0</v>
      </c>
      <c r="R14" s="1">
        <v>0</v>
      </c>
      <c r="S14" s="1">
        <f t="shared" si="2"/>
        <v>20.8</v>
      </c>
      <c r="T14" s="5">
        <f t="shared" si="6"/>
        <v>10.600000000000023</v>
      </c>
      <c r="U14" s="1">
        <f t="shared" si="3"/>
        <v>12</v>
      </c>
      <c r="V14" s="1">
        <f t="shared" si="4"/>
        <v>11.490384615384615</v>
      </c>
      <c r="W14" s="1">
        <v>17.8</v>
      </c>
      <c r="X14" s="1">
        <v>12.8</v>
      </c>
      <c r="Y14" s="1"/>
      <c r="Z14" s="1">
        <f t="shared" si="5"/>
        <v>2</v>
      </c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</row>
    <row r="15" spans="1:49" x14ac:dyDescent="0.25">
      <c r="A15" s="1" t="s">
        <v>41</v>
      </c>
      <c r="B15" s="1" t="s">
        <v>28</v>
      </c>
      <c r="C15" s="1">
        <v>-9.9909999999999997</v>
      </c>
      <c r="D15" s="1">
        <v>310.005</v>
      </c>
      <c r="E15" s="1">
        <v>101.483</v>
      </c>
      <c r="F15" s="1">
        <v>178.29300000000001</v>
      </c>
      <c r="G15" s="7">
        <v>1</v>
      </c>
      <c r="H15" s="1">
        <v>70</v>
      </c>
      <c r="I15" s="9" t="s">
        <v>39</v>
      </c>
      <c r="J15" s="1"/>
      <c r="K15" s="1">
        <v>336.2</v>
      </c>
      <c r="L15" s="1">
        <f t="shared" si="1"/>
        <v>-234.71699999999998</v>
      </c>
      <c r="M15" s="1"/>
      <c r="N15" s="1"/>
      <c r="O15" s="1">
        <v>179.0189117186876</v>
      </c>
      <c r="P15" s="1"/>
      <c r="Q15" s="1">
        <v>240</v>
      </c>
      <c r="R15" s="1">
        <v>50</v>
      </c>
      <c r="S15" s="1">
        <f t="shared" si="2"/>
        <v>20.296600000000002</v>
      </c>
      <c r="T15" s="5"/>
      <c r="U15" s="1">
        <f t="shared" si="3"/>
        <v>31.892627913970202</v>
      </c>
      <c r="V15" s="1">
        <f t="shared" si="4"/>
        <v>31.892627913970202</v>
      </c>
      <c r="W15" s="1">
        <v>45.934399999999997</v>
      </c>
      <c r="X15" s="1">
        <v>54.014000000000003</v>
      </c>
      <c r="Y15" s="1"/>
      <c r="Z15" s="1">
        <f t="shared" si="5"/>
        <v>0</v>
      </c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</row>
    <row r="16" spans="1:49" x14ac:dyDescent="0.25">
      <c r="A16" s="1" t="s">
        <v>42</v>
      </c>
      <c r="B16" s="1" t="s">
        <v>28</v>
      </c>
      <c r="C16" s="1">
        <v>1086.145</v>
      </c>
      <c r="D16" s="1">
        <v>1392.2619999999999</v>
      </c>
      <c r="E16" s="1">
        <v>957.78800000000001</v>
      </c>
      <c r="F16" s="1">
        <v>1450.6</v>
      </c>
      <c r="G16" s="7">
        <v>1</v>
      </c>
      <c r="H16" s="1">
        <v>50</v>
      </c>
      <c r="I16" s="1" t="s">
        <v>29</v>
      </c>
      <c r="J16" s="1"/>
      <c r="K16" s="1">
        <v>961.5</v>
      </c>
      <c r="L16" s="1">
        <f t="shared" si="1"/>
        <v>-3.7119999999999891</v>
      </c>
      <c r="M16" s="1"/>
      <c r="N16" s="1"/>
      <c r="O16" s="1">
        <v>500</v>
      </c>
      <c r="P16" s="1"/>
      <c r="Q16" s="1">
        <v>0</v>
      </c>
      <c r="R16" s="1">
        <v>0</v>
      </c>
      <c r="S16" s="1">
        <f t="shared" si="2"/>
        <v>191.55760000000001</v>
      </c>
      <c r="T16" s="5">
        <f t="shared" si="6"/>
        <v>348.0912000000003</v>
      </c>
      <c r="U16" s="1">
        <f t="shared" si="3"/>
        <v>12</v>
      </c>
      <c r="V16" s="1">
        <f t="shared" si="4"/>
        <v>10.182837955789799</v>
      </c>
      <c r="W16" s="1">
        <v>201.6146</v>
      </c>
      <c r="X16" s="1">
        <v>130.29419999999999</v>
      </c>
      <c r="Y16" s="1"/>
      <c r="Z16" s="1">
        <f t="shared" si="5"/>
        <v>348</v>
      </c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</row>
    <row r="17" spans="1:49" x14ac:dyDescent="0.25">
      <c r="A17" s="1" t="s">
        <v>43</v>
      </c>
      <c r="B17" s="1" t="s">
        <v>28</v>
      </c>
      <c r="C17" s="1">
        <v>88.183999999999997</v>
      </c>
      <c r="D17" s="1">
        <v>5.3070000000000004</v>
      </c>
      <c r="E17" s="1">
        <v>79.281999999999996</v>
      </c>
      <c r="F17" s="1">
        <v>9.7579999999999991</v>
      </c>
      <c r="G17" s="7">
        <v>1</v>
      </c>
      <c r="H17" s="1">
        <v>60</v>
      </c>
      <c r="I17" s="1" t="s">
        <v>29</v>
      </c>
      <c r="J17" s="1"/>
      <c r="K17" s="1">
        <v>86.9</v>
      </c>
      <c r="L17" s="1">
        <f t="shared" si="1"/>
        <v>-7.6180000000000092</v>
      </c>
      <c r="M17" s="1"/>
      <c r="N17" s="1"/>
      <c r="O17" s="1">
        <v>0</v>
      </c>
      <c r="P17" s="1"/>
      <c r="Q17" s="1">
        <v>60.634399999999992</v>
      </c>
      <c r="R17" s="1">
        <v>85.312799999999982</v>
      </c>
      <c r="S17" s="1">
        <f t="shared" si="2"/>
        <v>15.856399999999999</v>
      </c>
      <c r="T17" s="5">
        <f t="shared" si="6"/>
        <v>34.571600000000004</v>
      </c>
      <c r="U17" s="1">
        <f t="shared" si="3"/>
        <v>12</v>
      </c>
      <c r="V17" s="1">
        <f t="shared" si="4"/>
        <v>9.8197068691506271</v>
      </c>
      <c r="W17" s="1">
        <v>15.5992</v>
      </c>
      <c r="X17" s="1">
        <v>9.6205999999999996</v>
      </c>
      <c r="Y17" s="1"/>
      <c r="Z17" s="1">
        <f t="shared" si="5"/>
        <v>35</v>
      </c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</row>
    <row r="18" spans="1:49" x14ac:dyDescent="0.25">
      <c r="A18" s="10" t="s">
        <v>44</v>
      </c>
      <c r="B18" s="10" t="s">
        <v>28</v>
      </c>
      <c r="C18" s="10"/>
      <c r="D18" s="10"/>
      <c r="E18" s="10">
        <v>0.86099999999999999</v>
      </c>
      <c r="F18" s="10">
        <v>-0.86099999999999999</v>
      </c>
      <c r="G18" s="11">
        <v>0</v>
      </c>
      <c r="H18" s="10"/>
      <c r="I18" s="10" t="s">
        <v>45</v>
      </c>
      <c r="J18" s="10"/>
      <c r="K18" s="10">
        <v>0.8</v>
      </c>
      <c r="L18" s="10">
        <f t="shared" si="1"/>
        <v>6.0999999999999943E-2</v>
      </c>
      <c r="M18" s="10"/>
      <c r="N18" s="10"/>
      <c r="O18" s="10"/>
      <c r="P18" s="10"/>
      <c r="Q18" s="10"/>
      <c r="R18" s="10">
        <v>0</v>
      </c>
      <c r="S18" s="10">
        <f t="shared" si="2"/>
        <v>0.17219999999999999</v>
      </c>
      <c r="T18" s="12"/>
      <c r="U18" s="10">
        <f t="shared" si="3"/>
        <v>-5</v>
      </c>
      <c r="V18" s="10">
        <f t="shared" si="4"/>
        <v>-5</v>
      </c>
      <c r="W18" s="10">
        <v>0</v>
      </c>
      <c r="X18" s="10">
        <v>0</v>
      </c>
      <c r="Y18" s="10"/>
      <c r="Z18" s="1">
        <f t="shared" si="5"/>
        <v>0</v>
      </c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</row>
    <row r="19" spans="1:49" x14ac:dyDescent="0.25">
      <c r="A19" s="10" t="s">
        <v>46</v>
      </c>
      <c r="B19" s="10" t="s">
        <v>28</v>
      </c>
      <c r="C19" s="10"/>
      <c r="D19" s="10"/>
      <c r="E19" s="13">
        <v>12.473000000000001</v>
      </c>
      <c r="F19" s="13">
        <v>-12.473000000000001</v>
      </c>
      <c r="G19" s="11">
        <v>0</v>
      </c>
      <c r="H19" s="10"/>
      <c r="I19" s="10" t="s">
        <v>45</v>
      </c>
      <c r="J19" s="10" t="s">
        <v>47</v>
      </c>
      <c r="K19" s="10">
        <v>12.5</v>
      </c>
      <c r="L19" s="10">
        <f t="shared" si="1"/>
        <v>-2.6999999999999247E-2</v>
      </c>
      <c r="M19" s="10"/>
      <c r="N19" s="10"/>
      <c r="O19" s="10"/>
      <c r="P19" s="10"/>
      <c r="Q19" s="10"/>
      <c r="R19" s="10">
        <v>0</v>
      </c>
      <c r="S19" s="10">
        <f t="shared" si="2"/>
        <v>2.4946000000000002</v>
      </c>
      <c r="T19" s="12"/>
      <c r="U19" s="10">
        <f t="shared" si="3"/>
        <v>-5</v>
      </c>
      <c r="V19" s="10">
        <f t="shared" si="4"/>
        <v>-5</v>
      </c>
      <c r="W19" s="10">
        <v>0</v>
      </c>
      <c r="X19" s="10">
        <v>0</v>
      </c>
      <c r="Y19" s="10"/>
      <c r="Z19" s="1">
        <f t="shared" si="5"/>
        <v>0</v>
      </c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</row>
    <row r="20" spans="1:49" x14ac:dyDescent="0.25">
      <c r="A20" s="1" t="s">
        <v>48</v>
      </c>
      <c r="B20" s="1" t="s">
        <v>28</v>
      </c>
      <c r="C20" s="1">
        <v>16.09</v>
      </c>
      <c r="D20" s="1">
        <v>3.5339999999999998</v>
      </c>
      <c r="E20" s="1">
        <v>16.725999999999999</v>
      </c>
      <c r="F20" s="1">
        <v>1.173</v>
      </c>
      <c r="G20" s="7">
        <v>1</v>
      </c>
      <c r="H20" s="1">
        <v>60</v>
      </c>
      <c r="I20" s="9" t="s">
        <v>39</v>
      </c>
      <c r="J20" s="1"/>
      <c r="K20" s="1">
        <v>30.9</v>
      </c>
      <c r="L20" s="1">
        <f t="shared" si="1"/>
        <v>-14.173999999999999</v>
      </c>
      <c r="M20" s="1"/>
      <c r="N20" s="1"/>
      <c r="O20" s="1">
        <v>0</v>
      </c>
      <c r="P20" s="1"/>
      <c r="Q20" s="1">
        <v>48</v>
      </c>
      <c r="R20" s="1">
        <v>20.084199999999999</v>
      </c>
      <c r="S20" s="1">
        <f t="shared" si="2"/>
        <v>3.3451999999999997</v>
      </c>
      <c r="T20" s="5"/>
      <c r="U20" s="1">
        <f t="shared" si="3"/>
        <v>20.70345569771613</v>
      </c>
      <c r="V20" s="1">
        <f t="shared" si="4"/>
        <v>20.70345569771613</v>
      </c>
      <c r="W20" s="1">
        <v>6.4581999999999997</v>
      </c>
      <c r="X20" s="1">
        <v>6.0523999999999996</v>
      </c>
      <c r="Y20" s="1"/>
      <c r="Z20" s="1">
        <f t="shared" si="5"/>
        <v>0</v>
      </c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</row>
    <row r="21" spans="1:49" x14ac:dyDescent="0.25">
      <c r="A21" s="1" t="s">
        <v>49</v>
      </c>
      <c r="B21" s="1" t="s">
        <v>28</v>
      </c>
      <c r="C21" s="1">
        <v>33.39</v>
      </c>
      <c r="D21" s="1">
        <v>38.454999999999998</v>
      </c>
      <c r="E21" s="1">
        <v>2.915</v>
      </c>
      <c r="F21" s="1">
        <v>68.23</v>
      </c>
      <c r="G21" s="7">
        <v>1</v>
      </c>
      <c r="H21" s="1">
        <v>180</v>
      </c>
      <c r="I21" s="1" t="s">
        <v>29</v>
      </c>
      <c r="J21" s="1"/>
      <c r="K21" s="1">
        <v>3.12</v>
      </c>
      <c r="L21" s="1">
        <f t="shared" si="1"/>
        <v>-0.20500000000000007</v>
      </c>
      <c r="M21" s="1"/>
      <c r="N21" s="1"/>
      <c r="O21" s="1">
        <v>0</v>
      </c>
      <c r="P21" s="1"/>
      <c r="Q21" s="1">
        <v>0</v>
      </c>
      <c r="R21" s="1">
        <v>0</v>
      </c>
      <c r="S21" s="1">
        <f t="shared" si="2"/>
        <v>0.58299999999999996</v>
      </c>
      <c r="T21" s="5"/>
      <c r="U21" s="1">
        <f t="shared" si="3"/>
        <v>117.03259005145799</v>
      </c>
      <c r="V21" s="1">
        <f t="shared" si="4"/>
        <v>117.03259005145799</v>
      </c>
      <c r="W21" s="1">
        <v>0.36120000000000002</v>
      </c>
      <c r="X21" s="1">
        <v>0.43280000000000002</v>
      </c>
      <c r="Y21" s="17" t="s">
        <v>50</v>
      </c>
      <c r="Z21" s="1">
        <f t="shared" si="5"/>
        <v>0</v>
      </c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</row>
    <row r="22" spans="1:49" x14ac:dyDescent="0.25">
      <c r="A22" s="1" t="s">
        <v>51</v>
      </c>
      <c r="B22" s="1" t="s">
        <v>28</v>
      </c>
      <c r="C22" s="1">
        <v>90.322999999999993</v>
      </c>
      <c r="D22" s="1">
        <v>16.57</v>
      </c>
      <c r="E22" s="1">
        <v>89.754000000000005</v>
      </c>
      <c r="F22" s="1">
        <v>-13.678000000000001</v>
      </c>
      <c r="G22" s="7">
        <v>1</v>
      </c>
      <c r="H22" s="1">
        <v>60</v>
      </c>
      <c r="I22" s="1" t="s">
        <v>29</v>
      </c>
      <c r="J22" s="1"/>
      <c r="K22" s="1">
        <v>223.6</v>
      </c>
      <c r="L22" s="1">
        <f t="shared" si="1"/>
        <v>-133.846</v>
      </c>
      <c r="M22" s="1"/>
      <c r="N22" s="1"/>
      <c r="O22" s="1">
        <v>178.22202467941159</v>
      </c>
      <c r="P22" s="1"/>
      <c r="Q22" s="1">
        <v>526.61617532058835</v>
      </c>
      <c r="R22" s="1">
        <v>0</v>
      </c>
      <c r="S22" s="1">
        <f t="shared" si="2"/>
        <v>17.950800000000001</v>
      </c>
      <c r="T22" s="5"/>
      <c r="U22" s="1">
        <f t="shared" si="3"/>
        <v>38.503030505604201</v>
      </c>
      <c r="V22" s="1">
        <f t="shared" si="4"/>
        <v>38.503030505604201</v>
      </c>
      <c r="W22" s="1">
        <v>46.0608</v>
      </c>
      <c r="X22" s="1">
        <v>52.321800000000003</v>
      </c>
      <c r="Y22" s="1"/>
      <c r="Z22" s="1">
        <f t="shared" si="5"/>
        <v>0</v>
      </c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</row>
    <row r="23" spans="1:49" x14ac:dyDescent="0.25">
      <c r="A23" s="10" t="s">
        <v>52</v>
      </c>
      <c r="B23" s="10" t="s">
        <v>28</v>
      </c>
      <c r="C23" s="10"/>
      <c r="D23" s="10"/>
      <c r="E23" s="13">
        <v>22.350999999999999</v>
      </c>
      <c r="F23" s="13">
        <v>-24.832999999999998</v>
      </c>
      <c r="G23" s="11">
        <v>0</v>
      </c>
      <c r="H23" s="10"/>
      <c r="I23" s="10" t="s">
        <v>45</v>
      </c>
      <c r="J23" s="10" t="s">
        <v>53</v>
      </c>
      <c r="K23" s="10">
        <v>25</v>
      </c>
      <c r="L23" s="10">
        <f t="shared" si="1"/>
        <v>-2.6490000000000009</v>
      </c>
      <c r="M23" s="10"/>
      <c r="N23" s="10"/>
      <c r="O23" s="10"/>
      <c r="P23" s="10"/>
      <c r="Q23" s="10"/>
      <c r="R23" s="10">
        <v>0</v>
      </c>
      <c r="S23" s="10">
        <f t="shared" si="2"/>
        <v>4.4702000000000002</v>
      </c>
      <c r="T23" s="12"/>
      <c r="U23" s="10">
        <f t="shared" si="3"/>
        <v>-5.5552324280792797</v>
      </c>
      <c r="V23" s="10">
        <f t="shared" si="4"/>
        <v>-5.5552324280792797</v>
      </c>
      <c r="W23" s="10">
        <v>0</v>
      </c>
      <c r="X23" s="10">
        <v>0</v>
      </c>
      <c r="Y23" s="10"/>
      <c r="Z23" s="1">
        <f t="shared" si="5"/>
        <v>0</v>
      </c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</row>
    <row r="24" spans="1:49" x14ac:dyDescent="0.25">
      <c r="A24" s="1" t="s">
        <v>54</v>
      </c>
      <c r="B24" s="1" t="s">
        <v>28</v>
      </c>
      <c r="C24" s="1">
        <v>18.47</v>
      </c>
      <c r="D24" s="1">
        <v>158.83500000000001</v>
      </c>
      <c r="E24" s="1">
        <v>65.753</v>
      </c>
      <c r="F24" s="1">
        <v>85.962999999999994</v>
      </c>
      <c r="G24" s="7">
        <v>1</v>
      </c>
      <c r="H24" s="1">
        <v>70</v>
      </c>
      <c r="I24" s="1" t="s">
        <v>29</v>
      </c>
      <c r="J24" s="1"/>
      <c r="K24" s="1">
        <v>104</v>
      </c>
      <c r="L24" s="1">
        <f t="shared" si="1"/>
        <v>-38.247</v>
      </c>
      <c r="M24" s="1"/>
      <c r="N24" s="1"/>
      <c r="O24" s="1">
        <v>20</v>
      </c>
      <c r="P24" s="1"/>
      <c r="Q24" s="1">
        <v>0</v>
      </c>
      <c r="R24" s="1">
        <v>0</v>
      </c>
      <c r="S24" s="1">
        <f t="shared" si="2"/>
        <v>13.150600000000001</v>
      </c>
      <c r="T24" s="5">
        <f t="shared" ref="T24:T25" si="7">12*S24-R24-Q24-P24-O24-F24</f>
        <v>51.844200000000029</v>
      </c>
      <c r="U24" s="1">
        <f t="shared" si="3"/>
        <v>12.000000000000002</v>
      </c>
      <c r="V24" s="1">
        <f t="shared" si="4"/>
        <v>8.0576551640229326</v>
      </c>
      <c r="W24" s="1">
        <v>8.1453999999999986</v>
      </c>
      <c r="X24" s="1">
        <v>4.9426000000000014</v>
      </c>
      <c r="Y24" s="1"/>
      <c r="Z24" s="1">
        <f t="shared" si="5"/>
        <v>52</v>
      </c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</row>
    <row r="25" spans="1:49" x14ac:dyDescent="0.25">
      <c r="A25" s="1" t="s">
        <v>55</v>
      </c>
      <c r="B25" s="1" t="s">
        <v>28</v>
      </c>
      <c r="C25" s="1">
        <v>27.087</v>
      </c>
      <c r="D25" s="1">
        <v>110.60299999999999</v>
      </c>
      <c r="E25" s="1">
        <v>118.739</v>
      </c>
      <c r="F25" s="1">
        <v>7.6539999999999999</v>
      </c>
      <c r="G25" s="7">
        <v>1</v>
      </c>
      <c r="H25" s="1">
        <v>70</v>
      </c>
      <c r="I25" s="9" t="s">
        <v>39</v>
      </c>
      <c r="J25" s="1"/>
      <c r="K25" s="1">
        <v>157.30000000000001</v>
      </c>
      <c r="L25" s="1">
        <f t="shared" si="1"/>
        <v>-38.561000000000007</v>
      </c>
      <c r="M25" s="1"/>
      <c r="N25" s="1"/>
      <c r="O25" s="1">
        <v>0</v>
      </c>
      <c r="P25" s="1"/>
      <c r="Q25" s="1">
        <v>180</v>
      </c>
      <c r="R25" s="1">
        <v>80</v>
      </c>
      <c r="S25" s="1">
        <f t="shared" si="2"/>
        <v>23.747800000000002</v>
      </c>
      <c r="T25" s="5">
        <f t="shared" si="7"/>
        <v>17.319600000000033</v>
      </c>
      <c r="U25" s="1">
        <f t="shared" si="3"/>
        <v>12</v>
      </c>
      <c r="V25" s="1">
        <f t="shared" si="4"/>
        <v>11.270686126714894</v>
      </c>
      <c r="W25" s="1">
        <v>26.411799999999999</v>
      </c>
      <c r="X25" s="1">
        <v>22.914000000000001</v>
      </c>
      <c r="Y25" s="1" t="s">
        <v>56</v>
      </c>
      <c r="Z25" s="1">
        <f t="shared" si="5"/>
        <v>17</v>
      </c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</row>
    <row r="26" spans="1:49" x14ac:dyDescent="0.25">
      <c r="A26" s="1" t="s">
        <v>57</v>
      </c>
      <c r="B26" s="1" t="s">
        <v>28</v>
      </c>
      <c r="C26" s="1">
        <v>32.575000000000003</v>
      </c>
      <c r="D26" s="1">
        <v>37.286999999999999</v>
      </c>
      <c r="E26" s="1">
        <v>4.8620000000000001</v>
      </c>
      <c r="F26" s="1">
        <v>63.610999999999997</v>
      </c>
      <c r="G26" s="7">
        <v>1</v>
      </c>
      <c r="H26" s="1">
        <v>180</v>
      </c>
      <c r="I26" s="1" t="s">
        <v>29</v>
      </c>
      <c r="J26" s="1"/>
      <c r="K26" s="1">
        <v>5.92</v>
      </c>
      <c r="L26" s="1">
        <f t="shared" si="1"/>
        <v>-1.0579999999999998</v>
      </c>
      <c r="M26" s="1"/>
      <c r="N26" s="1"/>
      <c r="O26" s="1">
        <v>0</v>
      </c>
      <c r="P26" s="1"/>
      <c r="Q26" s="1">
        <v>0</v>
      </c>
      <c r="R26" s="1">
        <v>0</v>
      </c>
      <c r="S26" s="1">
        <f t="shared" si="2"/>
        <v>0.97240000000000004</v>
      </c>
      <c r="T26" s="5"/>
      <c r="U26" s="1">
        <f t="shared" si="3"/>
        <v>65.416495269436439</v>
      </c>
      <c r="V26" s="1">
        <f t="shared" si="4"/>
        <v>65.416495269436439</v>
      </c>
      <c r="W26" s="1">
        <v>0.84079999999999999</v>
      </c>
      <c r="X26" s="1">
        <v>0.34420000000000001</v>
      </c>
      <c r="Y26" s="17" t="s">
        <v>50</v>
      </c>
      <c r="Z26" s="1">
        <f t="shared" si="5"/>
        <v>0</v>
      </c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</row>
    <row r="27" spans="1:49" x14ac:dyDescent="0.25">
      <c r="A27" s="16" t="s">
        <v>58</v>
      </c>
      <c r="B27" s="1" t="s">
        <v>28</v>
      </c>
      <c r="C27" s="1">
        <v>0.63600000000000001</v>
      </c>
      <c r="D27" s="1">
        <v>310.93799999999999</v>
      </c>
      <c r="E27" s="1">
        <v>127.441</v>
      </c>
      <c r="F27" s="1">
        <v>179.714</v>
      </c>
      <c r="G27" s="7">
        <v>1</v>
      </c>
      <c r="H27" s="1">
        <v>70</v>
      </c>
      <c r="I27" s="9" t="s">
        <v>39</v>
      </c>
      <c r="J27" s="1"/>
      <c r="K27" s="1">
        <v>153.19999999999999</v>
      </c>
      <c r="L27" s="1">
        <f t="shared" si="1"/>
        <v>-25.758999999999986</v>
      </c>
      <c r="M27" s="1"/>
      <c r="N27" s="1"/>
      <c r="O27" s="1">
        <v>0</v>
      </c>
      <c r="P27" s="1"/>
      <c r="Q27" s="1">
        <v>120</v>
      </c>
      <c r="R27" s="1">
        <v>0</v>
      </c>
      <c r="S27" s="1">
        <f t="shared" si="2"/>
        <v>25.488199999999999</v>
      </c>
      <c r="T27" s="5">
        <v>25</v>
      </c>
      <c r="U27" s="1">
        <f t="shared" si="3"/>
        <v>12.739777622586137</v>
      </c>
      <c r="V27" s="1">
        <f t="shared" si="4"/>
        <v>11.758931584027119</v>
      </c>
      <c r="W27" s="1">
        <v>14.996600000000001</v>
      </c>
      <c r="X27" s="1">
        <v>18.1692</v>
      </c>
      <c r="Y27" s="1" t="s">
        <v>56</v>
      </c>
      <c r="Z27" s="1">
        <f t="shared" si="5"/>
        <v>25</v>
      </c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</row>
    <row r="28" spans="1:49" x14ac:dyDescent="0.25">
      <c r="A28" s="10" t="s">
        <v>59</v>
      </c>
      <c r="B28" s="10" t="s">
        <v>28</v>
      </c>
      <c r="C28" s="10"/>
      <c r="D28" s="10"/>
      <c r="E28" s="10"/>
      <c r="F28" s="10"/>
      <c r="G28" s="11">
        <v>0</v>
      </c>
      <c r="H28" s="10"/>
      <c r="I28" s="10" t="s">
        <v>29</v>
      </c>
      <c r="J28" s="10"/>
      <c r="K28" s="10"/>
      <c r="L28" s="10">
        <f t="shared" si="1"/>
        <v>0</v>
      </c>
      <c r="M28" s="10"/>
      <c r="N28" s="10"/>
      <c r="O28" s="10"/>
      <c r="P28" s="10"/>
      <c r="Q28" s="10">
        <v>0</v>
      </c>
      <c r="R28" s="10">
        <v>0</v>
      </c>
      <c r="S28" s="10">
        <f t="shared" si="2"/>
        <v>0</v>
      </c>
      <c r="T28" s="12"/>
      <c r="U28" s="10" t="e">
        <f t="shared" si="3"/>
        <v>#DIV/0!</v>
      </c>
      <c r="V28" s="10" t="e">
        <f t="shared" si="4"/>
        <v>#DIV/0!</v>
      </c>
      <c r="W28" s="10">
        <v>0</v>
      </c>
      <c r="X28" s="10">
        <v>0</v>
      </c>
      <c r="Y28" s="10" t="s">
        <v>34</v>
      </c>
      <c r="Z28" s="1">
        <f t="shared" si="5"/>
        <v>0</v>
      </c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</row>
    <row r="29" spans="1:49" x14ac:dyDescent="0.25">
      <c r="A29" s="16" t="s">
        <v>60</v>
      </c>
      <c r="B29" s="1" t="s">
        <v>28</v>
      </c>
      <c r="C29" s="1">
        <v>16.323</v>
      </c>
      <c r="D29" s="1">
        <v>33.066000000000003</v>
      </c>
      <c r="E29" s="1">
        <v>22.849</v>
      </c>
      <c r="F29" s="1">
        <v>22.276</v>
      </c>
      <c r="G29" s="7">
        <v>1</v>
      </c>
      <c r="H29" s="1"/>
      <c r="I29" s="9" t="s">
        <v>39</v>
      </c>
      <c r="J29" s="1"/>
      <c r="K29" s="1">
        <v>22.1</v>
      </c>
      <c r="L29" s="1">
        <f t="shared" si="1"/>
        <v>0.74899999999999878</v>
      </c>
      <c r="M29" s="1"/>
      <c r="N29" s="1"/>
      <c r="O29" s="1">
        <v>17.848212968935901</v>
      </c>
      <c r="P29" s="1"/>
      <c r="Q29" s="1">
        <v>0</v>
      </c>
      <c r="R29" s="1">
        <v>0</v>
      </c>
      <c r="S29" s="1">
        <f t="shared" si="2"/>
        <v>4.5697999999999999</v>
      </c>
      <c r="T29" s="5">
        <f t="shared" ref="T29:T32" si="8">12*S29-R29-Q29-P29-O29-F29</f>
        <v>14.713387031064098</v>
      </c>
      <c r="U29" s="1">
        <f t="shared" si="3"/>
        <v>12</v>
      </c>
      <c r="V29" s="1">
        <f t="shared" si="4"/>
        <v>8.7802995686760692</v>
      </c>
      <c r="W29" s="1">
        <v>0.8044</v>
      </c>
      <c r="X29" s="1">
        <v>1.3652</v>
      </c>
      <c r="Y29" s="1"/>
      <c r="Z29" s="1">
        <f t="shared" si="5"/>
        <v>15</v>
      </c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</row>
    <row r="30" spans="1:49" x14ac:dyDescent="0.25">
      <c r="A30" s="16" t="s">
        <v>62</v>
      </c>
      <c r="B30" s="1" t="s">
        <v>28</v>
      </c>
      <c r="C30" s="1"/>
      <c r="D30" s="1"/>
      <c r="E30" s="1"/>
      <c r="F30" s="1"/>
      <c r="G30" s="7">
        <v>1</v>
      </c>
      <c r="H30" s="1">
        <v>40</v>
      </c>
      <c r="I30" s="9" t="s">
        <v>39</v>
      </c>
      <c r="J30" s="1"/>
      <c r="K30" s="1"/>
      <c r="L30" s="1">
        <f t="shared" si="1"/>
        <v>0</v>
      </c>
      <c r="M30" s="1"/>
      <c r="N30" s="1"/>
      <c r="O30" s="1">
        <v>10</v>
      </c>
      <c r="P30" s="1"/>
      <c r="Q30" s="1">
        <v>4.8</v>
      </c>
      <c r="R30" s="1">
        <v>0</v>
      </c>
      <c r="S30" s="1">
        <f t="shared" si="2"/>
        <v>0</v>
      </c>
      <c r="T30" s="5"/>
      <c r="U30" s="1" t="e">
        <f t="shared" si="3"/>
        <v>#DIV/0!</v>
      </c>
      <c r="V30" s="1" t="e">
        <f t="shared" si="4"/>
        <v>#DIV/0!</v>
      </c>
      <c r="W30" s="1">
        <v>0</v>
      </c>
      <c r="X30" s="1">
        <v>0</v>
      </c>
      <c r="Y30" s="1"/>
      <c r="Z30" s="1">
        <f t="shared" si="5"/>
        <v>0</v>
      </c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</row>
    <row r="31" spans="1:49" x14ac:dyDescent="0.25">
      <c r="A31" s="16" t="s">
        <v>63</v>
      </c>
      <c r="B31" s="1" t="s">
        <v>28</v>
      </c>
      <c r="C31" s="1">
        <v>48.945999999999998</v>
      </c>
      <c r="D31" s="1">
        <v>8.1609999999999996</v>
      </c>
      <c r="E31" s="1">
        <v>53.05</v>
      </c>
      <c r="F31" s="1">
        <v>-1.38</v>
      </c>
      <c r="G31" s="7">
        <v>1</v>
      </c>
      <c r="H31" s="1">
        <v>30</v>
      </c>
      <c r="I31" s="9" t="s">
        <v>39</v>
      </c>
      <c r="J31" s="1"/>
      <c r="K31" s="1">
        <v>64.3</v>
      </c>
      <c r="L31" s="1">
        <f t="shared" si="1"/>
        <v>-11.25</v>
      </c>
      <c r="M31" s="1"/>
      <c r="N31" s="1"/>
      <c r="O31" s="1">
        <v>0</v>
      </c>
      <c r="P31" s="1"/>
      <c r="Q31" s="1">
        <v>0</v>
      </c>
      <c r="R31" s="1">
        <v>250</v>
      </c>
      <c r="S31" s="1">
        <f t="shared" si="2"/>
        <v>10.61</v>
      </c>
      <c r="T31" s="5"/>
      <c r="U31" s="1">
        <f t="shared" si="3"/>
        <v>23.432610744580586</v>
      </c>
      <c r="V31" s="1">
        <f t="shared" si="4"/>
        <v>23.432610744580586</v>
      </c>
      <c r="W31" s="1">
        <v>10.623799999999999</v>
      </c>
      <c r="X31" s="1">
        <v>1.38</v>
      </c>
      <c r="Y31" s="1"/>
      <c r="Z31" s="1">
        <f t="shared" si="5"/>
        <v>0</v>
      </c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</row>
    <row r="32" spans="1:49" x14ac:dyDescent="0.25">
      <c r="A32" s="16" t="s">
        <v>64</v>
      </c>
      <c r="B32" s="1" t="s">
        <v>28</v>
      </c>
      <c r="C32" s="1">
        <v>26.748000000000001</v>
      </c>
      <c r="D32" s="1">
        <v>327.827</v>
      </c>
      <c r="E32" s="1">
        <v>361.83800000000002</v>
      </c>
      <c r="F32" s="1">
        <v>91.408000000000001</v>
      </c>
      <c r="G32" s="7">
        <v>1</v>
      </c>
      <c r="H32" s="1">
        <v>40</v>
      </c>
      <c r="I32" s="9" t="s">
        <v>39</v>
      </c>
      <c r="J32" s="1"/>
      <c r="K32" s="1">
        <v>274.89999999999998</v>
      </c>
      <c r="L32" s="1">
        <f t="shared" si="1"/>
        <v>86.938000000000045</v>
      </c>
      <c r="M32" s="1"/>
      <c r="N32" s="1"/>
      <c r="O32" s="1">
        <v>0</v>
      </c>
      <c r="P32" s="1"/>
      <c r="Q32" s="1">
        <v>420</v>
      </c>
      <c r="R32" s="1">
        <v>0</v>
      </c>
      <c r="S32" s="1">
        <f t="shared" si="2"/>
        <v>72.36760000000001</v>
      </c>
      <c r="T32" s="5">
        <f t="shared" si="8"/>
        <v>357.00320000000011</v>
      </c>
      <c r="U32" s="1">
        <f t="shared" si="3"/>
        <v>12</v>
      </c>
      <c r="V32" s="1">
        <f t="shared" si="4"/>
        <v>7.0668089034319221</v>
      </c>
      <c r="W32" s="1">
        <v>47.904000000000003</v>
      </c>
      <c r="X32" s="1">
        <v>60.401599999999988</v>
      </c>
      <c r="Y32" s="1"/>
      <c r="Z32" s="1">
        <f t="shared" si="5"/>
        <v>357</v>
      </c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</row>
    <row r="33" spans="1:49" x14ac:dyDescent="0.25">
      <c r="A33" s="16" t="s">
        <v>65</v>
      </c>
      <c r="B33" s="1" t="s">
        <v>28</v>
      </c>
      <c r="C33" s="1"/>
      <c r="D33" s="1"/>
      <c r="E33" s="1"/>
      <c r="F33" s="1"/>
      <c r="G33" s="7">
        <v>1</v>
      </c>
      <c r="H33" s="1">
        <v>40</v>
      </c>
      <c r="I33" s="9" t="s">
        <v>39</v>
      </c>
      <c r="J33" s="1"/>
      <c r="K33" s="1">
        <v>3.8</v>
      </c>
      <c r="L33" s="1">
        <f t="shared" si="1"/>
        <v>-3.8</v>
      </c>
      <c r="M33" s="1"/>
      <c r="N33" s="1"/>
      <c r="O33" s="1">
        <v>33.232019954732323</v>
      </c>
      <c r="P33" s="1"/>
      <c r="Q33" s="1">
        <v>0</v>
      </c>
      <c r="R33" s="1">
        <v>0</v>
      </c>
      <c r="S33" s="1">
        <f t="shared" si="2"/>
        <v>0</v>
      </c>
      <c r="T33" s="5">
        <v>10</v>
      </c>
      <c r="U33" s="1" t="e">
        <f t="shared" si="3"/>
        <v>#DIV/0!</v>
      </c>
      <c r="V33" s="1" t="e">
        <f t="shared" si="4"/>
        <v>#DIV/0!</v>
      </c>
      <c r="W33" s="1">
        <v>0</v>
      </c>
      <c r="X33" s="1">
        <v>0</v>
      </c>
      <c r="Y33" s="1"/>
      <c r="Z33" s="1">
        <f t="shared" si="5"/>
        <v>10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</row>
    <row r="34" spans="1:49" x14ac:dyDescent="0.25">
      <c r="A34" s="1" t="s">
        <v>66</v>
      </c>
      <c r="B34" s="1" t="s">
        <v>28</v>
      </c>
      <c r="C34" s="1">
        <v>40.838999999999999</v>
      </c>
      <c r="D34" s="1"/>
      <c r="E34" s="1">
        <v>1.3480000000000001</v>
      </c>
      <c r="F34" s="1">
        <v>39.491</v>
      </c>
      <c r="G34" s="7">
        <v>1</v>
      </c>
      <c r="H34" s="1">
        <v>30</v>
      </c>
      <c r="I34" s="1" t="s">
        <v>29</v>
      </c>
      <c r="J34" s="1"/>
      <c r="K34" s="1">
        <v>1.3</v>
      </c>
      <c r="L34" s="1">
        <f t="shared" si="1"/>
        <v>4.8000000000000043E-2</v>
      </c>
      <c r="M34" s="1"/>
      <c r="N34" s="1"/>
      <c r="O34" s="1">
        <v>20</v>
      </c>
      <c r="P34" s="1">
        <v>-25</v>
      </c>
      <c r="Q34" s="1">
        <v>0</v>
      </c>
      <c r="R34" s="1">
        <v>0</v>
      </c>
      <c r="S34" s="1">
        <f t="shared" si="2"/>
        <v>0.26960000000000001</v>
      </c>
      <c r="T34" s="5"/>
      <c r="U34" s="1">
        <f t="shared" si="3"/>
        <v>127.9339762611276</v>
      </c>
      <c r="V34" s="1">
        <f t="shared" si="4"/>
        <v>127.9339762611276</v>
      </c>
      <c r="W34" s="1">
        <v>0</v>
      </c>
      <c r="X34" s="1">
        <v>0</v>
      </c>
      <c r="Y34" s="17" t="s">
        <v>50</v>
      </c>
      <c r="Z34" s="1">
        <f t="shared" si="5"/>
        <v>0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</row>
    <row r="35" spans="1:49" x14ac:dyDescent="0.25">
      <c r="A35" s="16" t="s">
        <v>67</v>
      </c>
      <c r="B35" s="1" t="s">
        <v>28</v>
      </c>
      <c r="C35" s="1"/>
      <c r="D35" s="1">
        <v>213.096</v>
      </c>
      <c r="E35" s="1">
        <v>14.532</v>
      </c>
      <c r="F35" s="1">
        <v>198.56399999999999</v>
      </c>
      <c r="G35" s="7">
        <v>1</v>
      </c>
      <c r="H35" s="1">
        <v>50</v>
      </c>
      <c r="I35" s="9" t="s">
        <v>39</v>
      </c>
      <c r="J35" s="1"/>
      <c r="K35" s="1">
        <v>13.8</v>
      </c>
      <c r="L35" s="1">
        <f t="shared" si="1"/>
        <v>0.73199999999999932</v>
      </c>
      <c r="M35" s="1"/>
      <c r="N35" s="1"/>
      <c r="O35" s="1">
        <v>0</v>
      </c>
      <c r="P35" s="1"/>
      <c r="Q35" s="1">
        <v>12</v>
      </c>
      <c r="R35" s="1">
        <v>0</v>
      </c>
      <c r="S35" s="1">
        <f t="shared" si="2"/>
        <v>2.9064000000000001</v>
      </c>
      <c r="T35" s="5"/>
      <c r="U35" s="1">
        <f t="shared" si="3"/>
        <v>72.448389760528485</v>
      </c>
      <c r="V35" s="1">
        <f t="shared" si="4"/>
        <v>72.448389760528485</v>
      </c>
      <c r="W35" s="1">
        <v>1.2767999999999999</v>
      </c>
      <c r="X35" s="1">
        <v>-0.1764</v>
      </c>
      <c r="Y35" s="1" t="s">
        <v>56</v>
      </c>
      <c r="Z35" s="1">
        <f t="shared" si="5"/>
        <v>0</v>
      </c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</row>
    <row r="36" spans="1:49" x14ac:dyDescent="0.25">
      <c r="A36" s="10" t="s">
        <v>68</v>
      </c>
      <c r="B36" s="10" t="s">
        <v>28</v>
      </c>
      <c r="C36" s="10"/>
      <c r="D36" s="10"/>
      <c r="E36" s="10">
        <v>8.093</v>
      </c>
      <c r="F36" s="10">
        <v>-8.093</v>
      </c>
      <c r="G36" s="11">
        <v>0</v>
      </c>
      <c r="H36" s="10"/>
      <c r="I36" s="10" t="s">
        <v>45</v>
      </c>
      <c r="J36" s="10"/>
      <c r="K36" s="10">
        <v>8.1</v>
      </c>
      <c r="L36" s="10">
        <f t="shared" si="1"/>
        <v>-6.9999999999996732E-3</v>
      </c>
      <c r="M36" s="10"/>
      <c r="N36" s="10"/>
      <c r="O36" s="10"/>
      <c r="P36" s="10"/>
      <c r="Q36" s="10"/>
      <c r="R36" s="10">
        <v>0</v>
      </c>
      <c r="S36" s="10">
        <f t="shared" si="2"/>
        <v>1.6186</v>
      </c>
      <c r="T36" s="12"/>
      <c r="U36" s="10">
        <f t="shared" si="3"/>
        <v>-5</v>
      </c>
      <c r="V36" s="10">
        <f t="shared" si="4"/>
        <v>-5</v>
      </c>
      <c r="W36" s="10">
        <v>1.2689999999999999</v>
      </c>
      <c r="X36" s="10">
        <v>0</v>
      </c>
      <c r="Y36" s="10"/>
      <c r="Z36" s="1">
        <f t="shared" si="5"/>
        <v>0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</row>
    <row r="37" spans="1:49" x14ac:dyDescent="0.25">
      <c r="A37" s="16" t="s">
        <v>69</v>
      </c>
      <c r="B37" s="1" t="s">
        <v>28</v>
      </c>
      <c r="C37" s="1"/>
      <c r="D37" s="1">
        <v>92.144000000000005</v>
      </c>
      <c r="E37" s="1">
        <v>4.5129999999999999</v>
      </c>
      <c r="F37" s="1">
        <v>87.631</v>
      </c>
      <c r="G37" s="7">
        <v>1</v>
      </c>
      <c r="H37" s="1">
        <v>50</v>
      </c>
      <c r="I37" s="9" t="s">
        <v>39</v>
      </c>
      <c r="J37" s="1"/>
      <c r="K37" s="1">
        <v>4</v>
      </c>
      <c r="L37" s="1">
        <f t="shared" si="1"/>
        <v>0.5129999999999999</v>
      </c>
      <c r="M37" s="1"/>
      <c r="N37" s="1"/>
      <c r="O37" s="1">
        <v>9.6470405530934649</v>
      </c>
      <c r="P37" s="1"/>
      <c r="Q37" s="1">
        <v>0</v>
      </c>
      <c r="R37" s="1">
        <v>0</v>
      </c>
      <c r="S37" s="1">
        <f t="shared" si="2"/>
        <v>0.90259999999999996</v>
      </c>
      <c r="T37" s="5"/>
      <c r="U37" s="1">
        <f t="shared" si="3"/>
        <v>107.77536068368431</v>
      </c>
      <c r="V37" s="1">
        <f t="shared" si="4"/>
        <v>107.77536068368431</v>
      </c>
      <c r="W37" s="1">
        <v>0</v>
      </c>
      <c r="X37" s="1">
        <v>0.36520000000000002</v>
      </c>
      <c r="Y37" s="1"/>
      <c r="Z37" s="1">
        <f t="shared" si="5"/>
        <v>0</v>
      </c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</row>
    <row r="38" spans="1:49" x14ac:dyDescent="0.25">
      <c r="A38" s="16" t="s">
        <v>70</v>
      </c>
      <c r="B38" s="1" t="s">
        <v>33</v>
      </c>
      <c r="C38" s="1">
        <v>14</v>
      </c>
      <c r="D38" s="1">
        <v>161</v>
      </c>
      <c r="E38" s="1">
        <v>133</v>
      </c>
      <c r="F38" s="1">
        <v>2</v>
      </c>
      <c r="G38" s="7">
        <v>0.4</v>
      </c>
      <c r="H38" s="1">
        <v>45</v>
      </c>
      <c r="I38" s="9" t="s">
        <v>39</v>
      </c>
      <c r="J38" s="1"/>
      <c r="K38" s="1">
        <v>567</v>
      </c>
      <c r="L38" s="1">
        <f t="shared" ref="L38:L69" si="9">E38-K38</f>
        <v>-434</v>
      </c>
      <c r="M38" s="1"/>
      <c r="N38" s="1"/>
      <c r="O38" s="1">
        <v>451.36414048059152</v>
      </c>
      <c r="P38" s="1"/>
      <c r="Q38" s="1">
        <v>60</v>
      </c>
      <c r="R38" s="1">
        <v>300</v>
      </c>
      <c r="S38" s="1">
        <f t="shared" ref="S38:S69" si="10">E38/5</f>
        <v>26.6</v>
      </c>
      <c r="T38" s="5">
        <v>200</v>
      </c>
      <c r="U38" s="1">
        <f t="shared" ref="U38:U69" si="11">(F38+O38+P38+Q38+R38+T38)/S38</f>
        <v>38.096396258668847</v>
      </c>
      <c r="V38" s="1">
        <f t="shared" ref="V38:V69" si="12">(F38+O38+P38+Q38+R38)/S38</f>
        <v>30.577599266187647</v>
      </c>
      <c r="W38" s="1">
        <v>28.2</v>
      </c>
      <c r="X38" s="1">
        <v>39</v>
      </c>
      <c r="Y38" s="1"/>
      <c r="Z38" s="1">
        <f t="shared" si="5"/>
        <v>80</v>
      </c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</row>
    <row r="39" spans="1:49" x14ac:dyDescent="0.25">
      <c r="A39" s="1" t="s">
        <v>71</v>
      </c>
      <c r="B39" s="1" t="s">
        <v>33</v>
      </c>
      <c r="C39" s="1">
        <v>621</v>
      </c>
      <c r="D39" s="1">
        <v>18</v>
      </c>
      <c r="E39" s="1">
        <v>211</v>
      </c>
      <c r="F39" s="1">
        <v>379</v>
      </c>
      <c r="G39" s="7">
        <v>0.45</v>
      </c>
      <c r="H39" s="1">
        <v>50</v>
      </c>
      <c r="I39" s="1" t="s">
        <v>29</v>
      </c>
      <c r="J39" s="1"/>
      <c r="K39" s="1">
        <v>197</v>
      </c>
      <c r="L39" s="1">
        <f t="shared" si="9"/>
        <v>14</v>
      </c>
      <c r="M39" s="1"/>
      <c r="N39" s="1"/>
      <c r="O39" s="1">
        <v>0</v>
      </c>
      <c r="P39" s="1"/>
      <c r="Q39" s="1">
        <v>0</v>
      </c>
      <c r="R39" s="1">
        <v>0</v>
      </c>
      <c r="S39" s="1">
        <f t="shared" si="10"/>
        <v>42.2</v>
      </c>
      <c r="T39" s="5">
        <f t="shared" ref="T39:T66" si="13">12*S39-R39-Q39-P39-O39-F39</f>
        <v>127.40000000000003</v>
      </c>
      <c r="U39" s="1">
        <f t="shared" si="11"/>
        <v>12</v>
      </c>
      <c r="V39" s="1">
        <f t="shared" si="12"/>
        <v>8.9810426540284354</v>
      </c>
      <c r="W39" s="1">
        <v>30.8</v>
      </c>
      <c r="X39" s="1">
        <v>24.6</v>
      </c>
      <c r="Y39" s="1"/>
      <c r="Z39" s="1">
        <f t="shared" si="5"/>
        <v>57</v>
      </c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</row>
    <row r="40" spans="1:49" x14ac:dyDescent="0.25">
      <c r="A40" s="16" t="s">
        <v>72</v>
      </c>
      <c r="B40" s="1" t="s">
        <v>33</v>
      </c>
      <c r="C40" s="1">
        <v>-3</v>
      </c>
      <c r="D40" s="1">
        <v>168</v>
      </c>
      <c r="E40" s="1">
        <v>153</v>
      </c>
      <c r="F40" s="1">
        <v>3</v>
      </c>
      <c r="G40" s="7">
        <v>0.4</v>
      </c>
      <c r="H40" s="1">
        <v>45</v>
      </c>
      <c r="I40" s="9" t="s">
        <v>39</v>
      </c>
      <c r="J40" s="1"/>
      <c r="K40" s="1">
        <v>380</v>
      </c>
      <c r="L40" s="1">
        <f t="shared" si="9"/>
        <v>-227</v>
      </c>
      <c r="M40" s="1"/>
      <c r="N40" s="1"/>
      <c r="O40" s="1">
        <v>100</v>
      </c>
      <c r="P40" s="1"/>
      <c r="Q40" s="1">
        <v>180</v>
      </c>
      <c r="R40" s="1">
        <v>250</v>
      </c>
      <c r="S40" s="1">
        <f t="shared" si="10"/>
        <v>30.6</v>
      </c>
      <c r="T40" s="5">
        <v>150</v>
      </c>
      <c r="U40" s="1">
        <f t="shared" si="11"/>
        <v>22.320261437908496</v>
      </c>
      <c r="V40" s="1">
        <f t="shared" si="12"/>
        <v>17.41830065359477</v>
      </c>
      <c r="W40" s="1">
        <v>40.799999999999997</v>
      </c>
      <c r="X40" s="1">
        <v>33</v>
      </c>
      <c r="Y40" s="1"/>
      <c r="Z40" s="1">
        <f t="shared" si="5"/>
        <v>60</v>
      </c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</row>
    <row r="41" spans="1:49" x14ac:dyDescent="0.25">
      <c r="A41" s="16" t="s">
        <v>73</v>
      </c>
      <c r="B41" s="1" t="s">
        <v>33</v>
      </c>
      <c r="C41" s="1"/>
      <c r="D41" s="1">
        <v>150</v>
      </c>
      <c r="E41" s="1">
        <v>72</v>
      </c>
      <c r="F41" s="1">
        <v>78</v>
      </c>
      <c r="G41" s="7">
        <v>0.4</v>
      </c>
      <c r="H41" s="1">
        <v>40</v>
      </c>
      <c r="I41" s="9" t="s">
        <v>39</v>
      </c>
      <c r="J41" s="1"/>
      <c r="K41" s="1">
        <v>124</v>
      </c>
      <c r="L41" s="1">
        <f t="shared" si="9"/>
        <v>-52</v>
      </c>
      <c r="M41" s="1"/>
      <c r="N41" s="1"/>
      <c r="O41" s="1">
        <v>24.418604651162791</v>
      </c>
      <c r="P41" s="1"/>
      <c r="Q41" s="1">
        <v>60</v>
      </c>
      <c r="R41" s="1">
        <v>60</v>
      </c>
      <c r="S41" s="1">
        <f t="shared" si="10"/>
        <v>14.4</v>
      </c>
      <c r="T41" s="5">
        <v>50</v>
      </c>
      <c r="U41" s="1">
        <f t="shared" si="11"/>
        <v>18.91795865633075</v>
      </c>
      <c r="V41" s="1">
        <f t="shared" si="12"/>
        <v>15.445736434108529</v>
      </c>
      <c r="W41" s="1">
        <v>0.8</v>
      </c>
      <c r="X41" s="1">
        <v>0</v>
      </c>
      <c r="Y41" s="1"/>
      <c r="Z41" s="1">
        <f t="shared" si="5"/>
        <v>20</v>
      </c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</row>
    <row r="42" spans="1:49" x14ac:dyDescent="0.25">
      <c r="A42" s="16" t="s">
        <v>74</v>
      </c>
      <c r="B42" s="1" t="s">
        <v>28</v>
      </c>
      <c r="C42" s="1">
        <v>34.137999999999998</v>
      </c>
      <c r="D42" s="1">
        <v>16.727</v>
      </c>
      <c r="E42" s="1">
        <v>1.4039999999999999</v>
      </c>
      <c r="F42" s="1">
        <v>49.460999999999999</v>
      </c>
      <c r="G42" s="7">
        <v>1</v>
      </c>
      <c r="H42" s="1">
        <v>45</v>
      </c>
      <c r="I42" s="9" t="s">
        <v>39</v>
      </c>
      <c r="J42" s="1"/>
      <c r="K42" s="1">
        <v>1.6</v>
      </c>
      <c r="L42" s="1">
        <f t="shared" si="9"/>
        <v>-0.19600000000000017</v>
      </c>
      <c r="M42" s="1"/>
      <c r="N42" s="1"/>
      <c r="O42" s="1">
        <v>2.4824768348877129</v>
      </c>
      <c r="P42" s="1"/>
      <c r="Q42" s="1">
        <v>0</v>
      </c>
      <c r="R42" s="1">
        <v>0</v>
      </c>
      <c r="S42" s="1">
        <f t="shared" si="10"/>
        <v>0.28079999999999999</v>
      </c>
      <c r="T42" s="5"/>
      <c r="U42" s="1">
        <f t="shared" si="11"/>
        <v>184.98389186213572</v>
      </c>
      <c r="V42" s="1">
        <f t="shared" si="12"/>
        <v>184.98389186213572</v>
      </c>
      <c r="W42" s="1">
        <v>0.28079999999999999</v>
      </c>
      <c r="X42" s="1">
        <v>0.86159999999999992</v>
      </c>
      <c r="Y42" s="15" t="s">
        <v>163</v>
      </c>
      <c r="Z42" s="1">
        <f t="shared" si="5"/>
        <v>0</v>
      </c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</row>
    <row r="43" spans="1:49" x14ac:dyDescent="0.25">
      <c r="A43" s="1" t="s">
        <v>75</v>
      </c>
      <c r="B43" s="1" t="s">
        <v>33</v>
      </c>
      <c r="C43" s="1">
        <v>132</v>
      </c>
      <c r="D43" s="1">
        <v>215</v>
      </c>
      <c r="E43" s="1">
        <v>37</v>
      </c>
      <c r="F43" s="1">
        <v>302</v>
      </c>
      <c r="G43" s="7">
        <v>0.1</v>
      </c>
      <c r="H43" s="1">
        <v>731</v>
      </c>
      <c r="I43" s="1" t="s">
        <v>29</v>
      </c>
      <c r="J43" s="1"/>
      <c r="K43" s="1">
        <v>32</v>
      </c>
      <c r="L43" s="1">
        <f t="shared" si="9"/>
        <v>5</v>
      </c>
      <c r="M43" s="1"/>
      <c r="N43" s="1"/>
      <c r="O43" s="1">
        <v>61.323671497584563</v>
      </c>
      <c r="P43" s="1"/>
      <c r="Q43" s="1">
        <v>0</v>
      </c>
      <c r="R43" s="1">
        <v>0</v>
      </c>
      <c r="S43" s="1">
        <f t="shared" si="10"/>
        <v>7.4</v>
      </c>
      <c r="T43" s="5"/>
      <c r="U43" s="1">
        <f t="shared" si="11"/>
        <v>49.09779344561953</v>
      </c>
      <c r="V43" s="1">
        <f t="shared" si="12"/>
        <v>49.09779344561953</v>
      </c>
      <c r="W43" s="1">
        <v>3.4</v>
      </c>
      <c r="X43" s="1">
        <v>6.6</v>
      </c>
      <c r="Y43" s="15" t="s">
        <v>163</v>
      </c>
      <c r="Z43" s="1">
        <f t="shared" si="5"/>
        <v>0</v>
      </c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</row>
    <row r="44" spans="1:49" x14ac:dyDescent="0.25">
      <c r="A44" s="16" t="s">
        <v>76</v>
      </c>
      <c r="B44" s="1" t="s">
        <v>33</v>
      </c>
      <c r="C44" s="1"/>
      <c r="D44" s="1"/>
      <c r="E44" s="1"/>
      <c r="F44" s="1"/>
      <c r="G44" s="7">
        <v>0.35</v>
      </c>
      <c r="H44" s="1">
        <v>40</v>
      </c>
      <c r="I44" s="9" t="s">
        <v>39</v>
      </c>
      <c r="J44" s="1"/>
      <c r="K44" s="1">
        <v>2</v>
      </c>
      <c r="L44" s="1">
        <f t="shared" si="9"/>
        <v>-2</v>
      </c>
      <c r="M44" s="1"/>
      <c r="N44" s="1"/>
      <c r="O44" s="1">
        <v>0</v>
      </c>
      <c r="P44" s="1"/>
      <c r="Q44" s="1">
        <v>4.8</v>
      </c>
      <c r="R44" s="1">
        <v>60</v>
      </c>
      <c r="S44" s="1">
        <f t="shared" si="10"/>
        <v>0</v>
      </c>
      <c r="T44" s="5"/>
      <c r="U44" s="1" t="e">
        <f t="shared" si="11"/>
        <v>#DIV/0!</v>
      </c>
      <c r="V44" s="1" t="e">
        <f t="shared" si="12"/>
        <v>#DIV/0!</v>
      </c>
      <c r="W44" s="1">
        <v>0</v>
      </c>
      <c r="X44" s="1">
        <v>0.2</v>
      </c>
      <c r="Y44" s="1"/>
      <c r="Z44" s="1">
        <f t="shared" si="5"/>
        <v>0</v>
      </c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</row>
    <row r="45" spans="1:49" x14ac:dyDescent="0.25">
      <c r="A45" s="16" t="s">
        <v>77</v>
      </c>
      <c r="B45" s="1" t="s">
        <v>28</v>
      </c>
      <c r="C45" s="1"/>
      <c r="D45" s="1">
        <v>51.863</v>
      </c>
      <c r="E45" s="1">
        <v>29.521000000000001</v>
      </c>
      <c r="F45" s="1">
        <v>21.620999999999999</v>
      </c>
      <c r="G45" s="7">
        <v>1</v>
      </c>
      <c r="H45" s="1">
        <v>40</v>
      </c>
      <c r="I45" s="9" t="s">
        <v>39</v>
      </c>
      <c r="J45" s="1"/>
      <c r="K45" s="1">
        <v>40</v>
      </c>
      <c r="L45" s="1">
        <f t="shared" si="9"/>
        <v>-10.478999999999999</v>
      </c>
      <c r="M45" s="1"/>
      <c r="N45" s="1"/>
      <c r="O45" s="1">
        <v>15.599855395932231</v>
      </c>
      <c r="P45" s="1"/>
      <c r="Q45" s="1">
        <v>48</v>
      </c>
      <c r="R45" s="1">
        <v>0</v>
      </c>
      <c r="S45" s="1">
        <f t="shared" si="10"/>
        <v>5.9042000000000003</v>
      </c>
      <c r="T45" s="5">
        <v>10</v>
      </c>
      <c r="U45" s="1">
        <f t="shared" si="11"/>
        <v>16.127647335105895</v>
      </c>
      <c r="V45" s="1">
        <f t="shared" si="12"/>
        <v>14.433937772421704</v>
      </c>
      <c r="W45" s="1">
        <v>1.0089999999999999</v>
      </c>
      <c r="X45" s="1">
        <v>0</v>
      </c>
      <c r="Y45" s="1" t="s">
        <v>56</v>
      </c>
      <c r="Z45" s="1">
        <f t="shared" si="5"/>
        <v>10</v>
      </c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</row>
    <row r="46" spans="1:49" x14ac:dyDescent="0.25">
      <c r="A46" s="16" t="s">
        <v>78</v>
      </c>
      <c r="B46" s="1" t="s">
        <v>33</v>
      </c>
      <c r="C46" s="1">
        <v>2</v>
      </c>
      <c r="D46" s="1"/>
      <c r="E46" s="1">
        <v>5</v>
      </c>
      <c r="F46" s="1">
        <v>-3</v>
      </c>
      <c r="G46" s="7">
        <v>0.4</v>
      </c>
      <c r="H46" s="1">
        <v>40</v>
      </c>
      <c r="I46" s="9" t="s">
        <v>39</v>
      </c>
      <c r="J46" s="1"/>
      <c r="K46" s="1">
        <v>114</v>
      </c>
      <c r="L46" s="1">
        <f t="shared" si="9"/>
        <v>-109</v>
      </c>
      <c r="M46" s="1"/>
      <c r="N46" s="1"/>
      <c r="O46" s="1">
        <v>84.703832752613238</v>
      </c>
      <c r="P46" s="1"/>
      <c r="Q46" s="1">
        <v>180</v>
      </c>
      <c r="R46" s="1">
        <v>150</v>
      </c>
      <c r="S46" s="1">
        <f t="shared" si="10"/>
        <v>1</v>
      </c>
      <c r="T46" s="5"/>
      <c r="U46" s="1">
        <f t="shared" si="11"/>
        <v>411.70383275261327</v>
      </c>
      <c r="V46" s="1">
        <f t="shared" si="12"/>
        <v>411.70383275261327</v>
      </c>
      <c r="W46" s="1">
        <v>6.4</v>
      </c>
      <c r="X46" s="1">
        <v>11.2</v>
      </c>
      <c r="Y46" s="1"/>
      <c r="Z46" s="1">
        <f t="shared" si="5"/>
        <v>0</v>
      </c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</row>
    <row r="47" spans="1:49" x14ac:dyDescent="0.25">
      <c r="A47" s="1" t="s">
        <v>79</v>
      </c>
      <c r="B47" s="1" t="s">
        <v>33</v>
      </c>
      <c r="C47" s="1">
        <v>25</v>
      </c>
      <c r="D47" s="1">
        <v>2</v>
      </c>
      <c r="E47" s="1">
        <v>14</v>
      </c>
      <c r="F47" s="1">
        <v>-6</v>
      </c>
      <c r="G47" s="7">
        <v>0.4</v>
      </c>
      <c r="H47" s="1">
        <v>45</v>
      </c>
      <c r="I47" s="1" t="s">
        <v>29</v>
      </c>
      <c r="J47" s="1"/>
      <c r="K47" s="1">
        <v>104</v>
      </c>
      <c r="L47" s="1">
        <f t="shared" si="9"/>
        <v>-90</v>
      </c>
      <c r="M47" s="1"/>
      <c r="N47" s="1"/>
      <c r="O47" s="1">
        <v>174.48979591836741</v>
      </c>
      <c r="P47" s="1"/>
      <c r="Q47" s="1">
        <v>30</v>
      </c>
      <c r="R47" s="1">
        <v>0</v>
      </c>
      <c r="S47" s="1">
        <f t="shared" si="10"/>
        <v>2.8</v>
      </c>
      <c r="T47" s="5"/>
      <c r="U47" s="1">
        <f t="shared" si="11"/>
        <v>70.889212827988359</v>
      </c>
      <c r="V47" s="1">
        <f t="shared" si="12"/>
        <v>70.889212827988359</v>
      </c>
      <c r="W47" s="1">
        <v>16.8</v>
      </c>
      <c r="X47" s="1">
        <v>13.6</v>
      </c>
      <c r="Y47" s="1"/>
      <c r="Z47" s="1">
        <f t="shared" si="5"/>
        <v>0</v>
      </c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</row>
    <row r="48" spans="1:49" x14ac:dyDescent="0.25">
      <c r="A48" s="16" t="s">
        <v>80</v>
      </c>
      <c r="B48" s="1" t="s">
        <v>28</v>
      </c>
      <c r="C48" s="1"/>
      <c r="D48" s="1">
        <v>101.346</v>
      </c>
      <c r="E48" s="1">
        <v>68.183000000000007</v>
      </c>
      <c r="F48" s="1">
        <v>30.998000000000001</v>
      </c>
      <c r="G48" s="7">
        <v>1</v>
      </c>
      <c r="H48" s="1">
        <v>40</v>
      </c>
      <c r="I48" s="9" t="s">
        <v>39</v>
      </c>
      <c r="J48" s="1"/>
      <c r="K48" s="1">
        <v>80</v>
      </c>
      <c r="L48" s="1">
        <f t="shared" si="9"/>
        <v>-11.816999999999993</v>
      </c>
      <c r="M48" s="1"/>
      <c r="N48" s="1"/>
      <c r="O48" s="1">
        <v>0</v>
      </c>
      <c r="P48" s="1"/>
      <c r="Q48" s="1">
        <v>60</v>
      </c>
      <c r="R48" s="1">
        <v>20</v>
      </c>
      <c r="S48" s="1">
        <f t="shared" si="10"/>
        <v>13.636600000000001</v>
      </c>
      <c r="T48" s="5">
        <f t="shared" si="13"/>
        <v>52.641200000000012</v>
      </c>
      <c r="U48" s="1">
        <f t="shared" si="11"/>
        <v>12</v>
      </c>
      <c r="V48" s="1">
        <f t="shared" si="12"/>
        <v>8.1397122449877539</v>
      </c>
      <c r="W48" s="1">
        <v>1.7524</v>
      </c>
      <c r="X48" s="1">
        <v>0</v>
      </c>
      <c r="Y48" s="1" t="s">
        <v>56</v>
      </c>
      <c r="Z48" s="1">
        <f t="shared" si="5"/>
        <v>53</v>
      </c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</row>
    <row r="49" spans="1:49" x14ac:dyDescent="0.25">
      <c r="A49" s="16" t="s">
        <v>81</v>
      </c>
      <c r="B49" s="1" t="s">
        <v>33</v>
      </c>
      <c r="C49" s="1"/>
      <c r="D49" s="1"/>
      <c r="E49" s="1"/>
      <c r="F49" s="1"/>
      <c r="G49" s="7">
        <v>0.35</v>
      </c>
      <c r="H49" s="1">
        <v>40</v>
      </c>
      <c r="I49" s="9" t="s">
        <v>39</v>
      </c>
      <c r="J49" s="1"/>
      <c r="K49" s="1">
        <v>37</v>
      </c>
      <c r="L49" s="1">
        <f t="shared" si="9"/>
        <v>-37</v>
      </c>
      <c r="M49" s="1"/>
      <c r="N49" s="1"/>
      <c r="O49" s="1">
        <v>45.484949832775918</v>
      </c>
      <c r="P49" s="1">
        <v>-48.571428571428577</v>
      </c>
      <c r="Q49" s="1">
        <v>0</v>
      </c>
      <c r="R49" s="1">
        <v>250</v>
      </c>
      <c r="S49" s="1">
        <f t="shared" si="10"/>
        <v>0</v>
      </c>
      <c r="T49" s="5"/>
      <c r="U49" s="1" t="e">
        <f t="shared" si="11"/>
        <v>#DIV/0!</v>
      </c>
      <c r="V49" s="1" t="e">
        <f t="shared" si="12"/>
        <v>#DIV/0!</v>
      </c>
      <c r="W49" s="1">
        <v>0</v>
      </c>
      <c r="X49" s="1">
        <v>0.2</v>
      </c>
      <c r="Y49" s="1"/>
      <c r="Z49" s="1">
        <f t="shared" si="5"/>
        <v>0</v>
      </c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</row>
    <row r="50" spans="1:49" x14ac:dyDescent="0.25">
      <c r="A50" s="16" t="s">
        <v>82</v>
      </c>
      <c r="B50" s="1" t="s">
        <v>33</v>
      </c>
      <c r="C50" s="1">
        <v>394</v>
      </c>
      <c r="D50" s="1">
        <v>28</v>
      </c>
      <c r="E50" s="1">
        <v>212</v>
      </c>
      <c r="F50" s="1">
        <v>166</v>
      </c>
      <c r="G50" s="7">
        <v>0.4</v>
      </c>
      <c r="H50" s="1">
        <v>40</v>
      </c>
      <c r="I50" s="9" t="s">
        <v>39</v>
      </c>
      <c r="J50" s="1"/>
      <c r="K50" s="1">
        <v>215</v>
      </c>
      <c r="L50" s="1">
        <f t="shared" si="9"/>
        <v>-3</v>
      </c>
      <c r="M50" s="1"/>
      <c r="N50" s="1"/>
      <c r="O50" s="1">
        <v>0</v>
      </c>
      <c r="P50" s="1"/>
      <c r="Q50" s="1">
        <v>0</v>
      </c>
      <c r="R50" s="1">
        <v>141.19999999999999</v>
      </c>
      <c r="S50" s="1">
        <f t="shared" si="10"/>
        <v>42.4</v>
      </c>
      <c r="T50" s="5">
        <f t="shared" si="13"/>
        <v>201.59999999999997</v>
      </c>
      <c r="U50" s="1">
        <f t="shared" si="11"/>
        <v>12</v>
      </c>
      <c r="V50" s="1">
        <f t="shared" si="12"/>
        <v>7.2452830188679247</v>
      </c>
      <c r="W50" s="1">
        <v>36.200000000000003</v>
      </c>
      <c r="X50" s="1">
        <v>21.6</v>
      </c>
      <c r="Y50" s="1"/>
      <c r="Z50" s="1">
        <f t="shared" si="5"/>
        <v>81</v>
      </c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</row>
    <row r="51" spans="1:49" x14ac:dyDescent="0.25">
      <c r="A51" s="1" t="s">
        <v>83</v>
      </c>
      <c r="B51" s="1" t="s">
        <v>28</v>
      </c>
      <c r="C51" s="1">
        <v>-4.0789999999999997</v>
      </c>
      <c r="D51" s="1"/>
      <c r="E51" s="1">
        <v>1.365</v>
      </c>
      <c r="F51" s="1">
        <v>-5.444</v>
      </c>
      <c r="G51" s="7">
        <v>1</v>
      </c>
      <c r="H51" s="1">
        <v>50</v>
      </c>
      <c r="I51" s="1" t="s">
        <v>29</v>
      </c>
      <c r="J51" s="1"/>
      <c r="K51" s="1">
        <v>45.1</v>
      </c>
      <c r="L51" s="1">
        <f t="shared" si="9"/>
        <v>-43.734999999999999</v>
      </c>
      <c r="M51" s="1"/>
      <c r="N51" s="1"/>
      <c r="O51" s="1">
        <v>21.273088969871559</v>
      </c>
      <c r="P51" s="1"/>
      <c r="Q51" s="1">
        <v>126.0875110301284</v>
      </c>
      <c r="R51" s="1">
        <v>0</v>
      </c>
      <c r="S51" s="1">
        <f t="shared" si="10"/>
        <v>0.27300000000000002</v>
      </c>
      <c r="T51" s="5"/>
      <c r="U51" s="1">
        <f t="shared" si="11"/>
        <v>519.84102564102545</v>
      </c>
      <c r="V51" s="1">
        <f t="shared" si="12"/>
        <v>519.84102564102545</v>
      </c>
      <c r="W51" s="1">
        <v>4.8428000000000004</v>
      </c>
      <c r="X51" s="1">
        <v>10.234400000000001</v>
      </c>
      <c r="Y51" s="1"/>
      <c r="Z51" s="1">
        <f t="shared" si="5"/>
        <v>0</v>
      </c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</row>
    <row r="52" spans="1:49" x14ac:dyDescent="0.25">
      <c r="A52" s="1" t="s">
        <v>84</v>
      </c>
      <c r="B52" s="1" t="s">
        <v>28</v>
      </c>
      <c r="C52" s="1">
        <v>10.574</v>
      </c>
      <c r="D52" s="1">
        <v>138.208</v>
      </c>
      <c r="E52" s="1">
        <v>92.007999999999996</v>
      </c>
      <c r="F52" s="1">
        <v>53.935000000000002</v>
      </c>
      <c r="G52" s="7">
        <v>1</v>
      </c>
      <c r="H52" s="1">
        <v>50</v>
      </c>
      <c r="I52" s="1" t="s">
        <v>29</v>
      </c>
      <c r="J52" s="1"/>
      <c r="K52" s="1">
        <v>131.1</v>
      </c>
      <c r="L52" s="1">
        <f t="shared" si="9"/>
        <v>-39.091999999999999</v>
      </c>
      <c r="M52" s="1"/>
      <c r="N52" s="1"/>
      <c r="O52" s="1">
        <v>0</v>
      </c>
      <c r="P52" s="1"/>
      <c r="Q52" s="1">
        <v>0</v>
      </c>
      <c r="R52" s="1">
        <v>54.752200000000023</v>
      </c>
      <c r="S52" s="1">
        <f t="shared" si="10"/>
        <v>18.401599999999998</v>
      </c>
      <c r="T52" s="5">
        <f t="shared" si="13"/>
        <v>112.13199999999995</v>
      </c>
      <c r="U52" s="1">
        <f t="shared" si="11"/>
        <v>12</v>
      </c>
      <c r="V52" s="1">
        <f t="shared" si="12"/>
        <v>5.9063994435266514</v>
      </c>
      <c r="W52" s="1">
        <v>12.501200000000001</v>
      </c>
      <c r="X52" s="1">
        <v>3.7355999999999998</v>
      </c>
      <c r="Y52" s="1" t="s">
        <v>56</v>
      </c>
      <c r="Z52" s="1">
        <f t="shared" si="5"/>
        <v>112</v>
      </c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</row>
    <row r="53" spans="1:49" x14ac:dyDescent="0.25">
      <c r="A53" s="16" t="s">
        <v>85</v>
      </c>
      <c r="B53" s="1" t="s">
        <v>28</v>
      </c>
      <c r="C53" s="1"/>
      <c r="D53" s="1">
        <v>155.71100000000001</v>
      </c>
      <c r="E53" s="1">
        <v>13.808999999999999</v>
      </c>
      <c r="F53" s="1">
        <v>138.85300000000001</v>
      </c>
      <c r="G53" s="7">
        <v>1</v>
      </c>
      <c r="H53" s="1">
        <v>45</v>
      </c>
      <c r="I53" s="9" t="s">
        <v>39</v>
      </c>
      <c r="J53" s="1"/>
      <c r="K53" s="1">
        <v>11.7</v>
      </c>
      <c r="L53" s="1">
        <f t="shared" si="9"/>
        <v>2.109</v>
      </c>
      <c r="M53" s="1"/>
      <c r="N53" s="1"/>
      <c r="O53" s="1">
        <v>0</v>
      </c>
      <c r="P53" s="1"/>
      <c r="Q53" s="1">
        <v>0</v>
      </c>
      <c r="R53" s="1">
        <v>0</v>
      </c>
      <c r="S53" s="1">
        <f t="shared" si="10"/>
        <v>2.7618</v>
      </c>
      <c r="T53" s="5"/>
      <c r="U53" s="1">
        <f t="shared" si="11"/>
        <v>50.276269099862411</v>
      </c>
      <c r="V53" s="1">
        <f t="shared" si="12"/>
        <v>50.276269099862411</v>
      </c>
      <c r="W53" s="1">
        <v>0</v>
      </c>
      <c r="X53" s="1">
        <v>0</v>
      </c>
      <c r="Y53" s="1"/>
      <c r="Z53" s="1">
        <f t="shared" si="5"/>
        <v>0</v>
      </c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</row>
    <row r="54" spans="1:49" x14ac:dyDescent="0.25">
      <c r="A54" s="1" t="s">
        <v>86</v>
      </c>
      <c r="B54" s="1" t="s">
        <v>33</v>
      </c>
      <c r="C54" s="1">
        <v>207</v>
      </c>
      <c r="D54" s="1">
        <v>122</v>
      </c>
      <c r="E54" s="1">
        <v>80</v>
      </c>
      <c r="F54" s="1">
        <v>207</v>
      </c>
      <c r="G54" s="7">
        <v>0.45</v>
      </c>
      <c r="H54" s="1">
        <v>50</v>
      </c>
      <c r="I54" s="1" t="s">
        <v>29</v>
      </c>
      <c r="J54" s="1"/>
      <c r="K54" s="1">
        <v>85</v>
      </c>
      <c r="L54" s="1">
        <f t="shared" si="9"/>
        <v>-5</v>
      </c>
      <c r="M54" s="1"/>
      <c r="N54" s="1"/>
      <c r="O54" s="1">
        <v>0</v>
      </c>
      <c r="P54" s="1"/>
      <c r="Q54" s="1">
        <v>0</v>
      </c>
      <c r="R54" s="1">
        <v>0</v>
      </c>
      <c r="S54" s="1">
        <f t="shared" si="10"/>
        <v>16</v>
      </c>
      <c r="T54" s="5"/>
      <c r="U54" s="1">
        <f t="shared" si="11"/>
        <v>12.9375</v>
      </c>
      <c r="V54" s="1">
        <f t="shared" si="12"/>
        <v>12.9375</v>
      </c>
      <c r="W54" s="1">
        <v>15.4</v>
      </c>
      <c r="X54" s="1">
        <v>9.6</v>
      </c>
      <c r="Y54" s="1"/>
      <c r="Z54" s="1">
        <f t="shared" si="5"/>
        <v>0</v>
      </c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</row>
    <row r="55" spans="1:49" x14ac:dyDescent="0.25">
      <c r="A55" s="1" t="s">
        <v>87</v>
      </c>
      <c r="B55" s="1" t="s">
        <v>33</v>
      </c>
      <c r="C55" s="1">
        <v>271</v>
      </c>
      <c r="D55" s="1">
        <v>17</v>
      </c>
      <c r="E55" s="1">
        <v>130</v>
      </c>
      <c r="F55" s="1">
        <v>107</v>
      </c>
      <c r="G55" s="7">
        <v>0.45</v>
      </c>
      <c r="H55" s="1">
        <v>50</v>
      </c>
      <c r="I55" s="1" t="s">
        <v>29</v>
      </c>
      <c r="J55" s="1"/>
      <c r="K55" s="1">
        <v>150</v>
      </c>
      <c r="L55" s="1">
        <f t="shared" si="9"/>
        <v>-20</v>
      </c>
      <c r="M55" s="1"/>
      <c r="N55" s="1"/>
      <c r="O55" s="1">
        <v>76.688372093023276</v>
      </c>
      <c r="P55" s="1"/>
      <c r="Q55" s="1">
        <v>0</v>
      </c>
      <c r="R55" s="1">
        <v>47.111627906976743</v>
      </c>
      <c r="S55" s="1">
        <f t="shared" si="10"/>
        <v>26</v>
      </c>
      <c r="T55" s="5">
        <f t="shared" si="13"/>
        <v>81.19999999999996</v>
      </c>
      <c r="U55" s="1">
        <f t="shared" si="11"/>
        <v>12</v>
      </c>
      <c r="V55" s="1">
        <f t="shared" si="12"/>
        <v>8.8769230769230774</v>
      </c>
      <c r="W55" s="1">
        <v>25.8</v>
      </c>
      <c r="X55" s="1">
        <v>21.2</v>
      </c>
      <c r="Y55" s="1"/>
      <c r="Z55" s="1">
        <f t="shared" si="5"/>
        <v>37</v>
      </c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</row>
    <row r="56" spans="1:49" x14ac:dyDescent="0.25">
      <c r="A56" s="16" t="s">
        <v>88</v>
      </c>
      <c r="B56" s="1" t="s">
        <v>33</v>
      </c>
      <c r="C56" s="1"/>
      <c r="D56" s="1"/>
      <c r="E56" s="1"/>
      <c r="F56" s="1"/>
      <c r="G56" s="7">
        <v>0.4</v>
      </c>
      <c r="H56" s="1">
        <v>40</v>
      </c>
      <c r="I56" s="9" t="s">
        <v>39</v>
      </c>
      <c r="J56" s="1"/>
      <c r="K56" s="1">
        <v>6</v>
      </c>
      <c r="L56" s="1">
        <f t="shared" si="9"/>
        <v>-6</v>
      </c>
      <c r="M56" s="1"/>
      <c r="N56" s="1"/>
      <c r="O56" s="1">
        <v>4.7719298245614032</v>
      </c>
      <c r="P56" s="1"/>
      <c r="Q56" s="1">
        <v>9.6</v>
      </c>
      <c r="R56" s="1">
        <v>5</v>
      </c>
      <c r="S56" s="1">
        <f t="shared" si="10"/>
        <v>0</v>
      </c>
      <c r="T56" s="5"/>
      <c r="U56" s="1" t="e">
        <f t="shared" si="11"/>
        <v>#DIV/0!</v>
      </c>
      <c r="V56" s="1" t="e">
        <f t="shared" si="12"/>
        <v>#DIV/0!</v>
      </c>
      <c r="W56" s="1">
        <v>0</v>
      </c>
      <c r="X56" s="1">
        <v>0</v>
      </c>
      <c r="Y56" s="1"/>
      <c r="Z56" s="1">
        <f t="shared" si="5"/>
        <v>0</v>
      </c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</row>
    <row r="57" spans="1:49" x14ac:dyDescent="0.25">
      <c r="A57" s="16" t="s">
        <v>89</v>
      </c>
      <c r="B57" s="1" t="s">
        <v>33</v>
      </c>
      <c r="C57" s="1"/>
      <c r="D57" s="1"/>
      <c r="E57" s="1"/>
      <c r="F57" s="1"/>
      <c r="G57" s="7">
        <v>0.4</v>
      </c>
      <c r="H57" s="1">
        <v>40</v>
      </c>
      <c r="I57" s="9" t="s">
        <v>39</v>
      </c>
      <c r="J57" s="1"/>
      <c r="K57" s="1">
        <v>8</v>
      </c>
      <c r="L57" s="1">
        <f t="shared" si="9"/>
        <v>-8</v>
      </c>
      <c r="M57" s="1"/>
      <c r="N57" s="1"/>
      <c r="O57" s="1">
        <v>13</v>
      </c>
      <c r="P57" s="1"/>
      <c r="Q57" s="1">
        <v>9.6</v>
      </c>
      <c r="R57" s="1">
        <v>5</v>
      </c>
      <c r="S57" s="1">
        <f t="shared" si="10"/>
        <v>0</v>
      </c>
      <c r="T57" s="5"/>
      <c r="U57" s="1" t="e">
        <f t="shared" si="11"/>
        <v>#DIV/0!</v>
      </c>
      <c r="V57" s="1" t="e">
        <f t="shared" si="12"/>
        <v>#DIV/0!</v>
      </c>
      <c r="W57" s="1">
        <v>0</v>
      </c>
      <c r="X57" s="1">
        <v>0</v>
      </c>
      <c r="Y57" s="1"/>
      <c r="Z57" s="1">
        <f t="shared" si="5"/>
        <v>0</v>
      </c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</row>
    <row r="58" spans="1:49" x14ac:dyDescent="0.25">
      <c r="A58" s="16" t="s">
        <v>90</v>
      </c>
      <c r="B58" s="1" t="s">
        <v>28</v>
      </c>
      <c r="C58" s="1">
        <v>4.0590000000000002</v>
      </c>
      <c r="D58" s="1">
        <v>155.47499999999999</v>
      </c>
      <c r="E58" s="1">
        <v>47.570999999999998</v>
      </c>
      <c r="F58" s="1">
        <v>109.221</v>
      </c>
      <c r="G58" s="7">
        <v>1</v>
      </c>
      <c r="H58" s="1">
        <v>50</v>
      </c>
      <c r="I58" s="1" t="s">
        <v>29</v>
      </c>
      <c r="J58" s="1"/>
      <c r="K58" s="1">
        <v>77.7</v>
      </c>
      <c r="L58" s="1">
        <f t="shared" si="9"/>
        <v>-30.129000000000005</v>
      </c>
      <c r="M58" s="1"/>
      <c r="N58" s="1"/>
      <c r="O58" s="1">
        <v>0</v>
      </c>
      <c r="P58" s="1"/>
      <c r="Q58" s="1">
        <v>0</v>
      </c>
      <c r="R58" s="1">
        <v>0</v>
      </c>
      <c r="S58" s="1">
        <f t="shared" si="10"/>
        <v>9.5141999999999989</v>
      </c>
      <c r="T58" s="5">
        <v>10</v>
      </c>
      <c r="U58" s="1">
        <f t="shared" si="11"/>
        <v>12.530848626263902</v>
      </c>
      <c r="V58" s="1">
        <f t="shared" si="12"/>
        <v>11.479788106199157</v>
      </c>
      <c r="W58" s="1">
        <v>3.2652000000000001</v>
      </c>
      <c r="X58" s="1">
        <v>7.0168000000000008</v>
      </c>
      <c r="Y58" s="1" t="s">
        <v>56</v>
      </c>
      <c r="Z58" s="1">
        <f t="shared" si="5"/>
        <v>10</v>
      </c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</row>
    <row r="59" spans="1:49" x14ac:dyDescent="0.25">
      <c r="A59" s="16" t="s">
        <v>91</v>
      </c>
      <c r="B59" s="1" t="s">
        <v>33</v>
      </c>
      <c r="C59" s="1">
        <v>175</v>
      </c>
      <c r="D59" s="1">
        <v>13</v>
      </c>
      <c r="E59" s="13">
        <f>38+E131</f>
        <v>61</v>
      </c>
      <c r="F59" s="13">
        <f>142+F131</f>
        <v>105</v>
      </c>
      <c r="G59" s="7">
        <v>0.1</v>
      </c>
      <c r="H59" s="1">
        <v>731</v>
      </c>
      <c r="I59" s="1" t="s">
        <v>29</v>
      </c>
      <c r="J59" s="1"/>
      <c r="K59" s="1">
        <v>39</v>
      </c>
      <c r="L59" s="1">
        <f t="shared" si="9"/>
        <v>22</v>
      </c>
      <c r="M59" s="1"/>
      <c r="N59" s="1"/>
      <c r="O59" s="1">
        <v>51.074947368421057</v>
      </c>
      <c r="P59" s="1"/>
      <c r="Q59" s="1">
        <v>0</v>
      </c>
      <c r="R59" s="1">
        <v>0</v>
      </c>
      <c r="S59" s="1">
        <f t="shared" si="10"/>
        <v>12.2</v>
      </c>
      <c r="T59" s="5"/>
      <c r="U59" s="1">
        <f t="shared" si="11"/>
        <v>12.793028472821398</v>
      </c>
      <c r="V59" s="1">
        <f t="shared" si="12"/>
        <v>12.793028472821398</v>
      </c>
      <c r="W59" s="1">
        <v>6.2</v>
      </c>
      <c r="X59" s="1">
        <v>5.8</v>
      </c>
      <c r="Y59" s="1" t="s">
        <v>56</v>
      </c>
      <c r="Z59" s="1">
        <f t="shared" si="5"/>
        <v>0</v>
      </c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</row>
    <row r="60" spans="1:49" x14ac:dyDescent="0.25">
      <c r="A60" s="16" t="s">
        <v>92</v>
      </c>
      <c r="B60" s="1" t="s">
        <v>28</v>
      </c>
      <c r="C60" s="1">
        <v>-3.9390000000000001</v>
      </c>
      <c r="D60" s="1">
        <v>163.35400000000001</v>
      </c>
      <c r="E60" s="1">
        <v>59.177999999999997</v>
      </c>
      <c r="F60" s="1">
        <v>87.644000000000005</v>
      </c>
      <c r="G60" s="7">
        <v>1</v>
      </c>
      <c r="H60" s="1">
        <v>50</v>
      </c>
      <c r="I60" s="1" t="s">
        <v>29</v>
      </c>
      <c r="J60" s="1"/>
      <c r="K60" s="1">
        <v>138.9</v>
      </c>
      <c r="L60" s="1">
        <f t="shared" si="9"/>
        <v>-79.722000000000008</v>
      </c>
      <c r="M60" s="1"/>
      <c r="N60" s="1"/>
      <c r="O60" s="1">
        <v>93.94464965612103</v>
      </c>
      <c r="P60" s="1"/>
      <c r="Q60" s="1">
        <v>0</v>
      </c>
      <c r="R60" s="1">
        <v>0</v>
      </c>
      <c r="S60" s="1">
        <f t="shared" si="10"/>
        <v>11.835599999999999</v>
      </c>
      <c r="T60" s="5"/>
      <c r="U60" s="1">
        <f t="shared" si="11"/>
        <v>15.342580828696564</v>
      </c>
      <c r="V60" s="1">
        <f t="shared" si="12"/>
        <v>15.342580828696564</v>
      </c>
      <c r="W60" s="1">
        <v>11.785399999999999</v>
      </c>
      <c r="X60" s="1">
        <v>12.861000000000001</v>
      </c>
      <c r="Y60" s="1" t="s">
        <v>56</v>
      </c>
      <c r="Z60" s="1">
        <f t="shared" si="5"/>
        <v>0</v>
      </c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</row>
    <row r="61" spans="1:49" x14ac:dyDescent="0.25">
      <c r="A61" s="16" t="s">
        <v>93</v>
      </c>
      <c r="B61" s="1" t="s">
        <v>28</v>
      </c>
      <c r="C61" s="1"/>
      <c r="D61" s="1"/>
      <c r="E61" s="1"/>
      <c r="F61" s="1"/>
      <c r="G61" s="7">
        <v>1</v>
      </c>
      <c r="H61" s="1">
        <v>55</v>
      </c>
      <c r="I61" s="1" t="s">
        <v>29</v>
      </c>
      <c r="J61" s="1"/>
      <c r="K61" s="1">
        <v>9</v>
      </c>
      <c r="L61" s="1">
        <f t="shared" si="9"/>
        <v>-9</v>
      </c>
      <c r="M61" s="1"/>
      <c r="N61" s="1"/>
      <c r="O61" s="1">
        <v>15.006689053055741</v>
      </c>
      <c r="P61" s="1"/>
      <c r="Q61" s="1">
        <v>4</v>
      </c>
      <c r="R61" s="1">
        <v>10</v>
      </c>
      <c r="S61" s="1">
        <f t="shared" si="10"/>
        <v>0</v>
      </c>
      <c r="T61" s="5"/>
      <c r="U61" s="1" t="e">
        <f t="shared" si="11"/>
        <v>#DIV/0!</v>
      </c>
      <c r="V61" s="1" t="e">
        <f t="shared" si="12"/>
        <v>#DIV/0!</v>
      </c>
      <c r="W61" s="1">
        <v>0</v>
      </c>
      <c r="X61" s="1">
        <v>0.54339999999999999</v>
      </c>
      <c r="Y61" s="1"/>
      <c r="Z61" s="1">
        <f t="shared" si="5"/>
        <v>0</v>
      </c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</row>
    <row r="62" spans="1:49" x14ac:dyDescent="0.25">
      <c r="A62" s="16" t="s">
        <v>94</v>
      </c>
      <c r="B62" s="1" t="s">
        <v>33</v>
      </c>
      <c r="C62" s="1">
        <v>213</v>
      </c>
      <c r="D62" s="1">
        <v>11</v>
      </c>
      <c r="E62" s="1">
        <v>33</v>
      </c>
      <c r="F62" s="1">
        <v>191</v>
      </c>
      <c r="G62" s="7">
        <v>0.1</v>
      </c>
      <c r="H62" s="1">
        <v>731</v>
      </c>
      <c r="I62" s="1" t="s">
        <v>29</v>
      </c>
      <c r="J62" s="1"/>
      <c r="K62" s="1">
        <v>28</v>
      </c>
      <c r="L62" s="1">
        <f t="shared" si="9"/>
        <v>5</v>
      </c>
      <c r="M62" s="1"/>
      <c r="N62" s="1"/>
      <c r="O62" s="1">
        <v>13.332023575638511</v>
      </c>
      <c r="P62" s="1"/>
      <c r="Q62" s="1">
        <v>0</v>
      </c>
      <c r="R62" s="1">
        <v>0</v>
      </c>
      <c r="S62" s="1">
        <f t="shared" si="10"/>
        <v>6.6</v>
      </c>
      <c r="T62" s="5"/>
      <c r="U62" s="1">
        <f t="shared" si="11"/>
        <v>30.959397511460384</v>
      </c>
      <c r="V62" s="1">
        <f t="shared" si="12"/>
        <v>30.959397511460384</v>
      </c>
      <c r="W62" s="1">
        <v>3.8</v>
      </c>
      <c r="X62" s="1">
        <v>3.2</v>
      </c>
      <c r="Y62" s="15" t="s">
        <v>163</v>
      </c>
      <c r="Z62" s="1">
        <f t="shared" si="5"/>
        <v>0</v>
      </c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</row>
    <row r="63" spans="1:49" x14ac:dyDescent="0.25">
      <c r="A63" s="16" t="s">
        <v>95</v>
      </c>
      <c r="B63" s="1" t="s">
        <v>33</v>
      </c>
      <c r="C63" s="1"/>
      <c r="D63" s="1">
        <v>20</v>
      </c>
      <c r="E63" s="1">
        <v>5</v>
      </c>
      <c r="F63" s="1">
        <v>12</v>
      </c>
      <c r="G63" s="7">
        <v>0.4</v>
      </c>
      <c r="H63" s="1">
        <v>50</v>
      </c>
      <c r="I63" s="1" t="s">
        <v>29</v>
      </c>
      <c r="J63" s="1"/>
      <c r="K63" s="1">
        <v>11</v>
      </c>
      <c r="L63" s="1">
        <f t="shared" si="9"/>
        <v>-6</v>
      </c>
      <c r="M63" s="1"/>
      <c r="N63" s="1"/>
      <c r="O63" s="1">
        <v>0</v>
      </c>
      <c r="P63" s="1"/>
      <c r="Q63" s="1">
        <v>0</v>
      </c>
      <c r="R63" s="1">
        <v>0</v>
      </c>
      <c r="S63" s="1">
        <f t="shared" si="10"/>
        <v>1</v>
      </c>
      <c r="T63" s="5">
        <v>6</v>
      </c>
      <c r="U63" s="1">
        <f t="shared" si="11"/>
        <v>18</v>
      </c>
      <c r="V63" s="1">
        <f t="shared" si="12"/>
        <v>12</v>
      </c>
      <c r="W63" s="1">
        <v>0.4</v>
      </c>
      <c r="X63" s="1">
        <v>0</v>
      </c>
      <c r="Y63" s="1"/>
      <c r="Z63" s="1">
        <f t="shared" si="5"/>
        <v>2</v>
      </c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</row>
    <row r="64" spans="1:49" x14ac:dyDescent="0.25">
      <c r="A64" s="16" t="s">
        <v>96</v>
      </c>
      <c r="B64" s="1" t="s">
        <v>28</v>
      </c>
      <c r="C64" s="1">
        <v>1.2E-2</v>
      </c>
      <c r="D64" s="1">
        <v>109.68600000000001</v>
      </c>
      <c r="E64" s="1"/>
      <c r="F64" s="1">
        <v>54.854999999999997</v>
      </c>
      <c r="G64" s="7">
        <v>1</v>
      </c>
      <c r="H64" s="1">
        <v>40</v>
      </c>
      <c r="I64" s="9" t="s">
        <v>39</v>
      </c>
      <c r="J64" s="1"/>
      <c r="K64" s="1">
        <v>53</v>
      </c>
      <c r="L64" s="1">
        <f t="shared" si="9"/>
        <v>-53</v>
      </c>
      <c r="M64" s="1"/>
      <c r="N64" s="1"/>
      <c r="O64" s="1">
        <v>19.025626359039741</v>
      </c>
      <c r="P64" s="1"/>
      <c r="Q64" s="1">
        <v>48</v>
      </c>
      <c r="R64" s="1">
        <v>50</v>
      </c>
      <c r="S64" s="1">
        <f t="shared" si="10"/>
        <v>0</v>
      </c>
      <c r="T64" s="5"/>
      <c r="U64" s="1" t="e">
        <f t="shared" si="11"/>
        <v>#DIV/0!</v>
      </c>
      <c r="V64" s="1" t="e">
        <f t="shared" si="12"/>
        <v>#DIV/0!</v>
      </c>
      <c r="W64" s="1">
        <v>7.9903999999999993</v>
      </c>
      <c r="X64" s="1">
        <v>7.9903999999999993</v>
      </c>
      <c r="Y64" s="1"/>
      <c r="Z64" s="1">
        <f t="shared" si="5"/>
        <v>0</v>
      </c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</row>
    <row r="65" spans="1:49" x14ac:dyDescent="0.25">
      <c r="A65" s="16" t="s">
        <v>97</v>
      </c>
      <c r="B65" s="1" t="s">
        <v>28</v>
      </c>
      <c r="C65" s="1"/>
      <c r="D65" s="1"/>
      <c r="E65" s="1"/>
      <c r="F65" s="1"/>
      <c r="G65" s="7">
        <v>1</v>
      </c>
      <c r="H65" s="1">
        <v>40</v>
      </c>
      <c r="I65" s="9" t="s">
        <v>39</v>
      </c>
      <c r="J65" s="1"/>
      <c r="K65" s="1">
        <v>2.6</v>
      </c>
      <c r="L65" s="1">
        <f t="shared" si="9"/>
        <v>-2.6</v>
      </c>
      <c r="M65" s="1"/>
      <c r="N65" s="1"/>
      <c r="O65" s="1">
        <v>12.270811380400421</v>
      </c>
      <c r="P65" s="1"/>
      <c r="Q65" s="1">
        <v>4.8</v>
      </c>
      <c r="R65" s="1">
        <v>50</v>
      </c>
      <c r="S65" s="1">
        <f t="shared" si="10"/>
        <v>0</v>
      </c>
      <c r="T65" s="5"/>
      <c r="U65" s="1" t="e">
        <f t="shared" si="11"/>
        <v>#DIV/0!</v>
      </c>
      <c r="V65" s="1" t="e">
        <f t="shared" si="12"/>
        <v>#DIV/0!</v>
      </c>
      <c r="W65" s="1">
        <v>0</v>
      </c>
      <c r="X65" s="1">
        <v>0.26440000000000002</v>
      </c>
      <c r="Y65" s="1"/>
      <c r="Z65" s="1">
        <f t="shared" si="5"/>
        <v>0</v>
      </c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</row>
    <row r="66" spans="1:49" x14ac:dyDescent="0.25">
      <c r="A66" s="16" t="s">
        <v>98</v>
      </c>
      <c r="B66" s="1" t="s">
        <v>33</v>
      </c>
      <c r="C66" s="1">
        <v>6</v>
      </c>
      <c r="D66" s="1">
        <v>462</v>
      </c>
      <c r="E66" s="1">
        <v>172</v>
      </c>
      <c r="F66" s="1">
        <v>262</v>
      </c>
      <c r="G66" s="7">
        <v>0.4</v>
      </c>
      <c r="H66" s="1">
        <v>40</v>
      </c>
      <c r="I66" s="9" t="s">
        <v>39</v>
      </c>
      <c r="J66" s="1"/>
      <c r="K66" s="1">
        <v>232</v>
      </c>
      <c r="L66" s="1">
        <f t="shared" si="9"/>
        <v>-60</v>
      </c>
      <c r="M66" s="1"/>
      <c r="N66" s="1"/>
      <c r="O66" s="1">
        <v>35.735080058224163</v>
      </c>
      <c r="P66" s="1"/>
      <c r="Q66" s="1">
        <v>0</v>
      </c>
      <c r="R66" s="1">
        <v>0</v>
      </c>
      <c r="S66" s="1">
        <f t="shared" si="10"/>
        <v>34.4</v>
      </c>
      <c r="T66" s="5">
        <f t="shared" si="13"/>
        <v>115.06491994177577</v>
      </c>
      <c r="U66" s="1">
        <f t="shared" si="11"/>
        <v>12</v>
      </c>
      <c r="V66" s="1">
        <f t="shared" si="12"/>
        <v>8.6550895365762841</v>
      </c>
      <c r="W66" s="1">
        <v>15.4</v>
      </c>
      <c r="X66" s="1">
        <v>15.8</v>
      </c>
      <c r="Y66" s="1"/>
      <c r="Z66" s="1">
        <f t="shared" si="5"/>
        <v>46</v>
      </c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</row>
    <row r="67" spans="1:49" x14ac:dyDescent="0.25">
      <c r="A67" s="16" t="s">
        <v>99</v>
      </c>
      <c r="B67" s="1" t="s">
        <v>33</v>
      </c>
      <c r="C67" s="1"/>
      <c r="D67" s="1">
        <v>1</v>
      </c>
      <c r="E67" s="1"/>
      <c r="F67" s="1"/>
      <c r="G67" s="7">
        <v>0.4</v>
      </c>
      <c r="H67" s="1">
        <v>40</v>
      </c>
      <c r="I67" s="1" t="s">
        <v>29</v>
      </c>
      <c r="J67" s="1"/>
      <c r="K67" s="1">
        <v>38</v>
      </c>
      <c r="L67" s="1">
        <f t="shared" si="9"/>
        <v>-38</v>
      </c>
      <c r="M67" s="1"/>
      <c r="N67" s="1"/>
      <c r="O67" s="1">
        <v>59.617321248741192</v>
      </c>
      <c r="P67" s="1"/>
      <c r="Q67" s="1">
        <v>40</v>
      </c>
      <c r="R67" s="1">
        <v>100</v>
      </c>
      <c r="S67" s="1">
        <f t="shared" si="10"/>
        <v>0</v>
      </c>
      <c r="T67" s="5"/>
      <c r="U67" s="1" t="e">
        <f t="shared" si="11"/>
        <v>#DIV/0!</v>
      </c>
      <c r="V67" s="1" t="e">
        <f t="shared" si="12"/>
        <v>#DIV/0!</v>
      </c>
      <c r="W67" s="1">
        <v>0</v>
      </c>
      <c r="X67" s="1">
        <v>0</v>
      </c>
      <c r="Y67" s="1"/>
      <c r="Z67" s="1">
        <f t="shared" si="5"/>
        <v>0</v>
      </c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</row>
    <row r="68" spans="1:49" x14ac:dyDescent="0.25">
      <c r="A68" s="16" t="s">
        <v>100</v>
      </c>
      <c r="B68" s="1" t="s">
        <v>28</v>
      </c>
      <c r="C68" s="1">
        <v>6.5410000000000004</v>
      </c>
      <c r="D68" s="1">
        <v>78.683000000000007</v>
      </c>
      <c r="E68" s="1">
        <v>75.070999999999998</v>
      </c>
      <c r="F68" s="1">
        <v>7.4370000000000003</v>
      </c>
      <c r="G68" s="7">
        <v>1</v>
      </c>
      <c r="H68" s="1">
        <v>40</v>
      </c>
      <c r="I68" s="9" t="s">
        <v>39</v>
      </c>
      <c r="J68" s="1"/>
      <c r="K68" s="1">
        <v>81.3</v>
      </c>
      <c r="L68" s="1">
        <f t="shared" si="9"/>
        <v>-6.2289999999999992</v>
      </c>
      <c r="M68" s="1"/>
      <c r="N68" s="1"/>
      <c r="O68" s="1">
        <v>18.27250411257809</v>
      </c>
      <c r="P68" s="1">
        <v>-22</v>
      </c>
      <c r="Q68" s="1">
        <v>12</v>
      </c>
      <c r="R68" s="1">
        <v>0</v>
      </c>
      <c r="S68" s="1">
        <f t="shared" si="10"/>
        <v>15.014199999999999</v>
      </c>
      <c r="T68" s="5">
        <v>100</v>
      </c>
      <c r="U68" s="1">
        <f t="shared" si="11"/>
        <v>7.7066712920154314</v>
      </c>
      <c r="V68" s="1">
        <f t="shared" si="12"/>
        <v>1.0463097675918858</v>
      </c>
      <c r="W68" s="1">
        <v>4.5118</v>
      </c>
      <c r="X68" s="1">
        <v>5.2612000000000014</v>
      </c>
      <c r="Y68" s="1"/>
      <c r="Z68" s="1">
        <f t="shared" si="5"/>
        <v>100</v>
      </c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</row>
    <row r="69" spans="1:49" x14ac:dyDescent="0.25">
      <c r="A69" s="16" t="s">
        <v>101</v>
      </c>
      <c r="B69" s="1" t="s">
        <v>28</v>
      </c>
      <c r="C69" s="1"/>
      <c r="D69" s="1">
        <v>104.982</v>
      </c>
      <c r="E69" s="1">
        <v>75.418999999999997</v>
      </c>
      <c r="F69" s="1">
        <v>11.603999999999999</v>
      </c>
      <c r="G69" s="7">
        <v>1</v>
      </c>
      <c r="H69" s="1">
        <v>40</v>
      </c>
      <c r="I69" s="9" t="s">
        <v>39</v>
      </c>
      <c r="J69" s="1"/>
      <c r="K69" s="1">
        <v>75.599999999999994</v>
      </c>
      <c r="L69" s="1">
        <f t="shared" si="9"/>
        <v>-0.18099999999999739</v>
      </c>
      <c r="M69" s="1"/>
      <c r="N69" s="1"/>
      <c r="O69" s="1">
        <v>19.493231364275669</v>
      </c>
      <c r="P69" s="1">
        <v>-22</v>
      </c>
      <c r="Q69" s="1">
        <v>0</v>
      </c>
      <c r="R69" s="1">
        <v>0</v>
      </c>
      <c r="S69" s="1">
        <f t="shared" si="10"/>
        <v>15.0838</v>
      </c>
      <c r="T69" s="5">
        <v>100</v>
      </c>
      <c r="U69" s="1">
        <f t="shared" si="11"/>
        <v>7.2327418398729542</v>
      </c>
      <c r="V69" s="1">
        <f t="shared" si="12"/>
        <v>0.6031127013269646</v>
      </c>
      <c r="W69" s="1">
        <v>4.3112000000000004</v>
      </c>
      <c r="X69" s="1">
        <v>0</v>
      </c>
      <c r="Y69" s="1"/>
      <c r="Z69" s="1">
        <f t="shared" si="5"/>
        <v>100</v>
      </c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</row>
    <row r="70" spans="1:49" x14ac:dyDescent="0.25">
      <c r="A70" s="16" t="s">
        <v>102</v>
      </c>
      <c r="B70" s="1" t="s">
        <v>28</v>
      </c>
      <c r="C70" s="1">
        <v>5.3769999999999998</v>
      </c>
      <c r="D70" s="1">
        <v>8.1010000000000009</v>
      </c>
      <c r="E70" s="1">
        <v>20.968</v>
      </c>
      <c r="F70" s="1">
        <v>-4.7640000000000002</v>
      </c>
      <c r="G70" s="7">
        <v>1</v>
      </c>
      <c r="H70" s="1">
        <v>40</v>
      </c>
      <c r="I70" s="9" t="s">
        <v>39</v>
      </c>
      <c r="J70" s="1"/>
      <c r="K70" s="1">
        <v>34.200000000000003</v>
      </c>
      <c r="L70" s="1">
        <f t="shared" ref="L70:L101" si="14">E70-K70</f>
        <v>-13.232000000000003</v>
      </c>
      <c r="M70" s="1"/>
      <c r="N70" s="1"/>
      <c r="O70" s="1">
        <v>64.557483857380348</v>
      </c>
      <c r="P70" s="1">
        <v>-70</v>
      </c>
      <c r="Q70" s="1">
        <v>180</v>
      </c>
      <c r="R70" s="1">
        <v>0</v>
      </c>
      <c r="S70" s="1">
        <f t="shared" ref="S70:S101" si="15">E70/5</f>
        <v>4.1936</v>
      </c>
      <c r="T70" s="5">
        <v>50</v>
      </c>
      <c r="U70" s="1">
        <f t="shared" ref="U70:U101" si="16">(F70+O70+P70+Q70+R70+T70)/S70</f>
        <v>52.411647238024692</v>
      </c>
      <c r="V70" s="1">
        <f t="shared" ref="V70:V101" si="17">(F70+O70+P70+Q70+R70)/S70</f>
        <v>40.48871705870382</v>
      </c>
      <c r="W70" s="1">
        <v>18.5868</v>
      </c>
      <c r="X70" s="1">
        <v>23.832799999999999</v>
      </c>
      <c r="Y70" s="1"/>
      <c r="Z70" s="1">
        <f t="shared" si="5"/>
        <v>50</v>
      </c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</row>
    <row r="71" spans="1:49" x14ac:dyDescent="0.25">
      <c r="A71" s="16" t="s">
        <v>103</v>
      </c>
      <c r="B71" s="1" t="s">
        <v>28</v>
      </c>
      <c r="C71" s="1"/>
      <c r="D71" s="1"/>
      <c r="E71" s="1"/>
      <c r="F71" s="1"/>
      <c r="G71" s="7">
        <v>1</v>
      </c>
      <c r="H71" s="1">
        <v>40</v>
      </c>
      <c r="I71" s="9" t="s">
        <v>39</v>
      </c>
      <c r="J71" s="1"/>
      <c r="K71" s="1">
        <v>7.9</v>
      </c>
      <c r="L71" s="1">
        <f t="shared" si="14"/>
        <v>-7.9</v>
      </c>
      <c r="M71" s="1"/>
      <c r="N71" s="1"/>
      <c r="O71" s="1">
        <v>41.768911473925193</v>
      </c>
      <c r="P71" s="1"/>
      <c r="Q71" s="1">
        <v>0</v>
      </c>
      <c r="R71" s="1">
        <v>0</v>
      </c>
      <c r="S71" s="1">
        <f t="shared" si="15"/>
        <v>0</v>
      </c>
      <c r="T71" s="5"/>
      <c r="U71" s="1" t="e">
        <f t="shared" si="16"/>
        <v>#DIV/0!</v>
      </c>
      <c r="V71" s="1" t="e">
        <f t="shared" si="17"/>
        <v>#DIV/0!</v>
      </c>
      <c r="W71" s="1">
        <v>0</v>
      </c>
      <c r="X71" s="1">
        <v>0</v>
      </c>
      <c r="Y71" s="1"/>
      <c r="Z71" s="1">
        <f t="shared" ref="Z71:Z131" si="18">ROUND(G71*T71,0)</f>
        <v>0</v>
      </c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</row>
    <row r="72" spans="1:49" x14ac:dyDescent="0.25">
      <c r="A72" s="10" t="s">
        <v>104</v>
      </c>
      <c r="B72" s="10" t="s">
        <v>33</v>
      </c>
      <c r="C72" s="10"/>
      <c r="D72" s="10"/>
      <c r="E72" s="10"/>
      <c r="F72" s="10"/>
      <c r="G72" s="11">
        <v>0</v>
      </c>
      <c r="H72" s="10"/>
      <c r="I72" s="10" t="s">
        <v>29</v>
      </c>
      <c r="J72" s="10"/>
      <c r="K72" s="10"/>
      <c r="L72" s="10">
        <f t="shared" si="14"/>
        <v>0</v>
      </c>
      <c r="M72" s="10"/>
      <c r="N72" s="10"/>
      <c r="O72" s="10"/>
      <c r="P72" s="10"/>
      <c r="Q72" s="10">
        <v>0</v>
      </c>
      <c r="R72" s="10">
        <v>0</v>
      </c>
      <c r="S72" s="10">
        <f t="shared" si="15"/>
        <v>0</v>
      </c>
      <c r="T72" s="12"/>
      <c r="U72" s="10" t="e">
        <f t="shared" si="16"/>
        <v>#DIV/0!</v>
      </c>
      <c r="V72" s="10" t="e">
        <f t="shared" si="17"/>
        <v>#DIV/0!</v>
      </c>
      <c r="W72" s="10">
        <v>0</v>
      </c>
      <c r="X72" s="10">
        <v>0</v>
      </c>
      <c r="Y72" s="10" t="s">
        <v>34</v>
      </c>
      <c r="Z72" s="1">
        <f t="shared" si="18"/>
        <v>0</v>
      </c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</row>
    <row r="73" spans="1:49" x14ac:dyDescent="0.25">
      <c r="A73" s="16" t="s">
        <v>105</v>
      </c>
      <c r="B73" s="1" t="s">
        <v>28</v>
      </c>
      <c r="C73" s="1">
        <v>0.02</v>
      </c>
      <c r="D73" s="1"/>
      <c r="E73" s="1"/>
      <c r="F73" s="1">
        <v>0.02</v>
      </c>
      <c r="G73" s="7">
        <v>1</v>
      </c>
      <c r="H73" s="1">
        <v>30</v>
      </c>
      <c r="I73" s="9" t="s">
        <v>39</v>
      </c>
      <c r="J73" s="1"/>
      <c r="K73" s="1">
        <v>9.3000000000000007</v>
      </c>
      <c r="L73" s="1">
        <f t="shared" si="14"/>
        <v>-9.3000000000000007</v>
      </c>
      <c r="M73" s="1"/>
      <c r="N73" s="1"/>
      <c r="O73" s="1">
        <v>6.9587635964735233</v>
      </c>
      <c r="P73" s="1"/>
      <c r="Q73" s="1">
        <v>48</v>
      </c>
      <c r="R73" s="1">
        <v>120</v>
      </c>
      <c r="S73" s="1">
        <f t="shared" si="15"/>
        <v>0</v>
      </c>
      <c r="T73" s="5"/>
      <c r="U73" s="1" t="e">
        <f t="shared" si="16"/>
        <v>#DIV/0!</v>
      </c>
      <c r="V73" s="1" t="e">
        <f t="shared" si="17"/>
        <v>#DIV/0!</v>
      </c>
      <c r="W73" s="1">
        <v>0</v>
      </c>
      <c r="X73" s="1">
        <v>4.5743999999999998</v>
      </c>
      <c r="Y73" s="1"/>
      <c r="Z73" s="1">
        <f t="shared" si="18"/>
        <v>0</v>
      </c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</row>
    <row r="74" spans="1:49" x14ac:dyDescent="0.25">
      <c r="A74" s="16" t="s">
        <v>106</v>
      </c>
      <c r="B74" s="1" t="s">
        <v>33</v>
      </c>
      <c r="C74" s="1">
        <v>102</v>
      </c>
      <c r="D74" s="1">
        <v>88.736999999999995</v>
      </c>
      <c r="E74" s="1">
        <v>18</v>
      </c>
      <c r="F74" s="1">
        <v>168</v>
      </c>
      <c r="G74" s="7">
        <v>0.6</v>
      </c>
      <c r="H74" s="1">
        <v>60</v>
      </c>
      <c r="I74" s="1" t="s">
        <v>29</v>
      </c>
      <c r="J74" s="1"/>
      <c r="K74" s="1">
        <v>44</v>
      </c>
      <c r="L74" s="1">
        <f t="shared" si="14"/>
        <v>-26</v>
      </c>
      <c r="M74" s="1"/>
      <c r="N74" s="1"/>
      <c r="O74" s="1">
        <v>148.90212765957449</v>
      </c>
      <c r="P74" s="1"/>
      <c r="Q74" s="1">
        <v>0</v>
      </c>
      <c r="R74" s="1">
        <v>0</v>
      </c>
      <c r="S74" s="1">
        <f t="shared" si="15"/>
        <v>3.6</v>
      </c>
      <c r="T74" s="5"/>
      <c r="U74" s="1">
        <f t="shared" si="16"/>
        <v>88.028368794326241</v>
      </c>
      <c r="V74" s="1">
        <f t="shared" si="17"/>
        <v>88.028368794326241</v>
      </c>
      <c r="W74" s="1">
        <v>5.9474</v>
      </c>
      <c r="X74" s="1">
        <v>7</v>
      </c>
      <c r="Y74" s="17" t="s">
        <v>50</v>
      </c>
      <c r="Z74" s="1">
        <f t="shared" si="18"/>
        <v>0</v>
      </c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</row>
    <row r="75" spans="1:49" x14ac:dyDescent="0.25">
      <c r="A75" s="16" t="s">
        <v>107</v>
      </c>
      <c r="B75" s="1" t="s">
        <v>33</v>
      </c>
      <c r="C75" s="1">
        <v>114</v>
      </c>
      <c r="D75" s="1">
        <v>4</v>
      </c>
      <c r="E75" s="1">
        <v>18</v>
      </c>
      <c r="F75" s="1">
        <v>94</v>
      </c>
      <c r="G75" s="7">
        <v>0.6</v>
      </c>
      <c r="H75" s="1">
        <v>60</v>
      </c>
      <c r="I75" s="1" t="s">
        <v>29</v>
      </c>
      <c r="J75" s="1"/>
      <c r="K75" s="1">
        <v>63</v>
      </c>
      <c r="L75" s="1">
        <f t="shared" si="14"/>
        <v>-45</v>
      </c>
      <c r="M75" s="1"/>
      <c r="N75" s="1"/>
      <c r="O75" s="1">
        <v>175.2630136986302</v>
      </c>
      <c r="P75" s="1"/>
      <c r="Q75" s="1">
        <v>0</v>
      </c>
      <c r="R75" s="1">
        <v>0</v>
      </c>
      <c r="S75" s="1">
        <f t="shared" si="15"/>
        <v>3.6</v>
      </c>
      <c r="T75" s="5"/>
      <c r="U75" s="1">
        <f t="shared" si="16"/>
        <v>74.795281582952825</v>
      </c>
      <c r="V75" s="1">
        <f t="shared" si="17"/>
        <v>74.795281582952825</v>
      </c>
      <c r="W75" s="1">
        <v>9.4</v>
      </c>
      <c r="X75" s="1">
        <v>10.6</v>
      </c>
      <c r="Y75" s="17" t="s">
        <v>50</v>
      </c>
      <c r="Z75" s="1">
        <f t="shared" si="18"/>
        <v>0</v>
      </c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</row>
    <row r="76" spans="1:49" x14ac:dyDescent="0.25">
      <c r="A76" s="16" t="s">
        <v>108</v>
      </c>
      <c r="B76" s="1" t="s">
        <v>33</v>
      </c>
      <c r="C76" s="1"/>
      <c r="D76" s="1">
        <v>153</v>
      </c>
      <c r="E76" s="1">
        <v>31</v>
      </c>
      <c r="F76" s="1">
        <v>121</v>
      </c>
      <c r="G76" s="7">
        <v>0.4</v>
      </c>
      <c r="H76" s="1">
        <v>90</v>
      </c>
      <c r="I76" s="9" t="s">
        <v>39</v>
      </c>
      <c r="J76" s="1"/>
      <c r="K76" s="1">
        <v>32</v>
      </c>
      <c r="L76" s="1">
        <f t="shared" si="14"/>
        <v>-1</v>
      </c>
      <c r="M76" s="1"/>
      <c r="N76" s="1"/>
      <c r="O76" s="1">
        <v>19.781818181818181</v>
      </c>
      <c r="P76" s="1"/>
      <c r="Q76" s="1">
        <v>0</v>
      </c>
      <c r="R76" s="1">
        <v>0</v>
      </c>
      <c r="S76" s="1">
        <f t="shared" si="15"/>
        <v>6.2</v>
      </c>
      <c r="T76" s="5"/>
      <c r="U76" s="1">
        <f t="shared" si="16"/>
        <v>22.706744868035191</v>
      </c>
      <c r="V76" s="1">
        <f t="shared" si="17"/>
        <v>22.706744868035191</v>
      </c>
      <c r="W76" s="1">
        <v>1.8</v>
      </c>
      <c r="X76" s="1">
        <v>5.4</v>
      </c>
      <c r="Y76" s="1"/>
      <c r="Z76" s="1">
        <f t="shared" si="18"/>
        <v>0</v>
      </c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</row>
    <row r="77" spans="1:49" x14ac:dyDescent="0.25">
      <c r="A77" s="16" t="s">
        <v>109</v>
      </c>
      <c r="B77" s="1" t="s">
        <v>33</v>
      </c>
      <c r="C77" s="1">
        <v>5</v>
      </c>
      <c r="D77" s="1">
        <v>209</v>
      </c>
      <c r="E77" s="1">
        <v>50</v>
      </c>
      <c r="F77" s="1">
        <v>151</v>
      </c>
      <c r="G77" s="7">
        <v>0.33</v>
      </c>
      <c r="H77" s="1">
        <v>60</v>
      </c>
      <c r="I77" s="9" t="s">
        <v>39</v>
      </c>
      <c r="J77" s="1"/>
      <c r="K77" s="1">
        <v>48</v>
      </c>
      <c r="L77" s="1">
        <f t="shared" si="14"/>
        <v>2</v>
      </c>
      <c r="M77" s="1"/>
      <c r="N77" s="1"/>
      <c r="O77" s="1">
        <v>34.416326530612253</v>
      </c>
      <c r="P77" s="1"/>
      <c r="Q77" s="1">
        <v>0</v>
      </c>
      <c r="R77" s="1">
        <v>0</v>
      </c>
      <c r="S77" s="1">
        <f t="shared" si="15"/>
        <v>10</v>
      </c>
      <c r="T77" s="5"/>
      <c r="U77" s="1">
        <f t="shared" si="16"/>
        <v>18.541632653061225</v>
      </c>
      <c r="V77" s="1">
        <f t="shared" si="17"/>
        <v>18.541632653061225</v>
      </c>
      <c r="W77" s="1">
        <v>9.4</v>
      </c>
      <c r="X77" s="1">
        <v>7.2</v>
      </c>
      <c r="Y77" s="1"/>
      <c r="Z77" s="1">
        <f t="shared" si="18"/>
        <v>0</v>
      </c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</row>
    <row r="78" spans="1:49" x14ac:dyDescent="0.25">
      <c r="A78" s="16" t="s">
        <v>110</v>
      </c>
      <c r="B78" s="1" t="s">
        <v>33</v>
      </c>
      <c r="C78" s="1"/>
      <c r="D78" s="1">
        <v>225</v>
      </c>
      <c r="E78" s="1">
        <v>46</v>
      </c>
      <c r="F78" s="1">
        <v>178</v>
      </c>
      <c r="G78" s="7">
        <v>0.35</v>
      </c>
      <c r="H78" s="1">
        <v>90</v>
      </c>
      <c r="I78" s="9" t="s">
        <v>39</v>
      </c>
      <c r="J78" s="1"/>
      <c r="K78" s="1">
        <v>55</v>
      </c>
      <c r="L78" s="1">
        <f t="shared" si="14"/>
        <v>-9</v>
      </c>
      <c r="M78" s="1"/>
      <c r="N78" s="1"/>
      <c r="O78" s="1">
        <v>40.832535885167466</v>
      </c>
      <c r="P78" s="1"/>
      <c r="Q78" s="1">
        <v>0</v>
      </c>
      <c r="R78" s="1">
        <v>0</v>
      </c>
      <c r="S78" s="1">
        <f t="shared" si="15"/>
        <v>9.1999999999999993</v>
      </c>
      <c r="T78" s="5"/>
      <c r="U78" s="1">
        <f t="shared" si="16"/>
        <v>23.786145204909509</v>
      </c>
      <c r="V78" s="1">
        <f t="shared" si="17"/>
        <v>23.786145204909509</v>
      </c>
      <c r="W78" s="1">
        <v>2</v>
      </c>
      <c r="X78" s="1">
        <v>5.8</v>
      </c>
      <c r="Y78" s="1"/>
      <c r="Z78" s="1">
        <f t="shared" si="18"/>
        <v>0</v>
      </c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</row>
    <row r="79" spans="1:49" x14ac:dyDescent="0.25">
      <c r="A79" s="16" t="s">
        <v>111</v>
      </c>
      <c r="B79" s="1" t="s">
        <v>33</v>
      </c>
      <c r="C79" s="1"/>
      <c r="D79" s="1">
        <v>31</v>
      </c>
      <c r="E79" s="1">
        <v>1</v>
      </c>
      <c r="F79" s="1">
        <v>29</v>
      </c>
      <c r="G79" s="7">
        <v>0.37</v>
      </c>
      <c r="H79" s="1"/>
      <c r="I79" s="1" t="s">
        <v>29</v>
      </c>
      <c r="J79" s="1"/>
      <c r="K79" s="1">
        <v>13</v>
      </c>
      <c r="L79" s="1">
        <f t="shared" si="14"/>
        <v>-12</v>
      </c>
      <c r="M79" s="1"/>
      <c r="N79" s="1"/>
      <c r="O79" s="1">
        <v>0</v>
      </c>
      <c r="P79" s="1"/>
      <c r="Q79" s="1">
        <v>0</v>
      </c>
      <c r="R79" s="1">
        <v>0</v>
      </c>
      <c r="S79" s="1">
        <f t="shared" si="15"/>
        <v>0.2</v>
      </c>
      <c r="T79" s="5"/>
      <c r="U79" s="1">
        <f t="shared" si="16"/>
        <v>145</v>
      </c>
      <c r="V79" s="1">
        <f t="shared" si="17"/>
        <v>145</v>
      </c>
      <c r="W79" s="1">
        <v>0.4</v>
      </c>
      <c r="X79" s="1">
        <v>0</v>
      </c>
      <c r="Y79" s="1"/>
      <c r="Z79" s="1">
        <f t="shared" si="18"/>
        <v>0</v>
      </c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</row>
    <row r="80" spans="1:49" x14ac:dyDescent="0.25">
      <c r="A80" s="16" t="s">
        <v>112</v>
      </c>
      <c r="B80" s="1" t="s">
        <v>33</v>
      </c>
      <c r="C80" s="1">
        <v>120.2</v>
      </c>
      <c r="D80" s="1">
        <v>7</v>
      </c>
      <c r="E80" s="1">
        <v>21</v>
      </c>
      <c r="F80" s="1">
        <v>97.2</v>
      </c>
      <c r="G80" s="7">
        <v>0.6</v>
      </c>
      <c r="H80" s="1">
        <v>70</v>
      </c>
      <c r="I80" s="1" t="s">
        <v>29</v>
      </c>
      <c r="J80" s="1"/>
      <c r="K80" s="1">
        <v>69</v>
      </c>
      <c r="L80" s="1">
        <f t="shared" si="14"/>
        <v>-48</v>
      </c>
      <c r="M80" s="1"/>
      <c r="N80" s="1"/>
      <c r="O80" s="1">
        <v>151.29803921568629</v>
      </c>
      <c r="P80" s="1"/>
      <c r="Q80" s="1">
        <v>0</v>
      </c>
      <c r="R80" s="1">
        <v>0</v>
      </c>
      <c r="S80" s="1">
        <f t="shared" si="15"/>
        <v>4.2</v>
      </c>
      <c r="T80" s="5"/>
      <c r="U80" s="1">
        <f t="shared" si="16"/>
        <v>59.166199813258636</v>
      </c>
      <c r="V80" s="1">
        <f t="shared" si="17"/>
        <v>59.166199813258636</v>
      </c>
      <c r="W80" s="1">
        <v>7</v>
      </c>
      <c r="X80" s="1">
        <v>7.6</v>
      </c>
      <c r="Y80" s="17" t="s">
        <v>50</v>
      </c>
      <c r="Z80" s="1">
        <f t="shared" si="18"/>
        <v>0</v>
      </c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</row>
    <row r="81" spans="1:49" x14ac:dyDescent="0.25">
      <c r="A81" s="16" t="s">
        <v>113</v>
      </c>
      <c r="B81" s="1" t="s">
        <v>33</v>
      </c>
      <c r="C81" s="1"/>
      <c r="D81" s="1">
        <v>30</v>
      </c>
      <c r="E81" s="1">
        <v>18</v>
      </c>
      <c r="F81" s="1">
        <v>12</v>
      </c>
      <c r="G81" s="7">
        <v>0.33</v>
      </c>
      <c r="H81" s="1">
        <v>40</v>
      </c>
      <c r="I81" s="1" t="s">
        <v>29</v>
      </c>
      <c r="J81" s="1"/>
      <c r="K81" s="1">
        <v>30</v>
      </c>
      <c r="L81" s="1">
        <f t="shared" si="14"/>
        <v>-12</v>
      </c>
      <c r="M81" s="1"/>
      <c r="N81" s="1"/>
      <c r="O81" s="1">
        <v>10.21834061135371</v>
      </c>
      <c r="P81" s="1"/>
      <c r="Q81" s="1">
        <v>10</v>
      </c>
      <c r="R81" s="1">
        <v>0</v>
      </c>
      <c r="S81" s="1">
        <f t="shared" si="15"/>
        <v>3.6</v>
      </c>
      <c r="T81" s="5">
        <f t="shared" ref="T81" si="19">12*S81-R81-Q81-P81-O81-F81</f>
        <v>10.981659388646293</v>
      </c>
      <c r="U81" s="1">
        <f t="shared" si="16"/>
        <v>12</v>
      </c>
      <c r="V81" s="1">
        <f t="shared" si="17"/>
        <v>8.9495390587093642</v>
      </c>
      <c r="W81" s="1">
        <v>0</v>
      </c>
      <c r="X81" s="1">
        <v>-0.6</v>
      </c>
      <c r="Y81" s="1"/>
      <c r="Z81" s="1">
        <f t="shared" si="18"/>
        <v>4</v>
      </c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</row>
    <row r="82" spans="1:49" x14ac:dyDescent="0.25">
      <c r="A82" s="16" t="s">
        <v>114</v>
      </c>
      <c r="B82" s="1" t="s">
        <v>33</v>
      </c>
      <c r="C82" s="1">
        <v>23</v>
      </c>
      <c r="D82" s="1">
        <v>30</v>
      </c>
      <c r="E82" s="1">
        <v>10</v>
      </c>
      <c r="F82" s="1">
        <v>43</v>
      </c>
      <c r="G82" s="7">
        <v>0.4</v>
      </c>
      <c r="H82" s="1">
        <v>55</v>
      </c>
      <c r="I82" s="1" t="s">
        <v>29</v>
      </c>
      <c r="J82" s="1"/>
      <c r="K82" s="1">
        <v>13</v>
      </c>
      <c r="L82" s="1">
        <f t="shared" si="14"/>
        <v>-3</v>
      </c>
      <c r="M82" s="1"/>
      <c r="N82" s="1"/>
      <c r="O82" s="1">
        <v>0</v>
      </c>
      <c r="P82" s="1"/>
      <c r="Q82" s="1">
        <v>0</v>
      </c>
      <c r="R82" s="1">
        <v>0</v>
      </c>
      <c r="S82" s="1">
        <f t="shared" si="15"/>
        <v>2</v>
      </c>
      <c r="T82" s="5"/>
      <c r="U82" s="1">
        <f t="shared" si="16"/>
        <v>21.5</v>
      </c>
      <c r="V82" s="1">
        <f t="shared" si="17"/>
        <v>21.5</v>
      </c>
      <c r="W82" s="1">
        <v>2.2000000000000002</v>
      </c>
      <c r="X82" s="1">
        <v>0.6</v>
      </c>
      <c r="Y82" s="14" t="s">
        <v>61</v>
      </c>
      <c r="Z82" s="1">
        <f t="shared" si="18"/>
        <v>0</v>
      </c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</row>
    <row r="83" spans="1:49" x14ac:dyDescent="0.25">
      <c r="A83" s="16" t="s">
        <v>115</v>
      </c>
      <c r="B83" s="1" t="s">
        <v>33</v>
      </c>
      <c r="C83" s="1">
        <v>-2</v>
      </c>
      <c r="D83" s="1">
        <v>36</v>
      </c>
      <c r="E83" s="1">
        <v>1</v>
      </c>
      <c r="F83" s="1">
        <v>33</v>
      </c>
      <c r="G83" s="7">
        <v>0.35</v>
      </c>
      <c r="H83" s="1">
        <v>40</v>
      </c>
      <c r="I83" s="9" t="s">
        <v>39</v>
      </c>
      <c r="J83" s="1"/>
      <c r="K83" s="1">
        <v>1</v>
      </c>
      <c r="L83" s="1">
        <f t="shared" si="14"/>
        <v>0</v>
      </c>
      <c r="M83" s="1"/>
      <c r="N83" s="1"/>
      <c r="O83" s="1">
        <v>0</v>
      </c>
      <c r="P83" s="1"/>
      <c r="Q83" s="1">
        <v>0</v>
      </c>
      <c r="R83" s="1">
        <v>0</v>
      </c>
      <c r="S83" s="1">
        <f t="shared" si="15"/>
        <v>0.2</v>
      </c>
      <c r="T83" s="5"/>
      <c r="U83" s="1">
        <f t="shared" si="16"/>
        <v>165</v>
      </c>
      <c r="V83" s="1">
        <f t="shared" si="17"/>
        <v>165</v>
      </c>
      <c r="W83" s="1">
        <v>0.4</v>
      </c>
      <c r="X83" s="1">
        <v>0.4</v>
      </c>
      <c r="Y83" s="1"/>
      <c r="Z83" s="1">
        <f t="shared" si="18"/>
        <v>0</v>
      </c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</row>
    <row r="84" spans="1:49" x14ac:dyDescent="0.25">
      <c r="A84" s="16" t="s">
        <v>116</v>
      </c>
      <c r="B84" s="1" t="s">
        <v>33</v>
      </c>
      <c r="C84" s="1"/>
      <c r="D84" s="1">
        <v>18</v>
      </c>
      <c r="E84" s="1">
        <v>11</v>
      </c>
      <c r="F84" s="1">
        <v>7</v>
      </c>
      <c r="G84" s="7">
        <v>0.35</v>
      </c>
      <c r="H84" s="1">
        <v>45</v>
      </c>
      <c r="I84" s="9" t="s">
        <v>39</v>
      </c>
      <c r="J84" s="1"/>
      <c r="K84" s="1">
        <v>15</v>
      </c>
      <c r="L84" s="1">
        <f t="shared" si="14"/>
        <v>-4</v>
      </c>
      <c r="M84" s="1"/>
      <c r="N84" s="1"/>
      <c r="O84" s="1">
        <v>18.251082251082249</v>
      </c>
      <c r="P84" s="1"/>
      <c r="Q84" s="1">
        <v>12</v>
      </c>
      <c r="R84" s="1">
        <v>0</v>
      </c>
      <c r="S84" s="1">
        <f t="shared" si="15"/>
        <v>2.2000000000000002</v>
      </c>
      <c r="T84" s="5"/>
      <c r="U84" s="1">
        <f t="shared" si="16"/>
        <v>16.932310114128295</v>
      </c>
      <c r="V84" s="1">
        <f t="shared" si="17"/>
        <v>16.932310114128295</v>
      </c>
      <c r="W84" s="1">
        <v>0</v>
      </c>
      <c r="X84" s="1">
        <v>-0.4</v>
      </c>
      <c r="Y84" s="1"/>
      <c r="Z84" s="1">
        <f t="shared" si="18"/>
        <v>0</v>
      </c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</row>
    <row r="85" spans="1:49" x14ac:dyDescent="0.25">
      <c r="A85" s="10" t="s">
        <v>117</v>
      </c>
      <c r="B85" s="10" t="s">
        <v>33</v>
      </c>
      <c r="C85" s="10"/>
      <c r="D85" s="10"/>
      <c r="E85" s="10"/>
      <c r="F85" s="10"/>
      <c r="G85" s="11">
        <v>0</v>
      </c>
      <c r="H85" s="10"/>
      <c r="I85" s="10" t="s">
        <v>29</v>
      </c>
      <c r="J85" s="10"/>
      <c r="K85" s="10"/>
      <c r="L85" s="10">
        <f t="shared" si="14"/>
        <v>0</v>
      </c>
      <c r="M85" s="10"/>
      <c r="N85" s="10"/>
      <c r="O85" s="10"/>
      <c r="P85" s="10"/>
      <c r="Q85" s="10">
        <v>0</v>
      </c>
      <c r="R85" s="10">
        <v>0</v>
      </c>
      <c r="S85" s="10">
        <f t="shared" si="15"/>
        <v>0</v>
      </c>
      <c r="T85" s="12"/>
      <c r="U85" s="10" t="e">
        <f t="shared" si="16"/>
        <v>#DIV/0!</v>
      </c>
      <c r="V85" s="10" t="e">
        <f t="shared" si="17"/>
        <v>#DIV/0!</v>
      </c>
      <c r="W85" s="10">
        <v>0</v>
      </c>
      <c r="X85" s="10">
        <v>0</v>
      </c>
      <c r="Y85" s="10" t="s">
        <v>34</v>
      </c>
      <c r="Z85" s="1">
        <f t="shared" si="18"/>
        <v>0</v>
      </c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</row>
    <row r="86" spans="1:49" x14ac:dyDescent="0.25">
      <c r="A86" s="10" t="s">
        <v>118</v>
      </c>
      <c r="B86" s="10" t="s">
        <v>28</v>
      </c>
      <c r="C86" s="10"/>
      <c r="D86" s="10"/>
      <c r="E86" s="10"/>
      <c r="F86" s="10"/>
      <c r="G86" s="11">
        <v>0</v>
      </c>
      <c r="H86" s="10"/>
      <c r="I86" s="10" t="s">
        <v>29</v>
      </c>
      <c r="J86" s="10"/>
      <c r="K86" s="10"/>
      <c r="L86" s="10">
        <f t="shared" si="14"/>
        <v>0</v>
      </c>
      <c r="M86" s="10"/>
      <c r="N86" s="10"/>
      <c r="O86" s="10"/>
      <c r="P86" s="10"/>
      <c r="Q86" s="10">
        <v>0</v>
      </c>
      <c r="R86" s="10">
        <v>0</v>
      </c>
      <c r="S86" s="10">
        <f t="shared" si="15"/>
        <v>0</v>
      </c>
      <c r="T86" s="12"/>
      <c r="U86" s="10" t="e">
        <f t="shared" si="16"/>
        <v>#DIV/0!</v>
      </c>
      <c r="V86" s="10" t="e">
        <f t="shared" si="17"/>
        <v>#DIV/0!</v>
      </c>
      <c r="W86" s="10">
        <v>0</v>
      </c>
      <c r="X86" s="10">
        <v>0</v>
      </c>
      <c r="Y86" s="10" t="s">
        <v>34</v>
      </c>
      <c r="Z86" s="1">
        <f t="shared" si="18"/>
        <v>0</v>
      </c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</row>
    <row r="87" spans="1:49" x14ac:dyDescent="0.25">
      <c r="A87" s="10" t="s">
        <v>119</v>
      </c>
      <c r="B87" s="10" t="s">
        <v>28</v>
      </c>
      <c r="C87" s="10"/>
      <c r="D87" s="10"/>
      <c r="E87" s="10"/>
      <c r="F87" s="10"/>
      <c r="G87" s="11">
        <v>0</v>
      </c>
      <c r="H87" s="10"/>
      <c r="I87" s="10" t="s">
        <v>29</v>
      </c>
      <c r="J87" s="10"/>
      <c r="K87" s="10"/>
      <c r="L87" s="10">
        <f t="shared" si="14"/>
        <v>0</v>
      </c>
      <c r="M87" s="10"/>
      <c r="N87" s="10"/>
      <c r="O87" s="10"/>
      <c r="P87" s="10"/>
      <c r="Q87" s="10">
        <v>0</v>
      </c>
      <c r="R87" s="10">
        <v>0</v>
      </c>
      <c r="S87" s="10">
        <f t="shared" si="15"/>
        <v>0</v>
      </c>
      <c r="T87" s="12"/>
      <c r="U87" s="10" t="e">
        <f t="shared" si="16"/>
        <v>#DIV/0!</v>
      </c>
      <c r="V87" s="10" t="e">
        <f t="shared" si="17"/>
        <v>#DIV/0!</v>
      </c>
      <c r="W87" s="10">
        <v>0</v>
      </c>
      <c r="X87" s="10">
        <v>0</v>
      </c>
      <c r="Y87" s="10" t="s">
        <v>34</v>
      </c>
      <c r="Z87" s="1">
        <f t="shared" si="18"/>
        <v>0</v>
      </c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</row>
    <row r="88" spans="1:49" x14ac:dyDescent="0.25">
      <c r="A88" s="16" t="s">
        <v>120</v>
      </c>
      <c r="B88" s="1" t="s">
        <v>28</v>
      </c>
      <c r="C88" s="1">
        <v>1.91</v>
      </c>
      <c r="D88" s="1">
        <v>8.5020000000000007</v>
      </c>
      <c r="E88" s="1">
        <v>12.1</v>
      </c>
      <c r="F88" s="1">
        <v>-1.6830000000000001</v>
      </c>
      <c r="G88" s="7">
        <v>1</v>
      </c>
      <c r="H88" s="1">
        <v>60</v>
      </c>
      <c r="I88" s="1" t="s">
        <v>29</v>
      </c>
      <c r="J88" s="1"/>
      <c r="K88" s="1">
        <v>89.9</v>
      </c>
      <c r="L88" s="1">
        <f t="shared" si="14"/>
        <v>-77.800000000000011</v>
      </c>
      <c r="M88" s="1"/>
      <c r="N88" s="1"/>
      <c r="O88" s="1">
        <v>63.058645274866727</v>
      </c>
      <c r="P88" s="1"/>
      <c r="Q88" s="1">
        <v>209.13635472513329</v>
      </c>
      <c r="R88" s="1">
        <v>0</v>
      </c>
      <c r="S88" s="1">
        <f t="shared" si="15"/>
        <v>2.42</v>
      </c>
      <c r="T88" s="5"/>
      <c r="U88" s="1">
        <f t="shared" si="16"/>
        <v>111.78181818181818</v>
      </c>
      <c r="V88" s="1">
        <f t="shared" si="17"/>
        <v>111.78181818181818</v>
      </c>
      <c r="W88" s="1">
        <v>12.898199999999999</v>
      </c>
      <c r="X88" s="1">
        <v>19.516999999999999</v>
      </c>
      <c r="Y88" s="1"/>
      <c r="Z88" s="1">
        <f t="shared" si="18"/>
        <v>0</v>
      </c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</row>
    <row r="89" spans="1:49" x14ac:dyDescent="0.25">
      <c r="A89" s="10" t="s">
        <v>121</v>
      </c>
      <c r="B89" s="10" t="s">
        <v>33</v>
      </c>
      <c r="C89" s="10"/>
      <c r="D89" s="10"/>
      <c r="E89" s="10"/>
      <c r="F89" s="10"/>
      <c r="G89" s="11">
        <v>0</v>
      </c>
      <c r="H89" s="10"/>
      <c r="I89" s="10" t="s">
        <v>29</v>
      </c>
      <c r="J89" s="10"/>
      <c r="K89" s="10"/>
      <c r="L89" s="10">
        <f t="shared" si="14"/>
        <v>0</v>
      </c>
      <c r="M89" s="10"/>
      <c r="N89" s="10"/>
      <c r="O89" s="10"/>
      <c r="P89" s="10"/>
      <c r="Q89" s="10">
        <v>0</v>
      </c>
      <c r="R89" s="10">
        <v>0</v>
      </c>
      <c r="S89" s="10">
        <f t="shared" si="15"/>
        <v>0</v>
      </c>
      <c r="T89" s="12"/>
      <c r="U89" s="10" t="e">
        <f t="shared" si="16"/>
        <v>#DIV/0!</v>
      </c>
      <c r="V89" s="10" t="e">
        <f t="shared" si="17"/>
        <v>#DIV/0!</v>
      </c>
      <c r="W89" s="10">
        <v>0</v>
      </c>
      <c r="X89" s="10">
        <v>0</v>
      </c>
      <c r="Y89" s="10" t="s">
        <v>34</v>
      </c>
      <c r="Z89" s="1">
        <f t="shared" si="18"/>
        <v>0</v>
      </c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</row>
    <row r="90" spans="1:49" x14ac:dyDescent="0.25">
      <c r="A90" s="16" t="s">
        <v>122</v>
      </c>
      <c r="B90" s="1" t="s">
        <v>28</v>
      </c>
      <c r="C90" s="1">
        <v>722.94200000000001</v>
      </c>
      <c r="D90" s="1">
        <v>1036.18</v>
      </c>
      <c r="E90" s="1">
        <v>557.81899999999996</v>
      </c>
      <c r="F90" s="1">
        <v>1138.3620000000001</v>
      </c>
      <c r="G90" s="7">
        <v>1</v>
      </c>
      <c r="H90" s="1">
        <v>60</v>
      </c>
      <c r="I90" s="1" t="s">
        <v>29</v>
      </c>
      <c r="J90" s="1"/>
      <c r="K90" s="1">
        <v>567.5</v>
      </c>
      <c r="L90" s="1">
        <f t="shared" si="14"/>
        <v>-9.68100000000004</v>
      </c>
      <c r="M90" s="1"/>
      <c r="N90" s="1"/>
      <c r="O90" s="1">
        <v>173.17776939927509</v>
      </c>
      <c r="P90" s="1"/>
      <c r="Q90" s="1">
        <v>0</v>
      </c>
      <c r="R90" s="1">
        <v>0</v>
      </c>
      <c r="S90" s="1">
        <f t="shared" si="15"/>
        <v>111.56379999999999</v>
      </c>
      <c r="T90" s="5">
        <f t="shared" ref="T90:T92" si="20">12*S90-R90-Q90-P90-O90-F90</f>
        <v>27.225830600724521</v>
      </c>
      <c r="U90" s="1">
        <f t="shared" si="16"/>
        <v>11.999999999999998</v>
      </c>
      <c r="V90" s="1">
        <f t="shared" si="17"/>
        <v>11.755961785088671</v>
      </c>
      <c r="W90" s="1">
        <v>119.0112</v>
      </c>
      <c r="X90" s="1">
        <v>67.967799999999997</v>
      </c>
      <c r="Y90" s="1"/>
      <c r="Z90" s="1">
        <f t="shared" si="18"/>
        <v>27</v>
      </c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</row>
    <row r="91" spans="1:49" x14ac:dyDescent="0.25">
      <c r="A91" s="16" t="s">
        <v>123</v>
      </c>
      <c r="B91" s="1" t="s">
        <v>28</v>
      </c>
      <c r="C91" s="1">
        <v>75.394000000000005</v>
      </c>
      <c r="D91" s="1">
        <v>818.47199999999998</v>
      </c>
      <c r="E91" s="1">
        <v>494.66199999999998</v>
      </c>
      <c r="F91" s="1">
        <v>382.255</v>
      </c>
      <c r="G91" s="7">
        <v>1</v>
      </c>
      <c r="H91" s="1">
        <v>60</v>
      </c>
      <c r="I91" s="1" t="s">
        <v>29</v>
      </c>
      <c r="J91" s="1"/>
      <c r="K91" s="1">
        <v>598.5</v>
      </c>
      <c r="L91" s="1">
        <f t="shared" si="14"/>
        <v>-103.83800000000002</v>
      </c>
      <c r="M91" s="1"/>
      <c r="N91" s="1"/>
      <c r="O91" s="1">
        <v>325.01202334177719</v>
      </c>
      <c r="P91" s="1"/>
      <c r="Q91" s="1">
        <v>0</v>
      </c>
      <c r="R91" s="1">
        <v>0</v>
      </c>
      <c r="S91" s="1">
        <f t="shared" si="15"/>
        <v>98.932400000000001</v>
      </c>
      <c r="T91" s="5">
        <f t="shared" si="20"/>
        <v>479.92177665822271</v>
      </c>
      <c r="U91" s="1">
        <f t="shared" si="16"/>
        <v>11.999999999999998</v>
      </c>
      <c r="V91" s="1">
        <f t="shared" si="17"/>
        <v>7.1489928814198098</v>
      </c>
      <c r="W91" s="1">
        <v>67.966399999999993</v>
      </c>
      <c r="X91" s="1">
        <v>26.086600000000001</v>
      </c>
      <c r="Y91" s="1"/>
      <c r="Z91" s="1">
        <f t="shared" si="18"/>
        <v>480</v>
      </c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</row>
    <row r="92" spans="1:49" x14ac:dyDescent="0.25">
      <c r="A92" s="16" t="s">
        <v>53</v>
      </c>
      <c r="B92" s="1" t="s">
        <v>28</v>
      </c>
      <c r="C92" s="1">
        <v>27.984999999999999</v>
      </c>
      <c r="D92" s="1">
        <v>1355.64</v>
      </c>
      <c r="E92" s="13">
        <f>658.466+E23</f>
        <v>680.81700000000001</v>
      </c>
      <c r="F92" s="13">
        <f>705.158+F23</f>
        <v>680.32500000000005</v>
      </c>
      <c r="G92" s="7">
        <v>1</v>
      </c>
      <c r="H92" s="1">
        <v>60</v>
      </c>
      <c r="I92" s="1" t="s">
        <v>29</v>
      </c>
      <c r="J92" s="1"/>
      <c r="K92" s="1">
        <v>759</v>
      </c>
      <c r="L92" s="1">
        <f t="shared" si="14"/>
        <v>-78.182999999999993</v>
      </c>
      <c r="M92" s="1"/>
      <c r="N92" s="1"/>
      <c r="O92" s="1">
        <v>67.546547689190845</v>
      </c>
      <c r="P92" s="1"/>
      <c r="Q92" s="1">
        <v>400</v>
      </c>
      <c r="R92" s="1">
        <v>251.10125231080929</v>
      </c>
      <c r="S92" s="1">
        <f t="shared" si="15"/>
        <v>136.1634</v>
      </c>
      <c r="T92" s="5">
        <f t="shared" si="20"/>
        <v>234.9879999999996</v>
      </c>
      <c r="U92" s="1">
        <f t="shared" si="16"/>
        <v>12</v>
      </c>
      <c r="V92" s="1">
        <f t="shared" si="17"/>
        <v>10.274220532095999</v>
      </c>
      <c r="W92" s="1">
        <v>154.62280000000001</v>
      </c>
      <c r="X92" s="1">
        <v>109.41240000000001</v>
      </c>
      <c r="Y92" s="1"/>
      <c r="Z92" s="1">
        <f t="shared" si="18"/>
        <v>235</v>
      </c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</row>
    <row r="93" spans="1:49" x14ac:dyDescent="0.25">
      <c r="A93" s="10" t="s">
        <v>124</v>
      </c>
      <c r="B93" s="10" t="s">
        <v>28</v>
      </c>
      <c r="C93" s="10"/>
      <c r="D93" s="10"/>
      <c r="E93" s="10"/>
      <c r="F93" s="10"/>
      <c r="G93" s="11">
        <v>0</v>
      </c>
      <c r="H93" s="10"/>
      <c r="I93" s="10" t="s">
        <v>29</v>
      </c>
      <c r="J93" s="10"/>
      <c r="K93" s="10"/>
      <c r="L93" s="10">
        <f t="shared" si="14"/>
        <v>0</v>
      </c>
      <c r="M93" s="10"/>
      <c r="N93" s="10"/>
      <c r="O93" s="10"/>
      <c r="P93" s="10"/>
      <c r="Q93" s="10">
        <v>0</v>
      </c>
      <c r="R93" s="10">
        <v>0</v>
      </c>
      <c r="S93" s="10">
        <f t="shared" si="15"/>
        <v>0</v>
      </c>
      <c r="T93" s="12"/>
      <c r="U93" s="10" t="e">
        <f t="shared" si="16"/>
        <v>#DIV/0!</v>
      </c>
      <c r="V93" s="10" t="e">
        <f t="shared" si="17"/>
        <v>#DIV/0!</v>
      </c>
      <c r="W93" s="10">
        <v>0</v>
      </c>
      <c r="X93" s="10">
        <v>0</v>
      </c>
      <c r="Y93" s="10" t="s">
        <v>34</v>
      </c>
      <c r="Z93" s="1">
        <f t="shared" si="18"/>
        <v>0</v>
      </c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</row>
    <row r="94" spans="1:49" x14ac:dyDescent="0.25">
      <c r="A94" s="16" t="s">
        <v>125</v>
      </c>
      <c r="B94" s="1" t="s">
        <v>33</v>
      </c>
      <c r="C94" s="1"/>
      <c r="D94" s="1"/>
      <c r="E94" s="1"/>
      <c r="F94" s="1"/>
      <c r="G94" s="7">
        <v>0.3</v>
      </c>
      <c r="H94" s="1">
        <v>40</v>
      </c>
      <c r="I94" s="9" t="s">
        <v>39</v>
      </c>
      <c r="J94" s="1"/>
      <c r="K94" s="1">
        <v>6</v>
      </c>
      <c r="L94" s="1">
        <f t="shared" si="14"/>
        <v>-6</v>
      </c>
      <c r="M94" s="1"/>
      <c r="N94" s="1"/>
      <c r="O94" s="1">
        <v>0</v>
      </c>
      <c r="P94" s="1"/>
      <c r="Q94" s="1">
        <v>0</v>
      </c>
      <c r="R94" s="1">
        <v>100</v>
      </c>
      <c r="S94" s="1">
        <f t="shared" si="15"/>
        <v>0</v>
      </c>
      <c r="T94" s="5"/>
      <c r="U94" s="1" t="e">
        <f t="shared" si="16"/>
        <v>#DIV/0!</v>
      </c>
      <c r="V94" s="1" t="e">
        <f t="shared" si="17"/>
        <v>#DIV/0!</v>
      </c>
      <c r="W94" s="1">
        <v>0</v>
      </c>
      <c r="X94" s="1">
        <v>0</v>
      </c>
      <c r="Y94" s="1"/>
      <c r="Z94" s="1">
        <f t="shared" si="18"/>
        <v>0</v>
      </c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</row>
    <row r="95" spans="1:49" x14ac:dyDescent="0.25">
      <c r="A95" s="10" t="s">
        <v>126</v>
      </c>
      <c r="B95" s="10" t="s">
        <v>33</v>
      </c>
      <c r="C95" s="10"/>
      <c r="D95" s="10"/>
      <c r="E95" s="10"/>
      <c r="F95" s="10"/>
      <c r="G95" s="11">
        <v>0</v>
      </c>
      <c r="H95" s="10"/>
      <c r="I95" s="10" t="s">
        <v>29</v>
      </c>
      <c r="J95" s="10"/>
      <c r="K95" s="10"/>
      <c r="L95" s="10">
        <f t="shared" si="14"/>
        <v>0</v>
      </c>
      <c r="M95" s="10"/>
      <c r="N95" s="10"/>
      <c r="O95" s="10"/>
      <c r="P95" s="10"/>
      <c r="Q95" s="10">
        <v>0</v>
      </c>
      <c r="R95" s="10">
        <v>0</v>
      </c>
      <c r="S95" s="10">
        <f t="shared" si="15"/>
        <v>0</v>
      </c>
      <c r="T95" s="12"/>
      <c r="U95" s="10" t="e">
        <f t="shared" si="16"/>
        <v>#DIV/0!</v>
      </c>
      <c r="V95" s="10" t="e">
        <f t="shared" si="17"/>
        <v>#DIV/0!</v>
      </c>
      <c r="W95" s="10">
        <v>0</v>
      </c>
      <c r="X95" s="10">
        <v>0</v>
      </c>
      <c r="Y95" s="10" t="s">
        <v>34</v>
      </c>
      <c r="Z95" s="1">
        <f t="shared" si="18"/>
        <v>0</v>
      </c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</row>
    <row r="96" spans="1:49" x14ac:dyDescent="0.25">
      <c r="A96" s="16" t="s">
        <v>127</v>
      </c>
      <c r="B96" s="1" t="s">
        <v>33</v>
      </c>
      <c r="C96" s="1"/>
      <c r="D96" s="1">
        <v>18</v>
      </c>
      <c r="E96" s="1">
        <v>10</v>
      </c>
      <c r="F96" s="1">
        <v>7</v>
      </c>
      <c r="G96" s="7">
        <v>7.0000000000000007E-2</v>
      </c>
      <c r="H96" s="1">
        <v>90</v>
      </c>
      <c r="I96" s="9" t="s">
        <v>39</v>
      </c>
      <c r="J96" s="1"/>
      <c r="K96" s="1">
        <v>11</v>
      </c>
      <c r="L96" s="1">
        <f t="shared" si="14"/>
        <v>-1</v>
      </c>
      <c r="M96" s="1"/>
      <c r="N96" s="1"/>
      <c r="O96" s="1">
        <v>14.34375</v>
      </c>
      <c r="P96" s="1"/>
      <c r="Q96" s="1">
        <v>0</v>
      </c>
      <c r="R96" s="1">
        <v>50</v>
      </c>
      <c r="S96" s="1">
        <f t="shared" si="15"/>
        <v>2</v>
      </c>
      <c r="T96" s="5"/>
      <c r="U96" s="1">
        <f t="shared" si="16"/>
        <v>35.671875</v>
      </c>
      <c r="V96" s="1">
        <f t="shared" si="17"/>
        <v>35.671875</v>
      </c>
      <c r="W96" s="1">
        <v>0.6</v>
      </c>
      <c r="X96" s="1">
        <v>0</v>
      </c>
      <c r="Y96" s="1"/>
      <c r="Z96" s="1">
        <f t="shared" si="18"/>
        <v>0</v>
      </c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</row>
    <row r="97" spans="1:49" x14ac:dyDescent="0.25">
      <c r="A97" s="16" t="s">
        <v>128</v>
      </c>
      <c r="B97" s="1" t="s">
        <v>33</v>
      </c>
      <c r="C97" s="1"/>
      <c r="D97" s="1"/>
      <c r="E97" s="1">
        <v>3</v>
      </c>
      <c r="F97" s="1">
        <v>-3</v>
      </c>
      <c r="G97" s="7">
        <v>7.0000000000000007E-2</v>
      </c>
      <c r="H97" s="1">
        <v>90</v>
      </c>
      <c r="I97" s="9" t="s">
        <v>39</v>
      </c>
      <c r="J97" s="1"/>
      <c r="K97" s="1">
        <v>9</v>
      </c>
      <c r="L97" s="1">
        <f t="shared" si="14"/>
        <v>-6</v>
      </c>
      <c r="M97" s="1"/>
      <c r="N97" s="1"/>
      <c r="O97" s="1">
        <v>10.279069767441859</v>
      </c>
      <c r="P97" s="1">
        <v>-14.285714285714279</v>
      </c>
      <c r="Q97" s="1">
        <v>24</v>
      </c>
      <c r="R97" s="1">
        <v>40</v>
      </c>
      <c r="S97" s="1">
        <f t="shared" si="15"/>
        <v>0.6</v>
      </c>
      <c r="T97" s="5">
        <v>10</v>
      </c>
      <c r="U97" s="1">
        <f t="shared" si="16"/>
        <v>111.65559246954597</v>
      </c>
      <c r="V97" s="1">
        <f t="shared" si="17"/>
        <v>94.988925802879294</v>
      </c>
      <c r="W97" s="1">
        <v>0.6</v>
      </c>
      <c r="X97" s="1">
        <v>0</v>
      </c>
      <c r="Y97" s="1"/>
      <c r="Z97" s="1">
        <f t="shared" si="18"/>
        <v>1</v>
      </c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</row>
    <row r="98" spans="1:49" x14ac:dyDescent="0.25">
      <c r="A98" s="16" t="s">
        <v>129</v>
      </c>
      <c r="B98" s="1" t="s">
        <v>33</v>
      </c>
      <c r="C98" s="1"/>
      <c r="D98" s="1">
        <v>72</v>
      </c>
      <c r="E98" s="1">
        <v>19</v>
      </c>
      <c r="F98" s="1">
        <v>53</v>
      </c>
      <c r="G98" s="7">
        <v>7.0000000000000007E-2</v>
      </c>
      <c r="H98" s="1">
        <v>90</v>
      </c>
      <c r="I98" s="9" t="s">
        <v>39</v>
      </c>
      <c r="J98" s="1"/>
      <c r="K98" s="1">
        <v>31</v>
      </c>
      <c r="L98" s="1">
        <f t="shared" si="14"/>
        <v>-12</v>
      </c>
      <c r="M98" s="1"/>
      <c r="N98" s="1"/>
      <c r="O98" s="1">
        <v>11.281105990783409</v>
      </c>
      <c r="P98" s="1"/>
      <c r="Q98" s="1">
        <v>0</v>
      </c>
      <c r="R98" s="1">
        <v>0</v>
      </c>
      <c r="S98" s="1">
        <f t="shared" si="15"/>
        <v>3.8</v>
      </c>
      <c r="T98" s="5">
        <v>10</v>
      </c>
      <c r="U98" s="1">
        <f t="shared" si="16"/>
        <v>19.54765947125879</v>
      </c>
      <c r="V98" s="1">
        <f t="shared" si="17"/>
        <v>16.916080523890368</v>
      </c>
      <c r="W98" s="1">
        <v>2.6</v>
      </c>
      <c r="X98" s="1">
        <v>0.8</v>
      </c>
      <c r="Y98" s="1"/>
      <c r="Z98" s="1">
        <f t="shared" si="18"/>
        <v>1</v>
      </c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</row>
    <row r="99" spans="1:49" x14ac:dyDescent="0.25">
      <c r="A99" s="16" t="s">
        <v>130</v>
      </c>
      <c r="B99" s="1" t="s">
        <v>33</v>
      </c>
      <c r="C99" s="1">
        <v>60</v>
      </c>
      <c r="D99" s="1">
        <v>4</v>
      </c>
      <c r="E99" s="1">
        <v>30</v>
      </c>
      <c r="F99" s="1">
        <v>22</v>
      </c>
      <c r="G99" s="7">
        <v>0.3</v>
      </c>
      <c r="H99" s="1"/>
      <c r="I99" s="1" t="s">
        <v>29</v>
      </c>
      <c r="J99" s="1"/>
      <c r="K99" s="1">
        <v>35</v>
      </c>
      <c r="L99" s="1">
        <f t="shared" si="14"/>
        <v>-5</v>
      </c>
      <c r="M99" s="1"/>
      <c r="N99" s="1"/>
      <c r="O99" s="1">
        <v>10</v>
      </c>
      <c r="P99" s="1"/>
      <c r="Q99" s="1">
        <v>0</v>
      </c>
      <c r="R99" s="1">
        <v>20</v>
      </c>
      <c r="S99" s="1">
        <f t="shared" si="15"/>
        <v>6</v>
      </c>
      <c r="T99" s="5">
        <f t="shared" ref="T99:T100" si="21">12*S99-R99-Q99-P99-O99-F99</f>
        <v>20</v>
      </c>
      <c r="U99" s="1">
        <f t="shared" si="16"/>
        <v>12</v>
      </c>
      <c r="V99" s="1">
        <f t="shared" si="17"/>
        <v>8.6666666666666661</v>
      </c>
      <c r="W99" s="1">
        <v>4</v>
      </c>
      <c r="X99" s="1">
        <v>0</v>
      </c>
      <c r="Y99" s="1"/>
      <c r="Z99" s="1">
        <f t="shared" si="18"/>
        <v>6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</row>
    <row r="100" spans="1:49" x14ac:dyDescent="0.25">
      <c r="A100" s="16" t="s">
        <v>131</v>
      </c>
      <c r="B100" s="1" t="s">
        <v>28</v>
      </c>
      <c r="C100" s="1">
        <v>22.241</v>
      </c>
      <c r="D100" s="1">
        <v>3.0270000000000001</v>
      </c>
      <c r="E100" s="1">
        <v>16.527999999999999</v>
      </c>
      <c r="F100" s="1">
        <v>5.7130000000000001</v>
      </c>
      <c r="G100" s="7">
        <v>1</v>
      </c>
      <c r="H100" s="1">
        <v>55</v>
      </c>
      <c r="I100" s="9" t="s">
        <v>39</v>
      </c>
      <c r="J100" s="1"/>
      <c r="K100" s="1">
        <v>21.9</v>
      </c>
      <c r="L100" s="1">
        <f t="shared" si="14"/>
        <v>-5.3719999999999999</v>
      </c>
      <c r="M100" s="1"/>
      <c r="N100" s="1"/>
      <c r="O100" s="1">
        <v>13</v>
      </c>
      <c r="P100" s="1"/>
      <c r="Q100" s="1">
        <v>0</v>
      </c>
      <c r="R100" s="1">
        <v>0</v>
      </c>
      <c r="S100" s="1">
        <f t="shared" si="15"/>
        <v>3.3055999999999996</v>
      </c>
      <c r="T100" s="5">
        <f t="shared" si="21"/>
        <v>20.954199999999993</v>
      </c>
      <c r="U100" s="1">
        <f t="shared" si="16"/>
        <v>12</v>
      </c>
      <c r="V100" s="1">
        <f t="shared" si="17"/>
        <v>5.660999515972895</v>
      </c>
      <c r="W100" s="1">
        <v>1.2108000000000001</v>
      </c>
      <c r="X100" s="1">
        <v>0.40079999999999999</v>
      </c>
      <c r="Y100" s="1"/>
      <c r="Z100" s="1">
        <f t="shared" si="18"/>
        <v>21</v>
      </c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</row>
    <row r="101" spans="1:49" x14ac:dyDescent="0.25">
      <c r="A101" s="16" t="s">
        <v>132</v>
      </c>
      <c r="B101" s="1" t="s">
        <v>33</v>
      </c>
      <c r="C101" s="1">
        <v>106</v>
      </c>
      <c r="D101" s="1"/>
      <c r="E101" s="1">
        <v>20</v>
      </c>
      <c r="F101" s="1">
        <v>75</v>
      </c>
      <c r="G101" s="7">
        <v>0.11</v>
      </c>
      <c r="H101" s="1">
        <v>30</v>
      </c>
      <c r="I101" s="1" t="s">
        <v>29</v>
      </c>
      <c r="J101" s="1"/>
      <c r="K101" s="1">
        <v>42</v>
      </c>
      <c r="L101" s="1">
        <f t="shared" si="14"/>
        <v>-22</v>
      </c>
      <c r="M101" s="1"/>
      <c r="N101" s="1"/>
      <c r="O101" s="1">
        <v>0</v>
      </c>
      <c r="P101" s="1"/>
      <c r="Q101" s="1">
        <v>0</v>
      </c>
      <c r="R101" s="1">
        <v>0</v>
      </c>
      <c r="S101" s="1">
        <f t="shared" si="15"/>
        <v>4</v>
      </c>
      <c r="T101" s="5"/>
      <c r="U101" s="1">
        <f t="shared" si="16"/>
        <v>18.75</v>
      </c>
      <c r="V101" s="1">
        <f t="shared" si="17"/>
        <v>18.75</v>
      </c>
      <c r="W101" s="1">
        <v>2</v>
      </c>
      <c r="X101" s="1">
        <v>2</v>
      </c>
      <c r="Y101" s="14" t="s">
        <v>61</v>
      </c>
      <c r="Z101" s="1">
        <f t="shared" si="18"/>
        <v>0</v>
      </c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</row>
    <row r="102" spans="1:49" x14ac:dyDescent="0.25">
      <c r="A102" s="10" t="s">
        <v>133</v>
      </c>
      <c r="B102" s="10" t="s">
        <v>33</v>
      </c>
      <c r="C102" s="10"/>
      <c r="D102" s="10"/>
      <c r="E102" s="10"/>
      <c r="F102" s="10"/>
      <c r="G102" s="11">
        <v>0</v>
      </c>
      <c r="H102" s="10"/>
      <c r="I102" s="10" t="s">
        <v>29</v>
      </c>
      <c r="J102" s="10"/>
      <c r="K102" s="10"/>
      <c r="L102" s="10">
        <f t="shared" ref="L102:L131" si="22">E102-K102</f>
        <v>0</v>
      </c>
      <c r="M102" s="10"/>
      <c r="N102" s="10"/>
      <c r="O102" s="10"/>
      <c r="P102" s="10"/>
      <c r="Q102" s="10">
        <v>0</v>
      </c>
      <c r="R102" s="10">
        <v>0</v>
      </c>
      <c r="S102" s="10">
        <f t="shared" ref="S102:S131" si="23">E102/5</f>
        <v>0</v>
      </c>
      <c r="T102" s="12"/>
      <c r="U102" s="10" t="e">
        <f t="shared" ref="U102:U131" si="24">(F102+O102+P102+Q102+R102+T102)/S102</f>
        <v>#DIV/0!</v>
      </c>
      <c r="V102" s="10" t="e">
        <f t="shared" ref="V102:V131" si="25">(F102+O102+P102+Q102+R102)/S102</f>
        <v>#DIV/0!</v>
      </c>
      <c r="W102" s="10">
        <v>0</v>
      </c>
      <c r="X102" s="10">
        <v>0</v>
      </c>
      <c r="Y102" s="10" t="s">
        <v>166</v>
      </c>
      <c r="Z102" s="1">
        <f t="shared" si="18"/>
        <v>0</v>
      </c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</row>
    <row r="103" spans="1:49" x14ac:dyDescent="0.25">
      <c r="A103" s="16" t="s">
        <v>134</v>
      </c>
      <c r="B103" s="1" t="s">
        <v>33</v>
      </c>
      <c r="C103" s="1"/>
      <c r="D103" s="1"/>
      <c r="E103" s="1"/>
      <c r="F103" s="1"/>
      <c r="G103" s="7">
        <v>0.08</v>
      </c>
      <c r="H103" s="1">
        <v>45</v>
      </c>
      <c r="I103" s="1" t="s">
        <v>29</v>
      </c>
      <c r="J103" s="1"/>
      <c r="K103" s="1">
        <v>9</v>
      </c>
      <c r="L103" s="1">
        <f t="shared" si="22"/>
        <v>-9</v>
      </c>
      <c r="M103" s="1"/>
      <c r="N103" s="1"/>
      <c r="O103" s="1">
        <v>33.014051522248259</v>
      </c>
      <c r="P103" s="1"/>
      <c r="Q103" s="1">
        <v>40</v>
      </c>
      <c r="R103" s="1">
        <v>30</v>
      </c>
      <c r="S103" s="1">
        <f t="shared" si="23"/>
        <v>0</v>
      </c>
      <c r="T103" s="5"/>
      <c r="U103" s="1" t="e">
        <f t="shared" si="24"/>
        <v>#DIV/0!</v>
      </c>
      <c r="V103" s="1" t="e">
        <f t="shared" si="25"/>
        <v>#DIV/0!</v>
      </c>
      <c r="W103" s="1">
        <v>0</v>
      </c>
      <c r="X103" s="1">
        <v>-0.2</v>
      </c>
      <c r="Y103" s="1"/>
      <c r="Z103" s="1">
        <f t="shared" si="18"/>
        <v>0</v>
      </c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</row>
    <row r="104" spans="1:49" x14ac:dyDescent="0.25">
      <c r="A104" s="16" t="s">
        <v>135</v>
      </c>
      <c r="B104" s="1" t="s">
        <v>33</v>
      </c>
      <c r="C104" s="1">
        <v>31</v>
      </c>
      <c r="D104" s="1">
        <v>58</v>
      </c>
      <c r="E104" s="1">
        <v>34</v>
      </c>
      <c r="F104" s="1">
        <v>51</v>
      </c>
      <c r="G104" s="7">
        <v>0.08</v>
      </c>
      <c r="H104" s="1">
        <v>45</v>
      </c>
      <c r="I104" s="1" t="s">
        <v>29</v>
      </c>
      <c r="J104" s="1"/>
      <c r="K104" s="1">
        <v>34</v>
      </c>
      <c r="L104" s="1">
        <f t="shared" si="22"/>
        <v>0</v>
      </c>
      <c r="M104" s="1"/>
      <c r="N104" s="1"/>
      <c r="O104" s="1">
        <v>24.82431610942249</v>
      </c>
      <c r="P104" s="1"/>
      <c r="Q104" s="1">
        <v>0</v>
      </c>
      <c r="R104" s="1">
        <v>0</v>
      </c>
      <c r="S104" s="1">
        <f t="shared" si="23"/>
        <v>6.8</v>
      </c>
      <c r="T104" s="5">
        <f t="shared" ref="T104" si="26">12*S104-R104-Q104-P104-O104-F104</f>
        <v>5.7756838905775041</v>
      </c>
      <c r="U104" s="1">
        <f t="shared" si="24"/>
        <v>12</v>
      </c>
      <c r="V104" s="1">
        <f t="shared" si="25"/>
        <v>11.150634721973894</v>
      </c>
      <c r="W104" s="1">
        <v>4</v>
      </c>
      <c r="X104" s="1">
        <v>1</v>
      </c>
      <c r="Y104" s="1"/>
      <c r="Z104" s="1">
        <f t="shared" si="18"/>
        <v>0</v>
      </c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</row>
    <row r="105" spans="1:49" x14ac:dyDescent="0.25">
      <c r="A105" s="16" t="s">
        <v>136</v>
      </c>
      <c r="B105" s="1" t="s">
        <v>33</v>
      </c>
      <c r="C105" s="1"/>
      <c r="D105" s="1"/>
      <c r="E105" s="1"/>
      <c r="F105" s="1"/>
      <c r="G105" s="7">
        <v>0.17</v>
      </c>
      <c r="H105" s="1">
        <v>30</v>
      </c>
      <c r="I105" s="1" t="s">
        <v>29</v>
      </c>
      <c r="J105" s="1"/>
      <c r="K105" s="1"/>
      <c r="L105" s="1">
        <f t="shared" si="22"/>
        <v>0</v>
      </c>
      <c r="M105" s="1"/>
      <c r="N105" s="1"/>
      <c r="O105" s="1">
        <v>20</v>
      </c>
      <c r="P105" s="1"/>
      <c r="Q105" s="1">
        <v>10</v>
      </c>
      <c r="R105" s="1">
        <v>0</v>
      </c>
      <c r="S105" s="1">
        <f t="shared" si="23"/>
        <v>0</v>
      </c>
      <c r="T105" s="5"/>
      <c r="U105" s="1" t="e">
        <f t="shared" si="24"/>
        <v>#DIV/0!</v>
      </c>
      <c r="V105" s="1" t="e">
        <f t="shared" si="25"/>
        <v>#DIV/0!</v>
      </c>
      <c r="W105" s="1">
        <v>0</v>
      </c>
      <c r="X105" s="1">
        <v>0</v>
      </c>
      <c r="Y105" s="1"/>
      <c r="Z105" s="1">
        <f t="shared" si="18"/>
        <v>0</v>
      </c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</row>
    <row r="106" spans="1:49" x14ac:dyDescent="0.25">
      <c r="A106" s="16" t="s">
        <v>137</v>
      </c>
      <c r="B106" s="1" t="s">
        <v>28</v>
      </c>
      <c r="C106" s="1"/>
      <c r="D106" s="1"/>
      <c r="E106" s="1"/>
      <c r="F106" s="1"/>
      <c r="G106" s="7">
        <v>1</v>
      </c>
      <c r="H106" s="1">
        <v>40</v>
      </c>
      <c r="I106" s="9" t="s">
        <v>39</v>
      </c>
      <c r="J106" s="1"/>
      <c r="K106" s="1">
        <v>17.899999999999999</v>
      </c>
      <c r="L106" s="1">
        <f t="shared" si="22"/>
        <v>-17.899999999999999</v>
      </c>
      <c r="M106" s="1"/>
      <c r="N106" s="1"/>
      <c r="O106" s="1">
        <v>23.76225260242148</v>
      </c>
      <c r="P106" s="1"/>
      <c r="Q106" s="1">
        <v>18</v>
      </c>
      <c r="R106" s="1">
        <v>200</v>
      </c>
      <c r="S106" s="1">
        <f t="shared" si="23"/>
        <v>0</v>
      </c>
      <c r="T106" s="5"/>
      <c r="U106" s="1" t="e">
        <f t="shared" si="24"/>
        <v>#DIV/0!</v>
      </c>
      <c r="V106" s="1" t="e">
        <f t="shared" si="25"/>
        <v>#DIV/0!</v>
      </c>
      <c r="W106" s="1">
        <v>0</v>
      </c>
      <c r="X106" s="1">
        <v>0</v>
      </c>
      <c r="Y106" s="1"/>
      <c r="Z106" s="1">
        <f t="shared" si="18"/>
        <v>0</v>
      </c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</row>
    <row r="107" spans="1:49" x14ac:dyDescent="0.25">
      <c r="A107" s="16" t="s">
        <v>138</v>
      </c>
      <c r="B107" s="1" t="s">
        <v>28</v>
      </c>
      <c r="C107" s="1"/>
      <c r="D107" s="1">
        <v>256.572</v>
      </c>
      <c r="E107" s="1">
        <v>39.603999999999999</v>
      </c>
      <c r="F107" s="1">
        <v>202.625</v>
      </c>
      <c r="G107" s="7">
        <v>1</v>
      </c>
      <c r="H107" s="1">
        <v>40</v>
      </c>
      <c r="I107" s="9" t="s">
        <v>39</v>
      </c>
      <c r="J107" s="1"/>
      <c r="K107" s="1">
        <v>44.4</v>
      </c>
      <c r="L107" s="1">
        <f t="shared" si="22"/>
        <v>-4.7959999999999994</v>
      </c>
      <c r="M107" s="1"/>
      <c r="N107" s="1"/>
      <c r="O107" s="1">
        <v>10.95701306120533</v>
      </c>
      <c r="P107" s="1">
        <v>-14</v>
      </c>
      <c r="Q107" s="1">
        <v>0</v>
      </c>
      <c r="R107" s="1">
        <v>0</v>
      </c>
      <c r="S107" s="1">
        <f t="shared" si="23"/>
        <v>7.9207999999999998</v>
      </c>
      <c r="T107" s="5"/>
      <c r="U107" s="1">
        <f t="shared" si="24"/>
        <v>25.197203951773218</v>
      </c>
      <c r="V107" s="1">
        <f t="shared" si="25"/>
        <v>25.197203951773218</v>
      </c>
      <c r="W107" s="1">
        <v>2.3073999999999999</v>
      </c>
      <c r="X107" s="1">
        <v>0</v>
      </c>
      <c r="Y107" s="1"/>
      <c r="Z107" s="1">
        <f t="shared" si="18"/>
        <v>0</v>
      </c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</row>
    <row r="108" spans="1:49" x14ac:dyDescent="0.25">
      <c r="A108" s="16" t="s">
        <v>139</v>
      </c>
      <c r="B108" s="1" t="s">
        <v>28</v>
      </c>
      <c r="C108" s="1"/>
      <c r="D108" s="1"/>
      <c r="E108" s="1"/>
      <c r="F108" s="1"/>
      <c r="G108" s="7">
        <v>1</v>
      </c>
      <c r="H108" s="1">
        <v>40</v>
      </c>
      <c r="I108" s="9" t="s">
        <v>39</v>
      </c>
      <c r="J108" s="1"/>
      <c r="K108" s="1">
        <v>1.5</v>
      </c>
      <c r="L108" s="1">
        <f t="shared" si="22"/>
        <v>-1.5</v>
      </c>
      <c r="M108" s="1"/>
      <c r="N108" s="1"/>
      <c r="O108" s="1">
        <v>11.824383352850431</v>
      </c>
      <c r="P108" s="1">
        <v>-14</v>
      </c>
      <c r="Q108" s="1">
        <v>4.8</v>
      </c>
      <c r="R108" s="1">
        <v>200</v>
      </c>
      <c r="S108" s="1">
        <f t="shared" si="23"/>
        <v>0</v>
      </c>
      <c r="T108" s="5"/>
      <c r="U108" s="1" t="e">
        <f t="shared" si="24"/>
        <v>#DIV/0!</v>
      </c>
      <c r="V108" s="1" t="e">
        <f t="shared" si="25"/>
        <v>#DIV/0!</v>
      </c>
      <c r="W108" s="1">
        <v>0</v>
      </c>
      <c r="X108" s="1">
        <v>-0.14399999999999999</v>
      </c>
      <c r="Y108" s="1"/>
      <c r="Z108" s="1">
        <f t="shared" si="18"/>
        <v>0</v>
      </c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</row>
    <row r="109" spans="1:49" x14ac:dyDescent="0.25">
      <c r="A109" s="10" t="s">
        <v>140</v>
      </c>
      <c r="B109" s="10" t="s">
        <v>33</v>
      </c>
      <c r="C109" s="10"/>
      <c r="D109" s="10"/>
      <c r="E109" s="10"/>
      <c r="F109" s="10"/>
      <c r="G109" s="11">
        <v>0</v>
      </c>
      <c r="H109" s="10"/>
      <c r="I109" s="10" t="s">
        <v>29</v>
      </c>
      <c r="J109" s="10"/>
      <c r="K109" s="10"/>
      <c r="L109" s="10">
        <f t="shared" si="22"/>
        <v>0</v>
      </c>
      <c r="M109" s="10"/>
      <c r="N109" s="10"/>
      <c r="O109" s="10"/>
      <c r="P109" s="10"/>
      <c r="Q109" s="10">
        <v>0</v>
      </c>
      <c r="R109" s="10">
        <v>0</v>
      </c>
      <c r="S109" s="10">
        <f t="shared" si="23"/>
        <v>0</v>
      </c>
      <c r="T109" s="12"/>
      <c r="U109" s="10" t="e">
        <f t="shared" si="24"/>
        <v>#DIV/0!</v>
      </c>
      <c r="V109" s="10" t="e">
        <f t="shared" si="25"/>
        <v>#DIV/0!</v>
      </c>
      <c r="W109" s="10">
        <v>0</v>
      </c>
      <c r="X109" s="10">
        <v>0</v>
      </c>
      <c r="Y109" s="10" t="s">
        <v>34</v>
      </c>
      <c r="Z109" s="1">
        <f t="shared" si="18"/>
        <v>0</v>
      </c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</row>
    <row r="110" spans="1:49" x14ac:dyDescent="0.25">
      <c r="A110" s="10" t="s">
        <v>141</v>
      </c>
      <c r="B110" s="10" t="s">
        <v>28</v>
      </c>
      <c r="C110" s="10"/>
      <c r="D110" s="10"/>
      <c r="E110" s="10"/>
      <c r="F110" s="10"/>
      <c r="G110" s="11">
        <v>0</v>
      </c>
      <c r="H110" s="10"/>
      <c r="I110" s="10" t="s">
        <v>29</v>
      </c>
      <c r="J110" s="10"/>
      <c r="K110" s="10"/>
      <c r="L110" s="10">
        <f t="shared" si="22"/>
        <v>0</v>
      </c>
      <c r="M110" s="10"/>
      <c r="N110" s="10"/>
      <c r="O110" s="10"/>
      <c r="P110" s="10"/>
      <c r="Q110" s="10">
        <v>0</v>
      </c>
      <c r="R110" s="10">
        <v>0</v>
      </c>
      <c r="S110" s="10">
        <f t="shared" si="23"/>
        <v>0</v>
      </c>
      <c r="T110" s="12"/>
      <c r="U110" s="10" t="e">
        <f t="shared" si="24"/>
        <v>#DIV/0!</v>
      </c>
      <c r="V110" s="10" t="e">
        <f t="shared" si="25"/>
        <v>#DIV/0!</v>
      </c>
      <c r="W110" s="10">
        <v>0</v>
      </c>
      <c r="X110" s="10">
        <v>0</v>
      </c>
      <c r="Y110" s="10" t="s">
        <v>34</v>
      </c>
      <c r="Z110" s="1">
        <f t="shared" si="18"/>
        <v>0</v>
      </c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</row>
    <row r="111" spans="1:49" x14ac:dyDescent="0.25">
      <c r="A111" s="16" t="s">
        <v>142</v>
      </c>
      <c r="B111" s="1" t="s">
        <v>33</v>
      </c>
      <c r="C111" s="1"/>
      <c r="D111" s="1"/>
      <c r="E111" s="1"/>
      <c r="F111" s="1"/>
      <c r="G111" s="7">
        <v>0.28000000000000003</v>
      </c>
      <c r="H111" s="1">
        <v>40</v>
      </c>
      <c r="I111" s="9" t="s">
        <v>39</v>
      </c>
      <c r="J111" s="1"/>
      <c r="K111" s="1">
        <v>2</v>
      </c>
      <c r="L111" s="1">
        <f t="shared" si="22"/>
        <v>-2</v>
      </c>
      <c r="M111" s="1"/>
      <c r="N111" s="1"/>
      <c r="O111" s="1">
        <v>74.605714285714285</v>
      </c>
      <c r="P111" s="1"/>
      <c r="Q111" s="1">
        <v>48</v>
      </c>
      <c r="R111" s="1">
        <v>150</v>
      </c>
      <c r="S111" s="1">
        <f t="shared" si="23"/>
        <v>0</v>
      </c>
      <c r="T111" s="5"/>
      <c r="U111" s="1" t="e">
        <f t="shared" si="24"/>
        <v>#DIV/0!</v>
      </c>
      <c r="V111" s="1" t="e">
        <f t="shared" si="25"/>
        <v>#DIV/0!</v>
      </c>
      <c r="W111" s="1">
        <v>0</v>
      </c>
      <c r="X111" s="1">
        <v>-0.4</v>
      </c>
      <c r="Y111" s="1"/>
      <c r="Z111" s="1">
        <f t="shared" si="18"/>
        <v>0</v>
      </c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</row>
    <row r="112" spans="1:49" x14ac:dyDescent="0.25">
      <c r="A112" s="16" t="s">
        <v>143</v>
      </c>
      <c r="B112" s="1" t="s">
        <v>33</v>
      </c>
      <c r="C112" s="1"/>
      <c r="D112" s="1">
        <v>253</v>
      </c>
      <c r="E112" s="1">
        <v>76</v>
      </c>
      <c r="F112" s="1">
        <v>164</v>
      </c>
      <c r="G112" s="7">
        <v>0.28000000000000003</v>
      </c>
      <c r="H112" s="1">
        <v>40</v>
      </c>
      <c r="I112" s="9" t="s">
        <v>39</v>
      </c>
      <c r="J112" s="1"/>
      <c r="K112" s="1">
        <v>83</v>
      </c>
      <c r="L112" s="1">
        <f t="shared" si="22"/>
        <v>-7</v>
      </c>
      <c r="M112" s="1"/>
      <c r="N112" s="1"/>
      <c r="O112" s="1">
        <v>0</v>
      </c>
      <c r="P112" s="1"/>
      <c r="Q112" s="1">
        <v>60</v>
      </c>
      <c r="R112" s="1">
        <v>0</v>
      </c>
      <c r="S112" s="1">
        <f t="shared" si="23"/>
        <v>15.2</v>
      </c>
      <c r="T112" s="5"/>
      <c r="U112" s="1">
        <f t="shared" si="24"/>
        <v>14.736842105263159</v>
      </c>
      <c r="V112" s="1">
        <f t="shared" si="25"/>
        <v>14.736842105263159</v>
      </c>
      <c r="W112" s="1">
        <v>1.2</v>
      </c>
      <c r="X112" s="1">
        <v>0</v>
      </c>
      <c r="Y112" s="1"/>
      <c r="Z112" s="1">
        <f t="shared" si="18"/>
        <v>0</v>
      </c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</row>
    <row r="113" spans="1:49" x14ac:dyDescent="0.25">
      <c r="A113" s="16" t="s">
        <v>144</v>
      </c>
      <c r="B113" s="1" t="s">
        <v>33</v>
      </c>
      <c r="C113" s="1"/>
      <c r="D113" s="1"/>
      <c r="E113" s="1"/>
      <c r="F113" s="1"/>
      <c r="G113" s="7">
        <v>0.28000000000000003</v>
      </c>
      <c r="H113" s="1">
        <v>40</v>
      </c>
      <c r="I113" s="9" t="s">
        <v>39</v>
      </c>
      <c r="J113" s="1"/>
      <c r="K113" s="1">
        <v>8</v>
      </c>
      <c r="L113" s="1">
        <f t="shared" si="22"/>
        <v>-8</v>
      </c>
      <c r="M113" s="1"/>
      <c r="N113" s="1"/>
      <c r="O113" s="1">
        <v>36.61538461538462</v>
      </c>
      <c r="P113" s="1">
        <v>-35.714285714285708</v>
      </c>
      <c r="Q113" s="1">
        <v>48</v>
      </c>
      <c r="R113" s="1">
        <v>150</v>
      </c>
      <c r="S113" s="1">
        <f t="shared" si="23"/>
        <v>0</v>
      </c>
      <c r="T113" s="5"/>
      <c r="U113" s="1" t="e">
        <f t="shared" si="24"/>
        <v>#DIV/0!</v>
      </c>
      <c r="V113" s="1" t="e">
        <f t="shared" si="25"/>
        <v>#DIV/0!</v>
      </c>
      <c r="W113" s="1">
        <v>0</v>
      </c>
      <c r="X113" s="1">
        <v>0</v>
      </c>
      <c r="Y113" s="1"/>
      <c r="Z113" s="1">
        <f t="shared" si="18"/>
        <v>0</v>
      </c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</row>
    <row r="114" spans="1:49" x14ac:dyDescent="0.25">
      <c r="A114" s="16" t="s">
        <v>145</v>
      </c>
      <c r="B114" s="1" t="s">
        <v>33</v>
      </c>
      <c r="C114" s="1">
        <v>28</v>
      </c>
      <c r="D114" s="1"/>
      <c r="E114" s="1">
        <v>15</v>
      </c>
      <c r="F114" s="1">
        <v>13</v>
      </c>
      <c r="G114" s="7">
        <v>0.09</v>
      </c>
      <c r="H114" s="1">
        <v>45</v>
      </c>
      <c r="I114" s="1" t="s">
        <v>29</v>
      </c>
      <c r="J114" s="1"/>
      <c r="K114" s="1">
        <v>15</v>
      </c>
      <c r="L114" s="1">
        <f t="shared" si="22"/>
        <v>0</v>
      </c>
      <c r="M114" s="1"/>
      <c r="N114" s="1"/>
      <c r="O114" s="1">
        <v>5.9665271966527156</v>
      </c>
      <c r="P114" s="1"/>
      <c r="Q114" s="1">
        <v>0</v>
      </c>
      <c r="R114" s="1">
        <v>0</v>
      </c>
      <c r="S114" s="1">
        <f t="shared" si="23"/>
        <v>3</v>
      </c>
      <c r="T114" s="5">
        <f t="shared" ref="T114:T130" si="27">12*S114-R114-Q114-P114-O114-F114</f>
        <v>17.033472803347284</v>
      </c>
      <c r="U114" s="1">
        <f t="shared" si="24"/>
        <v>12</v>
      </c>
      <c r="V114" s="1">
        <f t="shared" si="25"/>
        <v>6.3221757322175725</v>
      </c>
      <c r="W114" s="1">
        <v>0.8</v>
      </c>
      <c r="X114" s="1">
        <v>0.8</v>
      </c>
      <c r="Y114" s="1"/>
      <c r="Z114" s="1">
        <f t="shared" si="18"/>
        <v>2</v>
      </c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</row>
    <row r="115" spans="1:49" x14ac:dyDescent="0.25">
      <c r="A115" s="16" t="s">
        <v>146</v>
      </c>
      <c r="B115" s="1" t="s">
        <v>28</v>
      </c>
      <c r="C115" s="1"/>
      <c r="D115" s="1">
        <v>30.143999999999998</v>
      </c>
      <c r="E115" s="1">
        <v>15</v>
      </c>
      <c r="F115" s="1">
        <v>15.144</v>
      </c>
      <c r="G115" s="7">
        <v>1</v>
      </c>
      <c r="H115" s="1">
        <v>60</v>
      </c>
      <c r="I115" s="1" t="s">
        <v>29</v>
      </c>
      <c r="J115" s="1"/>
      <c r="K115" s="1">
        <v>25</v>
      </c>
      <c r="L115" s="1">
        <f t="shared" si="22"/>
        <v>-10</v>
      </c>
      <c r="M115" s="1"/>
      <c r="N115" s="1"/>
      <c r="O115" s="1">
        <v>0</v>
      </c>
      <c r="P115" s="1"/>
      <c r="Q115" s="1">
        <v>0</v>
      </c>
      <c r="R115" s="1">
        <v>0</v>
      </c>
      <c r="S115" s="1">
        <f t="shared" si="23"/>
        <v>3</v>
      </c>
      <c r="T115" s="5">
        <f t="shared" si="27"/>
        <v>20.856000000000002</v>
      </c>
      <c r="U115" s="1">
        <f t="shared" si="24"/>
        <v>12</v>
      </c>
      <c r="V115" s="1">
        <f t="shared" si="25"/>
        <v>5.048</v>
      </c>
      <c r="W115" s="1">
        <v>0.5</v>
      </c>
      <c r="X115" s="1">
        <v>0</v>
      </c>
      <c r="Y115" s="1"/>
      <c r="Z115" s="1">
        <f t="shared" si="18"/>
        <v>21</v>
      </c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</row>
    <row r="116" spans="1:49" x14ac:dyDescent="0.25">
      <c r="A116" s="16" t="s">
        <v>147</v>
      </c>
      <c r="B116" s="1" t="s">
        <v>28</v>
      </c>
      <c r="C116" s="1"/>
      <c r="D116" s="1">
        <v>59.86</v>
      </c>
      <c r="E116" s="1">
        <v>12.509</v>
      </c>
      <c r="F116" s="1">
        <v>47.350999999999999</v>
      </c>
      <c r="G116" s="7">
        <v>1</v>
      </c>
      <c r="H116" s="1">
        <v>50</v>
      </c>
      <c r="I116" s="1" t="s">
        <v>29</v>
      </c>
      <c r="J116" s="1"/>
      <c r="K116" s="1">
        <v>12.5</v>
      </c>
      <c r="L116" s="1">
        <f t="shared" si="22"/>
        <v>9.0000000000003411E-3</v>
      </c>
      <c r="M116" s="1"/>
      <c r="N116" s="1"/>
      <c r="O116" s="1">
        <v>0</v>
      </c>
      <c r="P116" s="1"/>
      <c r="Q116" s="1">
        <v>0</v>
      </c>
      <c r="R116" s="1">
        <v>0</v>
      </c>
      <c r="S116" s="1">
        <f t="shared" si="23"/>
        <v>2.5018000000000002</v>
      </c>
      <c r="T116" s="5"/>
      <c r="U116" s="1">
        <f t="shared" si="24"/>
        <v>18.926772723638976</v>
      </c>
      <c r="V116" s="1">
        <f t="shared" si="25"/>
        <v>18.926772723638976</v>
      </c>
      <c r="W116" s="1">
        <v>0.49959999999999999</v>
      </c>
      <c r="X116" s="1">
        <v>0</v>
      </c>
      <c r="Y116" s="1"/>
      <c r="Z116" s="1">
        <f t="shared" si="18"/>
        <v>0</v>
      </c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</row>
    <row r="117" spans="1:49" x14ac:dyDescent="0.25">
      <c r="A117" s="16" t="s">
        <v>148</v>
      </c>
      <c r="B117" s="1" t="s">
        <v>33</v>
      </c>
      <c r="C117" s="1">
        <v>29</v>
      </c>
      <c r="D117" s="1"/>
      <c r="E117" s="1">
        <v>9</v>
      </c>
      <c r="F117" s="1"/>
      <c r="G117" s="7">
        <v>0.09</v>
      </c>
      <c r="H117" s="1">
        <v>45</v>
      </c>
      <c r="I117" s="1" t="s">
        <v>29</v>
      </c>
      <c r="J117" s="1"/>
      <c r="K117" s="1">
        <v>34</v>
      </c>
      <c r="L117" s="1">
        <f t="shared" si="22"/>
        <v>-25</v>
      </c>
      <c r="M117" s="1"/>
      <c r="N117" s="1"/>
      <c r="O117" s="1">
        <v>9.2393617021276633</v>
      </c>
      <c r="P117" s="1"/>
      <c r="Q117" s="1">
        <v>46.160638297872339</v>
      </c>
      <c r="R117" s="1">
        <v>0</v>
      </c>
      <c r="S117" s="1">
        <f t="shared" si="23"/>
        <v>1.8</v>
      </c>
      <c r="T117" s="5">
        <v>10</v>
      </c>
      <c r="U117" s="1">
        <f t="shared" si="24"/>
        <v>36.333333333333336</v>
      </c>
      <c r="V117" s="1">
        <f t="shared" si="25"/>
        <v>30.777777777777779</v>
      </c>
      <c r="W117" s="1">
        <v>4.2</v>
      </c>
      <c r="X117" s="1">
        <v>4.5999999999999996</v>
      </c>
      <c r="Y117" s="1"/>
      <c r="Z117" s="1">
        <f t="shared" si="18"/>
        <v>1</v>
      </c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</row>
    <row r="118" spans="1:49" x14ac:dyDescent="0.25">
      <c r="A118" s="16" t="s">
        <v>149</v>
      </c>
      <c r="B118" s="1" t="s">
        <v>33</v>
      </c>
      <c r="C118" s="1">
        <v>29</v>
      </c>
      <c r="D118" s="1"/>
      <c r="E118" s="1">
        <v>14</v>
      </c>
      <c r="F118" s="1">
        <v>15</v>
      </c>
      <c r="G118" s="7">
        <v>0.09</v>
      </c>
      <c r="H118" s="1">
        <v>45</v>
      </c>
      <c r="I118" s="1" t="s">
        <v>29</v>
      </c>
      <c r="J118" s="1"/>
      <c r="K118" s="1">
        <v>14</v>
      </c>
      <c r="L118" s="1">
        <f t="shared" si="22"/>
        <v>0</v>
      </c>
      <c r="M118" s="1"/>
      <c r="N118" s="1"/>
      <c r="O118" s="1">
        <v>5.5317073170731712</v>
      </c>
      <c r="P118" s="1"/>
      <c r="Q118" s="1">
        <v>0</v>
      </c>
      <c r="R118" s="1">
        <v>0</v>
      </c>
      <c r="S118" s="1">
        <f t="shared" si="23"/>
        <v>2.8</v>
      </c>
      <c r="T118" s="5">
        <f t="shared" si="27"/>
        <v>13.068292682926824</v>
      </c>
      <c r="U118" s="1">
        <f t="shared" si="24"/>
        <v>11.999999999999998</v>
      </c>
      <c r="V118" s="1">
        <f t="shared" si="25"/>
        <v>7.3327526132404186</v>
      </c>
      <c r="W118" s="1">
        <v>0.2</v>
      </c>
      <c r="X118" s="1">
        <v>0.6</v>
      </c>
      <c r="Y118" s="1"/>
      <c r="Z118" s="1">
        <f t="shared" si="18"/>
        <v>1</v>
      </c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</row>
    <row r="119" spans="1:49" x14ac:dyDescent="0.25">
      <c r="A119" s="16" t="s">
        <v>150</v>
      </c>
      <c r="B119" s="1" t="s">
        <v>28</v>
      </c>
      <c r="C119" s="1">
        <v>35.747</v>
      </c>
      <c r="D119" s="1"/>
      <c r="E119" s="1">
        <v>10.978</v>
      </c>
      <c r="F119" s="1">
        <v>16.544</v>
      </c>
      <c r="G119" s="7">
        <v>1</v>
      </c>
      <c r="H119" s="1">
        <v>60</v>
      </c>
      <c r="I119" s="1" t="s">
        <v>29</v>
      </c>
      <c r="J119" s="1"/>
      <c r="K119" s="1">
        <v>10.1</v>
      </c>
      <c r="L119" s="1">
        <f t="shared" si="22"/>
        <v>0.87800000000000011</v>
      </c>
      <c r="M119" s="1"/>
      <c r="N119" s="1"/>
      <c r="O119" s="1">
        <v>19.292426544190839</v>
      </c>
      <c r="P119" s="1"/>
      <c r="Q119" s="1">
        <v>0</v>
      </c>
      <c r="R119" s="1">
        <v>50</v>
      </c>
      <c r="S119" s="1">
        <f t="shared" si="23"/>
        <v>2.1955999999999998</v>
      </c>
      <c r="T119" s="5"/>
      <c r="U119" s="1">
        <f t="shared" si="24"/>
        <v>39.094747014114979</v>
      </c>
      <c r="V119" s="1">
        <f t="shared" si="25"/>
        <v>39.094747014114979</v>
      </c>
      <c r="W119" s="1">
        <v>2.9826000000000001</v>
      </c>
      <c r="X119" s="1">
        <v>2.9758</v>
      </c>
      <c r="Y119" s="1"/>
      <c r="Z119" s="1">
        <f t="shared" si="18"/>
        <v>0</v>
      </c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</row>
    <row r="120" spans="1:49" x14ac:dyDescent="0.25">
      <c r="A120" s="16" t="s">
        <v>151</v>
      </c>
      <c r="B120" s="1" t="s">
        <v>28</v>
      </c>
      <c r="C120" s="1">
        <v>158.113</v>
      </c>
      <c r="D120" s="1">
        <v>17.88</v>
      </c>
      <c r="E120" s="1">
        <v>61.905000000000001</v>
      </c>
      <c r="F120" s="1">
        <v>93.465999999999994</v>
      </c>
      <c r="G120" s="7">
        <v>1</v>
      </c>
      <c r="H120" s="1">
        <v>60</v>
      </c>
      <c r="I120" s="1" t="s">
        <v>29</v>
      </c>
      <c r="J120" s="1"/>
      <c r="K120" s="1">
        <v>74.400000000000006</v>
      </c>
      <c r="L120" s="1">
        <f t="shared" si="22"/>
        <v>-12.495000000000005</v>
      </c>
      <c r="M120" s="1"/>
      <c r="N120" s="1"/>
      <c r="O120" s="1">
        <v>50</v>
      </c>
      <c r="P120" s="1"/>
      <c r="Q120" s="1">
        <v>0</v>
      </c>
      <c r="R120" s="1">
        <v>70</v>
      </c>
      <c r="S120" s="1">
        <f t="shared" si="23"/>
        <v>12.381</v>
      </c>
      <c r="T120" s="5"/>
      <c r="U120" s="1">
        <f t="shared" si="24"/>
        <v>17.2414183022373</v>
      </c>
      <c r="V120" s="1">
        <f t="shared" si="25"/>
        <v>17.2414183022373</v>
      </c>
      <c r="W120" s="1">
        <v>7.4349999999999996</v>
      </c>
      <c r="X120" s="1">
        <v>1.6252</v>
      </c>
      <c r="Y120" s="1"/>
      <c r="Z120" s="1">
        <f t="shared" si="18"/>
        <v>0</v>
      </c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</row>
    <row r="121" spans="1:49" x14ac:dyDescent="0.25">
      <c r="A121" s="16" t="s">
        <v>152</v>
      </c>
      <c r="B121" s="1" t="s">
        <v>28</v>
      </c>
      <c r="C121" s="1">
        <v>14.954000000000001</v>
      </c>
      <c r="D121" s="1">
        <v>18.876999999999999</v>
      </c>
      <c r="E121" s="1">
        <v>6.694</v>
      </c>
      <c r="F121" s="1">
        <v>14.911</v>
      </c>
      <c r="G121" s="7">
        <v>1</v>
      </c>
      <c r="H121" s="1">
        <v>60</v>
      </c>
      <c r="I121" s="1" t="s">
        <v>29</v>
      </c>
      <c r="J121" s="1"/>
      <c r="K121" s="1">
        <v>9.5</v>
      </c>
      <c r="L121" s="1">
        <f t="shared" si="22"/>
        <v>-2.806</v>
      </c>
      <c r="M121" s="1"/>
      <c r="N121" s="1"/>
      <c r="O121" s="1">
        <v>0</v>
      </c>
      <c r="P121" s="1"/>
      <c r="Q121" s="1">
        <v>7.2328000000000028</v>
      </c>
      <c r="R121" s="1">
        <v>0</v>
      </c>
      <c r="S121" s="1">
        <f t="shared" si="23"/>
        <v>1.3388</v>
      </c>
      <c r="T121" s="5"/>
      <c r="U121" s="1">
        <f t="shared" si="24"/>
        <v>16.540035853002692</v>
      </c>
      <c r="V121" s="1">
        <f t="shared" si="25"/>
        <v>16.540035853002692</v>
      </c>
      <c r="W121" s="1">
        <v>2.1850000000000001</v>
      </c>
      <c r="X121" s="1">
        <v>1.911</v>
      </c>
      <c r="Y121" s="1"/>
      <c r="Z121" s="1">
        <f t="shared" si="18"/>
        <v>0</v>
      </c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</row>
    <row r="122" spans="1:49" x14ac:dyDescent="0.25">
      <c r="A122" s="16" t="s">
        <v>47</v>
      </c>
      <c r="B122" s="1" t="s">
        <v>28</v>
      </c>
      <c r="C122" s="1">
        <v>97.364000000000004</v>
      </c>
      <c r="D122" s="1">
        <v>562.01800000000003</v>
      </c>
      <c r="E122" s="13">
        <f>340.035+E19</f>
        <v>352.50800000000004</v>
      </c>
      <c r="F122" s="13">
        <f>269.075+F19</f>
        <v>256.60199999999998</v>
      </c>
      <c r="G122" s="7">
        <v>1</v>
      </c>
      <c r="H122" s="1">
        <v>60</v>
      </c>
      <c r="I122" s="1" t="s">
        <v>29</v>
      </c>
      <c r="J122" s="1"/>
      <c r="K122" s="1">
        <v>415</v>
      </c>
      <c r="L122" s="1">
        <f t="shared" si="22"/>
        <v>-62.491999999999962</v>
      </c>
      <c r="M122" s="1"/>
      <c r="N122" s="1"/>
      <c r="O122" s="1">
        <v>200</v>
      </c>
      <c r="P122" s="1"/>
      <c r="Q122" s="1">
        <v>700</v>
      </c>
      <c r="R122" s="1">
        <v>187.0712</v>
      </c>
      <c r="S122" s="1">
        <f t="shared" si="23"/>
        <v>70.50160000000001</v>
      </c>
      <c r="T122" s="5"/>
      <c r="U122" s="1">
        <f t="shared" si="24"/>
        <v>19.058761786966535</v>
      </c>
      <c r="V122" s="1">
        <f t="shared" si="25"/>
        <v>19.058761786966535</v>
      </c>
      <c r="W122" s="1">
        <v>132.61420000000001</v>
      </c>
      <c r="X122" s="1">
        <v>90.657399999999996</v>
      </c>
      <c r="Y122" s="1"/>
      <c r="Z122" s="1">
        <f t="shared" si="18"/>
        <v>0</v>
      </c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</row>
    <row r="123" spans="1:49" x14ac:dyDescent="0.25">
      <c r="A123" s="16" t="s">
        <v>153</v>
      </c>
      <c r="B123" s="1" t="s">
        <v>33</v>
      </c>
      <c r="C123" s="1">
        <v>228</v>
      </c>
      <c r="D123" s="1"/>
      <c r="E123" s="1">
        <v>15</v>
      </c>
      <c r="F123" s="1">
        <v>208</v>
      </c>
      <c r="G123" s="7">
        <v>0.25</v>
      </c>
      <c r="H123" s="1">
        <v>1096</v>
      </c>
      <c r="I123" s="1" t="s">
        <v>29</v>
      </c>
      <c r="J123" s="1"/>
      <c r="K123" s="1">
        <v>15</v>
      </c>
      <c r="L123" s="1">
        <f t="shared" si="22"/>
        <v>0</v>
      </c>
      <c r="M123" s="1"/>
      <c r="N123" s="1"/>
      <c r="O123" s="1">
        <v>50</v>
      </c>
      <c r="P123" s="1"/>
      <c r="Q123" s="1">
        <v>0</v>
      </c>
      <c r="R123" s="1">
        <v>0</v>
      </c>
      <c r="S123" s="1">
        <f t="shared" si="23"/>
        <v>3</v>
      </c>
      <c r="T123" s="5"/>
      <c r="U123" s="1">
        <f t="shared" si="24"/>
        <v>86</v>
      </c>
      <c r="V123" s="1">
        <f t="shared" si="25"/>
        <v>86</v>
      </c>
      <c r="W123" s="1">
        <v>1</v>
      </c>
      <c r="X123" s="1">
        <v>0.6</v>
      </c>
      <c r="Y123" s="17" t="s">
        <v>50</v>
      </c>
      <c r="Z123" s="1">
        <f t="shared" si="18"/>
        <v>0</v>
      </c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</row>
    <row r="124" spans="1:49" x14ac:dyDescent="0.25">
      <c r="A124" s="16" t="s">
        <v>154</v>
      </c>
      <c r="B124" s="1" t="s">
        <v>33</v>
      </c>
      <c r="C124" s="1">
        <v>134</v>
      </c>
      <c r="D124" s="1">
        <v>5</v>
      </c>
      <c r="E124" s="1">
        <v>16</v>
      </c>
      <c r="F124" s="1">
        <v>108</v>
      </c>
      <c r="G124" s="7">
        <v>0.32500000000000001</v>
      </c>
      <c r="H124" s="1">
        <v>1096</v>
      </c>
      <c r="I124" s="1" t="s">
        <v>29</v>
      </c>
      <c r="J124" s="1"/>
      <c r="K124" s="1">
        <v>21</v>
      </c>
      <c r="L124" s="1">
        <f t="shared" si="22"/>
        <v>-5</v>
      </c>
      <c r="M124" s="1"/>
      <c r="N124" s="1"/>
      <c r="O124" s="1">
        <v>0</v>
      </c>
      <c r="P124" s="1"/>
      <c r="Q124" s="1">
        <v>0</v>
      </c>
      <c r="R124" s="1">
        <v>0</v>
      </c>
      <c r="S124" s="1">
        <f t="shared" si="23"/>
        <v>3.2</v>
      </c>
      <c r="T124" s="5"/>
      <c r="U124" s="1">
        <f t="shared" si="24"/>
        <v>33.75</v>
      </c>
      <c r="V124" s="1">
        <f t="shared" si="25"/>
        <v>33.75</v>
      </c>
      <c r="W124" s="1">
        <v>3</v>
      </c>
      <c r="X124" s="1">
        <v>3.4</v>
      </c>
      <c r="Y124" s="17" t="s">
        <v>50</v>
      </c>
      <c r="Z124" s="1">
        <f t="shared" si="18"/>
        <v>0</v>
      </c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</row>
    <row r="125" spans="1:49" x14ac:dyDescent="0.25">
      <c r="A125" s="16" t="s">
        <v>155</v>
      </c>
      <c r="B125" s="1" t="s">
        <v>33</v>
      </c>
      <c r="C125" s="1">
        <v>134</v>
      </c>
      <c r="D125" s="1">
        <v>5</v>
      </c>
      <c r="E125" s="1">
        <v>21</v>
      </c>
      <c r="F125" s="1">
        <v>108</v>
      </c>
      <c r="G125" s="7">
        <v>0.25</v>
      </c>
      <c r="H125" s="1">
        <v>1096</v>
      </c>
      <c r="I125" s="1" t="s">
        <v>29</v>
      </c>
      <c r="J125" s="1"/>
      <c r="K125" s="1">
        <v>26</v>
      </c>
      <c r="L125" s="1">
        <f t="shared" si="22"/>
        <v>-5</v>
      </c>
      <c r="M125" s="1"/>
      <c r="N125" s="1"/>
      <c r="O125" s="1">
        <v>0</v>
      </c>
      <c r="P125" s="1"/>
      <c r="Q125" s="1">
        <v>0</v>
      </c>
      <c r="R125" s="1">
        <v>0</v>
      </c>
      <c r="S125" s="1">
        <f t="shared" si="23"/>
        <v>4.2</v>
      </c>
      <c r="T125" s="5"/>
      <c r="U125" s="1">
        <f t="shared" si="24"/>
        <v>25.714285714285712</v>
      </c>
      <c r="V125" s="1">
        <f t="shared" si="25"/>
        <v>25.714285714285712</v>
      </c>
      <c r="W125" s="1">
        <v>3</v>
      </c>
      <c r="X125" s="1">
        <v>2.4</v>
      </c>
      <c r="Y125" s="17" t="s">
        <v>50</v>
      </c>
      <c r="Z125" s="1">
        <f t="shared" si="18"/>
        <v>0</v>
      </c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</row>
    <row r="126" spans="1:49" x14ac:dyDescent="0.25">
      <c r="A126" s="16" t="s">
        <v>156</v>
      </c>
      <c r="B126" s="1" t="s">
        <v>33</v>
      </c>
      <c r="C126" s="1"/>
      <c r="D126" s="1"/>
      <c r="E126" s="1"/>
      <c r="F126" s="1"/>
      <c r="G126" s="7">
        <v>0.3</v>
      </c>
      <c r="H126" s="1">
        <v>40</v>
      </c>
      <c r="I126" s="9" t="s">
        <v>39</v>
      </c>
      <c r="J126" s="1"/>
      <c r="K126" s="1">
        <v>7</v>
      </c>
      <c r="L126" s="1">
        <f t="shared" si="22"/>
        <v>-7</v>
      </c>
      <c r="M126" s="1"/>
      <c r="N126" s="1"/>
      <c r="O126" s="1">
        <v>20.332225913621262</v>
      </c>
      <c r="P126" s="1">
        <v>-23.333333333333339</v>
      </c>
      <c r="Q126" s="1">
        <v>9.6</v>
      </c>
      <c r="R126" s="1">
        <v>80</v>
      </c>
      <c r="S126" s="1">
        <f t="shared" si="23"/>
        <v>0</v>
      </c>
      <c r="T126" s="5"/>
      <c r="U126" s="1" t="e">
        <f t="shared" si="24"/>
        <v>#DIV/0!</v>
      </c>
      <c r="V126" s="1" t="e">
        <f t="shared" si="25"/>
        <v>#DIV/0!</v>
      </c>
      <c r="W126" s="1">
        <v>0</v>
      </c>
      <c r="X126" s="1">
        <v>-0.2</v>
      </c>
      <c r="Y126" s="1"/>
      <c r="Z126" s="1">
        <f t="shared" si="18"/>
        <v>0</v>
      </c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</row>
    <row r="127" spans="1:49" x14ac:dyDescent="0.25">
      <c r="A127" s="16" t="s">
        <v>157</v>
      </c>
      <c r="B127" s="1" t="s">
        <v>33</v>
      </c>
      <c r="C127" s="1"/>
      <c r="D127" s="1"/>
      <c r="E127" s="1"/>
      <c r="F127" s="1"/>
      <c r="G127" s="7">
        <v>0.3</v>
      </c>
      <c r="H127" s="1">
        <v>40</v>
      </c>
      <c r="I127" s="9" t="s">
        <v>39</v>
      </c>
      <c r="J127" s="1"/>
      <c r="K127" s="1">
        <v>7</v>
      </c>
      <c r="L127" s="1">
        <f t="shared" si="22"/>
        <v>-7</v>
      </c>
      <c r="M127" s="1"/>
      <c r="N127" s="1"/>
      <c r="O127" s="1">
        <v>35.172413793103452</v>
      </c>
      <c r="P127" s="1">
        <v>-43.333333333333343</v>
      </c>
      <c r="Q127" s="1">
        <v>0</v>
      </c>
      <c r="R127" s="1">
        <v>80</v>
      </c>
      <c r="S127" s="1">
        <f t="shared" si="23"/>
        <v>0</v>
      </c>
      <c r="T127" s="5"/>
      <c r="U127" s="1" t="e">
        <f t="shared" si="24"/>
        <v>#DIV/0!</v>
      </c>
      <c r="V127" s="1" t="e">
        <f t="shared" si="25"/>
        <v>#DIV/0!</v>
      </c>
      <c r="W127" s="1">
        <v>0</v>
      </c>
      <c r="X127" s="1">
        <v>0</v>
      </c>
      <c r="Y127" s="1"/>
      <c r="Z127" s="1">
        <f t="shared" si="18"/>
        <v>0</v>
      </c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</row>
    <row r="128" spans="1:49" x14ac:dyDescent="0.25">
      <c r="A128" s="16" t="s">
        <v>158</v>
      </c>
      <c r="B128" s="1" t="s">
        <v>28</v>
      </c>
      <c r="C128" s="1"/>
      <c r="D128" s="1"/>
      <c r="E128" s="1"/>
      <c r="F128" s="1"/>
      <c r="G128" s="7">
        <v>1</v>
      </c>
      <c r="H128" s="1">
        <v>50</v>
      </c>
      <c r="I128" s="1" t="s">
        <v>29</v>
      </c>
      <c r="J128" s="1"/>
      <c r="K128" s="1">
        <v>7.5</v>
      </c>
      <c r="L128" s="1">
        <f t="shared" si="22"/>
        <v>-7.5</v>
      </c>
      <c r="M128" s="1"/>
      <c r="N128" s="1"/>
      <c r="O128" s="1">
        <v>10</v>
      </c>
      <c r="P128" s="1"/>
      <c r="Q128" s="1">
        <v>20</v>
      </c>
      <c r="R128" s="1">
        <v>0</v>
      </c>
      <c r="S128" s="1">
        <f t="shared" si="23"/>
        <v>0</v>
      </c>
      <c r="T128" s="5"/>
      <c r="U128" s="1" t="e">
        <f t="shared" si="24"/>
        <v>#DIV/0!</v>
      </c>
      <c r="V128" s="1" t="e">
        <f t="shared" si="25"/>
        <v>#DIV/0!</v>
      </c>
      <c r="W128" s="1">
        <v>0</v>
      </c>
      <c r="X128" s="1">
        <v>-0.1072</v>
      </c>
      <c r="Y128" s="1"/>
      <c r="Z128" s="1">
        <f t="shared" si="18"/>
        <v>0</v>
      </c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</row>
    <row r="129" spans="1:49" x14ac:dyDescent="0.25">
      <c r="A129" s="16" t="s">
        <v>159</v>
      </c>
      <c r="B129" s="1" t="s">
        <v>33</v>
      </c>
      <c r="C129" s="1"/>
      <c r="D129" s="1"/>
      <c r="E129" s="1"/>
      <c r="F129" s="1"/>
      <c r="G129" s="7">
        <v>0.3</v>
      </c>
      <c r="H129" s="1">
        <v>40</v>
      </c>
      <c r="I129" s="9" t="s">
        <v>39</v>
      </c>
      <c r="J129" s="1"/>
      <c r="K129" s="1">
        <v>1</v>
      </c>
      <c r="L129" s="1">
        <f t="shared" si="22"/>
        <v>-1</v>
      </c>
      <c r="M129" s="1"/>
      <c r="N129" s="1"/>
      <c r="O129" s="1">
        <v>25</v>
      </c>
      <c r="P129" s="1">
        <v>-30</v>
      </c>
      <c r="Q129" s="1">
        <v>0</v>
      </c>
      <c r="R129" s="1">
        <v>80</v>
      </c>
      <c r="S129" s="1">
        <f t="shared" si="23"/>
        <v>0</v>
      </c>
      <c r="T129" s="5"/>
      <c r="U129" s="1" t="e">
        <f t="shared" si="24"/>
        <v>#DIV/0!</v>
      </c>
      <c r="V129" s="1" t="e">
        <f t="shared" si="25"/>
        <v>#DIV/0!</v>
      </c>
      <c r="W129" s="1">
        <v>0</v>
      </c>
      <c r="X129" s="1">
        <v>0</v>
      </c>
      <c r="Y129" s="1"/>
      <c r="Z129" s="1">
        <f t="shared" si="18"/>
        <v>0</v>
      </c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</row>
    <row r="130" spans="1:49" x14ac:dyDescent="0.25">
      <c r="A130" s="16" t="s">
        <v>160</v>
      </c>
      <c r="B130" s="1" t="s">
        <v>33</v>
      </c>
      <c r="C130" s="1"/>
      <c r="D130" s="1">
        <v>30</v>
      </c>
      <c r="E130" s="1">
        <v>15</v>
      </c>
      <c r="F130" s="1">
        <v>14</v>
      </c>
      <c r="G130" s="7">
        <v>0.12</v>
      </c>
      <c r="H130" s="1">
        <v>45</v>
      </c>
      <c r="I130" s="9" t="s">
        <v>39</v>
      </c>
      <c r="J130" s="1"/>
      <c r="K130" s="1">
        <v>20</v>
      </c>
      <c r="L130" s="1">
        <f t="shared" si="22"/>
        <v>-5</v>
      </c>
      <c r="M130" s="1"/>
      <c r="N130" s="1"/>
      <c r="O130" s="1">
        <v>12.66666666666667</v>
      </c>
      <c r="P130" s="1"/>
      <c r="Q130" s="1">
        <v>0</v>
      </c>
      <c r="R130" s="1">
        <v>0</v>
      </c>
      <c r="S130" s="1">
        <f t="shared" si="23"/>
        <v>3</v>
      </c>
      <c r="T130" s="5">
        <f t="shared" si="27"/>
        <v>9.3333333333333286</v>
      </c>
      <c r="U130" s="1">
        <f t="shared" si="24"/>
        <v>12</v>
      </c>
      <c r="V130" s="1">
        <f t="shared" si="25"/>
        <v>8.8888888888888911</v>
      </c>
      <c r="W130" s="1">
        <v>1.4</v>
      </c>
      <c r="X130" s="1">
        <v>0</v>
      </c>
      <c r="Y130" s="1"/>
      <c r="Z130" s="1">
        <f t="shared" si="18"/>
        <v>1</v>
      </c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</row>
    <row r="131" spans="1:49" x14ac:dyDescent="0.25">
      <c r="A131" s="10" t="s">
        <v>161</v>
      </c>
      <c r="B131" s="10" t="s">
        <v>33</v>
      </c>
      <c r="C131" s="10">
        <v>-15</v>
      </c>
      <c r="D131" s="10">
        <v>9</v>
      </c>
      <c r="E131" s="13">
        <v>23</v>
      </c>
      <c r="F131" s="13">
        <v>-37</v>
      </c>
      <c r="G131" s="11">
        <v>0</v>
      </c>
      <c r="H131" s="10"/>
      <c r="I131" s="10" t="s">
        <v>162</v>
      </c>
      <c r="J131" s="10" t="s">
        <v>91</v>
      </c>
      <c r="K131" s="10">
        <v>24</v>
      </c>
      <c r="L131" s="10">
        <f t="shared" si="22"/>
        <v>-1</v>
      </c>
      <c r="M131" s="10"/>
      <c r="N131" s="10"/>
      <c r="O131" s="10"/>
      <c r="P131" s="10"/>
      <c r="Q131" s="10">
        <v>0</v>
      </c>
      <c r="R131" s="10">
        <v>0</v>
      </c>
      <c r="S131" s="10">
        <f t="shared" si="23"/>
        <v>4.5999999999999996</v>
      </c>
      <c r="T131" s="12"/>
      <c r="U131" s="10">
        <f t="shared" si="24"/>
        <v>-8.0434782608695663</v>
      </c>
      <c r="V131" s="10">
        <f t="shared" si="25"/>
        <v>-8.0434782608695663</v>
      </c>
      <c r="W131" s="10">
        <v>3</v>
      </c>
      <c r="X131" s="10">
        <v>2.6</v>
      </c>
      <c r="Y131" s="10"/>
      <c r="Z131" s="1">
        <f t="shared" si="18"/>
        <v>0</v>
      </c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</row>
    <row r="132" spans="1:49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</row>
    <row r="133" spans="1:49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</row>
    <row r="134" spans="1:49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</row>
    <row r="135" spans="1:49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</row>
    <row r="136" spans="1:49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</row>
    <row r="137" spans="1:49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</row>
    <row r="138" spans="1:49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</row>
    <row r="139" spans="1:49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</row>
    <row r="140" spans="1:49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</row>
    <row r="141" spans="1:49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</row>
    <row r="142" spans="1:49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</row>
    <row r="143" spans="1:49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</row>
    <row r="144" spans="1:49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</row>
    <row r="145" spans="1:49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</row>
    <row r="146" spans="1:49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</row>
    <row r="147" spans="1:49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</row>
    <row r="148" spans="1:49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</row>
    <row r="149" spans="1:49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</row>
    <row r="150" spans="1:49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</row>
    <row r="151" spans="1:49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</row>
    <row r="152" spans="1:49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</row>
    <row r="153" spans="1:49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</row>
    <row r="154" spans="1:49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</row>
    <row r="155" spans="1:49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</row>
    <row r="156" spans="1:49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</row>
    <row r="157" spans="1:49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</row>
    <row r="158" spans="1:49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</row>
    <row r="159" spans="1:49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</row>
    <row r="160" spans="1:49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</row>
    <row r="161" spans="1:49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</row>
    <row r="162" spans="1:49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</row>
    <row r="163" spans="1:49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</row>
    <row r="164" spans="1:49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</row>
    <row r="165" spans="1:49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</row>
    <row r="166" spans="1:49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</row>
    <row r="167" spans="1:49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</row>
    <row r="168" spans="1:49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</row>
    <row r="169" spans="1:49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</row>
    <row r="170" spans="1:49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</row>
    <row r="171" spans="1:49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</row>
    <row r="172" spans="1:49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</row>
    <row r="173" spans="1:49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</row>
    <row r="174" spans="1:49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</row>
    <row r="175" spans="1:49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</row>
    <row r="176" spans="1:49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</row>
    <row r="177" spans="1:49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</row>
    <row r="178" spans="1:49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</row>
    <row r="179" spans="1:49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</row>
    <row r="180" spans="1:49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</row>
    <row r="181" spans="1:49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</row>
    <row r="182" spans="1:49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</row>
    <row r="183" spans="1:49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</row>
    <row r="184" spans="1:49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</row>
    <row r="185" spans="1:49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</row>
    <row r="186" spans="1:49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</row>
    <row r="187" spans="1:49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</row>
    <row r="188" spans="1:49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</row>
    <row r="189" spans="1:49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</row>
    <row r="190" spans="1:49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</row>
    <row r="191" spans="1:49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</row>
    <row r="192" spans="1:49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</row>
    <row r="193" spans="1:49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</row>
    <row r="194" spans="1:49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</row>
    <row r="195" spans="1:49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</row>
    <row r="196" spans="1:49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</row>
    <row r="197" spans="1:49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</row>
    <row r="198" spans="1:49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</row>
    <row r="199" spans="1:49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</row>
    <row r="200" spans="1:49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</row>
    <row r="201" spans="1:49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</row>
    <row r="202" spans="1:49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</row>
    <row r="203" spans="1:49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</row>
    <row r="204" spans="1:49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</row>
    <row r="205" spans="1:49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</row>
    <row r="206" spans="1:49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</row>
    <row r="207" spans="1:49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</row>
    <row r="208" spans="1:49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</row>
    <row r="209" spans="1:49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</row>
    <row r="210" spans="1:49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</row>
    <row r="211" spans="1:49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</row>
    <row r="212" spans="1:49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</row>
    <row r="213" spans="1:49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</row>
    <row r="214" spans="1:49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</row>
    <row r="215" spans="1:49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</row>
    <row r="216" spans="1:49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</row>
    <row r="217" spans="1:49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</row>
    <row r="218" spans="1:49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</row>
    <row r="219" spans="1:49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</row>
    <row r="220" spans="1:49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</row>
    <row r="221" spans="1:49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</row>
    <row r="222" spans="1:49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</row>
    <row r="223" spans="1:49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</row>
    <row r="224" spans="1:49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</row>
    <row r="225" spans="1:49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</row>
    <row r="226" spans="1:49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</row>
    <row r="227" spans="1:49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</row>
    <row r="228" spans="1:49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</row>
    <row r="229" spans="1:49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</row>
    <row r="230" spans="1:49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</row>
    <row r="231" spans="1:49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</row>
    <row r="232" spans="1:49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</row>
    <row r="233" spans="1:49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</row>
    <row r="234" spans="1:49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</row>
    <row r="235" spans="1:49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</row>
    <row r="236" spans="1:49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</row>
    <row r="237" spans="1:49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</row>
    <row r="238" spans="1:49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</row>
    <row r="239" spans="1:49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</row>
    <row r="240" spans="1:49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</row>
    <row r="241" spans="1:49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</row>
    <row r="242" spans="1:49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</row>
    <row r="243" spans="1:49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</row>
    <row r="244" spans="1:49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</row>
    <row r="245" spans="1:49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</row>
    <row r="246" spans="1:49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</row>
    <row r="247" spans="1:49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</row>
    <row r="248" spans="1:49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</row>
    <row r="249" spans="1:49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</row>
    <row r="250" spans="1:49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</row>
    <row r="251" spans="1:49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</row>
    <row r="252" spans="1:49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</row>
    <row r="253" spans="1:49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</row>
    <row r="254" spans="1:49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</row>
    <row r="255" spans="1:49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</row>
    <row r="256" spans="1:49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</row>
    <row r="257" spans="1:49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</row>
    <row r="258" spans="1:49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</row>
    <row r="259" spans="1:49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</row>
    <row r="260" spans="1:49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</row>
    <row r="261" spans="1:49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</row>
    <row r="262" spans="1:49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</row>
    <row r="263" spans="1:49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</row>
    <row r="264" spans="1:49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</row>
    <row r="265" spans="1:49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</row>
    <row r="266" spans="1:49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</row>
    <row r="267" spans="1:49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</row>
    <row r="268" spans="1:49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</row>
    <row r="269" spans="1:49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</row>
    <row r="270" spans="1:49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</row>
    <row r="271" spans="1:49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</row>
    <row r="272" spans="1:49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</row>
    <row r="273" spans="1:49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</row>
    <row r="274" spans="1:49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</row>
    <row r="275" spans="1:49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</row>
    <row r="276" spans="1:49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</row>
    <row r="277" spans="1:49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</row>
    <row r="278" spans="1:49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</row>
    <row r="279" spans="1:49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</row>
    <row r="280" spans="1:49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</row>
    <row r="281" spans="1:49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</row>
    <row r="282" spans="1:49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</row>
    <row r="283" spans="1:49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</row>
    <row r="284" spans="1:49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</row>
    <row r="285" spans="1:49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</row>
    <row r="286" spans="1:49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</row>
    <row r="287" spans="1:49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</row>
    <row r="288" spans="1:49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</row>
    <row r="289" spans="1:49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</row>
    <row r="290" spans="1:49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</row>
    <row r="291" spans="1:49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</row>
    <row r="292" spans="1:49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</row>
    <row r="293" spans="1:49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</row>
    <row r="294" spans="1:49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</row>
    <row r="295" spans="1:49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</row>
    <row r="296" spans="1:49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</row>
    <row r="297" spans="1:49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</row>
    <row r="298" spans="1:49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</row>
    <row r="299" spans="1:49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</row>
    <row r="300" spans="1:49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</row>
    <row r="301" spans="1:49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</row>
    <row r="302" spans="1:49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</row>
    <row r="303" spans="1:49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</row>
    <row r="304" spans="1:49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</row>
    <row r="305" spans="1:49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</row>
    <row r="306" spans="1:49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</row>
    <row r="307" spans="1:49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</row>
    <row r="308" spans="1:49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</row>
    <row r="309" spans="1:49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</row>
    <row r="310" spans="1:49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</row>
    <row r="311" spans="1:49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</row>
    <row r="312" spans="1:49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</row>
    <row r="313" spans="1:49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</row>
    <row r="314" spans="1:49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</row>
    <row r="315" spans="1:49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</row>
    <row r="316" spans="1:49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</row>
    <row r="317" spans="1:49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</row>
    <row r="318" spans="1:49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</row>
    <row r="319" spans="1:49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</row>
    <row r="320" spans="1:49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</row>
    <row r="321" spans="1:49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</row>
    <row r="322" spans="1:49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</row>
    <row r="323" spans="1:49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</row>
    <row r="324" spans="1:49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</row>
    <row r="325" spans="1:49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</row>
    <row r="326" spans="1:49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</row>
    <row r="327" spans="1:49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</row>
    <row r="328" spans="1:49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</row>
    <row r="329" spans="1:49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</row>
    <row r="330" spans="1:49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</row>
    <row r="331" spans="1:49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</row>
    <row r="332" spans="1:49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</row>
    <row r="333" spans="1:49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</row>
    <row r="334" spans="1:49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</row>
    <row r="335" spans="1:49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</row>
    <row r="336" spans="1:49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</row>
    <row r="337" spans="1:49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</row>
    <row r="338" spans="1:49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</row>
    <row r="339" spans="1:49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</row>
    <row r="340" spans="1:49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</row>
    <row r="341" spans="1:49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</row>
    <row r="342" spans="1:49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</row>
    <row r="343" spans="1:49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</row>
    <row r="344" spans="1:49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</row>
    <row r="345" spans="1:49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</row>
    <row r="346" spans="1:49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</row>
    <row r="347" spans="1:49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</row>
    <row r="348" spans="1:49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</row>
    <row r="349" spans="1:49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</row>
    <row r="350" spans="1:49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</row>
    <row r="351" spans="1:49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</row>
    <row r="352" spans="1:49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</row>
    <row r="353" spans="1:49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</row>
    <row r="354" spans="1:49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</row>
    <row r="355" spans="1:49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</row>
    <row r="356" spans="1:49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</row>
    <row r="357" spans="1:49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</row>
    <row r="358" spans="1:49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</row>
    <row r="359" spans="1:49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</row>
    <row r="360" spans="1:49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</row>
    <row r="361" spans="1:49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</row>
    <row r="362" spans="1:49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</row>
    <row r="363" spans="1:49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</row>
    <row r="364" spans="1:49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</row>
    <row r="365" spans="1:49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</row>
    <row r="366" spans="1:49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</row>
    <row r="367" spans="1:49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</row>
    <row r="368" spans="1:49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</row>
    <row r="369" spans="1:49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</row>
    <row r="370" spans="1:49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</row>
    <row r="371" spans="1:49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</row>
    <row r="372" spans="1:49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</row>
    <row r="373" spans="1:49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</row>
    <row r="374" spans="1:49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</row>
    <row r="375" spans="1:49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</row>
    <row r="376" spans="1:49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</row>
    <row r="377" spans="1:49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</row>
    <row r="378" spans="1:49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</row>
    <row r="379" spans="1:49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</row>
    <row r="380" spans="1:49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</row>
    <row r="381" spans="1:49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</row>
    <row r="382" spans="1:49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</row>
    <row r="383" spans="1:49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</row>
    <row r="384" spans="1:49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</row>
    <row r="385" spans="1:49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</row>
    <row r="386" spans="1:49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</row>
    <row r="387" spans="1:49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</row>
    <row r="388" spans="1:49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</row>
    <row r="389" spans="1:49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</row>
    <row r="390" spans="1:49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</row>
    <row r="391" spans="1:49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</row>
    <row r="392" spans="1:49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</row>
    <row r="393" spans="1:49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</row>
    <row r="394" spans="1:49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</row>
    <row r="395" spans="1:49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</row>
    <row r="396" spans="1:49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</row>
    <row r="397" spans="1:49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</row>
    <row r="398" spans="1:49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</row>
    <row r="399" spans="1:49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</row>
    <row r="400" spans="1:49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</row>
    <row r="401" spans="1:49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</row>
    <row r="402" spans="1:49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</row>
    <row r="403" spans="1:49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</row>
    <row r="404" spans="1:49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</row>
    <row r="405" spans="1:49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</row>
    <row r="406" spans="1:49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</row>
    <row r="407" spans="1:49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</row>
    <row r="408" spans="1:49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</row>
    <row r="409" spans="1:49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</row>
    <row r="410" spans="1:49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</row>
    <row r="411" spans="1:49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</row>
    <row r="412" spans="1:49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</row>
    <row r="413" spans="1:49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</row>
    <row r="414" spans="1:49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</row>
    <row r="415" spans="1:49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</row>
    <row r="416" spans="1:49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</row>
    <row r="417" spans="1:49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</row>
    <row r="418" spans="1:49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</row>
    <row r="419" spans="1:49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</row>
    <row r="420" spans="1:49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</row>
    <row r="421" spans="1:49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</row>
    <row r="422" spans="1:49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</row>
    <row r="423" spans="1:49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</row>
    <row r="424" spans="1:49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</row>
    <row r="425" spans="1:49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</row>
    <row r="426" spans="1:49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</row>
    <row r="427" spans="1:49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</row>
    <row r="428" spans="1:49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</row>
    <row r="429" spans="1:49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</row>
    <row r="430" spans="1:49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</row>
    <row r="431" spans="1:49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</row>
    <row r="432" spans="1:49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</row>
    <row r="433" spans="1:49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</row>
    <row r="434" spans="1:49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</row>
    <row r="435" spans="1:49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</row>
    <row r="436" spans="1:49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</row>
    <row r="437" spans="1:49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</row>
    <row r="438" spans="1:49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</row>
    <row r="439" spans="1:49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</row>
    <row r="440" spans="1:49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</row>
    <row r="441" spans="1:49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</row>
    <row r="442" spans="1:49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</row>
    <row r="443" spans="1:49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</row>
    <row r="444" spans="1:49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</row>
    <row r="445" spans="1:49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</row>
    <row r="446" spans="1:49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</row>
    <row r="447" spans="1:49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</row>
    <row r="448" spans="1:49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</row>
    <row r="449" spans="1:49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</row>
    <row r="450" spans="1:49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</row>
    <row r="451" spans="1:49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</row>
    <row r="452" spans="1:49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</row>
    <row r="453" spans="1:49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</row>
    <row r="454" spans="1:49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</row>
    <row r="455" spans="1:49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</row>
    <row r="456" spans="1:49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</row>
    <row r="457" spans="1:49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</row>
    <row r="458" spans="1:49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</row>
    <row r="459" spans="1:49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</row>
    <row r="460" spans="1:49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</row>
    <row r="461" spans="1:49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</row>
    <row r="462" spans="1:49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</row>
    <row r="463" spans="1:49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</row>
    <row r="464" spans="1:49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</row>
    <row r="465" spans="1:49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</row>
    <row r="466" spans="1:49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</row>
    <row r="467" spans="1:49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</row>
    <row r="468" spans="1:49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</row>
    <row r="469" spans="1:49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</row>
    <row r="470" spans="1:49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</row>
    <row r="471" spans="1:49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</row>
    <row r="472" spans="1:49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</row>
    <row r="473" spans="1:49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</row>
    <row r="474" spans="1:49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</row>
    <row r="475" spans="1:49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</row>
    <row r="476" spans="1:49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</row>
    <row r="477" spans="1:49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</row>
    <row r="478" spans="1:49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</row>
    <row r="479" spans="1:49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</row>
    <row r="480" spans="1:49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</row>
  </sheetData>
  <autoFilter ref="A3:Z131" xr:uid="{00000000-0009-0000-0000-000000000000}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2026-10-01T17:29:50Z</dcterms:created>
  <dcterms:modified xsi:type="dcterms:W3CDTF">2026-10-02T09:36:01Z</dcterms:modified>
</cp:coreProperties>
</file>