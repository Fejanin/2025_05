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3D624BC-B82A-4DF6-A1EF-9854A4C4539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Sheet!$A$3:$AK$130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6" i="1" l="1"/>
  <c r="W15" i="1"/>
  <c r="Y37" i="1" l="1"/>
  <c r="Y40" i="1"/>
  <c r="Y43" i="1"/>
  <c r="Y44" i="1"/>
  <c r="Y45" i="1"/>
  <c r="Y47" i="1"/>
  <c r="Y48" i="1"/>
  <c r="Y54" i="1"/>
  <c r="Y60" i="1"/>
  <c r="Y61" i="1"/>
  <c r="Y63" i="1"/>
  <c r="Y65" i="1"/>
  <c r="Y66" i="1"/>
  <c r="Y67" i="1"/>
  <c r="Y68" i="1"/>
  <c r="Y79" i="1"/>
  <c r="Y84" i="1"/>
  <c r="Y87" i="1"/>
  <c r="Y88" i="1"/>
  <c r="Y93" i="1"/>
  <c r="Y102" i="1"/>
  <c r="Y103" i="1"/>
  <c r="Y108" i="1"/>
  <c r="Y109" i="1"/>
  <c r="Y116" i="1"/>
  <c r="W7" i="1" l="1"/>
  <c r="W9" i="1"/>
  <c r="W10" i="1"/>
  <c r="W12" i="1"/>
  <c r="W13" i="1"/>
  <c r="W17" i="1"/>
  <c r="W18" i="1"/>
  <c r="W19" i="1"/>
  <c r="W21" i="1"/>
  <c r="W23" i="1"/>
  <c r="W25" i="1"/>
  <c r="W26" i="1"/>
  <c r="W27" i="1"/>
  <c r="W29" i="1"/>
  <c r="W30" i="1"/>
  <c r="W31" i="1"/>
  <c r="W32" i="1"/>
  <c r="W33" i="1"/>
  <c r="W38" i="1"/>
  <c r="W39" i="1"/>
  <c r="W41" i="1"/>
  <c r="W42" i="1"/>
  <c r="W46" i="1"/>
  <c r="W49" i="1"/>
  <c r="W51" i="1"/>
  <c r="W52" i="1"/>
  <c r="W53" i="1"/>
  <c r="W55" i="1"/>
  <c r="W57" i="1"/>
  <c r="W58" i="1"/>
  <c r="W59" i="1"/>
  <c r="W64" i="1"/>
  <c r="W70" i="1"/>
  <c r="W72" i="1"/>
  <c r="W73" i="1"/>
  <c r="W74" i="1"/>
  <c r="W76" i="1"/>
  <c r="W78" i="1"/>
  <c r="W80" i="1"/>
  <c r="W82" i="1"/>
  <c r="W83" i="1"/>
  <c r="W85" i="1"/>
  <c r="W88" i="1"/>
  <c r="W90" i="1"/>
  <c r="W91" i="1"/>
  <c r="W92" i="1"/>
  <c r="W94" i="1"/>
  <c r="W95" i="1"/>
  <c r="W96" i="1"/>
  <c r="W98" i="1"/>
  <c r="W99" i="1"/>
  <c r="W100" i="1"/>
  <c r="W101" i="1"/>
  <c r="W104" i="1"/>
  <c r="W106" i="1"/>
  <c r="W107" i="1"/>
  <c r="W110" i="1"/>
  <c r="W111" i="1"/>
  <c r="W112" i="1"/>
  <c r="W113" i="1"/>
  <c r="W114" i="1"/>
  <c r="W115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AK7" i="1" l="1"/>
  <c r="AK9" i="1"/>
  <c r="AK10" i="1"/>
  <c r="AK12" i="1"/>
  <c r="AK13" i="1"/>
  <c r="AK17" i="1"/>
  <c r="AK18" i="1"/>
  <c r="AK19" i="1"/>
  <c r="AK21" i="1"/>
  <c r="AK23" i="1"/>
  <c r="AK25" i="1"/>
  <c r="AK26" i="1"/>
  <c r="AK27" i="1"/>
  <c r="AK29" i="1"/>
  <c r="AK30" i="1"/>
  <c r="AK31" i="1"/>
  <c r="AK32" i="1"/>
  <c r="AK33" i="1"/>
  <c r="AK38" i="1"/>
  <c r="AK39" i="1"/>
  <c r="AK40" i="1"/>
  <c r="AK41" i="1"/>
  <c r="AK42" i="1"/>
  <c r="AK43" i="1"/>
  <c r="AK44" i="1"/>
  <c r="AK45" i="1"/>
  <c r="AK46" i="1"/>
  <c r="AK48" i="1"/>
  <c r="AK49" i="1"/>
  <c r="AK51" i="1"/>
  <c r="AK52" i="1"/>
  <c r="AK53" i="1"/>
  <c r="AK54" i="1"/>
  <c r="AK55" i="1"/>
  <c r="AK57" i="1"/>
  <c r="AK58" i="1"/>
  <c r="AK59" i="1"/>
  <c r="AK60" i="1"/>
  <c r="AK61" i="1"/>
  <c r="AK64" i="1"/>
  <c r="AK65" i="1"/>
  <c r="AK66" i="1"/>
  <c r="AK67" i="1"/>
  <c r="AK68" i="1"/>
  <c r="AK70" i="1"/>
  <c r="AK72" i="1"/>
  <c r="AK73" i="1"/>
  <c r="AK74" i="1"/>
  <c r="AK76" i="1"/>
  <c r="AK78" i="1"/>
  <c r="AK79" i="1"/>
  <c r="AK80" i="1"/>
  <c r="AK82" i="1"/>
  <c r="AK83" i="1"/>
  <c r="AK85" i="1"/>
  <c r="AK88" i="1"/>
  <c r="AK90" i="1"/>
  <c r="AK91" i="1"/>
  <c r="AK92" i="1"/>
  <c r="AK93" i="1"/>
  <c r="AK94" i="1"/>
  <c r="AK95" i="1"/>
  <c r="AK96" i="1"/>
  <c r="AK98" i="1"/>
  <c r="AK99" i="1"/>
  <c r="AK100" i="1"/>
  <c r="AK101" i="1"/>
  <c r="AK102" i="1"/>
  <c r="AK103" i="1"/>
  <c r="AK104" i="1"/>
  <c r="AK106" i="1"/>
  <c r="AK107" i="1"/>
  <c r="AK108" i="1"/>
  <c r="AK109" i="1"/>
  <c r="AK110" i="1"/>
  <c r="AK111" i="1"/>
  <c r="AK112" i="1"/>
  <c r="AK113" i="1"/>
  <c r="AK114" i="1"/>
  <c r="AK115" i="1"/>
  <c r="AK116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M130" i="1" l="1"/>
  <c r="U130" i="1" s="1"/>
  <c r="Z130" i="1" s="1"/>
  <c r="L130" i="1"/>
  <c r="M129" i="1"/>
  <c r="U129" i="1" s="1"/>
  <c r="Z129" i="1" s="1"/>
  <c r="L129" i="1"/>
  <c r="M128" i="1"/>
  <c r="U128" i="1" s="1"/>
  <c r="Z128" i="1" s="1"/>
  <c r="L128" i="1"/>
  <c r="M127" i="1"/>
  <c r="U127" i="1" s="1"/>
  <c r="Z127" i="1" s="1"/>
  <c r="L127" i="1"/>
  <c r="M126" i="1"/>
  <c r="U126" i="1" s="1"/>
  <c r="Z126" i="1" s="1"/>
  <c r="L126" i="1"/>
  <c r="M125" i="1"/>
  <c r="U125" i="1" s="1"/>
  <c r="Z125" i="1" s="1"/>
  <c r="L125" i="1"/>
  <c r="M124" i="1"/>
  <c r="U124" i="1" s="1"/>
  <c r="Z124" i="1" s="1"/>
  <c r="L124" i="1"/>
  <c r="M123" i="1"/>
  <c r="U123" i="1" s="1"/>
  <c r="Z123" i="1" s="1"/>
  <c r="L123" i="1"/>
  <c r="M122" i="1"/>
  <c r="U122" i="1" s="1"/>
  <c r="Z122" i="1" s="1"/>
  <c r="L122" i="1"/>
  <c r="F121" i="1"/>
  <c r="E121" i="1"/>
  <c r="M121" i="1" s="1"/>
  <c r="U121" i="1" s="1"/>
  <c r="M120" i="1"/>
  <c r="U120" i="1" s="1"/>
  <c r="Z120" i="1" s="1"/>
  <c r="L120" i="1"/>
  <c r="M119" i="1"/>
  <c r="U119" i="1" s="1"/>
  <c r="Z119" i="1" s="1"/>
  <c r="L119" i="1"/>
  <c r="M118" i="1"/>
  <c r="U118" i="1" s="1"/>
  <c r="Z118" i="1" s="1"/>
  <c r="L118" i="1"/>
  <c r="M117" i="1"/>
  <c r="U117" i="1" s="1"/>
  <c r="V117" i="1" s="1"/>
  <c r="W117" i="1" s="1"/>
  <c r="L117" i="1"/>
  <c r="M116" i="1"/>
  <c r="U116" i="1" s="1"/>
  <c r="L116" i="1"/>
  <c r="M115" i="1"/>
  <c r="U115" i="1" s="1"/>
  <c r="Z115" i="1" s="1"/>
  <c r="L115" i="1"/>
  <c r="M114" i="1"/>
  <c r="U114" i="1" s="1"/>
  <c r="L114" i="1"/>
  <c r="M113" i="1"/>
  <c r="U113" i="1" s="1"/>
  <c r="Z113" i="1" s="1"/>
  <c r="L113" i="1"/>
  <c r="M112" i="1"/>
  <c r="U112" i="1" s="1"/>
  <c r="Z112" i="1" s="1"/>
  <c r="L112" i="1"/>
  <c r="M111" i="1"/>
  <c r="U111" i="1" s="1"/>
  <c r="L111" i="1"/>
  <c r="M110" i="1"/>
  <c r="U110" i="1" s="1"/>
  <c r="Z110" i="1" s="1"/>
  <c r="L110" i="1"/>
  <c r="M109" i="1"/>
  <c r="U109" i="1" s="1"/>
  <c r="Z109" i="1" s="1"/>
  <c r="L109" i="1"/>
  <c r="M108" i="1"/>
  <c r="U108" i="1" s="1"/>
  <c r="Z108" i="1" s="1"/>
  <c r="L108" i="1"/>
  <c r="M107" i="1"/>
  <c r="U107" i="1" s="1"/>
  <c r="Z107" i="1" s="1"/>
  <c r="L107" i="1"/>
  <c r="M106" i="1"/>
  <c r="U106" i="1" s="1"/>
  <c r="Z106" i="1" s="1"/>
  <c r="L106" i="1"/>
  <c r="M105" i="1"/>
  <c r="U105" i="1" s="1"/>
  <c r="V105" i="1" s="1"/>
  <c r="W105" i="1" s="1"/>
  <c r="L105" i="1"/>
  <c r="M104" i="1"/>
  <c r="U104" i="1" s="1"/>
  <c r="Z104" i="1" s="1"/>
  <c r="L104" i="1"/>
  <c r="M103" i="1"/>
  <c r="U103" i="1" s="1"/>
  <c r="L103" i="1"/>
  <c r="M102" i="1"/>
  <c r="U102" i="1" s="1"/>
  <c r="Z102" i="1" s="1"/>
  <c r="L102" i="1"/>
  <c r="M101" i="1"/>
  <c r="U101" i="1" s="1"/>
  <c r="Z101" i="1" s="1"/>
  <c r="L101" i="1"/>
  <c r="M100" i="1"/>
  <c r="U100" i="1" s="1"/>
  <c r="Z100" i="1" s="1"/>
  <c r="L100" i="1"/>
  <c r="M99" i="1"/>
  <c r="U99" i="1" s="1"/>
  <c r="Z99" i="1" s="1"/>
  <c r="L99" i="1"/>
  <c r="M98" i="1"/>
  <c r="U98" i="1" s="1"/>
  <c r="Z98" i="1" s="1"/>
  <c r="L98" i="1"/>
  <c r="M97" i="1"/>
  <c r="U97" i="1" s="1"/>
  <c r="AA97" i="1" s="1"/>
  <c r="L97" i="1"/>
  <c r="M96" i="1"/>
  <c r="U96" i="1" s="1"/>
  <c r="L96" i="1"/>
  <c r="F96" i="1"/>
  <c r="Z96" i="1" s="1"/>
  <c r="M95" i="1"/>
  <c r="U95" i="1" s="1"/>
  <c r="Z95" i="1" s="1"/>
  <c r="L95" i="1"/>
  <c r="M94" i="1"/>
  <c r="U94" i="1" s="1"/>
  <c r="Z94" i="1" s="1"/>
  <c r="L94" i="1"/>
  <c r="M93" i="1"/>
  <c r="U93" i="1" s="1"/>
  <c r="L93" i="1"/>
  <c r="M92" i="1"/>
  <c r="U92" i="1" s="1"/>
  <c r="Z92" i="1" s="1"/>
  <c r="L92" i="1"/>
  <c r="M91" i="1"/>
  <c r="U91" i="1" s="1"/>
  <c r="L91" i="1"/>
  <c r="M90" i="1"/>
  <c r="U90" i="1" s="1"/>
  <c r="Z90" i="1" s="1"/>
  <c r="L90" i="1"/>
  <c r="M89" i="1"/>
  <c r="U89" i="1" s="1"/>
  <c r="V89" i="1" s="1"/>
  <c r="W89" i="1" s="1"/>
  <c r="L89" i="1"/>
  <c r="M88" i="1"/>
  <c r="U88" i="1" s="1"/>
  <c r="Z88" i="1" s="1"/>
  <c r="L88" i="1"/>
  <c r="M87" i="1"/>
  <c r="U87" i="1" s="1"/>
  <c r="V87" i="1" s="1"/>
  <c r="L87" i="1"/>
  <c r="M86" i="1"/>
  <c r="U86" i="1" s="1"/>
  <c r="V86" i="1" s="1"/>
  <c r="L86" i="1"/>
  <c r="M85" i="1"/>
  <c r="U85" i="1" s="1"/>
  <c r="Z85" i="1" s="1"/>
  <c r="L85" i="1"/>
  <c r="M84" i="1"/>
  <c r="U84" i="1" s="1"/>
  <c r="V84" i="1" s="1"/>
  <c r="L84" i="1"/>
  <c r="M83" i="1"/>
  <c r="U83" i="1" s="1"/>
  <c r="Z83" i="1" s="1"/>
  <c r="L83" i="1"/>
  <c r="M82" i="1"/>
  <c r="U82" i="1" s="1"/>
  <c r="Z82" i="1" s="1"/>
  <c r="L82" i="1"/>
  <c r="M81" i="1"/>
  <c r="U81" i="1" s="1"/>
  <c r="V81" i="1" s="1"/>
  <c r="W81" i="1" s="1"/>
  <c r="L81" i="1"/>
  <c r="M80" i="1"/>
  <c r="U80" i="1" s="1"/>
  <c r="Z80" i="1" s="1"/>
  <c r="L80" i="1"/>
  <c r="M79" i="1"/>
  <c r="U79" i="1" s="1"/>
  <c r="Z79" i="1" s="1"/>
  <c r="L79" i="1"/>
  <c r="M78" i="1"/>
  <c r="U78" i="1" s="1"/>
  <c r="L78" i="1"/>
  <c r="M77" i="1"/>
  <c r="U77" i="1" s="1"/>
  <c r="AA77" i="1" s="1"/>
  <c r="L77" i="1"/>
  <c r="M76" i="1"/>
  <c r="U76" i="1" s="1"/>
  <c r="Z76" i="1" s="1"/>
  <c r="L76" i="1"/>
  <c r="M75" i="1"/>
  <c r="U75" i="1" s="1"/>
  <c r="AA75" i="1" s="1"/>
  <c r="L75" i="1"/>
  <c r="M74" i="1"/>
  <c r="U74" i="1" s="1"/>
  <c r="Z74" i="1" s="1"/>
  <c r="L74" i="1"/>
  <c r="M73" i="1"/>
  <c r="U73" i="1" s="1"/>
  <c r="Z73" i="1" s="1"/>
  <c r="L73" i="1"/>
  <c r="M72" i="1"/>
  <c r="U72" i="1" s="1"/>
  <c r="Z72" i="1" s="1"/>
  <c r="L72" i="1"/>
  <c r="M71" i="1"/>
  <c r="U71" i="1" s="1"/>
  <c r="V71" i="1" s="1"/>
  <c r="L71" i="1"/>
  <c r="M70" i="1"/>
  <c r="U70" i="1" s="1"/>
  <c r="Z70" i="1" s="1"/>
  <c r="L70" i="1"/>
  <c r="M69" i="1"/>
  <c r="U69" i="1" s="1"/>
  <c r="V69" i="1" s="1"/>
  <c r="L69" i="1"/>
  <c r="M68" i="1"/>
  <c r="U68" i="1" s="1"/>
  <c r="L68" i="1"/>
  <c r="M67" i="1"/>
  <c r="U67" i="1" s="1"/>
  <c r="Z67" i="1" s="1"/>
  <c r="L67" i="1"/>
  <c r="M66" i="1"/>
  <c r="U66" i="1" s="1"/>
  <c r="Z66" i="1" s="1"/>
  <c r="L66" i="1"/>
  <c r="M65" i="1"/>
  <c r="U65" i="1" s="1"/>
  <c r="Z65" i="1" s="1"/>
  <c r="L65" i="1"/>
  <c r="M64" i="1"/>
  <c r="U64" i="1" s="1"/>
  <c r="Z64" i="1" s="1"/>
  <c r="L64" i="1"/>
  <c r="M63" i="1"/>
  <c r="U63" i="1" s="1"/>
  <c r="V63" i="1" s="1"/>
  <c r="L63" i="1"/>
  <c r="M62" i="1"/>
  <c r="U62" i="1" s="1"/>
  <c r="L62" i="1"/>
  <c r="M61" i="1"/>
  <c r="U61" i="1" s="1"/>
  <c r="L61" i="1"/>
  <c r="M60" i="1"/>
  <c r="U60" i="1" s="1"/>
  <c r="Z60" i="1" s="1"/>
  <c r="L60" i="1"/>
  <c r="M59" i="1"/>
  <c r="U59" i="1" s="1"/>
  <c r="Z59" i="1" s="1"/>
  <c r="L59" i="1"/>
  <c r="M58" i="1"/>
  <c r="U58" i="1" s="1"/>
  <c r="Z58" i="1" s="1"/>
  <c r="L58" i="1"/>
  <c r="M57" i="1"/>
  <c r="U57" i="1" s="1"/>
  <c r="Z57" i="1" s="1"/>
  <c r="L57" i="1"/>
  <c r="M56" i="1"/>
  <c r="U56" i="1" s="1"/>
  <c r="V56" i="1" s="1"/>
  <c r="L56" i="1"/>
  <c r="F55" i="1"/>
  <c r="E55" i="1"/>
  <c r="L55" i="1" s="1"/>
  <c r="M54" i="1"/>
  <c r="U54" i="1" s="1"/>
  <c r="Z54" i="1" s="1"/>
  <c r="L54" i="1"/>
  <c r="M53" i="1"/>
  <c r="U53" i="1" s="1"/>
  <c r="Z53" i="1" s="1"/>
  <c r="L53" i="1"/>
  <c r="M52" i="1"/>
  <c r="U52" i="1" s="1"/>
  <c r="Z52" i="1" s="1"/>
  <c r="L52" i="1"/>
  <c r="M51" i="1"/>
  <c r="U51" i="1" s="1"/>
  <c r="Z51" i="1" s="1"/>
  <c r="L51" i="1"/>
  <c r="M50" i="1"/>
  <c r="U50" i="1" s="1"/>
  <c r="V50" i="1" s="1"/>
  <c r="W50" i="1" s="1"/>
  <c r="L50" i="1"/>
  <c r="M49" i="1"/>
  <c r="U49" i="1" s="1"/>
  <c r="Z49" i="1" s="1"/>
  <c r="L49" i="1"/>
  <c r="M48" i="1"/>
  <c r="L48" i="1"/>
  <c r="M47" i="1"/>
  <c r="U47" i="1" s="1"/>
  <c r="V47" i="1" s="1"/>
  <c r="L47" i="1"/>
  <c r="M46" i="1"/>
  <c r="U46" i="1" s="1"/>
  <c r="Z46" i="1" s="1"/>
  <c r="L46" i="1"/>
  <c r="M45" i="1"/>
  <c r="U45" i="1" s="1"/>
  <c r="Z45" i="1" s="1"/>
  <c r="L45" i="1"/>
  <c r="M44" i="1"/>
  <c r="U44" i="1" s="1"/>
  <c r="Z44" i="1" s="1"/>
  <c r="L44" i="1"/>
  <c r="M43" i="1"/>
  <c r="U43" i="1" s="1"/>
  <c r="Z43" i="1" s="1"/>
  <c r="L43" i="1"/>
  <c r="M42" i="1"/>
  <c r="U42" i="1" s="1"/>
  <c r="Z42" i="1" s="1"/>
  <c r="L42" i="1"/>
  <c r="M41" i="1"/>
  <c r="U41" i="1" s="1"/>
  <c r="L41" i="1"/>
  <c r="M40" i="1"/>
  <c r="U40" i="1" s="1"/>
  <c r="L40" i="1"/>
  <c r="M39" i="1"/>
  <c r="U39" i="1" s="1"/>
  <c r="Z39" i="1" s="1"/>
  <c r="L39" i="1"/>
  <c r="M38" i="1"/>
  <c r="U38" i="1" s="1"/>
  <c r="L38" i="1"/>
  <c r="M37" i="1"/>
  <c r="U37" i="1" s="1"/>
  <c r="V37" i="1" s="1"/>
  <c r="L37" i="1"/>
  <c r="M36" i="1"/>
  <c r="U36" i="1" s="1"/>
  <c r="V36" i="1" s="1"/>
  <c r="L36" i="1"/>
  <c r="M35" i="1"/>
  <c r="U35" i="1" s="1"/>
  <c r="V35" i="1" s="1"/>
  <c r="L35" i="1"/>
  <c r="M34" i="1"/>
  <c r="U34" i="1" s="1"/>
  <c r="V34" i="1" s="1"/>
  <c r="L34" i="1"/>
  <c r="M33" i="1"/>
  <c r="U33" i="1" s="1"/>
  <c r="Z33" i="1" s="1"/>
  <c r="L33" i="1"/>
  <c r="M32" i="1"/>
  <c r="U32" i="1" s="1"/>
  <c r="Z32" i="1" s="1"/>
  <c r="L32" i="1"/>
  <c r="M31" i="1"/>
  <c r="U31" i="1" s="1"/>
  <c r="Z31" i="1" s="1"/>
  <c r="L31" i="1"/>
  <c r="M30" i="1"/>
  <c r="U30" i="1" s="1"/>
  <c r="Z30" i="1" s="1"/>
  <c r="L30" i="1"/>
  <c r="M29" i="1"/>
  <c r="U29" i="1" s="1"/>
  <c r="Z29" i="1" s="1"/>
  <c r="L29" i="1"/>
  <c r="M28" i="1"/>
  <c r="U28" i="1" s="1"/>
  <c r="AA28" i="1" s="1"/>
  <c r="L28" i="1"/>
  <c r="M27" i="1"/>
  <c r="U27" i="1" s="1"/>
  <c r="Z27" i="1" s="1"/>
  <c r="L27" i="1"/>
  <c r="M26" i="1"/>
  <c r="U26" i="1" s="1"/>
  <c r="Z26" i="1" s="1"/>
  <c r="L26" i="1"/>
  <c r="M25" i="1"/>
  <c r="U25" i="1" s="1"/>
  <c r="Z25" i="1" s="1"/>
  <c r="L25" i="1"/>
  <c r="M24" i="1"/>
  <c r="U24" i="1" s="1"/>
  <c r="V24" i="1" s="1"/>
  <c r="L24" i="1"/>
  <c r="M23" i="1"/>
  <c r="U23" i="1" s="1"/>
  <c r="Z23" i="1" s="1"/>
  <c r="L23" i="1"/>
  <c r="M22" i="1"/>
  <c r="U22" i="1" s="1"/>
  <c r="V22" i="1" s="1"/>
  <c r="L22" i="1"/>
  <c r="M21" i="1"/>
  <c r="U21" i="1" s="1"/>
  <c r="Z21" i="1" s="1"/>
  <c r="L21" i="1"/>
  <c r="M20" i="1"/>
  <c r="U20" i="1" s="1"/>
  <c r="V20" i="1" s="1"/>
  <c r="L20" i="1"/>
  <c r="M19" i="1"/>
  <c r="U19" i="1" s="1"/>
  <c r="Z19" i="1" s="1"/>
  <c r="L19" i="1"/>
  <c r="M18" i="1"/>
  <c r="U18" i="1" s="1"/>
  <c r="Z18" i="1" s="1"/>
  <c r="L18" i="1"/>
  <c r="M17" i="1"/>
  <c r="U17" i="1" s="1"/>
  <c r="Z17" i="1" s="1"/>
  <c r="L17" i="1"/>
  <c r="M16" i="1"/>
  <c r="U16" i="1" s="1"/>
  <c r="V16" i="1" s="1"/>
  <c r="L16" i="1"/>
  <c r="M15" i="1"/>
  <c r="U15" i="1" s="1"/>
  <c r="V15" i="1" s="1"/>
  <c r="L15" i="1"/>
  <c r="M14" i="1"/>
  <c r="U14" i="1" s="1"/>
  <c r="V14" i="1" s="1"/>
  <c r="W14" i="1" s="1"/>
  <c r="L14" i="1"/>
  <c r="M13" i="1"/>
  <c r="U13" i="1" s="1"/>
  <c r="L13" i="1"/>
  <c r="M12" i="1"/>
  <c r="U12" i="1" s="1"/>
  <c r="Z12" i="1" s="1"/>
  <c r="L12" i="1"/>
  <c r="M11" i="1"/>
  <c r="U11" i="1" s="1"/>
  <c r="V11" i="1" s="1"/>
  <c r="L11" i="1"/>
  <c r="M10" i="1"/>
  <c r="U10" i="1" s="1"/>
  <c r="L10" i="1"/>
  <c r="M9" i="1"/>
  <c r="U9" i="1" s="1"/>
  <c r="Z9" i="1" s="1"/>
  <c r="L9" i="1"/>
  <c r="M8" i="1"/>
  <c r="U8" i="1" s="1"/>
  <c r="V8" i="1" s="1"/>
  <c r="L8" i="1"/>
  <c r="M7" i="1"/>
  <c r="U7" i="1" s="1"/>
  <c r="Z7" i="1" s="1"/>
  <c r="L7" i="1"/>
  <c r="M6" i="1"/>
  <c r="U6" i="1" s="1"/>
  <c r="V6" i="1" s="1"/>
  <c r="L6" i="1"/>
  <c r="AI5" i="1"/>
  <c r="AH5" i="1"/>
  <c r="AG5" i="1"/>
  <c r="AF5" i="1"/>
  <c r="AE5" i="1"/>
  <c r="AD5" i="1"/>
  <c r="AC5" i="1"/>
  <c r="AB5" i="1"/>
  <c r="T5" i="1"/>
  <c r="S5" i="1"/>
  <c r="R5" i="1"/>
  <c r="Q5" i="1"/>
  <c r="P5" i="1"/>
  <c r="O5" i="1"/>
  <c r="N5" i="1"/>
  <c r="K5" i="1"/>
  <c r="Z48" i="1" l="1"/>
  <c r="U48" i="1"/>
  <c r="Z121" i="1"/>
  <c r="AA103" i="1"/>
  <c r="Z103" i="1"/>
  <c r="AK105" i="1"/>
  <c r="Z105" i="1"/>
  <c r="AA111" i="1"/>
  <c r="Z111" i="1"/>
  <c r="AA114" i="1"/>
  <c r="Z114" i="1"/>
  <c r="AA116" i="1"/>
  <c r="Z116" i="1"/>
  <c r="AK117" i="1"/>
  <c r="Z117" i="1"/>
  <c r="Z6" i="1"/>
  <c r="AK6" i="1"/>
  <c r="Z8" i="1"/>
  <c r="AK8" i="1"/>
  <c r="AA10" i="1"/>
  <c r="Z10" i="1"/>
  <c r="AK11" i="1"/>
  <c r="Z11" i="1"/>
  <c r="AA13" i="1"/>
  <c r="Z13" i="1"/>
  <c r="Z14" i="1"/>
  <c r="AK14" i="1"/>
  <c r="AK15" i="1"/>
  <c r="Z15" i="1"/>
  <c r="Z16" i="1"/>
  <c r="AK16" i="1"/>
  <c r="Z20" i="1"/>
  <c r="AK20" i="1"/>
  <c r="Z22" i="1"/>
  <c r="AK22" i="1"/>
  <c r="Z24" i="1"/>
  <c r="AK24" i="1"/>
  <c r="Z34" i="1"/>
  <c r="AK34" i="1"/>
  <c r="AK35" i="1"/>
  <c r="Z35" i="1"/>
  <c r="Z36" i="1"/>
  <c r="AK36" i="1"/>
  <c r="AK37" i="1"/>
  <c r="Z37" i="1"/>
  <c r="AA38" i="1"/>
  <c r="Z38" i="1"/>
  <c r="AA40" i="1"/>
  <c r="Z40" i="1"/>
  <c r="AA41" i="1"/>
  <c r="Z41" i="1"/>
  <c r="AK47" i="1"/>
  <c r="Z47" i="1"/>
  <c r="Z50" i="1"/>
  <c r="AK50" i="1"/>
  <c r="Z56" i="1"/>
  <c r="AK56" i="1"/>
  <c r="AA61" i="1"/>
  <c r="Z61" i="1"/>
  <c r="AK63" i="1"/>
  <c r="Z63" i="1"/>
  <c r="AA68" i="1"/>
  <c r="Z68" i="1"/>
  <c r="AK69" i="1"/>
  <c r="Z69" i="1"/>
  <c r="AK71" i="1"/>
  <c r="Z71" i="1"/>
  <c r="AA78" i="1"/>
  <c r="Z78" i="1"/>
  <c r="AK81" i="1"/>
  <c r="Z81" i="1"/>
  <c r="Z84" i="1"/>
  <c r="AK84" i="1"/>
  <c r="Z86" i="1"/>
  <c r="AK86" i="1"/>
  <c r="AK87" i="1"/>
  <c r="Z87" i="1"/>
  <c r="AK89" i="1"/>
  <c r="Z89" i="1"/>
  <c r="AA91" i="1"/>
  <c r="Z91" i="1"/>
  <c r="AA93" i="1"/>
  <c r="Z93" i="1"/>
  <c r="AA121" i="1"/>
  <c r="AA101" i="1"/>
  <c r="AA112" i="1"/>
  <c r="AA12" i="1"/>
  <c r="AA60" i="1"/>
  <c r="AA128" i="1"/>
  <c r="V75" i="1"/>
  <c r="W75" i="1" s="1"/>
  <c r="V28" i="1"/>
  <c r="V97" i="1"/>
  <c r="W97" i="1" s="1"/>
  <c r="V77" i="1"/>
  <c r="W77" i="1" s="1"/>
  <c r="V62" i="1"/>
  <c r="AA117" i="1"/>
  <c r="AA71" i="1"/>
  <c r="AA51" i="1"/>
  <c r="AA80" i="1"/>
  <c r="AA88" i="1"/>
  <c r="AA108" i="1"/>
  <c r="AA115" i="1"/>
  <c r="AA23" i="1"/>
  <c r="AA63" i="1"/>
  <c r="AA15" i="1"/>
  <c r="AA43" i="1"/>
  <c r="AA29" i="1"/>
  <c r="AA72" i="1"/>
  <c r="AA84" i="1"/>
  <c r="AA113" i="1"/>
  <c r="AA30" i="1"/>
  <c r="AA49" i="1"/>
  <c r="AA90" i="1"/>
  <c r="AA118" i="1"/>
  <c r="AA125" i="1"/>
  <c r="AA24" i="1"/>
  <c r="AA67" i="1"/>
  <c r="AA96" i="1"/>
  <c r="AA102" i="1"/>
  <c r="AA18" i="1"/>
  <c r="AA31" i="1"/>
  <c r="AA50" i="1"/>
  <c r="AA56" i="1"/>
  <c r="AA73" i="1"/>
  <c r="AA85" i="1"/>
  <c r="AA25" i="1"/>
  <c r="AA44" i="1"/>
  <c r="AA74" i="1"/>
  <c r="AA57" i="1"/>
  <c r="AA86" i="1"/>
  <c r="AA126" i="1"/>
  <c r="AA8" i="1"/>
  <c r="AA33" i="1"/>
  <c r="AA109" i="1"/>
  <c r="AA120" i="1"/>
  <c r="AA127" i="1"/>
  <c r="AA119" i="1"/>
  <c r="AA92" i="1"/>
  <c r="AA66" i="1"/>
  <c r="AA39" i="1"/>
  <c r="AA20" i="1"/>
  <c r="AA26" i="1"/>
  <c r="AA69" i="1"/>
  <c r="AA34" i="1"/>
  <c r="AA87" i="1"/>
  <c r="AA104" i="1"/>
  <c r="AA110" i="1"/>
  <c r="AA7" i="1"/>
  <c r="AA70" i="1"/>
  <c r="AA46" i="1"/>
  <c r="AA35" i="1"/>
  <c r="AA52" i="1"/>
  <c r="AA76" i="1"/>
  <c r="AA81" i="1"/>
  <c r="AA99" i="1"/>
  <c r="AA105" i="1"/>
  <c r="AA17" i="1"/>
  <c r="AA6" i="1"/>
  <c r="AA19" i="1"/>
  <c r="AA59" i="1"/>
  <c r="AA64" i="1"/>
  <c r="AA122" i="1"/>
  <c r="AA32" i="1"/>
  <c r="AA45" i="1"/>
  <c r="AA9" i="1"/>
  <c r="AA27" i="1"/>
  <c r="AA21" i="1"/>
  <c r="AA22" i="1"/>
  <c r="AA47" i="1"/>
  <c r="AA53" i="1"/>
  <c r="AA106" i="1"/>
  <c r="AA82" i="1"/>
  <c r="AA94" i="1"/>
  <c r="AA65" i="1"/>
  <c r="AA123" i="1"/>
  <c r="AA129" i="1"/>
  <c r="AA100" i="1"/>
  <c r="AA11" i="1"/>
  <c r="AA54" i="1"/>
  <c r="AA36" i="1"/>
  <c r="AA16" i="1"/>
  <c r="AA37" i="1"/>
  <c r="AA83" i="1"/>
  <c r="AA89" i="1"/>
  <c r="AA95" i="1"/>
  <c r="AA107" i="1"/>
  <c r="AA124" i="1"/>
  <c r="AA130" i="1"/>
  <c r="AA98" i="1"/>
  <c r="E5" i="1"/>
  <c r="F5" i="1"/>
  <c r="L121" i="1"/>
  <c r="L5" i="1" s="1"/>
  <c r="M55" i="1"/>
  <c r="AA48" i="1"/>
  <c r="AA58" i="1"/>
  <c r="AA14" i="1"/>
  <c r="AA42" i="1"/>
  <c r="AA62" i="1"/>
  <c r="AA79" i="1"/>
  <c r="Z62" i="1" l="1"/>
  <c r="AK62" i="1"/>
  <c r="AK97" i="1"/>
  <c r="Z97" i="1"/>
  <c r="AK75" i="1"/>
  <c r="Z75" i="1"/>
  <c r="W5" i="1"/>
  <c r="AK77" i="1"/>
  <c r="Z77" i="1"/>
  <c r="Z28" i="1"/>
  <c r="AK28" i="1"/>
  <c r="U55" i="1"/>
  <c r="Z55" i="1" s="1"/>
  <c r="M5" i="1"/>
  <c r="AK5" i="1" l="1"/>
  <c r="V5" i="1"/>
  <c r="AA55" i="1"/>
  <c r="U5" i="1"/>
</calcChain>
</file>

<file path=xl/sharedStrings.xml><?xml version="1.0" encoding="utf-8"?>
<sst xmlns="http://schemas.openxmlformats.org/spreadsheetml/2006/main" count="490" uniqueCount="191">
  <si>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</si>
  <si>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</si>
  <si>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</si>
  <si>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</si>
  <si>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</si>
  <si>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</si>
  <si>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</si>
  <si>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</si>
  <si>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</si>
  <si>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</si>
  <si>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</si>
  <si>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</si>
  <si>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</si>
  <si>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</si>
  <si>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</si>
  <si>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</si>
  <si>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</si>
  <si>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</si>
  <si>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</si>
  <si>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</si>
  <si>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</si>
  <si>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</si>
  <si>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26,09,</t>
  </si>
  <si>
    <t>26,09,доз</t>
  </si>
  <si>
    <t>28,09,</t>
  </si>
  <si>
    <t>28,09,доз</t>
  </si>
  <si>
    <t>03,10,</t>
  </si>
  <si>
    <t>04,10,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</si>
  <si>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</si>
  <si>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</si>
  <si>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</si>
  <si>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</si>
  <si>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</si>
  <si>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</si>
  <si>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</si>
  <si>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</si>
  <si>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</si>
  <si>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</si>
  <si>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</si>
  <si>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</si>
  <si>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</si>
  <si>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</si>
  <si>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</si>
  <si>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</si>
  <si>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</si>
  <si>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</si>
  <si>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</si>
  <si>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>нужно увеличить продажи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</si>
  <si>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</si>
  <si>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</si>
  <si>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</si>
  <si>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</si>
  <si>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</si>
  <si>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</si>
  <si>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</si>
  <si>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</si>
  <si>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</si>
  <si>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</si>
  <si>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</si>
  <si>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</si>
  <si>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</si>
  <si>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</si>
  <si>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</si>
  <si>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</si>
  <si>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</si>
  <si>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</si>
  <si>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</si>
  <si>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</si>
  <si>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</si>
  <si>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</si>
  <si>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</si>
  <si>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</si>
  <si>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</si>
  <si>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</si>
  <si>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</si>
  <si>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</si>
  <si>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</si>
  <si>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</si>
  <si>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нужно увеличить продажи!!!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</si>
  <si>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</si>
  <si>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</si>
  <si>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</si>
  <si>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</si>
  <si>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</si>
  <si>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</si>
  <si>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</si>
  <si>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</si>
  <si>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</si>
  <si>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</si>
  <si>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</si>
  <si>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</si>
  <si>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</si>
  <si>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</si>
  <si>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</si>
  <si>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</si>
  <si>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</si>
  <si>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</si>
  <si>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</si>
  <si>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</si>
  <si>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</si>
  <si>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</si>
  <si>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</si>
  <si>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</si>
  <si>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</si>
  <si>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</si>
  <si>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</si>
  <si>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</si>
  <si>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</si>
  <si>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</si>
  <si>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</si>
  <si>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</si>
  <si>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</si>
  <si>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</si>
  <si>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</si>
  <si>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</si>
  <si>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</si>
  <si>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</si>
  <si>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</si>
  <si>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</si>
  <si>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ВНИМАНИЕ / матрица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</si>
  <si>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</si>
  <si>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</si>
  <si>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</si>
  <si>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</si>
  <si>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</si>
  <si>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</si>
  <si>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</si>
  <si>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</si>
  <si>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</si>
  <si>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</si>
  <si>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</si>
  <si>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</si>
  <si>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</si>
  <si>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</si>
  <si>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</si>
  <si>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</si>
  <si>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</si>
  <si>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</si>
  <si>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</si>
  <si>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</si>
  <si>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</si>
  <si>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</si>
  <si>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</si>
  <si>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</si>
  <si>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</si>
  <si>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</si>
  <si>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</si>
  <si>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</si>
  <si>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298шт списано (29,09,26)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</si>
  <si>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</si>
  <si>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</si>
  <si>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</si>
  <si>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</si>
  <si>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</si>
  <si>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</si>
  <si>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</si>
  <si>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</si>
  <si>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</si>
  <si>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</si>
  <si>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</si>
  <si>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</si>
  <si>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</si>
  <si>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</si>
  <si>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</si>
  <si>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</si>
  <si>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</si>
  <si>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</si>
  <si>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</si>
  <si>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</si>
  <si>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</si>
  <si>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</si>
  <si>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</si>
  <si>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</si>
  <si>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</si>
  <si>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</si>
  <si>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</si>
  <si>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</si>
  <si>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</si>
  <si>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</si>
  <si>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</si>
  <si>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</si>
  <si>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</si>
  <si>
    <t>ТК</t>
  </si>
  <si>
    <t>Рекуто</t>
  </si>
  <si>
    <t>ТК ком</t>
  </si>
  <si>
    <t>до 600 кг (акция октябрь)</t>
  </si>
  <si>
    <t>заказываем с 02,10,26</t>
  </si>
  <si>
    <t>!!! / НЕДОГРУЗ / матрица</t>
  </si>
  <si>
    <t>заказ</t>
  </si>
  <si>
    <t>05,10,</t>
  </si>
  <si>
    <t>нет потребности / 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</si>
</sst>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8" borderId="1" xfId="1" applyNumberFormat="1" applyFill="1" applyBorder="1"/>
    <xf numFmtId="164" fontId="1" fillId="9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%20(&#1056;&#1077;&#1082;&#1091;&#1090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 xml:space="preserve"> 281  Сосиски Молочные для завтрака ТМ Особый рецепт, 0,4кг  ПОКОМ</v>
          </cell>
          <cell r="B1" t="str">
            <v>до 400 шт (заказ сети)</v>
          </cell>
        </row>
        <row r="2">
          <cell r="A2" t="str">
            <v xml:space="preserve"> 296  Колбаса Мясорубская с рубленой грудинкой 0,35кг срез ТМ Стародворье  ПОКОМ</v>
          </cell>
          <cell r="B2" t="str">
            <v>до 80 шт</v>
          </cell>
        </row>
        <row r="3">
          <cell r="A3" t="str">
            <v xml:space="preserve"> 302  Сосиски Сочинки по-баварски,  0.4кг, ТМ Стародворье  ПОКОМ</v>
          </cell>
          <cell r="B3" t="str">
            <v>до 150 шт</v>
          </cell>
        </row>
        <row r="4">
          <cell r="A4" t="str">
            <v xml:space="preserve"> 305  Колбаса Сервелат Мясорубский с мелкорубленным окороком в/у  ТМ Стародворье ВЕС   ПОКОМ</v>
          </cell>
          <cell r="B4" t="str">
            <v>до 200 кг</v>
          </cell>
        </row>
        <row r="5">
          <cell r="A5" t="str">
            <v xml:space="preserve"> 307  Колбаса Сервелат Мясорубский с мелкорубленным окороком 0,35 кг срез ТМ Стародворье   Поком</v>
          </cell>
          <cell r="B5" t="str">
            <v>до 100шт</v>
          </cell>
        </row>
        <row r="6">
          <cell r="A6" t="str">
            <v xml:space="preserve"> 312  Ветчина Филейская ВЕС ТМ  Вязанка ТС Столичная  ПОКОМ</v>
          </cell>
          <cell r="B6" t="str">
            <v>до 200 кг (акция октябрь)</v>
          </cell>
        </row>
        <row r="7">
          <cell r="A7" t="str">
            <v xml:space="preserve"> 315  Колбаса вареная Молокуша ТМ Вязанка ВЕС, ПОКОМ</v>
          </cell>
          <cell r="B7" t="str">
            <v>до 200 кг (акция октябрь)</v>
          </cell>
        </row>
        <row r="8">
          <cell r="A8" t="str">
            <v xml:space="preserve"> 330  Колбаса вареная Филейская ТМ Вязанка ТС Классическая ВЕС  ПОКОМ</v>
          </cell>
          <cell r="B8" t="str">
            <v>до 400 кг (акция октябрь)</v>
          </cell>
        </row>
        <row r="9">
          <cell r="A9" t="str">
            <v xml:space="preserve"> 335  Колбаса Сливушка ТМ Вязанка. ВЕС.  ПОКОМ</v>
          </cell>
          <cell r="B9" t="str">
            <v>до 600 кг (акция октябрь)</v>
          </cell>
        </row>
        <row r="10">
          <cell r="A10" t="str">
            <v xml:space="preserve"> 340  Сосиски Сочинки Молочные ТМ Стародворье, ВЕС ПОКОМ</v>
          </cell>
          <cell r="B10" t="str">
            <v>до 200 кг</v>
          </cell>
        </row>
        <row r="11">
          <cell r="A11" t="str">
            <v xml:space="preserve"> 341 Сосиски Сочинки Сливочные ТМ Стародворье ВЕС ПОКОМ</v>
          </cell>
          <cell r="B11" t="str">
            <v>до 150 кг</v>
          </cell>
        </row>
        <row r="12">
          <cell r="A12" t="str">
            <v xml:space="preserve"> 343 Сосиски Сочинки Сливочные ТМ Стародворье  0,4 кг ПОКОМ</v>
          </cell>
          <cell r="B12" t="str">
            <v>до 100 шт</v>
          </cell>
        </row>
        <row r="13">
          <cell r="A13" t="str">
            <v xml:space="preserve"> 346  Колбаса Сочинка зернистая с сочной грудинкой ТМ Стародворье.ВЕС ПОКОМ</v>
          </cell>
          <cell r="B13" t="str">
            <v>200 кг</v>
          </cell>
        </row>
        <row r="14">
          <cell r="A14" t="str">
            <v xml:space="preserve"> 345  Колбаса Сочинка по-фински с сочным окроком ТМ Стародворье ВЕС ПОКОМ</v>
          </cell>
          <cell r="B14" t="str">
            <v>до 50 кг</v>
          </cell>
        </row>
        <row r="15">
          <cell r="A15" t="str">
            <v xml:space="preserve"> 347  Колбаса Сочинка рубленая с сочным окороком ТМ Стародворье ВЕС ПОКОМ</v>
          </cell>
          <cell r="B15" t="str">
            <v>до 100 кг</v>
          </cell>
        </row>
        <row r="16">
          <cell r="A16" t="str">
            <v xml:space="preserve"> 355  Колбаса Сервелат запеченный ТМ Стародворье ТС Дугушка. 0,6 кг. ПОКОМ</v>
          </cell>
          <cell r="B16" t="str">
            <v>до 150 шт (заказ сети)</v>
          </cell>
        </row>
        <row r="17">
          <cell r="A17" t="str">
            <v xml:space="preserve"> 410  Сосиски Баварские с сыром ТМ Стародворье 0,35 кг. ПОКОМ</v>
          </cell>
          <cell r="B17" t="str">
            <v>50 шт</v>
          </cell>
        </row>
        <row r="18">
          <cell r="A18" t="str">
            <v xml:space="preserve"> 449  Колбаса Дугушка Стародворская ВЕС ТС Дугушка ПОКОМ</v>
          </cell>
          <cell r="B18" t="str">
            <v>до 900 кг</v>
          </cell>
        </row>
        <row r="19">
          <cell r="A19" t="str">
            <v xml:space="preserve"> 456  Колбаса Филейная ТМ Особый рецепт ВЕС большой батон  ПОКОМ</v>
          </cell>
          <cell r="B19" t="str">
            <v>до 1000 кг</v>
          </cell>
        </row>
        <row r="20">
          <cell r="A20" t="str">
            <v xml:space="preserve"> 457  Колбаса Молочная ТМ Особый рецепт ВЕС большой батон  ПОКОМ</v>
          </cell>
          <cell r="B20" t="str">
            <v>500 кг</v>
          </cell>
        </row>
        <row r="21">
          <cell r="A21" t="str">
            <v xml:space="preserve"> 524  Колбаса Сервелат Ореховый нарезка 0,07кг ТМ Стародворье  ПОКОМ</v>
          </cell>
          <cell r="B21" t="str">
            <v>до 100 шт(спец задача на октябрь)</v>
          </cell>
        </row>
        <row r="22">
          <cell r="A22" t="str">
            <v xml:space="preserve"> 556  Колбаса Сервелат Ореховый ТМ Вязанка в оболочке фиброуз в вакуумной упаковке, ВЕС  ПОКОМ</v>
          </cell>
          <cell r="B22" t="str">
            <v>150 кг</v>
          </cell>
        </row>
        <row r="23">
          <cell r="A23" t="str">
            <v xml:space="preserve"> 557  Колбаса Сервелат Финский ТМ Вязанка в оболочке фиброуз в вакуумной упаковке, ВЕС  ПОКОМ</v>
          </cell>
          <cell r="B23" t="str">
            <v>150 кг</v>
          </cell>
        </row>
        <row r="24">
          <cell r="A24" t="str">
            <v xml:space="preserve"> 570  Колбаса Сервелат Финский ТМ Вязанка в оболочке фиброуз в вак. упаковке 0,28 кг срез  ПОКОМ</v>
          </cell>
          <cell r="B24" t="str">
            <v>до 350 шт</v>
          </cell>
        </row>
        <row r="25">
          <cell r="A25" t="str">
            <v xml:space="preserve"> 571  Колбаса Сервелат Ореховый ТМ Вязанка в оболочке фиброуз в вак. упаковке 0,28 кг срез  ПОКОМ</v>
          </cell>
          <cell r="B25" t="str">
            <v>до 50 шт</v>
          </cell>
        </row>
        <row r="26">
          <cell r="A26" t="str">
            <v xml:space="preserve"> 585  Колбаса Молочная ТМ Стародворье в оболочке вектор НД ВЕС.  ПОКОМ</v>
          </cell>
          <cell r="B26" t="str">
            <v>до 150 кг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79" activePane="bottomRight" state="frozen"/>
      <selection pane="topRight"/>
      <selection pane="bottomLeft"/>
      <selection pane="bottomRight" activeCell="AJ99" sqref="AJ99"/>
    </sheetView>
  </sheetViews>
  <sheetFormatPr defaultRowHeight="15" x14ac:dyDescent="0.25"/>
  <cols>
    <col min="1" max="1" width="54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23" width="7" customWidth="1"/>
    <col min="24" max="24" width="7" style="20" customWidth="1"/>
    <col min="25" max="25" width="23.85546875" style="20" customWidth="1"/>
    <col min="26" max="27" width="5" customWidth="1"/>
    <col min="28" max="35" width="6.5703125" customWidth="1"/>
    <col min="36" max="36" width="15.42578125" customWidth="1"/>
    <col min="37" max="37" width="7" customWidth="1"/>
    <col min="38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3" t="s">
        <v>188</v>
      </c>
      <c r="X3" s="3" t="s">
        <v>182</v>
      </c>
      <c r="Y3" s="3" t="s">
        <v>184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 t="s">
        <v>189</v>
      </c>
      <c r="X4" s="1" t="s">
        <v>183</v>
      </c>
      <c r="Y4" s="1"/>
      <c r="Z4" s="1"/>
      <c r="AA4" s="1"/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62830.964000000022</v>
      </c>
      <c r="F5" s="4">
        <f>SUM(F6:F500)</f>
        <v>58801.985999999997</v>
      </c>
      <c r="G5" s="7"/>
      <c r="H5" s="1"/>
      <c r="I5" s="1"/>
      <c r="J5" s="1"/>
      <c r="K5" s="4">
        <f t="shared" ref="K5:W5" si="0">SUM(K6:K500)</f>
        <v>69234.633000000016</v>
      </c>
      <c r="L5" s="4">
        <f t="shared" si="0"/>
        <v>-6403.6689999999981</v>
      </c>
      <c r="M5" s="4">
        <f t="shared" si="0"/>
        <v>52423.765000000007</v>
      </c>
      <c r="N5" s="4">
        <f t="shared" si="0"/>
        <v>10407.198999999999</v>
      </c>
      <c r="O5" s="4">
        <f t="shared" si="0"/>
        <v>15056.35513152</v>
      </c>
      <c r="P5" s="4">
        <f t="shared" si="0"/>
        <v>810</v>
      </c>
      <c r="Q5" s="4">
        <f t="shared" si="0"/>
        <v>23324.568955999999</v>
      </c>
      <c r="R5" s="4">
        <f t="shared" si="0"/>
        <v>510</v>
      </c>
      <c r="S5" s="4">
        <f t="shared" si="0"/>
        <v>16553.145117016</v>
      </c>
      <c r="T5" s="4">
        <f t="shared" si="0"/>
        <v>17042.583520984008</v>
      </c>
      <c r="U5" s="4">
        <f t="shared" si="0"/>
        <v>10484.75300000001</v>
      </c>
      <c r="V5" s="4">
        <f t="shared" si="0"/>
        <v>16412.278018399993</v>
      </c>
      <c r="W5" s="4">
        <f t="shared" si="0"/>
        <v>14912.667266</v>
      </c>
      <c r="X5" s="4"/>
      <c r="Y5" s="4"/>
      <c r="Z5" s="1"/>
      <c r="AA5" s="1"/>
      <c r="AB5" s="4">
        <f t="shared" ref="AB5:AI5" si="1">SUM(AB6:AB500)</f>
        <v>12416.699399999992</v>
      </c>
      <c r="AC5" s="4">
        <f t="shared" si="1"/>
        <v>11708.138999999994</v>
      </c>
      <c r="AD5" s="4">
        <f t="shared" si="1"/>
        <v>12733.619199999997</v>
      </c>
      <c r="AE5" s="4">
        <f t="shared" si="1"/>
        <v>12494.7556</v>
      </c>
      <c r="AF5" s="4">
        <f t="shared" si="1"/>
        <v>12634.5478</v>
      </c>
      <c r="AG5" s="4">
        <f t="shared" si="1"/>
        <v>13008.017799999998</v>
      </c>
      <c r="AH5" s="4">
        <f t="shared" si="1"/>
        <v>13739.4306</v>
      </c>
      <c r="AI5" s="4">
        <f t="shared" si="1"/>
        <v>10909.968200000003</v>
      </c>
      <c r="AJ5" s="1"/>
      <c r="AK5" s="4">
        <f>SUM(AK6:AK500)</f>
        <v>12334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38</v>
      </c>
      <c r="C6" s="1">
        <v>1026.076</v>
      </c>
      <c r="D6" s="1">
        <v>3196.328</v>
      </c>
      <c r="E6" s="1">
        <v>1983.2940000000001</v>
      </c>
      <c r="F6" s="1">
        <v>996.69500000000005</v>
      </c>
      <c r="G6" s="7">
        <v>1</v>
      </c>
      <c r="H6" s="1">
        <v>50</v>
      </c>
      <c r="I6" s="1" t="s">
        <v>39</v>
      </c>
      <c r="J6" s="1"/>
      <c r="K6" s="1">
        <v>2146.0940000000001</v>
      </c>
      <c r="L6" s="1">
        <f t="shared" ref="L6:L37" si="2">E6-K6</f>
        <v>-162.79999999999995</v>
      </c>
      <c r="M6" s="1">
        <f t="shared" ref="M6:M37" si="3">E6-N6</f>
        <v>1265.04</v>
      </c>
      <c r="N6" s="1">
        <v>718.25400000000002</v>
      </c>
      <c r="O6" s="1">
        <v>120.5374480000002</v>
      </c>
      <c r="P6" s="1"/>
      <c r="Q6" s="1">
        <v>351.91381799999999</v>
      </c>
      <c r="R6" s="1"/>
      <c r="S6" s="1">
        <v>674.8</v>
      </c>
      <c r="T6" s="1">
        <v>725.2</v>
      </c>
      <c r="U6" s="1">
        <f t="shared" ref="U6:U37" si="4">M6/5</f>
        <v>253.00799999999998</v>
      </c>
      <c r="V6" s="5">
        <f>12*U6-T6-S6-R6-Q6-P6-O6-F6</f>
        <v>166.94973399999947</v>
      </c>
      <c r="W6" s="5"/>
      <c r="X6" s="19"/>
      <c r="Y6" s="19"/>
      <c r="Z6" s="1">
        <f>(F6+O6+P6+Q6+R6+S6+T6+W6)/U6</f>
        <v>11.340140493581231</v>
      </c>
      <c r="AA6" s="1">
        <f t="shared" ref="AA6:AA37" si="5">(F6+O6+P6+Q6+R6+S6+T6)/U6</f>
        <v>11.340140493581231</v>
      </c>
      <c r="AB6" s="1">
        <v>347.27100000000002</v>
      </c>
      <c r="AC6" s="1">
        <v>256.87139999999999</v>
      </c>
      <c r="AD6" s="1">
        <v>307.10719999999998</v>
      </c>
      <c r="AE6" s="1">
        <v>314.50659999999999</v>
      </c>
      <c r="AF6" s="1">
        <v>330.37540000000001</v>
      </c>
      <c r="AG6" s="1">
        <v>323.59899999999999</v>
      </c>
      <c r="AH6" s="1">
        <v>328.35</v>
      </c>
      <c r="AI6" s="1">
        <v>238.09880000000001</v>
      </c>
      <c r="AJ6" s="1"/>
      <c r="AK6" s="1">
        <f>ROUND(G6*W6,0)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40</v>
      </c>
      <c r="B7" s="1" t="s">
        <v>38</v>
      </c>
      <c r="C7" s="1">
        <v>1739.19</v>
      </c>
      <c r="D7" s="1">
        <v>1823.405</v>
      </c>
      <c r="E7" s="1">
        <v>853.51700000000005</v>
      </c>
      <c r="F7" s="1">
        <v>2351.42</v>
      </c>
      <c r="G7" s="7">
        <v>1</v>
      </c>
      <c r="H7" s="1">
        <v>45</v>
      </c>
      <c r="I7" s="1" t="s">
        <v>39</v>
      </c>
      <c r="J7" s="1"/>
      <c r="K7" s="1">
        <v>854.35299999999995</v>
      </c>
      <c r="L7" s="1">
        <f t="shared" si="2"/>
        <v>-0.83599999999989905</v>
      </c>
      <c r="M7" s="1">
        <f t="shared" si="3"/>
        <v>853.51700000000005</v>
      </c>
      <c r="N7" s="1"/>
      <c r="O7" s="1"/>
      <c r="P7" s="1"/>
      <c r="Q7" s="1">
        <v>0</v>
      </c>
      <c r="R7" s="1"/>
      <c r="S7" s="1">
        <v>0</v>
      </c>
      <c r="T7" s="1"/>
      <c r="U7" s="1">
        <f t="shared" si="4"/>
        <v>170.70340000000002</v>
      </c>
      <c r="V7" s="5"/>
      <c r="W7" s="5">
        <f t="shared" ref="W7:W70" si="6">V7</f>
        <v>0</v>
      </c>
      <c r="X7" s="19"/>
      <c r="Y7" s="19"/>
      <c r="Z7" s="1">
        <f t="shared" ref="Z7:Z70" si="7">(F7+O7+P7+Q7+R7+S7+T7+W7)/U7</f>
        <v>13.774886733363248</v>
      </c>
      <c r="AA7" s="1">
        <f t="shared" si="5"/>
        <v>13.774886733363248</v>
      </c>
      <c r="AB7" s="1">
        <v>199.7456</v>
      </c>
      <c r="AC7" s="1">
        <v>203.16059999999999</v>
      </c>
      <c r="AD7" s="1">
        <v>215.5368</v>
      </c>
      <c r="AE7" s="1">
        <v>330.04300000000001</v>
      </c>
      <c r="AF7" s="1">
        <v>367.75</v>
      </c>
      <c r="AG7" s="1">
        <v>250.43219999999999</v>
      </c>
      <c r="AH7" s="1">
        <v>253.25299999999999</v>
      </c>
      <c r="AI7" s="1">
        <v>222.0264</v>
      </c>
      <c r="AJ7" s="1" t="s">
        <v>41</v>
      </c>
      <c r="AK7" s="1">
        <f t="shared" ref="AK7:AK70" si="8">ROUND(G7*W7,0)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42</v>
      </c>
      <c r="B8" s="1" t="s">
        <v>38</v>
      </c>
      <c r="C8" s="1">
        <v>3656.8420000000001</v>
      </c>
      <c r="D8" s="1">
        <v>5141.2349999999997</v>
      </c>
      <c r="E8" s="1">
        <v>2956.413</v>
      </c>
      <c r="F8" s="1">
        <v>3988.71</v>
      </c>
      <c r="G8" s="7">
        <v>1</v>
      </c>
      <c r="H8" s="1">
        <v>45</v>
      </c>
      <c r="I8" s="1" t="s">
        <v>39</v>
      </c>
      <c r="J8" s="1"/>
      <c r="K8" s="1">
        <v>3022.4009999999998</v>
      </c>
      <c r="L8" s="1">
        <f t="shared" si="2"/>
        <v>-65.987999999999829</v>
      </c>
      <c r="M8" s="1">
        <f t="shared" si="3"/>
        <v>2956.413</v>
      </c>
      <c r="N8" s="1"/>
      <c r="O8" s="1"/>
      <c r="P8" s="1"/>
      <c r="Q8" s="1">
        <v>794.63644199999999</v>
      </c>
      <c r="R8" s="1"/>
      <c r="S8" s="1">
        <v>771.19999999999993</v>
      </c>
      <c r="T8" s="1">
        <v>828.80000000000007</v>
      </c>
      <c r="U8" s="1">
        <f t="shared" si="4"/>
        <v>591.2826</v>
      </c>
      <c r="V8" s="5">
        <f t="shared" ref="V8:V16" si="9">12*U8-T8-S8-R8-Q8-P8-O8-F8</f>
        <v>712.044758</v>
      </c>
      <c r="W8" s="5">
        <v>300</v>
      </c>
      <c r="X8" s="19"/>
      <c r="Y8" s="19"/>
      <c r="Z8" s="1">
        <f t="shared" si="7"/>
        <v>11.303133970118518</v>
      </c>
      <c r="AA8" s="1">
        <f t="shared" si="5"/>
        <v>10.79576236811298</v>
      </c>
      <c r="AB8" s="1">
        <v>723.93399999999997</v>
      </c>
      <c r="AC8" s="1">
        <v>580.02659999999992</v>
      </c>
      <c r="AD8" s="1">
        <v>625.75400000000002</v>
      </c>
      <c r="AE8" s="1">
        <v>800.88400000000001</v>
      </c>
      <c r="AF8" s="1">
        <v>833.0154</v>
      </c>
      <c r="AG8" s="1">
        <v>751.53280000000007</v>
      </c>
      <c r="AH8" s="1">
        <v>847.03899999999999</v>
      </c>
      <c r="AI8" s="1">
        <v>565.60299999999995</v>
      </c>
      <c r="AJ8" s="1" t="s">
        <v>41</v>
      </c>
      <c r="AK8" s="1">
        <f t="shared" si="8"/>
        <v>300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44</v>
      </c>
      <c r="C9" s="1">
        <v>1</v>
      </c>
      <c r="D9" s="1"/>
      <c r="E9" s="1">
        <v>-1</v>
      </c>
      <c r="F9" s="1">
        <v>1</v>
      </c>
      <c r="G9" s="7">
        <v>0.4</v>
      </c>
      <c r="H9" s="1">
        <v>50</v>
      </c>
      <c r="I9" s="1" t="s">
        <v>39</v>
      </c>
      <c r="J9" s="1"/>
      <c r="K9" s="1"/>
      <c r="L9" s="1">
        <f t="shared" si="2"/>
        <v>-1</v>
      </c>
      <c r="M9" s="1">
        <f t="shared" si="3"/>
        <v>-1</v>
      </c>
      <c r="N9" s="1"/>
      <c r="O9" s="1">
        <v>15</v>
      </c>
      <c r="P9" s="1"/>
      <c r="Q9" s="1">
        <v>13.414</v>
      </c>
      <c r="R9" s="1"/>
      <c r="S9" s="1">
        <v>0</v>
      </c>
      <c r="T9" s="1"/>
      <c r="U9" s="1">
        <f t="shared" si="4"/>
        <v>-0.2</v>
      </c>
      <c r="V9" s="5"/>
      <c r="W9" s="5">
        <f t="shared" si="6"/>
        <v>0</v>
      </c>
      <c r="X9" s="19"/>
      <c r="Y9" s="19"/>
      <c r="Z9" s="1">
        <f t="shared" si="7"/>
        <v>-147.07</v>
      </c>
      <c r="AA9" s="1">
        <f t="shared" si="5"/>
        <v>-147.07</v>
      </c>
      <c r="AB9" s="1">
        <v>0.2</v>
      </c>
      <c r="AC9" s="1">
        <v>2.2000000000000002</v>
      </c>
      <c r="AD9" s="1">
        <v>2</v>
      </c>
      <c r="AE9" s="1">
        <v>0</v>
      </c>
      <c r="AF9" s="1">
        <v>0.2</v>
      </c>
      <c r="AG9" s="1">
        <v>2.4</v>
      </c>
      <c r="AH9" s="1">
        <v>1.8</v>
      </c>
      <c r="AI9" s="1">
        <v>-0.2</v>
      </c>
      <c r="AJ9" s="1" t="s">
        <v>45</v>
      </c>
      <c r="AK9" s="1">
        <f t="shared" si="8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46</v>
      </c>
      <c r="B10" s="1" t="s">
        <v>44</v>
      </c>
      <c r="C10" s="1">
        <v>619</v>
      </c>
      <c r="D10" s="1">
        <v>5522</v>
      </c>
      <c r="E10" s="1">
        <v>1372</v>
      </c>
      <c r="F10" s="1">
        <v>4135</v>
      </c>
      <c r="G10" s="7">
        <v>0.45</v>
      </c>
      <c r="H10" s="1">
        <v>45</v>
      </c>
      <c r="I10" s="1" t="s">
        <v>39</v>
      </c>
      <c r="J10" s="1"/>
      <c r="K10" s="1">
        <v>1521</v>
      </c>
      <c r="L10" s="1">
        <f t="shared" si="2"/>
        <v>-149</v>
      </c>
      <c r="M10" s="1">
        <f t="shared" si="3"/>
        <v>1222</v>
      </c>
      <c r="N10" s="1">
        <v>150</v>
      </c>
      <c r="O10" s="1">
        <v>400</v>
      </c>
      <c r="P10" s="1"/>
      <c r="Q10" s="1">
        <v>2688.0284000000011</v>
      </c>
      <c r="R10" s="1"/>
      <c r="S10" s="1">
        <v>0</v>
      </c>
      <c r="T10" s="1"/>
      <c r="U10" s="1">
        <f t="shared" si="4"/>
        <v>244.4</v>
      </c>
      <c r="V10" s="5"/>
      <c r="W10" s="5">
        <f t="shared" si="6"/>
        <v>0</v>
      </c>
      <c r="X10" s="19"/>
      <c r="Y10" s="19"/>
      <c r="Z10" s="1">
        <f t="shared" si="7"/>
        <v>29.554126022913259</v>
      </c>
      <c r="AA10" s="1">
        <f t="shared" si="5"/>
        <v>29.554126022913259</v>
      </c>
      <c r="AB10" s="1">
        <v>326</v>
      </c>
      <c r="AC10" s="1">
        <v>640.6</v>
      </c>
      <c r="AD10" s="1">
        <v>845.8</v>
      </c>
      <c r="AE10" s="1">
        <v>569</v>
      </c>
      <c r="AF10" s="1">
        <v>530.86719999999991</v>
      </c>
      <c r="AG10" s="1">
        <v>514.46719999999993</v>
      </c>
      <c r="AH10" s="1">
        <v>409.86599999999999</v>
      </c>
      <c r="AI10" s="1">
        <v>437.2</v>
      </c>
      <c r="AJ10" s="16" t="s">
        <v>47</v>
      </c>
      <c r="AK10" s="1">
        <f t="shared" si="8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48</v>
      </c>
      <c r="B11" s="1" t="s">
        <v>44</v>
      </c>
      <c r="C11" s="1">
        <v>2040</v>
      </c>
      <c r="D11" s="1">
        <v>5970</v>
      </c>
      <c r="E11" s="1">
        <v>2429</v>
      </c>
      <c r="F11" s="1">
        <v>4504</v>
      </c>
      <c r="G11" s="7">
        <v>0.45</v>
      </c>
      <c r="H11" s="1">
        <v>45</v>
      </c>
      <c r="I11" s="1" t="s">
        <v>39</v>
      </c>
      <c r="J11" s="1"/>
      <c r="K11" s="1">
        <v>2583</v>
      </c>
      <c r="L11" s="1">
        <f t="shared" si="2"/>
        <v>-154</v>
      </c>
      <c r="M11" s="1">
        <f t="shared" si="3"/>
        <v>2069</v>
      </c>
      <c r="N11" s="1">
        <v>360</v>
      </c>
      <c r="O11" s="1">
        <v>226.0319999999999</v>
      </c>
      <c r="P11" s="1"/>
      <c r="Q11" s="1">
        <v>0</v>
      </c>
      <c r="R11" s="1"/>
      <c r="S11" s="1">
        <v>0</v>
      </c>
      <c r="T11" s="1"/>
      <c r="U11" s="1">
        <f t="shared" si="4"/>
        <v>413.8</v>
      </c>
      <c r="V11" s="5">
        <f t="shared" si="9"/>
        <v>235.56800000000021</v>
      </c>
      <c r="W11" s="5">
        <v>100</v>
      </c>
      <c r="X11" s="19"/>
      <c r="Y11" s="19"/>
      <c r="Z11" s="1">
        <f t="shared" si="7"/>
        <v>11.672382793620107</v>
      </c>
      <c r="AA11" s="1">
        <f t="shared" si="5"/>
        <v>11.430720154664089</v>
      </c>
      <c r="AB11" s="1">
        <v>502.6</v>
      </c>
      <c r="AC11" s="1">
        <v>524</v>
      </c>
      <c r="AD11" s="1">
        <v>664.8</v>
      </c>
      <c r="AE11" s="1">
        <v>660.6</v>
      </c>
      <c r="AF11" s="1">
        <v>572.67619999999999</v>
      </c>
      <c r="AG11" s="1">
        <v>553.87619999999993</v>
      </c>
      <c r="AH11" s="1">
        <v>632.423</v>
      </c>
      <c r="AI11" s="1">
        <v>674.2</v>
      </c>
      <c r="AJ11" s="1"/>
      <c r="AK11" s="1">
        <f t="shared" si="8"/>
        <v>45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49</v>
      </c>
      <c r="B12" s="1" t="s">
        <v>44</v>
      </c>
      <c r="C12" s="1">
        <v>-1</v>
      </c>
      <c r="D12" s="1">
        <v>153</v>
      </c>
      <c r="E12" s="1">
        <v>74</v>
      </c>
      <c r="F12" s="1">
        <v>56</v>
      </c>
      <c r="G12" s="7">
        <v>0.17</v>
      </c>
      <c r="H12" s="1">
        <v>180</v>
      </c>
      <c r="I12" s="1" t="s">
        <v>39</v>
      </c>
      <c r="J12" s="1"/>
      <c r="K12" s="1">
        <v>81</v>
      </c>
      <c r="L12" s="1">
        <f t="shared" si="2"/>
        <v>-7</v>
      </c>
      <c r="M12" s="1">
        <f t="shared" si="3"/>
        <v>74</v>
      </c>
      <c r="N12" s="1"/>
      <c r="O12" s="1">
        <v>88.200000000000045</v>
      </c>
      <c r="P12" s="1"/>
      <c r="Q12" s="1">
        <v>71.813999999999965</v>
      </c>
      <c r="R12" s="1"/>
      <c r="S12" s="1">
        <v>0</v>
      </c>
      <c r="T12" s="1"/>
      <c r="U12" s="1">
        <f t="shared" si="4"/>
        <v>14.8</v>
      </c>
      <c r="V12" s="5"/>
      <c r="W12" s="5">
        <f t="shared" si="6"/>
        <v>0</v>
      </c>
      <c r="X12" s="19"/>
      <c r="Y12" s="19"/>
      <c r="Z12" s="1">
        <f t="shared" si="7"/>
        <v>14.59554054054054</v>
      </c>
      <c r="AA12" s="1">
        <f t="shared" si="5"/>
        <v>14.59554054054054</v>
      </c>
      <c r="AB12" s="1">
        <v>14.8</v>
      </c>
      <c r="AC12" s="1">
        <v>22.2</v>
      </c>
      <c r="AD12" s="1">
        <v>26</v>
      </c>
      <c r="AE12" s="1">
        <v>20.399999999999999</v>
      </c>
      <c r="AF12" s="1">
        <v>9.4</v>
      </c>
      <c r="AG12" s="1">
        <v>17.2</v>
      </c>
      <c r="AH12" s="1">
        <v>19.600000000000001</v>
      </c>
      <c r="AI12" s="1">
        <v>12.4</v>
      </c>
      <c r="AJ12" s="1"/>
      <c r="AK12" s="1">
        <f t="shared" si="8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50</v>
      </c>
      <c r="B13" s="1" t="s">
        <v>44</v>
      </c>
      <c r="C13" s="1">
        <v>57</v>
      </c>
      <c r="D13" s="1">
        <v>8</v>
      </c>
      <c r="E13" s="1">
        <v>35</v>
      </c>
      <c r="F13" s="1">
        <v>15</v>
      </c>
      <c r="G13" s="7">
        <v>0.3</v>
      </c>
      <c r="H13" s="1">
        <v>40</v>
      </c>
      <c r="I13" s="10" t="s">
        <v>51</v>
      </c>
      <c r="J13" s="1"/>
      <c r="K13" s="1">
        <v>46</v>
      </c>
      <c r="L13" s="1">
        <f t="shared" si="2"/>
        <v>-11</v>
      </c>
      <c r="M13" s="1">
        <f t="shared" si="3"/>
        <v>35</v>
      </c>
      <c r="N13" s="1"/>
      <c r="O13" s="1">
        <v>13</v>
      </c>
      <c r="P13" s="1"/>
      <c r="Q13" s="1">
        <v>72.54000000000002</v>
      </c>
      <c r="R13" s="1"/>
      <c r="S13" s="1">
        <v>20</v>
      </c>
      <c r="T13" s="1"/>
      <c r="U13" s="1">
        <f t="shared" si="4"/>
        <v>7</v>
      </c>
      <c r="V13" s="5"/>
      <c r="W13" s="5">
        <f t="shared" si="6"/>
        <v>0</v>
      </c>
      <c r="X13" s="19"/>
      <c r="Y13" s="19"/>
      <c r="Z13" s="1">
        <f t="shared" si="7"/>
        <v>17.220000000000002</v>
      </c>
      <c r="AA13" s="1">
        <f t="shared" si="5"/>
        <v>17.220000000000002</v>
      </c>
      <c r="AB13" s="1">
        <v>7.6</v>
      </c>
      <c r="AC13" s="1">
        <v>9.4</v>
      </c>
      <c r="AD13" s="1">
        <v>6.8</v>
      </c>
      <c r="AE13" s="1">
        <v>5.8</v>
      </c>
      <c r="AF13" s="1">
        <v>9.1999999999999993</v>
      </c>
      <c r="AG13" s="1">
        <v>8.6</v>
      </c>
      <c r="AH13" s="1">
        <v>7</v>
      </c>
      <c r="AI13" s="1">
        <v>4</v>
      </c>
      <c r="AJ13" s="1"/>
      <c r="AK13" s="1">
        <f t="shared" si="8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52</v>
      </c>
      <c r="B14" s="1" t="s">
        <v>44</v>
      </c>
      <c r="C14" s="1">
        <v>118</v>
      </c>
      <c r="D14" s="1">
        <v>304</v>
      </c>
      <c r="E14" s="1">
        <v>243</v>
      </c>
      <c r="F14" s="1">
        <v>46</v>
      </c>
      <c r="G14" s="7">
        <v>0.17</v>
      </c>
      <c r="H14" s="1">
        <v>180</v>
      </c>
      <c r="I14" s="1" t="s">
        <v>39</v>
      </c>
      <c r="J14" s="1"/>
      <c r="K14" s="1">
        <v>258</v>
      </c>
      <c r="L14" s="1">
        <f t="shared" si="2"/>
        <v>-15</v>
      </c>
      <c r="M14" s="1">
        <f t="shared" si="3"/>
        <v>243</v>
      </c>
      <c r="N14" s="1"/>
      <c r="O14" s="1">
        <v>66.399999999999977</v>
      </c>
      <c r="P14" s="1"/>
      <c r="Q14" s="1">
        <v>68.997999999999678</v>
      </c>
      <c r="R14" s="1"/>
      <c r="S14" s="1">
        <v>89.202000000000339</v>
      </c>
      <c r="T14" s="1"/>
      <c r="U14" s="1">
        <f t="shared" si="4"/>
        <v>48.6</v>
      </c>
      <c r="V14" s="5">
        <f t="shared" si="9"/>
        <v>312.60000000000002</v>
      </c>
      <c r="W14" s="5">
        <f t="shared" si="6"/>
        <v>312.60000000000002</v>
      </c>
      <c r="X14" s="19"/>
      <c r="Y14" s="19"/>
      <c r="Z14" s="1">
        <f t="shared" si="7"/>
        <v>12</v>
      </c>
      <c r="AA14" s="1">
        <f t="shared" si="5"/>
        <v>5.567901234567902</v>
      </c>
      <c r="AB14" s="1">
        <v>35.6</v>
      </c>
      <c r="AC14" s="1">
        <v>33.4</v>
      </c>
      <c r="AD14" s="1">
        <v>40.6</v>
      </c>
      <c r="AE14" s="1">
        <v>38.6</v>
      </c>
      <c r="AF14" s="1">
        <v>32.799999999999997</v>
      </c>
      <c r="AG14" s="1">
        <v>33.200000000000003</v>
      </c>
      <c r="AH14" s="1">
        <v>32.799999999999997</v>
      </c>
      <c r="AI14" s="1">
        <v>30.2</v>
      </c>
      <c r="AJ14" s="1"/>
      <c r="AK14" s="1">
        <f t="shared" si="8"/>
        <v>53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53</v>
      </c>
      <c r="B15" s="1" t="s">
        <v>38</v>
      </c>
      <c r="C15" s="1">
        <v>4598.4930000000004</v>
      </c>
      <c r="D15" s="1">
        <v>6961.01</v>
      </c>
      <c r="E15" s="1">
        <v>4316.6419999999998</v>
      </c>
      <c r="F15" s="1">
        <v>4382.4709999999995</v>
      </c>
      <c r="G15" s="7">
        <v>1</v>
      </c>
      <c r="H15" s="1">
        <v>70</v>
      </c>
      <c r="I15" s="10" t="s">
        <v>51</v>
      </c>
      <c r="J15" s="1"/>
      <c r="K15" s="1">
        <v>4316.7809999999999</v>
      </c>
      <c r="L15" s="1">
        <f t="shared" si="2"/>
        <v>-0.13900000000012369</v>
      </c>
      <c r="M15" s="1">
        <f t="shared" si="3"/>
        <v>4316.6419999999998</v>
      </c>
      <c r="N15" s="1"/>
      <c r="O15" s="1">
        <v>0</v>
      </c>
      <c r="P15" s="1"/>
      <c r="Q15" s="1">
        <v>0</v>
      </c>
      <c r="R15" s="1"/>
      <c r="S15" s="1">
        <v>1630.57708</v>
      </c>
      <c r="T15" s="1">
        <v>1752.36292</v>
      </c>
      <c r="U15" s="1">
        <f t="shared" si="4"/>
        <v>863.32839999999999</v>
      </c>
      <c r="V15" s="5">
        <f t="shared" si="9"/>
        <v>2594.5298000000012</v>
      </c>
      <c r="W15" s="22">
        <f>V15-U15</f>
        <v>1731.2014000000013</v>
      </c>
      <c r="X15" s="19"/>
      <c r="Y15" s="19"/>
      <c r="Z15" s="1">
        <f t="shared" si="7"/>
        <v>11.000000000000002</v>
      </c>
      <c r="AA15" s="1">
        <f t="shared" si="5"/>
        <v>8.9947359544757255</v>
      </c>
      <c r="AB15" s="1">
        <v>914.48199999999997</v>
      </c>
      <c r="AC15" s="1">
        <v>675.87339999999995</v>
      </c>
      <c r="AD15" s="1">
        <v>648.81240000000003</v>
      </c>
      <c r="AE15" s="1">
        <v>873.28039999999999</v>
      </c>
      <c r="AF15" s="1">
        <v>934.93299999999999</v>
      </c>
      <c r="AG15" s="1">
        <v>830.74639999999999</v>
      </c>
      <c r="AH15" s="1">
        <v>811.17699999999991</v>
      </c>
      <c r="AI15" s="1">
        <v>526.53639999999996</v>
      </c>
      <c r="AJ15" s="1" t="s">
        <v>41</v>
      </c>
      <c r="AK15" s="1">
        <f t="shared" si="8"/>
        <v>1731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54</v>
      </c>
      <c r="B16" s="1" t="s">
        <v>38</v>
      </c>
      <c r="C16" s="1">
        <v>3487.511</v>
      </c>
      <c r="D16" s="1">
        <v>7226.1509999999998</v>
      </c>
      <c r="E16" s="1">
        <v>3755.2350000000001</v>
      </c>
      <c r="F16" s="1">
        <v>4389.9139999999998</v>
      </c>
      <c r="G16" s="7">
        <v>1</v>
      </c>
      <c r="H16" s="1">
        <v>50</v>
      </c>
      <c r="I16" s="1" t="s">
        <v>39</v>
      </c>
      <c r="J16" s="1"/>
      <c r="K16" s="1">
        <v>4090.4180000000001</v>
      </c>
      <c r="L16" s="1">
        <f t="shared" si="2"/>
        <v>-335.18299999999999</v>
      </c>
      <c r="M16" s="1">
        <f t="shared" si="3"/>
        <v>3755.2350000000001</v>
      </c>
      <c r="N16" s="1"/>
      <c r="O16" s="1">
        <v>120</v>
      </c>
      <c r="P16" s="1"/>
      <c r="Q16" s="1">
        <v>854.64764800000012</v>
      </c>
      <c r="R16" s="1">
        <v>510</v>
      </c>
      <c r="S16" s="1">
        <v>223.361861664</v>
      </c>
      <c r="T16" s="1">
        <v>240.044490336</v>
      </c>
      <c r="U16" s="1">
        <f t="shared" si="4"/>
        <v>751.04700000000003</v>
      </c>
      <c r="V16" s="5">
        <f t="shared" si="9"/>
        <v>2674.5960000000005</v>
      </c>
      <c r="W16" s="22">
        <f>V16-U16</f>
        <v>1923.5490000000004</v>
      </c>
      <c r="X16" s="19"/>
      <c r="Y16" s="19"/>
      <c r="Z16" s="1">
        <f t="shared" si="7"/>
        <v>11</v>
      </c>
      <c r="AA16" s="1">
        <f t="shared" si="5"/>
        <v>8.4388433746489895</v>
      </c>
      <c r="AB16" s="1">
        <v>753.80539999999996</v>
      </c>
      <c r="AC16" s="1">
        <v>623.83040000000005</v>
      </c>
      <c r="AD16" s="1">
        <v>608.67060000000004</v>
      </c>
      <c r="AE16" s="1">
        <v>760.83500000000004</v>
      </c>
      <c r="AF16" s="1">
        <v>778.13599999999997</v>
      </c>
      <c r="AG16" s="1">
        <v>651.7174</v>
      </c>
      <c r="AH16" s="1">
        <v>634.69460000000004</v>
      </c>
      <c r="AI16" s="1">
        <v>404.84399999999988</v>
      </c>
      <c r="AJ16" s="1" t="s">
        <v>41</v>
      </c>
      <c r="AK16" s="1">
        <f t="shared" si="8"/>
        <v>1924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55</v>
      </c>
      <c r="B17" s="1" t="s">
        <v>38</v>
      </c>
      <c r="C17" s="1">
        <v>377.59100000000001</v>
      </c>
      <c r="D17" s="1">
        <v>244.899</v>
      </c>
      <c r="E17" s="1">
        <v>323.738</v>
      </c>
      <c r="F17" s="1">
        <v>53.902999999999999</v>
      </c>
      <c r="G17" s="7">
        <v>1</v>
      </c>
      <c r="H17" s="1">
        <v>60</v>
      </c>
      <c r="I17" s="1" t="s">
        <v>39</v>
      </c>
      <c r="J17" s="1"/>
      <c r="K17" s="1">
        <v>345.14699999999999</v>
      </c>
      <c r="L17" s="1">
        <f t="shared" si="2"/>
        <v>-21.408999999999992</v>
      </c>
      <c r="M17" s="1">
        <f t="shared" si="3"/>
        <v>323.738</v>
      </c>
      <c r="N17" s="1"/>
      <c r="O17" s="1">
        <v>32.23620000000011</v>
      </c>
      <c r="P17" s="1"/>
      <c r="Q17" s="1">
        <v>230.51743200000001</v>
      </c>
      <c r="R17" s="1"/>
      <c r="S17" s="1">
        <v>248.33245777600001</v>
      </c>
      <c r="T17" s="1">
        <v>266.88011022400002</v>
      </c>
      <c r="U17" s="1">
        <f t="shared" si="4"/>
        <v>64.747600000000006</v>
      </c>
      <c r="V17" s="5"/>
      <c r="W17" s="5">
        <f t="shared" si="6"/>
        <v>0</v>
      </c>
      <c r="X17" s="19"/>
      <c r="Y17" s="19"/>
      <c r="Z17" s="1">
        <f t="shared" si="7"/>
        <v>12.847876986946234</v>
      </c>
      <c r="AA17" s="1">
        <f t="shared" si="5"/>
        <v>12.847876986946234</v>
      </c>
      <c r="AB17" s="1">
        <v>80.977200000000011</v>
      </c>
      <c r="AC17" s="1">
        <v>49.133600000000001</v>
      </c>
      <c r="AD17" s="1">
        <v>48.952800000000003</v>
      </c>
      <c r="AE17" s="1">
        <v>44.703800000000001</v>
      </c>
      <c r="AF17" s="1">
        <v>25.674399999999999</v>
      </c>
      <c r="AG17" s="1">
        <v>21.1402</v>
      </c>
      <c r="AH17" s="1">
        <v>46.889800000000001</v>
      </c>
      <c r="AI17" s="1">
        <v>48.151600000000002</v>
      </c>
      <c r="AJ17" s="1"/>
      <c r="AK17" s="1">
        <f t="shared" si="8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1" t="s">
        <v>56</v>
      </c>
      <c r="B18" s="11" t="s">
        <v>38</v>
      </c>
      <c r="C18" s="11"/>
      <c r="D18" s="11"/>
      <c r="E18" s="11"/>
      <c r="F18" s="11"/>
      <c r="G18" s="12">
        <v>0</v>
      </c>
      <c r="H18" s="11"/>
      <c r="I18" s="11" t="s">
        <v>39</v>
      </c>
      <c r="J18" s="11"/>
      <c r="K18" s="11"/>
      <c r="L18" s="11">
        <f t="shared" si="2"/>
        <v>0</v>
      </c>
      <c r="M18" s="11">
        <f t="shared" si="3"/>
        <v>0</v>
      </c>
      <c r="N18" s="11"/>
      <c r="O18" s="11"/>
      <c r="P18" s="11"/>
      <c r="Q18" s="11">
        <v>0</v>
      </c>
      <c r="R18" s="11"/>
      <c r="S18" s="11">
        <v>0</v>
      </c>
      <c r="T18" s="11"/>
      <c r="U18" s="11">
        <f t="shared" si="4"/>
        <v>0</v>
      </c>
      <c r="V18" s="13"/>
      <c r="W18" s="5">
        <f t="shared" si="6"/>
        <v>0</v>
      </c>
      <c r="X18" s="19"/>
      <c r="Y18" s="19"/>
      <c r="Z18" s="1" t="e">
        <f t="shared" si="7"/>
        <v>#DIV/0!</v>
      </c>
      <c r="AA18" s="11" t="e">
        <f t="shared" si="5"/>
        <v>#DIV/0!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 t="s">
        <v>57</v>
      </c>
      <c r="AK18" s="1">
        <f t="shared" si="8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58</v>
      </c>
      <c r="B19" s="1" t="s">
        <v>38</v>
      </c>
      <c r="C19" s="1">
        <v>13.374000000000001</v>
      </c>
      <c r="D19" s="1">
        <v>0.34499999999999997</v>
      </c>
      <c r="E19" s="1">
        <v>2.0979999999999999</v>
      </c>
      <c r="F19" s="1">
        <v>10.91</v>
      </c>
      <c r="G19" s="7">
        <v>1</v>
      </c>
      <c r="H19" s="1">
        <v>180</v>
      </c>
      <c r="I19" s="1" t="s">
        <v>39</v>
      </c>
      <c r="J19" s="1"/>
      <c r="K19" s="1">
        <v>2.6139999999999999</v>
      </c>
      <c r="L19" s="1">
        <f t="shared" si="2"/>
        <v>-0.51600000000000001</v>
      </c>
      <c r="M19" s="1">
        <f t="shared" si="3"/>
        <v>2.0979999999999999</v>
      </c>
      <c r="N19" s="1"/>
      <c r="O19" s="1"/>
      <c r="P19" s="1"/>
      <c r="Q19" s="1">
        <v>0</v>
      </c>
      <c r="R19" s="1"/>
      <c r="S19" s="1">
        <v>0</v>
      </c>
      <c r="T19" s="1"/>
      <c r="U19" s="1">
        <f t="shared" si="4"/>
        <v>0.41959999999999997</v>
      </c>
      <c r="V19" s="5"/>
      <c r="W19" s="5">
        <f t="shared" si="6"/>
        <v>0</v>
      </c>
      <c r="X19" s="19"/>
      <c r="Y19" s="19"/>
      <c r="Z19" s="1">
        <f t="shared" si="7"/>
        <v>26.000953288846521</v>
      </c>
      <c r="AA19" s="1">
        <f t="shared" si="5"/>
        <v>26.000953288846521</v>
      </c>
      <c r="AB19" s="1">
        <v>0.68019999999999992</v>
      </c>
      <c r="AC19" s="1">
        <v>0.82240000000000002</v>
      </c>
      <c r="AD19" s="1">
        <v>0.69000000000000006</v>
      </c>
      <c r="AE19" s="1">
        <v>0.41899999999999998</v>
      </c>
      <c r="AF19" s="1">
        <v>0.92219999999999991</v>
      </c>
      <c r="AG19" s="1">
        <v>1.4359999999999999</v>
      </c>
      <c r="AH19" s="1">
        <v>1.0902000000000001</v>
      </c>
      <c r="AI19" s="1">
        <v>0.64900000000000002</v>
      </c>
      <c r="AJ19" s="1"/>
      <c r="AK19" s="1">
        <f t="shared" si="8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59</v>
      </c>
      <c r="B20" s="1" t="s">
        <v>38</v>
      </c>
      <c r="C20" s="1">
        <v>3944.8919999999998</v>
      </c>
      <c r="D20" s="1">
        <v>6416.3379999999997</v>
      </c>
      <c r="E20" s="1">
        <v>5244.9740000000002</v>
      </c>
      <c r="F20" s="1">
        <v>2173.1239999999998</v>
      </c>
      <c r="G20" s="7">
        <v>1</v>
      </c>
      <c r="H20" s="1">
        <v>60</v>
      </c>
      <c r="I20" s="1" t="s">
        <v>39</v>
      </c>
      <c r="J20" s="1"/>
      <c r="K20" s="1">
        <v>5280.3639999999996</v>
      </c>
      <c r="L20" s="1">
        <f t="shared" si="2"/>
        <v>-35.389999999999418</v>
      </c>
      <c r="M20" s="1">
        <f t="shared" si="3"/>
        <v>3306.34</v>
      </c>
      <c r="N20" s="1">
        <v>1938.634</v>
      </c>
      <c r="O20" s="1">
        <v>383.429576</v>
      </c>
      <c r="P20" s="1"/>
      <c r="Q20" s="1">
        <v>1732.5915939999979</v>
      </c>
      <c r="R20" s="1"/>
      <c r="S20" s="1">
        <v>1687</v>
      </c>
      <c r="T20" s="1">
        <v>1813</v>
      </c>
      <c r="U20" s="1">
        <f t="shared" si="4"/>
        <v>661.26800000000003</v>
      </c>
      <c r="V20" s="5">
        <f t="shared" ref="V20:V22" si="10">12*U20-T20-S20-R20-Q20-P20-O20-F20</f>
        <v>146.07083000000284</v>
      </c>
      <c r="W20" s="5"/>
      <c r="X20" s="19"/>
      <c r="Y20" s="19"/>
      <c r="Z20" s="1">
        <f t="shared" si="7"/>
        <v>11.779104946859666</v>
      </c>
      <c r="AA20" s="1">
        <f t="shared" si="5"/>
        <v>11.779104946859666</v>
      </c>
      <c r="AB20" s="1">
        <v>917.37380000000007</v>
      </c>
      <c r="AC20" s="1">
        <v>723.88019999999995</v>
      </c>
      <c r="AD20" s="1">
        <v>773.48840000000007</v>
      </c>
      <c r="AE20" s="1">
        <v>732.97140000000002</v>
      </c>
      <c r="AF20" s="1">
        <v>804.43240000000003</v>
      </c>
      <c r="AG20" s="1">
        <v>875.02719999999988</v>
      </c>
      <c r="AH20" s="1">
        <v>948.69040000000007</v>
      </c>
      <c r="AI20" s="1">
        <v>609.16740000000004</v>
      </c>
      <c r="AJ20" s="1"/>
      <c r="AK20" s="1">
        <f t="shared" si="8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60</v>
      </c>
      <c r="B21" s="1" t="s">
        <v>38</v>
      </c>
      <c r="C21" s="1">
        <v>238.636</v>
      </c>
      <c r="D21" s="1">
        <v>208.631</v>
      </c>
      <c r="E21" s="1">
        <v>239.96799999999999</v>
      </c>
      <c r="F21" s="1">
        <v>154.90299999999999</v>
      </c>
      <c r="G21" s="7">
        <v>1</v>
      </c>
      <c r="H21" s="1">
        <v>70</v>
      </c>
      <c r="I21" s="1" t="s">
        <v>39</v>
      </c>
      <c r="J21" s="1"/>
      <c r="K21" s="1">
        <v>300.10000000000002</v>
      </c>
      <c r="L21" s="1">
        <f t="shared" si="2"/>
        <v>-60.132000000000033</v>
      </c>
      <c r="M21" s="1">
        <f t="shared" si="3"/>
        <v>239.96799999999999</v>
      </c>
      <c r="N21" s="1"/>
      <c r="O21" s="1">
        <v>50.011239999999987</v>
      </c>
      <c r="P21" s="1"/>
      <c r="Q21" s="1">
        <v>548.98065400000019</v>
      </c>
      <c r="R21" s="1"/>
      <c r="S21" s="1">
        <v>72.3</v>
      </c>
      <c r="T21" s="1">
        <v>77.7</v>
      </c>
      <c r="U21" s="1">
        <f t="shared" si="4"/>
        <v>47.993600000000001</v>
      </c>
      <c r="V21" s="5"/>
      <c r="W21" s="5">
        <f t="shared" si="6"/>
        <v>0</v>
      </c>
      <c r="X21" s="19"/>
      <c r="Y21" s="19"/>
      <c r="Z21" s="1">
        <f t="shared" si="7"/>
        <v>18.833654778970534</v>
      </c>
      <c r="AA21" s="1">
        <f t="shared" si="5"/>
        <v>18.833654778970534</v>
      </c>
      <c r="AB21" s="1">
        <v>75.930999999999997</v>
      </c>
      <c r="AC21" s="1">
        <v>74.3142</v>
      </c>
      <c r="AD21" s="1">
        <v>56.826199999999993</v>
      </c>
      <c r="AE21" s="1">
        <v>33.156399999999998</v>
      </c>
      <c r="AF21" s="1">
        <v>51.611800000000002</v>
      </c>
      <c r="AG21" s="1">
        <v>86.94680000000001</v>
      </c>
      <c r="AH21" s="1">
        <v>92.600200000000001</v>
      </c>
      <c r="AI21" s="1">
        <v>51.805600000000013</v>
      </c>
      <c r="AJ21" s="1"/>
      <c r="AK21" s="1">
        <f t="shared" si="8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61</v>
      </c>
      <c r="B22" s="1" t="s">
        <v>38</v>
      </c>
      <c r="C22" s="1">
        <v>1203.835</v>
      </c>
      <c r="D22" s="1">
        <v>2583.8890000000001</v>
      </c>
      <c r="E22" s="1">
        <v>1918.9369999999999</v>
      </c>
      <c r="F22" s="1">
        <v>515.46299999999997</v>
      </c>
      <c r="G22" s="7">
        <v>1</v>
      </c>
      <c r="H22" s="1">
        <v>70</v>
      </c>
      <c r="I22" s="10" t="s">
        <v>51</v>
      </c>
      <c r="J22" s="1"/>
      <c r="K22" s="1">
        <v>1934.788</v>
      </c>
      <c r="L22" s="1">
        <f t="shared" si="2"/>
        <v>-15.851000000000113</v>
      </c>
      <c r="M22" s="1">
        <f t="shared" si="3"/>
        <v>1918.9369999999999</v>
      </c>
      <c r="N22" s="1"/>
      <c r="O22" s="1">
        <v>0</v>
      </c>
      <c r="P22" s="1"/>
      <c r="Q22" s="1">
        <v>808.92558760000065</v>
      </c>
      <c r="R22" s="1"/>
      <c r="S22" s="1">
        <v>723</v>
      </c>
      <c r="T22" s="1">
        <v>777</v>
      </c>
      <c r="U22" s="1">
        <f t="shared" si="4"/>
        <v>383.78739999999999</v>
      </c>
      <c r="V22" s="5">
        <f t="shared" si="10"/>
        <v>1781.0602123999995</v>
      </c>
      <c r="W22" s="5">
        <v>1500</v>
      </c>
      <c r="X22" s="19"/>
      <c r="Y22" s="19"/>
      <c r="Z22" s="1">
        <f t="shared" si="7"/>
        <v>11.267666910377987</v>
      </c>
      <c r="AA22" s="1">
        <f t="shared" si="5"/>
        <v>7.3592530333200115</v>
      </c>
      <c r="AB22" s="1">
        <v>327.67899999999997</v>
      </c>
      <c r="AC22" s="1">
        <v>251.3426</v>
      </c>
      <c r="AD22" s="1">
        <v>229.2002</v>
      </c>
      <c r="AE22" s="1">
        <v>266.73680000000002</v>
      </c>
      <c r="AF22" s="1">
        <v>285.91019999999997</v>
      </c>
      <c r="AG22" s="1">
        <v>266.63159999999999</v>
      </c>
      <c r="AH22" s="1">
        <v>281.76</v>
      </c>
      <c r="AI22" s="1">
        <v>176.75880000000001</v>
      </c>
      <c r="AJ22" s="1" t="s">
        <v>41</v>
      </c>
      <c r="AK22" s="1">
        <f t="shared" si="8"/>
        <v>1500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1" t="s">
        <v>62</v>
      </c>
      <c r="B23" s="11" t="s">
        <v>38</v>
      </c>
      <c r="C23" s="11"/>
      <c r="D23" s="11"/>
      <c r="E23" s="11"/>
      <c r="F23" s="11"/>
      <c r="G23" s="12">
        <v>0</v>
      </c>
      <c r="H23" s="11"/>
      <c r="I23" s="11" t="s">
        <v>39</v>
      </c>
      <c r="J23" s="11"/>
      <c r="K23" s="11"/>
      <c r="L23" s="11">
        <f t="shared" si="2"/>
        <v>0</v>
      </c>
      <c r="M23" s="11">
        <f t="shared" si="3"/>
        <v>0</v>
      </c>
      <c r="N23" s="11"/>
      <c r="O23" s="11"/>
      <c r="P23" s="11"/>
      <c r="Q23" s="11">
        <v>0</v>
      </c>
      <c r="R23" s="11"/>
      <c r="S23" s="11">
        <v>0</v>
      </c>
      <c r="T23" s="11"/>
      <c r="U23" s="11">
        <f t="shared" si="4"/>
        <v>0</v>
      </c>
      <c r="V23" s="13"/>
      <c r="W23" s="5">
        <f t="shared" si="6"/>
        <v>0</v>
      </c>
      <c r="X23" s="19"/>
      <c r="Y23" s="19"/>
      <c r="Z23" s="1" t="e">
        <f t="shared" si="7"/>
        <v>#DIV/0!</v>
      </c>
      <c r="AA23" s="11" t="e">
        <f t="shared" si="5"/>
        <v>#DIV/0!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 t="s">
        <v>57</v>
      </c>
      <c r="AK23" s="1">
        <f t="shared" si="8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63</v>
      </c>
      <c r="B24" s="1" t="s">
        <v>38</v>
      </c>
      <c r="C24" s="1">
        <v>2313.8539999999998</v>
      </c>
      <c r="D24" s="1">
        <v>4351.2700000000004</v>
      </c>
      <c r="E24" s="1">
        <v>2638.069</v>
      </c>
      <c r="F24" s="1">
        <v>2633.806</v>
      </c>
      <c r="G24" s="7">
        <v>1</v>
      </c>
      <c r="H24" s="1">
        <v>70</v>
      </c>
      <c r="I24" s="10" t="s">
        <v>51</v>
      </c>
      <c r="J24" s="1"/>
      <c r="K24" s="1">
        <v>2625.1469999999999</v>
      </c>
      <c r="L24" s="1">
        <f t="shared" si="2"/>
        <v>12.922000000000025</v>
      </c>
      <c r="M24" s="1">
        <f t="shared" si="3"/>
        <v>2638.069</v>
      </c>
      <c r="N24" s="1"/>
      <c r="O24" s="1">
        <v>0</v>
      </c>
      <c r="P24" s="1"/>
      <c r="Q24" s="1">
        <v>0</v>
      </c>
      <c r="R24" s="1"/>
      <c r="S24" s="1">
        <v>819.4</v>
      </c>
      <c r="T24" s="1">
        <v>880.6</v>
      </c>
      <c r="U24" s="1">
        <f t="shared" si="4"/>
        <v>527.61379999999997</v>
      </c>
      <c r="V24" s="5">
        <f t="shared" ref="V24" si="11">12*U24-T24-S24-R24-Q24-P24-O24-F24</f>
        <v>1997.5595999999991</v>
      </c>
      <c r="W24" s="5">
        <v>1800</v>
      </c>
      <c r="X24" s="19"/>
      <c r="Y24" s="19"/>
      <c r="Z24" s="1">
        <f t="shared" si="7"/>
        <v>11.625560210896683</v>
      </c>
      <c r="AA24" s="1">
        <f t="shared" si="5"/>
        <v>8.2139739332064483</v>
      </c>
      <c r="AB24" s="1">
        <v>509.92160000000001</v>
      </c>
      <c r="AC24" s="1">
        <v>404.24360000000001</v>
      </c>
      <c r="AD24" s="1">
        <v>396.53120000000001</v>
      </c>
      <c r="AE24" s="1">
        <v>524.30680000000007</v>
      </c>
      <c r="AF24" s="1">
        <v>537.15940000000001</v>
      </c>
      <c r="AG24" s="1">
        <v>473.22160000000002</v>
      </c>
      <c r="AH24" s="1">
        <v>516.05320000000006</v>
      </c>
      <c r="AI24" s="1">
        <v>310.26479999999998</v>
      </c>
      <c r="AJ24" s="1" t="s">
        <v>41</v>
      </c>
      <c r="AK24" s="1">
        <f t="shared" si="8"/>
        <v>1800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64</v>
      </c>
      <c r="B25" s="1" t="s">
        <v>38</v>
      </c>
      <c r="C25" s="1">
        <v>26.814</v>
      </c>
      <c r="D25" s="1"/>
      <c r="E25" s="1">
        <v>-0.74399999999999999</v>
      </c>
      <c r="F25" s="1">
        <v>-1.0999999999999999E-2</v>
      </c>
      <c r="G25" s="7">
        <v>1</v>
      </c>
      <c r="H25" s="1">
        <v>40</v>
      </c>
      <c r="I25" s="10" t="s">
        <v>51</v>
      </c>
      <c r="J25" s="1"/>
      <c r="K25" s="1">
        <v>32.6</v>
      </c>
      <c r="L25" s="1">
        <f t="shared" si="2"/>
        <v>-33.344000000000001</v>
      </c>
      <c r="M25" s="1">
        <f t="shared" si="3"/>
        <v>-0.74399999999999999</v>
      </c>
      <c r="N25" s="1"/>
      <c r="O25" s="1">
        <v>18.307639999999999</v>
      </c>
      <c r="P25" s="1"/>
      <c r="Q25" s="1">
        <v>7.2081879999999954</v>
      </c>
      <c r="R25" s="1"/>
      <c r="S25" s="1">
        <v>80</v>
      </c>
      <c r="T25" s="1"/>
      <c r="U25" s="1">
        <f t="shared" si="4"/>
        <v>-0.14879999999999999</v>
      </c>
      <c r="V25" s="5">
        <v>20</v>
      </c>
      <c r="W25" s="5">
        <f t="shared" si="6"/>
        <v>20</v>
      </c>
      <c r="X25" s="19"/>
      <c r="Y25" s="19"/>
      <c r="Z25" s="1">
        <f t="shared" si="7"/>
        <v>-843.4464247311829</v>
      </c>
      <c r="AA25" s="1">
        <f t="shared" si="5"/>
        <v>-709.0378225806453</v>
      </c>
      <c r="AB25" s="1">
        <v>0.28860000000000002</v>
      </c>
      <c r="AC25" s="1">
        <v>4.2222</v>
      </c>
      <c r="AD25" s="1">
        <v>3.7848000000000002</v>
      </c>
      <c r="AE25" s="1">
        <v>-0.29299999999999998</v>
      </c>
      <c r="AF25" s="1">
        <v>1.601</v>
      </c>
      <c r="AG25" s="1">
        <v>4.3630000000000004</v>
      </c>
      <c r="AH25" s="1">
        <v>3.4885999999999999</v>
      </c>
      <c r="AI25" s="1">
        <v>2.0396000000000001</v>
      </c>
      <c r="AJ25" s="1"/>
      <c r="AK25" s="1">
        <f t="shared" si="8"/>
        <v>20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1" t="s">
        <v>65</v>
      </c>
      <c r="B26" s="11" t="s">
        <v>38</v>
      </c>
      <c r="C26" s="11"/>
      <c r="D26" s="11"/>
      <c r="E26" s="11"/>
      <c r="F26" s="11"/>
      <c r="G26" s="12">
        <v>0</v>
      </c>
      <c r="H26" s="11"/>
      <c r="I26" s="11" t="s">
        <v>39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/>
      <c r="P26" s="11"/>
      <c r="Q26" s="11">
        <v>0</v>
      </c>
      <c r="R26" s="11"/>
      <c r="S26" s="11">
        <v>0</v>
      </c>
      <c r="T26" s="11"/>
      <c r="U26" s="11">
        <f t="shared" si="4"/>
        <v>0</v>
      </c>
      <c r="V26" s="13"/>
      <c r="W26" s="5">
        <f t="shared" si="6"/>
        <v>0</v>
      </c>
      <c r="X26" s="19"/>
      <c r="Y26" s="19"/>
      <c r="Z26" s="1" t="e">
        <f t="shared" si="7"/>
        <v>#DIV/0!</v>
      </c>
      <c r="AA26" s="11" t="e">
        <f t="shared" si="5"/>
        <v>#DIV/0!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 t="s">
        <v>57</v>
      </c>
      <c r="AK26" s="1">
        <f t="shared" si="8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1" t="s">
        <v>66</v>
      </c>
      <c r="B27" s="11" t="s">
        <v>38</v>
      </c>
      <c r="C27" s="11"/>
      <c r="D27" s="11"/>
      <c r="E27" s="11"/>
      <c r="F27" s="11"/>
      <c r="G27" s="12">
        <v>0</v>
      </c>
      <c r="H27" s="11"/>
      <c r="I27" s="11" t="s">
        <v>39</v>
      </c>
      <c r="J27" s="11"/>
      <c r="K27" s="11"/>
      <c r="L27" s="11">
        <f t="shared" si="2"/>
        <v>0</v>
      </c>
      <c r="M27" s="11">
        <f t="shared" si="3"/>
        <v>0</v>
      </c>
      <c r="N27" s="11"/>
      <c r="O27" s="11"/>
      <c r="P27" s="11"/>
      <c r="Q27" s="11">
        <v>0</v>
      </c>
      <c r="R27" s="11"/>
      <c r="S27" s="11">
        <v>0</v>
      </c>
      <c r="T27" s="11"/>
      <c r="U27" s="11">
        <f t="shared" si="4"/>
        <v>0</v>
      </c>
      <c r="V27" s="13"/>
      <c r="W27" s="5">
        <f t="shared" si="6"/>
        <v>0</v>
      </c>
      <c r="X27" s="19"/>
      <c r="Y27" s="19"/>
      <c r="Z27" s="1" t="e">
        <f t="shared" si="7"/>
        <v>#DIV/0!</v>
      </c>
      <c r="AA27" s="11" t="e">
        <f t="shared" si="5"/>
        <v>#DIV/0!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 t="s">
        <v>57</v>
      </c>
      <c r="AK27" s="1">
        <f t="shared" si="8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38</v>
      </c>
      <c r="C28" s="1">
        <v>1019.063</v>
      </c>
      <c r="D28" s="1">
        <v>1921.789</v>
      </c>
      <c r="E28" s="1">
        <v>1055.212</v>
      </c>
      <c r="F28" s="1">
        <v>1207.645</v>
      </c>
      <c r="G28" s="7">
        <v>1</v>
      </c>
      <c r="H28" s="1">
        <v>30</v>
      </c>
      <c r="I28" s="10" t="s">
        <v>51</v>
      </c>
      <c r="J28" s="1"/>
      <c r="K28" s="1">
        <v>1188.6959999999999</v>
      </c>
      <c r="L28" s="1">
        <f t="shared" si="2"/>
        <v>-133.48399999999992</v>
      </c>
      <c r="M28" s="1">
        <f t="shared" si="3"/>
        <v>933.81600000000003</v>
      </c>
      <c r="N28" s="1">
        <v>121.396</v>
      </c>
      <c r="O28" s="1">
        <v>0</v>
      </c>
      <c r="P28" s="1"/>
      <c r="Q28" s="1">
        <v>0</v>
      </c>
      <c r="R28" s="1"/>
      <c r="S28" s="1">
        <v>313.3</v>
      </c>
      <c r="T28" s="1">
        <v>336.7</v>
      </c>
      <c r="U28" s="1">
        <f t="shared" si="4"/>
        <v>186.76320000000001</v>
      </c>
      <c r="V28" s="5">
        <f t="shared" ref="V28" si="12">12*U28-T28-S28-R28-Q28-P28-O28-F28</f>
        <v>383.51340000000027</v>
      </c>
      <c r="W28" s="5">
        <v>200</v>
      </c>
      <c r="X28" s="19"/>
      <c r="Y28" s="19"/>
      <c r="Z28" s="1">
        <f t="shared" si="7"/>
        <v>11.017400644238265</v>
      </c>
      <c r="AA28" s="1">
        <f t="shared" si="5"/>
        <v>9.9465258680510935</v>
      </c>
      <c r="AB28" s="1">
        <v>219.6258</v>
      </c>
      <c r="AC28" s="1">
        <v>196.6198</v>
      </c>
      <c r="AD28" s="1">
        <v>221.1712</v>
      </c>
      <c r="AE28" s="1">
        <v>225.0454</v>
      </c>
      <c r="AF28" s="1">
        <v>231.65860000000001</v>
      </c>
      <c r="AG28" s="1">
        <v>235.7996</v>
      </c>
      <c r="AH28" s="1">
        <v>278.0154</v>
      </c>
      <c r="AI28" s="1">
        <v>227.65520000000001</v>
      </c>
      <c r="AJ28" s="1"/>
      <c r="AK28" s="1">
        <f t="shared" si="8"/>
        <v>200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38</v>
      </c>
      <c r="C29" s="1">
        <v>444.916</v>
      </c>
      <c r="D29" s="1">
        <v>7347.0749999999998</v>
      </c>
      <c r="E29" s="1">
        <v>2986.2750000000001</v>
      </c>
      <c r="F29" s="1">
        <v>2951.8980000000001</v>
      </c>
      <c r="G29" s="7">
        <v>1</v>
      </c>
      <c r="H29" s="1">
        <v>40</v>
      </c>
      <c r="I29" s="10" t="s">
        <v>51</v>
      </c>
      <c r="J29" s="1"/>
      <c r="K29" s="1">
        <v>2952.0419999999999</v>
      </c>
      <c r="L29" s="1">
        <f t="shared" si="2"/>
        <v>34.233000000000175</v>
      </c>
      <c r="M29" s="1">
        <f t="shared" si="3"/>
        <v>2643.2670000000003</v>
      </c>
      <c r="N29" s="1">
        <v>343.00799999999998</v>
      </c>
      <c r="O29" s="1">
        <v>3710</v>
      </c>
      <c r="P29" s="1"/>
      <c r="Q29" s="1">
        <v>0</v>
      </c>
      <c r="R29" s="1"/>
      <c r="S29" s="1">
        <v>723</v>
      </c>
      <c r="T29" s="1">
        <v>777</v>
      </c>
      <c r="U29" s="1">
        <f t="shared" si="4"/>
        <v>528.65340000000003</v>
      </c>
      <c r="V29" s="5"/>
      <c r="W29" s="5">
        <f t="shared" si="6"/>
        <v>0</v>
      </c>
      <c r="X29" s="19"/>
      <c r="Y29" s="19"/>
      <c r="Z29" s="1">
        <f t="shared" si="7"/>
        <v>15.439034346511344</v>
      </c>
      <c r="AA29" s="1">
        <f t="shared" si="5"/>
        <v>15.439034346511344</v>
      </c>
      <c r="AB29" s="1">
        <v>571.5462</v>
      </c>
      <c r="AC29" s="1">
        <v>586.11699999999996</v>
      </c>
      <c r="AD29" s="1">
        <v>710.12940000000003</v>
      </c>
      <c r="AE29" s="1">
        <v>412.98540000000003</v>
      </c>
      <c r="AF29" s="1">
        <v>192.2834</v>
      </c>
      <c r="AG29" s="1">
        <v>374.25259999999997</v>
      </c>
      <c r="AH29" s="1">
        <v>576.91759999999999</v>
      </c>
      <c r="AI29" s="1">
        <v>427.83499999999998</v>
      </c>
      <c r="AJ29" s="1"/>
      <c r="AK29" s="1">
        <f t="shared" si="8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1" t="s">
        <v>69</v>
      </c>
      <c r="B30" s="11" t="s">
        <v>38</v>
      </c>
      <c r="C30" s="11"/>
      <c r="D30" s="11"/>
      <c r="E30" s="11"/>
      <c r="F30" s="11"/>
      <c r="G30" s="12">
        <v>0</v>
      </c>
      <c r="H30" s="11"/>
      <c r="I30" s="11" t="s">
        <v>39</v>
      </c>
      <c r="J30" s="11"/>
      <c r="K30" s="11"/>
      <c r="L30" s="11">
        <f t="shared" si="2"/>
        <v>0</v>
      </c>
      <c r="M30" s="11">
        <f t="shared" si="3"/>
        <v>0</v>
      </c>
      <c r="N30" s="11"/>
      <c r="O30" s="11"/>
      <c r="P30" s="11"/>
      <c r="Q30" s="11">
        <v>0</v>
      </c>
      <c r="R30" s="11"/>
      <c r="S30" s="11">
        <v>0</v>
      </c>
      <c r="T30" s="11"/>
      <c r="U30" s="11">
        <f t="shared" si="4"/>
        <v>0</v>
      </c>
      <c r="V30" s="13"/>
      <c r="W30" s="5">
        <f t="shared" si="6"/>
        <v>0</v>
      </c>
      <c r="X30" s="19"/>
      <c r="Y30" s="19"/>
      <c r="Z30" s="1" t="e">
        <f t="shared" si="7"/>
        <v>#DIV/0!</v>
      </c>
      <c r="AA30" s="11" t="e">
        <f t="shared" si="5"/>
        <v>#DIV/0!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 t="s">
        <v>57</v>
      </c>
      <c r="AK30" s="1">
        <f t="shared" si="8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1" t="s">
        <v>70</v>
      </c>
      <c r="B31" s="11" t="s">
        <v>38</v>
      </c>
      <c r="C31" s="11"/>
      <c r="D31" s="11"/>
      <c r="E31" s="11"/>
      <c r="F31" s="11"/>
      <c r="G31" s="12">
        <v>0</v>
      </c>
      <c r="H31" s="11"/>
      <c r="I31" s="11" t="s">
        <v>39</v>
      </c>
      <c r="J31" s="11"/>
      <c r="K31" s="11"/>
      <c r="L31" s="11">
        <f t="shared" si="2"/>
        <v>0</v>
      </c>
      <c r="M31" s="11">
        <f t="shared" si="3"/>
        <v>0</v>
      </c>
      <c r="N31" s="11"/>
      <c r="O31" s="11"/>
      <c r="P31" s="11"/>
      <c r="Q31" s="11">
        <v>0</v>
      </c>
      <c r="R31" s="11"/>
      <c r="S31" s="11">
        <v>0</v>
      </c>
      <c r="T31" s="11"/>
      <c r="U31" s="11">
        <f t="shared" si="4"/>
        <v>0</v>
      </c>
      <c r="V31" s="13"/>
      <c r="W31" s="5">
        <f t="shared" si="6"/>
        <v>0</v>
      </c>
      <c r="X31" s="19"/>
      <c r="Y31" s="19"/>
      <c r="Z31" s="1" t="e">
        <f t="shared" si="7"/>
        <v>#DIV/0!</v>
      </c>
      <c r="AA31" s="11" t="e">
        <f t="shared" si="5"/>
        <v>#DIV/0!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 t="s">
        <v>57</v>
      </c>
      <c r="AK31" s="1">
        <f t="shared" si="8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1" t="s">
        <v>71</v>
      </c>
      <c r="B32" s="11" t="s">
        <v>38</v>
      </c>
      <c r="C32" s="11"/>
      <c r="D32" s="11"/>
      <c r="E32" s="11"/>
      <c r="F32" s="11"/>
      <c r="G32" s="12">
        <v>0</v>
      </c>
      <c r="H32" s="11"/>
      <c r="I32" s="11" t="s">
        <v>39</v>
      </c>
      <c r="J32" s="11"/>
      <c r="K32" s="11"/>
      <c r="L32" s="11">
        <f t="shared" si="2"/>
        <v>0</v>
      </c>
      <c r="M32" s="11">
        <f t="shared" si="3"/>
        <v>0</v>
      </c>
      <c r="N32" s="11"/>
      <c r="O32" s="11"/>
      <c r="P32" s="11"/>
      <c r="Q32" s="11">
        <v>0</v>
      </c>
      <c r="R32" s="11"/>
      <c r="S32" s="11">
        <v>0</v>
      </c>
      <c r="T32" s="11"/>
      <c r="U32" s="11">
        <f t="shared" si="4"/>
        <v>0</v>
      </c>
      <c r="V32" s="13"/>
      <c r="W32" s="5">
        <f t="shared" si="6"/>
        <v>0</v>
      </c>
      <c r="X32" s="19"/>
      <c r="Y32" s="19"/>
      <c r="Z32" s="1" t="e">
        <f t="shared" si="7"/>
        <v>#DIV/0!</v>
      </c>
      <c r="AA32" s="11" t="e">
        <f t="shared" si="5"/>
        <v>#DIV/0!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 t="s">
        <v>57</v>
      </c>
      <c r="AK32" s="1">
        <f t="shared" si="8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1" t="s">
        <v>72</v>
      </c>
      <c r="B33" s="11" t="s">
        <v>38</v>
      </c>
      <c r="C33" s="11"/>
      <c r="D33" s="11"/>
      <c r="E33" s="11"/>
      <c r="F33" s="11"/>
      <c r="G33" s="12">
        <v>0</v>
      </c>
      <c r="H33" s="11"/>
      <c r="I33" s="11" t="s">
        <v>39</v>
      </c>
      <c r="J33" s="11"/>
      <c r="K33" s="11"/>
      <c r="L33" s="11">
        <f t="shared" si="2"/>
        <v>0</v>
      </c>
      <c r="M33" s="11">
        <f t="shared" si="3"/>
        <v>0</v>
      </c>
      <c r="N33" s="11"/>
      <c r="O33" s="11"/>
      <c r="P33" s="11"/>
      <c r="Q33" s="11">
        <v>0</v>
      </c>
      <c r="R33" s="11"/>
      <c r="S33" s="11">
        <v>0</v>
      </c>
      <c r="T33" s="11"/>
      <c r="U33" s="11">
        <f t="shared" si="4"/>
        <v>0</v>
      </c>
      <c r="V33" s="13"/>
      <c r="W33" s="5">
        <f t="shared" si="6"/>
        <v>0</v>
      </c>
      <c r="X33" s="19"/>
      <c r="Y33" s="19"/>
      <c r="Z33" s="1" t="e">
        <f t="shared" si="7"/>
        <v>#DIV/0!</v>
      </c>
      <c r="AA33" s="11" t="e">
        <f t="shared" si="5"/>
        <v>#DIV/0!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 t="s">
        <v>57</v>
      </c>
      <c r="AK33" s="1">
        <f t="shared" si="8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73</v>
      </c>
      <c r="B34" s="1" t="s">
        <v>44</v>
      </c>
      <c r="C34" s="1">
        <v>1111</v>
      </c>
      <c r="D34" s="1">
        <v>4668</v>
      </c>
      <c r="E34" s="1">
        <v>3145</v>
      </c>
      <c r="F34" s="1">
        <v>1259</v>
      </c>
      <c r="G34" s="7">
        <v>0.4</v>
      </c>
      <c r="H34" s="1">
        <v>45</v>
      </c>
      <c r="I34" s="10" t="s">
        <v>51</v>
      </c>
      <c r="J34" s="1"/>
      <c r="K34" s="1">
        <v>3618</v>
      </c>
      <c r="L34" s="1">
        <f t="shared" si="2"/>
        <v>-473</v>
      </c>
      <c r="M34" s="1">
        <f t="shared" si="3"/>
        <v>2917</v>
      </c>
      <c r="N34" s="1">
        <v>228</v>
      </c>
      <c r="O34" s="1">
        <v>1600</v>
      </c>
      <c r="P34" s="1"/>
      <c r="Q34" s="1">
        <v>2604.4512000000009</v>
      </c>
      <c r="R34" s="1"/>
      <c r="S34" s="1">
        <v>241</v>
      </c>
      <c r="T34" s="1">
        <v>259</v>
      </c>
      <c r="U34" s="1">
        <f t="shared" si="4"/>
        <v>583.4</v>
      </c>
      <c r="V34" s="5">
        <f t="shared" ref="V34:V47" si="13">12*U34-T34-S34-R34-Q34-P34-O34-F34</f>
        <v>1037.3487999999984</v>
      </c>
      <c r="W34" s="5">
        <v>600</v>
      </c>
      <c r="X34" s="19"/>
      <c r="Y34" s="19"/>
      <c r="Z34" s="1">
        <f t="shared" si="7"/>
        <v>11.250344874871447</v>
      </c>
      <c r="AA34" s="1">
        <f t="shared" si="5"/>
        <v>10.221890983887558</v>
      </c>
      <c r="AB34" s="1">
        <v>686</v>
      </c>
      <c r="AC34" s="1">
        <v>679.4</v>
      </c>
      <c r="AD34" s="1">
        <v>754.6</v>
      </c>
      <c r="AE34" s="1">
        <v>654.79999999999995</v>
      </c>
      <c r="AF34" s="1">
        <v>869.4</v>
      </c>
      <c r="AG34" s="1">
        <v>631</v>
      </c>
      <c r="AH34" s="1">
        <v>648.4</v>
      </c>
      <c r="AI34" s="1">
        <v>1337.6</v>
      </c>
      <c r="AJ34" s="1" t="s">
        <v>41</v>
      </c>
      <c r="AK34" s="1">
        <f t="shared" si="8"/>
        <v>240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74</v>
      </c>
      <c r="B35" s="1" t="s">
        <v>44</v>
      </c>
      <c r="C35" s="1">
        <v>-1</v>
      </c>
      <c r="D35" s="1">
        <v>1223</v>
      </c>
      <c r="E35" s="1">
        <v>541</v>
      </c>
      <c r="F35" s="1">
        <v>473</v>
      </c>
      <c r="G35" s="7">
        <v>0.45</v>
      </c>
      <c r="H35" s="1">
        <v>50</v>
      </c>
      <c r="I35" s="1" t="s">
        <v>39</v>
      </c>
      <c r="J35" s="1"/>
      <c r="K35" s="1">
        <v>697</v>
      </c>
      <c r="L35" s="1">
        <f t="shared" si="2"/>
        <v>-156</v>
      </c>
      <c r="M35" s="1">
        <f t="shared" si="3"/>
        <v>541</v>
      </c>
      <c r="N35" s="1"/>
      <c r="O35" s="1">
        <v>71.217999999999961</v>
      </c>
      <c r="P35" s="1"/>
      <c r="Q35" s="1">
        <v>372.40800000000002</v>
      </c>
      <c r="R35" s="1"/>
      <c r="S35" s="1">
        <v>0</v>
      </c>
      <c r="T35" s="1"/>
      <c r="U35" s="1">
        <f t="shared" si="4"/>
        <v>108.2</v>
      </c>
      <c r="V35" s="5">
        <f t="shared" si="13"/>
        <v>381.77400000000011</v>
      </c>
      <c r="W35" s="5">
        <v>300</v>
      </c>
      <c r="X35" s="19"/>
      <c r="Y35" s="19"/>
      <c r="Z35" s="1">
        <f t="shared" si="7"/>
        <v>11.244232902033271</v>
      </c>
      <c r="AA35" s="1">
        <f t="shared" si="5"/>
        <v>8.4715896487985205</v>
      </c>
      <c r="AB35" s="1">
        <v>107.4</v>
      </c>
      <c r="AC35" s="1">
        <v>120.4</v>
      </c>
      <c r="AD35" s="1">
        <v>124.2</v>
      </c>
      <c r="AE35" s="1">
        <v>129</v>
      </c>
      <c r="AF35" s="1">
        <v>84</v>
      </c>
      <c r="AG35" s="1">
        <v>83.2</v>
      </c>
      <c r="AH35" s="1">
        <v>183.328</v>
      </c>
      <c r="AI35" s="1">
        <v>310.8</v>
      </c>
      <c r="AJ35" s="1"/>
      <c r="AK35" s="1">
        <f t="shared" si="8"/>
        <v>135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75</v>
      </c>
      <c r="B36" s="1" t="s">
        <v>44</v>
      </c>
      <c r="C36" s="1">
        <v>112</v>
      </c>
      <c r="D36" s="1">
        <v>2336</v>
      </c>
      <c r="E36" s="1">
        <v>884</v>
      </c>
      <c r="F36" s="1">
        <v>1114</v>
      </c>
      <c r="G36" s="7">
        <v>0.4</v>
      </c>
      <c r="H36" s="1">
        <v>45</v>
      </c>
      <c r="I36" s="10" t="s">
        <v>51</v>
      </c>
      <c r="J36" s="1"/>
      <c r="K36" s="1">
        <v>981</v>
      </c>
      <c r="L36" s="1">
        <f t="shared" si="2"/>
        <v>-97</v>
      </c>
      <c r="M36" s="1">
        <f t="shared" si="3"/>
        <v>764</v>
      </c>
      <c r="N36" s="1">
        <v>120</v>
      </c>
      <c r="O36" s="1">
        <v>0</v>
      </c>
      <c r="P36" s="1"/>
      <c r="Q36" s="1">
        <v>0</v>
      </c>
      <c r="R36" s="1"/>
      <c r="S36" s="1">
        <v>120.5</v>
      </c>
      <c r="T36" s="1">
        <v>129.5</v>
      </c>
      <c r="U36" s="1">
        <f t="shared" si="4"/>
        <v>152.80000000000001</v>
      </c>
      <c r="V36" s="5">
        <f t="shared" si="13"/>
        <v>469.60000000000014</v>
      </c>
      <c r="W36" s="5">
        <v>350</v>
      </c>
      <c r="X36" s="19"/>
      <c r="Y36" s="19"/>
      <c r="Z36" s="1">
        <f t="shared" si="7"/>
        <v>11.217277486910994</v>
      </c>
      <c r="AA36" s="1">
        <f t="shared" si="5"/>
        <v>8.9267015706806276</v>
      </c>
      <c r="AB36" s="1">
        <v>173.4</v>
      </c>
      <c r="AC36" s="1">
        <v>179.2</v>
      </c>
      <c r="AD36" s="1">
        <v>210.4</v>
      </c>
      <c r="AE36" s="1">
        <v>192</v>
      </c>
      <c r="AF36" s="1">
        <v>152.4</v>
      </c>
      <c r="AG36" s="1">
        <v>151.6</v>
      </c>
      <c r="AH36" s="1">
        <v>137</v>
      </c>
      <c r="AI36" s="1">
        <v>55.2</v>
      </c>
      <c r="AJ36" s="1"/>
      <c r="AK36" s="1">
        <f t="shared" si="8"/>
        <v>140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76</v>
      </c>
      <c r="B37" s="1" t="s">
        <v>44</v>
      </c>
      <c r="C37" s="1"/>
      <c r="D37" s="1">
        <v>162</v>
      </c>
      <c r="E37" s="1">
        <v>148</v>
      </c>
      <c r="F37" s="1">
        <v>-11</v>
      </c>
      <c r="G37" s="7">
        <v>0.4</v>
      </c>
      <c r="H37" s="1">
        <v>40</v>
      </c>
      <c r="I37" s="10" t="s">
        <v>187</v>
      </c>
      <c r="J37" s="1"/>
      <c r="K37" s="1">
        <v>572</v>
      </c>
      <c r="L37" s="1">
        <f t="shared" si="2"/>
        <v>-424</v>
      </c>
      <c r="M37" s="1">
        <f t="shared" si="3"/>
        <v>148</v>
      </c>
      <c r="N37" s="1"/>
      <c r="O37" s="1">
        <v>65</v>
      </c>
      <c r="P37" s="1"/>
      <c r="Q37" s="1">
        <v>38.739999999999981</v>
      </c>
      <c r="R37" s="1"/>
      <c r="S37" s="1">
        <v>120.5</v>
      </c>
      <c r="T37" s="1">
        <v>129.5</v>
      </c>
      <c r="U37" s="1">
        <f t="shared" si="4"/>
        <v>29.6</v>
      </c>
      <c r="V37" s="5">
        <f t="shared" si="13"/>
        <v>12.460000000000065</v>
      </c>
      <c r="W37" s="5">
        <v>400</v>
      </c>
      <c r="X37" s="19">
        <v>400</v>
      </c>
      <c r="Y37" s="19" t="str">
        <f>VLOOKUP(A37,[1]Лист1!$A:$B,2,0)</f>
        <v>до 400 шт (заказ сети)</v>
      </c>
      <c r="Z37" s="1">
        <f t="shared" si="7"/>
        <v>25.092567567567567</v>
      </c>
      <c r="AA37" s="1">
        <f t="shared" si="5"/>
        <v>11.579054054054053</v>
      </c>
      <c r="AB37" s="1">
        <v>30.4</v>
      </c>
      <c r="AC37" s="1">
        <v>20.399999999999999</v>
      </c>
      <c r="AD37" s="1">
        <v>0</v>
      </c>
      <c r="AE37" s="1">
        <v>1.8</v>
      </c>
      <c r="AF37" s="1">
        <v>13.6</v>
      </c>
      <c r="AG37" s="1">
        <v>18.8</v>
      </c>
      <c r="AH37" s="1">
        <v>7.4</v>
      </c>
      <c r="AI37" s="1">
        <v>-0.2</v>
      </c>
      <c r="AJ37" s="1"/>
      <c r="AK37" s="1">
        <f t="shared" si="8"/>
        <v>160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77</v>
      </c>
      <c r="B38" s="1" t="s">
        <v>38</v>
      </c>
      <c r="C38" s="1">
        <v>162.94999999999999</v>
      </c>
      <c r="D38" s="1">
        <v>1.4119999999999999</v>
      </c>
      <c r="E38" s="1">
        <v>11.436</v>
      </c>
      <c r="F38" s="1">
        <v>148.666</v>
      </c>
      <c r="G38" s="7">
        <v>1</v>
      </c>
      <c r="H38" s="1"/>
      <c r="I38" s="10" t="s">
        <v>51</v>
      </c>
      <c r="J38" s="1"/>
      <c r="K38" s="1">
        <v>11.5</v>
      </c>
      <c r="L38" s="1">
        <f t="shared" ref="L38:L69" si="14">E38-K38</f>
        <v>-6.4000000000000057E-2</v>
      </c>
      <c r="M38" s="1">
        <f t="shared" ref="M38:M69" si="15">E38-N38</f>
        <v>11.436</v>
      </c>
      <c r="N38" s="1"/>
      <c r="O38" s="1">
        <v>0</v>
      </c>
      <c r="P38" s="1"/>
      <c r="Q38" s="1">
        <v>0</v>
      </c>
      <c r="R38" s="1"/>
      <c r="S38" s="1">
        <v>0</v>
      </c>
      <c r="T38" s="1"/>
      <c r="U38" s="1">
        <f t="shared" ref="U38:U69" si="16">M38/5</f>
        <v>2.2871999999999999</v>
      </c>
      <c r="V38" s="5"/>
      <c r="W38" s="5">
        <f t="shared" si="6"/>
        <v>0</v>
      </c>
      <c r="X38" s="19"/>
      <c r="Y38" s="19"/>
      <c r="Z38" s="1">
        <f t="shared" si="7"/>
        <v>64.999125568380549</v>
      </c>
      <c r="AA38" s="1">
        <f t="shared" ref="AA38:AA69" si="17">(F38+O38+P38+Q38+R38+S38+T38)/U38</f>
        <v>64.999125568380549</v>
      </c>
      <c r="AB38" s="1">
        <v>2.8632</v>
      </c>
      <c r="AC38" s="1">
        <v>2.0015999999999998</v>
      </c>
      <c r="AD38" s="1">
        <v>2.2812000000000001</v>
      </c>
      <c r="AE38" s="1">
        <v>4.6482000000000001</v>
      </c>
      <c r="AF38" s="1">
        <v>6.3221999999999996</v>
      </c>
      <c r="AG38" s="1">
        <v>11.244199999999999</v>
      </c>
      <c r="AH38" s="1">
        <v>18.956</v>
      </c>
      <c r="AI38" s="1">
        <v>4.8393999999999986</v>
      </c>
      <c r="AJ38" s="17" t="s">
        <v>78</v>
      </c>
      <c r="AK38" s="1">
        <f t="shared" si="8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79</v>
      </c>
      <c r="B39" s="1" t="s">
        <v>44</v>
      </c>
      <c r="C39" s="1">
        <v>630</v>
      </c>
      <c r="D39" s="1">
        <v>8</v>
      </c>
      <c r="E39" s="1">
        <v>198</v>
      </c>
      <c r="F39" s="1">
        <v>374</v>
      </c>
      <c r="G39" s="7">
        <v>0.1</v>
      </c>
      <c r="H39" s="1">
        <v>731</v>
      </c>
      <c r="I39" s="1" t="s">
        <v>39</v>
      </c>
      <c r="J39" s="1"/>
      <c r="K39" s="1">
        <v>229</v>
      </c>
      <c r="L39" s="1">
        <f t="shared" si="14"/>
        <v>-31</v>
      </c>
      <c r="M39" s="1">
        <f t="shared" si="15"/>
        <v>198</v>
      </c>
      <c r="N39" s="1"/>
      <c r="O39" s="1"/>
      <c r="P39" s="1"/>
      <c r="Q39" s="1">
        <v>177.04599999999991</v>
      </c>
      <c r="R39" s="1"/>
      <c r="S39" s="1">
        <v>0</v>
      </c>
      <c r="T39" s="1"/>
      <c r="U39" s="1">
        <f t="shared" si="16"/>
        <v>39.6</v>
      </c>
      <c r="V39" s="5"/>
      <c r="W39" s="5">
        <f t="shared" si="6"/>
        <v>0</v>
      </c>
      <c r="X39" s="19"/>
      <c r="Y39" s="19"/>
      <c r="Z39" s="1">
        <f t="shared" si="7"/>
        <v>13.915303030303027</v>
      </c>
      <c r="AA39" s="1">
        <f t="shared" si="17"/>
        <v>13.915303030303027</v>
      </c>
      <c r="AB39" s="1">
        <v>47</v>
      </c>
      <c r="AC39" s="1">
        <v>55.8</v>
      </c>
      <c r="AD39" s="1">
        <v>66.2</v>
      </c>
      <c r="AE39" s="1">
        <v>60.8</v>
      </c>
      <c r="AF39" s="1">
        <v>56</v>
      </c>
      <c r="AG39" s="1">
        <v>60</v>
      </c>
      <c r="AH39" s="1">
        <v>69.400000000000006</v>
      </c>
      <c r="AI39" s="1">
        <v>43</v>
      </c>
      <c r="AJ39" s="1"/>
      <c r="AK39" s="1">
        <f t="shared" si="8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44</v>
      </c>
      <c r="C40" s="1">
        <v>7</v>
      </c>
      <c r="D40" s="1"/>
      <c r="E40" s="1">
        <v>1.169</v>
      </c>
      <c r="F40" s="1">
        <v>1.831</v>
      </c>
      <c r="G40" s="7">
        <v>0.35</v>
      </c>
      <c r="H40" s="1">
        <v>40</v>
      </c>
      <c r="I40" s="10" t="s">
        <v>51</v>
      </c>
      <c r="J40" s="1"/>
      <c r="K40" s="1">
        <v>31</v>
      </c>
      <c r="L40" s="1">
        <f t="shared" si="14"/>
        <v>-29.831</v>
      </c>
      <c r="M40" s="1">
        <f t="shared" si="15"/>
        <v>1.169</v>
      </c>
      <c r="N40" s="1"/>
      <c r="O40" s="1">
        <v>52</v>
      </c>
      <c r="P40" s="1"/>
      <c r="Q40" s="1">
        <v>39</v>
      </c>
      <c r="R40" s="1"/>
      <c r="S40" s="1">
        <v>0</v>
      </c>
      <c r="T40" s="1"/>
      <c r="U40" s="1">
        <f t="shared" si="16"/>
        <v>0.23380000000000001</v>
      </c>
      <c r="V40" s="5">
        <v>20</v>
      </c>
      <c r="W40" s="5">
        <v>60</v>
      </c>
      <c r="X40" s="19">
        <v>80</v>
      </c>
      <c r="Y40" s="19" t="str">
        <f>VLOOKUP(A40,[1]Лист1!$A:$B,2,0)</f>
        <v>до 80 шт</v>
      </c>
      <c r="Z40" s="1">
        <f t="shared" si="7"/>
        <v>653.68263473053901</v>
      </c>
      <c r="AA40" s="1">
        <f t="shared" si="17"/>
        <v>397.05303678357569</v>
      </c>
      <c r="AB40" s="1">
        <v>0.23380000000000001</v>
      </c>
      <c r="AC40" s="1">
        <v>-0.2</v>
      </c>
      <c r="AD40" s="1">
        <v>-0.4</v>
      </c>
      <c r="AE40" s="1">
        <v>17.399999999999999</v>
      </c>
      <c r="AF40" s="1">
        <v>18.2</v>
      </c>
      <c r="AG40" s="1">
        <v>0.4</v>
      </c>
      <c r="AH40" s="1">
        <v>0.6</v>
      </c>
      <c r="AI40" s="1">
        <v>-0.8</v>
      </c>
      <c r="AJ40" s="1"/>
      <c r="AK40" s="1">
        <f t="shared" si="8"/>
        <v>21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81</v>
      </c>
      <c r="B41" s="1" t="s">
        <v>38</v>
      </c>
      <c r="C41" s="1">
        <v>27.457999999999998</v>
      </c>
      <c r="D41" s="1">
        <v>28.981000000000002</v>
      </c>
      <c r="E41" s="1">
        <v>31.198</v>
      </c>
      <c r="F41" s="1">
        <v>21.585999999999999</v>
      </c>
      <c r="G41" s="7">
        <v>1</v>
      </c>
      <c r="H41" s="1">
        <v>40</v>
      </c>
      <c r="I41" s="10" t="s">
        <v>51</v>
      </c>
      <c r="J41" s="1"/>
      <c r="K41" s="1">
        <v>41.82</v>
      </c>
      <c r="L41" s="1">
        <f t="shared" si="14"/>
        <v>-10.622</v>
      </c>
      <c r="M41" s="1">
        <f t="shared" si="15"/>
        <v>31.198</v>
      </c>
      <c r="N41" s="1"/>
      <c r="O41" s="1">
        <v>52</v>
      </c>
      <c r="P41" s="1"/>
      <c r="Q41" s="1">
        <v>0</v>
      </c>
      <c r="R41" s="1"/>
      <c r="S41" s="1">
        <v>0</v>
      </c>
      <c r="T41" s="1"/>
      <c r="U41" s="1">
        <f t="shared" si="16"/>
        <v>6.2396000000000003</v>
      </c>
      <c r="V41" s="5">
        <v>10</v>
      </c>
      <c r="W41" s="5">
        <f t="shared" si="6"/>
        <v>10</v>
      </c>
      <c r="X41" s="19"/>
      <c r="Y41" s="19"/>
      <c r="Z41" s="1">
        <f t="shared" si="7"/>
        <v>13.396051028912108</v>
      </c>
      <c r="AA41" s="1">
        <f t="shared" si="17"/>
        <v>11.793384191294313</v>
      </c>
      <c r="AB41" s="1">
        <v>4.0526</v>
      </c>
      <c r="AC41" s="1">
        <v>0.86860000000000004</v>
      </c>
      <c r="AD41" s="1">
        <v>1.5376000000000001</v>
      </c>
      <c r="AE41" s="1">
        <v>4.7845999999999993</v>
      </c>
      <c r="AF41" s="1">
        <v>3.8283999999999998</v>
      </c>
      <c r="AG41" s="1">
        <v>1.671</v>
      </c>
      <c r="AH41" s="1">
        <v>2.0398000000000001</v>
      </c>
      <c r="AI41" s="1">
        <v>3.0230000000000001</v>
      </c>
      <c r="AJ41" s="1"/>
      <c r="AK41" s="1">
        <f t="shared" si="8"/>
        <v>10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82</v>
      </c>
      <c r="B42" s="1" t="s">
        <v>44</v>
      </c>
      <c r="C42" s="1">
        <v>37</v>
      </c>
      <c r="D42" s="1">
        <v>166</v>
      </c>
      <c r="E42" s="1">
        <v>164</v>
      </c>
      <c r="F42" s="1">
        <v>4</v>
      </c>
      <c r="G42" s="7">
        <v>0.4</v>
      </c>
      <c r="H42" s="1">
        <v>40</v>
      </c>
      <c r="I42" s="10" t="s">
        <v>51</v>
      </c>
      <c r="J42" s="1"/>
      <c r="K42" s="1">
        <v>365</v>
      </c>
      <c r="L42" s="1">
        <f t="shared" si="14"/>
        <v>-201</v>
      </c>
      <c r="M42" s="1">
        <f t="shared" si="15"/>
        <v>164</v>
      </c>
      <c r="N42" s="1"/>
      <c r="O42" s="1">
        <v>390</v>
      </c>
      <c r="P42" s="1"/>
      <c r="Q42" s="1">
        <v>93.079999999999742</v>
      </c>
      <c r="R42" s="1"/>
      <c r="S42" s="1">
        <v>86.759999999999991</v>
      </c>
      <c r="T42" s="1">
        <v>93.240000000000009</v>
      </c>
      <c r="U42" s="1">
        <f t="shared" si="16"/>
        <v>32.799999999999997</v>
      </c>
      <c r="V42" s="5"/>
      <c r="W42" s="5">
        <f t="shared" si="6"/>
        <v>0</v>
      </c>
      <c r="X42" s="19"/>
      <c r="Y42" s="19"/>
      <c r="Z42" s="1">
        <f t="shared" si="7"/>
        <v>20.337804878048772</v>
      </c>
      <c r="AA42" s="1">
        <f t="shared" si="17"/>
        <v>20.337804878048772</v>
      </c>
      <c r="AB42" s="1">
        <v>53.2</v>
      </c>
      <c r="AC42" s="1">
        <v>65</v>
      </c>
      <c r="AD42" s="1">
        <v>73.2</v>
      </c>
      <c r="AE42" s="1">
        <v>57</v>
      </c>
      <c r="AF42" s="1">
        <v>51.2</v>
      </c>
      <c r="AG42" s="1">
        <v>38.4</v>
      </c>
      <c r="AH42" s="1">
        <v>34.6</v>
      </c>
      <c r="AI42" s="1">
        <v>39.4</v>
      </c>
      <c r="AJ42" s="1"/>
      <c r="AK42" s="1">
        <f t="shared" si="8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83</v>
      </c>
      <c r="B43" s="1" t="s">
        <v>44</v>
      </c>
      <c r="C43" s="1">
        <v>85</v>
      </c>
      <c r="D43" s="1">
        <v>610</v>
      </c>
      <c r="E43" s="1">
        <v>412</v>
      </c>
      <c r="F43" s="1">
        <v>155</v>
      </c>
      <c r="G43" s="7">
        <v>0.4</v>
      </c>
      <c r="H43" s="1">
        <v>45</v>
      </c>
      <c r="I43" s="10" t="s">
        <v>51</v>
      </c>
      <c r="J43" s="1"/>
      <c r="K43" s="1">
        <v>515</v>
      </c>
      <c r="L43" s="1">
        <f t="shared" si="14"/>
        <v>-103</v>
      </c>
      <c r="M43" s="1">
        <f t="shared" si="15"/>
        <v>412</v>
      </c>
      <c r="N43" s="1"/>
      <c r="O43" s="1">
        <v>522.59999999999991</v>
      </c>
      <c r="P43" s="1"/>
      <c r="Q43" s="1">
        <v>0</v>
      </c>
      <c r="R43" s="1"/>
      <c r="S43" s="1">
        <v>192.8</v>
      </c>
      <c r="T43" s="1">
        <v>207.2</v>
      </c>
      <c r="U43" s="1">
        <f t="shared" si="16"/>
        <v>82.4</v>
      </c>
      <c r="V43" s="5"/>
      <c r="W43" s="5">
        <v>100</v>
      </c>
      <c r="X43" s="19">
        <v>150</v>
      </c>
      <c r="Y43" s="19" t="str">
        <f>VLOOKUP(A43,[1]Лист1!$A:$B,2,0)</f>
        <v>до 150 шт</v>
      </c>
      <c r="Z43" s="1">
        <f t="shared" si="7"/>
        <v>14.291262135922327</v>
      </c>
      <c r="AA43" s="1">
        <f t="shared" si="17"/>
        <v>13.07766990291262</v>
      </c>
      <c r="AB43" s="1">
        <v>90.2</v>
      </c>
      <c r="AC43" s="1">
        <v>88</v>
      </c>
      <c r="AD43" s="1">
        <v>84</v>
      </c>
      <c r="AE43" s="1">
        <v>41.2</v>
      </c>
      <c r="AF43" s="1">
        <v>60.8</v>
      </c>
      <c r="AG43" s="1">
        <v>91.6</v>
      </c>
      <c r="AH43" s="1">
        <v>61.8</v>
      </c>
      <c r="AI43" s="1">
        <v>53.8</v>
      </c>
      <c r="AJ43" s="1"/>
      <c r="AK43" s="1">
        <f t="shared" si="8"/>
        <v>40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84</v>
      </c>
      <c r="B44" s="1" t="s">
        <v>38</v>
      </c>
      <c r="C44" s="1">
        <v>-0.72699999999999998</v>
      </c>
      <c r="D44" s="1"/>
      <c r="E44" s="1"/>
      <c r="F44" s="1">
        <v>-0.72699999999999998</v>
      </c>
      <c r="G44" s="7">
        <v>1</v>
      </c>
      <c r="H44" s="1">
        <v>40</v>
      </c>
      <c r="I44" s="10" t="s">
        <v>51</v>
      </c>
      <c r="J44" s="1"/>
      <c r="K44" s="1">
        <v>0.8</v>
      </c>
      <c r="L44" s="1">
        <f t="shared" si="14"/>
        <v>-0.8</v>
      </c>
      <c r="M44" s="1">
        <f t="shared" si="15"/>
        <v>0</v>
      </c>
      <c r="N44" s="1"/>
      <c r="O44" s="1">
        <v>130</v>
      </c>
      <c r="P44" s="1"/>
      <c r="Q44" s="1">
        <v>39</v>
      </c>
      <c r="R44" s="1"/>
      <c r="S44" s="1">
        <v>96.399999999999991</v>
      </c>
      <c r="T44" s="1">
        <v>103.6</v>
      </c>
      <c r="U44" s="1">
        <f t="shared" si="16"/>
        <v>0</v>
      </c>
      <c r="V44" s="5"/>
      <c r="W44" s="5">
        <v>100</v>
      </c>
      <c r="X44" s="19">
        <v>200</v>
      </c>
      <c r="Y44" s="19" t="str">
        <f>VLOOKUP(A44,[1]Лист1!$A:$B,2,0)</f>
        <v>до 200 кг</v>
      </c>
      <c r="Z44" s="1" t="e">
        <f t="shared" si="7"/>
        <v>#DIV/0!</v>
      </c>
      <c r="AA44" s="1" t="e">
        <f t="shared" si="17"/>
        <v>#DIV/0!</v>
      </c>
      <c r="AB44" s="1">
        <v>0</v>
      </c>
      <c r="AC44" s="1">
        <v>9.7788000000000004</v>
      </c>
      <c r="AD44" s="1">
        <v>18.235800000000001</v>
      </c>
      <c r="AE44" s="1">
        <v>15.523999999999999</v>
      </c>
      <c r="AF44" s="1">
        <v>12.8612</v>
      </c>
      <c r="AG44" s="1">
        <v>9.6170000000000009</v>
      </c>
      <c r="AH44" s="1">
        <v>3.972</v>
      </c>
      <c r="AI44" s="1">
        <v>4.1012000000000004</v>
      </c>
      <c r="AJ44" s="1" t="s">
        <v>41</v>
      </c>
      <c r="AK44" s="1">
        <f t="shared" si="8"/>
        <v>100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85</v>
      </c>
      <c r="B45" s="1" t="s">
        <v>44</v>
      </c>
      <c r="C45" s="1">
        <v>2</v>
      </c>
      <c r="D45" s="1"/>
      <c r="E45" s="1"/>
      <c r="F45" s="1">
        <v>-4</v>
      </c>
      <c r="G45" s="7">
        <v>0.35</v>
      </c>
      <c r="H45" s="1">
        <v>40</v>
      </c>
      <c r="I45" s="10" t="s">
        <v>51</v>
      </c>
      <c r="J45" s="1"/>
      <c r="K45" s="1">
        <v>187</v>
      </c>
      <c r="L45" s="1">
        <f t="shared" si="14"/>
        <v>-187</v>
      </c>
      <c r="M45" s="1">
        <f t="shared" si="15"/>
        <v>0</v>
      </c>
      <c r="N45" s="1"/>
      <c r="O45" s="1">
        <v>260</v>
      </c>
      <c r="P45" s="1"/>
      <c r="Q45" s="1">
        <v>152.68499999999989</v>
      </c>
      <c r="R45" s="1"/>
      <c r="S45" s="1">
        <v>57.84</v>
      </c>
      <c r="T45" s="1">
        <v>62.16</v>
      </c>
      <c r="U45" s="1">
        <f t="shared" si="16"/>
        <v>0</v>
      </c>
      <c r="V45" s="5"/>
      <c r="W45" s="5">
        <v>50</v>
      </c>
      <c r="X45" s="19">
        <v>100</v>
      </c>
      <c r="Y45" s="19" t="str">
        <f>VLOOKUP(A45,[1]Лист1!$A:$B,2,0)</f>
        <v>до 100шт</v>
      </c>
      <c r="Z45" s="1" t="e">
        <f t="shared" si="7"/>
        <v>#DIV/0!</v>
      </c>
      <c r="AA45" s="1" t="e">
        <f t="shared" si="17"/>
        <v>#DIV/0!</v>
      </c>
      <c r="AB45" s="1">
        <v>-0.4</v>
      </c>
      <c r="AC45" s="1">
        <v>31.2</v>
      </c>
      <c r="AD45" s="1">
        <v>60.8</v>
      </c>
      <c r="AE45" s="1">
        <v>78.400000000000006</v>
      </c>
      <c r="AF45" s="1">
        <v>297.39999999999998</v>
      </c>
      <c r="AG45" s="1">
        <v>286.60000000000002</v>
      </c>
      <c r="AH45" s="1">
        <v>77.599999999999994</v>
      </c>
      <c r="AI45" s="1">
        <v>42.2</v>
      </c>
      <c r="AJ45" s="1" t="s">
        <v>86</v>
      </c>
      <c r="AK45" s="1">
        <f t="shared" si="8"/>
        <v>18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44</v>
      </c>
      <c r="C46" s="1">
        <v>391</v>
      </c>
      <c r="D46" s="1">
        <v>8</v>
      </c>
      <c r="E46" s="1">
        <v>260</v>
      </c>
      <c r="F46" s="1">
        <v>22</v>
      </c>
      <c r="G46" s="7">
        <v>0.4</v>
      </c>
      <c r="H46" s="1">
        <v>40</v>
      </c>
      <c r="I46" s="10" t="s">
        <v>51</v>
      </c>
      <c r="J46" s="1"/>
      <c r="K46" s="1">
        <v>284</v>
      </c>
      <c r="L46" s="1">
        <f t="shared" si="14"/>
        <v>-24</v>
      </c>
      <c r="M46" s="1">
        <f t="shared" si="15"/>
        <v>260</v>
      </c>
      <c r="N46" s="1"/>
      <c r="O46" s="1">
        <v>260</v>
      </c>
      <c r="P46" s="1"/>
      <c r="Q46" s="1">
        <v>468</v>
      </c>
      <c r="R46" s="1"/>
      <c r="S46" s="1">
        <v>0</v>
      </c>
      <c r="T46" s="1"/>
      <c r="U46" s="1">
        <f t="shared" si="16"/>
        <v>52</v>
      </c>
      <c r="V46" s="5">
        <v>50</v>
      </c>
      <c r="W46" s="5">
        <f t="shared" si="6"/>
        <v>50</v>
      </c>
      <c r="X46" s="19"/>
      <c r="Y46" s="19"/>
      <c r="Z46" s="1">
        <f t="shared" si="7"/>
        <v>15.384615384615385</v>
      </c>
      <c r="AA46" s="1">
        <f t="shared" si="17"/>
        <v>14.423076923076923</v>
      </c>
      <c r="AB46" s="1">
        <v>69</v>
      </c>
      <c r="AC46" s="1">
        <v>79.400000000000006</v>
      </c>
      <c r="AD46" s="1">
        <v>67.400000000000006</v>
      </c>
      <c r="AE46" s="1">
        <v>75.400000000000006</v>
      </c>
      <c r="AF46" s="1">
        <v>92</v>
      </c>
      <c r="AG46" s="1">
        <v>107</v>
      </c>
      <c r="AH46" s="1">
        <v>103</v>
      </c>
      <c r="AI46" s="1">
        <v>65.599999999999994</v>
      </c>
      <c r="AJ46" s="1"/>
      <c r="AK46" s="1">
        <f t="shared" si="8"/>
        <v>20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38</v>
      </c>
      <c r="C47" s="1">
        <v>193.13</v>
      </c>
      <c r="D47" s="1">
        <v>271.58699999999999</v>
      </c>
      <c r="E47" s="1">
        <v>207.02500000000001</v>
      </c>
      <c r="F47" s="1">
        <v>107.245</v>
      </c>
      <c r="G47" s="7">
        <v>1</v>
      </c>
      <c r="H47" s="1">
        <v>50</v>
      </c>
      <c r="I47" s="1" t="s">
        <v>39</v>
      </c>
      <c r="J47" s="1"/>
      <c r="K47" s="1">
        <v>212.13900000000001</v>
      </c>
      <c r="L47" s="1">
        <f t="shared" si="14"/>
        <v>-5.1140000000000043</v>
      </c>
      <c r="M47" s="1">
        <f t="shared" si="15"/>
        <v>207.02500000000001</v>
      </c>
      <c r="N47" s="1"/>
      <c r="O47" s="1"/>
      <c r="P47" s="1"/>
      <c r="Q47" s="1">
        <v>0</v>
      </c>
      <c r="R47" s="1"/>
      <c r="S47" s="1">
        <v>106.04</v>
      </c>
      <c r="T47" s="1">
        <v>113.96</v>
      </c>
      <c r="U47" s="1">
        <f t="shared" si="16"/>
        <v>41.405000000000001</v>
      </c>
      <c r="V47" s="5">
        <f t="shared" si="13"/>
        <v>169.61500000000001</v>
      </c>
      <c r="W47" s="5">
        <v>200</v>
      </c>
      <c r="X47" s="19">
        <v>200</v>
      </c>
      <c r="Y47" s="19" t="str">
        <f>VLOOKUP(A47,[1]Лист1!$A:$B,2,0)</f>
        <v>до 200 кг (акция октябрь)</v>
      </c>
      <c r="Z47" s="1">
        <f t="shared" si="7"/>
        <v>12.733848569013404</v>
      </c>
      <c r="AA47" s="1">
        <f t="shared" si="17"/>
        <v>7.9035140683492333</v>
      </c>
      <c r="AB47" s="1">
        <v>41.046999999999997</v>
      </c>
      <c r="AC47" s="1">
        <v>19.833600000000001</v>
      </c>
      <c r="AD47" s="1">
        <v>20.871600000000001</v>
      </c>
      <c r="AE47" s="1">
        <v>29.981400000000001</v>
      </c>
      <c r="AF47" s="1">
        <v>29.677399999999999</v>
      </c>
      <c r="AG47" s="1">
        <v>19.035</v>
      </c>
      <c r="AH47" s="1">
        <v>16.658200000000001</v>
      </c>
      <c r="AI47" s="1">
        <v>12.968</v>
      </c>
      <c r="AJ47" s="1"/>
      <c r="AK47" s="1">
        <f t="shared" si="8"/>
        <v>200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89</v>
      </c>
      <c r="B48" s="1" t="s">
        <v>38</v>
      </c>
      <c r="C48" s="1">
        <v>193.727</v>
      </c>
      <c r="D48" s="1">
        <v>776.94799999999998</v>
      </c>
      <c r="E48" s="1">
        <v>448.18799999999999</v>
      </c>
      <c r="F48" s="1">
        <v>-2.468</v>
      </c>
      <c r="G48" s="7">
        <v>1</v>
      </c>
      <c r="H48" s="1">
        <v>50</v>
      </c>
      <c r="I48" s="1" t="s">
        <v>39</v>
      </c>
      <c r="J48" s="1"/>
      <c r="K48" s="1">
        <v>593.03200000000004</v>
      </c>
      <c r="L48" s="1">
        <f t="shared" si="14"/>
        <v>-144.84400000000005</v>
      </c>
      <c r="M48" s="1">
        <f t="shared" si="15"/>
        <v>234.40599999999998</v>
      </c>
      <c r="N48" s="1">
        <v>213.78200000000001</v>
      </c>
      <c r="O48" s="1"/>
      <c r="P48" s="1"/>
      <c r="Q48" s="1">
        <v>1567.5228480000001</v>
      </c>
      <c r="R48" s="1"/>
      <c r="S48" s="1">
        <v>337.4</v>
      </c>
      <c r="T48" s="1">
        <v>362.6</v>
      </c>
      <c r="U48" s="1">
        <f t="shared" si="16"/>
        <v>46.881199999999993</v>
      </c>
      <c r="V48" s="5"/>
      <c r="W48" s="5">
        <v>100</v>
      </c>
      <c r="X48" s="19">
        <v>200</v>
      </c>
      <c r="Y48" s="19" t="str">
        <f>VLOOKUP(A48,[1]Лист1!$A:$B,2,0)</f>
        <v>до 200 кг (акция октябрь)</v>
      </c>
      <c r="Z48" s="1">
        <f t="shared" si="7"/>
        <v>50.447830857571908</v>
      </c>
      <c r="AA48" s="1">
        <f t="shared" si="17"/>
        <v>48.31477965581086</v>
      </c>
      <c r="AB48" s="1">
        <v>105.58880000000001</v>
      </c>
      <c r="AC48" s="1">
        <v>141.5504</v>
      </c>
      <c r="AD48" s="1">
        <v>82.66</v>
      </c>
      <c r="AE48" s="1">
        <v>80.614800000000002</v>
      </c>
      <c r="AF48" s="1">
        <v>94.964200000000005</v>
      </c>
      <c r="AG48" s="1">
        <v>153.36920000000001</v>
      </c>
      <c r="AH48" s="1">
        <v>161.00640000000001</v>
      </c>
      <c r="AI48" s="1">
        <v>71.831199999999995</v>
      </c>
      <c r="AJ48" s="1" t="s">
        <v>41</v>
      </c>
      <c r="AK48" s="1">
        <f t="shared" si="8"/>
        <v>100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1" t="s">
        <v>90</v>
      </c>
      <c r="B49" s="11" t="s">
        <v>38</v>
      </c>
      <c r="C49" s="11"/>
      <c r="D49" s="11"/>
      <c r="E49" s="11"/>
      <c r="F49" s="11"/>
      <c r="G49" s="12">
        <v>0</v>
      </c>
      <c r="H49" s="11"/>
      <c r="I49" s="11" t="s">
        <v>39</v>
      </c>
      <c r="J49" s="11"/>
      <c r="K49" s="11"/>
      <c r="L49" s="11">
        <f t="shared" si="14"/>
        <v>0</v>
      </c>
      <c r="M49" s="11">
        <f t="shared" si="15"/>
        <v>0</v>
      </c>
      <c r="N49" s="11"/>
      <c r="O49" s="11"/>
      <c r="P49" s="11"/>
      <c r="Q49" s="11">
        <v>0</v>
      </c>
      <c r="R49" s="11"/>
      <c r="S49" s="11">
        <v>0</v>
      </c>
      <c r="T49" s="11"/>
      <c r="U49" s="11">
        <f t="shared" si="16"/>
        <v>0</v>
      </c>
      <c r="V49" s="13"/>
      <c r="W49" s="5">
        <f t="shared" si="6"/>
        <v>0</v>
      </c>
      <c r="X49" s="19"/>
      <c r="Y49" s="19"/>
      <c r="Z49" s="1" t="e">
        <f t="shared" si="7"/>
        <v>#DIV/0!</v>
      </c>
      <c r="AA49" s="11" t="e">
        <f t="shared" si="17"/>
        <v>#DIV/0!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 t="s">
        <v>57</v>
      </c>
      <c r="AK49" s="1">
        <f t="shared" si="8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91</v>
      </c>
      <c r="B50" s="1" t="s">
        <v>44</v>
      </c>
      <c r="C50" s="1">
        <v>393.98200000000003</v>
      </c>
      <c r="D50" s="1">
        <v>136</v>
      </c>
      <c r="E50" s="1">
        <v>249</v>
      </c>
      <c r="F50" s="1">
        <v>195.982</v>
      </c>
      <c r="G50" s="7">
        <v>0.45</v>
      </c>
      <c r="H50" s="1">
        <v>50</v>
      </c>
      <c r="I50" s="1" t="s">
        <v>39</v>
      </c>
      <c r="J50" s="1"/>
      <c r="K50" s="1">
        <v>290</v>
      </c>
      <c r="L50" s="1">
        <f t="shared" si="14"/>
        <v>-41</v>
      </c>
      <c r="M50" s="1">
        <f t="shared" si="15"/>
        <v>249</v>
      </c>
      <c r="N50" s="1"/>
      <c r="O50" s="1"/>
      <c r="P50" s="1"/>
      <c r="Q50" s="1">
        <v>258.87613199999993</v>
      </c>
      <c r="R50" s="1"/>
      <c r="S50" s="1">
        <v>67.085467575999999</v>
      </c>
      <c r="T50" s="1">
        <v>72.096000423999996</v>
      </c>
      <c r="U50" s="1">
        <f t="shared" si="16"/>
        <v>49.8</v>
      </c>
      <c r="V50" s="5">
        <f t="shared" ref="V50" si="18">12*U50-T50-S50-R50-Q50-P50-O50-F50</f>
        <v>3.560400000000044</v>
      </c>
      <c r="W50" s="5">
        <f t="shared" si="6"/>
        <v>3.560400000000044</v>
      </c>
      <c r="X50" s="19"/>
      <c r="Y50" s="19"/>
      <c r="Z50" s="1">
        <f t="shared" si="7"/>
        <v>12.000000000000002</v>
      </c>
      <c r="AA50" s="1">
        <f t="shared" si="17"/>
        <v>11.928506024096386</v>
      </c>
      <c r="AB50" s="1">
        <v>64.003599999999992</v>
      </c>
      <c r="AC50" s="1">
        <v>53.003599999999992</v>
      </c>
      <c r="AD50" s="1">
        <v>62.2</v>
      </c>
      <c r="AE50" s="1">
        <v>72.400000000000006</v>
      </c>
      <c r="AF50" s="1">
        <v>68</v>
      </c>
      <c r="AG50" s="1">
        <v>63</v>
      </c>
      <c r="AH50" s="1">
        <v>61</v>
      </c>
      <c r="AI50" s="1">
        <v>62.8</v>
      </c>
      <c r="AJ50" s="1"/>
      <c r="AK50" s="1">
        <f t="shared" si="8"/>
        <v>2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92</v>
      </c>
      <c r="B51" s="1" t="s">
        <v>44</v>
      </c>
      <c r="C51" s="1">
        <v>289</v>
      </c>
      <c r="D51" s="1">
        <v>833</v>
      </c>
      <c r="E51" s="1">
        <v>314</v>
      </c>
      <c r="F51" s="1">
        <v>723</v>
      </c>
      <c r="G51" s="7">
        <v>0.45</v>
      </c>
      <c r="H51" s="1">
        <v>50</v>
      </c>
      <c r="I51" s="1" t="s">
        <v>39</v>
      </c>
      <c r="J51" s="1"/>
      <c r="K51" s="1">
        <v>340</v>
      </c>
      <c r="L51" s="1">
        <f t="shared" si="14"/>
        <v>-26</v>
      </c>
      <c r="M51" s="1">
        <f t="shared" si="15"/>
        <v>314</v>
      </c>
      <c r="N51" s="1"/>
      <c r="O51" s="1">
        <v>121.1039999999999</v>
      </c>
      <c r="P51" s="1"/>
      <c r="Q51" s="1">
        <v>309.46800000000019</v>
      </c>
      <c r="R51" s="1"/>
      <c r="S51" s="1">
        <v>0</v>
      </c>
      <c r="T51" s="1"/>
      <c r="U51" s="1">
        <f t="shared" si="16"/>
        <v>62.8</v>
      </c>
      <c r="V51" s="5"/>
      <c r="W51" s="5">
        <f t="shared" si="6"/>
        <v>0</v>
      </c>
      <c r="X51" s="19"/>
      <c r="Y51" s="19"/>
      <c r="Z51" s="1">
        <f t="shared" si="7"/>
        <v>18.368980891719747</v>
      </c>
      <c r="AA51" s="1">
        <f t="shared" si="17"/>
        <v>18.368980891719747</v>
      </c>
      <c r="AB51" s="1">
        <v>88.6</v>
      </c>
      <c r="AC51" s="1">
        <v>112.4</v>
      </c>
      <c r="AD51" s="1">
        <v>111.6</v>
      </c>
      <c r="AE51" s="1">
        <v>97.4</v>
      </c>
      <c r="AF51" s="1">
        <v>85.4</v>
      </c>
      <c r="AG51" s="1">
        <v>118.6</v>
      </c>
      <c r="AH51" s="1">
        <v>121</v>
      </c>
      <c r="AI51" s="1">
        <v>89.2</v>
      </c>
      <c r="AJ51" s="1"/>
      <c r="AK51" s="1">
        <f t="shared" si="8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1" t="s">
        <v>93</v>
      </c>
      <c r="B52" s="11" t="s">
        <v>44</v>
      </c>
      <c r="C52" s="11"/>
      <c r="D52" s="11"/>
      <c r="E52" s="11"/>
      <c r="F52" s="11"/>
      <c r="G52" s="12">
        <v>0</v>
      </c>
      <c r="H52" s="11"/>
      <c r="I52" s="11" t="s">
        <v>39</v>
      </c>
      <c r="J52" s="11"/>
      <c r="K52" s="11"/>
      <c r="L52" s="11">
        <f t="shared" si="14"/>
        <v>0</v>
      </c>
      <c r="M52" s="11">
        <f t="shared" si="15"/>
        <v>0</v>
      </c>
      <c r="N52" s="11"/>
      <c r="O52" s="11"/>
      <c r="P52" s="11"/>
      <c r="Q52" s="11">
        <v>0</v>
      </c>
      <c r="R52" s="11"/>
      <c r="S52" s="11">
        <v>0</v>
      </c>
      <c r="T52" s="11"/>
      <c r="U52" s="11">
        <f t="shared" si="16"/>
        <v>0</v>
      </c>
      <c r="V52" s="13"/>
      <c r="W52" s="5">
        <f t="shared" si="6"/>
        <v>0</v>
      </c>
      <c r="X52" s="19"/>
      <c r="Y52" s="19"/>
      <c r="Z52" s="1" t="e">
        <f t="shared" si="7"/>
        <v>#DIV/0!</v>
      </c>
      <c r="AA52" s="11" t="e">
        <f t="shared" si="17"/>
        <v>#DIV/0!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 t="s">
        <v>57</v>
      </c>
      <c r="AK52" s="1">
        <f t="shared" si="8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94</v>
      </c>
      <c r="B53" s="1" t="s">
        <v>44</v>
      </c>
      <c r="C53" s="1">
        <v>83</v>
      </c>
      <c r="D53" s="1">
        <v>3</v>
      </c>
      <c r="E53" s="1">
        <v>19</v>
      </c>
      <c r="F53" s="1">
        <v>56</v>
      </c>
      <c r="G53" s="7">
        <v>0.4</v>
      </c>
      <c r="H53" s="1">
        <v>40</v>
      </c>
      <c r="I53" s="10" t="s">
        <v>51</v>
      </c>
      <c r="J53" s="1"/>
      <c r="K53" s="1">
        <v>26</v>
      </c>
      <c r="L53" s="1">
        <f t="shared" si="14"/>
        <v>-7</v>
      </c>
      <c r="M53" s="1">
        <f t="shared" si="15"/>
        <v>19</v>
      </c>
      <c r="N53" s="1"/>
      <c r="O53" s="1">
        <v>0</v>
      </c>
      <c r="P53" s="1"/>
      <c r="Q53" s="1">
        <v>16.899999999999999</v>
      </c>
      <c r="R53" s="1"/>
      <c r="S53" s="1">
        <v>0</v>
      </c>
      <c r="T53" s="1"/>
      <c r="U53" s="1">
        <f t="shared" si="16"/>
        <v>3.8</v>
      </c>
      <c r="V53" s="5"/>
      <c r="W53" s="5">
        <f t="shared" si="6"/>
        <v>0</v>
      </c>
      <c r="X53" s="19"/>
      <c r="Y53" s="19"/>
      <c r="Z53" s="1">
        <f t="shared" si="7"/>
        <v>19.184210526315791</v>
      </c>
      <c r="AA53" s="1">
        <f t="shared" si="17"/>
        <v>19.184210526315791</v>
      </c>
      <c r="AB53" s="1">
        <v>3.8</v>
      </c>
      <c r="AC53" s="1">
        <v>8</v>
      </c>
      <c r="AD53" s="1">
        <v>7.4</v>
      </c>
      <c r="AE53" s="1">
        <v>5.4</v>
      </c>
      <c r="AF53" s="1">
        <v>6</v>
      </c>
      <c r="AG53" s="1">
        <v>5.2</v>
      </c>
      <c r="AH53" s="1">
        <v>6.6</v>
      </c>
      <c r="AI53" s="1">
        <v>2.6</v>
      </c>
      <c r="AJ53" s="1" t="s">
        <v>47</v>
      </c>
      <c r="AK53" s="1">
        <f t="shared" si="8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95</v>
      </c>
      <c r="B54" s="1" t="s">
        <v>38</v>
      </c>
      <c r="C54" s="1">
        <v>407.56299999999999</v>
      </c>
      <c r="D54" s="1">
        <v>1799.59</v>
      </c>
      <c r="E54" s="1">
        <v>821.34299999999996</v>
      </c>
      <c r="F54" s="1">
        <v>698.61300000000006</v>
      </c>
      <c r="G54" s="7">
        <v>1</v>
      </c>
      <c r="H54" s="1">
        <v>50</v>
      </c>
      <c r="I54" s="1" t="s">
        <v>39</v>
      </c>
      <c r="J54" s="1"/>
      <c r="K54" s="1">
        <v>889.51599999999996</v>
      </c>
      <c r="L54" s="1">
        <f t="shared" si="14"/>
        <v>-68.173000000000002</v>
      </c>
      <c r="M54" s="1">
        <f t="shared" si="15"/>
        <v>821.34299999999996</v>
      </c>
      <c r="N54" s="1"/>
      <c r="O54" s="1">
        <v>232.55819151999989</v>
      </c>
      <c r="P54" s="1"/>
      <c r="Q54" s="1">
        <v>932.26674640000044</v>
      </c>
      <c r="R54" s="1"/>
      <c r="S54" s="1">
        <v>337.4</v>
      </c>
      <c r="T54" s="1">
        <v>362.6</v>
      </c>
      <c r="U54" s="1">
        <f t="shared" si="16"/>
        <v>164.26859999999999</v>
      </c>
      <c r="V54" s="5"/>
      <c r="W54" s="5">
        <v>200</v>
      </c>
      <c r="X54" s="19">
        <v>400</v>
      </c>
      <c r="Y54" s="19" t="str">
        <f>VLOOKUP(A54,[1]Лист1!$A:$B,2,0)</f>
        <v>до 400 кг (акция октябрь)</v>
      </c>
      <c r="Z54" s="1">
        <f t="shared" si="7"/>
        <v>16.822679062949344</v>
      </c>
      <c r="AA54" s="1">
        <f t="shared" si="17"/>
        <v>15.605160924972884</v>
      </c>
      <c r="AB54" s="1">
        <v>206.44300000000001</v>
      </c>
      <c r="AC54" s="1">
        <v>204.51920000000001</v>
      </c>
      <c r="AD54" s="1">
        <v>173.88640000000001</v>
      </c>
      <c r="AE54" s="1">
        <v>123.2016</v>
      </c>
      <c r="AF54" s="1">
        <v>136.36320000000001</v>
      </c>
      <c r="AG54" s="1">
        <v>140.7388</v>
      </c>
      <c r="AH54" s="1">
        <v>154.60720000000001</v>
      </c>
      <c r="AI54" s="1">
        <v>64.628200000000007</v>
      </c>
      <c r="AJ54" s="1"/>
      <c r="AK54" s="1">
        <f t="shared" si="8"/>
        <v>200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96</v>
      </c>
      <c r="B55" s="1" t="s">
        <v>44</v>
      </c>
      <c r="C55" s="1">
        <v>704</v>
      </c>
      <c r="D55" s="1">
        <v>5</v>
      </c>
      <c r="E55" s="14">
        <f>113+E129</f>
        <v>164</v>
      </c>
      <c r="F55" s="14">
        <f>456+F129</f>
        <v>582</v>
      </c>
      <c r="G55" s="7">
        <v>0.1</v>
      </c>
      <c r="H55" s="1">
        <v>731</v>
      </c>
      <c r="I55" s="1" t="s">
        <v>39</v>
      </c>
      <c r="J55" s="1"/>
      <c r="K55" s="1">
        <v>131</v>
      </c>
      <c r="L55" s="1">
        <f t="shared" si="14"/>
        <v>33</v>
      </c>
      <c r="M55" s="1">
        <f t="shared" si="15"/>
        <v>164</v>
      </c>
      <c r="N55" s="1"/>
      <c r="O55" s="1"/>
      <c r="P55" s="1"/>
      <c r="Q55" s="1">
        <v>0</v>
      </c>
      <c r="R55" s="1"/>
      <c r="S55" s="1">
        <v>0</v>
      </c>
      <c r="T55" s="1"/>
      <c r="U55" s="1">
        <f t="shared" si="16"/>
        <v>32.799999999999997</v>
      </c>
      <c r="V55" s="5"/>
      <c r="W55" s="5">
        <f t="shared" si="6"/>
        <v>0</v>
      </c>
      <c r="X55" s="19"/>
      <c r="Y55" s="19"/>
      <c r="Z55" s="1">
        <f t="shared" si="7"/>
        <v>17.743902439024392</v>
      </c>
      <c r="AA55" s="1">
        <f t="shared" si="17"/>
        <v>17.743902439024392</v>
      </c>
      <c r="AB55" s="1">
        <v>39.4</v>
      </c>
      <c r="AC55" s="1">
        <v>46.6</v>
      </c>
      <c r="AD55" s="1">
        <v>63</v>
      </c>
      <c r="AE55" s="1">
        <v>65.400000000000006</v>
      </c>
      <c r="AF55" s="1">
        <v>33.4</v>
      </c>
      <c r="AG55" s="1">
        <v>37</v>
      </c>
      <c r="AH55" s="1">
        <v>62.6</v>
      </c>
      <c r="AI55" s="1">
        <v>35.200000000000003</v>
      </c>
      <c r="AJ55" s="1"/>
      <c r="AK55" s="1">
        <f t="shared" si="8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97</v>
      </c>
      <c r="B56" s="1" t="s">
        <v>38</v>
      </c>
      <c r="C56" s="1">
        <v>49.231000000000002</v>
      </c>
      <c r="D56" s="1">
        <v>1619.682</v>
      </c>
      <c r="E56" s="1">
        <v>811.02499999999998</v>
      </c>
      <c r="F56" s="1">
        <v>374.65899999999999</v>
      </c>
      <c r="G56" s="7">
        <v>1</v>
      </c>
      <c r="H56" s="1">
        <v>50</v>
      </c>
      <c r="I56" s="1" t="s">
        <v>39</v>
      </c>
      <c r="J56" s="1"/>
      <c r="K56" s="1">
        <v>811.09</v>
      </c>
      <c r="L56" s="1">
        <f t="shared" si="14"/>
        <v>-6.500000000005457E-2</v>
      </c>
      <c r="M56" s="1">
        <f t="shared" si="15"/>
        <v>422.08499999999998</v>
      </c>
      <c r="N56" s="1">
        <v>388.94</v>
      </c>
      <c r="O56" s="1">
        <v>60</v>
      </c>
      <c r="P56" s="1"/>
      <c r="Q56" s="1">
        <v>0</v>
      </c>
      <c r="R56" s="1"/>
      <c r="S56" s="1">
        <v>120.5</v>
      </c>
      <c r="T56" s="1">
        <v>129.5</v>
      </c>
      <c r="U56" s="1">
        <f t="shared" si="16"/>
        <v>84.417000000000002</v>
      </c>
      <c r="V56" s="5">
        <f t="shared" ref="V56:V63" si="19">12*U56-T56-S56-R56-Q56-P56-O56-F56</f>
        <v>328.34500000000003</v>
      </c>
      <c r="W56" s="5">
        <v>500</v>
      </c>
      <c r="X56" s="19">
        <v>600</v>
      </c>
      <c r="Y56" s="19" t="s">
        <v>185</v>
      </c>
      <c r="Z56" s="1">
        <f t="shared" si="7"/>
        <v>14.033417439615244</v>
      </c>
      <c r="AA56" s="1">
        <f t="shared" si="17"/>
        <v>8.1104398403165234</v>
      </c>
      <c r="AB56" s="1">
        <v>102.416</v>
      </c>
      <c r="AC56" s="1">
        <v>87.879000000000005</v>
      </c>
      <c r="AD56" s="1">
        <v>99.554999999999993</v>
      </c>
      <c r="AE56" s="1">
        <v>115.2872</v>
      </c>
      <c r="AF56" s="1">
        <v>98.024599999999992</v>
      </c>
      <c r="AG56" s="1">
        <v>102.12820000000001</v>
      </c>
      <c r="AH56" s="1">
        <v>92.134600000000006</v>
      </c>
      <c r="AI56" s="1">
        <v>28.6614</v>
      </c>
      <c r="AJ56" s="1"/>
      <c r="AK56" s="1">
        <f t="shared" si="8"/>
        <v>500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98</v>
      </c>
      <c r="B57" s="1" t="s">
        <v>38</v>
      </c>
      <c r="C57" s="1">
        <v>118.13800000000001</v>
      </c>
      <c r="D57" s="1">
        <v>151.01499999999999</v>
      </c>
      <c r="E57" s="1">
        <v>21.966000000000001</v>
      </c>
      <c r="F57" s="1">
        <v>243.06800000000001</v>
      </c>
      <c r="G57" s="7">
        <v>1</v>
      </c>
      <c r="H57" s="1">
        <v>55</v>
      </c>
      <c r="I57" s="1" t="s">
        <v>39</v>
      </c>
      <c r="J57" s="1"/>
      <c r="K57" s="1">
        <v>21.2</v>
      </c>
      <c r="L57" s="1">
        <f t="shared" si="14"/>
        <v>0.76600000000000179</v>
      </c>
      <c r="M57" s="1">
        <f t="shared" si="15"/>
        <v>21.966000000000001</v>
      </c>
      <c r="N57" s="1"/>
      <c r="O57" s="1"/>
      <c r="P57" s="1"/>
      <c r="Q57" s="1">
        <v>0</v>
      </c>
      <c r="R57" s="1"/>
      <c r="S57" s="1">
        <v>0</v>
      </c>
      <c r="T57" s="1"/>
      <c r="U57" s="1">
        <f t="shared" si="16"/>
        <v>4.3932000000000002</v>
      </c>
      <c r="V57" s="5"/>
      <c r="W57" s="5">
        <f t="shared" si="6"/>
        <v>0</v>
      </c>
      <c r="X57" s="19"/>
      <c r="Y57" s="19"/>
      <c r="Z57" s="1">
        <f t="shared" si="7"/>
        <v>55.328234544295732</v>
      </c>
      <c r="AA57" s="1">
        <f t="shared" si="17"/>
        <v>55.328234544295732</v>
      </c>
      <c r="AB57" s="1">
        <v>3.2082000000000002</v>
      </c>
      <c r="AC57" s="1">
        <v>1.5431999999999999</v>
      </c>
      <c r="AD57" s="1">
        <v>4.0904000000000007</v>
      </c>
      <c r="AE57" s="1">
        <v>20.759</v>
      </c>
      <c r="AF57" s="1">
        <v>17.7484</v>
      </c>
      <c r="AG57" s="1">
        <v>2.9815999999999998</v>
      </c>
      <c r="AH57" s="1">
        <v>5.4039999999999999</v>
      </c>
      <c r="AI57" s="1">
        <v>9.4480000000000004</v>
      </c>
      <c r="AJ57" s="17" t="s">
        <v>78</v>
      </c>
      <c r="AK57" s="1">
        <f t="shared" si="8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99</v>
      </c>
      <c r="B58" s="1" t="s">
        <v>44</v>
      </c>
      <c r="C58" s="1">
        <v>634</v>
      </c>
      <c r="D58" s="1">
        <v>3</v>
      </c>
      <c r="E58" s="1">
        <v>110</v>
      </c>
      <c r="F58" s="1">
        <v>490</v>
      </c>
      <c r="G58" s="7">
        <v>0.1</v>
      </c>
      <c r="H58" s="1">
        <v>731</v>
      </c>
      <c r="I58" s="1" t="s">
        <v>39</v>
      </c>
      <c r="J58" s="1"/>
      <c r="K58" s="1">
        <v>124</v>
      </c>
      <c r="L58" s="1">
        <f t="shared" si="14"/>
        <v>-14</v>
      </c>
      <c r="M58" s="1">
        <f t="shared" si="15"/>
        <v>110</v>
      </c>
      <c r="N58" s="1"/>
      <c r="O58" s="1"/>
      <c r="P58" s="1"/>
      <c r="Q58" s="1">
        <v>0</v>
      </c>
      <c r="R58" s="1"/>
      <c r="S58" s="1">
        <v>0</v>
      </c>
      <c r="T58" s="1"/>
      <c r="U58" s="1">
        <f t="shared" si="16"/>
        <v>22</v>
      </c>
      <c r="V58" s="5"/>
      <c r="W58" s="5">
        <f t="shared" si="6"/>
        <v>0</v>
      </c>
      <c r="X58" s="19"/>
      <c r="Y58" s="19"/>
      <c r="Z58" s="1">
        <f t="shared" si="7"/>
        <v>22.272727272727273</v>
      </c>
      <c r="AA58" s="1">
        <f t="shared" si="17"/>
        <v>22.272727272727273</v>
      </c>
      <c r="AB58" s="1">
        <v>24.8</v>
      </c>
      <c r="AC58" s="1">
        <v>27.2</v>
      </c>
      <c r="AD58" s="1">
        <v>35</v>
      </c>
      <c r="AE58" s="1">
        <v>40.200000000000003</v>
      </c>
      <c r="AF58" s="1">
        <v>25.8</v>
      </c>
      <c r="AG58" s="1">
        <v>29</v>
      </c>
      <c r="AH58" s="1">
        <v>47</v>
      </c>
      <c r="AI58" s="1">
        <v>28.2</v>
      </c>
      <c r="AJ58" s="16" t="s">
        <v>47</v>
      </c>
      <c r="AK58" s="1">
        <f t="shared" si="8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5" t="s">
        <v>100</v>
      </c>
      <c r="B59" s="1" t="s">
        <v>44</v>
      </c>
      <c r="C59" s="1"/>
      <c r="D59" s="1"/>
      <c r="E59" s="1"/>
      <c r="F59" s="1"/>
      <c r="G59" s="7">
        <v>0.4</v>
      </c>
      <c r="H59" s="1">
        <v>50</v>
      </c>
      <c r="I59" s="1" t="s">
        <v>39</v>
      </c>
      <c r="J59" s="1"/>
      <c r="K59" s="1"/>
      <c r="L59" s="1">
        <f t="shared" si="14"/>
        <v>0</v>
      </c>
      <c r="M59" s="1">
        <f t="shared" si="15"/>
        <v>0</v>
      </c>
      <c r="N59" s="1"/>
      <c r="O59" s="1">
        <v>10</v>
      </c>
      <c r="P59" s="1"/>
      <c r="Q59" s="1"/>
      <c r="R59" s="1"/>
      <c r="S59" s="1">
        <v>10</v>
      </c>
      <c r="T59" s="1"/>
      <c r="U59" s="1">
        <f t="shared" si="16"/>
        <v>0</v>
      </c>
      <c r="V59" s="5"/>
      <c r="W59" s="5">
        <f t="shared" si="6"/>
        <v>0</v>
      </c>
      <c r="X59" s="19"/>
      <c r="Y59" s="19"/>
      <c r="Z59" s="1" t="e">
        <f t="shared" si="7"/>
        <v>#DIV/0!</v>
      </c>
      <c r="AA59" s="1" t="e">
        <f t="shared" si="17"/>
        <v>#DIV/0!</v>
      </c>
      <c r="AB59" s="1">
        <v>0</v>
      </c>
      <c r="AC59" s="1">
        <v>0.8</v>
      </c>
      <c r="AD59" s="1">
        <v>1.4</v>
      </c>
      <c r="AE59" s="1">
        <v>1</v>
      </c>
      <c r="AF59" s="1">
        <v>0.6</v>
      </c>
      <c r="AG59" s="1">
        <v>0.2</v>
      </c>
      <c r="AH59" s="1">
        <v>0.2</v>
      </c>
      <c r="AI59" s="1">
        <v>0.2</v>
      </c>
      <c r="AJ59" s="1" t="s">
        <v>101</v>
      </c>
      <c r="AK59" s="1">
        <f t="shared" si="8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102</v>
      </c>
      <c r="B60" s="1" t="s">
        <v>38</v>
      </c>
      <c r="C60" s="1">
        <v>407.48899999999998</v>
      </c>
      <c r="D60" s="1">
        <v>187.60599999999999</v>
      </c>
      <c r="E60" s="1">
        <v>356.93400000000003</v>
      </c>
      <c r="F60" s="1">
        <v>-24.195</v>
      </c>
      <c r="G60" s="7">
        <v>1</v>
      </c>
      <c r="H60" s="1">
        <v>40</v>
      </c>
      <c r="I60" s="10" t="s">
        <v>51</v>
      </c>
      <c r="J60" s="1"/>
      <c r="K60" s="1">
        <v>398.96600000000001</v>
      </c>
      <c r="L60" s="1">
        <f t="shared" si="14"/>
        <v>-42.031999999999982</v>
      </c>
      <c r="M60" s="1">
        <f t="shared" si="15"/>
        <v>257.36800000000005</v>
      </c>
      <c r="N60" s="1">
        <v>99.566000000000003</v>
      </c>
      <c r="O60" s="1">
        <v>65</v>
      </c>
      <c r="P60" s="1"/>
      <c r="Q60" s="1">
        <v>650.78442000000018</v>
      </c>
      <c r="R60" s="1"/>
      <c r="S60" s="1">
        <v>144.6</v>
      </c>
      <c r="T60" s="1">
        <v>155.4</v>
      </c>
      <c r="U60" s="1">
        <f t="shared" si="16"/>
        <v>51.473600000000012</v>
      </c>
      <c r="V60" s="5"/>
      <c r="W60" s="5">
        <v>100</v>
      </c>
      <c r="X60" s="19">
        <v>200</v>
      </c>
      <c r="Y60" s="19" t="str">
        <f>VLOOKUP(A60,[1]Лист1!$A:$B,2,0)</f>
        <v>до 200 кг</v>
      </c>
      <c r="Z60" s="1">
        <f t="shared" si="7"/>
        <v>21.206782117434958</v>
      </c>
      <c r="AA60" s="1">
        <f t="shared" si="17"/>
        <v>19.26403865282397</v>
      </c>
      <c r="AB60" s="1">
        <v>55.871799999999993</v>
      </c>
      <c r="AC60" s="1">
        <v>77.281200000000013</v>
      </c>
      <c r="AD60" s="1">
        <v>50.870399999999997</v>
      </c>
      <c r="AE60" s="1">
        <v>19.090599999999998</v>
      </c>
      <c r="AF60" s="1">
        <v>23.803599999999999</v>
      </c>
      <c r="AG60" s="1">
        <v>71.302800000000005</v>
      </c>
      <c r="AH60" s="1">
        <v>74.102599999999995</v>
      </c>
      <c r="AI60" s="1">
        <v>40.983999999999988</v>
      </c>
      <c r="AJ60" s="1" t="s">
        <v>41</v>
      </c>
      <c r="AK60" s="1">
        <f t="shared" si="8"/>
        <v>100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103</v>
      </c>
      <c r="B61" s="1" t="s">
        <v>38</v>
      </c>
      <c r="C61" s="1">
        <v>15.821999999999999</v>
      </c>
      <c r="D61" s="1">
        <v>276.40899999999999</v>
      </c>
      <c r="E61" s="1">
        <v>167.161</v>
      </c>
      <c r="F61" s="1">
        <v>31.936</v>
      </c>
      <c r="G61" s="7">
        <v>1</v>
      </c>
      <c r="H61" s="1">
        <v>40</v>
      </c>
      <c r="I61" s="10" t="s">
        <v>51</v>
      </c>
      <c r="J61" s="1"/>
      <c r="K61" s="1">
        <v>193.25899999999999</v>
      </c>
      <c r="L61" s="1">
        <f t="shared" si="14"/>
        <v>-26.097999999999985</v>
      </c>
      <c r="M61" s="1">
        <f t="shared" si="15"/>
        <v>94.201999999999998</v>
      </c>
      <c r="N61" s="1">
        <v>72.959000000000003</v>
      </c>
      <c r="O61" s="1">
        <v>260</v>
      </c>
      <c r="P61" s="1"/>
      <c r="Q61" s="1">
        <v>0</v>
      </c>
      <c r="R61" s="1"/>
      <c r="S61" s="1">
        <v>72.3</v>
      </c>
      <c r="T61" s="1">
        <v>77.7</v>
      </c>
      <c r="U61" s="1">
        <f t="shared" si="16"/>
        <v>18.840399999999999</v>
      </c>
      <c r="V61" s="5"/>
      <c r="W61" s="5">
        <v>50</v>
      </c>
      <c r="X61" s="19">
        <v>150</v>
      </c>
      <c r="Y61" s="19" t="str">
        <f>VLOOKUP(A61,[1]Лист1!$A:$B,2,0)</f>
        <v>до 150 кг</v>
      </c>
      <c r="Z61" s="1">
        <f t="shared" si="7"/>
        <v>26.110698286660583</v>
      </c>
      <c r="AA61" s="1">
        <f t="shared" si="17"/>
        <v>23.456826818963503</v>
      </c>
      <c r="AB61" s="1">
        <v>20.795200000000001</v>
      </c>
      <c r="AC61" s="1">
        <v>1.9228000000000001</v>
      </c>
      <c r="AD61" s="1">
        <v>32.845799999999997</v>
      </c>
      <c r="AE61" s="1">
        <v>64.912599999999998</v>
      </c>
      <c r="AF61" s="1">
        <v>19.1128</v>
      </c>
      <c r="AG61" s="1">
        <v>32.8048</v>
      </c>
      <c r="AH61" s="1">
        <v>35.227999999999987</v>
      </c>
      <c r="AI61" s="1">
        <v>10.414</v>
      </c>
      <c r="AJ61" s="1" t="s">
        <v>41</v>
      </c>
      <c r="AK61" s="1">
        <f t="shared" si="8"/>
        <v>50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104</v>
      </c>
      <c r="B62" s="1" t="s">
        <v>44</v>
      </c>
      <c r="C62" s="1">
        <v>1218</v>
      </c>
      <c r="D62" s="1">
        <v>10</v>
      </c>
      <c r="E62" s="1">
        <v>634</v>
      </c>
      <c r="F62" s="1">
        <v>424</v>
      </c>
      <c r="G62" s="7">
        <v>0.4</v>
      </c>
      <c r="H62" s="1">
        <v>40</v>
      </c>
      <c r="I62" s="10" t="s">
        <v>51</v>
      </c>
      <c r="J62" s="1"/>
      <c r="K62" s="1">
        <v>688</v>
      </c>
      <c r="L62" s="1">
        <f t="shared" si="14"/>
        <v>-54</v>
      </c>
      <c r="M62" s="1">
        <f t="shared" si="15"/>
        <v>634</v>
      </c>
      <c r="N62" s="1"/>
      <c r="O62" s="1">
        <v>0</v>
      </c>
      <c r="P62" s="1"/>
      <c r="Q62" s="1">
        <v>100</v>
      </c>
      <c r="R62" s="1"/>
      <c r="S62" s="1">
        <v>313.3</v>
      </c>
      <c r="T62" s="1">
        <v>336.7</v>
      </c>
      <c r="U62" s="1">
        <f t="shared" si="16"/>
        <v>126.8</v>
      </c>
      <c r="V62" s="5">
        <f t="shared" si="19"/>
        <v>347.59999999999991</v>
      </c>
      <c r="W62" s="5">
        <v>300</v>
      </c>
      <c r="X62" s="19"/>
      <c r="Y62" s="19"/>
      <c r="Z62" s="1">
        <f t="shared" si="7"/>
        <v>11.624605678233438</v>
      </c>
      <c r="AA62" s="1">
        <f t="shared" si="17"/>
        <v>9.2586750788643535</v>
      </c>
      <c r="AB62" s="1">
        <v>142.6</v>
      </c>
      <c r="AC62" s="1">
        <v>143.80000000000001</v>
      </c>
      <c r="AD62" s="1">
        <v>123.8</v>
      </c>
      <c r="AE62" s="1">
        <v>114.2</v>
      </c>
      <c r="AF62" s="1">
        <v>94.8</v>
      </c>
      <c r="AG62" s="1">
        <v>209</v>
      </c>
      <c r="AH62" s="1">
        <v>283.39999999999998</v>
      </c>
      <c r="AI62" s="1">
        <v>167</v>
      </c>
      <c r="AJ62" s="1"/>
      <c r="AK62" s="1">
        <f t="shared" si="8"/>
        <v>120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105</v>
      </c>
      <c r="B63" s="1" t="s">
        <v>44</v>
      </c>
      <c r="C63" s="1">
        <v>207</v>
      </c>
      <c r="D63" s="1">
        <v>362</v>
      </c>
      <c r="E63" s="1">
        <v>303</v>
      </c>
      <c r="F63" s="1">
        <v>154</v>
      </c>
      <c r="G63" s="7">
        <v>0.4</v>
      </c>
      <c r="H63" s="1">
        <v>40</v>
      </c>
      <c r="I63" s="10" t="s">
        <v>51</v>
      </c>
      <c r="J63" s="1"/>
      <c r="K63" s="1">
        <v>332</v>
      </c>
      <c r="L63" s="1">
        <f t="shared" si="14"/>
        <v>-29</v>
      </c>
      <c r="M63" s="1">
        <f t="shared" si="15"/>
        <v>303</v>
      </c>
      <c r="N63" s="1"/>
      <c r="O63" s="1">
        <v>413.4</v>
      </c>
      <c r="P63" s="1"/>
      <c r="Q63" s="1">
        <v>86.96999999999997</v>
      </c>
      <c r="R63" s="1"/>
      <c r="S63" s="1">
        <v>11.92999999999995</v>
      </c>
      <c r="T63" s="1"/>
      <c r="U63" s="1">
        <f t="shared" si="16"/>
        <v>60.6</v>
      </c>
      <c r="V63" s="5">
        <f t="shared" si="19"/>
        <v>60.900000000000205</v>
      </c>
      <c r="W63" s="5">
        <v>100</v>
      </c>
      <c r="X63" s="19">
        <v>100</v>
      </c>
      <c r="Y63" s="19" t="str">
        <f>VLOOKUP(A63,[1]Лист1!$A:$B,2,0)</f>
        <v>до 100 шт</v>
      </c>
      <c r="Z63" s="1">
        <f t="shared" si="7"/>
        <v>12.645214521452143</v>
      </c>
      <c r="AA63" s="1">
        <f t="shared" si="17"/>
        <v>10.995049504950492</v>
      </c>
      <c r="AB63" s="1">
        <v>77</v>
      </c>
      <c r="AC63" s="1">
        <v>82</v>
      </c>
      <c r="AD63" s="1">
        <v>72</v>
      </c>
      <c r="AE63" s="1">
        <v>53.8</v>
      </c>
      <c r="AF63" s="1">
        <v>26.4</v>
      </c>
      <c r="AG63" s="1">
        <v>52.6</v>
      </c>
      <c r="AH63" s="1">
        <v>97</v>
      </c>
      <c r="AI63" s="1">
        <v>65.8</v>
      </c>
      <c r="AJ63" s="1"/>
      <c r="AK63" s="1">
        <f t="shared" si="8"/>
        <v>40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106</v>
      </c>
      <c r="B64" s="1" t="s">
        <v>38</v>
      </c>
      <c r="C64" s="1">
        <v>140.75700000000001</v>
      </c>
      <c r="D64" s="1">
        <v>278.13900000000001</v>
      </c>
      <c r="E64" s="1">
        <v>278.91899999999998</v>
      </c>
      <c r="F64" s="1">
        <v>44.085000000000001</v>
      </c>
      <c r="G64" s="7">
        <v>1</v>
      </c>
      <c r="H64" s="1">
        <v>40</v>
      </c>
      <c r="I64" s="10" t="s">
        <v>51</v>
      </c>
      <c r="J64" s="1"/>
      <c r="K64" s="1">
        <v>272.60000000000002</v>
      </c>
      <c r="L64" s="1">
        <f t="shared" si="14"/>
        <v>6.31899999999996</v>
      </c>
      <c r="M64" s="1">
        <f t="shared" si="15"/>
        <v>278.91899999999998</v>
      </c>
      <c r="N64" s="1"/>
      <c r="O64" s="1">
        <v>0</v>
      </c>
      <c r="P64" s="1"/>
      <c r="Q64" s="1">
        <v>0</v>
      </c>
      <c r="R64" s="1"/>
      <c r="S64" s="1">
        <v>44.669000000000011</v>
      </c>
      <c r="T64" s="1"/>
      <c r="U64" s="1">
        <f t="shared" si="16"/>
        <v>55.783799999999999</v>
      </c>
      <c r="V64" s="5">
        <v>300</v>
      </c>
      <c r="W64" s="5">
        <f t="shared" si="6"/>
        <v>300</v>
      </c>
      <c r="X64" s="19"/>
      <c r="Y64" s="19"/>
      <c r="Z64" s="1">
        <f t="shared" si="7"/>
        <v>6.9689408036024796</v>
      </c>
      <c r="AA64" s="1">
        <f t="shared" si="17"/>
        <v>1.5910353902028909</v>
      </c>
      <c r="AB64" s="1">
        <v>23.893999999999998</v>
      </c>
      <c r="AC64" s="1">
        <v>12.907400000000001</v>
      </c>
      <c r="AD64" s="1">
        <v>12.6274</v>
      </c>
      <c r="AE64" s="1">
        <v>29.1814</v>
      </c>
      <c r="AF64" s="1">
        <v>13.0938</v>
      </c>
      <c r="AG64" s="1">
        <v>1.0998000000000001</v>
      </c>
      <c r="AH64" s="1">
        <v>6.0128000000000004</v>
      </c>
      <c r="AI64" s="1">
        <v>19.421600000000002</v>
      </c>
      <c r="AJ64" s="1"/>
      <c r="AK64" s="1">
        <f t="shared" si="8"/>
        <v>300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107</v>
      </c>
      <c r="B65" s="1" t="s">
        <v>38</v>
      </c>
      <c r="C65" s="1">
        <v>36.997</v>
      </c>
      <c r="D65" s="1"/>
      <c r="E65" s="1">
        <v>36.414999999999999</v>
      </c>
      <c r="F65" s="1">
        <v>-3.0379999999999998</v>
      </c>
      <c r="G65" s="7">
        <v>1</v>
      </c>
      <c r="H65" s="1">
        <v>40</v>
      </c>
      <c r="I65" s="10" t="s">
        <v>51</v>
      </c>
      <c r="J65" s="1"/>
      <c r="K65" s="1">
        <v>47.7</v>
      </c>
      <c r="L65" s="1">
        <f t="shared" si="14"/>
        <v>-11.285000000000004</v>
      </c>
      <c r="M65" s="1">
        <f t="shared" si="15"/>
        <v>36.414999999999999</v>
      </c>
      <c r="N65" s="1"/>
      <c r="O65" s="1">
        <v>52</v>
      </c>
      <c r="P65" s="1"/>
      <c r="Q65" s="1">
        <v>54.76873999999998</v>
      </c>
      <c r="R65" s="1"/>
      <c r="S65" s="1">
        <v>86.759999999999991</v>
      </c>
      <c r="T65" s="1">
        <v>93.240000000000009</v>
      </c>
      <c r="U65" s="1">
        <f t="shared" si="16"/>
        <v>7.2829999999999995</v>
      </c>
      <c r="V65" s="5"/>
      <c r="W65" s="5">
        <v>30</v>
      </c>
      <c r="X65" s="19">
        <v>50</v>
      </c>
      <c r="Y65" s="19" t="str">
        <f>VLOOKUP(A65,[1]Лист1!$A:$B,2,0)</f>
        <v>до 50 кг</v>
      </c>
      <c r="Z65" s="1">
        <f t="shared" si="7"/>
        <v>43.077130303446381</v>
      </c>
      <c r="AA65" s="1">
        <f t="shared" si="17"/>
        <v>38.957948647535353</v>
      </c>
      <c r="AB65" s="1">
        <v>9.6465999999999994</v>
      </c>
      <c r="AC65" s="1">
        <v>9.2433999999999994</v>
      </c>
      <c r="AD65" s="1">
        <v>12.121600000000001</v>
      </c>
      <c r="AE65" s="1">
        <v>9.0609999999999982</v>
      </c>
      <c r="AF65" s="1">
        <v>10.6732</v>
      </c>
      <c r="AG65" s="1">
        <v>19.827200000000001</v>
      </c>
      <c r="AH65" s="1">
        <v>18.578600000000002</v>
      </c>
      <c r="AI65" s="1">
        <v>13.1068</v>
      </c>
      <c r="AJ65" s="1"/>
      <c r="AK65" s="1">
        <f t="shared" si="8"/>
        <v>30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108</v>
      </c>
      <c r="B66" s="1" t="s">
        <v>38</v>
      </c>
      <c r="C66" s="1">
        <v>0.85</v>
      </c>
      <c r="D66" s="1">
        <v>202.53200000000001</v>
      </c>
      <c r="E66" s="1">
        <v>-2.718</v>
      </c>
      <c r="F66" s="1">
        <v>82.873000000000005</v>
      </c>
      <c r="G66" s="7">
        <v>1</v>
      </c>
      <c r="H66" s="1">
        <v>40</v>
      </c>
      <c r="I66" s="10" t="s">
        <v>51</v>
      </c>
      <c r="J66" s="1"/>
      <c r="K66" s="1">
        <v>125.7</v>
      </c>
      <c r="L66" s="1">
        <f t="shared" si="14"/>
        <v>-128.41800000000001</v>
      </c>
      <c r="M66" s="1">
        <f t="shared" si="15"/>
        <v>-2.718</v>
      </c>
      <c r="N66" s="1"/>
      <c r="O66" s="1">
        <v>390</v>
      </c>
      <c r="P66" s="1"/>
      <c r="Q66" s="1">
        <v>23.34019999999996</v>
      </c>
      <c r="R66" s="1"/>
      <c r="S66" s="1">
        <v>120.5</v>
      </c>
      <c r="T66" s="1">
        <v>129.5</v>
      </c>
      <c r="U66" s="1">
        <f t="shared" si="16"/>
        <v>-0.54359999999999997</v>
      </c>
      <c r="V66" s="5"/>
      <c r="W66" s="5">
        <v>100</v>
      </c>
      <c r="X66" s="19">
        <v>200</v>
      </c>
      <c r="Y66" s="19" t="str">
        <f>VLOOKUP(A66,[1]Лист1!$A:$B,2,0)</f>
        <v>200 кг</v>
      </c>
      <c r="Z66" s="1">
        <f t="shared" si="7"/>
        <v>-1556.6835908756439</v>
      </c>
      <c r="AA66" s="1">
        <f t="shared" si="17"/>
        <v>-1372.7247976453273</v>
      </c>
      <c r="AB66" s="1">
        <v>-0.54080000000000006</v>
      </c>
      <c r="AC66" s="1">
        <v>50.167000000000002</v>
      </c>
      <c r="AD66" s="1">
        <v>200.38480000000001</v>
      </c>
      <c r="AE66" s="1">
        <v>150.6652</v>
      </c>
      <c r="AF66" s="1">
        <v>10.826000000000001</v>
      </c>
      <c r="AG66" s="1">
        <v>108.81619999999999</v>
      </c>
      <c r="AH66" s="1">
        <v>142.37799999999999</v>
      </c>
      <c r="AI66" s="1">
        <v>60.96</v>
      </c>
      <c r="AJ66" s="1" t="s">
        <v>41</v>
      </c>
      <c r="AK66" s="1">
        <f t="shared" si="8"/>
        <v>100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109</v>
      </c>
      <c r="B67" s="1" t="s">
        <v>38</v>
      </c>
      <c r="C67" s="1">
        <v>0.20599999999999999</v>
      </c>
      <c r="D67" s="1"/>
      <c r="E67" s="1">
        <v>0.72</v>
      </c>
      <c r="F67" s="1">
        <v>-0.51400000000000001</v>
      </c>
      <c r="G67" s="7">
        <v>1</v>
      </c>
      <c r="H67" s="1">
        <v>40</v>
      </c>
      <c r="I67" s="10" t="s">
        <v>51</v>
      </c>
      <c r="J67" s="1"/>
      <c r="K67" s="1">
        <v>17.100000000000001</v>
      </c>
      <c r="L67" s="1">
        <f t="shared" si="14"/>
        <v>-16.380000000000003</v>
      </c>
      <c r="M67" s="1">
        <f t="shared" si="15"/>
        <v>0.72</v>
      </c>
      <c r="N67" s="1"/>
      <c r="O67" s="1">
        <v>39</v>
      </c>
      <c r="P67" s="1"/>
      <c r="Q67" s="1">
        <v>26</v>
      </c>
      <c r="R67" s="1"/>
      <c r="S67" s="1">
        <v>100</v>
      </c>
      <c r="T67" s="1"/>
      <c r="U67" s="1">
        <f t="shared" si="16"/>
        <v>0.14399999999999999</v>
      </c>
      <c r="V67" s="5"/>
      <c r="W67" s="5">
        <v>50</v>
      </c>
      <c r="X67" s="19">
        <v>100</v>
      </c>
      <c r="Y67" s="19" t="str">
        <f>VLOOKUP(A67,[1]Лист1!$A:$B,2,0)</f>
        <v>до 100 кг</v>
      </c>
      <c r="Z67" s="1">
        <f t="shared" si="7"/>
        <v>1489.4861111111111</v>
      </c>
      <c r="AA67" s="1">
        <f t="shared" si="17"/>
        <v>1142.2638888888889</v>
      </c>
      <c r="AB67" s="1">
        <v>0.14360000000000001</v>
      </c>
      <c r="AC67" s="1">
        <v>0.50719999999999998</v>
      </c>
      <c r="AD67" s="1">
        <v>0.36360000000000031</v>
      </c>
      <c r="AE67" s="1">
        <v>3.6232000000000002</v>
      </c>
      <c r="AF67" s="1">
        <v>4.3747999999999996</v>
      </c>
      <c r="AG67" s="1">
        <v>13.090400000000001</v>
      </c>
      <c r="AH67" s="1">
        <v>12.855399999999999</v>
      </c>
      <c r="AI67" s="1">
        <v>3.5981999999999998</v>
      </c>
      <c r="AJ67" s="1"/>
      <c r="AK67" s="1">
        <f t="shared" si="8"/>
        <v>50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1" t="s">
        <v>110</v>
      </c>
      <c r="B68" s="11" t="s">
        <v>44</v>
      </c>
      <c r="C68" s="11"/>
      <c r="D68" s="11"/>
      <c r="E68" s="11"/>
      <c r="F68" s="11"/>
      <c r="G68" s="12">
        <v>0.6</v>
      </c>
      <c r="H68" s="11"/>
      <c r="I68" s="11" t="s">
        <v>39</v>
      </c>
      <c r="J68" s="11"/>
      <c r="K68" s="11"/>
      <c r="L68" s="11">
        <f t="shared" si="14"/>
        <v>0</v>
      </c>
      <c r="M68" s="11">
        <f t="shared" si="15"/>
        <v>0</v>
      </c>
      <c r="N68" s="11"/>
      <c r="O68" s="11"/>
      <c r="P68" s="11"/>
      <c r="Q68" s="11">
        <v>0</v>
      </c>
      <c r="R68" s="11"/>
      <c r="S68" s="11">
        <v>0</v>
      </c>
      <c r="T68" s="11"/>
      <c r="U68" s="11">
        <f t="shared" si="16"/>
        <v>0</v>
      </c>
      <c r="V68" s="13"/>
      <c r="W68" s="5">
        <v>150</v>
      </c>
      <c r="X68" s="19">
        <v>150</v>
      </c>
      <c r="Y68" s="19" t="str">
        <f>VLOOKUP(A68,[1]Лист1!$A:$B,2,0)</f>
        <v>до 150 шт (заказ сети)</v>
      </c>
      <c r="Z68" s="1" t="e">
        <f t="shared" si="7"/>
        <v>#DIV/0!</v>
      </c>
      <c r="AA68" s="11" t="e">
        <f t="shared" si="17"/>
        <v>#DIV/0!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 t="s">
        <v>186</v>
      </c>
      <c r="AK68" s="1">
        <f t="shared" si="8"/>
        <v>90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111</v>
      </c>
      <c r="B69" s="1" t="s">
        <v>38</v>
      </c>
      <c r="C69" s="1">
        <v>163.726</v>
      </c>
      <c r="D69" s="1">
        <v>212.55199999999999</v>
      </c>
      <c r="E69" s="1">
        <v>158.48599999999999</v>
      </c>
      <c r="F69" s="1">
        <v>122.943</v>
      </c>
      <c r="G69" s="7">
        <v>1</v>
      </c>
      <c r="H69" s="1">
        <v>30</v>
      </c>
      <c r="I69" s="10" t="s">
        <v>51</v>
      </c>
      <c r="J69" s="1"/>
      <c r="K69" s="1">
        <v>248.1</v>
      </c>
      <c r="L69" s="1">
        <f t="shared" si="14"/>
        <v>-89.614000000000004</v>
      </c>
      <c r="M69" s="1">
        <f t="shared" si="15"/>
        <v>158.48599999999999</v>
      </c>
      <c r="N69" s="1"/>
      <c r="O69" s="1">
        <v>65</v>
      </c>
      <c r="P69" s="1"/>
      <c r="Q69" s="1">
        <v>0</v>
      </c>
      <c r="R69" s="1"/>
      <c r="S69" s="1">
        <v>60</v>
      </c>
      <c r="T69" s="1"/>
      <c r="U69" s="1">
        <f t="shared" si="16"/>
        <v>31.697199999999999</v>
      </c>
      <c r="V69" s="5">
        <f t="shared" ref="V69:V71" si="20">12*U69-T69-S69-R69-Q69-P69-O69-F69</f>
        <v>132.42340000000002</v>
      </c>
      <c r="W69" s="5">
        <v>100</v>
      </c>
      <c r="X69" s="19"/>
      <c r="Y69" s="19"/>
      <c r="Z69" s="1">
        <f t="shared" si="7"/>
        <v>10.977089459005843</v>
      </c>
      <c r="AA69" s="1">
        <f t="shared" si="17"/>
        <v>7.822236664437237</v>
      </c>
      <c r="AB69" s="1">
        <v>28.5306</v>
      </c>
      <c r="AC69" s="1">
        <v>24.4192</v>
      </c>
      <c r="AD69" s="1">
        <v>29.701599999999999</v>
      </c>
      <c r="AE69" s="1">
        <v>39.893999999999998</v>
      </c>
      <c r="AF69" s="1">
        <v>36.8568</v>
      </c>
      <c r="AG69" s="1">
        <v>31.719799999999999</v>
      </c>
      <c r="AH69" s="1">
        <v>39.7896</v>
      </c>
      <c r="AI69" s="1">
        <v>33.502800000000001</v>
      </c>
      <c r="AJ69" s="1"/>
      <c r="AK69" s="1">
        <f t="shared" si="8"/>
        <v>100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112</v>
      </c>
      <c r="B70" s="1" t="s">
        <v>44</v>
      </c>
      <c r="C70" s="1">
        <v>1579</v>
      </c>
      <c r="D70" s="1">
        <v>40</v>
      </c>
      <c r="E70" s="1">
        <v>559</v>
      </c>
      <c r="F70" s="1">
        <v>796</v>
      </c>
      <c r="G70" s="7">
        <v>0.6</v>
      </c>
      <c r="H70" s="1">
        <v>60</v>
      </c>
      <c r="I70" s="1" t="s">
        <v>39</v>
      </c>
      <c r="J70" s="1"/>
      <c r="K70" s="1">
        <v>593</v>
      </c>
      <c r="L70" s="1">
        <f t="shared" ref="L70:L101" si="21">E70-K70</f>
        <v>-34</v>
      </c>
      <c r="M70" s="1">
        <f t="shared" ref="M70:M101" si="22">E70-N70</f>
        <v>559</v>
      </c>
      <c r="N70" s="1"/>
      <c r="O70" s="1"/>
      <c r="P70" s="1"/>
      <c r="Q70" s="1">
        <v>200</v>
      </c>
      <c r="R70" s="1"/>
      <c r="S70" s="1">
        <v>578.4</v>
      </c>
      <c r="T70" s="1">
        <v>621.6</v>
      </c>
      <c r="U70" s="1">
        <f t="shared" ref="U70:U101" si="23">M70/5</f>
        <v>111.8</v>
      </c>
      <c r="V70" s="5"/>
      <c r="W70" s="5">
        <f t="shared" si="6"/>
        <v>0</v>
      </c>
      <c r="X70" s="19"/>
      <c r="Y70" s="19"/>
      <c r="Z70" s="1">
        <f t="shared" si="7"/>
        <v>19.642218246869412</v>
      </c>
      <c r="AA70" s="1">
        <f t="shared" ref="AA70:AA101" si="24">(F70+O70+P70+Q70+R70+S70+T70)/U70</f>
        <v>19.642218246869412</v>
      </c>
      <c r="AB70" s="1">
        <v>251.4</v>
      </c>
      <c r="AC70" s="1">
        <v>226</v>
      </c>
      <c r="AD70" s="1">
        <v>175.8</v>
      </c>
      <c r="AE70" s="1">
        <v>177.8</v>
      </c>
      <c r="AF70" s="1">
        <v>262.60000000000002</v>
      </c>
      <c r="AG70" s="1">
        <v>297.60000000000002</v>
      </c>
      <c r="AH70" s="1">
        <v>160.4</v>
      </c>
      <c r="AI70" s="1">
        <v>152</v>
      </c>
      <c r="AJ70" s="16" t="s">
        <v>47</v>
      </c>
      <c r="AK70" s="1">
        <f t="shared" si="8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113</v>
      </c>
      <c r="B71" s="1" t="s">
        <v>44</v>
      </c>
      <c r="C71" s="1">
        <v>668</v>
      </c>
      <c r="D71" s="1">
        <v>608</v>
      </c>
      <c r="E71" s="1">
        <v>659</v>
      </c>
      <c r="F71" s="1">
        <v>387</v>
      </c>
      <c r="G71" s="7">
        <v>0.6</v>
      </c>
      <c r="H71" s="1">
        <v>60</v>
      </c>
      <c r="I71" s="1" t="s">
        <v>39</v>
      </c>
      <c r="J71" s="1"/>
      <c r="K71" s="1">
        <v>686</v>
      </c>
      <c r="L71" s="1">
        <f t="shared" si="21"/>
        <v>-27</v>
      </c>
      <c r="M71" s="1">
        <f t="shared" si="22"/>
        <v>659</v>
      </c>
      <c r="N71" s="1"/>
      <c r="O71" s="1"/>
      <c r="P71" s="1"/>
      <c r="Q71" s="1">
        <v>545.10399999999981</v>
      </c>
      <c r="R71" s="1"/>
      <c r="S71" s="1">
        <v>0</v>
      </c>
      <c r="T71" s="1"/>
      <c r="U71" s="1">
        <f t="shared" si="23"/>
        <v>131.80000000000001</v>
      </c>
      <c r="V71" s="5">
        <f t="shared" si="20"/>
        <v>649.49600000000032</v>
      </c>
      <c r="W71" s="5">
        <v>600</v>
      </c>
      <c r="X71" s="19"/>
      <c r="Y71" s="19"/>
      <c r="Z71" s="1">
        <f t="shared" ref="Z71:Z130" si="25">(F71+O71+P71+Q71+R71+S71+T71+W71)/U71</f>
        <v>11.624461305007586</v>
      </c>
      <c r="AA71" s="1">
        <f t="shared" si="24"/>
        <v>7.0721092564491634</v>
      </c>
      <c r="AB71" s="1">
        <v>113.8</v>
      </c>
      <c r="AC71" s="1">
        <v>119.2</v>
      </c>
      <c r="AD71" s="1">
        <v>152.4</v>
      </c>
      <c r="AE71" s="1">
        <v>131.80000000000001</v>
      </c>
      <c r="AF71" s="1">
        <v>116.8</v>
      </c>
      <c r="AG71" s="1">
        <v>156.80000000000001</v>
      </c>
      <c r="AH71" s="1">
        <v>202.8</v>
      </c>
      <c r="AI71" s="1">
        <v>171.6</v>
      </c>
      <c r="AJ71" s="1"/>
      <c r="AK71" s="1">
        <f t="shared" ref="AK71:AK130" si="26">ROUND(G71*W71,0)</f>
        <v>360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114</v>
      </c>
      <c r="B72" s="1" t="s">
        <v>44</v>
      </c>
      <c r="C72" s="1"/>
      <c r="D72" s="1">
        <v>144</v>
      </c>
      <c r="E72" s="1">
        <v>24</v>
      </c>
      <c r="F72" s="1">
        <v>103</v>
      </c>
      <c r="G72" s="7">
        <v>0.4</v>
      </c>
      <c r="H72" s="1"/>
      <c r="I72" s="1" t="s">
        <v>39</v>
      </c>
      <c r="J72" s="1"/>
      <c r="K72" s="1">
        <v>27</v>
      </c>
      <c r="L72" s="1">
        <f t="shared" si="21"/>
        <v>-3</v>
      </c>
      <c r="M72" s="1">
        <f t="shared" si="22"/>
        <v>24</v>
      </c>
      <c r="N72" s="1"/>
      <c r="O72" s="1">
        <v>24</v>
      </c>
      <c r="P72" s="1"/>
      <c r="Q72" s="1">
        <v>0</v>
      </c>
      <c r="R72" s="1"/>
      <c r="S72" s="1">
        <v>0</v>
      </c>
      <c r="T72" s="1"/>
      <c r="U72" s="1">
        <f t="shared" si="23"/>
        <v>4.8</v>
      </c>
      <c r="V72" s="5"/>
      <c r="W72" s="5">
        <f t="shared" ref="W72:W130" si="27">V72</f>
        <v>0</v>
      </c>
      <c r="X72" s="19"/>
      <c r="Y72" s="19"/>
      <c r="Z72" s="1">
        <f t="shared" si="25"/>
        <v>26.458333333333336</v>
      </c>
      <c r="AA72" s="1">
        <f t="shared" si="24"/>
        <v>26.458333333333336</v>
      </c>
      <c r="AB72" s="1">
        <v>3.2</v>
      </c>
      <c r="AC72" s="1">
        <v>9.4</v>
      </c>
      <c r="AD72" s="1">
        <v>10</v>
      </c>
      <c r="AE72" s="1">
        <v>6.6</v>
      </c>
      <c r="AF72" s="1">
        <v>5</v>
      </c>
      <c r="AG72" s="1">
        <v>4</v>
      </c>
      <c r="AH72" s="1">
        <v>7.6</v>
      </c>
      <c r="AI72" s="1">
        <v>6.6</v>
      </c>
      <c r="AJ72" s="16" t="s">
        <v>47</v>
      </c>
      <c r="AK72" s="1">
        <f t="shared" si="26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1" t="s">
        <v>115</v>
      </c>
      <c r="B73" s="11" t="s">
        <v>44</v>
      </c>
      <c r="C73" s="11"/>
      <c r="D73" s="11"/>
      <c r="E73" s="11"/>
      <c r="F73" s="11"/>
      <c r="G73" s="12">
        <v>0</v>
      </c>
      <c r="H73" s="11"/>
      <c r="I73" s="11" t="s">
        <v>39</v>
      </c>
      <c r="J73" s="11"/>
      <c r="K73" s="11"/>
      <c r="L73" s="11">
        <f t="shared" si="21"/>
        <v>0</v>
      </c>
      <c r="M73" s="11">
        <f t="shared" si="22"/>
        <v>0</v>
      </c>
      <c r="N73" s="11"/>
      <c r="O73" s="11"/>
      <c r="P73" s="11"/>
      <c r="Q73" s="11">
        <v>0</v>
      </c>
      <c r="R73" s="11"/>
      <c r="S73" s="11">
        <v>0</v>
      </c>
      <c r="T73" s="11"/>
      <c r="U73" s="11">
        <f t="shared" si="23"/>
        <v>0</v>
      </c>
      <c r="V73" s="13"/>
      <c r="W73" s="5">
        <f t="shared" si="27"/>
        <v>0</v>
      </c>
      <c r="X73" s="19"/>
      <c r="Y73" s="19"/>
      <c r="Z73" s="1" t="e">
        <f t="shared" si="25"/>
        <v>#DIV/0!</v>
      </c>
      <c r="AA73" s="11" t="e">
        <f t="shared" si="24"/>
        <v>#DIV/0!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 t="s">
        <v>57</v>
      </c>
      <c r="AK73" s="1">
        <f t="shared" si="26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116</v>
      </c>
      <c r="B74" s="1" t="s">
        <v>44</v>
      </c>
      <c r="C74" s="1">
        <v>30</v>
      </c>
      <c r="D74" s="1"/>
      <c r="E74" s="1">
        <v>30</v>
      </c>
      <c r="F74" s="1"/>
      <c r="G74" s="7">
        <v>0.35</v>
      </c>
      <c r="H74" s="1">
        <v>90</v>
      </c>
      <c r="I74" s="10" t="s">
        <v>51</v>
      </c>
      <c r="J74" s="1"/>
      <c r="K74" s="1">
        <v>43</v>
      </c>
      <c r="L74" s="1">
        <f t="shared" si="21"/>
        <v>-13</v>
      </c>
      <c r="M74" s="1">
        <f t="shared" si="22"/>
        <v>30</v>
      </c>
      <c r="N74" s="1"/>
      <c r="O74" s="1">
        <v>39</v>
      </c>
      <c r="P74" s="1"/>
      <c r="Q74" s="1">
        <v>0</v>
      </c>
      <c r="R74" s="1"/>
      <c r="S74" s="1">
        <v>30</v>
      </c>
      <c r="T74" s="1"/>
      <c r="U74" s="1">
        <f t="shared" si="23"/>
        <v>6</v>
      </c>
      <c r="V74" s="5">
        <v>8</v>
      </c>
      <c r="W74" s="5">
        <f t="shared" si="27"/>
        <v>8</v>
      </c>
      <c r="X74" s="19"/>
      <c r="Y74" s="19"/>
      <c r="Z74" s="1">
        <f t="shared" si="25"/>
        <v>12.833333333333334</v>
      </c>
      <c r="AA74" s="1">
        <f t="shared" si="24"/>
        <v>11.5</v>
      </c>
      <c r="AB74" s="1">
        <v>5.8</v>
      </c>
      <c r="AC74" s="1">
        <v>2</v>
      </c>
      <c r="AD74" s="1">
        <v>0</v>
      </c>
      <c r="AE74" s="1">
        <v>4.5999999999999996</v>
      </c>
      <c r="AF74" s="1">
        <v>8.6</v>
      </c>
      <c r="AG74" s="1">
        <v>6.4</v>
      </c>
      <c r="AH74" s="1">
        <v>3.4</v>
      </c>
      <c r="AI74" s="1">
        <v>2</v>
      </c>
      <c r="AJ74" s="1"/>
      <c r="AK74" s="1">
        <f t="shared" si="26"/>
        <v>3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117</v>
      </c>
      <c r="B75" s="1" t="s">
        <v>44</v>
      </c>
      <c r="C75" s="1">
        <v>153</v>
      </c>
      <c r="D75" s="1">
        <v>46</v>
      </c>
      <c r="E75" s="1">
        <v>117</v>
      </c>
      <c r="F75" s="1">
        <v>65</v>
      </c>
      <c r="G75" s="7">
        <v>0.37</v>
      </c>
      <c r="H75" s="1">
        <v>50</v>
      </c>
      <c r="I75" s="1" t="s">
        <v>39</v>
      </c>
      <c r="J75" s="1"/>
      <c r="K75" s="1">
        <v>127</v>
      </c>
      <c r="L75" s="1">
        <f t="shared" si="21"/>
        <v>-10</v>
      </c>
      <c r="M75" s="1">
        <f t="shared" si="22"/>
        <v>117</v>
      </c>
      <c r="N75" s="1"/>
      <c r="O75" s="1">
        <v>23.200000000000049</v>
      </c>
      <c r="P75" s="1"/>
      <c r="Q75" s="1">
        <v>140.976</v>
      </c>
      <c r="R75" s="1"/>
      <c r="S75" s="1">
        <v>0</v>
      </c>
      <c r="T75" s="1"/>
      <c r="U75" s="1">
        <f t="shared" si="23"/>
        <v>23.4</v>
      </c>
      <c r="V75" s="5">
        <f t="shared" ref="V75:V81" si="28">12*U75-T75-S75-R75-Q75-P75-O75-F75</f>
        <v>51.62399999999991</v>
      </c>
      <c r="W75" s="5">
        <f t="shared" si="27"/>
        <v>51.62399999999991</v>
      </c>
      <c r="X75" s="19"/>
      <c r="Y75" s="19"/>
      <c r="Z75" s="1">
        <f t="shared" si="25"/>
        <v>11.999999999999998</v>
      </c>
      <c r="AA75" s="1">
        <f t="shared" si="24"/>
        <v>9.7938461538461556</v>
      </c>
      <c r="AB75" s="1">
        <v>25.4</v>
      </c>
      <c r="AC75" s="1">
        <v>24.8</v>
      </c>
      <c r="AD75" s="1">
        <v>24.6</v>
      </c>
      <c r="AE75" s="1">
        <v>23.2</v>
      </c>
      <c r="AF75" s="1">
        <v>23.8</v>
      </c>
      <c r="AG75" s="1">
        <v>28.6</v>
      </c>
      <c r="AH75" s="1">
        <v>31.4</v>
      </c>
      <c r="AI75" s="1">
        <v>34.200000000000003</v>
      </c>
      <c r="AJ75" s="1"/>
      <c r="AK75" s="1">
        <f t="shared" si="26"/>
        <v>19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118</v>
      </c>
      <c r="B76" s="1" t="s">
        <v>44</v>
      </c>
      <c r="C76" s="1">
        <v>-6</v>
      </c>
      <c r="D76" s="1">
        <v>505</v>
      </c>
      <c r="E76" s="1">
        <v>494</v>
      </c>
      <c r="F76" s="1">
        <v>-20</v>
      </c>
      <c r="G76" s="7">
        <v>0.6</v>
      </c>
      <c r="H76" s="1">
        <v>70</v>
      </c>
      <c r="I76" s="9" t="s">
        <v>119</v>
      </c>
      <c r="J76" s="1"/>
      <c r="K76" s="1">
        <v>1318</v>
      </c>
      <c r="L76" s="1">
        <f t="shared" si="21"/>
        <v>-824</v>
      </c>
      <c r="M76" s="1">
        <f t="shared" si="22"/>
        <v>494</v>
      </c>
      <c r="N76" s="1"/>
      <c r="O76" s="1">
        <v>50</v>
      </c>
      <c r="P76" s="1"/>
      <c r="Q76" s="1">
        <v>405.64800000000031</v>
      </c>
      <c r="R76" s="1"/>
      <c r="S76" s="1">
        <v>578.4</v>
      </c>
      <c r="T76" s="1">
        <v>621.6</v>
      </c>
      <c r="U76" s="1">
        <f t="shared" si="23"/>
        <v>98.8</v>
      </c>
      <c r="V76" s="5"/>
      <c r="W76" s="5">
        <f t="shared" si="27"/>
        <v>0</v>
      </c>
      <c r="X76" s="19"/>
      <c r="Y76" s="19"/>
      <c r="Z76" s="1">
        <f t="shared" si="25"/>
        <v>16.55514170040486</v>
      </c>
      <c r="AA76" s="1">
        <f t="shared" si="24"/>
        <v>16.55514170040486</v>
      </c>
      <c r="AB76" s="1">
        <v>59.8</v>
      </c>
      <c r="AC76" s="1">
        <v>70.400000000000006</v>
      </c>
      <c r="AD76" s="1">
        <v>59.2</v>
      </c>
      <c r="AE76" s="1">
        <v>51.8</v>
      </c>
      <c r="AF76" s="1">
        <v>45.2</v>
      </c>
      <c r="AG76" s="1">
        <v>52</v>
      </c>
      <c r="AH76" s="1">
        <v>67.8</v>
      </c>
      <c r="AI76" s="1">
        <v>63.6</v>
      </c>
      <c r="AJ76" s="1" t="s">
        <v>120</v>
      </c>
      <c r="AK76" s="1">
        <f t="shared" si="26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121</v>
      </c>
      <c r="B77" s="1" t="s">
        <v>44</v>
      </c>
      <c r="C77" s="1">
        <v>96</v>
      </c>
      <c r="D77" s="1">
        <v>774</v>
      </c>
      <c r="E77" s="1">
        <v>353</v>
      </c>
      <c r="F77" s="1">
        <v>315</v>
      </c>
      <c r="G77" s="7">
        <v>0.33</v>
      </c>
      <c r="H77" s="1">
        <v>40</v>
      </c>
      <c r="I77" s="1" t="s">
        <v>39</v>
      </c>
      <c r="J77" s="1"/>
      <c r="K77" s="1">
        <v>435</v>
      </c>
      <c r="L77" s="1">
        <f t="shared" si="21"/>
        <v>-82</v>
      </c>
      <c r="M77" s="1">
        <f t="shared" si="22"/>
        <v>353</v>
      </c>
      <c r="N77" s="1"/>
      <c r="O77" s="1">
        <v>30</v>
      </c>
      <c r="P77" s="1"/>
      <c r="Q77" s="1">
        <v>347.77</v>
      </c>
      <c r="R77" s="1"/>
      <c r="S77" s="1">
        <v>0</v>
      </c>
      <c r="T77" s="1"/>
      <c r="U77" s="1">
        <f t="shared" si="23"/>
        <v>70.599999999999994</v>
      </c>
      <c r="V77" s="5">
        <f t="shared" si="28"/>
        <v>154.42999999999995</v>
      </c>
      <c r="W77" s="5">
        <f t="shared" si="27"/>
        <v>154.42999999999995</v>
      </c>
      <c r="X77" s="19"/>
      <c r="Y77" s="19"/>
      <c r="Z77" s="1">
        <f t="shared" si="25"/>
        <v>12</v>
      </c>
      <c r="AA77" s="1">
        <f t="shared" si="24"/>
        <v>9.8126062322946179</v>
      </c>
      <c r="AB77" s="1">
        <v>78.2</v>
      </c>
      <c r="AC77" s="1">
        <v>81</v>
      </c>
      <c r="AD77" s="1">
        <v>76.2</v>
      </c>
      <c r="AE77" s="1">
        <v>80.400000000000006</v>
      </c>
      <c r="AF77" s="1">
        <v>78.599999999999994</v>
      </c>
      <c r="AG77" s="1">
        <v>60.2</v>
      </c>
      <c r="AH77" s="1">
        <v>23.2</v>
      </c>
      <c r="AI77" s="1">
        <v>35.4</v>
      </c>
      <c r="AJ77" s="1"/>
      <c r="AK77" s="1">
        <f t="shared" si="26"/>
        <v>51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122</v>
      </c>
      <c r="B78" s="1" t="s">
        <v>44</v>
      </c>
      <c r="C78" s="1">
        <v>1</v>
      </c>
      <c r="D78" s="1">
        <v>139</v>
      </c>
      <c r="E78" s="1">
        <v>3</v>
      </c>
      <c r="F78" s="1">
        <v>115</v>
      </c>
      <c r="G78" s="7">
        <v>0.4</v>
      </c>
      <c r="H78" s="1">
        <v>55</v>
      </c>
      <c r="I78" s="1" t="s">
        <v>39</v>
      </c>
      <c r="J78" s="1"/>
      <c r="K78" s="1">
        <v>13</v>
      </c>
      <c r="L78" s="1">
        <f t="shared" si="21"/>
        <v>-10</v>
      </c>
      <c r="M78" s="1">
        <f t="shared" si="22"/>
        <v>3</v>
      </c>
      <c r="N78" s="1"/>
      <c r="O78" s="1">
        <v>30</v>
      </c>
      <c r="P78" s="1"/>
      <c r="Q78" s="1">
        <v>0</v>
      </c>
      <c r="R78" s="1"/>
      <c r="S78" s="1">
        <v>0</v>
      </c>
      <c r="T78" s="1"/>
      <c r="U78" s="1">
        <f t="shared" si="23"/>
        <v>0.6</v>
      </c>
      <c r="V78" s="5"/>
      <c r="W78" s="5">
        <f t="shared" si="27"/>
        <v>0</v>
      </c>
      <c r="X78" s="19"/>
      <c r="Y78" s="19"/>
      <c r="Z78" s="1">
        <f t="shared" si="25"/>
        <v>241.66666666666669</v>
      </c>
      <c r="AA78" s="1">
        <f t="shared" si="24"/>
        <v>241.66666666666669</v>
      </c>
      <c r="AB78" s="1">
        <v>5.2</v>
      </c>
      <c r="AC78" s="1">
        <v>10.199999999999999</v>
      </c>
      <c r="AD78" s="1">
        <v>10.4</v>
      </c>
      <c r="AE78" s="1">
        <v>7.6</v>
      </c>
      <c r="AF78" s="1">
        <v>7.6</v>
      </c>
      <c r="AG78" s="1">
        <v>10.199999999999999</v>
      </c>
      <c r="AH78" s="1">
        <v>12.6</v>
      </c>
      <c r="AI78" s="1">
        <v>9.4</v>
      </c>
      <c r="AJ78" s="16" t="s">
        <v>47</v>
      </c>
      <c r="AK78" s="1">
        <f t="shared" si="26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123</v>
      </c>
      <c r="B79" s="1" t="s">
        <v>44</v>
      </c>
      <c r="C79" s="1"/>
      <c r="D79" s="1">
        <v>108</v>
      </c>
      <c r="E79" s="1">
        <v>73</v>
      </c>
      <c r="F79" s="1">
        <v>10</v>
      </c>
      <c r="G79" s="7">
        <v>0.35</v>
      </c>
      <c r="H79" s="1">
        <v>40</v>
      </c>
      <c r="I79" s="10" t="s">
        <v>51</v>
      </c>
      <c r="J79" s="1"/>
      <c r="K79" s="1">
        <v>86</v>
      </c>
      <c r="L79" s="1">
        <f t="shared" si="21"/>
        <v>-13</v>
      </c>
      <c r="M79" s="1">
        <f t="shared" si="22"/>
        <v>73</v>
      </c>
      <c r="N79" s="1"/>
      <c r="O79" s="1">
        <v>65</v>
      </c>
      <c r="P79" s="1"/>
      <c r="Q79" s="1">
        <v>0</v>
      </c>
      <c r="R79" s="1"/>
      <c r="S79" s="1">
        <v>100</v>
      </c>
      <c r="T79" s="1"/>
      <c r="U79" s="1">
        <f t="shared" si="23"/>
        <v>14.6</v>
      </c>
      <c r="V79" s="5">
        <v>30</v>
      </c>
      <c r="W79" s="5">
        <v>50</v>
      </c>
      <c r="X79" s="19">
        <v>50</v>
      </c>
      <c r="Y79" s="19" t="str">
        <f>VLOOKUP(A79,[1]Лист1!$A:$B,2,0)</f>
        <v>50 шт</v>
      </c>
      <c r="Z79" s="1">
        <f t="shared" si="25"/>
        <v>15.41095890410959</v>
      </c>
      <c r="AA79" s="1">
        <f t="shared" si="24"/>
        <v>11.986301369863014</v>
      </c>
      <c r="AB79" s="1">
        <v>8.6</v>
      </c>
      <c r="AC79" s="1">
        <v>7.2</v>
      </c>
      <c r="AD79" s="1">
        <v>15.8</v>
      </c>
      <c r="AE79" s="1">
        <v>8.4</v>
      </c>
      <c r="AF79" s="1">
        <v>-0.6</v>
      </c>
      <c r="AG79" s="1">
        <v>-1.2</v>
      </c>
      <c r="AH79" s="1">
        <v>-0.4</v>
      </c>
      <c r="AI79" s="1">
        <v>14</v>
      </c>
      <c r="AJ79" s="1"/>
      <c r="AK79" s="1">
        <f t="shared" si="26"/>
        <v>18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124</v>
      </c>
      <c r="B80" s="1" t="s">
        <v>44</v>
      </c>
      <c r="C80" s="1">
        <v>58</v>
      </c>
      <c r="D80" s="1">
        <v>340</v>
      </c>
      <c r="E80" s="1">
        <v>128</v>
      </c>
      <c r="F80" s="1">
        <v>135</v>
      </c>
      <c r="G80" s="7">
        <v>0.35</v>
      </c>
      <c r="H80" s="1">
        <v>45</v>
      </c>
      <c r="I80" s="10" t="s">
        <v>51</v>
      </c>
      <c r="J80" s="1"/>
      <c r="K80" s="1">
        <v>225</v>
      </c>
      <c r="L80" s="1">
        <f t="shared" si="21"/>
        <v>-97</v>
      </c>
      <c r="M80" s="1">
        <f t="shared" si="22"/>
        <v>98</v>
      </c>
      <c r="N80" s="1">
        <v>30</v>
      </c>
      <c r="O80" s="1">
        <v>455</v>
      </c>
      <c r="P80" s="1"/>
      <c r="Q80" s="1">
        <v>0</v>
      </c>
      <c r="R80" s="1"/>
      <c r="S80" s="1">
        <v>0</v>
      </c>
      <c r="T80" s="1"/>
      <c r="U80" s="1">
        <f t="shared" si="23"/>
        <v>19.600000000000001</v>
      </c>
      <c r="V80" s="5"/>
      <c r="W80" s="5">
        <f t="shared" si="27"/>
        <v>0</v>
      </c>
      <c r="X80" s="19"/>
      <c r="Y80" s="19"/>
      <c r="Z80" s="1">
        <f t="shared" si="25"/>
        <v>30.102040816326529</v>
      </c>
      <c r="AA80" s="1">
        <f t="shared" si="24"/>
        <v>30.102040816326529</v>
      </c>
      <c r="AB80" s="1">
        <v>33.799999999999997</v>
      </c>
      <c r="AC80" s="1">
        <v>60</v>
      </c>
      <c r="AD80" s="1">
        <v>60.2</v>
      </c>
      <c r="AE80" s="1">
        <v>18.600000000000001</v>
      </c>
      <c r="AF80" s="1">
        <v>1.2</v>
      </c>
      <c r="AG80" s="1">
        <v>24.8</v>
      </c>
      <c r="AH80" s="1">
        <v>57.2</v>
      </c>
      <c r="AI80" s="1">
        <v>41.6</v>
      </c>
      <c r="AJ80" s="1"/>
      <c r="AK80" s="1">
        <f t="shared" si="26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125</v>
      </c>
      <c r="B81" s="1" t="s">
        <v>44</v>
      </c>
      <c r="C81" s="1">
        <v>60</v>
      </c>
      <c r="D81" s="1"/>
      <c r="E81" s="1">
        <v>32</v>
      </c>
      <c r="F81" s="1">
        <v>21</v>
      </c>
      <c r="G81" s="7">
        <v>0.4</v>
      </c>
      <c r="H81" s="1">
        <v>55</v>
      </c>
      <c r="I81" s="1" t="s">
        <v>39</v>
      </c>
      <c r="J81" s="1"/>
      <c r="K81" s="1">
        <v>35</v>
      </c>
      <c r="L81" s="1">
        <f t="shared" si="21"/>
        <v>-3</v>
      </c>
      <c r="M81" s="1">
        <f t="shared" si="22"/>
        <v>32</v>
      </c>
      <c r="N81" s="1"/>
      <c r="O81" s="1"/>
      <c r="P81" s="1"/>
      <c r="Q81" s="1">
        <v>0</v>
      </c>
      <c r="R81" s="1"/>
      <c r="S81" s="1">
        <v>33</v>
      </c>
      <c r="T81" s="1"/>
      <c r="U81" s="1">
        <f t="shared" si="23"/>
        <v>6.4</v>
      </c>
      <c r="V81" s="5">
        <f t="shared" si="28"/>
        <v>22.800000000000011</v>
      </c>
      <c r="W81" s="5">
        <f t="shared" si="27"/>
        <v>22.800000000000011</v>
      </c>
      <c r="X81" s="19"/>
      <c r="Y81" s="19"/>
      <c r="Z81" s="1">
        <f t="shared" si="25"/>
        <v>12.000000000000002</v>
      </c>
      <c r="AA81" s="1">
        <f t="shared" si="24"/>
        <v>8.4375</v>
      </c>
      <c r="AB81" s="1">
        <v>6.2</v>
      </c>
      <c r="AC81" s="1">
        <v>2</v>
      </c>
      <c r="AD81" s="1">
        <v>2</v>
      </c>
      <c r="AE81" s="1">
        <v>2</v>
      </c>
      <c r="AF81" s="1">
        <v>6.2</v>
      </c>
      <c r="AG81" s="1">
        <v>4.4000000000000004</v>
      </c>
      <c r="AH81" s="1">
        <v>0.2</v>
      </c>
      <c r="AI81" s="1">
        <v>4.2</v>
      </c>
      <c r="AJ81" s="1"/>
      <c r="AK81" s="1">
        <f t="shared" si="26"/>
        <v>9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126</v>
      </c>
      <c r="B82" s="1" t="s">
        <v>38</v>
      </c>
      <c r="C82" s="1">
        <v>2.56</v>
      </c>
      <c r="D82" s="1"/>
      <c r="E82" s="1">
        <v>1.3340000000000001</v>
      </c>
      <c r="F82" s="1">
        <v>-22.032</v>
      </c>
      <c r="G82" s="7">
        <v>1</v>
      </c>
      <c r="H82" s="1">
        <v>55</v>
      </c>
      <c r="I82" s="1" t="s">
        <v>39</v>
      </c>
      <c r="J82" s="1"/>
      <c r="K82" s="1">
        <v>1.5</v>
      </c>
      <c r="L82" s="1">
        <f t="shared" si="21"/>
        <v>-0.16599999999999993</v>
      </c>
      <c r="M82" s="1">
        <f t="shared" si="22"/>
        <v>1.3340000000000001</v>
      </c>
      <c r="N82" s="1"/>
      <c r="O82" s="1">
        <v>5.6173999999999999</v>
      </c>
      <c r="P82" s="1"/>
      <c r="Q82" s="1">
        <v>4</v>
      </c>
      <c r="R82" s="1"/>
      <c r="S82" s="1">
        <v>4</v>
      </c>
      <c r="T82" s="1"/>
      <c r="U82" s="1">
        <f t="shared" si="23"/>
        <v>0.26680000000000004</v>
      </c>
      <c r="V82" s="5"/>
      <c r="W82" s="5">
        <f t="shared" si="27"/>
        <v>0</v>
      </c>
      <c r="X82" s="19"/>
      <c r="Y82" s="19"/>
      <c r="Z82" s="1">
        <f t="shared" si="25"/>
        <v>-31.538980509745123</v>
      </c>
      <c r="AA82" s="1">
        <f t="shared" si="24"/>
        <v>-31.538980509745123</v>
      </c>
      <c r="AB82" s="1">
        <v>0.26679999999999998</v>
      </c>
      <c r="AC82" s="1">
        <v>0.74340000000000006</v>
      </c>
      <c r="AD82" s="1">
        <v>0.74340000000000006</v>
      </c>
      <c r="AE82" s="1">
        <v>0.26700000000000002</v>
      </c>
      <c r="AF82" s="1">
        <v>0.26700000000000002</v>
      </c>
      <c r="AG82" s="1">
        <v>0.29099999999999998</v>
      </c>
      <c r="AH82" s="1">
        <v>0.59099999999999997</v>
      </c>
      <c r="AI82" s="1">
        <v>0.3</v>
      </c>
      <c r="AJ82" s="1" t="s">
        <v>127</v>
      </c>
      <c r="AK82" s="1">
        <f t="shared" si="26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1" t="s">
        <v>128</v>
      </c>
      <c r="B83" s="11" t="s">
        <v>38</v>
      </c>
      <c r="C83" s="11"/>
      <c r="D83" s="11"/>
      <c r="E83" s="11"/>
      <c r="F83" s="11"/>
      <c r="G83" s="12">
        <v>0</v>
      </c>
      <c r="H83" s="11"/>
      <c r="I83" s="11" t="s">
        <v>39</v>
      </c>
      <c r="J83" s="11"/>
      <c r="K83" s="11"/>
      <c r="L83" s="11">
        <f t="shared" si="21"/>
        <v>0</v>
      </c>
      <c r="M83" s="11">
        <f t="shared" si="22"/>
        <v>0</v>
      </c>
      <c r="N83" s="11"/>
      <c r="O83" s="11"/>
      <c r="P83" s="11"/>
      <c r="Q83" s="11">
        <v>0</v>
      </c>
      <c r="R83" s="11"/>
      <c r="S83" s="11">
        <v>0</v>
      </c>
      <c r="T83" s="11"/>
      <c r="U83" s="11">
        <f t="shared" si="23"/>
        <v>0</v>
      </c>
      <c r="V83" s="13"/>
      <c r="W83" s="5">
        <f t="shared" si="27"/>
        <v>0</v>
      </c>
      <c r="X83" s="19"/>
      <c r="Y83" s="19"/>
      <c r="Z83" s="1" t="e">
        <f t="shared" si="25"/>
        <v>#DIV/0!</v>
      </c>
      <c r="AA83" s="11" t="e">
        <f t="shared" si="24"/>
        <v>#DIV/0!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 t="s">
        <v>57</v>
      </c>
      <c r="AK83" s="1">
        <f t="shared" si="26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129</v>
      </c>
      <c r="B84" s="1" t="s">
        <v>38</v>
      </c>
      <c r="C84" s="1">
        <v>2940.299</v>
      </c>
      <c r="D84" s="1">
        <v>4556.7420000000002</v>
      </c>
      <c r="E84" s="1">
        <v>3087.4960000000001</v>
      </c>
      <c r="F84" s="1">
        <v>2361.357</v>
      </c>
      <c r="G84" s="7">
        <v>1</v>
      </c>
      <c r="H84" s="1">
        <v>60</v>
      </c>
      <c r="I84" s="1" t="s">
        <v>39</v>
      </c>
      <c r="J84" s="1"/>
      <c r="K84" s="1">
        <v>3210.4639999999999</v>
      </c>
      <c r="L84" s="1">
        <f t="shared" si="21"/>
        <v>-122.96799999999985</v>
      </c>
      <c r="M84" s="1">
        <f t="shared" si="22"/>
        <v>2204.2820000000002</v>
      </c>
      <c r="N84" s="1">
        <v>883.21400000000006</v>
      </c>
      <c r="O84" s="1">
        <v>240</v>
      </c>
      <c r="P84" s="1"/>
      <c r="Q84" s="1">
        <v>687.77930600000298</v>
      </c>
      <c r="R84" s="1"/>
      <c r="S84" s="1">
        <v>819.4</v>
      </c>
      <c r="T84" s="1">
        <v>880.6</v>
      </c>
      <c r="U84" s="1">
        <f t="shared" si="23"/>
        <v>440.85640000000001</v>
      </c>
      <c r="V84" s="5">
        <f t="shared" ref="V84:V97" si="29">12*U84-T84-S84-R84-Q84-P84-O84-F84</f>
        <v>301.14049399999612</v>
      </c>
      <c r="W84" s="5">
        <v>600</v>
      </c>
      <c r="X84" s="19">
        <v>900</v>
      </c>
      <c r="Y84" s="19" t="str">
        <f>VLOOKUP(A84,[1]Лист1!$A:$B,2,0)</f>
        <v>до 900 кг</v>
      </c>
      <c r="Z84" s="1">
        <f t="shared" si="25"/>
        <v>12.677906697056009</v>
      </c>
      <c r="AA84" s="1">
        <f t="shared" si="24"/>
        <v>11.31691930977979</v>
      </c>
      <c r="AB84" s="1">
        <v>511.75360000000001</v>
      </c>
      <c r="AC84" s="1">
        <v>483.48380000000009</v>
      </c>
      <c r="AD84" s="1">
        <v>522.95619999999997</v>
      </c>
      <c r="AE84" s="1">
        <v>517.02299999999991</v>
      </c>
      <c r="AF84" s="1">
        <v>538.73500000000001</v>
      </c>
      <c r="AG84" s="1">
        <v>591.0634</v>
      </c>
      <c r="AH84" s="1">
        <v>673.63120000000004</v>
      </c>
      <c r="AI84" s="1">
        <v>428.86399999999998</v>
      </c>
      <c r="AJ84" s="1" t="s">
        <v>41</v>
      </c>
      <c r="AK84" s="1">
        <f t="shared" si="26"/>
        <v>600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130</v>
      </c>
      <c r="B85" s="1" t="s">
        <v>44</v>
      </c>
      <c r="C85" s="1">
        <v>588</v>
      </c>
      <c r="D85" s="1">
        <v>28</v>
      </c>
      <c r="E85" s="1">
        <v>36</v>
      </c>
      <c r="F85" s="1">
        <v>459</v>
      </c>
      <c r="G85" s="7">
        <v>0.3</v>
      </c>
      <c r="H85" s="1">
        <v>40</v>
      </c>
      <c r="I85" s="1" t="s">
        <v>39</v>
      </c>
      <c r="J85" s="1"/>
      <c r="K85" s="1">
        <v>260</v>
      </c>
      <c r="L85" s="1">
        <f t="shared" si="21"/>
        <v>-224</v>
      </c>
      <c r="M85" s="1">
        <f t="shared" si="22"/>
        <v>36</v>
      </c>
      <c r="N85" s="1"/>
      <c r="O85" s="1"/>
      <c r="P85" s="1"/>
      <c r="Q85" s="1">
        <v>0</v>
      </c>
      <c r="R85" s="1"/>
      <c r="S85" s="1">
        <v>0</v>
      </c>
      <c r="T85" s="1"/>
      <c r="U85" s="1">
        <f t="shared" si="23"/>
        <v>7.2</v>
      </c>
      <c r="V85" s="5"/>
      <c r="W85" s="5">
        <f t="shared" si="27"/>
        <v>0</v>
      </c>
      <c r="X85" s="19"/>
      <c r="Y85" s="19"/>
      <c r="Z85" s="1">
        <f t="shared" si="25"/>
        <v>63.75</v>
      </c>
      <c r="AA85" s="1">
        <f t="shared" si="24"/>
        <v>63.75</v>
      </c>
      <c r="AB85" s="1">
        <v>16.399999999999999</v>
      </c>
      <c r="AC85" s="1">
        <v>26.8</v>
      </c>
      <c r="AD85" s="1">
        <v>38.799999999999997</v>
      </c>
      <c r="AE85" s="1">
        <v>47.6</v>
      </c>
      <c r="AF85" s="1">
        <v>64.8</v>
      </c>
      <c r="AG85" s="1">
        <v>54.6</v>
      </c>
      <c r="AH85" s="1">
        <v>43.4</v>
      </c>
      <c r="AI85" s="1">
        <v>52.8</v>
      </c>
      <c r="AJ85" s="17" t="s">
        <v>78</v>
      </c>
      <c r="AK85" s="1">
        <f t="shared" si="26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131</v>
      </c>
      <c r="B86" s="1" t="s">
        <v>38</v>
      </c>
      <c r="C86" s="1">
        <v>1081.2049999999999</v>
      </c>
      <c r="D86" s="1">
        <v>3502.239</v>
      </c>
      <c r="E86" s="1">
        <v>1960.1579999999999</v>
      </c>
      <c r="F86" s="1">
        <v>1482.152</v>
      </c>
      <c r="G86" s="7">
        <v>1</v>
      </c>
      <c r="H86" s="1">
        <v>60</v>
      </c>
      <c r="I86" s="1" t="s">
        <v>39</v>
      </c>
      <c r="J86" s="1"/>
      <c r="K86" s="1">
        <v>2035.0989999999999</v>
      </c>
      <c r="L86" s="1">
        <f t="shared" si="21"/>
        <v>-74.941000000000031</v>
      </c>
      <c r="M86" s="1">
        <f t="shared" si="22"/>
        <v>1194.6589999999999</v>
      </c>
      <c r="N86" s="1">
        <v>765.49900000000002</v>
      </c>
      <c r="O86" s="1">
        <v>200</v>
      </c>
      <c r="P86" s="1">
        <v>210</v>
      </c>
      <c r="Q86" s="1">
        <v>0</v>
      </c>
      <c r="R86" s="1"/>
      <c r="S86" s="1">
        <v>361.5</v>
      </c>
      <c r="T86" s="1">
        <v>388.5</v>
      </c>
      <c r="U86" s="1">
        <f t="shared" si="23"/>
        <v>238.93179999999998</v>
      </c>
      <c r="V86" s="5">
        <f t="shared" si="29"/>
        <v>225.02959999999985</v>
      </c>
      <c r="W86" s="22"/>
      <c r="X86" s="19"/>
      <c r="Y86" s="19"/>
      <c r="Z86" s="1">
        <f t="shared" si="25"/>
        <v>11.058184804199358</v>
      </c>
      <c r="AA86" s="1">
        <f t="shared" si="24"/>
        <v>11.058184804199358</v>
      </c>
      <c r="AB86" s="1">
        <v>332.30399999999997</v>
      </c>
      <c r="AC86" s="1">
        <v>267.47199999999998</v>
      </c>
      <c r="AD86" s="1">
        <v>289.9846</v>
      </c>
      <c r="AE86" s="1">
        <v>263.73020000000002</v>
      </c>
      <c r="AF86" s="1">
        <v>277.47519999999997</v>
      </c>
      <c r="AG86" s="1">
        <v>257.95119999999997</v>
      </c>
      <c r="AH86" s="1">
        <v>283.8922</v>
      </c>
      <c r="AI86" s="1">
        <v>197.21299999999999</v>
      </c>
      <c r="AJ86" s="1"/>
      <c r="AK86" s="1">
        <f t="shared" si="26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132</v>
      </c>
      <c r="B87" s="1" t="s">
        <v>38</v>
      </c>
      <c r="C87" s="1">
        <v>1285.4929999999999</v>
      </c>
      <c r="D87" s="1">
        <v>7163.8559999999998</v>
      </c>
      <c r="E87" s="1">
        <v>4151.518</v>
      </c>
      <c r="F87" s="1">
        <v>1711.114</v>
      </c>
      <c r="G87" s="7">
        <v>1</v>
      </c>
      <c r="H87" s="1">
        <v>60</v>
      </c>
      <c r="I87" s="1" t="s">
        <v>39</v>
      </c>
      <c r="J87" s="1"/>
      <c r="K87" s="1">
        <v>4264.893</v>
      </c>
      <c r="L87" s="1">
        <f t="shared" si="21"/>
        <v>-113.375</v>
      </c>
      <c r="M87" s="1">
        <f t="shared" si="22"/>
        <v>2180.2250000000004</v>
      </c>
      <c r="N87" s="1">
        <v>1971.2929999999999</v>
      </c>
      <c r="O87" s="1">
        <v>420</v>
      </c>
      <c r="P87" s="1">
        <v>300</v>
      </c>
      <c r="Q87" s="1">
        <v>664.68947600000001</v>
      </c>
      <c r="R87" s="1"/>
      <c r="S87" s="1">
        <v>939.9</v>
      </c>
      <c r="T87" s="1">
        <v>1010.1</v>
      </c>
      <c r="U87" s="1">
        <f t="shared" si="23"/>
        <v>436.04500000000007</v>
      </c>
      <c r="V87" s="5">
        <f t="shared" si="29"/>
        <v>186.73652400000037</v>
      </c>
      <c r="W87" s="5">
        <v>400</v>
      </c>
      <c r="X87" s="21">
        <v>1000</v>
      </c>
      <c r="Y87" s="19" t="str">
        <f>VLOOKUP(A87,[1]Лист1!$A:$B,2,0)</f>
        <v>до 1000 кг</v>
      </c>
      <c r="Z87" s="1">
        <f t="shared" si="25"/>
        <v>12.489085933791236</v>
      </c>
      <c r="AA87" s="1">
        <f t="shared" si="24"/>
        <v>11.571749420357989</v>
      </c>
      <c r="AB87" s="1">
        <v>563.02379999999994</v>
      </c>
      <c r="AC87" s="1">
        <v>485.17479999999989</v>
      </c>
      <c r="AD87" s="1">
        <v>500.68040000000002</v>
      </c>
      <c r="AE87" s="1">
        <v>462.61800000000011</v>
      </c>
      <c r="AF87" s="1">
        <v>495.69220000000001</v>
      </c>
      <c r="AG87" s="1">
        <v>523.89400000000001</v>
      </c>
      <c r="AH87" s="1">
        <v>507.10120000000012</v>
      </c>
      <c r="AI87" s="1">
        <v>403.74220000000003</v>
      </c>
      <c r="AJ87" s="1"/>
      <c r="AK87" s="1">
        <f t="shared" si="26"/>
        <v>400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133</v>
      </c>
      <c r="B88" s="1" t="s">
        <v>38</v>
      </c>
      <c r="C88" s="1">
        <v>1204.998</v>
      </c>
      <c r="D88" s="1">
        <v>8608.7530000000006</v>
      </c>
      <c r="E88" s="1">
        <v>4289.5929999999998</v>
      </c>
      <c r="F88" s="1">
        <v>2452.768</v>
      </c>
      <c r="G88" s="7">
        <v>1</v>
      </c>
      <c r="H88" s="1">
        <v>60</v>
      </c>
      <c r="I88" s="1" t="s">
        <v>39</v>
      </c>
      <c r="J88" s="1"/>
      <c r="K88" s="1">
        <v>4343.3540000000003</v>
      </c>
      <c r="L88" s="1">
        <f t="shared" si="21"/>
        <v>-53.761000000000422</v>
      </c>
      <c r="M88" s="1">
        <f t="shared" si="22"/>
        <v>2286.9389999999999</v>
      </c>
      <c r="N88" s="1">
        <v>2002.654</v>
      </c>
      <c r="O88" s="1">
        <v>440</v>
      </c>
      <c r="P88" s="1">
        <v>300</v>
      </c>
      <c r="Q88" s="1">
        <v>745.97376800000006</v>
      </c>
      <c r="R88" s="1"/>
      <c r="S88" s="1">
        <v>939.9</v>
      </c>
      <c r="T88" s="1">
        <v>1010.1</v>
      </c>
      <c r="U88" s="1">
        <f t="shared" si="23"/>
        <v>457.38779999999997</v>
      </c>
      <c r="V88" s="5"/>
      <c r="W88" s="5">
        <f t="shared" si="27"/>
        <v>0</v>
      </c>
      <c r="X88" s="21">
        <v>500</v>
      </c>
      <c r="Y88" s="19" t="str">
        <f>VLOOKUP(A88,[1]Лист1!$A:$B,2,0)</f>
        <v>500 кг</v>
      </c>
      <c r="Z88" s="1">
        <f t="shared" si="25"/>
        <v>12.874724179350652</v>
      </c>
      <c r="AA88" s="1">
        <f t="shared" si="24"/>
        <v>12.874724179350652</v>
      </c>
      <c r="AB88" s="1">
        <v>640.37459999999987</v>
      </c>
      <c r="AC88" s="1">
        <v>544.50639999999999</v>
      </c>
      <c r="AD88" s="1">
        <v>570.49300000000005</v>
      </c>
      <c r="AE88" s="1">
        <v>578.13740000000007</v>
      </c>
      <c r="AF88" s="1">
        <v>589.31639999999993</v>
      </c>
      <c r="AG88" s="1">
        <v>576.82039999999995</v>
      </c>
      <c r="AH88" s="1">
        <v>637.09520000000009</v>
      </c>
      <c r="AI88" s="1">
        <v>500.93239999999997</v>
      </c>
      <c r="AJ88" s="1"/>
      <c r="AK88" s="1">
        <f t="shared" si="26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134</v>
      </c>
      <c r="B89" s="1" t="s">
        <v>38</v>
      </c>
      <c r="C89" s="1">
        <v>38.997</v>
      </c>
      <c r="D89" s="1">
        <v>13.459</v>
      </c>
      <c r="E89" s="1">
        <v>14.657999999999999</v>
      </c>
      <c r="F89" s="1">
        <v>31.109000000000002</v>
      </c>
      <c r="G89" s="7">
        <v>1</v>
      </c>
      <c r="H89" s="1">
        <v>55</v>
      </c>
      <c r="I89" s="1" t="s">
        <v>39</v>
      </c>
      <c r="J89" s="1"/>
      <c r="K89" s="1">
        <v>14.8</v>
      </c>
      <c r="L89" s="1">
        <f t="shared" si="21"/>
        <v>-0.14200000000000124</v>
      </c>
      <c r="M89" s="1">
        <f t="shared" si="22"/>
        <v>14.657999999999999</v>
      </c>
      <c r="N89" s="1"/>
      <c r="O89" s="1"/>
      <c r="P89" s="1"/>
      <c r="Q89" s="1"/>
      <c r="R89" s="1"/>
      <c r="S89" s="1">
        <v>0</v>
      </c>
      <c r="T89" s="1"/>
      <c r="U89" s="1">
        <f t="shared" si="23"/>
        <v>2.9316</v>
      </c>
      <c r="V89" s="5">
        <f t="shared" si="29"/>
        <v>4.0701999999999998</v>
      </c>
      <c r="W89" s="5">
        <f t="shared" si="27"/>
        <v>4.0701999999999998</v>
      </c>
      <c r="X89" s="19"/>
      <c r="Y89" s="19"/>
      <c r="Z89" s="1">
        <f t="shared" si="25"/>
        <v>12</v>
      </c>
      <c r="AA89" s="1">
        <f t="shared" si="24"/>
        <v>10.611611406740348</v>
      </c>
      <c r="AB89" s="1">
        <v>2.9371999999999998</v>
      </c>
      <c r="AC89" s="1">
        <v>3.2063999999999999</v>
      </c>
      <c r="AD89" s="1">
        <v>3.226</v>
      </c>
      <c r="AE89" s="1">
        <v>3.7902</v>
      </c>
      <c r="AF89" s="1">
        <v>4.0486000000000004</v>
      </c>
      <c r="AG89" s="1">
        <v>4.0282</v>
      </c>
      <c r="AH89" s="1">
        <v>3.492</v>
      </c>
      <c r="AI89" s="1">
        <v>1.6095999999999999</v>
      </c>
      <c r="AJ89" s="1"/>
      <c r="AK89" s="1">
        <f t="shared" si="26"/>
        <v>4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5" t="s">
        <v>135</v>
      </c>
      <c r="B90" s="1" t="s">
        <v>44</v>
      </c>
      <c r="C90" s="1"/>
      <c r="D90" s="1"/>
      <c r="E90" s="1">
        <v>-2</v>
      </c>
      <c r="F90" s="1"/>
      <c r="G90" s="7">
        <v>0.3</v>
      </c>
      <c r="H90" s="1">
        <v>40</v>
      </c>
      <c r="I90" s="10" t="s">
        <v>51</v>
      </c>
      <c r="J90" s="1"/>
      <c r="K90" s="1">
        <v>92</v>
      </c>
      <c r="L90" s="1">
        <f t="shared" si="21"/>
        <v>-94</v>
      </c>
      <c r="M90" s="1">
        <f t="shared" si="22"/>
        <v>-2</v>
      </c>
      <c r="N90" s="1"/>
      <c r="O90" s="1">
        <v>104</v>
      </c>
      <c r="P90" s="1"/>
      <c r="Q90" s="1">
        <v>104</v>
      </c>
      <c r="R90" s="1"/>
      <c r="S90" s="1">
        <v>30</v>
      </c>
      <c r="T90" s="1"/>
      <c r="U90" s="1">
        <f t="shared" si="23"/>
        <v>-0.4</v>
      </c>
      <c r="V90" s="5"/>
      <c r="W90" s="5">
        <f t="shared" si="27"/>
        <v>0</v>
      </c>
      <c r="X90" s="19"/>
      <c r="Y90" s="19"/>
      <c r="Z90" s="1">
        <f t="shared" si="25"/>
        <v>-595</v>
      </c>
      <c r="AA90" s="1">
        <f t="shared" si="24"/>
        <v>-595</v>
      </c>
      <c r="AB90" s="1">
        <v>-0.4</v>
      </c>
      <c r="AC90" s="1">
        <v>0</v>
      </c>
      <c r="AD90" s="1">
        <v>0</v>
      </c>
      <c r="AE90" s="1">
        <v>0</v>
      </c>
      <c r="AF90" s="1">
        <v>-0.4</v>
      </c>
      <c r="AG90" s="1">
        <v>-0.4</v>
      </c>
      <c r="AH90" s="1">
        <v>0</v>
      </c>
      <c r="AI90" s="1">
        <v>-0.2</v>
      </c>
      <c r="AJ90" s="1"/>
      <c r="AK90" s="1">
        <f t="shared" si="26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136</v>
      </c>
      <c r="B91" s="1" t="s">
        <v>44</v>
      </c>
      <c r="C91" s="1">
        <v>36</v>
      </c>
      <c r="D91" s="1"/>
      <c r="E91" s="1">
        <v>-3</v>
      </c>
      <c r="F91" s="1">
        <v>22</v>
      </c>
      <c r="G91" s="7">
        <v>0.3</v>
      </c>
      <c r="H91" s="1">
        <v>40</v>
      </c>
      <c r="I91" s="1" t="s">
        <v>39</v>
      </c>
      <c r="J91" s="1"/>
      <c r="K91" s="1">
        <v>15</v>
      </c>
      <c r="L91" s="1">
        <f t="shared" si="21"/>
        <v>-18</v>
      </c>
      <c r="M91" s="1">
        <f t="shared" si="22"/>
        <v>-3</v>
      </c>
      <c r="N91" s="1"/>
      <c r="O91" s="1">
        <v>10.599999999999991</v>
      </c>
      <c r="P91" s="1"/>
      <c r="Q91" s="1">
        <v>60.360000000000007</v>
      </c>
      <c r="R91" s="1"/>
      <c r="S91" s="1">
        <v>0</v>
      </c>
      <c r="T91" s="1"/>
      <c r="U91" s="1">
        <f t="shared" si="23"/>
        <v>-0.6</v>
      </c>
      <c r="V91" s="5"/>
      <c r="W91" s="5">
        <f t="shared" si="27"/>
        <v>0</v>
      </c>
      <c r="X91" s="19"/>
      <c r="Y91" s="19"/>
      <c r="Z91" s="1">
        <f t="shared" si="25"/>
        <v>-154.93333333333337</v>
      </c>
      <c r="AA91" s="1">
        <f t="shared" si="24"/>
        <v>-154.93333333333337</v>
      </c>
      <c r="AB91" s="1">
        <v>3</v>
      </c>
      <c r="AC91" s="1">
        <v>8</v>
      </c>
      <c r="AD91" s="1">
        <v>5.6</v>
      </c>
      <c r="AE91" s="1">
        <v>4.2</v>
      </c>
      <c r="AF91" s="1">
        <v>6.4</v>
      </c>
      <c r="AG91" s="1">
        <v>8.8000000000000007</v>
      </c>
      <c r="AH91" s="1">
        <v>6</v>
      </c>
      <c r="AI91" s="1">
        <v>1.6</v>
      </c>
      <c r="AJ91" s="17" t="s">
        <v>78</v>
      </c>
      <c r="AK91" s="1">
        <f t="shared" si="26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137</v>
      </c>
      <c r="B92" s="1" t="s">
        <v>44</v>
      </c>
      <c r="C92" s="1">
        <v>18</v>
      </c>
      <c r="D92" s="1">
        <v>2</v>
      </c>
      <c r="E92" s="1"/>
      <c r="F92" s="1">
        <v>20</v>
      </c>
      <c r="G92" s="7">
        <v>7.0000000000000007E-2</v>
      </c>
      <c r="H92" s="1">
        <v>90</v>
      </c>
      <c r="I92" s="10" t="s">
        <v>51</v>
      </c>
      <c r="J92" s="1"/>
      <c r="K92" s="1">
        <v>79</v>
      </c>
      <c r="L92" s="1">
        <f t="shared" si="21"/>
        <v>-79</v>
      </c>
      <c r="M92" s="1">
        <f t="shared" si="22"/>
        <v>0</v>
      </c>
      <c r="N92" s="1"/>
      <c r="O92" s="1">
        <v>130</v>
      </c>
      <c r="P92" s="1"/>
      <c r="Q92" s="1">
        <v>104</v>
      </c>
      <c r="R92" s="1"/>
      <c r="S92" s="1">
        <v>0</v>
      </c>
      <c r="T92" s="1"/>
      <c r="U92" s="1">
        <f t="shared" si="23"/>
        <v>0</v>
      </c>
      <c r="V92" s="5"/>
      <c r="W92" s="5">
        <f t="shared" si="27"/>
        <v>0</v>
      </c>
      <c r="X92" s="19"/>
      <c r="Y92" s="19"/>
      <c r="Z92" s="1" t="e">
        <f t="shared" si="25"/>
        <v>#DIV/0!</v>
      </c>
      <c r="AA92" s="1" t="e">
        <f t="shared" si="24"/>
        <v>#DIV/0!</v>
      </c>
      <c r="AB92" s="1">
        <v>0.8</v>
      </c>
      <c r="AC92" s="1">
        <v>8.4</v>
      </c>
      <c r="AD92" s="1">
        <v>20.399999999999999</v>
      </c>
      <c r="AE92" s="1">
        <v>12.6</v>
      </c>
      <c r="AF92" s="1">
        <v>0.4</v>
      </c>
      <c r="AG92" s="1">
        <v>3</v>
      </c>
      <c r="AH92" s="1">
        <v>4.8</v>
      </c>
      <c r="AI92" s="1">
        <v>17.399999999999999</v>
      </c>
      <c r="AJ92" s="17" t="s">
        <v>78</v>
      </c>
      <c r="AK92" s="1">
        <f t="shared" si="26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138</v>
      </c>
      <c r="B93" s="1" t="s">
        <v>44</v>
      </c>
      <c r="C93" s="1">
        <v>222</v>
      </c>
      <c r="D93" s="1">
        <v>2</v>
      </c>
      <c r="E93" s="1">
        <v>96</v>
      </c>
      <c r="F93" s="1">
        <v>107</v>
      </c>
      <c r="G93" s="7">
        <v>7.0000000000000007E-2</v>
      </c>
      <c r="H93" s="1">
        <v>90</v>
      </c>
      <c r="I93" s="10" t="s">
        <v>51</v>
      </c>
      <c r="J93" s="1"/>
      <c r="K93" s="1">
        <v>103</v>
      </c>
      <c r="L93" s="1">
        <f t="shared" si="21"/>
        <v>-7</v>
      </c>
      <c r="M93" s="1">
        <f t="shared" si="22"/>
        <v>96</v>
      </c>
      <c r="N93" s="1"/>
      <c r="O93" s="1">
        <v>130</v>
      </c>
      <c r="P93" s="1"/>
      <c r="Q93" s="1">
        <v>39</v>
      </c>
      <c r="R93" s="1"/>
      <c r="S93" s="1">
        <v>0</v>
      </c>
      <c r="T93" s="1"/>
      <c r="U93" s="1">
        <f t="shared" si="23"/>
        <v>19.2</v>
      </c>
      <c r="V93" s="5"/>
      <c r="W93" s="5">
        <v>80</v>
      </c>
      <c r="X93" s="19">
        <v>100</v>
      </c>
      <c r="Y93" s="19" t="str">
        <f>VLOOKUP(A93,[1]Лист1!$A:$B,2,0)</f>
        <v>до 100 шт(спец задача на октябрь)</v>
      </c>
      <c r="Z93" s="1">
        <f t="shared" si="25"/>
        <v>18.541666666666668</v>
      </c>
      <c r="AA93" s="1">
        <f t="shared" si="24"/>
        <v>14.375</v>
      </c>
      <c r="AB93" s="1">
        <v>23</v>
      </c>
      <c r="AC93" s="1">
        <v>19</v>
      </c>
      <c r="AD93" s="1">
        <v>27.6</v>
      </c>
      <c r="AE93" s="1">
        <v>35.200000000000003</v>
      </c>
      <c r="AF93" s="1">
        <v>34.200000000000003</v>
      </c>
      <c r="AG93" s="1">
        <v>44.6</v>
      </c>
      <c r="AH93" s="1">
        <v>28.2</v>
      </c>
      <c r="AI93" s="1">
        <v>6.6</v>
      </c>
      <c r="AJ93" s="1"/>
      <c r="AK93" s="1">
        <f t="shared" si="26"/>
        <v>6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139</v>
      </c>
      <c r="B94" s="1" t="s">
        <v>44</v>
      </c>
      <c r="C94" s="1">
        <v>118</v>
      </c>
      <c r="D94" s="1">
        <v>398</v>
      </c>
      <c r="E94" s="1">
        <v>76</v>
      </c>
      <c r="F94" s="1">
        <v>418</v>
      </c>
      <c r="G94" s="7">
        <v>7.0000000000000007E-2</v>
      </c>
      <c r="H94" s="1">
        <v>90</v>
      </c>
      <c r="I94" s="10" t="s">
        <v>51</v>
      </c>
      <c r="J94" s="1"/>
      <c r="K94" s="1">
        <v>86</v>
      </c>
      <c r="L94" s="1">
        <f t="shared" si="21"/>
        <v>-10</v>
      </c>
      <c r="M94" s="1">
        <f t="shared" si="22"/>
        <v>76</v>
      </c>
      <c r="N94" s="1"/>
      <c r="O94" s="1">
        <v>65</v>
      </c>
      <c r="P94" s="1"/>
      <c r="Q94" s="1">
        <v>0</v>
      </c>
      <c r="R94" s="1"/>
      <c r="S94" s="1">
        <v>0</v>
      </c>
      <c r="T94" s="1"/>
      <c r="U94" s="1">
        <f t="shared" si="23"/>
        <v>15.2</v>
      </c>
      <c r="V94" s="5"/>
      <c r="W94" s="5">
        <f t="shared" si="27"/>
        <v>0</v>
      </c>
      <c r="X94" s="19"/>
      <c r="Y94" s="19"/>
      <c r="Z94" s="1">
        <f t="shared" si="25"/>
        <v>31.776315789473685</v>
      </c>
      <c r="AA94" s="1">
        <f t="shared" si="24"/>
        <v>31.776315789473685</v>
      </c>
      <c r="AB94" s="1">
        <v>16.600000000000001</v>
      </c>
      <c r="AC94" s="1">
        <v>11</v>
      </c>
      <c r="AD94" s="1">
        <v>38</v>
      </c>
      <c r="AE94" s="1">
        <v>42.6</v>
      </c>
      <c r="AF94" s="1">
        <v>11.4</v>
      </c>
      <c r="AG94" s="1">
        <v>17.8</v>
      </c>
      <c r="AH94" s="1">
        <v>18.2</v>
      </c>
      <c r="AI94" s="1">
        <v>23</v>
      </c>
      <c r="AJ94" s="17" t="s">
        <v>78</v>
      </c>
      <c r="AK94" s="1">
        <f t="shared" si="26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140</v>
      </c>
      <c r="B95" s="1" t="s">
        <v>44</v>
      </c>
      <c r="C95" s="1">
        <v>18</v>
      </c>
      <c r="D95" s="1">
        <v>8</v>
      </c>
      <c r="E95" s="1">
        <v>20</v>
      </c>
      <c r="F95" s="1">
        <v>2</v>
      </c>
      <c r="G95" s="7">
        <v>0.3</v>
      </c>
      <c r="H95" s="1">
        <v>40</v>
      </c>
      <c r="I95" s="1" t="s">
        <v>39</v>
      </c>
      <c r="J95" s="1"/>
      <c r="K95" s="1">
        <v>33</v>
      </c>
      <c r="L95" s="1">
        <f t="shared" si="21"/>
        <v>-13</v>
      </c>
      <c r="M95" s="1">
        <f t="shared" si="22"/>
        <v>20</v>
      </c>
      <c r="N95" s="1"/>
      <c r="O95" s="1">
        <v>44</v>
      </c>
      <c r="P95" s="1"/>
      <c r="Q95" s="1">
        <v>24.515999999999991</v>
      </c>
      <c r="R95" s="1"/>
      <c r="S95" s="1">
        <v>0</v>
      </c>
      <c r="T95" s="1"/>
      <c r="U95" s="1">
        <f t="shared" si="23"/>
        <v>4</v>
      </c>
      <c r="V95" s="5"/>
      <c r="W95" s="5">
        <f t="shared" si="27"/>
        <v>0</v>
      </c>
      <c r="X95" s="19"/>
      <c r="Y95" s="19"/>
      <c r="Z95" s="1">
        <f t="shared" si="25"/>
        <v>17.628999999999998</v>
      </c>
      <c r="AA95" s="1">
        <f t="shared" si="24"/>
        <v>17.628999999999998</v>
      </c>
      <c r="AB95" s="1">
        <v>5</v>
      </c>
      <c r="AC95" s="1">
        <v>6.8</v>
      </c>
      <c r="AD95" s="1">
        <v>6.4</v>
      </c>
      <c r="AE95" s="1">
        <v>4.2</v>
      </c>
      <c r="AF95" s="1">
        <v>4</v>
      </c>
      <c r="AG95" s="1">
        <v>2.4</v>
      </c>
      <c r="AH95" s="1">
        <v>2.4</v>
      </c>
      <c r="AI95" s="1">
        <v>6.8</v>
      </c>
      <c r="AJ95" s="1"/>
      <c r="AK95" s="1">
        <f t="shared" si="26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141</v>
      </c>
      <c r="B96" s="1" t="s">
        <v>38</v>
      </c>
      <c r="C96" s="1">
        <v>28.097000000000001</v>
      </c>
      <c r="D96" s="1">
        <v>2</v>
      </c>
      <c r="E96" s="1">
        <v>17.082000000000001</v>
      </c>
      <c r="F96" s="14">
        <f>11.015+F123</f>
        <v>17.005000000000003</v>
      </c>
      <c r="G96" s="7">
        <v>1</v>
      </c>
      <c r="H96" s="1">
        <v>55</v>
      </c>
      <c r="I96" s="10" t="s">
        <v>51</v>
      </c>
      <c r="J96" s="1"/>
      <c r="K96" s="1">
        <v>15.9</v>
      </c>
      <c r="L96" s="1">
        <f t="shared" si="21"/>
        <v>1.1820000000000004</v>
      </c>
      <c r="M96" s="1">
        <f t="shared" si="22"/>
        <v>17.082000000000001</v>
      </c>
      <c r="N96" s="1"/>
      <c r="O96" s="1">
        <v>0</v>
      </c>
      <c r="P96" s="1"/>
      <c r="Q96" s="1">
        <v>16.173819999999989</v>
      </c>
      <c r="R96" s="1"/>
      <c r="S96" s="1">
        <v>9.308980000000016</v>
      </c>
      <c r="T96" s="1"/>
      <c r="U96" s="1">
        <f t="shared" si="23"/>
        <v>3.4164000000000003</v>
      </c>
      <c r="V96" s="5"/>
      <c r="W96" s="5">
        <f t="shared" si="27"/>
        <v>0</v>
      </c>
      <c r="X96" s="19"/>
      <c r="Y96" s="19"/>
      <c r="Z96" s="1">
        <f t="shared" si="25"/>
        <v>12.436424306287321</v>
      </c>
      <c r="AA96" s="1">
        <f t="shared" si="24"/>
        <v>12.436424306287321</v>
      </c>
      <c r="AB96" s="1">
        <v>4.1698000000000004</v>
      </c>
      <c r="AC96" s="1">
        <v>3.3782000000000001</v>
      </c>
      <c r="AD96" s="1">
        <v>2.556</v>
      </c>
      <c r="AE96" s="1">
        <v>2.0268000000000002</v>
      </c>
      <c r="AF96" s="1">
        <v>3.2402000000000002</v>
      </c>
      <c r="AG96" s="1">
        <v>3.1644000000000001</v>
      </c>
      <c r="AH96" s="1">
        <v>1.3438000000000001</v>
      </c>
      <c r="AI96" s="1">
        <v>1.5089999999999999</v>
      </c>
      <c r="AJ96" s="1"/>
      <c r="AK96" s="1">
        <f t="shared" si="26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142</v>
      </c>
      <c r="B97" s="1" t="s">
        <v>44</v>
      </c>
      <c r="C97" s="1">
        <v>402</v>
      </c>
      <c r="D97" s="1">
        <v>46</v>
      </c>
      <c r="E97" s="1">
        <v>39</v>
      </c>
      <c r="F97" s="1">
        <v>-1</v>
      </c>
      <c r="G97" s="7">
        <v>0.11</v>
      </c>
      <c r="H97" s="1">
        <v>30</v>
      </c>
      <c r="I97" s="1" t="s">
        <v>39</v>
      </c>
      <c r="J97" s="1"/>
      <c r="K97" s="1">
        <v>88</v>
      </c>
      <c r="L97" s="1">
        <f t="shared" si="21"/>
        <v>-49</v>
      </c>
      <c r="M97" s="1">
        <f t="shared" si="22"/>
        <v>39</v>
      </c>
      <c r="N97" s="1"/>
      <c r="O97" s="1"/>
      <c r="P97" s="1"/>
      <c r="Q97" s="1">
        <v>0</v>
      </c>
      <c r="R97" s="1"/>
      <c r="S97" s="1">
        <v>50</v>
      </c>
      <c r="T97" s="1"/>
      <c r="U97" s="1">
        <f t="shared" si="23"/>
        <v>7.8</v>
      </c>
      <c r="V97" s="5">
        <f t="shared" si="29"/>
        <v>44.599999999999994</v>
      </c>
      <c r="W97" s="5">
        <f t="shared" si="27"/>
        <v>44.599999999999994</v>
      </c>
      <c r="X97" s="19"/>
      <c r="Y97" s="19"/>
      <c r="Z97" s="1">
        <f t="shared" si="25"/>
        <v>12</v>
      </c>
      <c r="AA97" s="1">
        <f t="shared" si="24"/>
        <v>6.2820512820512819</v>
      </c>
      <c r="AB97" s="1">
        <v>6.8</v>
      </c>
      <c r="AC97" s="1">
        <v>7.2</v>
      </c>
      <c r="AD97" s="1">
        <v>32.6</v>
      </c>
      <c r="AE97" s="1">
        <v>33</v>
      </c>
      <c r="AF97" s="1">
        <v>11.2</v>
      </c>
      <c r="AG97" s="1">
        <v>28.2</v>
      </c>
      <c r="AH97" s="1">
        <v>51.2</v>
      </c>
      <c r="AI97" s="1">
        <v>43.4</v>
      </c>
      <c r="AJ97" s="1" t="s">
        <v>143</v>
      </c>
      <c r="AK97" s="1">
        <f t="shared" si="26"/>
        <v>5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1" t="s">
        <v>144</v>
      </c>
      <c r="B98" s="11" t="s">
        <v>44</v>
      </c>
      <c r="C98" s="11"/>
      <c r="D98" s="11"/>
      <c r="E98" s="11"/>
      <c r="F98" s="11"/>
      <c r="G98" s="12">
        <v>0</v>
      </c>
      <c r="H98" s="11"/>
      <c r="I98" s="11" t="s">
        <v>39</v>
      </c>
      <c r="J98" s="11"/>
      <c r="K98" s="11"/>
      <c r="L98" s="11">
        <f t="shared" si="21"/>
        <v>0</v>
      </c>
      <c r="M98" s="11">
        <f t="shared" si="22"/>
        <v>0</v>
      </c>
      <c r="N98" s="11"/>
      <c r="O98" s="11"/>
      <c r="P98" s="11"/>
      <c r="Q98" s="11">
        <v>0</v>
      </c>
      <c r="R98" s="11"/>
      <c r="S98" s="11">
        <v>0</v>
      </c>
      <c r="T98" s="11"/>
      <c r="U98" s="11">
        <f t="shared" si="23"/>
        <v>0</v>
      </c>
      <c r="V98" s="13"/>
      <c r="W98" s="5">
        <f t="shared" si="27"/>
        <v>0</v>
      </c>
      <c r="X98" s="19"/>
      <c r="Y98" s="19"/>
      <c r="Z98" s="1" t="e">
        <f t="shared" si="25"/>
        <v>#DIV/0!</v>
      </c>
      <c r="AA98" s="11" t="e">
        <f t="shared" si="24"/>
        <v>#DIV/0!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 t="s">
        <v>190</v>
      </c>
      <c r="AK98" s="1">
        <f t="shared" si="26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145</v>
      </c>
      <c r="B99" s="1" t="s">
        <v>44</v>
      </c>
      <c r="C99" s="1">
        <v>535</v>
      </c>
      <c r="D99" s="1">
        <v>105</v>
      </c>
      <c r="E99" s="1">
        <v>160</v>
      </c>
      <c r="F99" s="1">
        <v>418</v>
      </c>
      <c r="G99" s="7">
        <v>0.08</v>
      </c>
      <c r="H99" s="1">
        <v>45</v>
      </c>
      <c r="I99" s="1" t="s">
        <v>39</v>
      </c>
      <c r="J99" s="1"/>
      <c r="K99" s="1">
        <v>185</v>
      </c>
      <c r="L99" s="1">
        <f t="shared" si="21"/>
        <v>-25</v>
      </c>
      <c r="M99" s="1">
        <f t="shared" si="22"/>
        <v>160</v>
      </c>
      <c r="N99" s="1"/>
      <c r="O99" s="1"/>
      <c r="P99" s="1"/>
      <c r="Q99" s="1">
        <v>0</v>
      </c>
      <c r="R99" s="1"/>
      <c r="S99" s="1">
        <v>0</v>
      </c>
      <c r="T99" s="1"/>
      <c r="U99" s="1">
        <f t="shared" si="23"/>
        <v>32</v>
      </c>
      <c r="V99" s="5"/>
      <c r="W99" s="5">
        <f t="shared" si="27"/>
        <v>0</v>
      </c>
      <c r="X99" s="19"/>
      <c r="Y99" s="19"/>
      <c r="Z99" s="1">
        <f t="shared" si="25"/>
        <v>13.0625</v>
      </c>
      <c r="AA99" s="1">
        <f t="shared" si="24"/>
        <v>13.0625</v>
      </c>
      <c r="AB99" s="1">
        <v>39.200000000000003</v>
      </c>
      <c r="AC99" s="1">
        <v>39</v>
      </c>
      <c r="AD99" s="1">
        <v>55</v>
      </c>
      <c r="AE99" s="1">
        <v>67.2</v>
      </c>
      <c r="AF99" s="1">
        <v>78.400000000000006</v>
      </c>
      <c r="AG99" s="1">
        <v>93.4</v>
      </c>
      <c r="AH99" s="1">
        <v>89.4</v>
      </c>
      <c r="AI99" s="1">
        <v>91.2</v>
      </c>
      <c r="AJ99" s="1"/>
      <c r="AK99" s="1">
        <f t="shared" si="26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146</v>
      </c>
      <c r="B100" s="1" t="s">
        <v>44</v>
      </c>
      <c r="C100" s="1">
        <v>644</v>
      </c>
      <c r="D100" s="1">
        <v>10</v>
      </c>
      <c r="E100" s="1">
        <v>80</v>
      </c>
      <c r="F100" s="1">
        <v>556</v>
      </c>
      <c r="G100" s="7">
        <v>0.08</v>
      </c>
      <c r="H100" s="1">
        <v>45</v>
      </c>
      <c r="I100" s="1" t="s">
        <v>39</v>
      </c>
      <c r="J100" s="1"/>
      <c r="K100" s="1">
        <v>117</v>
      </c>
      <c r="L100" s="1">
        <f t="shared" si="21"/>
        <v>-37</v>
      </c>
      <c r="M100" s="1">
        <f t="shared" si="22"/>
        <v>80</v>
      </c>
      <c r="N100" s="1"/>
      <c r="O100" s="1"/>
      <c r="P100" s="1"/>
      <c r="Q100" s="1">
        <v>0</v>
      </c>
      <c r="R100" s="1"/>
      <c r="S100" s="1">
        <v>0</v>
      </c>
      <c r="T100" s="1"/>
      <c r="U100" s="1">
        <f t="shared" si="23"/>
        <v>16</v>
      </c>
      <c r="V100" s="5"/>
      <c r="W100" s="5">
        <f t="shared" si="27"/>
        <v>0</v>
      </c>
      <c r="X100" s="19"/>
      <c r="Y100" s="19"/>
      <c r="Z100" s="1">
        <f t="shared" si="25"/>
        <v>34.75</v>
      </c>
      <c r="AA100" s="1">
        <f t="shared" si="24"/>
        <v>34.75</v>
      </c>
      <c r="AB100" s="1">
        <v>28</v>
      </c>
      <c r="AC100" s="1">
        <v>20.6</v>
      </c>
      <c r="AD100" s="1">
        <v>41</v>
      </c>
      <c r="AE100" s="1">
        <v>50.6</v>
      </c>
      <c r="AF100" s="1">
        <v>60.4</v>
      </c>
      <c r="AG100" s="1">
        <v>86.8</v>
      </c>
      <c r="AH100" s="1">
        <v>88.8</v>
      </c>
      <c r="AI100" s="1">
        <v>80</v>
      </c>
      <c r="AJ100" s="17" t="s">
        <v>78</v>
      </c>
      <c r="AK100" s="1">
        <f t="shared" si="26"/>
        <v>0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147</v>
      </c>
      <c r="B101" s="1" t="s">
        <v>44</v>
      </c>
      <c r="C101" s="1">
        <v>356</v>
      </c>
      <c r="D101" s="1">
        <v>58</v>
      </c>
      <c r="E101" s="1">
        <v>19</v>
      </c>
      <c r="F101" s="1">
        <v>83</v>
      </c>
      <c r="G101" s="7">
        <v>0.17</v>
      </c>
      <c r="H101" s="1">
        <v>30</v>
      </c>
      <c r="I101" s="1" t="s">
        <v>39</v>
      </c>
      <c r="J101" s="1"/>
      <c r="K101" s="1">
        <v>53</v>
      </c>
      <c r="L101" s="1">
        <f t="shared" si="21"/>
        <v>-34</v>
      </c>
      <c r="M101" s="1">
        <f t="shared" si="22"/>
        <v>19</v>
      </c>
      <c r="N101" s="1"/>
      <c r="O101" s="1"/>
      <c r="P101" s="1"/>
      <c r="Q101" s="1">
        <v>0</v>
      </c>
      <c r="R101" s="1"/>
      <c r="S101" s="1">
        <v>0</v>
      </c>
      <c r="T101" s="1"/>
      <c r="U101" s="1">
        <f t="shared" si="23"/>
        <v>3.8</v>
      </c>
      <c r="V101" s="5"/>
      <c r="W101" s="5">
        <f t="shared" si="27"/>
        <v>0</v>
      </c>
      <c r="X101" s="19"/>
      <c r="Y101" s="19"/>
      <c r="Z101" s="1">
        <f t="shared" si="25"/>
        <v>21.842105263157897</v>
      </c>
      <c r="AA101" s="1">
        <f t="shared" si="24"/>
        <v>21.842105263157897</v>
      </c>
      <c r="AB101" s="1">
        <v>6.8</v>
      </c>
      <c r="AC101" s="1">
        <v>8.1999999999999993</v>
      </c>
      <c r="AD101" s="1">
        <v>27.8</v>
      </c>
      <c r="AE101" s="1">
        <v>35</v>
      </c>
      <c r="AF101" s="1">
        <v>11.4</v>
      </c>
      <c r="AG101" s="1">
        <v>28</v>
      </c>
      <c r="AH101" s="1">
        <v>48.4</v>
      </c>
      <c r="AI101" s="1">
        <v>49.4</v>
      </c>
      <c r="AJ101" s="1" t="s">
        <v>148</v>
      </c>
      <c r="AK101" s="1">
        <f t="shared" si="26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149</v>
      </c>
      <c r="B102" s="1" t="s">
        <v>38</v>
      </c>
      <c r="C102" s="1">
        <v>-0.879</v>
      </c>
      <c r="D102" s="1">
        <v>166.49700000000001</v>
      </c>
      <c r="E102" s="1">
        <v>-1.534</v>
      </c>
      <c r="F102" s="1">
        <v>-1.0589999999999999</v>
      </c>
      <c r="G102" s="7">
        <v>1</v>
      </c>
      <c r="H102" s="1">
        <v>40</v>
      </c>
      <c r="I102" s="10" t="s">
        <v>51</v>
      </c>
      <c r="J102" s="1"/>
      <c r="K102" s="1">
        <v>41.3</v>
      </c>
      <c r="L102" s="1">
        <f t="shared" ref="L102:L130" si="30">E102-K102</f>
        <v>-42.833999999999996</v>
      </c>
      <c r="M102" s="1">
        <f t="shared" ref="M102:M130" si="31">E102-N102</f>
        <v>-1.534</v>
      </c>
      <c r="N102" s="1"/>
      <c r="O102" s="1">
        <v>325</v>
      </c>
      <c r="P102" s="1"/>
      <c r="Q102" s="1">
        <v>303.67038000000008</v>
      </c>
      <c r="R102" s="1"/>
      <c r="S102" s="1">
        <v>120.5</v>
      </c>
      <c r="T102" s="1">
        <v>129.5</v>
      </c>
      <c r="U102" s="1">
        <f t="shared" ref="U102:U130" si="32">M102/5</f>
        <v>-0.30680000000000002</v>
      </c>
      <c r="V102" s="5"/>
      <c r="W102" s="5">
        <v>50</v>
      </c>
      <c r="X102" s="19">
        <v>150</v>
      </c>
      <c r="Y102" s="19" t="str">
        <f>VLOOKUP(A102,[1]Лист1!$A:$B,2,0)</f>
        <v>150 кг</v>
      </c>
      <c r="Z102" s="1">
        <f t="shared" si="25"/>
        <v>-3023.505149934811</v>
      </c>
      <c r="AA102" s="1">
        <f t="shared" ref="AA102:AA130" si="33">(F102+O102+P102+Q102+R102+S102+T102)/U102</f>
        <v>-2860.5325293350716</v>
      </c>
      <c r="AB102" s="1">
        <v>14.638999999999999</v>
      </c>
      <c r="AC102" s="1">
        <v>60.017800000000001</v>
      </c>
      <c r="AD102" s="1">
        <v>53.826599999999999</v>
      </c>
      <c r="AE102" s="1">
        <v>11.5198</v>
      </c>
      <c r="AF102" s="1">
        <v>44.968600000000002</v>
      </c>
      <c r="AG102" s="1">
        <v>78.888000000000005</v>
      </c>
      <c r="AH102" s="1">
        <v>74.961399999999998</v>
      </c>
      <c r="AI102" s="1">
        <v>27.752199999999998</v>
      </c>
      <c r="AJ102" s="1"/>
      <c r="AK102" s="1">
        <f t="shared" si="26"/>
        <v>50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150</v>
      </c>
      <c r="B103" s="1" t="s">
        <v>38</v>
      </c>
      <c r="C103" s="1">
        <v>-0.26700000000000002</v>
      </c>
      <c r="D103" s="1"/>
      <c r="E103" s="1">
        <v>-0.82099999999999995</v>
      </c>
      <c r="F103" s="1">
        <v>-0.26700000000000002</v>
      </c>
      <c r="G103" s="7">
        <v>1</v>
      </c>
      <c r="H103" s="1">
        <v>40</v>
      </c>
      <c r="I103" s="10" t="s">
        <v>51</v>
      </c>
      <c r="J103" s="1"/>
      <c r="K103" s="1">
        <v>41.3</v>
      </c>
      <c r="L103" s="1">
        <f t="shared" si="30"/>
        <v>-42.120999999999995</v>
      </c>
      <c r="M103" s="1">
        <f t="shared" si="31"/>
        <v>-0.82099999999999995</v>
      </c>
      <c r="N103" s="1"/>
      <c r="O103" s="1">
        <v>195</v>
      </c>
      <c r="P103" s="1"/>
      <c r="Q103" s="1">
        <v>260</v>
      </c>
      <c r="R103" s="1"/>
      <c r="S103" s="1">
        <v>96.399999999999991</v>
      </c>
      <c r="T103" s="1">
        <v>103.6</v>
      </c>
      <c r="U103" s="1">
        <f t="shared" si="32"/>
        <v>-0.16419999999999998</v>
      </c>
      <c r="V103" s="5"/>
      <c r="W103" s="5">
        <v>50</v>
      </c>
      <c r="X103" s="19">
        <v>150</v>
      </c>
      <c r="Y103" s="19" t="str">
        <f>VLOOKUP(A103,[1]Лист1!$A:$B,2,0)</f>
        <v>150 кг</v>
      </c>
      <c r="Z103" s="1">
        <f t="shared" si="25"/>
        <v>-4291.9183922046295</v>
      </c>
      <c r="AA103" s="1">
        <f t="shared" si="33"/>
        <v>-3987.4116930572482</v>
      </c>
      <c r="AB103" s="1">
        <v>-0.16420000000000001</v>
      </c>
      <c r="AC103" s="1">
        <v>30.249199999999998</v>
      </c>
      <c r="AD103" s="1">
        <v>33.227200000000003</v>
      </c>
      <c r="AE103" s="1">
        <v>28.0884</v>
      </c>
      <c r="AF103" s="1">
        <v>45.462800000000001</v>
      </c>
      <c r="AG103" s="1">
        <v>36.320399999999999</v>
      </c>
      <c r="AH103" s="1">
        <v>32.119199999999999</v>
      </c>
      <c r="AI103" s="1">
        <v>27.328199999999999</v>
      </c>
      <c r="AJ103" s="1"/>
      <c r="AK103" s="1">
        <f t="shared" si="26"/>
        <v>50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5" t="s">
        <v>151</v>
      </c>
      <c r="B104" s="1" t="s">
        <v>38</v>
      </c>
      <c r="C104" s="1"/>
      <c r="D104" s="1"/>
      <c r="E104" s="1"/>
      <c r="F104" s="1"/>
      <c r="G104" s="7">
        <v>1</v>
      </c>
      <c r="H104" s="1">
        <v>40</v>
      </c>
      <c r="I104" s="10" t="s">
        <v>51</v>
      </c>
      <c r="J104" s="1"/>
      <c r="K104" s="1">
        <v>21.7</v>
      </c>
      <c r="L104" s="1">
        <f t="shared" si="30"/>
        <v>-21.7</v>
      </c>
      <c r="M104" s="1">
        <f t="shared" si="31"/>
        <v>0</v>
      </c>
      <c r="N104" s="1"/>
      <c r="O104" s="1">
        <v>26</v>
      </c>
      <c r="P104" s="1"/>
      <c r="Q104" s="1">
        <v>50</v>
      </c>
      <c r="R104" s="1"/>
      <c r="S104" s="1">
        <v>0</v>
      </c>
      <c r="T104" s="1"/>
      <c r="U104" s="1">
        <f t="shared" si="32"/>
        <v>0</v>
      </c>
      <c r="V104" s="5">
        <v>20</v>
      </c>
      <c r="W104" s="5">
        <f t="shared" si="27"/>
        <v>20</v>
      </c>
      <c r="X104" s="19"/>
      <c r="Y104" s="19"/>
      <c r="Z104" s="1" t="e">
        <f t="shared" si="25"/>
        <v>#DIV/0!</v>
      </c>
      <c r="AA104" s="1" t="e">
        <f t="shared" si="33"/>
        <v>#DIV/0!</v>
      </c>
      <c r="AB104" s="1">
        <v>-0.1414</v>
      </c>
      <c r="AC104" s="1">
        <v>-0.28460000000000002</v>
      </c>
      <c r="AD104" s="1">
        <v>-0.14319999999999999</v>
      </c>
      <c r="AE104" s="1">
        <v>-0.58819999999999995</v>
      </c>
      <c r="AF104" s="1">
        <v>-0.72819999999999996</v>
      </c>
      <c r="AG104" s="1">
        <v>-0.84860000000000002</v>
      </c>
      <c r="AH104" s="1">
        <v>-0.99199999999999999</v>
      </c>
      <c r="AI104" s="1">
        <v>-0.2918</v>
      </c>
      <c r="AJ104" s="1"/>
      <c r="AK104" s="1">
        <f t="shared" si="26"/>
        <v>20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152</v>
      </c>
      <c r="B105" s="1" t="s">
        <v>44</v>
      </c>
      <c r="C105" s="1"/>
      <c r="D105" s="1">
        <v>54</v>
      </c>
      <c r="E105" s="1">
        <v>36</v>
      </c>
      <c r="F105" s="1"/>
      <c r="G105" s="7">
        <v>0.3</v>
      </c>
      <c r="H105" s="1">
        <v>45</v>
      </c>
      <c r="I105" s="1" t="s">
        <v>39</v>
      </c>
      <c r="J105" s="1"/>
      <c r="K105" s="1">
        <v>62</v>
      </c>
      <c r="L105" s="1">
        <f t="shared" si="30"/>
        <v>-26</v>
      </c>
      <c r="M105" s="1">
        <f t="shared" si="31"/>
        <v>36</v>
      </c>
      <c r="N105" s="1"/>
      <c r="O105" s="1">
        <v>71.600000000000009</v>
      </c>
      <c r="P105" s="1"/>
      <c r="Q105" s="1">
        <v>0</v>
      </c>
      <c r="R105" s="1"/>
      <c r="S105" s="1">
        <v>0</v>
      </c>
      <c r="T105" s="1"/>
      <c r="U105" s="1">
        <f t="shared" si="32"/>
        <v>7.2</v>
      </c>
      <c r="V105" s="5">
        <f t="shared" ref="V105" si="34">12*U105-T105-S105-R105-Q105-P105-O105-F105</f>
        <v>14.799999999999997</v>
      </c>
      <c r="W105" s="5">
        <f t="shared" si="27"/>
        <v>14.799999999999997</v>
      </c>
      <c r="X105" s="19"/>
      <c r="Y105" s="19"/>
      <c r="Z105" s="1">
        <f t="shared" si="25"/>
        <v>12</v>
      </c>
      <c r="AA105" s="1">
        <f t="shared" si="33"/>
        <v>9.9444444444444446</v>
      </c>
      <c r="AB105" s="1">
        <v>0</v>
      </c>
      <c r="AC105" s="1">
        <v>4.8</v>
      </c>
      <c r="AD105" s="1">
        <v>11.4</v>
      </c>
      <c r="AE105" s="1">
        <v>7.2</v>
      </c>
      <c r="AF105" s="1">
        <v>2.2000000000000002</v>
      </c>
      <c r="AG105" s="1">
        <v>5</v>
      </c>
      <c r="AH105" s="1">
        <v>11.4</v>
      </c>
      <c r="AI105" s="1">
        <v>8.1999999999999993</v>
      </c>
      <c r="AJ105" s="1"/>
      <c r="AK105" s="1">
        <f t="shared" si="26"/>
        <v>4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153</v>
      </c>
      <c r="B106" s="1" t="s">
        <v>38</v>
      </c>
      <c r="C106" s="1">
        <v>10.815</v>
      </c>
      <c r="D106" s="1"/>
      <c r="E106" s="1">
        <v>2.661</v>
      </c>
      <c r="F106" s="1">
        <v>8.1539999999999999</v>
      </c>
      <c r="G106" s="7">
        <v>1</v>
      </c>
      <c r="H106" s="1">
        <v>55</v>
      </c>
      <c r="I106" s="1" t="s">
        <v>39</v>
      </c>
      <c r="J106" s="1"/>
      <c r="K106" s="1">
        <v>4</v>
      </c>
      <c r="L106" s="1">
        <f t="shared" si="30"/>
        <v>-1.339</v>
      </c>
      <c r="M106" s="1">
        <f t="shared" si="31"/>
        <v>2.661</v>
      </c>
      <c r="N106" s="1"/>
      <c r="O106" s="1"/>
      <c r="P106" s="1"/>
      <c r="Q106" s="1"/>
      <c r="R106" s="1"/>
      <c r="S106" s="1">
        <v>0</v>
      </c>
      <c r="T106" s="1"/>
      <c r="U106" s="1">
        <f t="shared" si="32"/>
        <v>0.53220000000000001</v>
      </c>
      <c r="V106" s="5"/>
      <c r="W106" s="5">
        <f t="shared" si="27"/>
        <v>0</v>
      </c>
      <c r="X106" s="19"/>
      <c r="Y106" s="19"/>
      <c r="Z106" s="1">
        <f t="shared" si="25"/>
        <v>15.321307779030439</v>
      </c>
      <c r="AA106" s="1">
        <f t="shared" si="33"/>
        <v>15.321307779030439</v>
      </c>
      <c r="AB106" s="1">
        <v>0.53420000000000001</v>
      </c>
      <c r="AC106" s="1">
        <v>0.81699999999999995</v>
      </c>
      <c r="AD106" s="1">
        <v>0.54800000000000004</v>
      </c>
      <c r="AE106" s="1">
        <v>0.53959999999999997</v>
      </c>
      <c r="AF106" s="1">
        <v>0.53959999999999997</v>
      </c>
      <c r="AG106" s="1">
        <v>0.54379999999999995</v>
      </c>
      <c r="AH106" s="1">
        <v>0.54379999999999995</v>
      </c>
      <c r="AI106" s="1">
        <v>1.0960000000000001</v>
      </c>
      <c r="AJ106" s="16" t="s">
        <v>47</v>
      </c>
      <c r="AK106" s="1">
        <f t="shared" si="26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154</v>
      </c>
      <c r="B107" s="1" t="s">
        <v>44</v>
      </c>
      <c r="C107" s="1">
        <v>350</v>
      </c>
      <c r="D107" s="1">
        <v>209</v>
      </c>
      <c r="E107" s="1">
        <v>411</v>
      </c>
      <c r="F107" s="1">
        <v>3</v>
      </c>
      <c r="G107" s="7">
        <v>0.28000000000000003</v>
      </c>
      <c r="H107" s="1">
        <v>40</v>
      </c>
      <c r="I107" s="10" t="s">
        <v>51</v>
      </c>
      <c r="J107" s="1"/>
      <c r="K107" s="1">
        <v>509</v>
      </c>
      <c r="L107" s="1">
        <f t="shared" si="30"/>
        <v>-98</v>
      </c>
      <c r="M107" s="1">
        <f t="shared" si="31"/>
        <v>411</v>
      </c>
      <c r="N107" s="1"/>
      <c r="O107" s="1">
        <v>492.17999999999989</v>
      </c>
      <c r="P107" s="1"/>
      <c r="Q107" s="1">
        <v>603.10900000000015</v>
      </c>
      <c r="R107" s="1"/>
      <c r="S107" s="1">
        <v>192.8</v>
      </c>
      <c r="T107" s="1">
        <v>207.2</v>
      </c>
      <c r="U107" s="1">
        <f t="shared" si="32"/>
        <v>82.2</v>
      </c>
      <c r="V107" s="5"/>
      <c r="W107" s="5">
        <f t="shared" si="27"/>
        <v>0</v>
      </c>
      <c r="X107" s="19"/>
      <c r="Y107" s="19"/>
      <c r="Z107" s="1">
        <f t="shared" si="25"/>
        <v>18.227360097323601</v>
      </c>
      <c r="AA107" s="1">
        <f t="shared" si="33"/>
        <v>18.227360097323601</v>
      </c>
      <c r="AB107" s="1">
        <v>143.4</v>
      </c>
      <c r="AC107" s="1">
        <v>118.6</v>
      </c>
      <c r="AD107" s="1">
        <v>92.6</v>
      </c>
      <c r="AE107" s="1">
        <v>36.799999999999997</v>
      </c>
      <c r="AF107" s="1">
        <v>29.6</v>
      </c>
      <c r="AG107" s="1">
        <v>101</v>
      </c>
      <c r="AH107" s="1">
        <v>125.4</v>
      </c>
      <c r="AI107" s="1">
        <v>60.4</v>
      </c>
      <c r="AJ107" s="1"/>
      <c r="AK107" s="1">
        <f t="shared" si="26"/>
        <v>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155</v>
      </c>
      <c r="B108" s="1" t="s">
        <v>44</v>
      </c>
      <c r="C108" s="1">
        <v>-78.912000000000006</v>
      </c>
      <c r="D108" s="1">
        <v>546.91200000000003</v>
      </c>
      <c r="E108" s="1">
        <v>382</v>
      </c>
      <c r="F108" s="1">
        <v>10</v>
      </c>
      <c r="G108" s="7">
        <v>0.28000000000000003</v>
      </c>
      <c r="H108" s="1">
        <v>40</v>
      </c>
      <c r="I108" s="10" t="s">
        <v>51</v>
      </c>
      <c r="J108" s="1"/>
      <c r="K108" s="1">
        <v>571</v>
      </c>
      <c r="L108" s="1">
        <f t="shared" si="30"/>
        <v>-189</v>
      </c>
      <c r="M108" s="1">
        <f t="shared" si="31"/>
        <v>382</v>
      </c>
      <c r="N108" s="1"/>
      <c r="O108" s="1">
        <v>65</v>
      </c>
      <c r="P108" s="1"/>
      <c r="Q108" s="1">
        <v>453.58560000000011</v>
      </c>
      <c r="R108" s="1"/>
      <c r="S108" s="1">
        <v>144.6</v>
      </c>
      <c r="T108" s="1">
        <v>155.4</v>
      </c>
      <c r="U108" s="1">
        <f t="shared" si="32"/>
        <v>76.400000000000006</v>
      </c>
      <c r="V108" s="5">
        <v>200</v>
      </c>
      <c r="W108" s="5">
        <v>350</v>
      </c>
      <c r="X108" s="19">
        <v>350</v>
      </c>
      <c r="Y108" s="19" t="str">
        <f>VLOOKUP(A108,[1]Лист1!$A:$B,2,0)</f>
        <v>до 350 шт</v>
      </c>
      <c r="Z108" s="1">
        <f t="shared" si="25"/>
        <v>15.426513089005235</v>
      </c>
      <c r="AA108" s="1">
        <f t="shared" si="33"/>
        <v>10.845361256544503</v>
      </c>
      <c r="AB108" s="1">
        <v>94.2</v>
      </c>
      <c r="AC108" s="1">
        <v>49</v>
      </c>
      <c r="AD108" s="1">
        <v>21.2</v>
      </c>
      <c r="AE108" s="1">
        <v>42.8</v>
      </c>
      <c r="AF108" s="1">
        <v>71.2</v>
      </c>
      <c r="AG108" s="1">
        <v>36.799999999999997</v>
      </c>
      <c r="AH108" s="1">
        <v>31.8</v>
      </c>
      <c r="AI108" s="1">
        <v>27.2</v>
      </c>
      <c r="AJ108" s="1"/>
      <c r="AK108" s="1">
        <f t="shared" si="26"/>
        <v>98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156</v>
      </c>
      <c r="B109" s="1" t="s">
        <v>44</v>
      </c>
      <c r="C109" s="1">
        <v>-208</v>
      </c>
      <c r="D109" s="1">
        <v>286</v>
      </c>
      <c r="E109" s="1">
        <v>44</v>
      </c>
      <c r="F109" s="1"/>
      <c r="G109" s="7">
        <v>0.28000000000000003</v>
      </c>
      <c r="H109" s="1">
        <v>40</v>
      </c>
      <c r="I109" s="10" t="s">
        <v>51</v>
      </c>
      <c r="J109" s="1"/>
      <c r="K109" s="1">
        <v>155</v>
      </c>
      <c r="L109" s="1">
        <f t="shared" si="30"/>
        <v>-111</v>
      </c>
      <c r="M109" s="1">
        <f t="shared" si="31"/>
        <v>44</v>
      </c>
      <c r="N109" s="1"/>
      <c r="O109" s="1">
        <v>390</v>
      </c>
      <c r="P109" s="1"/>
      <c r="Q109" s="1">
        <v>520</v>
      </c>
      <c r="R109" s="1"/>
      <c r="S109" s="1">
        <v>144.6</v>
      </c>
      <c r="T109" s="1">
        <v>155.4</v>
      </c>
      <c r="U109" s="1">
        <f t="shared" si="32"/>
        <v>8.8000000000000007</v>
      </c>
      <c r="V109" s="5"/>
      <c r="W109" s="5">
        <v>20</v>
      </c>
      <c r="X109" s="19">
        <v>50</v>
      </c>
      <c r="Y109" s="19" t="str">
        <f>VLOOKUP(A109,[1]Лист1!$A:$B,2,0)</f>
        <v>до 50 шт</v>
      </c>
      <c r="Z109" s="1">
        <f t="shared" si="25"/>
        <v>139.77272727272725</v>
      </c>
      <c r="AA109" s="1">
        <f t="shared" si="33"/>
        <v>137.5</v>
      </c>
      <c r="AB109" s="1">
        <v>71</v>
      </c>
      <c r="AC109" s="1">
        <v>136.4</v>
      </c>
      <c r="AD109" s="1">
        <v>115</v>
      </c>
      <c r="AE109" s="1">
        <v>61.6</v>
      </c>
      <c r="AF109" s="1">
        <v>65.400000000000006</v>
      </c>
      <c r="AG109" s="1">
        <v>102</v>
      </c>
      <c r="AH109" s="1">
        <v>112.2</v>
      </c>
      <c r="AI109" s="1">
        <v>55.2</v>
      </c>
      <c r="AJ109" s="1"/>
      <c r="AK109" s="1">
        <f t="shared" si="26"/>
        <v>6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157</v>
      </c>
      <c r="B110" s="1" t="s">
        <v>44</v>
      </c>
      <c r="C110" s="1">
        <v>617</v>
      </c>
      <c r="D110" s="1">
        <v>25</v>
      </c>
      <c r="E110" s="1">
        <v>61</v>
      </c>
      <c r="F110" s="1">
        <v>541</v>
      </c>
      <c r="G110" s="7">
        <v>0.09</v>
      </c>
      <c r="H110" s="1">
        <v>45</v>
      </c>
      <c r="I110" s="1" t="s">
        <v>39</v>
      </c>
      <c r="J110" s="1"/>
      <c r="K110" s="1">
        <v>80</v>
      </c>
      <c r="L110" s="1">
        <f t="shared" si="30"/>
        <v>-19</v>
      </c>
      <c r="M110" s="1">
        <f t="shared" si="31"/>
        <v>61</v>
      </c>
      <c r="N110" s="1"/>
      <c r="O110" s="1"/>
      <c r="P110" s="1"/>
      <c r="Q110" s="1">
        <v>0</v>
      </c>
      <c r="R110" s="1"/>
      <c r="S110" s="1">
        <v>0</v>
      </c>
      <c r="T110" s="1"/>
      <c r="U110" s="1">
        <f t="shared" si="32"/>
        <v>12.2</v>
      </c>
      <c r="V110" s="5"/>
      <c r="W110" s="5">
        <f t="shared" si="27"/>
        <v>0</v>
      </c>
      <c r="X110" s="19"/>
      <c r="Y110" s="19"/>
      <c r="Z110" s="1">
        <f t="shared" si="25"/>
        <v>44.344262295081968</v>
      </c>
      <c r="AA110" s="1">
        <f t="shared" si="33"/>
        <v>44.344262295081968</v>
      </c>
      <c r="AB110" s="1">
        <v>14</v>
      </c>
      <c r="AC110" s="1">
        <v>15</v>
      </c>
      <c r="AD110" s="1">
        <v>37.200000000000003</v>
      </c>
      <c r="AE110" s="1">
        <v>45.6</v>
      </c>
      <c r="AF110" s="1">
        <v>44.2</v>
      </c>
      <c r="AG110" s="1">
        <v>73.2</v>
      </c>
      <c r="AH110" s="1">
        <v>85.6</v>
      </c>
      <c r="AI110" s="1">
        <v>59.6</v>
      </c>
      <c r="AJ110" s="17" t="s">
        <v>78</v>
      </c>
      <c r="AK110" s="1">
        <f t="shared" si="26"/>
        <v>0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1" t="s">
        <v>158</v>
      </c>
      <c r="B111" s="11" t="s">
        <v>38</v>
      </c>
      <c r="C111" s="11">
        <v>8.2780000000000005</v>
      </c>
      <c r="D111" s="11"/>
      <c r="E111" s="11">
        <v>2.76</v>
      </c>
      <c r="F111" s="11">
        <v>5.5179999999999998</v>
      </c>
      <c r="G111" s="12">
        <v>0</v>
      </c>
      <c r="H111" s="11">
        <v>55</v>
      </c>
      <c r="I111" s="11" t="s">
        <v>159</v>
      </c>
      <c r="J111" s="11"/>
      <c r="K111" s="11">
        <v>6.6</v>
      </c>
      <c r="L111" s="11">
        <f t="shared" si="30"/>
        <v>-3.84</v>
      </c>
      <c r="M111" s="11">
        <f t="shared" si="31"/>
        <v>2.76</v>
      </c>
      <c r="N111" s="11"/>
      <c r="O111" s="11"/>
      <c r="P111" s="11"/>
      <c r="Q111" s="11">
        <v>0</v>
      </c>
      <c r="R111" s="11"/>
      <c r="S111" s="11">
        <v>0</v>
      </c>
      <c r="T111" s="11"/>
      <c r="U111" s="11">
        <f t="shared" si="32"/>
        <v>0.55199999999999994</v>
      </c>
      <c r="V111" s="13"/>
      <c r="W111" s="5">
        <f t="shared" si="27"/>
        <v>0</v>
      </c>
      <c r="X111" s="19"/>
      <c r="Y111" s="19"/>
      <c r="Z111" s="1">
        <f t="shared" si="25"/>
        <v>9.9963768115942031</v>
      </c>
      <c r="AA111" s="11">
        <f t="shared" si="33"/>
        <v>9.9963768115942031</v>
      </c>
      <c r="AB111" s="11">
        <v>0.55199999999999994</v>
      </c>
      <c r="AC111" s="11">
        <v>0.26500000000000001</v>
      </c>
      <c r="AD111" s="11">
        <v>-4.0000000000000001E-3</v>
      </c>
      <c r="AE111" s="11">
        <v>-0.26900000000000002</v>
      </c>
      <c r="AF111" s="11">
        <v>0</v>
      </c>
      <c r="AG111" s="11">
        <v>0</v>
      </c>
      <c r="AH111" s="11">
        <v>0</v>
      </c>
      <c r="AI111" s="11">
        <v>0</v>
      </c>
      <c r="AJ111" s="11"/>
      <c r="AK111" s="1">
        <f t="shared" si="26"/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160</v>
      </c>
      <c r="B112" s="1" t="s">
        <v>38</v>
      </c>
      <c r="C112" s="1">
        <v>53.223999999999997</v>
      </c>
      <c r="D112" s="1"/>
      <c r="E112" s="1">
        <v>22.329000000000001</v>
      </c>
      <c r="F112" s="1">
        <v>28.393000000000001</v>
      </c>
      <c r="G112" s="7">
        <v>1</v>
      </c>
      <c r="H112" s="1">
        <v>60</v>
      </c>
      <c r="I112" s="1" t="s">
        <v>39</v>
      </c>
      <c r="J112" s="1"/>
      <c r="K112" s="1">
        <v>22.5</v>
      </c>
      <c r="L112" s="1">
        <f t="shared" si="30"/>
        <v>-0.17099999999999937</v>
      </c>
      <c r="M112" s="1">
        <f t="shared" si="31"/>
        <v>22.329000000000001</v>
      </c>
      <c r="N112" s="1"/>
      <c r="O112" s="1"/>
      <c r="P112" s="1"/>
      <c r="Q112" s="1">
        <v>24.656250000000011</v>
      </c>
      <c r="R112" s="1"/>
      <c r="S112" s="1">
        <v>9.6487499999999784</v>
      </c>
      <c r="T112" s="1"/>
      <c r="U112" s="1">
        <f t="shared" si="32"/>
        <v>4.4657999999999998</v>
      </c>
      <c r="V112" s="5"/>
      <c r="W112" s="5">
        <f t="shared" si="27"/>
        <v>0</v>
      </c>
      <c r="X112" s="19"/>
      <c r="Y112" s="19"/>
      <c r="Z112" s="1">
        <f t="shared" si="25"/>
        <v>14.039589771149625</v>
      </c>
      <c r="AA112" s="1">
        <f t="shared" si="33"/>
        <v>14.039589771149625</v>
      </c>
      <c r="AB112" s="1">
        <v>6.38</v>
      </c>
      <c r="AC112" s="1">
        <v>5.8250000000000002</v>
      </c>
      <c r="AD112" s="1">
        <v>4.3907999999999996</v>
      </c>
      <c r="AE112" s="1">
        <v>7.3688000000000002</v>
      </c>
      <c r="AF112" s="1">
        <v>7.8537999999999997</v>
      </c>
      <c r="AG112" s="1">
        <v>6.3715999999999999</v>
      </c>
      <c r="AH112" s="1">
        <v>5.3945999999999996</v>
      </c>
      <c r="AI112" s="1">
        <v>5.0279999999999996</v>
      </c>
      <c r="AJ112" s="1"/>
      <c r="AK112" s="1">
        <f t="shared" si="26"/>
        <v>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161</v>
      </c>
      <c r="B113" s="1" t="s">
        <v>38</v>
      </c>
      <c r="C113" s="1">
        <v>70.144999999999996</v>
      </c>
      <c r="D113" s="1">
        <v>29.923999999999999</v>
      </c>
      <c r="E113" s="1">
        <v>17.593</v>
      </c>
      <c r="F113" s="1">
        <v>82.475999999999999</v>
      </c>
      <c r="G113" s="7">
        <v>1</v>
      </c>
      <c r="H113" s="1">
        <v>50</v>
      </c>
      <c r="I113" s="1" t="s">
        <v>39</v>
      </c>
      <c r="J113" s="1"/>
      <c r="K113" s="1">
        <v>17.5</v>
      </c>
      <c r="L113" s="1">
        <f t="shared" si="30"/>
        <v>9.2999999999999972E-2</v>
      </c>
      <c r="M113" s="1">
        <f t="shared" si="31"/>
        <v>17.593</v>
      </c>
      <c r="N113" s="1"/>
      <c r="O113" s="1"/>
      <c r="P113" s="1"/>
      <c r="Q113" s="1">
        <v>0</v>
      </c>
      <c r="R113" s="1"/>
      <c r="S113" s="1">
        <v>0</v>
      </c>
      <c r="T113" s="1"/>
      <c r="U113" s="1">
        <f t="shared" si="32"/>
        <v>3.5186000000000002</v>
      </c>
      <c r="V113" s="5"/>
      <c r="W113" s="5">
        <f t="shared" si="27"/>
        <v>0</v>
      </c>
      <c r="X113" s="19"/>
      <c r="Y113" s="19"/>
      <c r="Z113" s="1">
        <f t="shared" si="25"/>
        <v>23.440004547263115</v>
      </c>
      <c r="AA113" s="1">
        <f t="shared" si="33"/>
        <v>23.440004547263115</v>
      </c>
      <c r="AB113" s="1">
        <v>2.0089999999999999</v>
      </c>
      <c r="AC113" s="1">
        <v>1.9832000000000001</v>
      </c>
      <c r="AD113" s="1">
        <v>2.9632000000000001</v>
      </c>
      <c r="AE113" s="1">
        <v>5.9215999999999998</v>
      </c>
      <c r="AF113" s="1">
        <v>5.3567999999999998</v>
      </c>
      <c r="AG113" s="1">
        <v>2.4121999999999999</v>
      </c>
      <c r="AH113" s="1">
        <v>1.9867999999999999</v>
      </c>
      <c r="AI113" s="1">
        <v>1.4796</v>
      </c>
      <c r="AJ113" s="17" t="s">
        <v>78</v>
      </c>
      <c r="AK113" s="1">
        <f t="shared" si="26"/>
        <v>0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162</v>
      </c>
      <c r="B114" s="1" t="s">
        <v>44</v>
      </c>
      <c r="C114" s="1">
        <v>476</v>
      </c>
      <c r="D114" s="1"/>
      <c r="E114" s="1">
        <v>63</v>
      </c>
      <c r="F114" s="1">
        <v>387</v>
      </c>
      <c r="G114" s="7">
        <v>0.09</v>
      </c>
      <c r="H114" s="1">
        <v>45</v>
      </c>
      <c r="I114" s="1" t="s">
        <v>39</v>
      </c>
      <c r="J114" s="1"/>
      <c r="K114" s="1">
        <v>69</v>
      </c>
      <c r="L114" s="1">
        <f t="shared" si="30"/>
        <v>-6</v>
      </c>
      <c r="M114" s="1">
        <f t="shared" si="31"/>
        <v>63</v>
      </c>
      <c r="N114" s="1"/>
      <c r="O114" s="1"/>
      <c r="P114" s="1"/>
      <c r="Q114" s="1">
        <v>0</v>
      </c>
      <c r="R114" s="1"/>
      <c r="S114" s="1">
        <v>0</v>
      </c>
      <c r="T114" s="1"/>
      <c r="U114" s="1">
        <f t="shared" si="32"/>
        <v>12.6</v>
      </c>
      <c r="V114" s="5"/>
      <c r="W114" s="5">
        <f t="shared" si="27"/>
        <v>0</v>
      </c>
      <c r="X114" s="19"/>
      <c r="Y114" s="19"/>
      <c r="Z114" s="1">
        <f t="shared" si="25"/>
        <v>30.714285714285715</v>
      </c>
      <c r="AA114" s="1">
        <f t="shared" si="33"/>
        <v>30.714285714285715</v>
      </c>
      <c r="AB114" s="1">
        <v>15</v>
      </c>
      <c r="AC114" s="1">
        <v>7.8</v>
      </c>
      <c r="AD114" s="1">
        <v>30</v>
      </c>
      <c r="AE114" s="1">
        <v>40</v>
      </c>
      <c r="AF114" s="1">
        <v>17.2</v>
      </c>
      <c r="AG114" s="1">
        <v>42.6</v>
      </c>
      <c r="AH114" s="1">
        <v>84.4</v>
      </c>
      <c r="AI114" s="1">
        <v>65.2</v>
      </c>
      <c r="AJ114" s="17" t="s">
        <v>78</v>
      </c>
      <c r="AK114" s="1">
        <f t="shared" si="26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163</v>
      </c>
      <c r="B115" s="1" t="s">
        <v>44</v>
      </c>
      <c r="C115" s="1">
        <v>425</v>
      </c>
      <c r="D115" s="1">
        <v>30</v>
      </c>
      <c r="E115" s="1">
        <v>68</v>
      </c>
      <c r="F115" s="1">
        <v>361</v>
      </c>
      <c r="G115" s="7">
        <v>0.09</v>
      </c>
      <c r="H115" s="1">
        <v>45</v>
      </c>
      <c r="I115" s="1" t="s">
        <v>39</v>
      </c>
      <c r="J115" s="1"/>
      <c r="K115" s="1">
        <v>69</v>
      </c>
      <c r="L115" s="1">
        <f t="shared" si="30"/>
        <v>-1</v>
      </c>
      <c r="M115" s="1">
        <f t="shared" si="31"/>
        <v>68</v>
      </c>
      <c r="N115" s="1"/>
      <c r="O115" s="1"/>
      <c r="P115" s="1"/>
      <c r="Q115" s="1">
        <v>0</v>
      </c>
      <c r="R115" s="1"/>
      <c r="S115" s="1">
        <v>0</v>
      </c>
      <c r="T115" s="1"/>
      <c r="U115" s="1">
        <f t="shared" si="32"/>
        <v>13.6</v>
      </c>
      <c r="V115" s="5"/>
      <c r="W115" s="5">
        <f t="shared" si="27"/>
        <v>0</v>
      </c>
      <c r="X115" s="19"/>
      <c r="Y115" s="19"/>
      <c r="Z115" s="1">
        <f t="shared" si="25"/>
        <v>26.544117647058822</v>
      </c>
      <c r="AA115" s="1">
        <f t="shared" si="33"/>
        <v>26.544117647058822</v>
      </c>
      <c r="AB115" s="1">
        <v>16.2</v>
      </c>
      <c r="AC115" s="1">
        <v>9.4</v>
      </c>
      <c r="AD115" s="1">
        <v>30</v>
      </c>
      <c r="AE115" s="1">
        <v>39.4</v>
      </c>
      <c r="AF115" s="1">
        <v>27.8</v>
      </c>
      <c r="AG115" s="1">
        <v>52.8</v>
      </c>
      <c r="AH115" s="1">
        <v>83</v>
      </c>
      <c r="AI115" s="1">
        <v>59</v>
      </c>
      <c r="AJ115" s="17" t="s">
        <v>78</v>
      </c>
      <c r="AK115" s="1">
        <f t="shared" si="26"/>
        <v>0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164</v>
      </c>
      <c r="B116" s="1" t="s">
        <v>38</v>
      </c>
      <c r="C116" s="1">
        <v>165.19800000000001</v>
      </c>
      <c r="D116" s="1">
        <v>9.718</v>
      </c>
      <c r="E116" s="1">
        <v>103.279</v>
      </c>
      <c r="F116" s="1">
        <v>37.228000000000002</v>
      </c>
      <c r="G116" s="7">
        <v>1</v>
      </c>
      <c r="H116" s="1">
        <v>60</v>
      </c>
      <c r="I116" s="1" t="s">
        <v>39</v>
      </c>
      <c r="J116" s="1"/>
      <c r="K116" s="1">
        <v>108.23699999999999</v>
      </c>
      <c r="L116" s="1">
        <f t="shared" si="30"/>
        <v>-4.9579999999999984</v>
      </c>
      <c r="M116" s="1">
        <f t="shared" si="31"/>
        <v>103.279</v>
      </c>
      <c r="N116" s="1"/>
      <c r="O116" s="1">
        <v>27.472999999999981</v>
      </c>
      <c r="P116" s="1"/>
      <c r="Q116" s="1">
        <v>112.019092</v>
      </c>
      <c r="R116" s="1"/>
      <c r="S116" s="1">
        <v>96.399999999999991</v>
      </c>
      <c r="T116" s="1">
        <v>103.6</v>
      </c>
      <c r="U116" s="1">
        <f t="shared" si="32"/>
        <v>20.655799999999999</v>
      </c>
      <c r="V116" s="5"/>
      <c r="W116" s="5">
        <v>50</v>
      </c>
      <c r="X116" s="19">
        <v>150</v>
      </c>
      <c r="Y116" s="19" t="str">
        <f>VLOOKUP(A116,[1]Лист1!$A:$B,2,0)</f>
        <v>до 150 кг</v>
      </c>
      <c r="Z116" s="1">
        <f t="shared" si="25"/>
        <v>20.658608816894041</v>
      </c>
      <c r="AA116" s="1">
        <f t="shared" si="33"/>
        <v>18.237981196564643</v>
      </c>
      <c r="AB116" s="1">
        <v>26.749199999999998</v>
      </c>
      <c r="AC116" s="1">
        <v>20.511600000000001</v>
      </c>
      <c r="AD116" s="1">
        <v>20.523</v>
      </c>
      <c r="AE116" s="1">
        <v>19.683800000000002</v>
      </c>
      <c r="AF116" s="1">
        <v>23.858799999999999</v>
      </c>
      <c r="AG116" s="1">
        <v>30.072199999999999</v>
      </c>
      <c r="AH116" s="1">
        <v>28.821999999999999</v>
      </c>
      <c r="AI116" s="1">
        <v>19.371600000000001</v>
      </c>
      <c r="AJ116" s="1" t="s">
        <v>41</v>
      </c>
      <c r="AK116" s="1">
        <f t="shared" si="26"/>
        <v>50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165</v>
      </c>
      <c r="B117" s="1" t="s">
        <v>38</v>
      </c>
      <c r="C117" s="1">
        <v>923.31500000000005</v>
      </c>
      <c r="D117" s="1">
        <v>542.45000000000005</v>
      </c>
      <c r="E117" s="1">
        <v>670.47900000000004</v>
      </c>
      <c r="F117" s="1">
        <v>600.16700000000003</v>
      </c>
      <c r="G117" s="7">
        <v>1</v>
      </c>
      <c r="H117" s="1">
        <v>60</v>
      </c>
      <c r="I117" s="1" t="s">
        <v>39</v>
      </c>
      <c r="J117" s="1"/>
      <c r="K117" s="1">
        <v>696.71900000000005</v>
      </c>
      <c r="L117" s="1">
        <f t="shared" si="30"/>
        <v>-26.240000000000009</v>
      </c>
      <c r="M117" s="1">
        <f t="shared" si="31"/>
        <v>670.47900000000004</v>
      </c>
      <c r="N117" s="1"/>
      <c r="O117" s="1">
        <v>101.626436</v>
      </c>
      <c r="P117" s="1"/>
      <c r="Q117" s="1">
        <v>465.92389800000029</v>
      </c>
      <c r="R117" s="1"/>
      <c r="S117" s="1">
        <v>144.6</v>
      </c>
      <c r="T117" s="1">
        <v>155.4</v>
      </c>
      <c r="U117" s="1">
        <f t="shared" si="32"/>
        <v>134.0958</v>
      </c>
      <c r="V117" s="5">
        <f t="shared" ref="V117" si="35">12*U117-T117-S117-R117-Q117-P117-O117-F117</f>
        <v>141.43226599999969</v>
      </c>
      <c r="W117" s="5">
        <f t="shared" si="27"/>
        <v>141.43226599999969</v>
      </c>
      <c r="X117" s="19"/>
      <c r="Y117" s="19"/>
      <c r="Z117" s="1">
        <f t="shared" si="25"/>
        <v>12.000000000000002</v>
      </c>
      <c r="AA117" s="1">
        <f t="shared" si="33"/>
        <v>10.945289367750522</v>
      </c>
      <c r="AB117" s="1">
        <v>145.0898</v>
      </c>
      <c r="AC117" s="1">
        <v>141.90940000000001</v>
      </c>
      <c r="AD117" s="1">
        <v>146.82140000000001</v>
      </c>
      <c r="AE117" s="1">
        <v>140.74080000000001</v>
      </c>
      <c r="AF117" s="1">
        <v>154.98939999999999</v>
      </c>
      <c r="AG117" s="1">
        <v>181.70920000000001</v>
      </c>
      <c r="AH117" s="1">
        <v>175.9854</v>
      </c>
      <c r="AI117" s="1">
        <v>98.486199999999997</v>
      </c>
      <c r="AJ117" s="1" t="s">
        <v>41</v>
      </c>
      <c r="AK117" s="1">
        <f t="shared" si="26"/>
        <v>141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166</v>
      </c>
      <c r="B118" s="1" t="s">
        <v>38</v>
      </c>
      <c r="C118" s="1">
        <v>83.9</v>
      </c>
      <c r="D118" s="1">
        <v>53.856999999999999</v>
      </c>
      <c r="E118" s="1">
        <v>34.159999999999997</v>
      </c>
      <c r="F118" s="1">
        <v>76.486999999999995</v>
      </c>
      <c r="G118" s="7">
        <v>1</v>
      </c>
      <c r="H118" s="1">
        <v>60</v>
      </c>
      <c r="I118" s="1" t="s">
        <v>39</v>
      </c>
      <c r="J118" s="1"/>
      <c r="K118" s="1">
        <v>52.1</v>
      </c>
      <c r="L118" s="1">
        <f t="shared" si="30"/>
        <v>-17.940000000000005</v>
      </c>
      <c r="M118" s="1">
        <f t="shared" si="31"/>
        <v>34.159999999999997</v>
      </c>
      <c r="N118" s="1"/>
      <c r="O118" s="1"/>
      <c r="P118" s="1"/>
      <c r="Q118" s="1">
        <v>17.095279999999999</v>
      </c>
      <c r="R118" s="1"/>
      <c r="S118" s="1">
        <v>13.22951999999999</v>
      </c>
      <c r="T118" s="1"/>
      <c r="U118" s="1">
        <f t="shared" si="32"/>
        <v>6.831999999999999</v>
      </c>
      <c r="V118" s="5"/>
      <c r="W118" s="5">
        <f t="shared" si="27"/>
        <v>0</v>
      </c>
      <c r="X118" s="19"/>
      <c r="Y118" s="19"/>
      <c r="Z118" s="1">
        <f t="shared" si="25"/>
        <v>15.634045667447309</v>
      </c>
      <c r="AA118" s="1">
        <f t="shared" si="33"/>
        <v>15.634045667447309</v>
      </c>
      <c r="AB118" s="1">
        <v>10.4628</v>
      </c>
      <c r="AC118" s="1">
        <v>9.4239999999999995</v>
      </c>
      <c r="AD118" s="1">
        <v>11.5632</v>
      </c>
      <c r="AE118" s="1">
        <v>12.903</v>
      </c>
      <c r="AF118" s="1">
        <v>13.724600000000001</v>
      </c>
      <c r="AG118" s="1">
        <v>13.781000000000001</v>
      </c>
      <c r="AH118" s="1">
        <v>13.204599999999999</v>
      </c>
      <c r="AI118" s="1">
        <v>10.835599999999999</v>
      </c>
      <c r="AJ118" s="1"/>
      <c r="AK118" s="1">
        <f t="shared" si="26"/>
        <v>0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167</v>
      </c>
      <c r="B119" s="1" t="s">
        <v>38</v>
      </c>
      <c r="C119" s="1">
        <v>712.70500000000004</v>
      </c>
      <c r="D119" s="1">
        <v>1972.807</v>
      </c>
      <c r="E119" s="1">
        <v>891.15700000000004</v>
      </c>
      <c r="F119" s="1">
        <v>1524.7270000000001</v>
      </c>
      <c r="G119" s="7">
        <v>1</v>
      </c>
      <c r="H119" s="1">
        <v>60</v>
      </c>
      <c r="I119" s="1" t="s">
        <v>39</v>
      </c>
      <c r="J119" s="1"/>
      <c r="K119" s="1">
        <v>949.5</v>
      </c>
      <c r="L119" s="1">
        <f t="shared" si="30"/>
        <v>-58.342999999999961</v>
      </c>
      <c r="M119" s="1">
        <f t="shared" si="31"/>
        <v>891.15700000000004</v>
      </c>
      <c r="N119" s="1"/>
      <c r="O119" s="1">
        <v>260</v>
      </c>
      <c r="P119" s="1"/>
      <c r="Q119" s="1">
        <v>0</v>
      </c>
      <c r="R119" s="1"/>
      <c r="S119" s="1">
        <v>192.8</v>
      </c>
      <c r="T119" s="1">
        <v>207.2</v>
      </c>
      <c r="U119" s="1">
        <f t="shared" si="32"/>
        <v>178.23140000000001</v>
      </c>
      <c r="V119" s="5"/>
      <c r="W119" s="5">
        <f t="shared" si="27"/>
        <v>0</v>
      </c>
      <c r="X119" s="19"/>
      <c r="Y119" s="19"/>
      <c r="Z119" s="1">
        <f t="shared" si="25"/>
        <v>12.25781203536526</v>
      </c>
      <c r="AA119" s="1">
        <f t="shared" si="33"/>
        <v>12.25781203536526</v>
      </c>
      <c r="AB119" s="1">
        <v>201.7484</v>
      </c>
      <c r="AC119" s="1">
        <v>194.76939999999999</v>
      </c>
      <c r="AD119" s="1">
        <v>203.86619999999999</v>
      </c>
      <c r="AE119" s="1">
        <v>195.4562</v>
      </c>
      <c r="AF119" s="1">
        <v>194.12459999999999</v>
      </c>
      <c r="AG119" s="1">
        <v>210.81899999999999</v>
      </c>
      <c r="AH119" s="1">
        <v>218.63480000000001</v>
      </c>
      <c r="AI119" s="1">
        <v>145.69720000000001</v>
      </c>
      <c r="AJ119" s="1"/>
      <c r="AK119" s="1">
        <f t="shared" si="26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168</v>
      </c>
      <c r="B120" s="1" t="s">
        <v>44</v>
      </c>
      <c r="C120" s="1">
        <v>200</v>
      </c>
      <c r="D120" s="1"/>
      <c r="E120" s="1">
        <v>16</v>
      </c>
      <c r="F120" s="1">
        <v>184</v>
      </c>
      <c r="G120" s="7">
        <v>0.25</v>
      </c>
      <c r="H120" s="1">
        <v>1096</v>
      </c>
      <c r="I120" s="1" t="s">
        <v>39</v>
      </c>
      <c r="J120" s="1"/>
      <c r="K120" s="1">
        <v>28</v>
      </c>
      <c r="L120" s="1">
        <f t="shared" si="30"/>
        <v>-12</v>
      </c>
      <c r="M120" s="1">
        <f t="shared" si="31"/>
        <v>16</v>
      </c>
      <c r="N120" s="1"/>
      <c r="O120" s="1"/>
      <c r="P120" s="1"/>
      <c r="Q120" s="1">
        <v>0</v>
      </c>
      <c r="R120" s="1"/>
      <c r="S120" s="1">
        <v>0</v>
      </c>
      <c r="T120" s="1"/>
      <c r="U120" s="1">
        <f t="shared" si="32"/>
        <v>3.2</v>
      </c>
      <c r="V120" s="5"/>
      <c r="W120" s="5">
        <f t="shared" si="27"/>
        <v>0</v>
      </c>
      <c r="X120" s="19"/>
      <c r="Y120" s="19"/>
      <c r="Z120" s="1">
        <f t="shared" si="25"/>
        <v>57.5</v>
      </c>
      <c r="AA120" s="1">
        <f t="shared" si="33"/>
        <v>57.5</v>
      </c>
      <c r="AB120" s="1">
        <v>0.4</v>
      </c>
      <c r="AC120" s="1">
        <v>0</v>
      </c>
      <c r="AD120" s="1">
        <v>0.8</v>
      </c>
      <c r="AE120" s="1">
        <v>0.8</v>
      </c>
      <c r="AF120" s="1">
        <v>1</v>
      </c>
      <c r="AG120" s="1">
        <v>5.6</v>
      </c>
      <c r="AH120" s="1">
        <v>10</v>
      </c>
      <c r="AI120" s="1">
        <v>6</v>
      </c>
      <c r="AJ120" s="18" t="s">
        <v>181</v>
      </c>
      <c r="AK120" s="1">
        <f t="shared" si="26"/>
        <v>0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 t="s">
        <v>169</v>
      </c>
      <c r="B121" s="1" t="s">
        <v>44</v>
      </c>
      <c r="C121" s="1">
        <v>115</v>
      </c>
      <c r="D121" s="1"/>
      <c r="E121" s="14">
        <f>17+E130</f>
        <v>18</v>
      </c>
      <c r="F121" s="14">
        <f>98+F130</f>
        <v>127</v>
      </c>
      <c r="G121" s="7">
        <v>0.32500000000000001</v>
      </c>
      <c r="H121" s="1">
        <v>1096</v>
      </c>
      <c r="I121" s="1" t="s">
        <v>39</v>
      </c>
      <c r="J121" s="1"/>
      <c r="K121" s="1">
        <v>29</v>
      </c>
      <c r="L121" s="1">
        <f t="shared" si="30"/>
        <v>-11</v>
      </c>
      <c r="M121" s="1">
        <f t="shared" si="31"/>
        <v>18</v>
      </c>
      <c r="N121" s="1"/>
      <c r="O121" s="1"/>
      <c r="P121" s="1"/>
      <c r="Q121" s="1">
        <v>0</v>
      </c>
      <c r="R121" s="1"/>
      <c r="S121" s="1">
        <v>0</v>
      </c>
      <c r="T121" s="1"/>
      <c r="U121" s="1">
        <f t="shared" si="32"/>
        <v>3.6</v>
      </c>
      <c r="V121" s="5"/>
      <c r="W121" s="5">
        <f t="shared" si="27"/>
        <v>0</v>
      </c>
      <c r="X121" s="19"/>
      <c r="Y121" s="19"/>
      <c r="Z121" s="1">
        <f t="shared" si="25"/>
        <v>35.277777777777779</v>
      </c>
      <c r="AA121" s="1">
        <f t="shared" si="33"/>
        <v>35.277777777777779</v>
      </c>
      <c r="AB121" s="1">
        <v>0.6</v>
      </c>
      <c r="AC121" s="1">
        <v>0</v>
      </c>
      <c r="AD121" s="1">
        <v>1</v>
      </c>
      <c r="AE121" s="1">
        <v>1</v>
      </c>
      <c r="AF121" s="1">
        <v>1</v>
      </c>
      <c r="AG121" s="1">
        <v>5.2</v>
      </c>
      <c r="AH121" s="1">
        <v>7.2</v>
      </c>
      <c r="AI121" s="1">
        <v>3.8</v>
      </c>
      <c r="AJ121" s="18" t="s">
        <v>181</v>
      </c>
      <c r="AK121" s="1">
        <f t="shared" si="26"/>
        <v>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170</v>
      </c>
      <c r="B122" s="1" t="s">
        <v>44</v>
      </c>
      <c r="C122" s="1">
        <v>176</v>
      </c>
      <c r="D122" s="1"/>
      <c r="E122" s="1">
        <v>21</v>
      </c>
      <c r="F122" s="1">
        <v>155</v>
      </c>
      <c r="G122" s="7">
        <v>0.25</v>
      </c>
      <c r="H122" s="1">
        <v>1096</v>
      </c>
      <c r="I122" s="1" t="s">
        <v>39</v>
      </c>
      <c r="J122" s="1"/>
      <c r="K122" s="1">
        <v>33</v>
      </c>
      <c r="L122" s="1">
        <f t="shared" si="30"/>
        <v>-12</v>
      </c>
      <c r="M122" s="1">
        <f t="shared" si="31"/>
        <v>21</v>
      </c>
      <c r="N122" s="1"/>
      <c r="O122" s="1"/>
      <c r="P122" s="1"/>
      <c r="Q122" s="1">
        <v>0</v>
      </c>
      <c r="R122" s="1"/>
      <c r="S122" s="1">
        <v>0</v>
      </c>
      <c r="T122" s="1"/>
      <c r="U122" s="1">
        <f t="shared" si="32"/>
        <v>4.2</v>
      </c>
      <c r="V122" s="5"/>
      <c r="W122" s="5">
        <f t="shared" si="27"/>
        <v>0</v>
      </c>
      <c r="X122" s="19"/>
      <c r="Y122" s="19"/>
      <c r="Z122" s="1">
        <f t="shared" si="25"/>
        <v>36.904761904761905</v>
      </c>
      <c r="AA122" s="1">
        <f t="shared" si="33"/>
        <v>36.904761904761905</v>
      </c>
      <c r="AB122" s="1">
        <v>1.4</v>
      </c>
      <c r="AC122" s="1">
        <v>5</v>
      </c>
      <c r="AD122" s="1">
        <v>5.8</v>
      </c>
      <c r="AE122" s="1">
        <v>1.8</v>
      </c>
      <c r="AF122" s="1">
        <v>2</v>
      </c>
      <c r="AG122" s="1">
        <v>6.4</v>
      </c>
      <c r="AH122" s="1">
        <v>12.4</v>
      </c>
      <c r="AI122" s="1">
        <v>8.6</v>
      </c>
      <c r="AJ122" s="18" t="s">
        <v>181</v>
      </c>
      <c r="AK122" s="1">
        <f t="shared" si="26"/>
        <v>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1" t="s">
        <v>171</v>
      </c>
      <c r="B123" s="11" t="s">
        <v>38</v>
      </c>
      <c r="C123" s="11">
        <v>5.99</v>
      </c>
      <c r="D123" s="11"/>
      <c r="E123" s="11"/>
      <c r="F123" s="14">
        <v>5.99</v>
      </c>
      <c r="G123" s="12">
        <v>0</v>
      </c>
      <c r="H123" s="11"/>
      <c r="I123" s="11" t="s">
        <v>172</v>
      </c>
      <c r="J123" s="11" t="s">
        <v>141</v>
      </c>
      <c r="K123" s="11"/>
      <c r="L123" s="11">
        <f t="shared" si="30"/>
        <v>0</v>
      </c>
      <c r="M123" s="11">
        <f t="shared" si="31"/>
        <v>0</v>
      </c>
      <c r="N123" s="11"/>
      <c r="O123" s="11"/>
      <c r="P123" s="11"/>
      <c r="Q123" s="11"/>
      <c r="R123" s="11"/>
      <c r="S123" s="11">
        <v>0</v>
      </c>
      <c r="T123" s="11"/>
      <c r="U123" s="11">
        <f t="shared" si="32"/>
        <v>0</v>
      </c>
      <c r="V123" s="13"/>
      <c r="W123" s="5">
        <f t="shared" si="27"/>
        <v>0</v>
      </c>
      <c r="X123" s="19"/>
      <c r="Y123" s="19"/>
      <c r="Z123" s="1" t="e">
        <f t="shared" si="25"/>
        <v>#DIV/0!</v>
      </c>
      <c r="AA123" s="11" t="e">
        <f t="shared" si="33"/>
        <v>#DIV/0!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/>
      <c r="AK123" s="1">
        <f t="shared" si="26"/>
        <v>0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5" t="s">
        <v>173</v>
      </c>
      <c r="B124" s="1" t="s">
        <v>44</v>
      </c>
      <c r="C124" s="1"/>
      <c r="D124" s="1"/>
      <c r="E124" s="1"/>
      <c r="F124" s="1"/>
      <c r="G124" s="7">
        <v>0.3</v>
      </c>
      <c r="H124" s="1">
        <v>40</v>
      </c>
      <c r="I124" s="10" t="s">
        <v>51</v>
      </c>
      <c r="J124" s="1"/>
      <c r="K124" s="1">
        <v>21</v>
      </c>
      <c r="L124" s="1">
        <f t="shared" si="30"/>
        <v>-21</v>
      </c>
      <c r="M124" s="1">
        <f t="shared" si="31"/>
        <v>0</v>
      </c>
      <c r="N124" s="1"/>
      <c r="O124" s="1">
        <v>52</v>
      </c>
      <c r="P124" s="1"/>
      <c r="Q124" s="1">
        <v>52</v>
      </c>
      <c r="R124" s="1"/>
      <c r="S124" s="1">
        <v>0</v>
      </c>
      <c r="T124" s="1"/>
      <c r="U124" s="1">
        <f t="shared" si="32"/>
        <v>0</v>
      </c>
      <c r="V124" s="5"/>
      <c r="W124" s="5">
        <f t="shared" si="27"/>
        <v>0</v>
      </c>
      <c r="X124" s="19"/>
      <c r="Y124" s="19"/>
      <c r="Z124" s="1" t="e">
        <f t="shared" si="25"/>
        <v>#DIV/0!</v>
      </c>
      <c r="AA124" s="1" t="e">
        <f t="shared" si="33"/>
        <v>#DIV/0!</v>
      </c>
      <c r="AB124" s="1">
        <v>0</v>
      </c>
      <c r="AC124" s="1">
        <v>3.6</v>
      </c>
      <c r="AD124" s="1">
        <v>3.4</v>
      </c>
      <c r="AE124" s="1">
        <v>-0.2</v>
      </c>
      <c r="AF124" s="1">
        <v>13.2</v>
      </c>
      <c r="AG124" s="1">
        <v>28.8</v>
      </c>
      <c r="AH124" s="1">
        <v>16.8</v>
      </c>
      <c r="AI124" s="1">
        <v>0</v>
      </c>
      <c r="AJ124" s="1"/>
      <c r="AK124" s="1">
        <f t="shared" si="26"/>
        <v>0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5" t="s">
        <v>174</v>
      </c>
      <c r="B125" s="1" t="s">
        <v>44</v>
      </c>
      <c r="C125" s="1"/>
      <c r="D125" s="1"/>
      <c r="E125" s="1"/>
      <c r="F125" s="1"/>
      <c r="G125" s="7">
        <v>0.3</v>
      </c>
      <c r="H125" s="1">
        <v>40</v>
      </c>
      <c r="I125" s="10" t="s">
        <v>51</v>
      </c>
      <c r="J125" s="1"/>
      <c r="K125" s="1">
        <v>17</v>
      </c>
      <c r="L125" s="1">
        <f t="shared" si="30"/>
        <v>-17</v>
      </c>
      <c r="M125" s="1">
        <f t="shared" si="31"/>
        <v>0</v>
      </c>
      <c r="N125" s="1"/>
      <c r="O125" s="1">
        <v>52</v>
      </c>
      <c r="P125" s="1"/>
      <c r="Q125" s="1">
        <v>39</v>
      </c>
      <c r="R125" s="1"/>
      <c r="S125" s="1">
        <v>0</v>
      </c>
      <c r="T125" s="1"/>
      <c r="U125" s="1">
        <f t="shared" si="32"/>
        <v>0</v>
      </c>
      <c r="V125" s="5"/>
      <c r="W125" s="5">
        <f t="shared" si="27"/>
        <v>0</v>
      </c>
      <c r="X125" s="19"/>
      <c r="Y125" s="19"/>
      <c r="Z125" s="1" t="e">
        <f t="shared" si="25"/>
        <v>#DIV/0!</v>
      </c>
      <c r="AA125" s="1" t="e">
        <f t="shared" si="33"/>
        <v>#DIV/0!</v>
      </c>
      <c r="AB125" s="1">
        <v>0</v>
      </c>
      <c r="AC125" s="1">
        <v>-0.4</v>
      </c>
      <c r="AD125" s="1">
        <v>-1</v>
      </c>
      <c r="AE125" s="1">
        <v>0.6</v>
      </c>
      <c r="AF125" s="1">
        <v>9.1999999999999993</v>
      </c>
      <c r="AG125" s="1">
        <v>8</v>
      </c>
      <c r="AH125" s="1">
        <v>0</v>
      </c>
      <c r="AI125" s="1">
        <v>-0.2</v>
      </c>
      <c r="AJ125" s="1"/>
      <c r="AK125" s="1">
        <f t="shared" si="26"/>
        <v>0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5" t="s">
        <v>175</v>
      </c>
      <c r="B126" s="1" t="s">
        <v>38</v>
      </c>
      <c r="C126" s="1">
        <v>31.07</v>
      </c>
      <c r="D126" s="1">
        <v>79.222999999999999</v>
      </c>
      <c r="E126" s="1">
        <v>53.167000000000002</v>
      </c>
      <c r="F126" s="1">
        <v>40.302999999999997</v>
      </c>
      <c r="G126" s="7">
        <v>1</v>
      </c>
      <c r="H126" s="1">
        <v>50</v>
      </c>
      <c r="I126" s="1" t="s">
        <v>39</v>
      </c>
      <c r="J126" s="1"/>
      <c r="K126" s="1">
        <v>64.099999999999994</v>
      </c>
      <c r="L126" s="1">
        <f t="shared" si="30"/>
        <v>-10.932999999999993</v>
      </c>
      <c r="M126" s="1">
        <f t="shared" si="31"/>
        <v>53.167000000000002</v>
      </c>
      <c r="N126" s="1"/>
      <c r="O126" s="1">
        <v>63.883999999999993</v>
      </c>
      <c r="P126" s="1"/>
      <c r="Q126" s="1">
        <v>40.218035999999962</v>
      </c>
      <c r="R126" s="1"/>
      <c r="S126" s="1">
        <v>0</v>
      </c>
      <c r="T126" s="1"/>
      <c r="U126" s="1">
        <f t="shared" si="32"/>
        <v>10.6334</v>
      </c>
      <c r="V126" s="5"/>
      <c r="W126" s="5">
        <f t="shared" si="27"/>
        <v>0</v>
      </c>
      <c r="X126" s="19"/>
      <c r="Y126" s="19"/>
      <c r="Z126" s="1">
        <f t="shared" si="25"/>
        <v>13.580325765982654</v>
      </c>
      <c r="AA126" s="1">
        <f t="shared" si="33"/>
        <v>13.580325765982654</v>
      </c>
      <c r="AB126" s="1">
        <v>11.152200000000001</v>
      </c>
      <c r="AC126" s="1">
        <v>15.002800000000001</v>
      </c>
      <c r="AD126" s="1">
        <v>16.108799999999999</v>
      </c>
      <c r="AE126" s="1">
        <v>13.9884</v>
      </c>
      <c r="AF126" s="1">
        <v>11.2852</v>
      </c>
      <c r="AG126" s="1">
        <v>10.900600000000001</v>
      </c>
      <c r="AH126" s="1">
        <v>11.664199999999999</v>
      </c>
      <c r="AI126" s="1">
        <v>8.6918000000000006</v>
      </c>
      <c r="AJ126" s="1"/>
      <c r="AK126" s="1">
        <f t="shared" si="26"/>
        <v>0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5" t="s">
        <v>176</v>
      </c>
      <c r="B127" s="1" t="s">
        <v>44</v>
      </c>
      <c r="C127" s="1"/>
      <c r="D127" s="1"/>
      <c r="E127" s="1"/>
      <c r="F127" s="1"/>
      <c r="G127" s="7">
        <v>0.3</v>
      </c>
      <c r="H127" s="1">
        <v>40</v>
      </c>
      <c r="I127" s="10" t="s">
        <v>51</v>
      </c>
      <c r="J127" s="1"/>
      <c r="K127" s="1"/>
      <c r="L127" s="1">
        <f t="shared" si="30"/>
        <v>0</v>
      </c>
      <c r="M127" s="1">
        <f t="shared" si="31"/>
        <v>0</v>
      </c>
      <c r="N127" s="1"/>
      <c r="O127" s="1">
        <v>13</v>
      </c>
      <c r="P127" s="1"/>
      <c r="Q127" s="1">
        <v>13</v>
      </c>
      <c r="R127" s="1"/>
      <c r="S127" s="1">
        <v>0</v>
      </c>
      <c r="T127" s="1"/>
      <c r="U127" s="1">
        <f t="shared" si="32"/>
        <v>0</v>
      </c>
      <c r="V127" s="5"/>
      <c r="W127" s="5">
        <f t="shared" si="27"/>
        <v>0</v>
      </c>
      <c r="X127" s="19"/>
      <c r="Y127" s="19"/>
      <c r="Z127" s="1" t="e">
        <f t="shared" si="25"/>
        <v>#DIV/0!</v>
      </c>
      <c r="AA127" s="1" t="e">
        <f t="shared" si="33"/>
        <v>#DIV/0!</v>
      </c>
      <c r="AB127" s="1">
        <v>-0.2</v>
      </c>
      <c r="AC127" s="1">
        <v>-0.2</v>
      </c>
      <c r="AD127" s="1">
        <v>0.2</v>
      </c>
      <c r="AE127" s="1">
        <v>0.2</v>
      </c>
      <c r="AF127" s="1">
        <v>-0.2</v>
      </c>
      <c r="AG127" s="1">
        <v>0.6</v>
      </c>
      <c r="AH127" s="1">
        <v>5.8</v>
      </c>
      <c r="AI127" s="1">
        <v>7.2</v>
      </c>
      <c r="AJ127" s="1"/>
      <c r="AK127" s="1">
        <f t="shared" si="26"/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 t="s">
        <v>177</v>
      </c>
      <c r="B128" s="1" t="s">
        <v>44</v>
      </c>
      <c r="C128" s="1">
        <v>33</v>
      </c>
      <c r="D128" s="1">
        <v>2</v>
      </c>
      <c r="E128" s="1">
        <v>29</v>
      </c>
      <c r="F128" s="1">
        <v>1</v>
      </c>
      <c r="G128" s="7">
        <v>0.12</v>
      </c>
      <c r="H128" s="1">
        <v>45</v>
      </c>
      <c r="I128" s="10" t="s">
        <v>51</v>
      </c>
      <c r="J128" s="1"/>
      <c r="K128" s="1">
        <v>38</v>
      </c>
      <c r="L128" s="1">
        <f t="shared" si="30"/>
        <v>-9</v>
      </c>
      <c r="M128" s="1">
        <f t="shared" si="31"/>
        <v>29</v>
      </c>
      <c r="N128" s="1"/>
      <c r="O128" s="1">
        <v>62.140000000000008</v>
      </c>
      <c r="P128" s="1"/>
      <c r="Q128" s="1">
        <v>24.777999999999981</v>
      </c>
      <c r="R128" s="1"/>
      <c r="S128" s="1">
        <v>0</v>
      </c>
      <c r="T128" s="1"/>
      <c r="U128" s="1">
        <f t="shared" si="32"/>
        <v>5.8</v>
      </c>
      <c r="V128" s="5">
        <v>10</v>
      </c>
      <c r="W128" s="5">
        <f t="shared" si="27"/>
        <v>10</v>
      </c>
      <c r="X128" s="19"/>
      <c r="Y128" s="19"/>
      <c r="Z128" s="1">
        <f t="shared" si="25"/>
        <v>16.882413793103446</v>
      </c>
      <c r="AA128" s="1">
        <f t="shared" si="33"/>
        <v>15.158275862068965</v>
      </c>
      <c r="AB128" s="1">
        <v>7</v>
      </c>
      <c r="AC128" s="1">
        <v>9.6</v>
      </c>
      <c r="AD128" s="1">
        <v>8.8000000000000007</v>
      </c>
      <c r="AE128" s="1">
        <v>6.6</v>
      </c>
      <c r="AF128" s="1">
        <v>8.4</v>
      </c>
      <c r="AG128" s="1">
        <v>10.4</v>
      </c>
      <c r="AH128" s="1">
        <v>13.2</v>
      </c>
      <c r="AI128" s="1">
        <v>9.8000000000000007</v>
      </c>
      <c r="AJ128" s="1"/>
      <c r="AK128" s="1">
        <f t="shared" si="26"/>
        <v>1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1" t="s">
        <v>178</v>
      </c>
      <c r="B129" s="11" t="s">
        <v>44</v>
      </c>
      <c r="C129" s="11">
        <v>87</v>
      </c>
      <c r="D129" s="11">
        <v>102</v>
      </c>
      <c r="E129" s="14">
        <v>51</v>
      </c>
      <c r="F129" s="14">
        <v>126</v>
      </c>
      <c r="G129" s="12">
        <v>0</v>
      </c>
      <c r="H129" s="11"/>
      <c r="I129" s="11" t="s">
        <v>179</v>
      </c>
      <c r="J129" s="11" t="s">
        <v>96</v>
      </c>
      <c r="K129" s="11">
        <v>60</v>
      </c>
      <c r="L129" s="11">
        <f t="shared" si="30"/>
        <v>-9</v>
      </c>
      <c r="M129" s="11">
        <f t="shared" si="31"/>
        <v>51</v>
      </c>
      <c r="N129" s="11"/>
      <c r="O129" s="11"/>
      <c r="P129" s="11"/>
      <c r="Q129" s="11">
        <v>0</v>
      </c>
      <c r="R129" s="11"/>
      <c r="S129" s="11">
        <v>0</v>
      </c>
      <c r="T129" s="11"/>
      <c r="U129" s="11">
        <f t="shared" si="32"/>
        <v>10.199999999999999</v>
      </c>
      <c r="V129" s="13"/>
      <c r="W129" s="5">
        <f t="shared" si="27"/>
        <v>0</v>
      </c>
      <c r="X129" s="19"/>
      <c r="Y129" s="19"/>
      <c r="Z129" s="1">
        <f t="shared" si="25"/>
        <v>12.352941176470589</v>
      </c>
      <c r="AA129" s="11">
        <f t="shared" si="33"/>
        <v>12.352941176470589</v>
      </c>
      <c r="AB129" s="11">
        <v>12.4</v>
      </c>
      <c r="AC129" s="11">
        <v>14.8</v>
      </c>
      <c r="AD129" s="11">
        <v>21.6</v>
      </c>
      <c r="AE129" s="11">
        <v>19.8</v>
      </c>
      <c r="AF129" s="11">
        <v>10.4</v>
      </c>
      <c r="AG129" s="11">
        <v>11.2</v>
      </c>
      <c r="AH129" s="11">
        <v>14.6</v>
      </c>
      <c r="AI129" s="11">
        <v>5.2</v>
      </c>
      <c r="AJ129" s="11"/>
      <c r="AK129" s="1">
        <f t="shared" si="26"/>
        <v>0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1" t="s">
        <v>180</v>
      </c>
      <c r="B130" s="11" t="s">
        <v>44</v>
      </c>
      <c r="C130" s="11">
        <v>30</v>
      </c>
      <c r="D130" s="11"/>
      <c r="E130" s="14">
        <v>1</v>
      </c>
      <c r="F130" s="14">
        <v>29</v>
      </c>
      <c r="G130" s="12">
        <v>0</v>
      </c>
      <c r="H130" s="11"/>
      <c r="I130" s="11" t="s">
        <v>179</v>
      </c>
      <c r="J130" s="11" t="s">
        <v>169</v>
      </c>
      <c r="K130" s="11">
        <v>8</v>
      </c>
      <c r="L130" s="11">
        <f t="shared" si="30"/>
        <v>-7</v>
      </c>
      <c r="M130" s="11">
        <f t="shared" si="31"/>
        <v>1</v>
      </c>
      <c r="N130" s="11"/>
      <c r="O130" s="11"/>
      <c r="P130" s="11"/>
      <c r="Q130" s="11">
        <v>0</v>
      </c>
      <c r="R130" s="11"/>
      <c r="S130" s="11">
        <v>0</v>
      </c>
      <c r="T130" s="11"/>
      <c r="U130" s="11">
        <f t="shared" si="32"/>
        <v>0.2</v>
      </c>
      <c r="V130" s="13"/>
      <c r="W130" s="5">
        <f t="shared" si="27"/>
        <v>0</v>
      </c>
      <c r="X130" s="19"/>
      <c r="Y130" s="19"/>
      <c r="Z130" s="1">
        <f t="shared" si="25"/>
        <v>145</v>
      </c>
      <c r="AA130" s="11">
        <f t="shared" si="33"/>
        <v>145</v>
      </c>
      <c r="AB130" s="11">
        <v>0.2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0.2</v>
      </c>
      <c r="AJ130" s="11"/>
      <c r="AK130" s="1">
        <f t="shared" si="26"/>
        <v>0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K13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2026-10-01T16:45:57Z</dcterms:created>
  <dcterms:modified xsi:type="dcterms:W3CDTF">2026-10-02T09:34:27Z</dcterms:modified>
</cp:coreProperties>
</file>