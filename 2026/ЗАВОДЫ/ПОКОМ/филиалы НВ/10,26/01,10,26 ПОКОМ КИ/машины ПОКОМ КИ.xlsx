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08627A0-2A52-45CB-A47F-8ECE1188E7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8" i="1" l="1"/>
  <c r="Q27" i="1"/>
  <c r="Q26" i="1"/>
  <c r="Q25" i="1"/>
  <c r="Q24" i="1"/>
  <c r="Q23" i="1"/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E29" i="1" s="1"/>
  <c r="Q4" i="1" l="1"/>
  <c r="Q5" i="1"/>
  <c r="Q6" i="1"/>
  <c r="Q8" i="1"/>
  <c r="Q9" i="1"/>
  <c r="Q10" i="1"/>
  <c r="Q12" i="1"/>
  <c r="Q20" i="1"/>
  <c r="Q3" i="1"/>
  <c r="P21" i="1"/>
  <c r="P29" i="1" s="1"/>
  <c r="O21" i="1"/>
  <c r="N21" i="1"/>
  <c r="N29" i="1" s="1"/>
  <c r="F21" i="1" l="1"/>
  <c r="G21" i="1"/>
  <c r="G29" i="1" s="1"/>
  <c r="H21" i="1"/>
  <c r="H29" i="1" s="1"/>
  <c r="I21" i="1"/>
  <c r="J21" i="1"/>
  <c r="J29" i="1" s="1"/>
  <c r="K21" i="1"/>
  <c r="K29" i="1" s="1"/>
  <c r="L21" i="1"/>
  <c r="M21" i="1"/>
  <c r="M29" i="1" s="1"/>
  <c r="B21" i="1" l="1"/>
  <c r="Q21" i="1" l="1"/>
</calcChain>
</file>

<file path=xl/sharedStrings.xml><?xml version="1.0" encoding="utf-8"?>
<sst xmlns="http://schemas.openxmlformats.org/spreadsheetml/2006/main" count="47" uniqueCount="33">
  <si>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</si>
  <si>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</si>
  <si>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</si>
  <si>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</si>
  <si>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</si>
  <si>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</si>
  <si>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</si>
  <si>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</si>
  <si>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</si>
  <si>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</si>
  <si>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</si>
  <si>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</si>
  <si>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</si>
  <si>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</si>
  <si>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</si>
  <si>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</si>
  <si>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</si>
  <si>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</si>
  <si>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</si>
  <si>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</si>
  <si>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</si>
  <si>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</si>
  <si>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</si>
  <si>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Логистон (ПРС)</t>
  </si>
  <si>
    <t>Мариуполь</t>
  </si>
  <si>
    <t>Колесник КСК (Мелитополь)</t>
  </si>
  <si>
    <t>Поляков КСК</t>
  </si>
  <si>
    <t>СЫРЫ</t>
  </si>
  <si>
    <t>ПРС ЛП</t>
  </si>
  <si>
    <t>1 машина на 06,10</t>
  </si>
  <si>
    <t>1 машина на 05,10</t>
  </si>
  <si>
    <t>2 машина на 05,10</t>
  </si>
  <si>
    <t>2 машина на 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</si>
</sst>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6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="115" zoomScaleNormal="115" workbookViewId="0">
      <selection activeCell="S22" sqref="S22"/>
    </sheetView>
  </sheetViews>
  <sheetFormatPr defaultRowHeight="15" x14ac:dyDescent="0.25"/>
  <cols>
    <col min="1" max="1" width="27.7109375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5" t="s">
        <v>4</v>
      </c>
      <c r="B1" s="37" t="s">
        <v>18</v>
      </c>
      <c r="C1" s="37" t="s">
        <v>19</v>
      </c>
      <c r="D1" s="37" t="s">
        <v>20</v>
      </c>
      <c r="E1" s="35" t="s">
        <v>30</v>
      </c>
      <c r="F1" s="39"/>
      <c r="G1" s="40"/>
      <c r="H1" s="35" t="s">
        <v>31</v>
      </c>
      <c r="I1" s="39"/>
      <c r="J1" s="40"/>
      <c r="K1" s="35" t="s">
        <v>29</v>
      </c>
      <c r="L1" s="39"/>
      <c r="M1" s="40"/>
      <c r="N1" s="35" t="s">
        <v>32</v>
      </c>
      <c r="O1" s="39"/>
      <c r="P1" s="40"/>
      <c r="Q1" s="33" t="s">
        <v>5</v>
      </c>
    </row>
    <row r="2" spans="1:17" ht="30.75" thickBot="1" x14ac:dyDescent="0.3">
      <c r="A2" s="36"/>
      <c r="B2" s="38"/>
      <c r="C2" s="38"/>
      <c r="D2" s="38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34"/>
    </row>
    <row r="3" spans="1:17" x14ac:dyDescent="0.25">
      <c r="A3" s="6" t="s">
        <v>0</v>
      </c>
      <c r="B3" s="20">
        <v>3858</v>
      </c>
      <c r="C3" s="21"/>
      <c r="D3" s="22"/>
      <c r="E3" s="6"/>
      <c r="F3" s="3"/>
      <c r="G3" s="7"/>
      <c r="H3" s="6"/>
      <c r="I3" s="3"/>
      <c r="J3" s="7"/>
      <c r="K3" s="20">
        <v>3858</v>
      </c>
      <c r="L3" s="21">
        <v>4467</v>
      </c>
      <c r="M3" s="22">
        <v>8</v>
      </c>
      <c r="N3" s="6"/>
      <c r="O3" s="3"/>
      <c r="P3" s="7"/>
      <c r="Q3" s="8">
        <f>B3-E3-H3-K3-N3</f>
        <v>0</v>
      </c>
    </row>
    <row r="4" spans="1:17" x14ac:dyDescent="0.25">
      <c r="A4" s="4" t="s">
        <v>1</v>
      </c>
      <c r="B4" s="23">
        <v>12334</v>
      </c>
      <c r="C4" s="24"/>
      <c r="D4" s="25"/>
      <c r="E4" s="4">
        <v>12334</v>
      </c>
      <c r="F4" s="2">
        <v>13913</v>
      </c>
      <c r="G4" s="5">
        <v>22</v>
      </c>
      <c r="H4" s="4"/>
      <c r="I4" s="2"/>
      <c r="J4" s="5"/>
      <c r="K4" s="23"/>
      <c r="L4" s="24"/>
      <c r="M4" s="25"/>
      <c r="N4" s="4"/>
      <c r="O4" s="2"/>
      <c r="P4" s="5"/>
      <c r="Q4" s="8">
        <f t="shared" ref="Q4:Q20" si="0">B4-E4-H4-K4-N4</f>
        <v>0</v>
      </c>
    </row>
    <row r="5" spans="1:17" x14ac:dyDescent="0.25">
      <c r="A5" s="4" t="s">
        <v>2</v>
      </c>
      <c r="B5" s="23">
        <v>16862</v>
      </c>
      <c r="C5" s="24"/>
      <c r="D5" s="25"/>
      <c r="E5" s="4"/>
      <c r="F5" s="2"/>
      <c r="G5" s="5"/>
      <c r="H5" s="4">
        <v>16862</v>
      </c>
      <c r="I5" s="2">
        <v>18805</v>
      </c>
      <c r="J5" s="5">
        <v>31</v>
      </c>
      <c r="K5" s="23"/>
      <c r="L5" s="24"/>
      <c r="M5" s="25"/>
      <c r="N5" s="4"/>
      <c r="O5" s="2"/>
      <c r="P5" s="5"/>
      <c r="Q5" s="8">
        <f t="shared" si="0"/>
        <v>0</v>
      </c>
    </row>
    <row r="6" spans="1:17" x14ac:dyDescent="0.25">
      <c r="A6" s="4" t="s">
        <v>3</v>
      </c>
      <c r="B6" s="23">
        <v>5832</v>
      </c>
      <c r="C6" s="24"/>
      <c r="D6" s="25"/>
      <c r="E6" s="4"/>
      <c r="F6" s="2"/>
      <c r="G6" s="5"/>
      <c r="H6" s="4"/>
      <c r="I6" s="2"/>
      <c r="J6" s="5"/>
      <c r="K6" s="23">
        <v>5832</v>
      </c>
      <c r="L6" s="24">
        <v>6518</v>
      </c>
      <c r="M6" s="25">
        <v>11</v>
      </c>
      <c r="N6" s="4"/>
      <c r="O6" s="2"/>
      <c r="P6" s="5"/>
      <c r="Q6" s="8">
        <f t="shared" si="0"/>
        <v>0</v>
      </c>
    </row>
    <row r="7" spans="1:17" x14ac:dyDescent="0.25">
      <c r="A7" s="4" t="s">
        <v>24</v>
      </c>
      <c r="B7" s="23">
        <v>2670</v>
      </c>
      <c r="C7" s="24"/>
      <c r="D7" s="25"/>
      <c r="E7" s="4">
        <v>2670</v>
      </c>
      <c r="F7" s="2">
        <v>3042</v>
      </c>
      <c r="G7" s="5">
        <v>5</v>
      </c>
      <c r="H7" s="4"/>
      <c r="I7" s="2"/>
      <c r="J7" s="5"/>
      <c r="K7" s="23"/>
      <c r="L7" s="24"/>
      <c r="M7" s="25"/>
      <c r="N7" s="4"/>
      <c r="O7" s="2"/>
      <c r="P7" s="5"/>
      <c r="Q7" s="8">
        <f t="shared" si="0"/>
        <v>0</v>
      </c>
    </row>
    <row r="8" spans="1:17" hidden="1" x14ac:dyDescent="0.25">
      <c r="A8" s="4" t="s">
        <v>7</v>
      </c>
      <c r="B8" s="23"/>
      <c r="C8" s="24"/>
      <c r="D8" s="25"/>
      <c r="E8" s="4"/>
      <c r="F8" s="2"/>
      <c r="G8" s="5"/>
      <c r="H8" s="4"/>
      <c r="I8" s="2"/>
      <c r="J8" s="5"/>
      <c r="K8" s="23"/>
      <c r="L8" s="24"/>
      <c r="M8" s="25"/>
      <c r="N8" s="4"/>
      <c r="O8" s="2"/>
      <c r="P8" s="5"/>
      <c r="Q8" s="8">
        <f t="shared" si="0"/>
        <v>0</v>
      </c>
    </row>
    <row r="9" spans="1:17" hidden="1" x14ac:dyDescent="0.25">
      <c r="A9" s="4" t="s">
        <v>13</v>
      </c>
      <c r="B9" s="23"/>
      <c r="C9" s="24"/>
      <c r="D9" s="25"/>
      <c r="E9" s="4"/>
      <c r="F9" s="2"/>
      <c r="G9" s="5"/>
      <c r="H9" s="4"/>
      <c r="I9" s="2"/>
      <c r="J9" s="5"/>
      <c r="K9" s="23"/>
      <c r="L9" s="24"/>
      <c r="M9" s="25"/>
      <c r="N9" s="4"/>
      <c r="O9" s="2"/>
      <c r="P9" s="5"/>
      <c r="Q9" s="8">
        <f t="shared" si="0"/>
        <v>0</v>
      </c>
    </row>
    <row r="10" spans="1:17" x14ac:dyDescent="0.25">
      <c r="A10" s="4" t="s">
        <v>26</v>
      </c>
      <c r="B10" s="23">
        <v>16893</v>
      </c>
      <c r="C10" s="24">
        <v>18424</v>
      </c>
      <c r="D10" s="25">
        <v>27</v>
      </c>
      <c r="E10" s="4"/>
      <c r="F10" s="2"/>
      <c r="G10" s="5"/>
      <c r="H10" s="4"/>
      <c r="I10" s="2"/>
      <c r="J10" s="5"/>
      <c r="K10" s="23"/>
      <c r="L10" s="24"/>
      <c r="M10" s="25"/>
      <c r="N10" s="23">
        <v>16893</v>
      </c>
      <c r="O10" s="24">
        <v>18424</v>
      </c>
      <c r="P10" s="25">
        <v>27</v>
      </c>
      <c r="Q10" s="8">
        <f t="shared" si="0"/>
        <v>0</v>
      </c>
    </row>
    <row r="11" spans="1:17" ht="15.75" thickBot="1" x14ac:dyDescent="0.3">
      <c r="A11" s="9" t="s">
        <v>25</v>
      </c>
      <c r="B11" s="26">
        <v>5082</v>
      </c>
      <c r="C11" s="27">
        <v>5540</v>
      </c>
      <c r="D11" s="28">
        <v>9</v>
      </c>
      <c r="E11" s="9"/>
      <c r="F11" s="10"/>
      <c r="G11" s="11"/>
      <c r="H11" s="9"/>
      <c r="I11" s="10"/>
      <c r="J11" s="11"/>
      <c r="K11" s="26">
        <v>5082</v>
      </c>
      <c r="L11" s="27">
        <v>5540</v>
      </c>
      <c r="M11" s="28">
        <v>9</v>
      </c>
      <c r="N11" s="9"/>
      <c r="O11" s="10"/>
      <c r="P11" s="11"/>
      <c r="Q11" s="8">
        <f t="shared" si="0"/>
        <v>0</v>
      </c>
    </row>
    <row r="12" spans="1:17" ht="15.75" hidden="1" thickBot="1" x14ac:dyDescent="0.3">
      <c r="A12" s="9" t="s">
        <v>12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ht="15.75" hidden="1" thickBot="1" x14ac:dyDescent="0.3">
      <c r="A13" s="9" t="s">
        <v>23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ht="15.75" hidden="1" thickBot="1" x14ac:dyDescent="0.3">
      <c r="A14" s="9" t="s">
        <v>15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ht="15.75" hidden="1" thickBot="1" x14ac:dyDescent="0.3">
      <c r="A15" s="9" t="s">
        <v>16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t="15.75" hidden="1" thickBot="1" x14ac:dyDescent="0.3">
      <c r="A16" s="9" t="s">
        <v>17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t="15.75" hidden="1" thickBot="1" x14ac:dyDescent="0.3">
      <c r="A17" s="9" t="s">
        <v>8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ht="15.75" hidden="1" thickBot="1" x14ac:dyDescent="0.3">
      <c r="A18" s="9" t="s">
        <v>14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hidden="1" thickBot="1" x14ac:dyDescent="0.3">
      <c r="A19" s="9" t="s">
        <v>22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hidden="1" thickBot="1" x14ac:dyDescent="0.3">
      <c r="A20" s="9" t="s">
        <v>21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6</v>
      </c>
      <c r="B21" s="13">
        <f t="shared" ref="B21:M21" si="2">SUM(B3:B20)</f>
        <v>63531</v>
      </c>
      <c r="C21" s="13">
        <f t="shared" si="2"/>
        <v>23964</v>
      </c>
      <c r="D21" s="13">
        <f t="shared" si="2"/>
        <v>36</v>
      </c>
      <c r="E21" s="12">
        <f t="shared" si="2"/>
        <v>15004</v>
      </c>
      <c r="F21" s="14">
        <f t="shared" si="2"/>
        <v>16955</v>
      </c>
      <c r="G21" s="15">
        <f t="shared" si="2"/>
        <v>27</v>
      </c>
      <c r="H21" s="12">
        <f t="shared" si="2"/>
        <v>16862</v>
      </c>
      <c r="I21" s="14">
        <f t="shared" si="2"/>
        <v>18805</v>
      </c>
      <c r="J21" s="15">
        <f t="shared" si="2"/>
        <v>31</v>
      </c>
      <c r="K21" s="12">
        <f t="shared" si="2"/>
        <v>14772</v>
      </c>
      <c r="L21" s="14">
        <f t="shared" si="2"/>
        <v>16525</v>
      </c>
      <c r="M21" s="15">
        <f t="shared" si="2"/>
        <v>28</v>
      </c>
      <c r="N21" s="12">
        <f t="shared" ref="N21:P21" si="3">SUM(N3:N20)</f>
        <v>16893</v>
      </c>
      <c r="O21" s="14">
        <f t="shared" si="3"/>
        <v>18424</v>
      </c>
      <c r="P21" s="15">
        <f t="shared" si="3"/>
        <v>27</v>
      </c>
      <c r="Q21" s="16">
        <f>SUM(Q3:Q20)</f>
        <v>0</v>
      </c>
    </row>
    <row r="22" spans="1:17" ht="15.75" thickBot="1" x14ac:dyDescent="0.3">
      <c r="A22" s="29" t="s">
        <v>27</v>
      </c>
      <c r="G22">
        <v>26</v>
      </c>
      <c r="J22">
        <v>30</v>
      </c>
      <c r="M22">
        <v>27</v>
      </c>
    </row>
    <row r="23" spans="1:17" x14ac:dyDescent="0.25">
      <c r="A23" t="s">
        <v>28</v>
      </c>
      <c r="B23">
        <v>896</v>
      </c>
      <c r="D23">
        <v>2</v>
      </c>
      <c r="E23">
        <v>896</v>
      </c>
      <c r="G23">
        <v>2</v>
      </c>
      <c r="Q23" s="30">
        <f t="shared" ref="Q23:Q28" si="4">B23-E23-H23-K23-N23</f>
        <v>0</v>
      </c>
    </row>
    <row r="24" spans="1:17" x14ac:dyDescent="0.25">
      <c r="A24" t="s">
        <v>0</v>
      </c>
      <c r="B24">
        <v>1603</v>
      </c>
      <c r="D24">
        <v>3</v>
      </c>
      <c r="K24">
        <v>1603</v>
      </c>
      <c r="M24">
        <v>3</v>
      </c>
      <c r="Q24" s="31">
        <f t="shared" si="4"/>
        <v>0</v>
      </c>
    </row>
    <row r="25" spans="1:17" x14ac:dyDescent="0.25">
      <c r="A25" t="s">
        <v>1</v>
      </c>
      <c r="B25">
        <v>997</v>
      </c>
      <c r="D25">
        <v>2</v>
      </c>
      <c r="E25">
        <v>997</v>
      </c>
      <c r="G25">
        <v>2</v>
      </c>
      <c r="Q25" s="31">
        <f t="shared" si="4"/>
        <v>0</v>
      </c>
    </row>
    <row r="26" spans="1:17" x14ac:dyDescent="0.25">
      <c r="A26" t="s">
        <v>2</v>
      </c>
      <c r="B26">
        <v>817</v>
      </c>
      <c r="D26">
        <v>2</v>
      </c>
      <c r="H26">
        <v>817</v>
      </c>
      <c r="J26">
        <v>2</v>
      </c>
      <c r="Q26" s="31">
        <f t="shared" si="4"/>
        <v>0</v>
      </c>
    </row>
    <row r="27" spans="1:17" x14ac:dyDescent="0.25">
      <c r="A27" t="s">
        <v>24</v>
      </c>
      <c r="B27">
        <v>636</v>
      </c>
      <c r="D27">
        <v>2</v>
      </c>
      <c r="E27">
        <v>636</v>
      </c>
      <c r="G27">
        <v>2</v>
      </c>
      <c r="Q27" s="31">
        <f t="shared" si="4"/>
        <v>0</v>
      </c>
    </row>
    <row r="28" spans="1:17" ht="15.75" thickBot="1" x14ac:dyDescent="0.3">
      <c r="A28" t="s">
        <v>3</v>
      </c>
      <c r="B28">
        <v>1020</v>
      </c>
      <c r="D28">
        <v>2</v>
      </c>
      <c r="K28">
        <v>1020</v>
      </c>
      <c r="M28">
        <v>2</v>
      </c>
      <c r="Q28" s="32">
        <f t="shared" si="4"/>
        <v>0</v>
      </c>
    </row>
    <row r="29" spans="1:17" x14ac:dyDescent="0.25">
      <c r="E29">
        <f>SUM(E23:E28)+E21</f>
        <v>17533</v>
      </c>
      <c r="G29">
        <f>SUM(G23:G28)+G21</f>
        <v>33</v>
      </c>
      <c r="H29">
        <f>SUM(H23:H28)+H21</f>
        <v>17679</v>
      </c>
      <c r="J29">
        <f>SUM(J23:J28)+J21</f>
        <v>33</v>
      </c>
      <c r="K29">
        <f>SUM(K23:K28)+K21</f>
        <v>17395</v>
      </c>
      <c r="M29">
        <f>SUM(M23:M28)+M21</f>
        <v>33</v>
      </c>
      <c r="N29">
        <f>SUM(N23:N28)+N21</f>
        <v>16893</v>
      </c>
      <c r="P29">
        <f>SUM(P23:P28)+P21</f>
        <v>27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2026-10-02T09:33:34Z</dcterms:modified>
</cp:coreProperties>
</file>