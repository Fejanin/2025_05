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D701DE45-F305-4D99-A63E-C4324A2F0AA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5" i="1" l="1"/>
  <c r="Y544" i="1"/>
  <c r="X544" i="1"/>
  <c r="BP543" i="1"/>
  <c r="BO543" i="1"/>
  <c r="BN543" i="1"/>
  <c r="BM543" i="1"/>
  <c r="Z543" i="1"/>
  <c r="Z544" i="1" s="1"/>
  <c r="Y543" i="1"/>
  <c r="AC556" i="1" s="1"/>
  <c r="P543" i="1"/>
  <c r="X540" i="1"/>
  <c r="Y539" i="1"/>
  <c r="X539" i="1"/>
  <c r="BP538" i="1"/>
  <c r="BO538" i="1"/>
  <c r="BN538" i="1"/>
  <c r="BM538" i="1"/>
  <c r="Z538" i="1"/>
  <c r="Y538" i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P521" i="1"/>
  <c r="X517" i="1"/>
  <c r="X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Y517" i="1" s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X488" i="1"/>
  <c r="X487" i="1"/>
  <c r="BO486" i="1"/>
  <c r="BM486" i="1"/>
  <c r="Y486" i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O471" i="1"/>
  <c r="BM471" i="1"/>
  <c r="Y471" i="1"/>
  <c r="BP471" i="1" s="1"/>
  <c r="P471" i="1"/>
  <c r="BO470" i="1"/>
  <c r="BM470" i="1"/>
  <c r="Y470" i="1"/>
  <c r="P470" i="1"/>
  <c r="BO469" i="1"/>
  <c r="BM469" i="1"/>
  <c r="Y469" i="1"/>
  <c r="BP469" i="1" s="1"/>
  <c r="P469" i="1"/>
  <c r="BP468" i="1"/>
  <c r="BO468" i="1"/>
  <c r="BN468" i="1"/>
  <c r="BM468" i="1"/>
  <c r="Z468" i="1"/>
  <c r="Y468" i="1"/>
  <c r="P468" i="1"/>
  <c r="BO467" i="1"/>
  <c r="BM467" i="1"/>
  <c r="Y467" i="1"/>
  <c r="BP467" i="1" s="1"/>
  <c r="P467" i="1"/>
  <c r="BO466" i="1"/>
  <c r="BM466" i="1"/>
  <c r="Y466" i="1"/>
  <c r="P466" i="1"/>
  <c r="X462" i="1"/>
  <c r="X461" i="1"/>
  <c r="BP460" i="1"/>
  <c r="BO460" i="1"/>
  <c r="BN460" i="1"/>
  <c r="BM460" i="1"/>
  <c r="Z460" i="1"/>
  <c r="Y460" i="1"/>
  <c r="P460" i="1"/>
  <c r="BO459" i="1"/>
  <c r="BM459" i="1"/>
  <c r="Y459" i="1"/>
  <c r="BP459" i="1" s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X446" i="1"/>
  <c r="X445" i="1"/>
  <c r="BO444" i="1"/>
  <c r="BM444" i="1"/>
  <c r="Y444" i="1"/>
  <c r="BP444" i="1" s="1"/>
  <c r="P444" i="1"/>
  <c r="BO443" i="1"/>
  <c r="BM443" i="1"/>
  <c r="Y443" i="1"/>
  <c r="P443" i="1"/>
  <c r="X441" i="1"/>
  <c r="X440" i="1"/>
  <c r="BP439" i="1"/>
  <c r="BO439" i="1"/>
  <c r="BN439" i="1"/>
  <c r="BM439" i="1"/>
  <c r="Z439" i="1"/>
  <c r="Y439" i="1"/>
  <c r="P439" i="1"/>
  <c r="BO438" i="1"/>
  <c r="BM438" i="1"/>
  <c r="Y438" i="1"/>
  <c r="BP438" i="1" s="1"/>
  <c r="P438" i="1"/>
  <c r="BO437" i="1"/>
  <c r="BM437" i="1"/>
  <c r="Y437" i="1"/>
  <c r="P437" i="1"/>
  <c r="X435" i="1"/>
  <c r="X434" i="1"/>
  <c r="BP433" i="1"/>
  <c r="BO433" i="1"/>
  <c r="BN433" i="1"/>
  <c r="BM433" i="1"/>
  <c r="Z433" i="1"/>
  <c r="Y433" i="1"/>
  <c r="P433" i="1"/>
  <c r="BO432" i="1"/>
  <c r="BM432" i="1"/>
  <c r="Y432" i="1"/>
  <c r="BP432" i="1" s="1"/>
  <c r="P432" i="1"/>
  <c r="BO431" i="1"/>
  <c r="BM431" i="1"/>
  <c r="Y431" i="1"/>
  <c r="P431" i="1"/>
  <c r="X429" i="1"/>
  <c r="X428" i="1"/>
  <c r="BP427" i="1"/>
  <c r="BO427" i="1"/>
  <c r="BN427" i="1"/>
  <c r="BM427" i="1"/>
  <c r="Z427" i="1"/>
  <c r="Y427" i="1"/>
  <c r="P427" i="1"/>
  <c r="BO426" i="1"/>
  <c r="BM426" i="1"/>
  <c r="Y426" i="1"/>
  <c r="BP426" i="1" s="1"/>
  <c r="P426" i="1"/>
  <c r="BO425" i="1"/>
  <c r="BM425" i="1"/>
  <c r="Y425" i="1"/>
  <c r="P425" i="1"/>
  <c r="BO424" i="1"/>
  <c r="BM424" i="1"/>
  <c r="Y424" i="1"/>
  <c r="BP424" i="1" s="1"/>
  <c r="P424" i="1"/>
  <c r="BP423" i="1"/>
  <c r="BO423" i="1"/>
  <c r="BN423" i="1"/>
  <c r="BM423" i="1"/>
  <c r="Z423" i="1"/>
  <c r="Y423" i="1"/>
  <c r="P423" i="1"/>
  <c r="BO422" i="1"/>
  <c r="BM422" i="1"/>
  <c r="Y422" i="1"/>
  <c r="BP422" i="1" s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BP414" i="1" s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09" i="1"/>
  <c r="X408" i="1"/>
  <c r="BO407" i="1"/>
  <c r="BM407" i="1"/>
  <c r="Y407" i="1"/>
  <c r="BP407" i="1" s="1"/>
  <c r="P407" i="1"/>
  <c r="BO406" i="1"/>
  <c r="BM406" i="1"/>
  <c r="Y406" i="1"/>
  <c r="P406" i="1"/>
  <c r="X403" i="1"/>
  <c r="X402" i="1"/>
  <c r="BP401" i="1"/>
  <c r="BO401" i="1"/>
  <c r="BN401" i="1"/>
  <c r="BM401" i="1"/>
  <c r="Z401" i="1"/>
  <c r="Y401" i="1"/>
  <c r="P401" i="1"/>
  <c r="BO400" i="1"/>
  <c r="BM400" i="1"/>
  <c r="Y400" i="1"/>
  <c r="BP400" i="1" s="1"/>
  <c r="P400" i="1"/>
  <c r="BO399" i="1"/>
  <c r="BM399" i="1"/>
  <c r="Y399" i="1"/>
  <c r="P399" i="1"/>
  <c r="X397" i="1"/>
  <c r="X396" i="1"/>
  <c r="BP395" i="1"/>
  <c r="BO395" i="1"/>
  <c r="BN395" i="1"/>
  <c r="BM395" i="1"/>
  <c r="Z395" i="1"/>
  <c r="Y395" i="1"/>
  <c r="P395" i="1"/>
  <c r="BO394" i="1"/>
  <c r="BM394" i="1"/>
  <c r="Y394" i="1"/>
  <c r="BP394" i="1" s="1"/>
  <c r="P394" i="1"/>
  <c r="BO393" i="1"/>
  <c r="BM393" i="1"/>
  <c r="Y393" i="1"/>
  <c r="P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BP388" i="1" s="1"/>
  <c r="P388" i="1"/>
  <c r="BO387" i="1"/>
  <c r="BM387" i="1"/>
  <c r="Y387" i="1"/>
  <c r="P387" i="1"/>
  <c r="BO386" i="1"/>
  <c r="BM386" i="1"/>
  <c r="Y386" i="1"/>
  <c r="Y391" i="1" s="1"/>
  <c r="P386" i="1"/>
  <c r="X384" i="1"/>
  <c r="X383" i="1"/>
  <c r="BO382" i="1"/>
  <c r="BM382" i="1"/>
  <c r="Y382" i="1"/>
  <c r="BP382" i="1" s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BP376" i="1" s="1"/>
  <c r="P376" i="1"/>
  <c r="BO375" i="1"/>
  <c r="BM375" i="1"/>
  <c r="Y375" i="1"/>
  <c r="P375" i="1"/>
  <c r="BO374" i="1"/>
  <c r="BM374" i="1"/>
  <c r="Y374" i="1"/>
  <c r="BP374" i="1" s="1"/>
  <c r="P374" i="1"/>
  <c r="BP373" i="1"/>
  <c r="BO373" i="1"/>
  <c r="BN373" i="1"/>
  <c r="BM373" i="1"/>
  <c r="Z373" i="1"/>
  <c r="Y373" i="1"/>
  <c r="P373" i="1"/>
  <c r="X371" i="1"/>
  <c r="X370" i="1"/>
  <c r="BO369" i="1"/>
  <c r="BM369" i="1"/>
  <c r="Y369" i="1"/>
  <c r="P369" i="1"/>
  <c r="BO368" i="1"/>
  <c r="BM368" i="1"/>
  <c r="Y368" i="1"/>
  <c r="BP368" i="1" s="1"/>
  <c r="P368" i="1"/>
  <c r="BP367" i="1"/>
  <c r="BO367" i="1"/>
  <c r="BN367" i="1"/>
  <c r="BM367" i="1"/>
  <c r="Z367" i="1"/>
  <c r="Y367" i="1"/>
  <c r="P367" i="1"/>
  <c r="BO366" i="1"/>
  <c r="BM366" i="1"/>
  <c r="Y366" i="1"/>
  <c r="BP366" i="1" s="1"/>
  <c r="P366" i="1"/>
  <c r="BO365" i="1"/>
  <c r="BM365" i="1"/>
  <c r="Y365" i="1"/>
  <c r="P365" i="1"/>
  <c r="BO364" i="1"/>
  <c r="BM364" i="1"/>
  <c r="Y364" i="1"/>
  <c r="BP364" i="1" s="1"/>
  <c r="P364" i="1"/>
  <c r="BP363" i="1"/>
  <c r="BO363" i="1"/>
  <c r="BN363" i="1"/>
  <c r="BM363" i="1"/>
  <c r="Z363" i="1"/>
  <c r="Y363" i="1"/>
  <c r="P363" i="1"/>
  <c r="X361" i="1"/>
  <c r="X360" i="1"/>
  <c r="BO359" i="1"/>
  <c r="BM359" i="1"/>
  <c r="Y359" i="1"/>
  <c r="P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BP356" i="1" s="1"/>
  <c r="P356" i="1"/>
  <c r="BO355" i="1"/>
  <c r="BM355" i="1"/>
  <c r="Y355" i="1"/>
  <c r="P355" i="1"/>
  <c r="BO354" i="1"/>
  <c r="BM354" i="1"/>
  <c r="Y354" i="1"/>
  <c r="BP354" i="1" s="1"/>
  <c r="P354" i="1"/>
  <c r="BP353" i="1"/>
  <c r="BO353" i="1"/>
  <c r="BN353" i="1"/>
  <c r="BM353" i="1"/>
  <c r="Z353" i="1"/>
  <c r="Y353" i="1"/>
  <c r="P353" i="1"/>
  <c r="X350" i="1"/>
  <c r="X349" i="1"/>
  <c r="BO348" i="1"/>
  <c r="BM348" i="1"/>
  <c r="Y348" i="1"/>
  <c r="P348" i="1"/>
  <c r="BO347" i="1"/>
  <c r="BM347" i="1"/>
  <c r="Y347" i="1"/>
  <c r="BP347" i="1" s="1"/>
  <c r="P347" i="1"/>
  <c r="BP346" i="1"/>
  <c r="BO346" i="1"/>
  <c r="BN346" i="1"/>
  <c r="BM346" i="1"/>
  <c r="Z346" i="1"/>
  <c r="Y346" i="1"/>
  <c r="P346" i="1"/>
  <c r="X343" i="1"/>
  <c r="X342" i="1"/>
  <c r="BO341" i="1"/>
  <c r="BM341" i="1"/>
  <c r="Y341" i="1"/>
  <c r="P341" i="1"/>
  <c r="BO340" i="1"/>
  <c r="BM340" i="1"/>
  <c r="Y340" i="1"/>
  <c r="BP340" i="1" s="1"/>
  <c r="P340" i="1"/>
  <c r="BP339" i="1"/>
  <c r="BO339" i="1"/>
  <c r="BN339" i="1"/>
  <c r="BM339" i="1"/>
  <c r="Z339" i="1"/>
  <c r="Y339" i="1"/>
  <c r="P339" i="1"/>
  <c r="X337" i="1"/>
  <c r="X336" i="1"/>
  <c r="BO335" i="1"/>
  <c r="BN335" i="1"/>
  <c r="BM335" i="1"/>
  <c r="Z335" i="1"/>
  <c r="Y335" i="1"/>
  <c r="BP335" i="1" s="1"/>
  <c r="P335" i="1"/>
  <c r="BO334" i="1"/>
  <c r="BM334" i="1"/>
  <c r="Y334" i="1"/>
  <c r="BP334" i="1" s="1"/>
  <c r="P334" i="1"/>
  <c r="BO333" i="1"/>
  <c r="BM333" i="1"/>
  <c r="Y333" i="1"/>
  <c r="BP333" i="1" s="1"/>
  <c r="P333" i="1"/>
  <c r="BO332" i="1"/>
  <c r="BM332" i="1"/>
  <c r="Y332" i="1"/>
  <c r="Y337" i="1" s="1"/>
  <c r="P332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556" i="1" s="1"/>
  <c r="P315" i="1"/>
  <c r="X312" i="1"/>
  <c r="X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O297" i="1"/>
  <c r="BM297" i="1"/>
  <c r="Y297" i="1"/>
  <c r="BP297" i="1" s="1"/>
  <c r="P297" i="1"/>
  <c r="BO296" i="1"/>
  <c r="BM296" i="1"/>
  <c r="Y296" i="1"/>
  <c r="BP296" i="1" s="1"/>
  <c r="P296" i="1"/>
  <c r="BP295" i="1"/>
  <c r="BO295" i="1"/>
  <c r="BN295" i="1"/>
  <c r="BM295" i="1"/>
  <c r="Z295" i="1"/>
  <c r="Y295" i="1"/>
  <c r="P295" i="1"/>
  <c r="BO294" i="1"/>
  <c r="BM294" i="1"/>
  <c r="Y294" i="1"/>
  <c r="BP294" i="1" s="1"/>
  <c r="P294" i="1"/>
  <c r="BO293" i="1"/>
  <c r="BM293" i="1"/>
  <c r="Y293" i="1"/>
  <c r="BP293" i="1" s="1"/>
  <c r="P293" i="1"/>
  <c r="BO292" i="1"/>
  <c r="BM292" i="1"/>
  <c r="Y292" i="1"/>
  <c r="Y298" i="1" s="1"/>
  <c r="P292" i="1"/>
  <c r="BP291" i="1"/>
  <c r="BO291" i="1"/>
  <c r="BN291" i="1"/>
  <c r="BM291" i="1"/>
  <c r="Z291" i="1"/>
  <c r="Y291" i="1"/>
  <c r="P291" i="1"/>
  <c r="X288" i="1"/>
  <c r="X287" i="1"/>
  <c r="BO286" i="1"/>
  <c r="BM286" i="1"/>
  <c r="Y286" i="1"/>
  <c r="BP286" i="1" s="1"/>
  <c r="P286" i="1"/>
  <c r="BO285" i="1"/>
  <c r="BM285" i="1"/>
  <c r="Y285" i="1"/>
  <c r="Y287" i="1" s="1"/>
  <c r="P285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BP277" i="1" s="1"/>
  <c r="P277" i="1"/>
  <c r="BP276" i="1"/>
  <c r="BO276" i="1"/>
  <c r="BN276" i="1"/>
  <c r="BM276" i="1"/>
  <c r="Z276" i="1"/>
  <c r="Y276" i="1"/>
  <c r="P276" i="1"/>
  <c r="BO275" i="1"/>
  <c r="BM275" i="1"/>
  <c r="Y275" i="1"/>
  <c r="BP275" i="1" s="1"/>
  <c r="P275" i="1"/>
  <c r="BO274" i="1"/>
  <c r="BM274" i="1"/>
  <c r="Y274" i="1"/>
  <c r="BP274" i="1" s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O270" i="1"/>
  <c r="BM270" i="1"/>
  <c r="Y270" i="1"/>
  <c r="Y283" i="1" s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O264" i="1"/>
  <c r="BM264" i="1"/>
  <c r="Y264" i="1"/>
  <c r="BP264" i="1" s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BO261" i="1"/>
  <c r="BM261" i="1"/>
  <c r="Y261" i="1"/>
  <c r="BP261" i="1" s="1"/>
  <c r="P261" i="1"/>
  <c r="BO260" i="1"/>
  <c r="BM260" i="1"/>
  <c r="Y260" i="1"/>
  <c r="BP260" i="1" s="1"/>
  <c r="P260" i="1"/>
  <c r="BO259" i="1"/>
  <c r="BM259" i="1"/>
  <c r="Y259" i="1"/>
  <c r="Y267" i="1" s="1"/>
  <c r="P259" i="1"/>
  <c r="X257" i="1"/>
  <c r="X256" i="1"/>
  <c r="BO255" i="1"/>
  <c r="BM255" i="1"/>
  <c r="Y255" i="1"/>
  <c r="Y257" i="1" s="1"/>
  <c r="P255" i="1"/>
  <c r="BP254" i="1"/>
  <c r="BO254" i="1"/>
  <c r="BN254" i="1"/>
  <c r="BM254" i="1"/>
  <c r="Z254" i="1"/>
  <c r="Y254" i="1"/>
  <c r="P254" i="1"/>
  <c r="X252" i="1"/>
  <c r="Y251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Y242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Y236" i="1" s="1"/>
  <c r="P230" i="1"/>
  <c r="X228" i="1"/>
  <c r="X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Y228" i="1" s="1"/>
  <c r="P214" i="1"/>
  <c r="X212" i="1"/>
  <c r="X211" i="1"/>
  <c r="BO210" i="1"/>
  <c r="BM210" i="1"/>
  <c r="Y210" i="1"/>
  <c r="L556" i="1" s="1"/>
  <c r="P210" i="1"/>
  <c r="X207" i="1"/>
  <c r="X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X195" i="1"/>
  <c r="X194" i="1"/>
  <c r="BO193" i="1"/>
  <c r="BM193" i="1"/>
  <c r="Y193" i="1"/>
  <c r="Y195" i="1" s="1"/>
  <c r="P193" i="1"/>
  <c r="X191" i="1"/>
  <c r="X190" i="1"/>
  <c r="BO189" i="1"/>
  <c r="BM189" i="1"/>
  <c r="Y189" i="1"/>
  <c r="Y191" i="1" s="1"/>
  <c r="P189" i="1"/>
  <c r="X187" i="1"/>
  <c r="X186" i="1"/>
  <c r="BO185" i="1"/>
  <c r="BM185" i="1"/>
  <c r="Y185" i="1"/>
  <c r="P185" i="1"/>
  <c r="BO184" i="1"/>
  <c r="BM184" i="1"/>
  <c r="Y184" i="1"/>
  <c r="Y186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BO166" i="1"/>
  <c r="BM166" i="1"/>
  <c r="Y166" i="1"/>
  <c r="Y168" i="1" s="1"/>
  <c r="P166" i="1"/>
  <c r="X164" i="1"/>
  <c r="X163" i="1"/>
  <c r="BP162" i="1"/>
  <c r="BO162" i="1"/>
  <c r="BN162" i="1"/>
  <c r="BM162" i="1"/>
  <c r="Z162" i="1"/>
  <c r="Y162" i="1"/>
  <c r="P162" i="1"/>
  <c r="BO161" i="1"/>
  <c r="BM161" i="1"/>
  <c r="Y161" i="1"/>
  <c r="BP161" i="1" s="1"/>
  <c r="P161" i="1"/>
  <c r="BO160" i="1"/>
  <c r="BM160" i="1"/>
  <c r="Y160" i="1"/>
  <c r="BP160" i="1" s="1"/>
  <c r="P160" i="1"/>
  <c r="BO159" i="1"/>
  <c r="BM159" i="1"/>
  <c r="Y159" i="1"/>
  <c r="J556" i="1" s="1"/>
  <c r="P159" i="1"/>
  <c r="X156" i="1"/>
  <c r="X155" i="1"/>
  <c r="BO154" i="1"/>
  <c r="BM154" i="1"/>
  <c r="Y154" i="1"/>
  <c r="Y156" i="1" s="1"/>
  <c r="P154" i="1"/>
  <c r="X152" i="1"/>
  <c r="X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O147" i="1"/>
  <c r="BM147" i="1"/>
  <c r="Y147" i="1"/>
  <c r="BP147" i="1" s="1"/>
  <c r="P147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3" i="1" s="1"/>
  <c r="P141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8" i="1"/>
  <c r="X127" i="1"/>
  <c r="BO126" i="1"/>
  <c r="BM126" i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Y124" i="1" s="1"/>
  <c r="P120" i="1"/>
  <c r="BP119" i="1"/>
  <c r="BO119" i="1"/>
  <c r="BN119" i="1"/>
  <c r="BM119" i="1"/>
  <c r="Z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BO111" i="1"/>
  <c r="BM111" i="1"/>
  <c r="Y111" i="1"/>
  <c r="Y117" i="1" s="1"/>
  <c r="P111" i="1"/>
  <c r="X109" i="1"/>
  <c r="X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O101" i="1"/>
  <c r="BM101" i="1"/>
  <c r="Y101" i="1"/>
  <c r="BP101" i="1" s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BP78" i="1" s="1"/>
  <c r="P78" i="1"/>
  <c r="BP77" i="1"/>
  <c r="BO77" i="1"/>
  <c r="BN77" i="1"/>
  <c r="BM77" i="1"/>
  <c r="Z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E556" i="1" s="1"/>
  <c r="P54" i="1"/>
  <c r="X51" i="1"/>
  <c r="X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BP47" i="1" s="1"/>
  <c r="P47" i="1"/>
  <c r="BO46" i="1"/>
  <c r="BM46" i="1"/>
  <c r="Y46" i="1"/>
  <c r="BP46" i="1" s="1"/>
  <c r="P46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BP37" i="1" s="1"/>
  <c r="P37" i="1"/>
  <c r="BP36" i="1"/>
  <c r="BO36" i="1"/>
  <c r="BN36" i="1"/>
  <c r="BM36" i="1"/>
  <c r="Z36" i="1"/>
  <c r="Y36" i="1"/>
  <c r="P36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546" i="1" s="1"/>
  <c r="X23" i="1"/>
  <c r="BO22" i="1"/>
  <c r="X548" i="1" s="1"/>
  <c r="BM22" i="1"/>
  <c r="Y22" i="1"/>
  <c r="B556" i="1" s="1"/>
  <c r="P22" i="1"/>
  <c r="H10" i="1"/>
  <c r="A9" i="1"/>
  <c r="A10" i="1" s="1"/>
  <c r="D7" i="1"/>
  <c r="Q6" i="1"/>
  <c r="P2" i="1"/>
  <c r="BP341" i="1" l="1"/>
  <c r="BN341" i="1"/>
  <c r="Z341" i="1"/>
  <c r="BP355" i="1"/>
  <c r="BN355" i="1"/>
  <c r="Z355" i="1"/>
  <c r="BP365" i="1"/>
  <c r="BN365" i="1"/>
  <c r="Z365" i="1"/>
  <c r="BP375" i="1"/>
  <c r="BN375" i="1"/>
  <c r="Z375" i="1"/>
  <c r="Y397" i="1"/>
  <c r="BP393" i="1"/>
  <c r="BN393" i="1"/>
  <c r="Z393" i="1"/>
  <c r="BP406" i="1"/>
  <c r="BN406" i="1"/>
  <c r="Z406" i="1"/>
  <c r="BP425" i="1"/>
  <c r="BN425" i="1"/>
  <c r="Z425" i="1"/>
  <c r="Y441" i="1"/>
  <c r="BP437" i="1"/>
  <c r="BN437" i="1"/>
  <c r="Z437" i="1"/>
  <c r="Y456" i="1"/>
  <c r="Y455" i="1"/>
  <c r="BP454" i="1"/>
  <c r="BN454" i="1"/>
  <c r="Z454" i="1"/>
  <c r="Z455" i="1" s="1"/>
  <c r="Y462" i="1"/>
  <c r="BP458" i="1"/>
  <c r="BN458" i="1"/>
  <c r="Z458" i="1"/>
  <c r="BP470" i="1"/>
  <c r="BN470" i="1"/>
  <c r="Z470" i="1"/>
  <c r="BP494" i="1"/>
  <c r="BN494" i="1"/>
  <c r="Z494" i="1"/>
  <c r="BP510" i="1"/>
  <c r="BN510" i="1"/>
  <c r="Z510" i="1"/>
  <c r="X547" i="1"/>
  <c r="X549" i="1" s="1"/>
  <c r="X550" i="1"/>
  <c r="Z26" i="1"/>
  <c r="BN26" i="1"/>
  <c r="BP26" i="1"/>
  <c r="Z30" i="1"/>
  <c r="BN30" i="1"/>
  <c r="Z38" i="1"/>
  <c r="BN38" i="1"/>
  <c r="Z46" i="1"/>
  <c r="BN46" i="1"/>
  <c r="Z55" i="1"/>
  <c r="BN55" i="1"/>
  <c r="Z59" i="1"/>
  <c r="BN59" i="1"/>
  <c r="Z65" i="1"/>
  <c r="BN65" i="1"/>
  <c r="BP65" i="1"/>
  <c r="Z73" i="1"/>
  <c r="BN73" i="1"/>
  <c r="Y81" i="1"/>
  <c r="Z79" i="1"/>
  <c r="BN79" i="1"/>
  <c r="Y91" i="1"/>
  <c r="Z86" i="1"/>
  <c r="BN86" i="1"/>
  <c r="Z94" i="1"/>
  <c r="BN94" i="1"/>
  <c r="Z101" i="1"/>
  <c r="BN101" i="1"/>
  <c r="Y108" i="1"/>
  <c r="Z105" i="1"/>
  <c r="BN105" i="1"/>
  <c r="Z111" i="1"/>
  <c r="BN111" i="1"/>
  <c r="BP111" i="1"/>
  <c r="Y116" i="1"/>
  <c r="Z115" i="1"/>
  <c r="BN115" i="1"/>
  <c r="Y123" i="1"/>
  <c r="Z121" i="1"/>
  <c r="BN121" i="1"/>
  <c r="H556" i="1"/>
  <c r="Z136" i="1"/>
  <c r="BN136" i="1"/>
  <c r="BP136" i="1"/>
  <c r="Y139" i="1"/>
  <c r="Z147" i="1"/>
  <c r="BN147" i="1"/>
  <c r="Y152" i="1"/>
  <c r="Z160" i="1"/>
  <c r="BN160" i="1"/>
  <c r="Z166" i="1"/>
  <c r="BN166" i="1"/>
  <c r="BP166" i="1"/>
  <c r="Y169" i="1"/>
  <c r="Y181" i="1"/>
  <c r="Z174" i="1"/>
  <c r="BN174" i="1"/>
  <c r="Z178" i="1"/>
  <c r="BN178" i="1"/>
  <c r="Z184" i="1"/>
  <c r="BN184" i="1"/>
  <c r="BP184" i="1"/>
  <c r="Y187" i="1"/>
  <c r="K556" i="1"/>
  <c r="Z202" i="1"/>
  <c r="BN202" i="1"/>
  <c r="Z215" i="1"/>
  <c r="BN215" i="1"/>
  <c r="Z219" i="1"/>
  <c r="BN219" i="1"/>
  <c r="Z223" i="1"/>
  <c r="BN223" i="1"/>
  <c r="Z231" i="1"/>
  <c r="BN231" i="1"/>
  <c r="Z239" i="1"/>
  <c r="BN239" i="1"/>
  <c r="Y256" i="1"/>
  <c r="Z260" i="1"/>
  <c r="BN260" i="1"/>
  <c r="Z264" i="1"/>
  <c r="BN264" i="1"/>
  <c r="Z270" i="1"/>
  <c r="Z282" i="1" s="1"/>
  <c r="BN270" i="1"/>
  <c r="BP270" i="1"/>
  <c r="Z274" i="1"/>
  <c r="BN274" i="1"/>
  <c r="Z278" i="1"/>
  <c r="BN278" i="1"/>
  <c r="Z286" i="1"/>
  <c r="BN286" i="1"/>
  <c r="Z293" i="1"/>
  <c r="BN293" i="1"/>
  <c r="Z297" i="1"/>
  <c r="BN297" i="1"/>
  <c r="Z315" i="1"/>
  <c r="BN315" i="1"/>
  <c r="BP315" i="1"/>
  <c r="Z319" i="1"/>
  <c r="BN319" i="1"/>
  <c r="Z333" i="1"/>
  <c r="BN333" i="1"/>
  <c r="BP348" i="1"/>
  <c r="BN348" i="1"/>
  <c r="Z348" i="1"/>
  <c r="BP359" i="1"/>
  <c r="BN359" i="1"/>
  <c r="Z359" i="1"/>
  <c r="BP369" i="1"/>
  <c r="BN369" i="1"/>
  <c r="Z369" i="1"/>
  <c r="BP387" i="1"/>
  <c r="BN387" i="1"/>
  <c r="Z387" i="1"/>
  <c r="Y403" i="1"/>
  <c r="BP399" i="1"/>
  <c r="BN399" i="1"/>
  <c r="Z399" i="1"/>
  <c r="W556" i="1"/>
  <c r="BP421" i="1"/>
  <c r="BN421" i="1"/>
  <c r="Z421" i="1"/>
  <c r="Y435" i="1"/>
  <c r="BP431" i="1"/>
  <c r="BN431" i="1"/>
  <c r="Z431" i="1"/>
  <c r="Y445" i="1"/>
  <c r="BP443" i="1"/>
  <c r="BN443" i="1"/>
  <c r="Z443" i="1"/>
  <c r="BP466" i="1"/>
  <c r="BN466" i="1"/>
  <c r="Z466" i="1"/>
  <c r="BP486" i="1"/>
  <c r="BN486" i="1"/>
  <c r="Z486" i="1"/>
  <c r="BP498" i="1"/>
  <c r="BN498" i="1"/>
  <c r="Z498" i="1"/>
  <c r="BP514" i="1"/>
  <c r="BN514" i="1"/>
  <c r="Z514" i="1"/>
  <c r="Y343" i="1"/>
  <c r="T556" i="1"/>
  <c r="Y371" i="1"/>
  <c r="Y377" i="1"/>
  <c r="Y383" i="1"/>
  <c r="Y415" i="1"/>
  <c r="X556" i="1"/>
  <c r="AA556" i="1"/>
  <c r="F9" i="1"/>
  <c r="J9" i="1"/>
  <c r="F10" i="1"/>
  <c r="Z22" i="1"/>
  <c r="Z23" i="1" s="1"/>
  <c r="BN22" i="1"/>
  <c r="BP22" i="1"/>
  <c r="Y23" i="1"/>
  <c r="Y31" i="1"/>
  <c r="Y41" i="1"/>
  <c r="Y51" i="1"/>
  <c r="Y62" i="1"/>
  <c r="Y70" i="1"/>
  <c r="Y74" i="1"/>
  <c r="Y80" i="1"/>
  <c r="BP87" i="1"/>
  <c r="BN87" i="1"/>
  <c r="BP89" i="1"/>
  <c r="BN89" i="1"/>
  <c r="Z89" i="1"/>
  <c r="Y98" i="1"/>
  <c r="BP93" i="1"/>
  <c r="BN93" i="1"/>
  <c r="Z93" i="1"/>
  <c r="Y97" i="1"/>
  <c r="H9" i="1"/>
  <c r="Y24" i="1"/>
  <c r="Z27" i="1"/>
  <c r="BN27" i="1"/>
  <c r="Z29" i="1"/>
  <c r="BN29" i="1"/>
  <c r="C556" i="1"/>
  <c r="Z37" i="1"/>
  <c r="BN37" i="1"/>
  <c r="Z39" i="1"/>
  <c r="BN39" i="1"/>
  <c r="Y42" i="1"/>
  <c r="D556" i="1"/>
  <c r="Z47" i="1"/>
  <c r="BN47" i="1"/>
  <c r="Z49" i="1"/>
  <c r="BN49" i="1"/>
  <c r="Y50" i="1"/>
  <c r="Z54" i="1"/>
  <c r="Z62" i="1" s="1"/>
  <c r="BN54" i="1"/>
  <c r="BP54" i="1"/>
  <c r="Z56" i="1"/>
  <c r="BN56" i="1"/>
  <c r="Z58" i="1"/>
  <c r="BN58" i="1"/>
  <c r="Z60" i="1"/>
  <c r="BN60" i="1"/>
  <c r="Y63" i="1"/>
  <c r="Z66" i="1"/>
  <c r="BN66" i="1"/>
  <c r="Z68" i="1"/>
  <c r="BN68" i="1"/>
  <c r="Z72" i="1"/>
  <c r="Z74" i="1" s="1"/>
  <c r="BN72" i="1"/>
  <c r="BP72" i="1"/>
  <c r="Z78" i="1"/>
  <c r="BN78" i="1"/>
  <c r="F556" i="1"/>
  <c r="Y90" i="1"/>
  <c r="Z85" i="1"/>
  <c r="BN85" i="1"/>
  <c r="Z87" i="1"/>
  <c r="BP95" i="1"/>
  <c r="BN95" i="1"/>
  <c r="Z95" i="1"/>
  <c r="G556" i="1"/>
  <c r="Z102" i="1"/>
  <c r="Z108" i="1" s="1"/>
  <c r="BN102" i="1"/>
  <c r="BP102" i="1"/>
  <c r="Z104" i="1"/>
  <c r="BN104" i="1"/>
  <c r="Z106" i="1"/>
  <c r="BN106" i="1"/>
  <c r="Y109" i="1"/>
  <c r="Z112" i="1"/>
  <c r="Z116" i="1" s="1"/>
  <c r="BN112" i="1"/>
  <c r="BP112" i="1"/>
  <c r="Z114" i="1"/>
  <c r="BN114" i="1"/>
  <c r="Z120" i="1"/>
  <c r="BN120" i="1"/>
  <c r="BP120" i="1"/>
  <c r="Z122" i="1"/>
  <c r="BN122" i="1"/>
  <c r="Z126" i="1"/>
  <c r="Z127" i="1" s="1"/>
  <c r="BN126" i="1"/>
  <c r="BP126" i="1"/>
  <c r="Y127" i="1"/>
  <c r="Z131" i="1"/>
  <c r="Z133" i="1" s="1"/>
  <c r="BN131" i="1"/>
  <c r="BP131" i="1"/>
  <c r="Y134" i="1"/>
  <c r="Z137" i="1"/>
  <c r="Z138" i="1" s="1"/>
  <c r="BN137" i="1"/>
  <c r="BP137" i="1"/>
  <c r="Z141" i="1"/>
  <c r="Z143" i="1" s="1"/>
  <c r="BN141" i="1"/>
  <c r="BP141" i="1"/>
  <c r="Y144" i="1"/>
  <c r="I556" i="1"/>
  <c r="Z148" i="1"/>
  <c r="Z151" i="1" s="1"/>
  <c r="BN148" i="1"/>
  <c r="BP148" i="1"/>
  <c r="Z150" i="1"/>
  <c r="BN150" i="1"/>
  <c r="Y151" i="1"/>
  <c r="Z154" i="1"/>
  <c r="Z155" i="1" s="1"/>
  <c r="BN154" i="1"/>
  <c r="BP154" i="1"/>
  <c r="Y155" i="1"/>
  <c r="Z159" i="1"/>
  <c r="BN159" i="1"/>
  <c r="BP159" i="1"/>
  <c r="Z161" i="1"/>
  <c r="BN161" i="1"/>
  <c r="Y164" i="1"/>
  <c r="Z167" i="1"/>
  <c r="Z168" i="1" s="1"/>
  <c r="BN167" i="1"/>
  <c r="BP167" i="1"/>
  <c r="Z171" i="1"/>
  <c r="BN171" i="1"/>
  <c r="BP171" i="1"/>
  <c r="Z173" i="1"/>
  <c r="BN173" i="1"/>
  <c r="Z175" i="1"/>
  <c r="BN175" i="1"/>
  <c r="Z177" i="1"/>
  <c r="BN177" i="1"/>
  <c r="Z179" i="1"/>
  <c r="BN179" i="1"/>
  <c r="Y182" i="1"/>
  <c r="Z185" i="1"/>
  <c r="BN185" i="1"/>
  <c r="BP185" i="1"/>
  <c r="Z189" i="1"/>
  <c r="Z190" i="1" s="1"/>
  <c r="BN189" i="1"/>
  <c r="BP189" i="1"/>
  <c r="Y190" i="1"/>
  <c r="Z193" i="1"/>
  <c r="Z194" i="1" s="1"/>
  <c r="BN193" i="1"/>
  <c r="BP193" i="1"/>
  <c r="Y194" i="1"/>
  <c r="Z199" i="1"/>
  <c r="BN199" i="1"/>
  <c r="BP199" i="1"/>
  <c r="Z201" i="1"/>
  <c r="BN201" i="1"/>
  <c r="Z203" i="1"/>
  <c r="BN203" i="1"/>
  <c r="Z205" i="1"/>
  <c r="BN205" i="1"/>
  <c r="Y206" i="1"/>
  <c r="Z210" i="1"/>
  <c r="Z211" i="1" s="1"/>
  <c r="BN210" i="1"/>
  <c r="BP210" i="1"/>
  <c r="Y211" i="1"/>
  <c r="Z214" i="1"/>
  <c r="BN214" i="1"/>
  <c r="BP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Y227" i="1"/>
  <c r="Z230" i="1"/>
  <c r="BN230" i="1"/>
  <c r="BP230" i="1"/>
  <c r="Z232" i="1"/>
  <c r="BN232" i="1"/>
  <c r="Z234" i="1"/>
  <c r="BN234" i="1"/>
  <c r="Y235" i="1"/>
  <c r="Z238" i="1"/>
  <c r="BN238" i="1"/>
  <c r="BP240" i="1"/>
  <c r="BN240" i="1"/>
  <c r="Z240" i="1"/>
  <c r="Y245" i="1"/>
  <c r="BP244" i="1"/>
  <c r="BN244" i="1"/>
  <c r="Z244" i="1"/>
  <c r="Z245" i="1" s="1"/>
  <c r="Y246" i="1"/>
  <c r="M556" i="1"/>
  <c r="Y252" i="1"/>
  <c r="BP249" i="1"/>
  <c r="BN249" i="1"/>
  <c r="Z249" i="1"/>
  <c r="Z251" i="1" s="1"/>
  <c r="Y133" i="1"/>
  <c r="Y163" i="1"/>
  <c r="Y207" i="1"/>
  <c r="Y212" i="1"/>
  <c r="Y241" i="1"/>
  <c r="BP238" i="1"/>
  <c r="Z255" i="1"/>
  <c r="Z256" i="1" s="1"/>
  <c r="BN255" i="1"/>
  <c r="BP255" i="1"/>
  <c r="Z259" i="1"/>
  <c r="BN259" i="1"/>
  <c r="BP259" i="1"/>
  <c r="Z261" i="1"/>
  <c r="BN261" i="1"/>
  <c r="Z263" i="1"/>
  <c r="BN263" i="1"/>
  <c r="Z265" i="1"/>
  <c r="BN265" i="1"/>
  <c r="Y268" i="1"/>
  <c r="Z271" i="1"/>
  <c r="BN271" i="1"/>
  <c r="Z273" i="1"/>
  <c r="BN273" i="1"/>
  <c r="Z275" i="1"/>
  <c r="BN275" i="1"/>
  <c r="Z277" i="1"/>
  <c r="BN277" i="1"/>
  <c r="Z279" i="1"/>
  <c r="BN279" i="1"/>
  <c r="Z281" i="1"/>
  <c r="BN281" i="1"/>
  <c r="Y282" i="1"/>
  <c r="Z285" i="1"/>
  <c r="Z287" i="1" s="1"/>
  <c r="BN285" i="1"/>
  <c r="BP285" i="1"/>
  <c r="Y288" i="1"/>
  <c r="O556" i="1"/>
  <c r="Z292" i="1"/>
  <c r="BN292" i="1"/>
  <c r="BP292" i="1"/>
  <c r="Z294" i="1"/>
  <c r="BN294" i="1"/>
  <c r="Z296" i="1"/>
  <c r="BN296" i="1"/>
  <c r="Y299" i="1"/>
  <c r="Y312" i="1"/>
  <c r="Z310" i="1"/>
  <c r="Z311" i="1" s="1"/>
  <c r="BN310" i="1"/>
  <c r="Y311" i="1"/>
  <c r="BP316" i="1"/>
  <c r="BN316" i="1"/>
  <c r="Z316" i="1"/>
  <c r="BP320" i="1"/>
  <c r="BN320" i="1"/>
  <c r="Z320" i="1"/>
  <c r="Y322" i="1"/>
  <c r="Q556" i="1"/>
  <c r="Y328" i="1"/>
  <c r="BP325" i="1"/>
  <c r="BN325" i="1"/>
  <c r="Z325" i="1"/>
  <c r="Z328" i="1" s="1"/>
  <c r="Y329" i="1"/>
  <c r="BP318" i="1"/>
  <c r="BN318" i="1"/>
  <c r="Z318" i="1"/>
  <c r="BP327" i="1"/>
  <c r="BN327" i="1"/>
  <c r="Z327" i="1"/>
  <c r="Y336" i="1"/>
  <c r="Y342" i="1"/>
  <c r="Y349" i="1"/>
  <c r="Y360" i="1"/>
  <c r="Y370" i="1"/>
  <c r="Y378" i="1"/>
  <c r="Y384" i="1"/>
  <c r="Y390" i="1"/>
  <c r="Y396" i="1"/>
  <c r="Y402" i="1"/>
  <c r="Y409" i="1"/>
  <c r="Y416" i="1"/>
  <c r="Y428" i="1"/>
  <c r="Y434" i="1"/>
  <c r="Y440" i="1"/>
  <c r="Y446" i="1"/>
  <c r="Y451" i="1"/>
  <c r="Y461" i="1"/>
  <c r="Z487" i="1"/>
  <c r="BP485" i="1"/>
  <c r="BN485" i="1"/>
  <c r="Z485" i="1"/>
  <c r="BP495" i="1"/>
  <c r="BN495" i="1"/>
  <c r="Z495" i="1"/>
  <c r="BP499" i="1"/>
  <c r="BN499" i="1"/>
  <c r="Z499" i="1"/>
  <c r="Y501" i="1"/>
  <c r="Y506" i="1"/>
  <c r="BP503" i="1"/>
  <c r="BN503" i="1"/>
  <c r="Z503" i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R556" i="1"/>
  <c r="V556" i="1"/>
  <c r="Z556" i="1"/>
  <c r="Y321" i="1"/>
  <c r="Z332" i="1"/>
  <c r="BN332" i="1"/>
  <c r="BP332" i="1"/>
  <c r="Z334" i="1"/>
  <c r="BN334" i="1"/>
  <c r="Z340" i="1"/>
  <c r="Z342" i="1" s="1"/>
  <c r="BN340" i="1"/>
  <c r="S556" i="1"/>
  <c r="Z347" i="1"/>
  <c r="BN347" i="1"/>
  <c r="Y350" i="1"/>
  <c r="Z354" i="1"/>
  <c r="BN354" i="1"/>
  <c r="Z356" i="1"/>
  <c r="BN356" i="1"/>
  <c r="Z358" i="1"/>
  <c r="BN358" i="1"/>
  <c r="Y361" i="1"/>
  <c r="Z364" i="1"/>
  <c r="BN364" i="1"/>
  <c r="Z366" i="1"/>
  <c r="BN366" i="1"/>
  <c r="Z368" i="1"/>
  <c r="BN368" i="1"/>
  <c r="Z374" i="1"/>
  <c r="BN374" i="1"/>
  <c r="Z376" i="1"/>
  <c r="BN376" i="1"/>
  <c r="Z380" i="1"/>
  <c r="BN380" i="1"/>
  <c r="BP380" i="1"/>
  <c r="Z382" i="1"/>
  <c r="BN382" i="1"/>
  <c r="Z386" i="1"/>
  <c r="Z390" i="1" s="1"/>
  <c r="BN386" i="1"/>
  <c r="BP386" i="1"/>
  <c r="Z388" i="1"/>
  <c r="BN388" i="1"/>
  <c r="Z394" i="1"/>
  <c r="BN394" i="1"/>
  <c r="Z400" i="1"/>
  <c r="Z402" i="1" s="1"/>
  <c r="BN400" i="1"/>
  <c r="U556" i="1"/>
  <c r="Z407" i="1"/>
  <c r="Z408" i="1" s="1"/>
  <c r="BN407" i="1"/>
  <c r="Y408" i="1"/>
  <c r="Z412" i="1"/>
  <c r="BN412" i="1"/>
  <c r="BP412" i="1"/>
  <c r="Z414" i="1"/>
  <c r="BN414" i="1"/>
  <c r="Z420" i="1"/>
  <c r="Z428" i="1" s="1"/>
  <c r="BN420" i="1"/>
  <c r="BP420" i="1"/>
  <c r="Z422" i="1"/>
  <c r="BN422" i="1"/>
  <c r="Z424" i="1"/>
  <c r="BN424" i="1"/>
  <c r="Z426" i="1"/>
  <c r="BN426" i="1"/>
  <c r="Y429" i="1"/>
  <c r="Z432" i="1"/>
  <c r="Z434" i="1" s="1"/>
  <c r="BN432" i="1"/>
  <c r="Z438" i="1"/>
  <c r="Z440" i="1" s="1"/>
  <c r="BN438" i="1"/>
  <c r="Z444" i="1"/>
  <c r="Z445" i="1" s="1"/>
  <c r="BN444" i="1"/>
  <c r="Z449" i="1"/>
  <c r="Z451" i="1" s="1"/>
  <c r="BN449" i="1"/>
  <c r="BP449" i="1"/>
  <c r="Y452" i="1"/>
  <c r="Z459" i="1"/>
  <c r="Z461" i="1" s="1"/>
  <c r="BN459" i="1"/>
  <c r="Y556" i="1"/>
  <c r="Y473" i="1"/>
  <c r="Z467" i="1"/>
  <c r="BN467" i="1"/>
  <c r="Z469" i="1"/>
  <c r="BN469" i="1"/>
  <c r="Z471" i="1"/>
  <c r="BN471" i="1"/>
  <c r="Y472" i="1"/>
  <c r="Y488" i="1"/>
  <c r="Y487" i="1"/>
  <c r="BP493" i="1"/>
  <c r="BN493" i="1"/>
  <c r="Z493" i="1"/>
  <c r="BP497" i="1"/>
  <c r="BN497" i="1"/>
  <c r="Z497" i="1"/>
  <c r="BP505" i="1"/>
  <c r="BN505" i="1"/>
  <c r="Z505" i="1"/>
  <c r="Y507" i="1"/>
  <c r="Y516" i="1"/>
  <c r="BP509" i="1"/>
  <c r="BN509" i="1"/>
  <c r="Z509" i="1"/>
  <c r="Z516" i="1" s="1"/>
  <c r="BP513" i="1"/>
  <c r="BN513" i="1"/>
  <c r="Z513" i="1"/>
  <c r="AB556" i="1"/>
  <c r="Y500" i="1"/>
  <c r="Y545" i="1"/>
  <c r="Z472" i="1" l="1"/>
  <c r="Z360" i="1"/>
  <c r="Z69" i="1"/>
  <c r="Z31" i="1"/>
  <c r="Z396" i="1"/>
  <c r="Z377" i="1"/>
  <c r="Z370" i="1"/>
  <c r="Z349" i="1"/>
  <c r="Z321" i="1"/>
  <c r="Z298" i="1"/>
  <c r="Z186" i="1"/>
  <c r="Z181" i="1"/>
  <c r="Z123" i="1"/>
  <c r="Z90" i="1"/>
  <c r="Z80" i="1"/>
  <c r="Z50" i="1"/>
  <c r="Z41" i="1"/>
  <c r="Z500" i="1"/>
  <c r="Z415" i="1"/>
  <c r="Z383" i="1"/>
  <c r="Z336" i="1"/>
  <c r="Z267" i="1"/>
  <c r="Z241" i="1"/>
  <c r="Z235" i="1"/>
  <c r="Z227" i="1"/>
  <c r="Z206" i="1"/>
  <c r="Z163" i="1"/>
  <c r="Y546" i="1"/>
  <c r="Y548" i="1"/>
  <c r="Z506" i="1"/>
  <c r="Z97" i="1"/>
  <c r="Y550" i="1"/>
  <c r="Y547" i="1"/>
  <c r="Y549" i="1" s="1"/>
  <c r="Z551" i="1" l="1"/>
</calcChain>
</file>

<file path=xl/sharedStrings.xml><?xml version="1.0" encoding="utf-8"?>
<sst xmlns="http://schemas.openxmlformats.org/spreadsheetml/2006/main" count="2462" uniqueCount="893">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</sst>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6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0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695" t="s">
        <v>0</v>
      </c>
      <c r="E1" s="651"/>
      <c r="F1" s="651"/>
      <c r="G1" s="12" t="s">
        <v>1</v>
      </c>
      <c r="H1" s="695" t="s">
        <v>2</v>
      </c>
      <c r="I1" s="651"/>
      <c r="J1" s="651"/>
      <c r="K1" s="651"/>
      <c r="L1" s="651"/>
      <c r="M1" s="651"/>
      <c r="N1" s="651"/>
      <c r="O1" s="651"/>
      <c r="P1" s="651"/>
      <c r="Q1" s="651"/>
      <c r="R1" s="650" t="s">
        <v>3</v>
      </c>
      <c r="S1" s="651"/>
      <c r="T1" s="65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3"/>
      <c r="R2" s="633"/>
      <c r="S2" s="633"/>
      <c r="T2" s="633"/>
      <c r="U2" s="633"/>
      <c r="V2" s="633"/>
      <c r="W2" s="633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3"/>
      <c r="Q3" s="633"/>
      <c r="R3" s="633"/>
      <c r="S3" s="633"/>
      <c r="T3" s="633"/>
      <c r="U3" s="633"/>
      <c r="V3" s="633"/>
      <c r="W3" s="633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5" t="s">
        <v>8</v>
      </c>
      <c r="B5" s="675"/>
      <c r="C5" s="676"/>
      <c r="D5" s="701"/>
      <c r="E5" s="702"/>
      <c r="F5" s="932" t="s">
        <v>9</v>
      </c>
      <c r="G5" s="676"/>
      <c r="H5" s="701"/>
      <c r="I5" s="871"/>
      <c r="J5" s="871"/>
      <c r="K5" s="871"/>
      <c r="L5" s="871"/>
      <c r="M5" s="702"/>
      <c r="N5" s="58"/>
      <c r="P5" s="24" t="s">
        <v>10</v>
      </c>
      <c r="Q5" s="946">
        <v>46305</v>
      </c>
      <c r="R5" s="742"/>
      <c r="T5" s="792" t="s">
        <v>11</v>
      </c>
      <c r="U5" s="793"/>
      <c r="V5" s="794" t="s">
        <v>12</v>
      </c>
      <c r="W5" s="742"/>
      <c r="AB5" s="51"/>
      <c r="AC5" s="51"/>
      <c r="AD5" s="51"/>
      <c r="AE5" s="51"/>
    </row>
    <row r="6" spans="1:32" s="611" customFormat="1" ht="24" customHeight="1" x14ac:dyDescent="0.2">
      <c r="A6" s="745" t="s">
        <v>13</v>
      </c>
      <c r="B6" s="675"/>
      <c r="C6" s="676"/>
      <c r="D6" s="873"/>
      <c r="E6" s="874"/>
      <c r="F6" s="874"/>
      <c r="G6" s="874"/>
      <c r="H6" s="874"/>
      <c r="I6" s="874"/>
      <c r="J6" s="874"/>
      <c r="K6" s="874"/>
      <c r="L6" s="874"/>
      <c r="M6" s="742"/>
      <c r="N6" s="59"/>
      <c r="P6" s="24" t="s">
        <v>14</v>
      </c>
      <c r="Q6" s="959" t="str">
        <f>IF(Q5=0," ",CHOOSE(WEEKDAY(Q5,2),"Понедельник","Вторник","Среда","Четверг","Пятница","Суббота","Воскресенье"))</f>
        <v>Суббота</v>
      </c>
      <c r="R6" s="631"/>
      <c r="T6" s="800" t="s">
        <v>15</v>
      </c>
      <c r="U6" s="793"/>
      <c r="V6" s="856" t="s">
        <v>16</v>
      </c>
      <c r="W6" s="666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78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60"/>
      <c r="P7" s="24"/>
      <c r="Q7" s="42"/>
      <c r="R7" s="42"/>
      <c r="T7" s="633"/>
      <c r="U7" s="793"/>
      <c r="V7" s="857"/>
      <c r="W7" s="858"/>
      <c r="AB7" s="51"/>
      <c r="AC7" s="51"/>
      <c r="AD7" s="51"/>
      <c r="AE7" s="51"/>
    </row>
    <row r="8" spans="1:32" s="611" customFormat="1" ht="25.5" customHeight="1" x14ac:dyDescent="0.2">
      <c r="A8" s="973" t="s">
        <v>17</v>
      </c>
      <c r="B8" s="638"/>
      <c r="C8" s="639"/>
      <c r="D8" s="690"/>
      <c r="E8" s="691"/>
      <c r="F8" s="691"/>
      <c r="G8" s="691"/>
      <c r="H8" s="691"/>
      <c r="I8" s="691"/>
      <c r="J8" s="691"/>
      <c r="K8" s="691"/>
      <c r="L8" s="691"/>
      <c r="M8" s="692"/>
      <c r="N8" s="61"/>
      <c r="P8" s="24" t="s">
        <v>18</v>
      </c>
      <c r="Q8" s="752">
        <v>0.41666666666666669</v>
      </c>
      <c r="R8" s="680"/>
      <c r="T8" s="633"/>
      <c r="U8" s="793"/>
      <c r="V8" s="857"/>
      <c r="W8" s="858"/>
      <c r="AB8" s="51"/>
      <c r="AC8" s="51"/>
      <c r="AD8" s="51"/>
      <c r="AE8" s="51"/>
    </row>
    <row r="9" spans="1:32" s="611" customFormat="1" ht="39.950000000000003" customHeight="1" x14ac:dyDescent="0.2">
      <c r="A9" s="7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3"/>
      <c r="C9" s="633"/>
      <c r="D9" s="765"/>
      <c r="E9" s="642"/>
      <c r="F9" s="7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3"/>
      <c r="H9" s="641" t="str">
        <f>IF(AND($A$9="Тип доверенности/получателя при получении в адресе перегруза:",$D$9="Разовая доверенность"),"Введите ФИО","")</f>
        <v/>
      </c>
      <c r="I9" s="642"/>
      <c r="J9" s="6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2"/>
      <c r="L9" s="642"/>
      <c r="M9" s="642"/>
      <c r="N9" s="609"/>
      <c r="P9" s="26" t="s">
        <v>19</v>
      </c>
      <c r="Q9" s="738"/>
      <c r="R9" s="739"/>
      <c r="T9" s="633"/>
      <c r="U9" s="793"/>
      <c r="V9" s="859"/>
      <c r="W9" s="860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7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3"/>
      <c r="C10" s="633"/>
      <c r="D10" s="765"/>
      <c r="E10" s="642"/>
      <c r="F10" s="7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3"/>
      <c r="H10" s="849" t="str">
        <f>IFERROR(VLOOKUP($D$10,Proxy,2,FALSE),"")</f>
        <v/>
      </c>
      <c r="I10" s="633"/>
      <c r="J10" s="633"/>
      <c r="K10" s="633"/>
      <c r="L10" s="633"/>
      <c r="M10" s="633"/>
      <c r="N10" s="610"/>
      <c r="P10" s="26" t="s">
        <v>20</v>
      </c>
      <c r="Q10" s="801"/>
      <c r="R10" s="802"/>
      <c r="U10" s="24" t="s">
        <v>21</v>
      </c>
      <c r="V10" s="665" t="s">
        <v>22</v>
      </c>
      <c r="W10" s="666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41"/>
      <c r="R11" s="742"/>
      <c r="U11" s="24" t="s">
        <v>25</v>
      </c>
      <c r="V11" s="897" t="s">
        <v>26</v>
      </c>
      <c r="W11" s="739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87" t="s">
        <v>27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28</v>
      </c>
      <c r="Q12" s="752"/>
      <c r="R12" s="680"/>
      <c r="S12" s="23"/>
      <c r="U12" s="24"/>
      <c r="V12" s="651"/>
      <c r="W12" s="633"/>
      <c r="AB12" s="51"/>
      <c r="AC12" s="51"/>
      <c r="AD12" s="51"/>
      <c r="AE12" s="51"/>
    </row>
    <row r="13" spans="1:32" s="611" customFormat="1" ht="23.25" customHeight="1" x14ac:dyDescent="0.2">
      <c r="A13" s="787" t="s">
        <v>29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30</v>
      </c>
      <c r="Q13" s="897"/>
      <c r="R13" s="73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87" t="s">
        <v>31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21" t="s">
        <v>32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77" t="s">
        <v>33</v>
      </c>
      <c r="Q15" s="651"/>
      <c r="R15" s="651"/>
      <c r="S15" s="651"/>
      <c r="T15" s="65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8"/>
      <c r="Q16" s="778"/>
      <c r="R16" s="778"/>
      <c r="S16" s="778"/>
      <c r="T16" s="77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2" t="s">
        <v>34</v>
      </c>
      <c r="B17" s="662" t="s">
        <v>35</v>
      </c>
      <c r="C17" s="759" t="s">
        <v>36</v>
      </c>
      <c r="D17" s="662" t="s">
        <v>37</v>
      </c>
      <c r="E17" s="723"/>
      <c r="F17" s="662" t="s">
        <v>38</v>
      </c>
      <c r="G17" s="662" t="s">
        <v>39</v>
      </c>
      <c r="H17" s="662" t="s">
        <v>40</v>
      </c>
      <c r="I17" s="662" t="s">
        <v>41</v>
      </c>
      <c r="J17" s="662" t="s">
        <v>42</v>
      </c>
      <c r="K17" s="662" t="s">
        <v>43</v>
      </c>
      <c r="L17" s="662" t="s">
        <v>44</v>
      </c>
      <c r="M17" s="662" t="s">
        <v>45</v>
      </c>
      <c r="N17" s="662" t="s">
        <v>46</v>
      </c>
      <c r="O17" s="662" t="s">
        <v>47</v>
      </c>
      <c r="P17" s="662" t="s">
        <v>48</v>
      </c>
      <c r="Q17" s="722"/>
      <c r="R17" s="722"/>
      <c r="S17" s="722"/>
      <c r="T17" s="723"/>
      <c r="U17" s="972" t="s">
        <v>49</v>
      </c>
      <c r="V17" s="676"/>
      <c r="W17" s="662" t="s">
        <v>50</v>
      </c>
      <c r="X17" s="662" t="s">
        <v>51</v>
      </c>
      <c r="Y17" s="970" t="s">
        <v>52</v>
      </c>
      <c r="Z17" s="869" t="s">
        <v>53</v>
      </c>
      <c r="AA17" s="847" t="s">
        <v>54</v>
      </c>
      <c r="AB17" s="847" t="s">
        <v>55</v>
      </c>
      <c r="AC17" s="847" t="s">
        <v>56</v>
      </c>
      <c r="AD17" s="847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63"/>
      <c r="B18" s="663"/>
      <c r="C18" s="663"/>
      <c r="D18" s="724"/>
      <c r="E18" s="726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724"/>
      <c r="Q18" s="725"/>
      <c r="R18" s="725"/>
      <c r="S18" s="725"/>
      <c r="T18" s="726"/>
      <c r="U18" s="67" t="s">
        <v>59</v>
      </c>
      <c r="V18" s="67" t="s">
        <v>60</v>
      </c>
      <c r="W18" s="663"/>
      <c r="X18" s="663"/>
      <c r="Y18" s="971"/>
      <c r="Z18" s="870"/>
      <c r="AA18" s="848"/>
      <c r="AB18" s="848"/>
      <c r="AC18" s="848"/>
      <c r="AD18" s="929"/>
      <c r="AE18" s="930"/>
      <c r="AF18" s="931"/>
      <c r="AG18" s="66"/>
      <c r="BD18" s="65"/>
    </row>
    <row r="19" spans="1:68" ht="27.75" hidden="1" customHeight="1" x14ac:dyDescent="0.2">
      <c r="A19" s="788" t="s">
        <v>61</v>
      </c>
      <c r="B19" s="789"/>
      <c r="C19" s="789"/>
      <c r="D19" s="789"/>
      <c r="E19" s="789"/>
      <c r="F19" s="789"/>
      <c r="G19" s="789"/>
      <c r="H19" s="789"/>
      <c r="I19" s="789"/>
      <c r="J19" s="789"/>
      <c r="K19" s="789"/>
      <c r="L19" s="789"/>
      <c r="M19" s="789"/>
      <c r="N19" s="789"/>
      <c r="O19" s="789"/>
      <c r="P19" s="789"/>
      <c r="Q19" s="789"/>
      <c r="R19" s="789"/>
      <c r="S19" s="789"/>
      <c r="T19" s="789"/>
      <c r="U19" s="789"/>
      <c r="V19" s="789"/>
      <c r="W19" s="789"/>
      <c r="X19" s="789"/>
      <c r="Y19" s="789"/>
      <c r="Z19" s="789"/>
      <c r="AA19" s="48"/>
      <c r="AB19" s="48"/>
      <c r="AC19" s="48"/>
    </row>
    <row r="20" spans="1:68" ht="16.5" hidden="1" customHeight="1" x14ac:dyDescent="0.25">
      <c r="A20" s="640" t="s">
        <v>61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12"/>
      <c r="AB20" s="612"/>
      <c r="AC20" s="612"/>
    </row>
    <row r="21" spans="1:68" ht="14.25" hidden="1" customHeight="1" x14ac:dyDescent="0.25">
      <c r="A21" s="636" t="s">
        <v>62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0">
        <v>4680115889071</v>
      </c>
      <c r="E22" s="631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2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7" t="s">
        <v>69</v>
      </c>
      <c r="Q23" s="638"/>
      <c r="R23" s="638"/>
      <c r="S23" s="638"/>
      <c r="T23" s="638"/>
      <c r="U23" s="638"/>
      <c r="V23" s="639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7" t="s">
        <v>69</v>
      </c>
      <c r="Q24" s="638"/>
      <c r="R24" s="638"/>
      <c r="S24" s="638"/>
      <c r="T24" s="638"/>
      <c r="U24" s="638"/>
      <c r="V24" s="639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6" t="s">
        <v>71</v>
      </c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0">
        <v>4680115885912</v>
      </c>
      <c r="E26" s="631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1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2"/>
      <c r="R26" s="622"/>
      <c r="S26" s="622"/>
      <c r="T26" s="623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0">
        <v>4607091388237</v>
      </c>
      <c r="E27" s="631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2"/>
      <c r="R27" s="622"/>
      <c r="S27" s="622"/>
      <c r="T27" s="623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30">
        <v>4680115887350</v>
      </c>
      <c r="E28" s="631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5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2"/>
      <c r="R28" s="622"/>
      <c r="S28" s="622"/>
      <c r="T28" s="623"/>
      <c r="U28" s="34"/>
      <c r="V28" s="34"/>
      <c r="W28" s="35" t="s">
        <v>67</v>
      </c>
      <c r="X28" s="617">
        <v>27</v>
      </c>
      <c r="Y28" s="618">
        <f>IFERROR(IF(X28="",0,CEILING((X28/$H28),1)*$H28),"")</f>
        <v>27</v>
      </c>
      <c r="Z28" s="36">
        <f>IFERROR(IF(Y28=0,"",ROUNDUP(Y28/H28,0)*0.00651),"")</f>
        <v>9.7650000000000001E-2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47.699999999999996</v>
      </c>
      <c r="BN28" s="64">
        <f>IFERROR(Y28*I28/H28,"0")</f>
        <v>47.699999999999996</v>
      </c>
      <c r="BO28" s="64">
        <f>IFERROR(1/J28*(X28/H28),"0")</f>
        <v>8.241758241758243E-2</v>
      </c>
      <c r="BP28" s="64">
        <f>IFERROR(1/J28*(Y28/H28),"0")</f>
        <v>8.241758241758243E-2</v>
      </c>
    </row>
    <row r="29" spans="1:68" ht="27" customHeight="1" x14ac:dyDescent="0.25">
      <c r="A29" s="54" t="s">
        <v>83</v>
      </c>
      <c r="B29" s="54" t="s">
        <v>84</v>
      </c>
      <c r="C29" s="31">
        <v>4301051863</v>
      </c>
      <c r="D29" s="630">
        <v>4680115885905</v>
      </c>
      <c r="E29" s="631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7">
        <v>13</v>
      </c>
      <c r="Y29" s="618">
        <f>IFERROR(IF(X29="",0,CEILING((X29/$H29),1)*$H29),"")</f>
        <v>14.4</v>
      </c>
      <c r="Z29" s="36">
        <f>IFERROR(IF(Y29=0,"",ROUNDUP(Y29/H29,0)*0.00651),"")</f>
        <v>5.2080000000000001E-2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22.966666666666669</v>
      </c>
      <c r="BN29" s="64">
        <f>IFERROR(Y29*I29/H29,"0")</f>
        <v>25.44</v>
      </c>
      <c r="BO29" s="64">
        <f>IFERROR(1/J29*(X29/H29),"0")</f>
        <v>3.9682539682539687E-2</v>
      </c>
      <c r="BP29" s="64">
        <f>IFERROR(1/J29*(Y29/H29),"0")</f>
        <v>4.3956043956043959E-2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0">
        <v>4680115887619</v>
      </c>
      <c r="E30" s="631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32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7" t="s">
        <v>69</v>
      </c>
      <c r="Q31" s="638"/>
      <c r="R31" s="638"/>
      <c r="S31" s="638"/>
      <c r="T31" s="638"/>
      <c r="U31" s="638"/>
      <c r="V31" s="639"/>
      <c r="W31" s="37" t="s">
        <v>70</v>
      </c>
      <c r="X31" s="619">
        <f>IFERROR(X26/H26,"0")+IFERROR(X27/H27,"0")+IFERROR(X28/H28,"0")+IFERROR(X29/H29,"0")+IFERROR(X30/H30,"0")</f>
        <v>22.222222222222221</v>
      </c>
      <c r="Y31" s="619">
        <f>IFERROR(Y26/H26,"0")+IFERROR(Y27/H27,"0")+IFERROR(Y28/H28,"0")+IFERROR(Y29/H29,"0")+IFERROR(Y30/H30,"0")</f>
        <v>23</v>
      </c>
      <c r="Z31" s="619">
        <f>IFERROR(IF(Z26="",0,Z26),"0")+IFERROR(IF(Z27="",0,Z27),"0")+IFERROR(IF(Z28="",0,Z28),"0")+IFERROR(IF(Z29="",0,Z29),"0")+IFERROR(IF(Z30="",0,Z30),"0")</f>
        <v>0.14973</v>
      </c>
      <c r="AA31" s="620"/>
      <c r="AB31" s="620"/>
      <c r="AC31" s="620"/>
    </row>
    <row r="32" spans="1:68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7" t="s">
        <v>69</v>
      </c>
      <c r="Q32" s="638"/>
      <c r="R32" s="638"/>
      <c r="S32" s="638"/>
      <c r="T32" s="638"/>
      <c r="U32" s="638"/>
      <c r="V32" s="639"/>
      <c r="W32" s="37" t="s">
        <v>67</v>
      </c>
      <c r="X32" s="619">
        <f>IFERROR(SUM(X26:X30),"0")</f>
        <v>40</v>
      </c>
      <c r="Y32" s="619">
        <f>IFERROR(SUM(Y26:Y30),"0")</f>
        <v>41.4</v>
      </c>
      <c r="Z32" s="37"/>
      <c r="AA32" s="620"/>
      <c r="AB32" s="620"/>
      <c r="AC32" s="620"/>
    </row>
    <row r="33" spans="1:68" ht="27.75" hidden="1" customHeight="1" x14ac:dyDescent="0.2">
      <c r="A33" s="788" t="s">
        <v>89</v>
      </c>
      <c r="B33" s="789"/>
      <c r="C33" s="789"/>
      <c r="D33" s="789"/>
      <c r="E33" s="789"/>
      <c r="F33" s="789"/>
      <c r="G33" s="789"/>
      <c r="H33" s="789"/>
      <c r="I33" s="789"/>
      <c r="J33" s="789"/>
      <c r="K33" s="789"/>
      <c r="L33" s="789"/>
      <c r="M33" s="789"/>
      <c r="N33" s="789"/>
      <c r="O33" s="789"/>
      <c r="P33" s="789"/>
      <c r="Q33" s="789"/>
      <c r="R33" s="789"/>
      <c r="S33" s="789"/>
      <c r="T33" s="789"/>
      <c r="U33" s="789"/>
      <c r="V33" s="789"/>
      <c r="W33" s="789"/>
      <c r="X33" s="789"/>
      <c r="Y33" s="789"/>
      <c r="Z33" s="789"/>
      <c r="AA33" s="48"/>
      <c r="AB33" s="48"/>
      <c r="AC33" s="48"/>
    </row>
    <row r="34" spans="1:68" ht="16.5" hidden="1" customHeight="1" x14ac:dyDescent="0.25">
      <c r="A34" s="640" t="s">
        <v>90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12"/>
      <c r="AB34" s="612"/>
      <c r="AC34" s="612"/>
    </row>
    <row r="35" spans="1:68" ht="14.25" hidden="1" customHeight="1" x14ac:dyDescent="0.25">
      <c r="A35" s="636" t="s">
        <v>71</v>
      </c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30">
        <v>4680115889354</v>
      </c>
      <c r="E36" s="631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2"/>
      <c r="R36" s="622"/>
      <c r="S36" s="622"/>
      <c r="T36" s="623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30">
        <v>4680115888463</v>
      </c>
      <c r="E37" s="631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5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2"/>
      <c r="R37" s="622"/>
      <c r="S37" s="622"/>
      <c r="T37" s="623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30">
        <v>4680115889590</v>
      </c>
      <c r="E38" s="631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6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2"/>
      <c r="R38" s="622"/>
      <c r="S38" s="622"/>
      <c r="T38" s="623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30">
        <v>4680115888272</v>
      </c>
      <c r="E39" s="631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2"/>
      <c r="R39" s="622"/>
      <c r="S39" s="622"/>
      <c r="T39" s="623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30">
        <v>4680115888364</v>
      </c>
      <c r="E40" s="631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2"/>
      <c r="R40" s="622"/>
      <c r="S40" s="622"/>
      <c r="T40" s="623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2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7" t="s">
        <v>69</v>
      </c>
      <c r="Q41" s="638"/>
      <c r="R41" s="638"/>
      <c r="S41" s="638"/>
      <c r="T41" s="638"/>
      <c r="U41" s="638"/>
      <c r="V41" s="639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7" t="s">
        <v>69</v>
      </c>
      <c r="Q42" s="638"/>
      <c r="R42" s="638"/>
      <c r="S42" s="638"/>
      <c r="T42" s="638"/>
      <c r="U42" s="638"/>
      <c r="V42" s="639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88" t="s">
        <v>106</v>
      </c>
      <c r="B43" s="789"/>
      <c r="C43" s="789"/>
      <c r="D43" s="789"/>
      <c r="E43" s="789"/>
      <c r="F43" s="789"/>
      <c r="G43" s="789"/>
      <c r="H43" s="789"/>
      <c r="I43" s="789"/>
      <c r="J43" s="789"/>
      <c r="K43" s="789"/>
      <c r="L43" s="789"/>
      <c r="M43" s="789"/>
      <c r="N43" s="789"/>
      <c r="O43" s="789"/>
      <c r="P43" s="789"/>
      <c r="Q43" s="789"/>
      <c r="R43" s="789"/>
      <c r="S43" s="789"/>
      <c r="T43" s="789"/>
      <c r="U43" s="789"/>
      <c r="V43" s="789"/>
      <c r="W43" s="789"/>
      <c r="X43" s="789"/>
      <c r="Y43" s="789"/>
      <c r="Z43" s="789"/>
      <c r="AA43" s="48"/>
      <c r="AB43" s="48"/>
      <c r="AC43" s="48"/>
    </row>
    <row r="44" spans="1:68" ht="16.5" hidden="1" customHeight="1" x14ac:dyDescent="0.25">
      <c r="A44" s="640" t="s">
        <v>107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12"/>
      <c r="AB44" s="612"/>
      <c r="AC44" s="612"/>
    </row>
    <row r="45" spans="1:68" ht="14.25" hidden="1" customHeight="1" x14ac:dyDescent="0.25">
      <c r="A45" s="636" t="s">
        <v>108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13"/>
      <c r="AB45" s="613"/>
      <c r="AC45" s="613"/>
    </row>
    <row r="46" spans="1:68" ht="16.5" customHeight="1" x14ac:dyDescent="0.25">
      <c r="A46" s="54" t="s">
        <v>109</v>
      </c>
      <c r="B46" s="54" t="s">
        <v>110</v>
      </c>
      <c r="C46" s="31">
        <v>4301011380</v>
      </c>
      <c r="D46" s="630">
        <v>4607091385670</v>
      </c>
      <c r="E46" s="631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2"/>
      <c r="R46" s="622"/>
      <c r="S46" s="622"/>
      <c r="T46" s="623"/>
      <c r="U46" s="34"/>
      <c r="V46" s="34"/>
      <c r="W46" s="35" t="s">
        <v>67</v>
      </c>
      <c r="X46" s="617">
        <v>150</v>
      </c>
      <c r="Y46" s="618">
        <f>IFERROR(IF(X46="",0,CEILING((X46/$H46),1)*$H46),"")</f>
        <v>151.20000000000002</v>
      </c>
      <c r="Z46" s="36">
        <f>IFERROR(IF(Y46=0,"",ROUNDUP(Y46/H46,0)*0.01898),"")</f>
        <v>0.26572000000000001</v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155.69444444444446</v>
      </c>
      <c r="BN46" s="64">
        <f>IFERROR(Y46*I46/H46,"0")</f>
        <v>156.94</v>
      </c>
      <c r="BO46" s="64">
        <f>IFERROR(1/J46*(X46/H46),"0")</f>
        <v>0.21701388888888887</v>
      </c>
      <c r="BP46" s="64">
        <f>IFERROR(1/J46*(Y46/H46),"0")</f>
        <v>0.21875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30">
        <v>4680115887725</v>
      </c>
      <c r="E47" s="631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1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2"/>
      <c r="R47" s="622"/>
      <c r="S47" s="622"/>
      <c r="T47" s="623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customHeight="1" x14ac:dyDescent="0.25">
      <c r="A48" s="54" t="s">
        <v>118</v>
      </c>
      <c r="B48" s="54" t="s">
        <v>119</v>
      </c>
      <c r="C48" s="31">
        <v>4301011382</v>
      </c>
      <c r="D48" s="630">
        <v>4607091385687</v>
      </c>
      <c r="E48" s="631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2"/>
      <c r="R48" s="622"/>
      <c r="S48" s="622"/>
      <c r="T48" s="623"/>
      <c r="U48" s="34"/>
      <c r="V48" s="34"/>
      <c r="W48" s="35" t="s">
        <v>67</v>
      </c>
      <c r="X48" s="617">
        <v>14</v>
      </c>
      <c r="Y48" s="618">
        <f>IFERROR(IF(X48="",0,CEILING((X48/$H48),1)*$H48),"")</f>
        <v>16</v>
      </c>
      <c r="Z48" s="36">
        <f>IFERROR(IF(Y48=0,"",ROUNDUP(Y48/H48,0)*0.00902),"")</f>
        <v>3.6080000000000001E-2</v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14.665000000000001</v>
      </c>
      <c r="BN48" s="64">
        <f>IFERROR(Y48*I48/H48,"0")</f>
        <v>16.760000000000002</v>
      </c>
      <c r="BO48" s="64">
        <f>IFERROR(1/J48*(X48/H48),"0")</f>
        <v>2.6515151515151516E-2</v>
      </c>
      <c r="BP48" s="64">
        <f>IFERROR(1/J48*(Y48/H48),"0")</f>
        <v>3.0303030303030304E-2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4301011565</v>
      </c>
      <c r="D49" s="630">
        <v>4680115882539</v>
      </c>
      <c r="E49" s="631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9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2"/>
      <c r="R49" s="622"/>
      <c r="S49" s="622"/>
      <c r="T49" s="623"/>
      <c r="U49" s="34"/>
      <c r="V49" s="34"/>
      <c r="W49" s="35" t="s">
        <v>67</v>
      </c>
      <c r="X49" s="617">
        <v>0</v>
      </c>
      <c r="Y49" s="61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x14ac:dyDescent="0.2">
      <c r="A50" s="632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7" t="s">
        <v>69</v>
      </c>
      <c r="Q50" s="638"/>
      <c r="R50" s="638"/>
      <c r="S50" s="638"/>
      <c r="T50" s="638"/>
      <c r="U50" s="638"/>
      <c r="V50" s="639"/>
      <c r="W50" s="37" t="s">
        <v>70</v>
      </c>
      <c r="X50" s="619">
        <f>IFERROR(X46/H46,"0")+IFERROR(X47/H47,"0")+IFERROR(X48/H48,"0")+IFERROR(X49/H49,"0")</f>
        <v>17.388888888888886</v>
      </c>
      <c r="Y50" s="619">
        <f>IFERROR(Y46/H46,"0")+IFERROR(Y47/H47,"0")+IFERROR(Y48/H48,"0")+IFERROR(Y49/H49,"0")</f>
        <v>18</v>
      </c>
      <c r="Z50" s="619">
        <f>IFERROR(IF(Z46="",0,Z46),"0")+IFERROR(IF(Z47="",0,Z47),"0")+IFERROR(IF(Z48="",0,Z48),"0")+IFERROR(IF(Z49="",0,Z49),"0")</f>
        <v>0.30180000000000001</v>
      </c>
      <c r="AA50" s="620"/>
      <c r="AB50" s="620"/>
      <c r="AC50" s="620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7" t="s">
        <v>69</v>
      </c>
      <c r="Q51" s="638"/>
      <c r="R51" s="638"/>
      <c r="S51" s="638"/>
      <c r="T51" s="638"/>
      <c r="U51" s="638"/>
      <c r="V51" s="639"/>
      <c r="W51" s="37" t="s">
        <v>67</v>
      </c>
      <c r="X51" s="619">
        <f>IFERROR(SUM(X46:X49),"0")</f>
        <v>164</v>
      </c>
      <c r="Y51" s="619">
        <f>IFERROR(SUM(Y46:Y49),"0")</f>
        <v>167.20000000000002</v>
      </c>
      <c r="Z51" s="37"/>
      <c r="AA51" s="620"/>
      <c r="AB51" s="620"/>
      <c r="AC51" s="620"/>
    </row>
    <row r="52" spans="1:68" ht="16.5" hidden="1" customHeight="1" x14ac:dyDescent="0.25">
      <c r="A52" s="640" t="s">
        <v>123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612"/>
      <c r="AB52" s="612"/>
      <c r="AC52" s="612"/>
    </row>
    <row r="53" spans="1:68" ht="14.25" hidden="1" customHeight="1" x14ac:dyDescent="0.25">
      <c r="A53" s="636" t="s">
        <v>108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  <c r="X53" s="633"/>
      <c r="Y53" s="633"/>
      <c r="Z53" s="633"/>
      <c r="AA53" s="613"/>
      <c r="AB53" s="613"/>
      <c r="AC53" s="613"/>
    </row>
    <row r="54" spans="1:68" ht="27" customHeight="1" x14ac:dyDescent="0.25">
      <c r="A54" s="54" t="s">
        <v>124</v>
      </c>
      <c r="B54" s="54" t="s">
        <v>125</v>
      </c>
      <c r="C54" s="31">
        <v>4301012161</v>
      </c>
      <c r="D54" s="630">
        <v>4680115885882</v>
      </c>
      <c r="E54" s="631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7">
        <v>27</v>
      </c>
      <c r="Y54" s="618">
        <f t="shared" ref="Y54:Y61" si="0">IFERROR(IF(X54="",0,CEILING((X54/$H54),1)*$H54),"")</f>
        <v>33.599999999999994</v>
      </c>
      <c r="Z54" s="36">
        <f>IFERROR(IF(Y54=0,"",ROUNDUP(Y54/H54,0)*0.01898),"")</f>
        <v>5.6940000000000004E-2</v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27.988392857142856</v>
      </c>
      <c r="BN54" s="64">
        <f t="shared" ref="BN54:BN61" si="2">IFERROR(Y54*I54/H54,"0")</f>
        <v>34.829999999999991</v>
      </c>
      <c r="BO54" s="64">
        <f t="shared" ref="BO54:BO61" si="3">IFERROR(1/J54*(X54/H54),"0")</f>
        <v>3.7667410714285719E-2</v>
      </c>
      <c r="BP54" s="64">
        <f t="shared" ref="BP54:BP61" si="4">IFERROR(1/J54*(Y54/H54),"0")</f>
        <v>4.6874999999999993E-2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30">
        <v>4680115881426</v>
      </c>
      <c r="E55" s="631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2"/>
      <c r="R55" s="622"/>
      <c r="S55" s="622"/>
      <c r="T55" s="623"/>
      <c r="U55" s="34"/>
      <c r="V55" s="34"/>
      <c r="W55" s="35" t="s">
        <v>67</v>
      </c>
      <c r="X55" s="617">
        <v>150</v>
      </c>
      <c r="Y55" s="618">
        <f t="shared" si="0"/>
        <v>151.20000000000002</v>
      </c>
      <c r="Z55" s="36">
        <f>IFERROR(IF(Y55=0,"",ROUNDUP(Y55/H55,0)*0.01898),"")</f>
        <v>0.26572000000000001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155.69444444444446</v>
      </c>
      <c r="BN55" s="64">
        <f t="shared" si="2"/>
        <v>156.94</v>
      </c>
      <c r="BO55" s="64">
        <f t="shared" si="3"/>
        <v>0.21701388888888887</v>
      </c>
      <c r="BP55" s="64">
        <f t="shared" si="4"/>
        <v>0.21875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30">
        <v>4680115881426</v>
      </c>
      <c r="E56" s="631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6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2"/>
      <c r="R56" s="622"/>
      <c r="S56" s="622"/>
      <c r="T56" s="623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30">
        <v>4680115880283</v>
      </c>
      <c r="E57" s="631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2"/>
      <c r="R57" s="622"/>
      <c r="S57" s="622"/>
      <c r="T57" s="623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4301011806</v>
      </c>
      <c r="D58" s="630">
        <v>4680115881525</v>
      </c>
      <c r="E58" s="631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98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2"/>
      <c r="R58" s="622"/>
      <c r="S58" s="622"/>
      <c r="T58" s="623"/>
      <c r="U58" s="34"/>
      <c r="V58" s="34"/>
      <c r="W58" s="35" t="s">
        <v>67</v>
      </c>
      <c r="X58" s="617">
        <v>16</v>
      </c>
      <c r="Y58" s="618">
        <f t="shared" si="0"/>
        <v>16</v>
      </c>
      <c r="Z58" s="36">
        <f>IFERROR(IF(Y58=0,"",ROUNDUP(Y58/H58,0)*0.00902),"")</f>
        <v>3.6080000000000001E-2</v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16.760000000000002</v>
      </c>
      <c r="BN58" s="64">
        <f t="shared" si="2"/>
        <v>16.760000000000002</v>
      </c>
      <c r="BO58" s="64">
        <f t="shared" si="3"/>
        <v>3.0303030303030304E-2</v>
      </c>
      <c r="BP58" s="64">
        <f t="shared" si="4"/>
        <v>3.0303030303030304E-2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30">
        <v>4680115881525</v>
      </c>
      <c r="E59" s="631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30">
        <v>4680115885899</v>
      </c>
      <c r="E60" s="631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96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4301012158</v>
      </c>
      <c r="D61" s="630">
        <v>4680115881419</v>
      </c>
      <c r="E61" s="631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7">
        <v>100</v>
      </c>
      <c r="Y61" s="618">
        <f t="shared" si="0"/>
        <v>103.5</v>
      </c>
      <c r="Z61" s="36">
        <f>IFERROR(IF(Y61=0,"",ROUNDUP(Y61/H61,0)*0.00902),"")</f>
        <v>0.20746000000000001</v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104.22222222222223</v>
      </c>
      <c r="BN61" s="64">
        <f t="shared" si="2"/>
        <v>107.87</v>
      </c>
      <c r="BO61" s="64">
        <f t="shared" si="3"/>
        <v>0.16835016835016836</v>
      </c>
      <c r="BP61" s="64">
        <f t="shared" si="4"/>
        <v>0.17424242424242425</v>
      </c>
    </row>
    <row r="62" spans="1:68" x14ac:dyDescent="0.2">
      <c r="A62" s="632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7" t="s">
        <v>69</v>
      </c>
      <c r="Q62" s="638"/>
      <c r="R62" s="638"/>
      <c r="S62" s="638"/>
      <c r="T62" s="638"/>
      <c r="U62" s="638"/>
      <c r="V62" s="639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42.521825396825392</v>
      </c>
      <c r="Y62" s="619">
        <f>IFERROR(Y54/H54,"0")+IFERROR(Y55/H55,"0")+IFERROR(Y56/H56,"0")+IFERROR(Y57/H57,"0")+IFERROR(Y58/H58,"0")+IFERROR(Y59/H59,"0")+IFERROR(Y60/H60,"0")+IFERROR(Y61/H61,"0")</f>
        <v>44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0.56620000000000004</v>
      </c>
      <c r="AA62" s="620"/>
      <c r="AB62" s="620"/>
      <c r="AC62" s="620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7" t="s">
        <v>69</v>
      </c>
      <c r="Q63" s="638"/>
      <c r="R63" s="638"/>
      <c r="S63" s="638"/>
      <c r="T63" s="638"/>
      <c r="U63" s="638"/>
      <c r="V63" s="639"/>
      <c r="W63" s="37" t="s">
        <v>67</v>
      </c>
      <c r="X63" s="619">
        <f>IFERROR(SUM(X54:X61),"0")</f>
        <v>293</v>
      </c>
      <c r="Y63" s="619">
        <f>IFERROR(SUM(Y54:Y61),"0")</f>
        <v>304.3</v>
      </c>
      <c r="Z63" s="37"/>
      <c r="AA63" s="620"/>
      <c r="AB63" s="620"/>
      <c r="AC63" s="620"/>
    </row>
    <row r="64" spans="1:68" ht="14.25" hidden="1" customHeight="1" x14ac:dyDescent="0.25">
      <c r="A64" s="636" t="s">
        <v>143</v>
      </c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A64" s="613"/>
      <c r="AB64" s="613"/>
      <c r="AC64" s="613"/>
    </row>
    <row r="65" spans="1:68" ht="27" customHeight="1" x14ac:dyDescent="0.25">
      <c r="A65" s="54" t="s">
        <v>144</v>
      </c>
      <c r="B65" s="54" t="s">
        <v>145</v>
      </c>
      <c r="C65" s="31">
        <v>4301020390</v>
      </c>
      <c r="D65" s="630">
        <v>4680115881440</v>
      </c>
      <c r="E65" s="631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7">
        <v>150</v>
      </c>
      <c r="Y65" s="618">
        <f>IFERROR(IF(X65="",0,CEILING((X65/$H65),1)*$H65),"")</f>
        <v>151.20000000000002</v>
      </c>
      <c r="Z65" s="36">
        <f>IFERROR(IF(Y65=0,"",ROUNDUP(Y65/H65,0)*0.01898),"")</f>
        <v>0.26572000000000001</v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155.69444444444446</v>
      </c>
      <c r="BN65" s="64">
        <f>IFERROR(Y65*I65/H65,"0")</f>
        <v>156.94</v>
      </c>
      <c r="BO65" s="64">
        <f>IFERROR(1/J65*(X65/H65),"0")</f>
        <v>0.21701388888888887</v>
      </c>
      <c r="BP65" s="64">
        <f>IFERROR(1/J65*(Y65/H65),"0")</f>
        <v>0.21875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30">
        <v>4680115885950</v>
      </c>
      <c r="E66" s="631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6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30">
        <v>4680115887688</v>
      </c>
      <c r="E67" s="631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2"/>
      <c r="R67" s="622"/>
      <c r="S67" s="622"/>
      <c r="T67" s="623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30">
        <v>4680115881433</v>
      </c>
      <c r="E68" s="631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77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2"/>
      <c r="R68" s="622"/>
      <c r="S68" s="622"/>
      <c r="T68" s="623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32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7" t="s">
        <v>69</v>
      </c>
      <c r="Q69" s="638"/>
      <c r="R69" s="638"/>
      <c r="S69" s="638"/>
      <c r="T69" s="638"/>
      <c r="U69" s="638"/>
      <c r="V69" s="639"/>
      <c r="W69" s="37" t="s">
        <v>70</v>
      </c>
      <c r="X69" s="619">
        <f>IFERROR(X65/H65,"0")+IFERROR(X66/H66,"0")+IFERROR(X67/H67,"0")+IFERROR(X68/H68,"0")</f>
        <v>13.888888888888888</v>
      </c>
      <c r="Y69" s="619">
        <f>IFERROR(Y65/H65,"0")+IFERROR(Y66/H66,"0")+IFERROR(Y67/H67,"0")+IFERROR(Y68/H68,"0")</f>
        <v>14</v>
      </c>
      <c r="Z69" s="619">
        <f>IFERROR(IF(Z65="",0,Z65),"0")+IFERROR(IF(Z66="",0,Z66),"0")+IFERROR(IF(Z67="",0,Z67),"0")+IFERROR(IF(Z68="",0,Z68),"0")</f>
        <v>0.26572000000000001</v>
      </c>
      <c r="AA69" s="620"/>
      <c r="AB69" s="620"/>
      <c r="AC69" s="620"/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7" t="s">
        <v>69</v>
      </c>
      <c r="Q70" s="638"/>
      <c r="R70" s="638"/>
      <c r="S70" s="638"/>
      <c r="T70" s="638"/>
      <c r="U70" s="638"/>
      <c r="V70" s="639"/>
      <c r="W70" s="37" t="s">
        <v>67</v>
      </c>
      <c r="X70" s="619">
        <f>IFERROR(SUM(X65:X68),"0")</f>
        <v>150</v>
      </c>
      <c r="Y70" s="619">
        <f>IFERROR(SUM(Y65:Y68),"0")</f>
        <v>151.20000000000002</v>
      </c>
      <c r="Z70" s="37"/>
      <c r="AA70" s="620"/>
      <c r="AB70" s="620"/>
      <c r="AC70" s="620"/>
    </row>
    <row r="71" spans="1:68" ht="14.25" hidden="1" customHeight="1" x14ac:dyDescent="0.25">
      <c r="A71" s="636" t="s">
        <v>71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13"/>
      <c r="AB71" s="613"/>
      <c r="AC71" s="613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30">
        <v>4680115884311</v>
      </c>
      <c r="E72" s="631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30">
        <v>4680115884403</v>
      </c>
      <c r="E73" s="631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7" t="s">
        <v>69</v>
      </c>
      <c r="Q74" s="638"/>
      <c r="R74" s="638"/>
      <c r="S74" s="638"/>
      <c r="T74" s="638"/>
      <c r="U74" s="638"/>
      <c r="V74" s="639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7" t="s">
        <v>69</v>
      </c>
      <c r="Q75" s="638"/>
      <c r="R75" s="638"/>
      <c r="S75" s="638"/>
      <c r="T75" s="638"/>
      <c r="U75" s="638"/>
      <c r="V75" s="639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6" t="s">
        <v>161</v>
      </c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  <c r="X76" s="633"/>
      <c r="Y76" s="633"/>
      <c r="Z76" s="633"/>
      <c r="AA76" s="613"/>
      <c r="AB76" s="613"/>
      <c r="AC76" s="613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30">
        <v>4680115881532</v>
      </c>
      <c r="E77" s="631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7">
        <v>0</v>
      </c>
      <c r="Y77" s="618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30">
        <v>4680115881532</v>
      </c>
      <c r="E78" s="631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4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30">
        <v>4680115881464</v>
      </c>
      <c r="E79" s="631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2"/>
      <c r="R79" s="622"/>
      <c r="S79" s="622"/>
      <c r="T79" s="623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32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7" t="s">
        <v>69</v>
      </c>
      <c r="Q80" s="638"/>
      <c r="R80" s="638"/>
      <c r="S80" s="638"/>
      <c r="T80" s="638"/>
      <c r="U80" s="638"/>
      <c r="V80" s="639"/>
      <c r="W80" s="37" t="s">
        <v>70</v>
      </c>
      <c r="X80" s="619">
        <f>IFERROR(X77/H77,"0")+IFERROR(X78/H78,"0")+IFERROR(X79/H79,"0")</f>
        <v>0</v>
      </c>
      <c r="Y80" s="619">
        <f>IFERROR(Y77/H77,"0")+IFERROR(Y78/H78,"0")+IFERROR(Y79/H79,"0")</f>
        <v>0</v>
      </c>
      <c r="Z80" s="619">
        <f>IFERROR(IF(Z77="",0,Z77),"0")+IFERROR(IF(Z78="",0,Z78),"0")+IFERROR(IF(Z79="",0,Z79),"0")</f>
        <v>0</v>
      </c>
      <c r="AA80" s="620"/>
      <c r="AB80" s="620"/>
      <c r="AC80" s="620"/>
    </row>
    <row r="81" spans="1:68" hidden="1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7" t="s">
        <v>69</v>
      </c>
      <c r="Q81" s="638"/>
      <c r="R81" s="638"/>
      <c r="S81" s="638"/>
      <c r="T81" s="638"/>
      <c r="U81" s="638"/>
      <c r="V81" s="639"/>
      <c r="W81" s="37" t="s">
        <v>67</v>
      </c>
      <c r="X81" s="619">
        <f>IFERROR(SUM(X77:X79),"0")</f>
        <v>0</v>
      </c>
      <c r="Y81" s="619">
        <f>IFERROR(SUM(Y77:Y79),"0")</f>
        <v>0</v>
      </c>
      <c r="Z81" s="37"/>
      <c r="AA81" s="620"/>
      <c r="AB81" s="620"/>
      <c r="AC81" s="620"/>
    </row>
    <row r="82" spans="1:68" ht="16.5" hidden="1" customHeight="1" x14ac:dyDescent="0.25">
      <c r="A82" s="640" t="s">
        <v>169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12"/>
      <c r="AB82" s="612"/>
      <c r="AC82" s="612"/>
    </row>
    <row r="83" spans="1:68" ht="14.25" hidden="1" customHeight="1" x14ac:dyDescent="0.25">
      <c r="A83" s="636" t="s">
        <v>108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13"/>
      <c r="AB83" s="613"/>
      <c r="AC83" s="613"/>
    </row>
    <row r="84" spans="1:68" ht="27" customHeight="1" x14ac:dyDescent="0.25">
      <c r="A84" s="54" t="s">
        <v>170</v>
      </c>
      <c r="B84" s="54" t="s">
        <v>171</v>
      </c>
      <c r="C84" s="31">
        <v>4301011468</v>
      </c>
      <c r="D84" s="630">
        <v>4680115881327</v>
      </c>
      <c r="E84" s="631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2"/>
      <c r="R84" s="622"/>
      <c r="S84" s="622"/>
      <c r="T84" s="623"/>
      <c r="U84" s="34"/>
      <c r="V84" s="34"/>
      <c r="W84" s="35" t="s">
        <v>67</v>
      </c>
      <c r="X84" s="617">
        <v>63</v>
      </c>
      <c r="Y84" s="618">
        <f t="shared" ref="Y84:Y89" si="5">IFERROR(IF(X84="",0,CEILING((X84/$H84),1)*$H84),"")</f>
        <v>64.800000000000011</v>
      </c>
      <c r="Z84" s="36">
        <f>IFERROR(IF(Y84=0,"",ROUNDUP(Y84/H84,0)*0.01898),"")</f>
        <v>0.11388000000000001</v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65.391666666666666</v>
      </c>
      <c r="BN84" s="64">
        <f t="shared" ref="BN84:BN89" si="7">IFERROR(Y84*I84/H84,"0")</f>
        <v>67.260000000000005</v>
      </c>
      <c r="BO84" s="64">
        <f t="shared" ref="BO84:BO89" si="8">IFERROR(1/J84*(X84/H84),"0")</f>
        <v>9.1145833333333329E-2</v>
      </c>
      <c r="BP84" s="64">
        <f t="shared" ref="BP84:BP89" si="9">IFERROR(1/J84*(Y84/H84),"0")</f>
        <v>9.3750000000000014E-2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30">
        <v>4680115881327</v>
      </c>
      <c r="E85" s="631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2"/>
      <c r="R85" s="622"/>
      <c r="S85" s="622"/>
      <c r="T85" s="623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30">
        <v>4680115887732</v>
      </c>
      <c r="E86" s="631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4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2"/>
      <c r="R86" s="622"/>
      <c r="S86" s="622"/>
      <c r="T86" s="623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30">
        <v>4680115881518</v>
      </c>
      <c r="E87" s="631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8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2"/>
      <c r="R87" s="622"/>
      <c r="S87" s="622"/>
      <c r="T87" s="623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30">
        <v>4680115881518</v>
      </c>
      <c r="E88" s="631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81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2"/>
      <c r="R88" s="622"/>
      <c r="S88" s="622"/>
      <c r="T88" s="623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30">
        <v>4680115881303</v>
      </c>
      <c r="E89" s="631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81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7">
        <v>151</v>
      </c>
      <c r="Y89" s="618">
        <f t="shared" si="5"/>
        <v>153</v>
      </c>
      <c r="Z89" s="36">
        <f>IFERROR(IF(Y89=0,"",ROUNDUP(Y89/H89,0)*0.00902),"")</f>
        <v>0.30668000000000001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157.37555555555556</v>
      </c>
      <c r="BN89" s="64">
        <f t="shared" si="7"/>
        <v>159.46</v>
      </c>
      <c r="BO89" s="64">
        <f t="shared" si="8"/>
        <v>0.25420875420875422</v>
      </c>
      <c r="BP89" s="64">
        <f t="shared" si="9"/>
        <v>0.25757575757575757</v>
      </c>
    </row>
    <row r="90" spans="1:68" x14ac:dyDescent="0.2">
      <c r="A90" s="632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7" t="s">
        <v>69</v>
      </c>
      <c r="Q90" s="638"/>
      <c r="R90" s="638"/>
      <c r="S90" s="638"/>
      <c r="T90" s="638"/>
      <c r="U90" s="638"/>
      <c r="V90" s="639"/>
      <c r="W90" s="37" t="s">
        <v>70</v>
      </c>
      <c r="X90" s="619">
        <f>IFERROR(X84/H84,"0")+IFERROR(X85/H85,"0")+IFERROR(X86/H86,"0")+IFERROR(X87/H87,"0")+IFERROR(X88/H88,"0")+IFERROR(X89/H89,"0")</f>
        <v>39.388888888888893</v>
      </c>
      <c r="Y90" s="619">
        <f>IFERROR(Y84/H84,"0")+IFERROR(Y85/H85,"0")+IFERROR(Y86/H86,"0")+IFERROR(Y87/H87,"0")+IFERROR(Y88/H88,"0")+IFERROR(Y89/H89,"0")</f>
        <v>40</v>
      </c>
      <c r="Z90" s="619">
        <f>IFERROR(IF(Z84="",0,Z84),"0")+IFERROR(IF(Z85="",0,Z85),"0")+IFERROR(IF(Z86="",0,Z86),"0")+IFERROR(IF(Z87="",0,Z87),"0")+IFERROR(IF(Z88="",0,Z88),"0")+IFERROR(IF(Z89="",0,Z89),"0")</f>
        <v>0.42056000000000004</v>
      </c>
      <c r="AA90" s="620"/>
      <c r="AB90" s="620"/>
      <c r="AC90" s="620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7" t="s">
        <v>69</v>
      </c>
      <c r="Q91" s="638"/>
      <c r="R91" s="638"/>
      <c r="S91" s="638"/>
      <c r="T91" s="638"/>
      <c r="U91" s="638"/>
      <c r="V91" s="639"/>
      <c r="W91" s="37" t="s">
        <v>67</v>
      </c>
      <c r="X91" s="619">
        <f>IFERROR(SUM(X84:X89),"0")</f>
        <v>214</v>
      </c>
      <c r="Y91" s="619">
        <f>IFERROR(SUM(Y84:Y89),"0")</f>
        <v>217.8</v>
      </c>
      <c r="Z91" s="37"/>
      <c r="AA91" s="620"/>
      <c r="AB91" s="620"/>
      <c r="AC91" s="620"/>
    </row>
    <row r="92" spans="1:68" ht="14.25" hidden="1" customHeight="1" x14ac:dyDescent="0.25">
      <c r="A92" s="636" t="s">
        <v>71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13"/>
      <c r="AB92" s="613"/>
      <c r="AC92" s="613"/>
    </row>
    <row r="93" spans="1:68" ht="27" customHeight="1" x14ac:dyDescent="0.25">
      <c r="A93" s="54" t="s">
        <v>182</v>
      </c>
      <c r="B93" s="54" t="s">
        <v>183</v>
      </c>
      <c r="C93" s="31">
        <v>4301052101</v>
      </c>
      <c r="D93" s="630">
        <v>4607091386967</v>
      </c>
      <c r="E93" s="631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8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2"/>
      <c r="R93" s="622"/>
      <c r="S93" s="622"/>
      <c r="T93" s="623"/>
      <c r="U93" s="34"/>
      <c r="V93" s="34"/>
      <c r="W93" s="35" t="s">
        <v>67</v>
      </c>
      <c r="X93" s="617">
        <v>241</v>
      </c>
      <c r="Y93" s="618">
        <f>IFERROR(IF(X93="",0,CEILING((X93/$H93),1)*$H93),"")</f>
        <v>243</v>
      </c>
      <c r="Z93" s="36">
        <f>IFERROR(IF(Y93=0,"",ROUNDUP(Y93/H93,0)*0.01898),"")</f>
        <v>0.56940000000000002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255.69802469135803</v>
      </c>
      <c r="BN93" s="64">
        <f>IFERROR(Y93*I93/H93,"0")</f>
        <v>257.82</v>
      </c>
      <c r="BO93" s="64">
        <f>IFERROR(1/J93*(X93/H93),"0")</f>
        <v>0.46489197530864201</v>
      </c>
      <c r="BP93" s="64">
        <f>IFERROR(1/J93*(Y93/H93),"0")</f>
        <v>0.46875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30">
        <v>4680115884953</v>
      </c>
      <c r="E94" s="631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8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188</v>
      </c>
      <c r="B95" s="54" t="s">
        <v>189</v>
      </c>
      <c r="C95" s="31">
        <v>4301052094</v>
      </c>
      <c r="D95" s="630">
        <v>4607091385731</v>
      </c>
      <c r="E95" s="631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7">
        <v>62</v>
      </c>
      <c r="Y95" s="618">
        <f>IFERROR(IF(X95="",0,CEILING((X95/$H95),1)*$H95),"")</f>
        <v>62.1</v>
      </c>
      <c r="Z95" s="36">
        <f>IFERROR(IF(Y95=0,"",ROUNDUP(Y95/H95,0)*0.00651),"")</f>
        <v>0.14973</v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67.786666666666662</v>
      </c>
      <c r="BN95" s="64">
        <f>IFERROR(Y95*I95/H95,"0")</f>
        <v>67.896000000000001</v>
      </c>
      <c r="BO95" s="64">
        <f>IFERROR(1/J95*(X95/H95),"0")</f>
        <v>0.12617012617012618</v>
      </c>
      <c r="BP95" s="64">
        <f>IFERROR(1/J95*(Y95/H95),"0")</f>
        <v>0.1263736263736264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30">
        <v>4680115880894</v>
      </c>
      <c r="E96" s="631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2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7" t="s">
        <v>69</v>
      </c>
      <c r="Q97" s="638"/>
      <c r="R97" s="638"/>
      <c r="S97" s="638"/>
      <c r="T97" s="638"/>
      <c r="U97" s="638"/>
      <c r="V97" s="639"/>
      <c r="W97" s="37" t="s">
        <v>70</v>
      </c>
      <c r="X97" s="619">
        <f>IFERROR(X93/H93,"0")+IFERROR(X94/H94,"0")+IFERROR(X95/H95,"0")+IFERROR(X96/H96,"0")</f>
        <v>52.716049382716051</v>
      </c>
      <c r="Y97" s="619">
        <f>IFERROR(Y93/H93,"0")+IFERROR(Y94/H94,"0")+IFERROR(Y95/H95,"0")+IFERROR(Y96/H96,"0")</f>
        <v>53</v>
      </c>
      <c r="Z97" s="619">
        <f>IFERROR(IF(Z93="",0,Z93),"0")+IFERROR(IF(Z94="",0,Z94),"0")+IFERROR(IF(Z95="",0,Z95),"0")+IFERROR(IF(Z96="",0,Z96),"0")</f>
        <v>0.71913000000000005</v>
      </c>
      <c r="AA97" s="620"/>
      <c r="AB97" s="620"/>
      <c r="AC97" s="620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7" t="s">
        <v>69</v>
      </c>
      <c r="Q98" s="638"/>
      <c r="R98" s="638"/>
      <c r="S98" s="638"/>
      <c r="T98" s="638"/>
      <c r="U98" s="638"/>
      <c r="V98" s="639"/>
      <c r="W98" s="37" t="s">
        <v>67</v>
      </c>
      <c r="X98" s="619">
        <f>IFERROR(SUM(X93:X96),"0")</f>
        <v>303</v>
      </c>
      <c r="Y98" s="619">
        <f>IFERROR(SUM(Y93:Y96),"0")</f>
        <v>305.10000000000002</v>
      </c>
      <c r="Z98" s="37"/>
      <c r="AA98" s="620"/>
      <c r="AB98" s="620"/>
      <c r="AC98" s="620"/>
    </row>
    <row r="99" spans="1:68" ht="16.5" hidden="1" customHeight="1" x14ac:dyDescent="0.25">
      <c r="A99" s="640" t="s">
        <v>193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12"/>
      <c r="AB99" s="612"/>
      <c r="AC99" s="612"/>
    </row>
    <row r="100" spans="1:68" ht="14.25" hidden="1" customHeight="1" x14ac:dyDescent="0.25">
      <c r="A100" s="636" t="s">
        <v>108</v>
      </c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  <c r="AA100" s="613"/>
      <c r="AB100" s="613"/>
      <c r="AC100" s="613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30">
        <v>4680115882133</v>
      </c>
      <c r="E101" s="631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4"/>
      <c r="V101" s="34"/>
      <c r="W101" s="35" t="s">
        <v>67</v>
      </c>
      <c r="X101" s="617">
        <v>47</v>
      </c>
      <c r="Y101" s="618">
        <f t="shared" ref="Y101:Y107" si="10">IFERROR(IF(X101="",0,CEILING((X101/$H101),1)*$H101),"")</f>
        <v>54</v>
      </c>
      <c r="Z101" s="36">
        <f>IFERROR(IF(Y101=0,"",ROUNDUP(Y101/H101,0)*0.01898),"")</f>
        <v>9.4899999999999998E-2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48.784259259259258</v>
      </c>
      <c r="BN101" s="64">
        <f t="shared" ref="BN101:BN107" si="12">IFERROR(Y101*I101/H101,"0")</f>
        <v>56.05</v>
      </c>
      <c r="BO101" s="64">
        <f t="shared" ref="BO101:BO107" si="13">IFERROR(1/J101*(X101/H101),"0")</f>
        <v>6.7997685185185175E-2</v>
      </c>
      <c r="BP101" s="64">
        <f t="shared" ref="BP101:BP107" si="14">IFERROR(1/J101*(Y101/H101),"0")</f>
        <v>7.8125E-2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30">
        <v>4680115882133</v>
      </c>
      <c r="E102" s="631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2"/>
      <c r="R102" s="622"/>
      <c r="S102" s="622"/>
      <c r="T102" s="623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30">
        <v>4680115887718</v>
      </c>
      <c r="E103" s="631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30">
        <v>4680115880269</v>
      </c>
      <c r="E104" s="631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6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204</v>
      </c>
      <c r="B105" s="54" t="s">
        <v>205</v>
      </c>
      <c r="C105" s="31">
        <v>4301012254</v>
      </c>
      <c r="D105" s="630">
        <v>4680115880429</v>
      </c>
      <c r="E105" s="631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7">
        <v>161</v>
      </c>
      <c r="Y105" s="618">
        <f t="shared" si="10"/>
        <v>162</v>
      </c>
      <c r="Z105" s="36">
        <f>IFERROR(IF(Y105=0,"",ROUNDUP(Y105/H105,0)*0.00902),"")</f>
        <v>0.32472000000000001</v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167.79777777777778</v>
      </c>
      <c r="BN105" s="64">
        <f t="shared" si="12"/>
        <v>168.84000000000003</v>
      </c>
      <c r="BO105" s="64">
        <f t="shared" si="13"/>
        <v>0.27104377104377103</v>
      </c>
      <c r="BP105" s="64">
        <f t="shared" si="14"/>
        <v>0.27272727272727271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30">
        <v>4680115881457</v>
      </c>
      <c r="E106" s="631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2"/>
      <c r="R106" s="622"/>
      <c r="S106" s="622"/>
      <c r="T106" s="623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30">
        <v>4680115889477</v>
      </c>
      <c r="E107" s="631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1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2"/>
      <c r="R107" s="622"/>
      <c r="S107" s="622"/>
      <c r="T107" s="623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2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7" t="s">
        <v>69</v>
      </c>
      <c r="Q108" s="638"/>
      <c r="R108" s="638"/>
      <c r="S108" s="638"/>
      <c r="T108" s="638"/>
      <c r="U108" s="638"/>
      <c r="V108" s="639"/>
      <c r="W108" s="37" t="s">
        <v>70</v>
      </c>
      <c r="X108" s="619">
        <f>IFERROR(X101/H101,"0")+IFERROR(X102/H102,"0")+IFERROR(X103/H103,"0")+IFERROR(X104/H104,"0")+IFERROR(X105/H105,"0")+IFERROR(X106/H106,"0")+IFERROR(X107/H107,"0")</f>
        <v>40.129629629629633</v>
      </c>
      <c r="Y108" s="619">
        <f>IFERROR(Y101/H101,"0")+IFERROR(Y102/H102,"0")+IFERROR(Y103/H103,"0")+IFERROR(Y104/H104,"0")+IFERROR(Y105/H105,"0")+IFERROR(Y106/H106,"0")+IFERROR(Y107/H107,"0")</f>
        <v>41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0.41961999999999999</v>
      </c>
      <c r="AA108" s="620"/>
      <c r="AB108" s="620"/>
      <c r="AC108" s="620"/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7" t="s">
        <v>69</v>
      </c>
      <c r="Q109" s="638"/>
      <c r="R109" s="638"/>
      <c r="S109" s="638"/>
      <c r="T109" s="638"/>
      <c r="U109" s="638"/>
      <c r="V109" s="639"/>
      <c r="W109" s="37" t="s">
        <v>67</v>
      </c>
      <c r="X109" s="619">
        <f>IFERROR(SUM(X101:X107),"0")</f>
        <v>208</v>
      </c>
      <c r="Y109" s="619">
        <f>IFERROR(SUM(Y101:Y107),"0")</f>
        <v>216</v>
      </c>
      <c r="Z109" s="37"/>
      <c r="AA109" s="620"/>
      <c r="AB109" s="620"/>
      <c r="AC109" s="620"/>
    </row>
    <row r="110" spans="1:68" ht="14.25" hidden="1" customHeight="1" x14ac:dyDescent="0.25">
      <c r="A110" s="636" t="s">
        <v>143</v>
      </c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  <c r="AA110" s="613"/>
      <c r="AB110" s="613"/>
      <c r="AC110" s="613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30">
        <v>4680115881488</v>
      </c>
      <c r="E111" s="631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2"/>
      <c r="R111" s="622"/>
      <c r="S111" s="622"/>
      <c r="T111" s="623"/>
      <c r="U111" s="34"/>
      <c r="V111" s="34"/>
      <c r="W111" s="35" t="s">
        <v>67</v>
      </c>
      <c r="X111" s="617">
        <v>0</v>
      </c>
      <c r="Y111" s="618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30">
        <v>4680115887664</v>
      </c>
      <c r="E112" s="631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2"/>
      <c r="R112" s="622"/>
      <c r="S112" s="622"/>
      <c r="T112" s="623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30">
        <v>4680115887664</v>
      </c>
      <c r="E113" s="631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30">
        <v>4680115882775</v>
      </c>
      <c r="E114" s="631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4301020392</v>
      </c>
      <c r="D115" s="630">
        <v>4680115880658</v>
      </c>
      <c r="E115" s="631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7">
        <v>67</v>
      </c>
      <c r="Y115" s="618">
        <f>IFERROR(IF(X115="",0,CEILING((X115/$H115),1)*$H115),"")</f>
        <v>67.2</v>
      </c>
      <c r="Z115" s="36">
        <f>IFERROR(IF(Y115=0,"",ROUNDUP(Y115/H115,0)*0.00651),"")</f>
        <v>0.18228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72.025000000000006</v>
      </c>
      <c r="BN115" s="64">
        <f>IFERROR(Y115*I115/H115,"0")</f>
        <v>72.240000000000009</v>
      </c>
      <c r="BO115" s="64">
        <f>IFERROR(1/J115*(X115/H115),"0")</f>
        <v>0.1533882783882784</v>
      </c>
      <c r="BP115" s="64">
        <f>IFERROR(1/J115*(Y115/H115),"0")</f>
        <v>0.15384615384615388</v>
      </c>
    </row>
    <row r="116" spans="1:68" x14ac:dyDescent="0.2">
      <c r="A116" s="632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7" t="s">
        <v>69</v>
      </c>
      <c r="Q116" s="638"/>
      <c r="R116" s="638"/>
      <c r="S116" s="638"/>
      <c r="T116" s="638"/>
      <c r="U116" s="638"/>
      <c r="V116" s="639"/>
      <c r="W116" s="37" t="s">
        <v>70</v>
      </c>
      <c r="X116" s="619">
        <f>IFERROR(X111/H111,"0")+IFERROR(X112/H112,"0")+IFERROR(X113/H113,"0")+IFERROR(X114/H114,"0")+IFERROR(X115/H115,"0")</f>
        <v>27.916666666666668</v>
      </c>
      <c r="Y116" s="619">
        <f>IFERROR(Y111/H111,"0")+IFERROR(Y112/H112,"0")+IFERROR(Y113/H113,"0")+IFERROR(Y114/H114,"0")+IFERROR(Y115/H115,"0")</f>
        <v>28.000000000000004</v>
      </c>
      <c r="Z116" s="619">
        <f>IFERROR(IF(Z111="",0,Z111),"0")+IFERROR(IF(Z112="",0,Z112),"0")+IFERROR(IF(Z113="",0,Z113),"0")+IFERROR(IF(Z114="",0,Z114),"0")+IFERROR(IF(Z115="",0,Z115),"0")</f>
        <v>0.18228</v>
      </c>
      <c r="AA116" s="620"/>
      <c r="AB116" s="620"/>
      <c r="AC116" s="620"/>
    </row>
    <row r="117" spans="1:68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7" t="s">
        <v>69</v>
      </c>
      <c r="Q117" s="638"/>
      <c r="R117" s="638"/>
      <c r="S117" s="638"/>
      <c r="T117" s="638"/>
      <c r="U117" s="638"/>
      <c r="V117" s="639"/>
      <c r="W117" s="37" t="s">
        <v>67</v>
      </c>
      <c r="X117" s="619">
        <f>IFERROR(SUM(X111:X115),"0")</f>
        <v>67</v>
      </c>
      <c r="Y117" s="619">
        <f>IFERROR(SUM(Y111:Y115),"0")</f>
        <v>67.2</v>
      </c>
      <c r="Z117" s="37"/>
      <c r="AA117" s="620"/>
      <c r="AB117" s="620"/>
      <c r="AC117" s="620"/>
    </row>
    <row r="118" spans="1:68" ht="14.25" hidden="1" customHeight="1" x14ac:dyDescent="0.25">
      <c r="A118" s="636" t="s">
        <v>71</v>
      </c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  <c r="AA118" s="613"/>
      <c r="AB118" s="613"/>
      <c r="AC118" s="613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30">
        <v>4607091385168</v>
      </c>
      <c r="E119" s="631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2"/>
      <c r="R119" s="622"/>
      <c r="S119" s="622"/>
      <c r="T119" s="623"/>
      <c r="U119" s="34"/>
      <c r="V119" s="34"/>
      <c r="W119" s="35" t="s">
        <v>67</v>
      </c>
      <c r="X119" s="617">
        <v>133</v>
      </c>
      <c r="Y119" s="618">
        <f>IFERROR(IF(X119="",0,CEILING((X119/$H119),1)*$H119),"")</f>
        <v>137.69999999999999</v>
      </c>
      <c r="Z119" s="36">
        <f>IFERROR(IF(Y119=0,"",ROUNDUP(Y119/H119,0)*0.01898),"")</f>
        <v>0.32266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141.01283950617284</v>
      </c>
      <c r="BN119" s="64">
        <f>IFERROR(Y119*I119/H119,"0")</f>
        <v>145.99599999999998</v>
      </c>
      <c r="BO119" s="64">
        <f>IFERROR(1/J119*(X119/H119),"0")</f>
        <v>0.25655864197530864</v>
      </c>
      <c r="BP119" s="64">
        <f>IFERROR(1/J119*(Y119/H119),"0")</f>
        <v>0.265625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30">
        <v>4607091383256</v>
      </c>
      <c r="E120" s="631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6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229</v>
      </c>
      <c r="B121" s="54" t="s">
        <v>230</v>
      </c>
      <c r="C121" s="31">
        <v>4301052086</v>
      </c>
      <c r="D121" s="630">
        <v>4607091385748</v>
      </c>
      <c r="E121" s="631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3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7">
        <v>123</v>
      </c>
      <c r="Y121" s="618">
        <f>IFERROR(IF(X121="",0,CEILING((X121/$H121),1)*$H121),"")</f>
        <v>124.2</v>
      </c>
      <c r="Z121" s="36">
        <f>IFERROR(IF(Y121=0,"",ROUNDUP(Y121/H121,0)*0.00651),"")</f>
        <v>0.29946</v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134.47999999999999</v>
      </c>
      <c r="BN121" s="64">
        <f>IFERROR(Y121*I121/H121,"0")</f>
        <v>135.792</v>
      </c>
      <c r="BO121" s="64">
        <f>IFERROR(1/J121*(X121/H121),"0")</f>
        <v>0.2503052503052503</v>
      </c>
      <c r="BP121" s="64">
        <f>IFERROR(1/J121*(Y121/H121),"0")</f>
        <v>0.25274725274725279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30">
        <v>4680115884533</v>
      </c>
      <c r="E122" s="631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2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7" t="s">
        <v>69</v>
      </c>
      <c r="Q123" s="638"/>
      <c r="R123" s="638"/>
      <c r="S123" s="638"/>
      <c r="T123" s="638"/>
      <c r="U123" s="638"/>
      <c r="V123" s="639"/>
      <c r="W123" s="37" t="s">
        <v>70</v>
      </c>
      <c r="X123" s="619">
        <f>IFERROR(X119/H119,"0")+IFERROR(X120/H120,"0")+IFERROR(X121/H121,"0")+IFERROR(X122/H122,"0")</f>
        <v>61.975308641975303</v>
      </c>
      <c r="Y123" s="619">
        <f>IFERROR(Y119/H119,"0")+IFERROR(Y120/H120,"0")+IFERROR(Y121/H121,"0")+IFERROR(Y122/H122,"0")</f>
        <v>63</v>
      </c>
      <c r="Z123" s="619">
        <f>IFERROR(IF(Z119="",0,Z119),"0")+IFERROR(IF(Z120="",0,Z120),"0")+IFERROR(IF(Z121="",0,Z121),"0")+IFERROR(IF(Z122="",0,Z122),"0")</f>
        <v>0.62212000000000001</v>
      </c>
      <c r="AA123" s="620"/>
      <c r="AB123" s="620"/>
      <c r="AC123" s="620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7" t="s">
        <v>69</v>
      </c>
      <c r="Q124" s="638"/>
      <c r="R124" s="638"/>
      <c r="S124" s="638"/>
      <c r="T124" s="638"/>
      <c r="U124" s="638"/>
      <c r="V124" s="639"/>
      <c r="W124" s="37" t="s">
        <v>67</v>
      </c>
      <c r="X124" s="619">
        <f>IFERROR(SUM(X119:X122),"0")</f>
        <v>256</v>
      </c>
      <c r="Y124" s="619">
        <f>IFERROR(SUM(Y119:Y122),"0")</f>
        <v>261.89999999999998</v>
      </c>
      <c r="Z124" s="37"/>
      <c r="AA124" s="620"/>
      <c r="AB124" s="620"/>
      <c r="AC124" s="620"/>
    </row>
    <row r="125" spans="1:68" ht="14.25" hidden="1" customHeight="1" x14ac:dyDescent="0.25">
      <c r="A125" s="636" t="s">
        <v>161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13"/>
      <c r="AB125" s="613"/>
      <c r="AC125" s="613"/>
    </row>
    <row r="126" spans="1:68" ht="16.5" customHeight="1" x14ac:dyDescent="0.25">
      <c r="A126" s="54" t="s">
        <v>234</v>
      </c>
      <c r="B126" s="54" t="s">
        <v>235</v>
      </c>
      <c r="C126" s="31">
        <v>4301060525</v>
      </c>
      <c r="D126" s="630">
        <v>4680115880238</v>
      </c>
      <c r="E126" s="631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7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2"/>
      <c r="R126" s="622"/>
      <c r="S126" s="622"/>
      <c r="T126" s="623"/>
      <c r="U126" s="34"/>
      <c r="V126" s="34"/>
      <c r="W126" s="35" t="s">
        <v>67</v>
      </c>
      <c r="X126" s="617">
        <v>52</v>
      </c>
      <c r="Y126" s="618">
        <f>IFERROR(IF(X126="",0,CEILING((X126/$H126),1)*$H126),"")</f>
        <v>53.46</v>
      </c>
      <c r="Z126" s="36">
        <f>IFERROR(IF(Y126=0,"",ROUNDUP(Y126/H126,0)*0.00651),"")</f>
        <v>0.17577000000000001</v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58.775757575757581</v>
      </c>
      <c r="BN126" s="64">
        <f>IFERROR(Y126*I126/H126,"0")</f>
        <v>60.426000000000002</v>
      </c>
      <c r="BO126" s="64">
        <f>IFERROR(1/J126*(X126/H126),"0")</f>
        <v>0.14430014430014432</v>
      </c>
      <c r="BP126" s="64">
        <f>IFERROR(1/J126*(Y126/H126),"0")</f>
        <v>0.14835164835164835</v>
      </c>
    </row>
    <row r="127" spans="1:68" x14ac:dyDescent="0.2">
      <c r="A127" s="632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7" t="s">
        <v>69</v>
      </c>
      <c r="Q127" s="638"/>
      <c r="R127" s="638"/>
      <c r="S127" s="638"/>
      <c r="T127" s="638"/>
      <c r="U127" s="638"/>
      <c r="V127" s="639"/>
      <c r="W127" s="37" t="s">
        <v>70</v>
      </c>
      <c r="X127" s="619">
        <f>IFERROR(X126/H126,"0")</f>
        <v>26.262626262626263</v>
      </c>
      <c r="Y127" s="619">
        <f>IFERROR(Y126/H126,"0")</f>
        <v>27</v>
      </c>
      <c r="Z127" s="619">
        <f>IFERROR(IF(Z126="",0,Z126),"0")</f>
        <v>0.17577000000000001</v>
      </c>
      <c r="AA127" s="620"/>
      <c r="AB127" s="620"/>
      <c r="AC127" s="620"/>
    </row>
    <row r="128" spans="1:68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7" t="s">
        <v>69</v>
      </c>
      <c r="Q128" s="638"/>
      <c r="R128" s="638"/>
      <c r="S128" s="638"/>
      <c r="T128" s="638"/>
      <c r="U128" s="638"/>
      <c r="V128" s="639"/>
      <c r="W128" s="37" t="s">
        <v>67</v>
      </c>
      <c r="X128" s="619">
        <f>IFERROR(SUM(X126:X126),"0")</f>
        <v>52</v>
      </c>
      <c r="Y128" s="619">
        <f>IFERROR(SUM(Y126:Y126),"0")</f>
        <v>53.46</v>
      </c>
      <c r="Z128" s="37"/>
      <c r="AA128" s="620"/>
      <c r="AB128" s="620"/>
      <c r="AC128" s="620"/>
    </row>
    <row r="129" spans="1:68" ht="16.5" hidden="1" customHeight="1" x14ac:dyDescent="0.25">
      <c r="A129" s="640" t="s">
        <v>237</v>
      </c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  <c r="AA129" s="612"/>
      <c r="AB129" s="612"/>
      <c r="AC129" s="612"/>
    </row>
    <row r="130" spans="1:68" ht="14.25" hidden="1" customHeight="1" x14ac:dyDescent="0.25">
      <c r="A130" s="636" t="s">
        <v>108</v>
      </c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  <c r="AA130" s="613"/>
      <c r="AB130" s="613"/>
      <c r="AC130" s="613"/>
    </row>
    <row r="131" spans="1:68" ht="27" hidden="1" customHeight="1" x14ac:dyDescent="0.25">
      <c r="A131" s="54" t="s">
        <v>238</v>
      </c>
      <c r="B131" s="54" t="s">
        <v>239</v>
      </c>
      <c r="C131" s="31">
        <v>4301011562</v>
      </c>
      <c r="D131" s="630">
        <v>4680115882577</v>
      </c>
      <c r="E131" s="631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2"/>
      <c r="R131" s="622"/>
      <c r="S131" s="622"/>
      <c r="T131" s="623"/>
      <c r="U131" s="34"/>
      <c r="V131" s="34"/>
      <c r="W131" s="35" t="s">
        <v>67</v>
      </c>
      <c r="X131" s="617">
        <v>0</v>
      </c>
      <c r="Y131" s="61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30">
        <v>4680115882577</v>
      </c>
      <c r="E132" s="631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2"/>
      <c r="R132" s="622"/>
      <c r="S132" s="622"/>
      <c r="T132" s="623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32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7" t="s">
        <v>69</v>
      </c>
      <c r="Q133" s="638"/>
      <c r="R133" s="638"/>
      <c r="S133" s="638"/>
      <c r="T133" s="638"/>
      <c r="U133" s="638"/>
      <c r="V133" s="639"/>
      <c r="W133" s="37" t="s">
        <v>70</v>
      </c>
      <c r="X133" s="619">
        <f>IFERROR(X131/H131,"0")+IFERROR(X132/H132,"0")</f>
        <v>0</v>
      </c>
      <c r="Y133" s="619">
        <f>IFERROR(Y131/H131,"0")+IFERROR(Y132/H132,"0")</f>
        <v>0</v>
      </c>
      <c r="Z133" s="619">
        <f>IFERROR(IF(Z131="",0,Z131),"0")+IFERROR(IF(Z132="",0,Z132),"0")</f>
        <v>0</v>
      </c>
      <c r="AA133" s="620"/>
      <c r="AB133" s="620"/>
      <c r="AC133" s="620"/>
    </row>
    <row r="134" spans="1:68" hidden="1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7" t="s">
        <v>69</v>
      </c>
      <c r="Q134" s="638"/>
      <c r="R134" s="638"/>
      <c r="S134" s="638"/>
      <c r="T134" s="638"/>
      <c r="U134" s="638"/>
      <c r="V134" s="639"/>
      <c r="W134" s="37" t="s">
        <v>67</v>
      </c>
      <c r="X134" s="619">
        <f>IFERROR(SUM(X131:X132),"0")</f>
        <v>0</v>
      </c>
      <c r="Y134" s="619">
        <f>IFERROR(SUM(Y131:Y132),"0")</f>
        <v>0</v>
      </c>
      <c r="Z134" s="37"/>
      <c r="AA134" s="620"/>
      <c r="AB134" s="620"/>
      <c r="AC134" s="620"/>
    </row>
    <row r="135" spans="1:68" ht="14.25" hidden="1" customHeight="1" x14ac:dyDescent="0.25">
      <c r="A135" s="636" t="s">
        <v>62</v>
      </c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  <c r="AA135" s="613"/>
      <c r="AB135" s="613"/>
      <c r="AC135" s="613"/>
    </row>
    <row r="136" spans="1:68" ht="27" hidden="1" customHeight="1" x14ac:dyDescent="0.25">
      <c r="A136" s="54" t="s">
        <v>243</v>
      </c>
      <c r="B136" s="54" t="s">
        <v>244</v>
      </c>
      <c r="C136" s="31">
        <v>4301031234</v>
      </c>
      <c r="D136" s="630">
        <v>4680115883444</v>
      </c>
      <c r="E136" s="631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2"/>
      <c r="R136" s="622"/>
      <c r="S136" s="622"/>
      <c r="T136" s="623"/>
      <c r="U136" s="34"/>
      <c r="V136" s="34"/>
      <c r="W136" s="35" t="s">
        <v>67</v>
      </c>
      <c r="X136" s="617">
        <v>0</v>
      </c>
      <c r="Y136" s="61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30">
        <v>4680115883444</v>
      </c>
      <c r="E137" s="631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32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7" t="s">
        <v>69</v>
      </c>
      <c r="Q138" s="638"/>
      <c r="R138" s="638"/>
      <c r="S138" s="638"/>
      <c r="T138" s="638"/>
      <c r="U138" s="638"/>
      <c r="V138" s="639"/>
      <c r="W138" s="37" t="s">
        <v>70</v>
      </c>
      <c r="X138" s="619">
        <f>IFERROR(X136/H136,"0")+IFERROR(X137/H137,"0")</f>
        <v>0</v>
      </c>
      <c r="Y138" s="619">
        <f>IFERROR(Y136/H136,"0")+IFERROR(Y137/H137,"0")</f>
        <v>0</v>
      </c>
      <c r="Z138" s="619">
        <f>IFERROR(IF(Z136="",0,Z136),"0")+IFERROR(IF(Z137="",0,Z137),"0")</f>
        <v>0</v>
      </c>
      <c r="AA138" s="620"/>
      <c r="AB138" s="620"/>
      <c r="AC138" s="620"/>
    </row>
    <row r="139" spans="1:68" hidden="1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7" t="s">
        <v>69</v>
      </c>
      <c r="Q139" s="638"/>
      <c r="R139" s="638"/>
      <c r="S139" s="638"/>
      <c r="T139" s="638"/>
      <c r="U139" s="638"/>
      <c r="V139" s="639"/>
      <c r="W139" s="37" t="s">
        <v>67</v>
      </c>
      <c r="X139" s="619">
        <f>IFERROR(SUM(X136:X137),"0")</f>
        <v>0</v>
      </c>
      <c r="Y139" s="619">
        <f>IFERROR(SUM(Y136:Y137),"0")</f>
        <v>0</v>
      </c>
      <c r="Z139" s="37"/>
      <c r="AA139" s="620"/>
      <c r="AB139" s="620"/>
      <c r="AC139" s="620"/>
    </row>
    <row r="140" spans="1:68" ht="14.25" hidden="1" customHeight="1" x14ac:dyDescent="0.25">
      <c r="A140" s="636" t="s">
        <v>71</v>
      </c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  <c r="AA140" s="613"/>
      <c r="AB140" s="613"/>
      <c r="AC140" s="613"/>
    </row>
    <row r="141" spans="1:68" ht="16.5" customHeight="1" x14ac:dyDescent="0.25">
      <c r="A141" s="54" t="s">
        <v>247</v>
      </c>
      <c r="B141" s="54" t="s">
        <v>248</v>
      </c>
      <c r="C141" s="31">
        <v>4301051476</v>
      </c>
      <c r="D141" s="630">
        <v>4680115882584</v>
      </c>
      <c r="E141" s="631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2"/>
      <c r="R141" s="622"/>
      <c r="S141" s="622"/>
      <c r="T141" s="623"/>
      <c r="U141" s="34"/>
      <c r="V141" s="34"/>
      <c r="W141" s="35" t="s">
        <v>67</v>
      </c>
      <c r="X141" s="617">
        <v>3</v>
      </c>
      <c r="Y141" s="618">
        <f>IFERROR(IF(X141="",0,CEILING((X141/$H141),1)*$H141),"")</f>
        <v>5.28</v>
      </c>
      <c r="Z141" s="36">
        <f>IFERROR(IF(Y141=0,"",ROUNDUP(Y141/H141,0)*0.00651),"")</f>
        <v>1.302E-2</v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3.3045454545454547</v>
      </c>
      <c r="BN141" s="64">
        <f>IFERROR(Y141*I141/H141,"0")</f>
        <v>5.8159999999999998</v>
      </c>
      <c r="BO141" s="64">
        <f>IFERROR(1/J141*(X141/H141),"0")</f>
        <v>6.243756243756244E-3</v>
      </c>
      <c r="BP141" s="64">
        <f>IFERROR(1/J141*(Y141/H141),"0")</f>
        <v>1.098901098901099E-2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30">
        <v>4680115882584</v>
      </c>
      <c r="E142" s="631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2"/>
      <c r="R142" s="622"/>
      <c r="S142" s="622"/>
      <c r="T142" s="623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2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7" t="s">
        <v>69</v>
      </c>
      <c r="Q143" s="638"/>
      <c r="R143" s="638"/>
      <c r="S143" s="638"/>
      <c r="T143" s="638"/>
      <c r="U143" s="638"/>
      <c r="V143" s="639"/>
      <c r="W143" s="37" t="s">
        <v>70</v>
      </c>
      <c r="X143" s="619">
        <f>IFERROR(X141/H141,"0")+IFERROR(X142/H142,"0")</f>
        <v>1.1363636363636362</v>
      </c>
      <c r="Y143" s="619">
        <f>IFERROR(Y141/H141,"0")+IFERROR(Y142/H142,"0")</f>
        <v>2</v>
      </c>
      <c r="Z143" s="619">
        <f>IFERROR(IF(Z141="",0,Z141),"0")+IFERROR(IF(Z142="",0,Z142),"0")</f>
        <v>1.302E-2</v>
      </c>
      <c r="AA143" s="620"/>
      <c r="AB143" s="620"/>
      <c r="AC143" s="620"/>
    </row>
    <row r="144" spans="1:68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7" t="s">
        <v>69</v>
      </c>
      <c r="Q144" s="638"/>
      <c r="R144" s="638"/>
      <c r="S144" s="638"/>
      <c r="T144" s="638"/>
      <c r="U144" s="638"/>
      <c r="V144" s="639"/>
      <c r="W144" s="37" t="s">
        <v>67</v>
      </c>
      <c r="X144" s="619">
        <f>IFERROR(SUM(X141:X142),"0")</f>
        <v>3</v>
      </c>
      <c r="Y144" s="619">
        <f>IFERROR(SUM(Y141:Y142),"0")</f>
        <v>5.28</v>
      </c>
      <c r="Z144" s="37"/>
      <c r="AA144" s="620"/>
      <c r="AB144" s="620"/>
      <c r="AC144" s="620"/>
    </row>
    <row r="145" spans="1:68" ht="16.5" hidden="1" customHeight="1" x14ac:dyDescent="0.25">
      <c r="A145" s="640" t="s">
        <v>250</v>
      </c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  <c r="AA145" s="612"/>
      <c r="AB145" s="612"/>
      <c r="AC145" s="612"/>
    </row>
    <row r="146" spans="1:68" ht="14.25" hidden="1" customHeight="1" x14ac:dyDescent="0.25">
      <c r="A146" s="636" t="s">
        <v>71</v>
      </c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30">
        <v>4680115888203</v>
      </c>
      <c r="E147" s="631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2"/>
      <c r="R147" s="622"/>
      <c r="S147" s="622"/>
      <c r="T147" s="623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30">
        <v>4680115888180</v>
      </c>
      <c r="E148" s="631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30">
        <v>4680115888197</v>
      </c>
      <c r="E149" s="631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30">
        <v>4680115888210</v>
      </c>
      <c r="E150" s="631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5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2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7" t="s">
        <v>69</v>
      </c>
      <c r="Q151" s="638"/>
      <c r="R151" s="638"/>
      <c r="S151" s="638"/>
      <c r="T151" s="638"/>
      <c r="U151" s="638"/>
      <c r="V151" s="639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7" t="s">
        <v>69</v>
      </c>
      <c r="Q152" s="638"/>
      <c r="R152" s="638"/>
      <c r="S152" s="638"/>
      <c r="T152" s="638"/>
      <c r="U152" s="638"/>
      <c r="V152" s="639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6" t="s">
        <v>263</v>
      </c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30">
        <v>4680115889132</v>
      </c>
      <c r="E154" s="631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4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2"/>
      <c r="R154" s="622"/>
      <c r="S154" s="622"/>
      <c r="T154" s="623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2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7" t="s">
        <v>69</v>
      </c>
      <c r="Q155" s="638"/>
      <c r="R155" s="638"/>
      <c r="S155" s="638"/>
      <c r="T155" s="638"/>
      <c r="U155" s="638"/>
      <c r="V155" s="639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7" t="s">
        <v>69</v>
      </c>
      <c r="Q156" s="638"/>
      <c r="R156" s="638"/>
      <c r="S156" s="638"/>
      <c r="T156" s="638"/>
      <c r="U156" s="638"/>
      <c r="V156" s="639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40" t="s">
        <v>106</v>
      </c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  <c r="AA157" s="612"/>
      <c r="AB157" s="612"/>
      <c r="AC157" s="612"/>
    </row>
    <row r="158" spans="1:68" ht="14.25" hidden="1" customHeight="1" x14ac:dyDescent="0.25">
      <c r="A158" s="636" t="s">
        <v>108</v>
      </c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30">
        <v>4680115887374</v>
      </c>
      <c r="E159" s="631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2"/>
      <c r="R159" s="622"/>
      <c r="S159" s="622"/>
      <c r="T159" s="623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30">
        <v>4607091384604</v>
      </c>
      <c r="E160" s="631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7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2"/>
      <c r="R160" s="622"/>
      <c r="S160" s="622"/>
      <c r="T160" s="623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30">
        <v>4607091384604</v>
      </c>
      <c r="E161" s="631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4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2"/>
      <c r="R161" s="622"/>
      <c r="S161" s="622"/>
      <c r="T161" s="623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30">
        <v>4680115888876</v>
      </c>
      <c r="E162" s="631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7" t="s">
        <v>69</v>
      </c>
      <c r="Q163" s="638"/>
      <c r="R163" s="638"/>
      <c r="S163" s="638"/>
      <c r="T163" s="638"/>
      <c r="U163" s="638"/>
      <c r="V163" s="639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7" t="s">
        <v>69</v>
      </c>
      <c r="Q164" s="638"/>
      <c r="R164" s="638"/>
      <c r="S164" s="638"/>
      <c r="T164" s="638"/>
      <c r="U164" s="638"/>
      <c r="V164" s="639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6" t="s">
        <v>143</v>
      </c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30">
        <v>4680115887695</v>
      </c>
      <c r="E166" s="631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1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30">
        <v>4680115889491</v>
      </c>
      <c r="E167" s="631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2"/>
      <c r="R167" s="622"/>
      <c r="S167" s="622"/>
      <c r="T167" s="623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2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7" t="s">
        <v>69</v>
      </c>
      <c r="Q168" s="638"/>
      <c r="R168" s="638"/>
      <c r="S168" s="638"/>
      <c r="T168" s="638"/>
      <c r="U168" s="638"/>
      <c r="V168" s="639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7" t="s">
        <v>69</v>
      </c>
      <c r="Q169" s="638"/>
      <c r="R169" s="638"/>
      <c r="S169" s="638"/>
      <c r="T169" s="638"/>
      <c r="U169" s="638"/>
      <c r="V169" s="639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6" t="s">
        <v>62</v>
      </c>
      <c r="B170" s="633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  <c r="AA170" s="613"/>
      <c r="AB170" s="613"/>
      <c r="AC170" s="613"/>
    </row>
    <row r="171" spans="1:68" ht="27" customHeight="1" x14ac:dyDescent="0.25">
      <c r="A171" s="54" t="s">
        <v>286</v>
      </c>
      <c r="B171" s="54" t="s">
        <v>287</v>
      </c>
      <c r="C171" s="31">
        <v>4301031496</v>
      </c>
      <c r="D171" s="630">
        <v>4680115887428</v>
      </c>
      <c r="E171" s="631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6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7">
        <v>130</v>
      </c>
      <c r="Y171" s="618">
        <f t="shared" ref="Y171:Y180" si="15">IFERROR(IF(X171="",0,CEILING((X171/$H171),1)*$H171),"")</f>
        <v>133</v>
      </c>
      <c r="Z171" s="36">
        <f>IFERROR(IF(Y171=0,"",ROUNDUP(Y171/H171,0)*0.00902),"")</f>
        <v>0.34276000000000001</v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137.05714285714285</v>
      </c>
      <c r="BN171" s="64">
        <f t="shared" ref="BN171:BN180" si="17">IFERROR(Y171*I171/H171,"0")</f>
        <v>140.22</v>
      </c>
      <c r="BO171" s="64">
        <f t="shared" ref="BO171:BO180" si="18">IFERROR(1/J171*(X171/H171),"0")</f>
        <v>0.2813852813852814</v>
      </c>
      <c r="BP171" s="64">
        <f t="shared" ref="BP171:BP180" si="19">IFERROR(1/J171*(Y171/H171),"0")</f>
        <v>0.2878787878787879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30">
        <v>4680115889170</v>
      </c>
      <c r="E172" s="631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4301031522</v>
      </c>
      <c r="D173" s="630">
        <v>4680115887398</v>
      </c>
      <c r="E173" s="631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8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7">
        <v>150</v>
      </c>
      <c r="Y173" s="618">
        <f t="shared" si="15"/>
        <v>150.5</v>
      </c>
      <c r="Z173" s="36">
        <f>IFERROR(IF(Y173=0,"",ROUNDUP(Y173/H173,0)*0.00902),"")</f>
        <v>0.38785999999999998</v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158.14285714285714</v>
      </c>
      <c r="BN173" s="64">
        <f t="shared" si="17"/>
        <v>158.67000000000002</v>
      </c>
      <c r="BO173" s="64">
        <f t="shared" si="18"/>
        <v>0.32467532467532467</v>
      </c>
      <c r="BP173" s="64">
        <f t="shared" si="19"/>
        <v>0.32575757575757575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30">
        <v>4680115887336</v>
      </c>
      <c r="E174" s="631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6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7">
        <v>250</v>
      </c>
      <c r="Y174" s="618">
        <f t="shared" si="15"/>
        <v>252</v>
      </c>
      <c r="Z174" s="36">
        <f>IFERROR(IF(Y174=0,"",ROUNDUP(Y174/H174,0)*0.00902),"")</f>
        <v>0.64944000000000002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263.57142857142856</v>
      </c>
      <c r="BN174" s="64">
        <f t="shared" si="17"/>
        <v>265.68</v>
      </c>
      <c r="BO174" s="64">
        <f t="shared" si="18"/>
        <v>0.54112554112554112</v>
      </c>
      <c r="BP174" s="64">
        <f t="shared" si="19"/>
        <v>0.54545454545454541</v>
      </c>
    </row>
    <row r="175" spans="1:68" ht="16.5" customHeight="1" x14ac:dyDescent="0.25">
      <c r="A175" s="54" t="s">
        <v>298</v>
      </c>
      <c r="B175" s="54" t="s">
        <v>299</v>
      </c>
      <c r="C175" s="31">
        <v>4301031528</v>
      </c>
      <c r="D175" s="630">
        <v>4680115887787</v>
      </c>
      <c r="E175" s="631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7">
        <v>5</v>
      </c>
      <c r="Y175" s="618">
        <f t="shared" si="15"/>
        <v>5.4</v>
      </c>
      <c r="Z175" s="36">
        <f>IFERROR(IF(Y175=0,"",ROUNDUP(Y175/H175,0)*0.00726),"")</f>
        <v>4.3560000000000001E-2</v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6.166666666666667</v>
      </c>
      <c r="BN175" s="64">
        <f t="shared" si="17"/>
        <v>6.66</v>
      </c>
      <c r="BO175" s="64">
        <f t="shared" si="18"/>
        <v>2.8935185185185182E-2</v>
      </c>
      <c r="BP175" s="64">
        <f t="shared" si="19"/>
        <v>3.125E-2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30">
        <v>4680115887503</v>
      </c>
      <c r="E176" s="631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7">
        <v>56</v>
      </c>
      <c r="Y176" s="618">
        <f t="shared" si="15"/>
        <v>57.12</v>
      </c>
      <c r="Z176" s="36">
        <f>IFERROR(IF(Y176=0,"",ROUNDUP(Y176/H176,0)*0.00502),"")</f>
        <v>0.17068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59.333333333333343</v>
      </c>
      <c r="BN176" s="64">
        <f t="shared" si="17"/>
        <v>60.519999999999996</v>
      </c>
      <c r="BO176" s="64">
        <f t="shared" si="18"/>
        <v>0.14245014245014248</v>
      </c>
      <c r="BP176" s="64">
        <f t="shared" si="19"/>
        <v>0.14529914529914531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30">
        <v>4680115887763</v>
      </c>
      <c r="E177" s="631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customHeight="1" x14ac:dyDescent="0.25">
      <c r="A178" s="54" t="s">
        <v>306</v>
      </c>
      <c r="B178" s="54" t="s">
        <v>307</v>
      </c>
      <c r="C178" s="31">
        <v>4301031521</v>
      </c>
      <c r="D178" s="630">
        <v>4680115887480</v>
      </c>
      <c r="E178" s="631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2"/>
      <c r="R178" s="622"/>
      <c r="S178" s="622"/>
      <c r="T178" s="623"/>
      <c r="U178" s="34"/>
      <c r="V178" s="34"/>
      <c r="W178" s="35" t="s">
        <v>67</v>
      </c>
      <c r="X178" s="617">
        <v>28</v>
      </c>
      <c r="Y178" s="618">
        <f t="shared" si="15"/>
        <v>28.56</v>
      </c>
      <c r="Z178" s="36">
        <f>IFERROR(IF(Y178=0,"",ROUNDUP(Y178/H178,0)*0.00502),"")</f>
        <v>8.5339999999999999E-2</v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29.666666666666671</v>
      </c>
      <c r="BN178" s="64">
        <f t="shared" si="17"/>
        <v>30.259999999999998</v>
      </c>
      <c r="BO178" s="64">
        <f t="shared" si="18"/>
        <v>7.122507122507124E-2</v>
      </c>
      <c r="BP178" s="64">
        <f t="shared" si="19"/>
        <v>7.2649572649572655E-2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30">
        <v>4680115888067</v>
      </c>
      <c r="E179" s="631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2"/>
      <c r="R179" s="622"/>
      <c r="S179" s="622"/>
      <c r="T179" s="623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311</v>
      </c>
      <c r="B180" s="54" t="s">
        <v>312</v>
      </c>
      <c r="C180" s="31">
        <v>4301031519</v>
      </c>
      <c r="D180" s="630">
        <v>4680115887435</v>
      </c>
      <c r="E180" s="631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2"/>
      <c r="R180" s="622"/>
      <c r="S180" s="622"/>
      <c r="T180" s="623"/>
      <c r="U180" s="34"/>
      <c r="V180" s="34"/>
      <c r="W180" s="35" t="s">
        <v>67</v>
      </c>
      <c r="X180" s="617">
        <v>28</v>
      </c>
      <c r="Y180" s="618">
        <f t="shared" si="15"/>
        <v>28.56</v>
      </c>
      <c r="Z180" s="36">
        <f>IFERROR(IF(Y180=0,"",ROUNDUP(Y180/H180,0)*0.00502),"")</f>
        <v>8.5339999999999999E-2</v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29.666666666666671</v>
      </c>
      <c r="BN180" s="64">
        <f t="shared" si="17"/>
        <v>30.259999999999998</v>
      </c>
      <c r="BO180" s="64">
        <f t="shared" si="18"/>
        <v>7.122507122507124E-2</v>
      </c>
      <c r="BP180" s="64">
        <f t="shared" si="19"/>
        <v>7.2649572649572655E-2</v>
      </c>
    </row>
    <row r="181" spans="1:68" x14ac:dyDescent="0.2">
      <c r="A181" s="632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7" t="s">
        <v>69</v>
      </c>
      <c r="Q181" s="638"/>
      <c r="R181" s="638"/>
      <c r="S181" s="638"/>
      <c r="T181" s="638"/>
      <c r="U181" s="638"/>
      <c r="V181" s="639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223.65079365079364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227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1.76498</v>
      </c>
      <c r="AA181" s="620"/>
      <c r="AB181" s="620"/>
      <c r="AC181" s="620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7" t="s">
        <v>69</v>
      </c>
      <c r="Q182" s="638"/>
      <c r="R182" s="638"/>
      <c r="S182" s="638"/>
      <c r="T182" s="638"/>
      <c r="U182" s="638"/>
      <c r="V182" s="639"/>
      <c r="W182" s="37" t="s">
        <v>67</v>
      </c>
      <c r="X182" s="619">
        <f>IFERROR(SUM(X171:X180),"0")</f>
        <v>647</v>
      </c>
      <c r="Y182" s="619">
        <f>IFERROR(SUM(Y171:Y180),"0")</f>
        <v>655.13999999999987</v>
      </c>
      <c r="Z182" s="37"/>
      <c r="AA182" s="620"/>
      <c r="AB182" s="620"/>
      <c r="AC182" s="620"/>
    </row>
    <row r="183" spans="1:68" ht="14.25" hidden="1" customHeight="1" x14ac:dyDescent="0.25">
      <c r="A183" s="636" t="s">
        <v>71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30">
        <v>4680115888395</v>
      </c>
      <c r="E184" s="631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69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2"/>
      <c r="R184" s="622"/>
      <c r="S184" s="622"/>
      <c r="T184" s="623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30">
        <v>4680115888371</v>
      </c>
      <c r="E185" s="631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8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2"/>
      <c r="R185" s="622"/>
      <c r="S185" s="622"/>
      <c r="T185" s="623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2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7" t="s">
        <v>69</v>
      </c>
      <c r="Q186" s="638"/>
      <c r="R186" s="638"/>
      <c r="S186" s="638"/>
      <c r="T186" s="638"/>
      <c r="U186" s="638"/>
      <c r="V186" s="639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7" t="s">
        <v>69</v>
      </c>
      <c r="Q187" s="638"/>
      <c r="R187" s="638"/>
      <c r="S187" s="638"/>
      <c r="T187" s="638"/>
      <c r="U187" s="638"/>
      <c r="V187" s="639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6" t="s">
        <v>263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30">
        <v>4680115889026</v>
      </c>
      <c r="E189" s="631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73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2"/>
      <c r="R189" s="622"/>
      <c r="S189" s="622"/>
      <c r="T189" s="623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2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7" t="s">
        <v>69</v>
      </c>
      <c r="Q190" s="638"/>
      <c r="R190" s="638"/>
      <c r="S190" s="638"/>
      <c r="T190" s="638"/>
      <c r="U190" s="638"/>
      <c r="V190" s="639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7" t="s">
        <v>69</v>
      </c>
      <c r="Q191" s="638"/>
      <c r="R191" s="638"/>
      <c r="S191" s="638"/>
      <c r="T191" s="638"/>
      <c r="U191" s="638"/>
      <c r="V191" s="639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6" t="s">
        <v>323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30">
        <v>4680115889033</v>
      </c>
      <c r="E193" s="631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6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2"/>
      <c r="R193" s="622"/>
      <c r="S193" s="622"/>
      <c r="T193" s="623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2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7" t="s">
        <v>69</v>
      </c>
      <c r="Q194" s="638"/>
      <c r="R194" s="638"/>
      <c r="S194" s="638"/>
      <c r="T194" s="638"/>
      <c r="U194" s="638"/>
      <c r="V194" s="639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7" t="s">
        <v>69</v>
      </c>
      <c r="Q195" s="638"/>
      <c r="R195" s="638"/>
      <c r="S195" s="638"/>
      <c r="T195" s="638"/>
      <c r="U195" s="638"/>
      <c r="V195" s="639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88" t="s">
        <v>327</v>
      </c>
      <c r="B196" s="789"/>
      <c r="C196" s="789"/>
      <c r="D196" s="789"/>
      <c r="E196" s="789"/>
      <c r="F196" s="789"/>
      <c r="G196" s="789"/>
      <c r="H196" s="789"/>
      <c r="I196" s="789"/>
      <c r="J196" s="789"/>
      <c r="K196" s="789"/>
      <c r="L196" s="789"/>
      <c r="M196" s="789"/>
      <c r="N196" s="789"/>
      <c r="O196" s="789"/>
      <c r="P196" s="789"/>
      <c r="Q196" s="789"/>
      <c r="R196" s="789"/>
      <c r="S196" s="789"/>
      <c r="T196" s="789"/>
      <c r="U196" s="789"/>
      <c r="V196" s="789"/>
      <c r="W196" s="789"/>
      <c r="X196" s="789"/>
      <c r="Y196" s="789"/>
      <c r="Z196" s="789"/>
      <c r="AA196" s="48"/>
      <c r="AB196" s="48"/>
      <c r="AC196" s="48"/>
    </row>
    <row r="197" spans="1:68" ht="16.5" hidden="1" customHeight="1" x14ac:dyDescent="0.25">
      <c r="A197" s="640" t="s">
        <v>328</v>
      </c>
      <c r="B197" s="633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  <c r="AA197" s="612"/>
      <c r="AB197" s="612"/>
      <c r="AC197" s="612"/>
    </row>
    <row r="198" spans="1:68" ht="14.25" hidden="1" customHeight="1" x14ac:dyDescent="0.25">
      <c r="A198" s="636" t="s">
        <v>108</v>
      </c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30">
        <v>4607091383423</v>
      </c>
      <c r="E199" s="631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2"/>
      <c r="R199" s="622"/>
      <c r="S199" s="622"/>
      <c r="T199" s="623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30">
        <v>4680115888760</v>
      </c>
      <c r="E200" s="631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6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30">
        <v>4680115888807</v>
      </c>
      <c r="E201" s="631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30">
        <v>4680115888852</v>
      </c>
      <c r="E202" s="631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8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30">
        <v>4680115886957</v>
      </c>
      <c r="E203" s="631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30">
        <v>4680115885660</v>
      </c>
      <c r="E204" s="631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30">
        <v>4680115886773</v>
      </c>
      <c r="E205" s="631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4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2"/>
      <c r="R205" s="622"/>
      <c r="S205" s="622"/>
      <c r="T205" s="623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2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7" t="s">
        <v>69</v>
      </c>
      <c r="Q206" s="638"/>
      <c r="R206" s="638"/>
      <c r="S206" s="638"/>
      <c r="T206" s="638"/>
      <c r="U206" s="638"/>
      <c r="V206" s="639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7" t="s">
        <v>69</v>
      </c>
      <c r="Q207" s="638"/>
      <c r="R207" s="638"/>
      <c r="S207" s="638"/>
      <c r="T207" s="638"/>
      <c r="U207" s="638"/>
      <c r="V207" s="639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40" t="s">
        <v>349</v>
      </c>
      <c r="B208" s="633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  <c r="AA208" s="612"/>
      <c r="AB208" s="612"/>
      <c r="AC208" s="612"/>
    </row>
    <row r="209" spans="1:68" ht="14.25" hidden="1" customHeight="1" x14ac:dyDescent="0.25">
      <c r="A209" s="636" t="s">
        <v>143</v>
      </c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30">
        <v>4680115886223</v>
      </c>
      <c r="E210" s="631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2"/>
      <c r="R210" s="622"/>
      <c r="S210" s="622"/>
      <c r="T210" s="623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2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7" t="s">
        <v>69</v>
      </c>
      <c r="Q211" s="638"/>
      <c r="R211" s="638"/>
      <c r="S211" s="638"/>
      <c r="T211" s="638"/>
      <c r="U211" s="638"/>
      <c r="V211" s="639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7" t="s">
        <v>69</v>
      </c>
      <c r="Q212" s="638"/>
      <c r="R212" s="638"/>
      <c r="S212" s="638"/>
      <c r="T212" s="638"/>
      <c r="U212" s="638"/>
      <c r="V212" s="639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6" t="s">
        <v>62</v>
      </c>
      <c r="B213" s="633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  <c r="AA213" s="613"/>
      <c r="AB213" s="613"/>
      <c r="AC213" s="613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30">
        <v>4680115880993</v>
      </c>
      <c r="E214" s="631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2"/>
      <c r="R214" s="622"/>
      <c r="S214" s="622"/>
      <c r="T214" s="623"/>
      <c r="U214" s="34"/>
      <c r="V214" s="34"/>
      <c r="W214" s="35" t="s">
        <v>67</v>
      </c>
      <c r="X214" s="617">
        <v>138</v>
      </c>
      <c r="Y214" s="618">
        <f t="shared" ref="Y214:Y226" si="26">IFERROR(IF(X214="",0,CEILING((X214/$H214),1)*$H214),"")</f>
        <v>138.6</v>
      </c>
      <c r="Z214" s="36">
        <f>IFERROR(IF(Y214=0,"",ROUNDUP(Y214/H214,0)*0.00902),"")</f>
        <v>0.29766000000000004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146.21428571428572</v>
      </c>
      <c r="BN214" s="64">
        <f t="shared" ref="BN214:BN226" si="28">IFERROR(Y214*I214/H214,"0")</f>
        <v>146.85</v>
      </c>
      <c r="BO214" s="64">
        <f t="shared" ref="BO214:BO226" si="29">IFERROR(1/J214*(X214/H214),"0")</f>
        <v>0.2489177489177489</v>
      </c>
      <c r="BP214" s="64">
        <f t="shared" ref="BP214:BP226" si="30">IFERROR(1/J214*(Y214/H214),"0")</f>
        <v>0.25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30">
        <v>4680115881761</v>
      </c>
      <c r="E215" s="631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359</v>
      </c>
      <c r="B216" s="54" t="s">
        <v>360</v>
      </c>
      <c r="C216" s="31">
        <v>4301031201</v>
      </c>
      <c r="D216" s="630">
        <v>4680115881563</v>
      </c>
      <c r="E216" s="631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80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2"/>
      <c r="R216" s="622"/>
      <c r="S216" s="622"/>
      <c r="T216" s="623"/>
      <c r="U216" s="34"/>
      <c r="V216" s="34"/>
      <c r="W216" s="35" t="s">
        <v>67</v>
      </c>
      <c r="X216" s="617">
        <v>100</v>
      </c>
      <c r="Y216" s="618">
        <f t="shared" si="26"/>
        <v>100.80000000000001</v>
      </c>
      <c r="Z216" s="36">
        <f>IFERROR(IF(Y216=0,"",ROUNDUP(Y216/H216,0)*0.00902),"")</f>
        <v>0.21648000000000001</v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104.5238095238095</v>
      </c>
      <c r="BN216" s="64">
        <f t="shared" si="28"/>
        <v>105.36</v>
      </c>
      <c r="BO216" s="64">
        <f t="shared" si="29"/>
        <v>0.18037518037518038</v>
      </c>
      <c r="BP216" s="64">
        <f t="shared" si="30"/>
        <v>0.18181818181818182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30">
        <v>4680115887565</v>
      </c>
      <c r="E217" s="631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2"/>
      <c r="R217" s="622"/>
      <c r="S217" s="622"/>
      <c r="T217" s="623"/>
      <c r="U217" s="34"/>
      <c r="V217" s="34"/>
      <c r="W217" s="35" t="s">
        <v>67</v>
      </c>
      <c r="X217" s="617">
        <v>7</v>
      </c>
      <c r="Y217" s="618">
        <f t="shared" si="26"/>
        <v>7.2</v>
      </c>
      <c r="Z217" s="36">
        <f>IFERROR(IF(Y217=0,"",ROUNDUP(Y217/H217,0)*0.00556),"")</f>
        <v>5.0040000000000001E-2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8.1375000000000011</v>
      </c>
      <c r="BN217" s="64">
        <f t="shared" si="28"/>
        <v>8.370000000000001</v>
      </c>
      <c r="BO217" s="64">
        <f t="shared" si="29"/>
        <v>3.4722222222222224E-2</v>
      </c>
      <c r="BP217" s="64">
        <f t="shared" si="30"/>
        <v>3.5714285714285712E-2</v>
      </c>
    </row>
    <row r="218" spans="1:68" ht="27" customHeight="1" x14ac:dyDescent="0.25">
      <c r="A218" s="54" t="s">
        <v>365</v>
      </c>
      <c r="B218" s="54" t="s">
        <v>366</v>
      </c>
      <c r="C218" s="31">
        <v>4301031199</v>
      </c>
      <c r="D218" s="630">
        <v>4680115880986</v>
      </c>
      <c r="E218" s="631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2"/>
      <c r="R218" s="622"/>
      <c r="S218" s="622"/>
      <c r="T218" s="623"/>
      <c r="U218" s="34"/>
      <c r="V218" s="34"/>
      <c r="W218" s="35" t="s">
        <v>67</v>
      </c>
      <c r="X218" s="617">
        <v>35</v>
      </c>
      <c r="Y218" s="618">
        <f t="shared" si="26"/>
        <v>35.700000000000003</v>
      </c>
      <c r="Z218" s="36">
        <f>IFERROR(IF(Y218=0,"",ROUNDUP(Y218/H218,0)*0.00502),"")</f>
        <v>8.5339999999999999E-2</v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37.166666666666664</v>
      </c>
      <c r="BN218" s="64">
        <f t="shared" si="28"/>
        <v>37.910000000000004</v>
      </c>
      <c r="BO218" s="64">
        <f t="shared" si="29"/>
        <v>7.1225071225071226E-2</v>
      </c>
      <c r="BP218" s="64">
        <f t="shared" si="30"/>
        <v>7.2649572649572655E-2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30">
        <v>4680115887213</v>
      </c>
      <c r="E219" s="631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2"/>
      <c r="R219" s="622"/>
      <c r="S219" s="622"/>
      <c r="T219" s="623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30">
        <v>4680115881785</v>
      </c>
      <c r="E220" s="631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2"/>
      <c r="R220" s="622"/>
      <c r="S220" s="622"/>
      <c r="T220" s="623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30">
        <v>4680115888432</v>
      </c>
      <c r="E221" s="631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4301031503</v>
      </c>
      <c r="D222" s="630">
        <v>4680115886537</v>
      </c>
      <c r="E222" s="631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6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7">
        <v>60</v>
      </c>
      <c r="Y222" s="618">
        <f t="shared" si="26"/>
        <v>61.2</v>
      </c>
      <c r="Z222" s="36">
        <f>IFERROR(IF(Y222=0,"",ROUNDUP(Y222/H222,0)*0.00502),"")</f>
        <v>0.17068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64.333333333333329</v>
      </c>
      <c r="BN222" s="64">
        <f t="shared" si="28"/>
        <v>65.62</v>
      </c>
      <c r="BO222" s="64">
        <f t="shared" si="29"/>
        <v>0.14245014245014248</v>
      </c>
      <c r="BP222" s="64">
        <f t="shared" si="30"/>
        <v>0.14529914529914531</v>
      </c>
    </row>
    <row r="223" spans="1:68" ht="27" customHeight="1" x14ac:dyDescent="0.25">
      <c r="A223" s="54" t="s">
        <v>378</v>
      </c>
      <c r="B223" s="54" t="s">
        <v>379</v>
      </c>
      <c r="C223" s="31">
        <v>4301031279</v>
      </c>
      <c r="D223" s="630">
        <v>4680115887596</v>
      </c>
      <c r="E223" s="631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7">
        <v>16</v>
      </c>
      <c r="Y223" s="618">
        <f t="shared" si="26"/>
        <v>16</v>
      </c>
      <c r="Z223" s="36">
        <f>IFERROR(IF(Y223=0,"",ROUNDUP(Y223/H223,0)*0.00417),"")</f>
        <v>8.3400000000000002E-2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20.2</v>
      </c>
      <c r="BN223" s="64">
        <f t="shared" si="28"/>
        <v>20.2</v>
      </c>
      <c r="BO223" s="64">
        <f t="shared" si="29"/>
        <v>5.9523809523809521E-2</v>
      </c>
      <c r="BP223" s="64">
        <f t="shared" si="30"/>
        <v>5.9523809523809521E-2</v>
      </c>
    </row>
    <row r="224" spans="1:68" ht="37.5" customHeight="1" x14ac:dyDescent="0.25">
      <c r="A224" s="54" t="s">
        <v>381</v>
      </c>
      <c r="B224" s="54" t="s">
        <v>382</v>
      </c>
      <c r="C224" s="31">
        <v>4301031530</v>
      </c>
      <c r="D224" s="630">
        <v>4680115881679</v>
      </c>
      <c r="E224" s="631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1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2"/>
      <c r="R224" s="622"/>
      <c r="S224" s="622"/>
      <c r="T224" s="623"/>
      <c r="U224" s="34"/>
      <c r="V224" s="34"/>
      <c r="W224" s="35" t="s">
        <v>67</v>
      </c>
      <c r="X224" s="617">
        <v>121</v>
      </c>
      <c r="Y224" s="618">
        <f t="shared" si="26"/>
        <v>121.80000000000001</v>
      </c>
      <c r="Z224" s="36">
        <f>IFERROR(IF(Y224=0,"",ROUNDUP(Y224/H224,0)*0.00502),"")</f>
        <v>0.29116000000000003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126.76190476190477</v>
      </c>
      <c r="BN224" s="64">
        <f t="shared" si="28"/>
        <v>127.60000000000001</v>
      </c>
      <c r="BO224" s="64">
        <f t="shared" si="29"/>
        <v>0.24623524623524623</v>
      </c>
      <c r="BP224" s="64">
        <f t="shared" si="30"/>
        <v>0.2478632478632479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30">
        <v>4680115880191</v>
      </c>
      <c r="E225" s="631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7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2"/>
      <c r="R225" s="622"/>
      <c r="S225" s="622"/>
      <c r="T225" s="623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30">
        <v>4680115883963</v>
      </c>
      <c r="E226" s="631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2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7" t="s">
        <v>69</v>
      </c>
      <c r="Q227" s="638"/>
      <c r="R227" s="638"/>
      <c r="S227" s="638"/>
      <c r="T227" s="638"/>
      <c r="U227" s="638"/>
      <c r="V227" s="639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193.03571428571428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195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1.19476</v>
      </c>
      <c r="AA227" s="620"/>
      <c r="AB227" s="620"/>
      <c r="AC227" s="620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7" t="s">
        <v>69</v>
      </c>
      <c r="Q228" s="638"/>
      <c r="R228" s="638"/>
      <c r="S228" s="638"/>
      <c r="T228" s="638"/>
      <c r="U228" s="638"/>
      <c r="V228" s="639"/>
      <c r="W228" s="37" t="s">
        <v>67</v>
      </c>
      <c r="X228" s="619">
        <f>IFERROR(SUM(X214:X226),"0")</f>
        <v>477</v>
      </c>
      <c r="Y228" s="619">
        <f>IFERROR(SUM(Y214:Y226),"0")</f>
        <v>481.3</v>
      </c>
      <c r="Z228" s="37"/>
      <c r="AA228" s="620"/>
      <c r="AB228" s="620"/>
      <c r="AC228" s="620"/>
    </row>
    <row r="229" spans="1:68" ht="14.25" hidden="1" customHeight="1" x14ac:dyDescent="0.25">
      <c r="A229" s="636" t="s">
        <v>71</v>
      </c>
      <c r="B229" s="633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30">
        <v>4680115888692</v>
      </c>
      <c r="E230" s="631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30">
        <v>4680115888722</v>
      </c>
      <c r="E231" s="631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30">
        <v>4680115888951</v>
      </c>
      <c r="E232" s="631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30">
        <v>4680115888975</v>
      </c>
      <c r="E233" s="631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30">
        <v>4680115888982</v>
      </c>
      <c r="E234" s="631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7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7" t="s">
        <v>69</v>
      </c>
      <c r="Q235" s="638"/>
      <c r="R235" s="638"/>
      <c r="S235" s="638"/>
      <c r="T235" s="638"/>
      <c r="U235" s="638"/>
      <c r="V235" s="639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7" t="s">
        <v>69</v>
      </c>
      <c r="Q236" s="638"/>
      <c r="R236" s="638"/>
      <c r="S236" s="638"/>
      <c r="T236" s="638"/>
      <c r="U236" s="638"/>
      <c r="V236" s="639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6" t="s">
        <v>263</v>
      </c>
      <c r="B237" s="633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30">
        <v>4680115886780</v>
      </c>
      <c r="E238" s="631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2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404</v>
      </c>
      <c r="B239" s="54" t="s">
        <v>405</v>
      </c>
      <c r="C239" s="31">
        <v>4301032051</v>
      </c>
      <c r="D239" s="630">
        <v>4680115886742</v>
      </c>
      <c r="E239" s="631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7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7">
        <v>3</v>
      </c>
      <c r="Y239" s="618">
        <f>IFERROR(IF(X239="",0,CEILING((X239/$H239),1)*$H239),"")</f>
        <v>3.7800000000000002</v>
      </c>
      <c r="Z239" s="36">
        <f>IFERROR(IF(Y239=0,"",ROUNDUP(Y239/H239,0)*0.0059),"")</f>
        <v>1.77E-2</v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3.4523809523809521</v>
      </c>
      <c r="BN239" s="64">
        <f>IFERROR(Y239*I239/H239,"0")</f>
        <v>4.3499999999999996</v>
      </c>
      <c r="BO239" s="64">
        <f>IFERROR(1/J239*(X239/H239),"0")</f>
        <v>1.1022927689594356E-2</v>
      </c>
      <c r="BP239" s="64">
        <f>IFERROR(1/J239*(Y239/H239),"0")</f>
        <v>1.3888888888888888E-2</v>
      </c>
    </row>
    <row r="240" spans="1:68" ht="27" hidden="1" customHeight="1" x14ac:dyDescent="0.25">
      <c r="A240" s="54" t="s">
        <v>407</v>
      </c>
      <c r="B240" s="54" t="s">
        <v>408</v>
      </c>
      <c r="C240" s="31">
        <v>4301032052</v>
      </c>
      <c r="D240" s="630">
        <v>4680115886766</v>
      </c>
      <c r="E240" s="631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7">
        <v>0</v>
      </c>
      <c r="Y240" s="61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32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7" t="s">
        <v>69</v>
      </c>
      <c r="Q241" s="638"/>
      <c r="R241" s="638"/>
      <c r="S241" s="638"/>
      <c r="T241" s="638"/>
      <c r="U241" s="638"/>
      <c r="V241" s="639"/>
      <c r="W241" s="37" t="s">
        <v>70</v>
      </c>
      <c r="X241" s="619">
        <f>IFERROR(X238/H238,"0")+IFERROR(X239/H239,"0")+IFERROR(X240/H240,"0")</f>
        <v>2.3809523809523809</v>
      </c>
      <c r="Y241" s="619">
        <f>IFERROR(Y238/H238,"0")+IFERROR(Y239/H239,"0")+IFERROR(Y240/H240,"0")</f>
        <v>3</v>
      </c>
      <c r="Z241" s="619">
        <f>IFERROR(IF(Z238="",0,Z238),"0")+IFERROR(IF(Z239="",0,Z239),"0")+IFERROR(IF(Z240="",0,Z240),"0")</f>
        <v>1.77E-2</v>
      </c>
      <c r="AA241" s="620"/>
      <c r="AB241" s="620"/>
      <c r="AC241" s="620"/>
    </row>
    <row r="242" spans="1:68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7" t="s">
        <v>69</v>
      </c>
      <c r="Q242" s="638"/>
      <c r="R242" s="638"/>
      <c r="S242" s="638"/>
      <c r="T242" s="638"/>
      <c r="U242" s="638"/>
      <c r="V242" s="639"/>
      <c r="W242" s="37" t="s">
        <v>67</v>
      </c>
      <c r="X242" s="619">
        <f>IFERROR(SUM(X238:X240),"0")</f>
        <v>3</v>
      </c>
      <c r="Y242" s="619">
        <f>IFERROR(SUM(Y238:Y240),"0")</f>
        <v>3.7800000000000002</v>
      </c>
      <c r="Z242" s="37"/>
      <c r="AA242" s="620"/>
      <c r="AB242" s="620"/>
      <c r="AC242" s="620"/>
    </row>
    <row r="243" spans="1:68" ht="14.25" hidden="1" customHeight="1" x14ac:dyDescent="0.25">
      <c r="A243" s="636" t="s">
        <v>409</v>
      </c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  <c r="AA243" s="613"/>
      <c r="AB243" s="613"/>
      <c r="AC243" s="613"/>
    </row>
    <row r="244" spans="1:68" ht="27" customHeight="1" x14ac:dyDescent="0.25">
      <c r="A244" s="54" t="s">
        <v>410</v>
      </c>
      <c r="B244" s="54" t="s">
        <v>411</v>
      </c>
      <c r="C244" s="31">
        <v>4301170013</v>
      </c>
      <c r="D244" s="630">
        <v>4680115886797</v>
      </c>
      <c r="E244" s="631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7">
        <v>1</v>
      </c>
      <c r="Y244" s="618">
        <f>IFERROR(IF(X244="",0,CEILING((X244/$H244),1)*$H244),"")</f>
        <v>1.26</v>
      </c>
      <c r="Z244" s="36">
        <f>IFERROR(IF(Y244=0,"",ROUNDUP(Y244/H244,0)*0.0059),"")</f>
        <v>5.8999999999999999E-3</v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1.1507936507936507</v>
      </c>
      <c r="BN244" s="64">
        <f>IFERROR(Y244*I244/H244,"0")</f>
        <v>1.45</v>
      </c>
      <c r="BO244" s="64">
        <f>IFERROR(1/J244*(X244/H244),"0")</f>
        <v>3.6743092298647849E-3</v>
      </c>
      <c r="BP244" s="64">
        <f>IFERROR(1/J244*(Y244/H244),"0")</f>
        <v>4.6296296296296294E-3</v>
      </c>
    </row>
    <row r="245" spans="1:68" x14ac:dyDescent="0.2">
      <c r="A245" s="632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7" t="s">
        <v>69</v>
      </c>
      <c r="Q245" s="638"/>
      <c r="R245" s="638"/>
      <c r="S245" s="638"/>
      <c r="T245" s="638"/>
      <c r="U245" s="638"/>
      <c r="V245" s="639"/>
      <c r="W245" s="37" t="s">
        <v>70</v>
      </c>
      <c r="X245" s="619">
        <f>IFERROR(X244/H244,"0")</f>
        <v>0.79365079365079361</v>
      </c>
      <c r="Y245" s="619">
        <f>IFERROR(Y244/H244,"0")</f>
        <v>1</v>
      </c>
      <c r="Z245" s="619">
        <f>IFERROR(IF(Z244="",0,Z244),"0")</f>
        <v>5.8999999999999999E-3</v>
      </c>
      <c r="AA245" s="620"/>
      <c r="AB245" s="620"/>
      <c r="AC245" s="620"/>
    </row>
    <row r="246" spans="1:68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7" t="s">
        <v>69</v>
      </c>
      <c r="Q246" s="638"/>
      <c r="R246" s="638"/>
      <c r="S246" s="638"/>
      <c r="T246" s="638"/>
      <c r="U246" s="638"/>
      <c r="V246" s="639"/>
      <c r="W246" s="37" t="s">
        <v>67</v>
      </c>
      <c r="X246" s="619">
        <f>IFERROR(SUM(X244:X244),"0")</f>
        <v>1</v>
      </c>
      <c r="Y246" s="619">
        <f>IFERROR(SUM(Y244:Y244),"0")</f>
        <v>1.26</v>
      </c>
      <c r="Z246" s="37"/>
      <c r="AA246" s="620"/>
      <c r="AB246" s="620"/>
      <c r="AC246" s="620"/>
    </row>
    <row r="247" spans="1:68" ht="16.5" hidden="1" customHeight="1" x14ac:dyDescent="0.25">
      <c r="A247" s="640" t="s">
        <v>412</v>
      </c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  <c r="AA247" s="612"/>
      <c r="AB247" s="612"/>
      <c r="AC247" s="612"/>
    </row>
    <row r="248" spans="1:68" ht="14.25" hidden="1" customHeight="1" x14ac:dyDescent="0.25">
      <c r="A248" s="636" t="s">
        <v>108</v>
      </c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30">
        <v>4680115881402</v>
      </c>
      <c r="E249" s="631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4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30">
        <v>4680115881396</v>
      </c>
      <c r="E250" s="631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7" t="s">
        <v>69</v>
      </c>
      <c r="Q251" s="638"/>
      <c r="R251" s="638"/>
      <c r="S251" s="638"/>
      <c r="T251" s="638"/>
      <c r="U251" s="638"/>
      <c r="V251" s="639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7" t="s">
        <v>69</v>
      </c>
      <c r="Q252" s="638"/>
      <c r="R252" s="638"/>
      <c r="S252" s="638"/>
      <c r="T252" s="638"/>
      <c r="U252" s="638"/>
      <c r="V252" s="639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6" t="s">
        <v>143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30">
        <v>4680115882935</v>
      </c>
      <c r="E254" s="631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30">
        <v>4680115880764</v>
      </c>
      <c r="E255" s="631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7" t="s">
        <v>69</v>
      </c>
      <c r="Q256" s="638"/>
      <c r="R256" s="638"/>
      <c r="S256" s="638"/>
      <c r="T256" s="638"/>
      <c r="U256" s="638"/>
      <c r="V256" s="639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7" t="s">
        <v>69</v>
      </c>
      <c r="Q257" s="638"/>
      <c r="R257" s="638"/>
      <c r="S257" s="638"/>
      <c r="T257" s="638"/>
      <c r="U257" s="638"/>
      <c r="V257" s="639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6" t="s">
        <v>62</v>
      </c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  <c r="AA258" s="613"/>
      <c r="AB258" s="613"/>
      <c r="AC258" s="613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30">
        <v>4680115882683</v>
      </c>
      <c r="E259" s="631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hidden="1" customHeight="1" x14ac:dyDescent="0.25">
      <c r="A260" s="54" t="s">
        <v>426</v>
      </c>
      <c r="B260" s="54" t="s">
        <v>427</v>
      </c>
      <c r="C260" s="31">
        <v>4301031230</v>
      </c>
      <c r="D260" s="630">
        <v>4680115882690</v>
      </c>
      <c r="E260" s="631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7">
        <v>0</v>
      </c>
      <c r="Y260" s="618">
        <f t="shared" si="31"/>
        <v>0</v>
      </c>
      <c r="Z260" s="36" t="str">
        <f>IFERROR(IF(Y260=0,"",ROUNDUP(Y260/H260,0)*0.00902),"")</f>
        <v/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0</v>
      </c>
      <c r="BN260" s="64">
        <f t="shared" si="33"/>
        <v>0</v>
      </c>
      <c r="BO260" s="64">
        <f t="shared" si="34"/>
        <v>0</v>
      </c>
      <c r="BP260" s="64">
        <f t="shared" si="35"/>
        <v>0</v>
      </c>
    </row>
    <row r="261" spans="1:68" ht="27" customHeight="1" x14ac:dyDescent="0.25">
      <c r="A261" s="54" t="s">
        <v>429</v>
      </c>
      <c r="B261" s="54" t="s">
        <v>430</v>
      </c>
      <c r="C261" s="31">
        <v>4301031220</v>
      </c>
      <c r="D261" s="630">
        <v>4680115882669</v>
      </c>
      <c r="E261" s="631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7">
        <v>100</v>
      </c>
      <c r="Y261" s="618">
        <f t="shared" si="31"/>
        <v>102.60000000000001</v>
      </c>
      <c r="Z261" s="36">
        <f>IFERROR(IF(Y261=0,"",ROUNDUP(Y261/H261,0)*0.00902),"")</f>
        <v>0.17138</v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103.5185185185185</v>
      </c>
      <c r="BN261" s="64">
        <f t="shared" si="33"/>
        <v>106.21</v>
      </c>
      <c r="BO261" s="64">
        <f t="shared" si="34"/>
        <v>0.14029180695847362</v>
      </c>
      <c r="BP261" s="64">
        <f t="shared" si="35"/>
        <v>0.14393939393939395</v>
      </c>
    </row>
    <row r="262" spans="1:68" ht="27" customHeight="1" x14ac:dyDescent="0.25">
      <c r="A262" s="54" t="s">
        <v>432</v>
      </c>
      <c r="B262" s="54" t="s">
        <v>433</v>
      </c>
      <c r="C262" s="31">
        <v>4301031221</v>
      </c>
      <c r="D262" s="630">
        <v>4680115882676</v>
      </c>
      <c r="E262" s="631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7">
        <v>140</v>
      </c>
      <c r="Y262" s="618">
        <f t="shared" si="31"/>
        <v>140.4</v>
      </c>
      <c r="Z262" s="36">
        <f>IFERROR(IF(Y262=0,"",ROUNDUP(Y262/H262,0)*0.00902),"")</f>
        <v>0.23452000000000001</v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144.92592592592592</v>
      </c>
      <c r="BN262" s="64">
        <f t="shared" si="33"/>
        <v>145.34</v>
      </c>
      <c r="BO262" s="64">
        <f t="shared" si="34"/>
        <v>0.19640852974186307</v>
      </c>
      <c r="BP262" s="64">
        <f t="shared" si="35"/>
        <v>0.19696969696969696</v>
      </c>
    </row>
    <row r="263" spans="1:68" ht="27" customHeight="1" x14ac:dyDescent="0.25">
      <c r="A263" s="54" t="s">
        <v>435</v>
      </c>
      <c r="B263" s="54" t="s">
        <v>436</v>
      </c>
      <c r="C263" s="31">
        <v>4301031223</v>
      </c>
      <c r="D263" s="630">
        <v>4680115884014</v>
      </c>
      <c r="E263" s="631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7">
        <v>45</v>
      </c>
      <c r="Y263" s="618">
        <f t="shared" si="31"/>
        <v>45</v>
      </c>
      <c r="Z263" s="36">
        <f>IFERROR(IF(Y263=0,"",ROUNDUP(Y263/H263,0)*0.00502),"")</f>
        <v>0.1255</v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48.249999999999993</v>
      </c>
      <c r="BN263" s="64">
        <f t="shared" si="33"/>
        <v>48.249999999999993</v>
      </c>
      <c r="BO263" s="64">
        <f t="shared" si="34"/>
        <v>0.10683760683760685</v>
      </c>
      <c r="BP263" s="64">
        <f t="shared" si="35"/>
        <v>0.10683760683760685</v>
      </c>
    </row>
    <row r="264" spans="1:68" ht="27" customHeight="1" x14ac:dyDescent="0.25">
      <c r="A264" s="54" t="s">
        <v>437</v>
      </c>
      <c r="B264" s="54" t="s">
        <v>438</v>
      </c>
      <c r="C264" s="31">
        <v>4301031222</v>
      </c>
      <c r="D264" s="630">
        <v>4680115884007</v>
      </c>
      <c r="E264" s="631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7">
        <v>45</v>
      </c>
      <c r="Y264" s="618">
        <f t="shared" si="31"/>
        <v>45</v>
      </c>
      <c r="Z264" s="36">
        <f>IFERROR(IF(Y264=0,"",ROUNDUP(Y264/H264,0)*0.00502),"")</f>
        <v>0.1255</v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47.5</v>
      </c>
      <c r="BN264" s="64">
        <f t="shared" si="33"/>
        <v>47.5</v>
      </c>
      <c r="BO264" s="64">
        <f t="shared" si="34"/>
        <v>0.10683760683760685</v>
      </c>
      <c r="BP264" s="64">
        <f t="shared" si="35"/>
        <v>0.10683760683760685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30">
        <v>4680115884038</v>
      </c>
      <c r="E265" s="631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customHeight="1" x14ac:dyDescent="0.25">
      <c r="A266" s="54" t="s">
        <v>441</v>
      </c>
      <c r="B266" s="54" t="s">
        <v>442</v>
      </c>
      <c r="C266" s="31">
        <v>4301031225</v>
      </c>
      <c r="D266" s="630">
        <v>4680115884021</v>
      </c>
      <c r="E266" s="631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7">
        <v>30</v>
      </c>
      <c r="Y266" s="618">
        <f t="shared" si="31"/>
        <v>30.6</v>
      </c>
      <c r="Z266" s="36">
        <f>IFERROR(IF(Y266=0,"",ROUNDUP(Y266/H266,0)*0.00502),"")</f>
        <v>8.5339999999999999E-2</v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31.666666666666664</v>
      </c>
      <c r="BN266" s="64">
        <f t="shared" si="33"/>
        <v>32.299999999999997</v>
      </c>
      <c r="BO266" s="64">
        <f t="shared" si="34"/>
        <v>7.122507122507124E-2</v>
      </c>
      <c r="BP266" s="64">
        <f t="shared" si="35"/>
        <v>7.2649572649572655E-2</v>
      </c>
    </row>
    <row r="267" spans="1:68" x14ac:dyDescent="0.2">
      <c r="A267" s="632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7" t="s">
        <v>69</v>
      </c>
      <c r="Q267" s="638"/>
      <c r="R267" s="638"/>
      <c r="S267" s="638"/>
      <c r="T267" s="638"/>
      <c r="U267" s="638"/>
      <c r="V267" s="639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111.11111111111111</v>
      </c>
      <c r="Y267" s="619">
        <f>IFERROR(Y259/H259,"0")+IFERROR(Y260/H260,"0")+IFERROR(Y261/H261,"0")+IFERROR(Y262/H262,"0")+IFERROR(Y263/H263,"0")+IFERROR(Y264/H264,"0")+IFERROR(Y265/H265,"0")+IFERROR(Y266/H266,"0")</f>
        <v>112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0.74224000000000001</v>
      </c>
      <c r="AA267" s="620"/>
      <c r="AB267" s="620"/>
      <c r="AC267" s="620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7" t="s">
        <v>69</v>
      </c>
      <c r="Q268" s="638"/>
      <c r="R268" s="638"/>
      <c r="S268" s="638"/>
      <c r="T268" s="638"/>
      <c r="U268" s="638"/>
      <c r="V268" s="639"/>
      <c r="W268" s="37" t="s">
        <v>67</v>
      </c>
      <c r="X268" s="619">
        <f>IFERROR(SUM(X259:X266),"0")</f>
        <v>360</v>
      </c>
      <c r="Y268" s="619">
        <f>IFERROR(SUM(Y259:Y266),"0")</f>
        <v>363.6</v>
      </c>
      <c r="Z268" s="37"/>
      <c r="AA268" s="620"/>
      <c r="AB268" s="620"/>
      <c r="AC268" s="620"/>
    </row>
    <row r="269" spans="1:68" ht="14.25" hidden="1" customHeight="1" x14ac:dyDescent="0.25">
      <c r="A269" s="636" t="s">
        <v>71</v>
      </c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  <c r="AA269" s="613"/>
      <c r="AB269" s="613"/>
      <c r="AC269" s="613"/>
    </row>
    <row r="270" spans="1:68" ht="27" hidden="1" customHeight="1" x14ac:dyDescent="0.25">
      <c r="A270" s="54" t="s">
        <v>443</v>
      </c>
      <c r="B270" s="54" t="s">
        <v>444</v>
      </c>
      <c r="C270" s="31">
        <v>4301051408</v>
      </c>
      <c r="D270" s="630">
        <v>4680115881594</v>
      </c>
      <c r="E270" s="631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7">
        <v>0</v>
      </c>
      <c r="Y270" s="618">
        <f t="shared" ref="Y270:Y281" si="36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0</v>
      </c>
      <c r="BN270" s="64">
        <f t="shared" ref="BN270:BN281" si="38">IFERROR(Y270*I270/H270,"0")</f>
        <v>0</v>
      </c>
      <c r="BO270" s="64">
        <f t="shared" ref="BO270:BO281" si="39">IFERROR(1/J270*(X270/H270),"0")</f>
        <v>0</v>
      </c>
      <c r="BP270" s="64">
        <f t="shared" ref="BP270:BP281" si="40">IFERROR(1/J270*(Y270/H270),"0")</f>
        <v>0</v>
      </c>
    </row>
    <row r="271" spans="1:68" ht="27" hidden="1" customHeight="1" x14ac:dyDescent="0.25">
      <c r="A271" s="54" t="s">
        <v>446</v>
      </c>
      <c r="B271" s="54" t="s">
        <v>447</v>
      </c>
      <c r="C271" s="31">
        <v>4301051411</v>
      </c>
      <c r="D271" s="630">
        <v>4680115881617</v>
      </c>
      <c r="E271" s="631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7">
        <v>0</v>
      </c>
      <c r="Y271" s="618">
        <f t="shared" si="36"/>
        <v>0</v>
      </c>
      <c r="Z271" s="36" t="str">
        <f>IFERROR(IF(Y271=0,"",ROUNDUP(Y271/H271,0)*0.01898),"")</f>
        <v/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0</v>
      </c>
      <c r="BN271" s="64">
        <f t="shared" si="38"/>
        <v>0</v>
      </c>
      <c r="BO271" s="64">
        <f t="shared" si="39"/>
        <v>0</v>
      </c>
      <c r="BP271" s="64">
        <f t="shared" si="40"/>
        <v>0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30">
        <v>4680115880573</v>
      </c>
      <c r="E272" s="631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7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hidden="1" customHeight="1" x14ac:dyDescent="0.25">
      <c r="A273" s="54" t="s">
        <v>452</v>
      </c>
      <c r="B273" s="54" t="s">
        <v>453</v>
      </c>
      <c r="C273" s="31">
        <v>4301051407</v>
      </c>
      <c r="D273" s="630">
        <v>4680115882195</v>
      </c>
      <c r="E273" s="631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7">
        <v>0</v>
      </c>
      <c r="Y273" s="618">
        <f t="shared" si="36"/>
        <v>0</v>
      </c>
      <c r="Z273" s="36" t="str">
        <f>IFERROR(IF(Y273=0,"",ROUNDUP(Y273/H273,0)*0.00651),"")</f>
        <v/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0</v>
      </c>
      <c r="BN273" s="64">
        <f t="shared" si="38"/>
        <v>0</v>
      </c>
      <c r="BO273" s="64">
        <f t="shared" si="39"/>
        <v>0</v>
      </c>
      <c r="BP273" s="64">
        <f t="shared" si="40"/>
        <v>0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30">
        <v>4680115882607</v>
      </c>
      <c r="E274" s="631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30">
        <v>4680115882607</v>
      </c>
      <c r="E275" s="631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30">
        <v>4680115880092</v>
      </c>
      <c r="E276" s="631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7">
        <v>380</v>
      </c>
      <c r="Y276" s="618">
        <f t="shared" si="36"/>
        <v>381.59999999999997</v>
      </c>
      <c r="Z276" s="36">
        <f>IFERROR(IF(Y276=0,"",ROUNDUP(Y276/H276,0)*0.00651),"")</f>
        <v>1.0350900000000001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419.90000000000003</v>
      </c>
      <c r="BN276" s="64">
        <f t="shared" si="38"/>
        <v>421.66800000000001</v>
      </c>
      <c r="BO276" s="64">
        <f t="shared" si="39"/>
        <v>0.86996336996337009</v>
      </c>
      <c r="BP276" s="64">
        <f t="shared" si="40"/>
        <v>0.87362637362637374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30">
        <v>4680115889064</v>
      </c>
      <c r="E277" s="631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8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30">
        <v>4680115880221</v>
      </c>
      <c r="E278" s="631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7">
        <v>107</v>
      </c>
      <c r="Y278" s="618">
        <f t="shared" si="36"/>
        <v>108</v>
      </c>
      <c r="Z278" s="36">
        <f>IFERROR(IF(Y278=0,"",ROUNDUP(Y278/H278,0)*0.00651),"")</f>
        <v>0.29294999999999999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118.23500000000001</v>
      </c>
      <c r="BN278" s="64">
        <f t="shared" si="38"/>
        <v>119.34</v>
      </c>
      <c r="BO278" s="64">
        <f t="shared" si="39"/>
        <v>0.24496336996337001</v>
      </c>
      <c r="BP278" s="64">
        <f t="shared" si="40"/>
        <v>0.24725274725274726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4301051945</v>
      </c>
      <c r="D279" s="630">
        <v>4680115880504</v>
      </c>
      <c r="E279" s="631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5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7">
        <v>0</v>
      </c>
      <c r="Y279" s="618">
        <f t="shared" si="36"/>
        <v>0</v>
      </c>
      <c r="Z279" s="36" t="str">
        <f>IFERROR(IF(Y279=0,"",ROUNDUP(Y279/H279,0)*0.00651),"")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30">
        <v>4680115882164</v>
      </c>
      <c r="E280" s="631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7">
        <v>195</v>
      </c>
      <c r="Y280" s="618">
        <f t="shared" si="36"/>
        <v>196.79999999999998</v>
      </c>
      <c r="Z280" s="36">
        <f>IFERROR(IF(Y280=0,"",ROUNDUP(Y280/H280,0)*0.00651),"")</f>
        <v>0.53381999999999996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215.96249999999998</v>
      </c>
      <c r="BN280" s="64">
        <f t="shared" si="38"/>
        <v>217.95599999999999</v>
      </c>
      <c r="BO280" s="64">
        <f t="shared" si="39"/>
        <v>0.44642857142857145</v>
      </c>
      <c r="BP280" s="64">
        <f t="shared" si="40"/>
        <v>0.45054945054945056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30">
        <v>4680115888340</v>
      </c>
      <c r="E281" s="631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73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2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7" t="s">
        <v>69</v>
      </c>
      <c r="Q282" s="638"/>
      <c r="R282" s="638"/>
      <c r="S282" s="638"/>
      <c r="T282" s="638"/>
      <c r="U282" s="638"/>
      <c r="V282" s="639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284.16666666666669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286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1.8618600000000001</v>
      </c>
      <c r="AA282" s="620"/>
      <c r="AB282" s="620"/>
      <c r="AC282" s="620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7" t="s">
        <v>69</v>
      </c>
      <c r="Q283" s="638"/>
      <c r="R283" s="638"/>
      <c r="S283" s="638"/>
      <c r="T283" s="638"/>
      <c r="U283" s="638"/>
      <c r="V283" s="639"/>
      <c r="W283" s="37" t="s">
        <v>67</v>
      </c>
      <c r="X283" s="619">
        <f>IFERROR(SUM(X270:X281),"0")</f>
        <v>682</v>
      </c>
      <c r="Y283" s="619">
        <f>IFERROR(SUM(Y270:Y281),"0")</f>
        <v>686.4</v>
      </c>
      <c r="Z283" s="37"/>
      <c r="AA283" s="620"/>
      <c r="AB283" s="620"/>
      <c r="AC283" s="620"/>
    </row>
    <row r="284" spans="1:68" ht="14.25" hidden="1" customHeight="1" x14ac:dyDescent="0.25">
      <c r="A284" s="636" t="s">
        <v>161</v>
      </c>
      <c r="B284" s="633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  <c r="AA284" s="613"/>
      <c r="AB284" s="613"/>
      <c r="AC284" s="613"/>
    </row>
    <row r="285" spans="1:68" ht="27" customHeight="1" x14ac:dyDescent="0.25">
      <c r="A285" s="54" t="s">
        <v>474</v>
      </c>
      <c r="B285" s="54" t="s">
        <v>475</v>
      </c>
      <c r="C285" s="31">
        <v>4301060463</v>
      </c>
      <c r="D285" s="630">
        <v>4680115880818</v>
      </c>
      <c r="E285" s="631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7">
        <v>5</v>
      </c>
      <c r="Y285" s="618">
        <f>IFERROR(IF(X285="",0,CEILING((X285/$H285),1)*$H285),"")</f>
        <v>7.1999999999999993</v>
      </c>
      <c r="Z285" s="36">
        <f>IFERROR(IF(Y285=0,"",ROUNDUP(Y285/H285,0)*0.00651),"")</f>
        <v>1.9529999999999999E-2</v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5.5250000000000012</v>
      </c>
      <c r="BN285" s="64">
        <f>IFERROR(Y285*I285/H285,"0")</f>
        <v>7.9560000000000004</v>
      </c>
      <c r="BO285" s="64">
        <f>IFERROR(1/J285*(X285/H285),"0")</f>
        <v>1.1446886446886448E-2</v>
      </c>
      <c r="BP285" s="64">
        <f>IFERROR(1/J285*(Y285/H285),"0")</f>
        <v>1.6483516483516484E-2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30">
        <v>4680115880801</v>
      </c>
      <c r="E286" s="631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32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7" t="s">
        <v>69</v>
      </c>
      <c r="Q287" s="638"/>
      <c r="R287" s="638"/>
      <c r="S287" s="638"/>
      <c r="T287" s="638"/>
      <c r="U287" s="638"/>
      <c r="V287" s="639"/>
      <c r="W287" s="37" t="s">
        <v>70</v>
      </c>
      <c r="X287" s="619">
        <f>IFERROR(X285/H285,"0")+IFERROR(X286/H286,"0")</f>
        <v>2.0833333333333335</v>
      </c>
      <c r="Y287" s="619">
        <f>IFERROR(Y285/H285,"0")+IFERROR(Y286/H286,"0")</f>
        <v>3</v>
      </c>
      <c r="Z287" s="619">
        <f>IFERROR(IF(Z285="",0,Z285),"0")+IFERROR(IF(Z286="",0,Z286),"0")</f>
        <v>1.9529999999999999E-2</v>
      </c>
      <c r="AA287" s="620"/>
      <c r="AB287" s="620"/>
      <c r="AC287" s="620"/>
    </row>
    <row r="288" spans="1:68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7" t="s">
        <v>69</v>
      </c>
      <c r="Q288" s="638"/>
      <c r="R288" s="638"/>
      <c r="S288" s="638"/>
      <c r="T288" s="638"/>
      <c r="U288" s="638"/>
      <c r="V288" s="639"/>
      <c r="W288" s="37" t="s">
        <v>67</v>
      </c>
      <c r="X288" s="619">
        <f>IFERROR(SUM(X285:X286),"0")</f>
        <v>5</v>
      </c>
      <c r="Y288" s="619">
        <f>IFERROR(SUM(Y285:Y286),"0")</f>
        <v>7.1999999999999993</v>
      </c>
      <c r="Z288" s="37"/>
      <c r="AA288" s="620"/>
      <c r="AB288" s="620"/>
      <c r="AC288" s="620"/>
    </row>
    <row r="289" spans="1:68" ht="16.5" hidden="1" customHeight="1" x14ac:dyDescent="0.25">
      <c r="A289" s="640" t="s">
        <v>480</v>
      </c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  <c r="AA289" s="612"/>
      <c r="AB289" s="612"/>
      <c r="AC289" s="612"/>
    </row>
    <row r="290" spans="1:68" ht="14.25" hidden="1" customHeight="1" x14ac:dyDescent="0.25">
      <c r="A290" s="636" t="s">
        <v>108</v>
      </c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  <c r="AA290" s="613"/>
      <c r="AB290" s="613"/>
      <c r="AC290" s="613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30">
        <v>4680115884137</v>
      </c>
      <c r="E291" s="631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30">
        <v>4680115884236</v>
      </c>
      <c r="E292" s="631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30">
        <v>4680115884175</v>
      </c>
      <c r="E293" s="631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5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30">
        <v>4680115884144</v>
      </c>
      <c r="E294" s="631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6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30">
        <v>4680115886551</v>
      </c>
      <c r="E295" s="631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9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30">
        <v>4680115887282</v>
      </c>
      <c r="E296" s="631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30">
        <v>4680115884205</v>
      </c>
      <c r="E297" s="631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5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2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7" t="s">
        <v>69</v>
      </c>
      <c r="Q298" s="638"/>
      <c r="R298" s="638"/>
      <c r="S298" s="638"/>
      <c r="T298" s="638"/>
      <c r="U298" s="638"/>
      <c r="V298" s="639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7" t="s">
        <v>69</v>
      </c>
      <c r="Q299" s="638"/>
      <c r="R299" s="638"/>
      <c r="S299" s="638"/>
      <c r="T299" s="638"/>
      <c r="U299" s="638"/>
      <c r="V299" s="639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6" t="s">
        <v>143</v>
      </c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30">
        <v>4680115885981</v>
      </c>
      <c r="E301" s="631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7" t="s">
        <v>69</v>
      </c>
      <c r="Q302" s="638"/>
      <c r="R302" s="638"/>
      <c r="S302" s="638"/>
      <c r="T302" s="638"/>
      <c r="U302" s="638"/>
      <c r="V302" s="639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7" t="s">
        <v>69</v>
      </c>
      <c r="Q303" s="638"/>
      <c r="R303" s="638"/>
      <c r="S303" s="638"/>
      <c r="T303" s="638"/>
      <c r="U303" s="638"/>
      <c r="V303" s="639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6" t="s">
        <v>502</v>
      </c>
      <c r="B304" s="633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  <c r="AA304" s="613"/>
      <c r="AB304" s="613"/>
      <c r="AC304" s="613"/>
    </row>
    <row r="305" spans="1:68" ht="27" customHeight="1" x14ac:dyDescent="0.25">
      <c r="A305" s="54" t="s">
        <v>503</v>
      </c>
      <c r="B305" s="54" t="s">
        <v>504</v>
      </c>
      <c r="C305" s="31">
        <v>4301040362</v>
      </c>
      <c r="D305" s="630">
        <v>4680115886803</v>
      </c>
      <c r="E305" s="631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7">
        <v>2</v>
      </c>
      <c r="Y305" s="618">
        <f>IFERROR(IF(X305="",0,CEILING((X305/$H305),1)*$H305),"")</f>
        <v>3.6</v>
      </c>
      <c r="Z305" s="36">
        <f>IFERROR(IF(Y305=0,"",ROUNDUP(Y305/H305,0)*0.0059),"")</f>
        <v>1.18E-2</v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2.1944444444444446</v>
      </c>
      <c r="BN305" s="64">
        <f>IFERROR(Y305*I305/H305,"0")</f>
        <v>3.95</v>
      </c>
      <c r="BO305" s="64">
        <f>IFERROR(1/J305*(X305/H305),"0")</f>
        <v>5.1440329218106996E-3</v>
      </c>
      <c r="BP305" s="64">
        <f>IFERROR(1/J305*(Y305/H305),"0")</f>
        <v>9.2592592592592587E-3</v>
      </c>
    </row>
    <row r="306" spans="1:68" x14ac:dyDescent="0.2">
      <c r="A306" s="632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7" t="s">
        <v>69</v>
      </c>
      <c r="Q306" s="638"/>
      <c r="R306" s="638"/>
      <c r="S306" s="638"/>
      <c r="T306" s="638"/>
      <c r="U306" s="638"/>
      <c r="V306" s="639"/>
      <c r="W306" s="37" t="s">
        <v>70</v>
      </c>
      <c r="X306" s="619">
        <f>IFERROR(X305/H305,"0")</f>
        <v>1.1111111111111112</v>
      </c>
      <c r="Y306" s="619">
        <f>IFERROR(Y305/H305,"0")</f>
        <v>2</v>
      </c>
      <c r="Z306" s="619">
        <f>IFERROR(IF(Z305="",0,Z305),"0")</f>
        <v>1.18E-2</v>
      </c>
      <c r="AA306" s="620"/>
      <c r="AB306" s="620"/>
      <c r="AC306" s="620"/>
    </row>
    <row r="307" spans="1:68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7" t="s">
        <v>69</v>
      </c>
      <c r="Q307" s="638"/>
      <c r="R307" s="638"/>
      <c r="S307" s="638"/>
      <c r="T307" s="638"/>
      <c r="U307" s="638"/>
      <c r="V307" s="639"/>
      <c r="W307" s="37" t="s">
        <v>67</v>
      </c>
      <c r="X307" s="619">
        <f>IFERROR(SUM(X305:X305),"0")</f>
        <v>2</v>
      </c>
      <c r="Y307" s="619">
        <f>IFERROR(SUM(Y305:Y305),"0")</f>
        <v>3.6</v>
      </c>
      <c r="Z307" s="37"/>
      <c r="AA307" s="620"/>
      <c r="AB307" s="620"/>
      <c r="AC307" s="620"/>
    </row>
    <row r="308" spans="1:68" ht="14.25" hidden="1" customHeight="1" x14ac:dyDescent="0.25">
      <c r="A308" s="636" t="s">
        <v>323</v>
      </c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30">
        <v>4680115886681</v>
      </c>
      <c r="E309" s="631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81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30">
        <v>4680115886735</v>
      </c>
      <c r="E310" s="631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2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7" t="s">
        <v>69</v>
      </c>
      <c r="Q311" s="638"/>
      <c r="R311" s="638"/>
      <c r="S311" s="638"/>
      <c r="T311" s="638"/>
      <c r="U311" s="638"/>
      <c r="V311" s="639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7" t="s">
        <v>69</v>
      </c>
      <c r="Q312" s="638"/>
      <c r="R312" s="638"/>
      <c r="S312" s="638"/>
      <c r="T312" s="638"/>
      <c r="U312" s="638"/>
      <c r="V312" s="639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40" t="s">
        <v>511</v>
      </c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  <c r="AA313" s="612"/>
      <c r="AB313" s="612"/>
      <c r="AC313" s="612"/>
    </row>
    <row r="314" spans="1:68" ht="14.25" hidden="1" customHeight="1" x14ac:dyDescent="0.25">
      <c r="A314" s="636" t="s">
        <v>108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30">
        <v>4680115885837</v>
      </c>
      <c r="E315" s="631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2"/>
      <c r="R315" s="622"/>
      <c r="S315" s="622"/>
      <c r="T315" s="623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30">
        <v>4680115889637</v>
      </c>
      <c r="E316" s="631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30">
        <v>4680115887237</v>
      </c>
      <c r="E317" s="631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30">
        <v>4680115885806</v>
      </c>
      <c r="E318" s="631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30">
        <v>4680115885844</v>
      </c>
      <c r="E319" s="631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30">
        <v>4680115885820</v>
      </c>
      <c r="E320" s="631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2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7" t="s">
        <v>69</v>
      </c>
      <c r="Q321" s="638"/>
      <c r="R321" s="638"/>
      <c r="S321" s="638"/>
      <c r="T321" s="638"/>
      <c r="U321" s="638"/>
      <c r="V321" s="639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7" t="s">
        <v>69</v>
      </c>
      <c r="Q322" s="638"/>
      <c r="R322" s="638"/>
      <c r="S322" s="638"/>
      <c r="T322" s="638"/>
      <c r="U322" s="638"/>
      <c r="V322" s="639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40" t="s">
        <v>530</v>
      </c>
      <c r="B323" s="633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  <c r="AA323" s="612"/>
      <c r="AB323" s="612"/>
      <c r="AC323" s="612"/>
    </row>
    <row r="324" spans="1:68" ht="14.25" hidden="1" customHeight="1" x14ac:dyDescent="0.25">
      <c r="A324" s="636" t="s">
        <v>71</v>
      </c>
      <c r="B324" s="633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30">
        <v>4680115886186</v>
      </c>
      <c r="E325" s="631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30">
        <v>4680115881228</v>
      </c>
      <c r="E326" s="631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5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7">
        <v>35</v>
      </c>
      <c r="Y326" s="618">
        <f>IFERROR(IF(X326="",0,CEILING((X326/$H326),1)*$H326),"")</f>
        <v>36</v>
      </c>
      <c r="Z326" s="36">
        <f>IFERROR(IF(Y326=0,"",ROUNDUP(Y326/H326,0)*0.00651),"")</f>
        <v>9.7650000000000001E-2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38.675000000000004</v>
      </c>
      <c r="BN326" s="64">
        <f>IFERROR(Y326*I326/H326,"0")</f>
        <v>39.780000000000008</v>
      </c>
      <c r="BO326" s="64">
        <f>IFERROR(1/J326*(X326/H326),"0")</f>
        <v>8.0128205128205135E-2</v>
      </c>
      <c r="BP326" s="64">
        <f>IFERROR(1/J326*(Y326/H326),"0")</f>
        <v>8.241758241758243E-2</v>
      </c>
    </row>
    <row r="327" spans="1:68" ht="27" hidden="1" customHeight="1" x14ac:dyDescent="0.25">
      <c r="A327" s="54" t="s">
        <v>537</v>
      </c>
      <c r="B327" s="54" t="s">
        <v>538</v>
      </c>
      <c r="C327" s="31">
        <v>4301051388</v>
      </c>
      <c r="D327" s="630">
        <v>4680115881211</v>
      </c>
      <c r="E327" s="631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8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7">
        <v>0</v>
      </c>
      <c r="Y327" s="61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632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7" t="s">
        <v>69</v>
      </c>
      <c r="Q328" s="638"/>
      <c r="R328" s="638"/>
      <c r="S328" s="638"/>
      <c r="T328" s="638"/>
      <c r="U328" s="638"/>
      <c r="V328" s="639"/>
      <c r="W328" s="37" t="s">
        <v>70</v>
      </c>
      <c r="X328" s="619">
        <f>IFERROR(X325/H325,"0")+IFERROR(X326/H326,"0")+IFERROR(X327/H327,"0")</f>
        <v>14.583333333333334</v>
      </c>
      <c r="Y328" s="619">
        <f>IFERROR(Y325/H325,"0")+IFERROR(Y326/H326,"0")+IFERROR(Y327/H327,"0")</f>
        <v>15</v>
      </c>
      <c r="Z328" s="619">
        <f>IFERROR(IF(Z325="",0,Z325),"0")+IFERROR(IF(Z326="",0,Z326),"0")+IFERROR(IF(Z327="",0,Z327),"0")</f>
        <v>9.7650000000000001E-2</v>
      </c>
      <c r="AA328" s="620"/>
      <c r="AB328" s="620"/>
      <c r="AC328" s="620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7" t="s">
        <v>69</v>
      </c>
      <c r="Q329" s="638"/>
      <c r="R329" s="638"/>
      <c r="S329" s="638"/>
      <c r="T329" s="638"/>
      <c r="U329" s="638"/>
      <c r="V329" s="639"/>
      <c r="W329" s="37" t="s">
        <v>67</v>
      </c>
      <c r="X329" s="619">
        <f>IFERROR(SUM(X325:X327),"0")</f>
        <v>35</v>
      </c>
      <c r="Y329" s="619">
        <f>IFERROR(SUM(Y325:Y327),"0")</f>
        <v>36</v>
      </c>
      <c r="Z329" s="37"/>
      <c r="AA329" s="620"/>
      <c r="AB329" s="620"/>
      <c r="AC329" s="620"/>
    </row>
    <row r="330" spans="1:68" ht="16.5" hidden="1" customHeight="1" x14ac:dyDescent="0.25">
      <c r="A330" s="640" t="s">
        <v>539</v>
      </c>
      <c r="B330" s="633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  <c r="AA330" s="612"/>
      <c r="AB330" s="612"/>
      <c r="AC330" s="612"/>
    </row>
    <row r="331" spans="1:68" ht="14.25" hidden="1" customHeight="1" x14ac:dyDescent="0.25">
      <c r="A331" s="636" t="s">
        <v>62</v>
      </c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30">
        <v>4680115888319</v>
      </c>
      <c r="E332" s="631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30">
        <v>4680115884700</v>
      </c>
      <c r="E333" s="631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30">
        <v>4680115880344</v>
      </c>
      <c r="E334" s="631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30">
        <v>4680115886919</v>
      </c>
      <c r="E335" s="631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8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2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7" t="s">
        <v>69</v>
      </c>
      <c r="Q336" s="638"/>
      <c r="R336" s="638"/>
      <c r="S336" s="638"/>
      <c r="T336" s="638"/>
      <c r="U336" s="638"/>
      <c r="V336" s="639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7" t="s">
        <v>69</v>
      </c>
      <c r="Q337" s="638"/>
      <c r="R337" s="638"/>
      <c r="S337" s="638"/>
      <c r="T337" s="638"/>
      <c r="U337" s="638"/>
      <c r="V337" s="639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6" t="s">
        <v>71</v>
      </c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30">
        <v>4680115884618</v>
      </c>
      <c r="E339" s="631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2"/>
      <c r="R339" s="622"/>
      <c r="S339" s="622"/>
      <c r="T339" s="623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30">
        <v>4680115887114</v>
      </c>
      <c r="E340" s="631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30">
        <v>4680115887466</v>
      </c>
      <c r="E341" s="631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90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7" t="s">
        <v>69</v>
      </c>
      <c r="Q342" s="638"/>
      <c r="R342" s="638"/>
      <c r="S342" s="638"/>
      <c r="T342" s="638"/>
      <c r="U342" s="638"/>
      <c r="V342" s="639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7" t="s">
        <v>69</v>
      </c>
      <c r="Q343" s="638"/>
      <c r="R343" s="638"/>
      <c r="S343" s="638"/>
      <c r="T343" s="638"/>
      <c r="U343" s="638"/>
      <c r="V343" s="639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40" t="s">
        <v>561</v>
      </c>
      <c r="B344" s="633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  <c r="AA344" s="612"/>
      <c r="AB344" s="612"/>
      <c r="AC344" s="612"/>
    </row>
    <row r="345" spans="1:68" ht="14.25" hidden="1" customHeight="1" x14ac:dyDescent="0.25">
      <c r="A345" s="636" t="s">
        <v>108</v>
      </c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  <c r="AA345" s="613"/>
      <c r="AB345" s="613"/>
      <c r="AC345" s="613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30">
        <v>4680115887947</v>
      </c>
      <c r="E346" s="631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9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7">
        <v>93</v>
      </c>
      <c r="Y346" s="618">
        <f>IFERROR(IF(X346="",0,CEILING((X346/$H346),1)*$H346),"")</f>
        <v>93.6</v>
      </c>
      <c r="Z346" s="36">
        <f>IFERROR(IF(Y346=0,"",ROUNDUP(Y346/H346,0)*0.01898),"")</f>
        <v>0.22776000000000002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97.888461538461556</v>
      </c>
      <c r="BN346" s="64">
        <f>IFERROR(Y346*I346/H346,"0")</f>
        <v>98.52000000000001</v>
      </c>
      <c r="BO346" s="64">
        <f>IFERROR(1/J346*(X346/H346),"0")</f>
        <v>0.18629807692307693</v>
      </c>
      <c r="BP346" s="64">
        <f>IFERROR(1/J346*(Y346/H346),"0")</f>
        <v>0.1875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30">
        <v>4680115887978</v>
      </c>
      <c r="E347" s="631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7">
        <v>201</v>
      </c>
      <c r="Y347" s="618">
        <f>IFERROR(IF(X347="",0,CEILING((X347/$H347),1)*$H347),"")</f>
        <v>202.79999999999998</v>
      </c>
      <c r="Z347" s="36">
        <f>IFERROR(IF(Y347=0,"",ROUNDUP(Y347/H347,0)*0.01898),"")</f>
        <v>0.49348000000000003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211.56538461538466</v>
      </c>
      <c r="BN347" s="64">
        <f>IFERROR(Y347*I347/H347,"0")</f>
        <v>213.46</v>
      </c>
      <c r="BO347" s="64">
        <f>IFERROR(1/J347*(X347/H347),"0")</f>
        <v>0.40264423076923078</v>
      </c>
      <c r="BP347" s="64">
        <f>IFERROR(1/J347*(Y347/H347),"0")</f>
        <v>0.40625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30">
        <v>4680115887992</v>
      </c>
      <c r="E348" s="631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7">
        <v>17</v>
      </c>
      <c r="Y348" s="618">
        <f>IFERROR(IF(X348="",0,CEILING((X348/$H348),1)*$H348),"")</f>
        <v>23.4</v>
      </c>
      <c r="Z348" s="36">
        <f>IFERROR(IF(Y348=0,"",ROUNDUP(Y348/H348,0)*0.01898),"")</f>
        <v>5.6940000000000004E-2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17.893589743589747</v>
      </c>
      <c r="BN348" s="64">
        <f>IFERROR(Y348*I348/H348,"0")</f>
        <v>24.630000000000003</v>
      </c>
      <c r="BO348" s="64">
        <f>IFERROR(1/J348*(X348/H348),"0")</f>
        <v>3.4054487179487183E-2</v>
      </c>
      <c r="BP348" s="64">
        <f>IFERROR(1/J348*(Y348/H348),"0")</f>
        <v>4.6875E-2</v>
      </c>
    </row>
    <row r="349" spans="1:68" x14ac:dyDescent="0.2">
      <c r="A349" s="632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7" t="s">
        <v>69</v>
      </c>
      <c r="Q349" s="638"/>
      <c r="R349" s="638"/>
      <c r="S349" s="638"/>
      <c r="T349" s="638"/>
      <c r="U349" s="638"/>
      <c r="V349" s="639"/>
      <c r="W349" s="37" t="s">
        <v>70</v>
      </c>
      <c r="X349" s="619">
        <f>IFERROR(X346/H346,"0")+IFERROR(X347/H347,"0")+IFERROR(X348/H348,"0")</f>
        <v>39.871794871794876</v>
      </c>
      <c r="Y349" s="619">
        <f>IFERROR(Y346/H346,"0")+IFERROR(Y347/H347,"0")+IFERROR(Y348/H348,"0")</f>
        <v>41</v>
      </c>
      <c r="Z349" s="619">
        <f>IFERROR(IF(Z346="",0,Z346),"0")+IFERROR(IF(Z347="",0,Z347),"0")+IFERROR(IF(Z348="",0,Z348),"0")</f>
        <v>0.77818000000000009</v>
      </c>
      <c r="AA349" s="620"/>
      <c r="AB349" s="620"/>
      <c r="AC349" s="620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7" t="s">
        <v>69</v>
      </c>
      <c r="Q350" s="638"/>
      <c r="R350" s="638"/>
      <c r="S350" s="638"/>
      <c r="T350" s="638"/>
      <c r="U350" s="638"/>
      <c r="V350" s="639"/>
      <c r="W350" s="37" t="s">
        <v>67</v>
      </c>
      <c r="X350" s="619">
        <f>IFERROR(SUM(X346:X348),"0")</f>
        <v>311</v>
      </c>
      <c r="Y350" s="619">
        <f>IFERROR(SUM(Y346:Y348),"0")</f>
        <v>319.79999999999995</v>
      </c>
      <c r="Z350" s="37"/>
      <c r="AA350" s="620"/>
      <c r="AB350" s="620"/>
      <c r="AC350" s="620"/>
    </row>
    <row r="351" spans="1:68" ht="16.5" hidden="1" customHeight="1" x14ac:dyDescent="0.25">
      <c r="A351" s="640" t="s">
        <v>570</v>
      </c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  <c r="AA351" s="612"/>
      <c r="AB351" s="612"/>
      <c r="AC351" s="612"/>
    </row>
    <row r="352" spans="1:68" ht="14.25" hidden="1" customHeight="1" x14ac:dyDescent="0.25">
      <c r="A352" s="636" t="s">
        <v>108</v>
      </c>
      <c r="B352" s="633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30">
        <v>4680115889293</v>
      </c>
      <c r="E353" s="631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30">
        <v>4680115887190</v>
      </c>
      <c r="E354" s="631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30">
        <v>4680115889880</v>
      </c>
      <c r="E355" s="631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30">
        <v>4680115887138</v>
      </c>
      <c r="E356" s="631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30">
        <v>4680115885554</v>
      </c>
      <c r="E357" s="631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30">
        <v>4680115887220</v>
      </c>
      <c r="E358" s="631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6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2"/>
      <c r="R358" s="622"/>
      <c r="S358" s="622"/>
      <c r="T358" s="623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30">
        <v>4680115885608</v>
      </c>
      <c r="E359" s="631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2"/>
      <c r="R359" s="622"/>
      <c r="S359" s="622"/>
      <c r="T359" s="623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2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7" t="s">
        <v>69</v>
      </c>
      <c r="Q360" s="638"/>
      <c r="R360" s="638"/>
      <c r="S360" s="638"/>
      <c r="T360" s="638"/>
      <c r="U360" s="638"/>
      <c r="V360" s="639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7" t="s">
        <v>69</v>
      </c>
      <c r="Q361" s="638"/>
      <c r="R361" s="638"/>
      <c r="S361" s="638"/>
      <c r="T361" s="638"/>
      <c r="U361" s="638"/>
      <c r="V361" s="639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6" t="s">
        <v>62</v>
      </c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30">
        <v>4607091387193</v>
      </c>
      <c r="E363" s="631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30">
        <v>4607091387230</v>
      </c>
      <c r="E364" s="631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30">
        <v>4607091387292</v>
      </c>
      <c r="E365" s="631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30">
        <v>4607091387285</v>
      </c>
      <c r="E366" s="631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2"/>
      <c r="R366" s="622"/>
      <c r="S366" s="622"/>
      <c r="T366" s="623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30">
        <v>4607091389845</v>
      </c>
      <c r="E367" s="631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30">
        <v>4680115887442</v>
      </c>
      <c r="E368" s="631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2"/>
      <c r="R368" s="622"/>
      <c r="S368" s="622"/>
      <c r="T368" s="623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customHeight="1" x14ac:dyDescent="0.25">
      <c r="A369" s="54" t="s">
        <v>606</v>
      </c>
      <c r="B369" s="54" t="s">
        <v>607</v>
      </c>
      <c r="C369" s="31">
        <v>4301031066</v>
      </c>
      <c r="D369" s="630">
        <v>4607091383836</v>
      </c>
      <c r="E369" s="631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2"/>
      <c r="R369" s="622"/>
      <c r="S369" s="622"/>
      <c r="T369" s="623"/>
      <c r="U369" s="34"/>
      <c r="V369" s="34"/>
      <c r="W369" s="35" t="s">
        <v>67</v>
      </c>
      <c r="X369" s="617">
        <v>35</v>
      </c>
      <c r="Y369" s="618">
        <f t="shared" si="56"/>
        <v>36</v>
      </c>
      <c r="Z369" s="36">
        <f>IFERROR(IF(Y369=0,"",ROUNDUP(Y369/H369,0)*0.00651),"")</f>
        <v>0.13020000000000001</v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39.433333333333337</v>
      </c>
      <c r="BN369" s="64">
        <f t="shared" si="58"/>
        <v>40.559999999999995</v>
      </c>
      <c r="BO369" s="64">
        <f t="shared" si="59"/>
        <v>0.10683760683760683</v>
      </c>
      <c r="BP369" s="64">
        <f t="shared" si="60"/>
        <v>0.1098901098901099</v>
      </c>
    </row>
    <row r="370" spans="1:68" x14ac:dyDescent="0.2">
      <c r="A370" s="632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7" t="s">
        <v>69</v>
      </c>
      <c r="Q370" s="638"/>
      <c r="R370" s="638"/>
      <c r="S370" s="638"/>
      <c r="T370" s="638"/>
      <c r="U370" s="638"/>
      <c r="V370" s="639"/>
      <c r="W370" s="37" t="s">
        <v>70</v>
      </c>
      <c r="X370" s="619">
        <f>IFERROR(X363/H363,"0")+IFERROR(X364/H364,"0")+IFERROR(X365/H365,"0")+IFERROR(X366/H366,"0")+IFERROR(X367/H367,"0")+IFERROR(X368/H368,"0")+IFERROR(X369/H369,"0")</f>
        <v>19.444444444444443</v>
      </c>
      <c r="Y370" s="619">
        <f>IFERROR(Y363/H363,"0")+IFERROR(Y364/H364,"0")+IFERROR(Y365/H365,"0")+IFERROR(Y366/H366,"0")+IFERROR(Y367/H367,"0")+IFERROR(Y368/H368,"0")+IFERROR(Y369/H369,"0")</f>
        <v>20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0.13020000000000001</v>
      </c>
      <c r="AA370" s="620"/>
      <c r="AB370" s="620"/>
      <c r="AC370" s="620"/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7" t="s">
        <v>69</v>
      </c>
      <c r="Q371" s="638"/>
      <c r="R371" s="638"/>
      <c r="S371" s="638"/>
      <c r="T371" s="638"/>
      <c r="U371" s="638"/>
      <c r="V371" s="639"/>
      <c r="W371" s="37" t="s">
        <v>67</v>
      </c>
      <c r="X371" s="619">
        <f>IFERROR(SUM(X363:X369),"0")</f>
        <v>35</v>
      </c>
      <c r="Y371" s="619">
        <f>IFERROR(SUM(Y363:Y369),"0")</f>
        <v>36</v>
      </c>
      <c r="Z371" s="37"/>
      <c r="AA371" s="620"/>
      <c r="AB371" s="620"/>
      <c r="AC371" s="620"/>
    </row>
    <row r="372" spans="1:68" ht="14.25" hidden="1" customHeight="1" x14ac:dyDescent="0.25">
      <c r="A372" s="636" t="s">
        <v>71</v>
      </c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30">
        <v>4607091387766</v>
      </c>
      <c r="E373" s="631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2"/>
      <c r="R373" s="622"/>
      <c r="S373" s="622"/>
      <c r="T373" s="623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30">
        <v>4607091387957</v>
      </c>
      <c r="E374" s="631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2"/>
      <c r="R374" s="622"/>
      <c r="S374" s="622"/>
      <c r="T374" s="623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30">
        <v>4607091387964</v>
      </c>
      <c r="E375" s="631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2"/>
      <c r="R375" s="622"/>
      <c r="S375" s="622"/>
      <c r="T375" s="623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30">
        <v>4680115884588</v>
      </c>
      <c r="E376" s="631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2"/>
      <c r="R376" s="622"/>
      <c r="S376" s="622"/>
      <c r="T376" s="623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2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7" t="s">
        <v>69</v>
      </c>
      <c r="Q377" s="638"/>
      <c r="R377" s="638"/>
      <c r="S377" s="638"/>
      <c r="T377" s="638"/>
      <c r="U377" s="638"/>
      <c r="V377" s="639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7" t="s">
        <v>69</v>
      </c>
      <c r="Q378" s="638"/>
      <c r="R378" s="638"/>
      <c r="S378" s="638"/>
      <c r="T378" s="638"/>
      <c r="U378" s="638"/>
      <c r="V378" s="639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6" t="s">
        <v>161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13"/>
      <c r="AB379" s="613"/>
      <c r="AC379" s="613"/>
    </row>
    <row r="380" spans="1:68" ht="27" hidden="1" customHeight="1" x14ac:dyDescent="0.25">
      <c r="A380" s="54" t="s">
        <v>620</v>
      </c>
      <c r="B380" s="54" t="s">
        <v>621</v>
      </c>
      <c r="C380" s="31">
        <v>4301060387</v>
      </c>
      <c r="D380" s="630">
        <v>4607091380880</v>
      </c>
      <c r="E380" s="631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7">
        <v>0</v>
      </c>
      <c r="Y380" s="618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30">
        <v>4607091384482</v>
      </c>
      <c r="E381" s="631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2"/>
      <c r="R381" s="622"/>
      <c r="S381" s="622"/>
      <c r="T381" s="623"/>
      <c r="U381" s="34"/>
      <c r="V381" s="34"/>
      <c r="W381" s="35" t="s">
        <v>67</v>
      </c>
      <c r="X381" s="617">
        <v>79</v>
      </c>
      <c r="Y381" s="618">
        <f>IFERROR(IF(X381="",0,CEILING((X381/$H381),1)*$H381),"")</f>
        <v>85.8</v>
      </c>
      <c r="Z381" s="36">
        <f>IFERROR(IF(Y381=0,"",ROUNDUP(Y381/H381,0)*0.01898),"")</f>
        <v>0.20877999999999999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84.00333333333333</v>
      </c>
      <c r="BN381" s="64">
        <f>IFERROR(Y381*I381/H381,"0")</f>
        <v>91.234000000000009</v>
      </c>
      <c r="BO381" s="64">
        <f>IFERROR(1/J381*(X381/H381),"0")</f>
        <v>0.15825320512820512</v>
      </c>
      <c r="BP381" s="64">
        <f>IFERROR(1/J381*(Y381/H381),"0")</f>
        <v>0.171875</v>
      </c>
    </row>
    <row r="382" spans="1:68" ht="27" customHeight="1" x14ac:dyDescent="0.25">
      <c r="A382" s="54" t="s">
        <v>626</v>
      </c>
      <c r="B382" s="54" t="s">
        <v>627</v>
      </c>
      <c r="C382" s="31">
        <v>4301060484</v>
      </c>
      <c r="D382" s="630">
        <v>4607091380897</v>
      </c>
      <c r="E382" s="631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2"/>
      <c r="R382" s="622"/>
      <c r="S382" s="622"/>
      <c r="T382" s="623"/>
      <c r="U382" s="34"/>
      <c r="V382" s="34"/>
      <c r="W382" s="35" t="s">
        <v>67</v>
      </c>
      <c r="X382" s="617">
        <v>20</v>
      </c>
      <c r="Y382" s="618">
        <f>IFERROR(IF(X382="",0,CEILING((X382/$H382),1)*$H382),"")</f>
        <v>25.200000000000003</v>
      </c>
      <c r="Z382" s="36">
        <f>IFERROR(IF(Y382=0,"",ROUNDUP(Y382/H382,0)*0.01898),"")</f>
        <v>5.6940000000000004E-2</v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21.176190476190474</v>
      </c>
      <c r="BN382" s="64">
        <f>IFERROR(Y382*I382/H382,"0")</f>
        <v>26.682000000000002</v>
      </c>
      <c r="BO382" s="64">
        <f>IFERROR(1/J382*(X382/H382),"0")</f>
        <v>3.7202380952380952E-2</v>
      </c>
      <c r="BP382" s="64">
        <f>IFERROR(1/J382*(Y382/H382),"0")</f>
        <v>4.6875E-2</v>
      </c>
    </row>
    <row r="383" spans="1:68" x14ac:dyDescent="0.2">
      <c r="A383" s="632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7" t="s">
        <v>69</v>
      </c>
      <c r="Q383" s="638"/>
      <c r="R383" s="638"/>
      <c r="S383" s="638"/>
      <c r="T383" s="638"/>
      <c r="U383" s="638"/>
      <c r="V383" s="639"/>
      <c r="W383" s="37" t="s">
        <v>70</v>
      </c>
      <c r="X383" s="619">
        <f>IFERROR(X380/H380,"0")+IFERROR(X381/H381,"0")+IFERROR(X382/H382,"0")</f>
        <v>12.509157509157509</v>
      </c>
      <c r="Y383" s="619">
        <f>IFERROR(Y380/H380,"0")+IFERROR(Y381/H381,"0")+IFERROR(Y382/H382,"0")</f>
        <v>14</v>
      </c>
      <c r="Z383" s="619">
        <f>IFERROR(IF(Z380="",0,Z380),"0")+IFERROR(IF(Z381="",0,Z381),"0")+IFERROR(IF(Z382="",0,Z382),"0")</f>
        <v>0.26572000000000001</v>
      </c>
      <c r="AA383" s="620"/>
      <c r="AB383" s="620"/>
      <c r="AC383" s="620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7" t="s">
        <v>69</v>
      </c>
      <c r="Q384" s="638"/>
      <c r="R384" s="638"/>
      <c r="S384" s="638"/>
      <c r="T384" s="638"/>
      <c r="U384" s="638"/>
      <c r="V384" s="639"/>
      <c r="W384" s="37" t="s">
        <v>67</v>
      </c>
      <c r="X384" s="619">
        <f>IFERROR(SUM(X380:X382),"0")</f>
        <v>99</v>
      </c>
      <c r="Y384" s="619">
        <f>IFERROR(SUM(Y380:Y382),"0")</f>
        <v>111</v>
      </c>
      <c r="Z384" s="37"/>
      <c r="AA384" s="620"/>
      <c r="AB384" s="620"/>
      <c r="AC384" s="620"/>
    </row>
    <row r="385" spans="1:68" ht="14.25" hidden="1" customHeight="1" x14ac:dyDescent="0.25">
      <c r="A385" s="636" t="s">
        <v>263</v>
      </c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  <c r="AA385" s="613"/>
      <c r="AB385" s="613"/>
      <c r="AC385" s="613"/>
    </row>
    <row r="386" spans="1:68" ht="27" customHeight="1" x14ac:dyDescent="0.25">
      <c r="A386" s="54" t="s">
        <v>629</v>
      </c>
      <c r="B386" s="54" t="s">
        <v>630</v>
      </c>
      <c r="C386" s="31">
        <v>4301030235</v>
      </c>
      <c r="D386" s="630">
        <v>4607091388381</v>
      </c>
      <c r="E386" s="631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7">
        <v>60</v>
      </c>
      <c r="Y386" s="618">
        <f>IFERROR(IF(X386="",0,CEILING((X386/$H386),1)*$H386),"")</f>
        <v>60.8</v>
      </c>
      <c r="Z386" s="36">
        <f>IFERROR(IF(Y386=0,"",ROUNDUP(Y386/H386,0)*0.00902),"")</f>
        <v>0.1804</v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65.328947368421055</v>
      </c>
      <c r="BN386" s="64">
        <f>IFERROR(Y386*I386/H386,"0")</f>
        <v>66.2</v>
      </c>
      <c r="BO386" s="64">
        <f>IFERROR(1/J386*(X386/H386),"0")</f>
        <v>0.14952153110047847</v>
      </c>
      <c r="BP386" s="64">
        <f>IFERROR(1/J386*(Y386/H386),"0")</f>
        <v>0.15151515151515152</v>
      </c>
    </row>
    <row r="387" spans="1:68" ht="27" customHeight="1" x14ac:dyDescent="0.25">
      <c r="A387" s="54" t="s">
        <v>632</v>
      </c>
      <c r="B387" s="54" t="s">
        <v>633</v>
      </c>
      <c r="C387" s="31">
        <v>4301030232</v>
      </c>
      <c r="D387" s="630">
        <v>4607091388374</v>
      </c>
      <c r="E387" s="631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80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7">
        <v>80</v>
      </c>
      <c r="Y387" s="618">
        <f>IFERROR(IF(X387="",0,CEILING((X387/$H387),1)*$H387),"")</f>
        <v>82.08</v>
      </c>
      <c r="Z387" s="36">
        <f>IFERROR(IF(Y387=0,"",ROUNDUP(Y387/H387,0)*0.00902),"")</f>
        <v>0.24354000000000001</v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86.05263157894737</v>
      </c>
      <c r="BN387" s="64">
        <f>IFERROR(Y387*I387/H387,"0")</f>
        <v>88.289999999999992</v>
      </c>
      <c r="BO387" s="64">
        <f>IFERROR(1/J387*(X387/H387),"0")</f>
        <v>0.19936204146730463</v>
      </c>
      <c r="BP387" s="64">
        <f>IFERROR(1/J387*(Y387/H387),"0")</f>
        <v>0.20454545454545456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4301032015</v>
      </c>
      <c r="D388" s="630">
        <v>4607091383102</v>
      </c>
      <c r="E388" s="631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2"/>
      <c r="R388" s="622"/>
      <c r="S388" s="622"/>
      <c r="T388" s="623"/>
      <c r="U388" s="34"/>
      <c r="V388" s="34"/>
      <c r="W388" s="35" t="s">
        <v>67</v>
      </c>
      <c r="X388" s="617">
        <v>0</v>
      </c>
      <c r="Y388" s="618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636</v>
      </c>
      <c r="B389" s="54" t="s">
        <v>637</v>
      </c>
      <c r="C389" s="31">
        <v>4301030233</v>
      </c>
      <c r="D389" s="630">
        <v>4607091388404</v>
      </c>
      <c r="E389" s="631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2"/>
      <c r="R389" s="622"/>
      <c r="S389" s="622"/>
      <c r="T389" s="623"/>
      <c r="U389" s="34"/>
      <c r="V389" s="34"/>
      <c r="W389" s="35" t="s">
        <v>67</v>
      </c>
      <c r="X389" s="617">
        <v>26</v>
      </c>
      <c r="Y389" s="618">
        <f>IFERROR(IF(X389="",0,CEILING((X389/$H389),1)*$H389),"")</f>
        <v>28.049999999999997</v>
      </c>
      <c r="Z389" s="36">
        <f>IFERROR(IF(Y389=0,"",ROUNDUP(Y389/H389,0)*0.00651),"")</f>
        <v>7.1610000000000007E-2</v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29.36470588235294</v>
      </c>
      <c r="BN389" s="64">
        <f>IFERROR(Y389*I389/H389,"0")</f>
        <v>31.68</v>
      </c>
      <c r="BO389" s="64">
        <f>IFERROR(1/J389*(X389/H389),"0")</f>
        <v>5.6022408963585443E-2</v>
      </c>
      <c r="BP389" s="64">
        <f>IFERROR(1/J389*(Y389/H389),"0")</f>
        <v>6.0439560439560447E-2</v>
      </c>
    </row>
    <row r="390" spans="1:68" x14ac:dyDescent="0.2">
      <c r="A390" s="632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7" t="s">
        <v>69</v>
      </c>
      <c r="Q390" s="638"/>
      <c r="R390" s="638"/>
      <c r="S390" s="638"/>
      <c r="T390" s="638"/>
      <c r="U390" s="638"/>
      <c r="V390" s="639"/>
      <c r="W390" s="37" t="s">
        <v>70</v>
      </c>
      <c r="X390" s="619">
        <f>IFERROR(X386/H386,"0")+IFERROR(X387/H387,"0")+IFERROR(X388/H388,"0")+IFERROR(X389/H389,"0")</f>
        <v>56.248710010319918</v>
      </c>
      <c r="Y390" s="619">
        <f>IFERROR(Y386/H386,"0")+IFERROR(Y387/H387,"0")+IFERROR(Y388/H388,"0")+IFERROR(Y389/H389,"0")</f>
        <v>58</v>
      </c>
      <c r="Z390" s="619">
        <f>IFERROR(IF(Z386="",0,Z386),"0")+IFERROR(IF(Z387="",0,Z387),"0")+IFERROR(IF(Z388="",0,Z388),"0")+IFERROR(IF(Z389="",0,Z389),"0")</f>
        <v>0.49554999999999999</v>
      </c>
      <c r="AA390" s="620"/>
      <c r="AB390" s="620"/>
      <c r="AC390" s="620"/>
    </row>
    <row r="391" spans="1:68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7" t="s">
        <v>69</v>
      </c>
      <c r="Q391" s="638"/>
      <c r="R391" s="638"/>
      <c r="S391" s="638"/>
      <c r="T391" s="638"/>
      <c r="U391" s="638"/>
      <c r="V391" s="639"/>
      <c r="W391" s="37" t="s">
        <v>67</v>
      </c>
      <c r="X391" s="619">
        <f>IFERROR(SUM(X386:X389),"0")</f>
        <v>166</v>
      </c>
      <c r="Y391" s="619">
        <f>IFERROR(SUM(Y386:Y389),"0")</f>
        <v>170.93</v>
      </c>
      <c r="Z391" s="37"/>
      <c r="AA391" s="620"/>
      <c r="AB391" s="620"/>
      <c r="AC391" s="620"/>
    </row>
    <row r="392" spans="1:68" ht="14.25" hidden="1" customHeight="1" x14ac:dyDescent="0.25">
      <c r="A392" s="636" t="s">
        <v>638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13"/>
      <c r="AB392" s="613"/>
      <c r="AC392" s="613"/>
    </row>
    <row r="393" spans="1:68" ht="16.5" hidden="1" customHeight="1" x14ac:dyDescent="0.25">
      <c r="A393" s="54" t="s">
        <v>639</v>
      </c>
      <c r="B393" s="54" t="s">
        <v>640</v>
      </c>
      <c r="C393" s="31">
        <v>4301180007</v>
      </c>
      <c r="D393" s="630">
        <v>4680115881808</v>
      </c>
      <c r="E393" s="631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2"/>
      <c r="R393" s="622"/>
      <c r="S393" s="622"/>
      <c r="T393" s="623"/>
      <c r="U393" s="34"/>
      <c r="V393" s="34"/>
      <c r="W393" s="35" t="s">
        <v>67</v>
      </c>
      <c r="X393" s="617">
        <v>0</v>
      </c>
      <c r="Y393" s="618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643</v>
      </c>
      <c r="B394" s="54" t="s">
        <v>644</v>
      </c>
      <c r="C394" s="31">
        <v>4301180006</v>
      </c>
      <c r="D394" s="630">
        <v>4680115881822</v>
      </c>
      <c r="E394" s="631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2"/>
      <c r="R394" s="622"/>
      <c r="S394" s="622"/>
      <c r="T394" s="623"/>
      <c r="U394" s="34"/>
      <c r="V394" s="34"/>
      <c r="W394" s="35" t="s">
        <v>67</v>
      </c>
      <c r="X394" s="617">
        <v>31</v>
      </c>
      <c r="Y394" s="618">
        <f>IFERROR(IF(X394="",0,CEILING((X394/$H394),1)*$H394),"")</f>
        <v>32</v>
      </c>
      <c r="Z394" s="36">
        <f>IFERROR(IF(Y394=0,"",ROUNDUP(Y394/H394,0)*0.00474),"")</f>
        <v>7.5840000000000005E-2</v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34.720000000000006</v>
      </c>
      <c r="BN394" s="64">
        <f>IFERROR(Y394*I394/H394,"0")</f>
        <v>35.840000000000003</v>
      </c>
      <c r="BO394" s="64">
        <f>IFERROR(1/J394*(X394/H394),"0")</f>
        <v>6.5126050420168058E-2</v>
      </c>
      <c r="BP394" s="64">
        <f>IFERROR(1/J394*(Y394/H394),"0")</f>
        <v>6.7226890756302518E-2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30">
        <v>4680115880016</v>
      </c>
      <c r="E395" s="631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2"/>
      <c r="R395" s="622"/>
      <c r="S395" s="622"/>
      <c r="T395" s="623"/>
      <c r="U395" s="34"/>
      <c r="V395" s="34"/>
      <c r="W395" s="35" t="s">
        <v>67</v>
      </c>
      <c r="X395" s="617">
        <v>16</v>
      </c>
      <c r="Y395" s="618">
        <f>IFERROR(IF(X395="",0,CEILING((X395/$H395),1)*$H395),"")</f>
        <v>16</v>
      </c>
      <c r="Z395" s="36">
        <f>IFERROR(IF(Y395=0,"",ROUNDUP(Y395/H395,0)*0.00474),"")</f>
        <v>3.7920000000000002E-2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17.920000000000002</v>
      </c>
      <c r="BN395" s="64">
        <f>IFERROR(Y395*I395/H395,"0")</f>
        <v>17.920000000000002</v>
      </c>
      <c r="BO395" s="64">
        <f>IFERROR(1/J395*(X395/H395),"0")</f>
        <v>3.3613445378151259E-2</v>
      </c>
      <c r="BP395" s="64">
        <f>IFERROR(1/J395*(Y395/H395),"0")</f>
        <v>3.3613445378151259E-2</v>
      </c>
    </row>
    <row r="396" spans="1:68" x14ac:dyDescent="0.2">
      <c r="A396" s="632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7" t="s">
        <v>69</v>
      </c>
      <c r="Q396" s="638"/>
      <c r="R396" s="638"/>
      <c r="S396" s="638"/>
      <c r="T396" s="638"/>
      <c r="U396" s="638"/>
      <c r="V396" s="639"/>
      <c r="W396" s="37" t="s">
        <v>70</v>
      </c>
      <c r="X396" s="619">
        <f>IFERROR(X393/H393,"0")+IFERROR(X394/H394,"0")+IFERROR(X395/H395,"0")</f>
        <v>23.5</v>
      </c>
      <c r="Y396" s="619">
        <f>IFERROR(Y393/H393,"0")+IFERROR(Y394/H394,"0")+IFERROR(Y395/H395,"0")</f>
        <v>24</v>
      </c>
      <c r="Z396" s="619">
        <f>IFERROR(IF(Z393="",0,Z393),"0")+IFERROR(IF(Z394="",0,Z394),"0")+IFERROR(IF(Z395="",0,Z395),"0")</f>
        <v>0.11376</v>
      </c>
      <c r="AA396" s="620"/>
      <c r="AB396" s="620"/>
      <c r="AC396" s="620"/>
    </row>
    <row r="397" spans="1:68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7" t="s">
        <v>69</v>
      </c>
      <c r="Q397" s="638"/>
      <c r="R397" s="638"/>
      <c r="S397" s="638"/>
      <c r="T397" s="638"/>
      <c r="U397" s="638"/>
      <c r="V397" s="639"/>
      <c r="W397" s="37" t="s">
        <v>67</v>
      </c>
      <c r="X397" s="619">
        <f>IFERROR(SUM(X393:X395),"0")</f>
        <v>47</v>
      </c>
      <c r="Y397" s="619">
        <f>IFERROR(SUM(Y393:Y395),"0")</f>
        <v>48</v>
      </c>
      <c r="Z397" s="37"/>
      <c r="AA397" s="620"/>
      <c r="AB397" s="620"/>
      <c r="AC397" s="620"/>
    </row>
    <row r="398" spans="1:68" ht="14.25" hidden="1" customHeight="1" x14ac:dyDescent="0.25">
      <c r="A398" s="636" t="s">
        <v>647</v>
      </c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  <c r="AA398" s="613"/>
      <c r="AB398" s="613"/>
      <c r="AC398" s="613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30">
        <v>4680115888678</v>
      </c>
      <c r="E399" s="631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30">
        <v>4680115888654</v>
      </c>
      <c r="E400" s="631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0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2"/>
      <c r="R400" s="622"/>
      <c r="S400" s="622"/>
      <c r="T400" s="623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30">
        <v>4680115888753</v>
      </c>
      <c r="E401" s="631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2"/>
      <c r="R401" s="622"/>
      <c r="S401" s="622"/>
      <c r="T401" s="623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2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7" t="s">
        <v>69</v>
      </c>
      <c r="Q402" s="638"/>
      <c r="R402" s="638"/>
      <c r="S402" s="638"/>
      <c r="T402" s="638"/>
      <c r="U402" s="638"/>
      <c r="V402" s="639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7" t="s">
        <v>69</v>
      </c>
      <c r="Q403" s="638"/>
      <c r="R403" s="638"/>
      <c r="S403" s="638"/>
      <c r="T403" s="638"/>
      <c r="U403" s="638"/>
      <c r="V403" s="639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40" t="s">
        <v>656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12"/>
      <c r="AB404" s="612"/>
      <c r="AC404" s="612"/>
    </row>
    <row r="405" spans="1:68" ht="14.25" hidden="1" customHeight="1" x14ac:dyDescent="0.25">
      <c r="A405" s="636" t="s">
        <v>71</v>
      </c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30">
        <v>4680115889415</v>
      </c>
      <c r="E406" s="631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30">
        <v>4680115889422</v>
      </c>
      <c r="E407" s="631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70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2"/>
      <c r="R407" s="622"/>
      <c r="S407" s="622"/>
      <c r="T407" s="623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2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7" t="s">
        <v>69</v>
      </c>
      <c r="Q408" s="638"/>
      <c r="R408" s="638"/>
      <c r="S408" s="638"/>
      <c r="T408" s="638"/>
      <c r="U408" s="638"/>
      <c r="V408" s="639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7" t="s">
        <v>69</v>
      </c>
      <c r="Q409" s="638"/>
      <c r="R409" s="638"/>
      <c r="S409" s="638"/>
      <c r="T409" s="638"/>
      <c r="U409" s="638"/>
      <c r="V409" s="639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40" t="s">
        <v>663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12"/>
      <c r="AB410" s="612"/>
      <c r="AC410" s="612"/>
    </row>
    <row r="411" spans="1:68" ht="14.25" hidden="1" customHeight="1" x14ac:dyDescent="0.25">
      <c r="A411" s="636" t="s">
        <v>71</v>
      </c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30">
        <v>4607091387919</v>
      </c>
      <c r="E412" s="631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2"/>
      <c r="R412" s="622"/>
      <c r="S412" s="622"/>
      <c r="T412" s="623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667</v>
      </c>
      <c r="B413" s="54" t="s">
        <v>668</v>
      </c>
      <c r="C413" s="31">
        <v>4301051461</v>
      </c>
      <c r="D413" s="630">
        <v>4680115883604</v>
      </c>
      <c r="E413" s="631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2"/>
      <c r="R413" s="622"/>
      <c r="S413" s="622"/>
      <c r="T413" s="623"/>
      <c r="U413" s="34"/>
      <c r="V413" s="34"/>
      <c r="W413" s="35" t="s">
        <v>67</v>
      </c>
      <c r="X413" s="617">
        <v>0</v>
      </c>
      <c r="Y413" s="618">
        <f>IFERROR(IF(X413="",0,CEILING((X413/$H413),1)*$H413),"")</f>
        <v>0</v>
      </c>
      <c r="Z413" s="36" t="str">
        <f>IFERROR(IF(Y413=0,"",ROUNDUP(Y413/H413,0)*0.00651),"")</f>
        <v/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670</v>
      </c>
      <c r="B414" s="54" t="s">
        <v>671</v>
      </c>
      <c r="C414" s="31">
        <v>4301051864</v>
      </c>
      <c r="D414" s="630">
        <v>4680115883567</v>
      </c>
      <c r="E414" s="631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2"/>
      <c r="R414" s="622"/>
      <c r="S414" s="622"/>
      <c r="T414" s="623"/>
      <c r="U414" s="34"/>
      <c r="V414" s="34"/>
      <c r="W414" s="35" t="s">
        <v>67</v>
      </c>
      <c r="X414" s="617">
        <v>7</v>
      </c>
      <c r="Y414" s="618">
        <f>IFERROR(IF(X414="",0,CEILING((X414/$H414),1)*$H414),"")</f>
        <v>8.4</v>
      </c>
      <c r="Z414" s="36">
        <f>IFERROR(IF(Y414=0,"",ROUNDUP(Y414/H414,0)*0.00651),"")</f>
        <v>2.6040000000000001E-2</v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7.7999999999999989</v>
      </c>
      <c r="BN414" s="64">
        <f>IFERROR(Y414*I414/H414,"0")</f>
        <v>9.36</v>
      </c>
      <c r="BO414" s="64">
        <f>IFERROR(1/J414*(X414/H414),"0")</f>
        <v>1.8315018315018316E-2</v>
      </c>
      <c r="BP414" s="64">
        <f>IFERROR(1/J414*(Y414/H414),"0")</f>
        <v>2.197802197802198E-2</v>
      </c>
    </row>
    <row r="415" spans="1:68" x14ac:dyDescent="0.2">
      <c r="A415" s="632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7" t="s">
        <v>69</v>
      </c>
      <c r="Q415" s="638"/>
      <c r="R415" s="638"/>
      <c r="S415" s="638"/>
      <c r="T415" s="638"/>
      <c r="U415" s="638"/>
      <c r="V415" s="639"/>
      <c r="W415" s="37" t="s">
        <v>70</v>
      </c>
      <c r="X415" s="619">
        <f>IFERROR(X412/H412,"0")+IFERROR(X413/H413,"0")+IFERROR(X414/H414,"0")</f>
        <v>3.333333333333333</v>
      </c>
      <c r="Y415" s="619">
        <f>IFERROR(Y412/H412,"0")+IFERROR(Y413/H413,"0")+IFERROR(Y414/H414,"0")</f>
        <v>4</v>
      </c>
      <c r="Z415" s="619">
        <f>IFERROR(IF(Z412="",0,Z412),"0")+IFERROR(IF(Z413="",0,Z413),"0")+IFERROR(IF(Z414="",0,Z414),"0")</f>
        <v>2.6040000000000001E-2</v>
      </c>
      <c r="AA415" s="620"/>
      <c r="AB415" s="620"/>
      <c r="AC415" s="620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7" t="s">
        <v>69</v>
      </c>
      <c r="Q416" s="638"/>
      <c r="R416" s="638"/>
      <c r="S416" s="638"/>
      <c r="T416" s="638"/>
      <c r="U416" s="638"/>
      <c r="V416" s="639"/>
      <c r="W416" s="37" t="s">
        <v>67</v>
      </c>
      <c r="X416" s="619">
        <f>IFERROR(SUM(X412:X414),"0")</f>
        <v>7</v>
      </c>
      <c r="Y416" s="619">
        <f>IFERROR(SUM(Y412:Y414),"0")</f>
        <v>8.4</v>
      </c>
      <c r="Z416" s="37"/>
      <c r="AA416" s="620"/>
      <c r="AB416" s="620"/>
      <c r="AC416" s="620"/>
    </row>
    <row r="417" spans="1:68" ht="27.75" hidden="1" customHeight="1" x14ac:dyDescent="0.2">
      <c r="A417" s="788" t="s">
        <v>673</v>
      </c>
      <c r="B417" s="789"/>
      <c r="C417" s="789"/>
      <c r="D417" s="789"/>
      <c r="E417" s="789"/>
      <c r="F417" s="789"/>
      <c r="G417" s="789"/>
      <c r="H417" s="789"/>
      <c r="I417" s="789"/>
      <c r="J417" s="789"/>
      <c r="K417" s="789"/>
      <c r="L417" s="789"/>
      <c r="M417" s="789"/>
      <c r="N417" s="789"/>
      <c r="O417" s="789"/>
      <c r="P417" s="789"/>
      <c r="Q417" s="789"/>
      <c r="R417" s="789"/>
      <c r="S417" s="789"/>
      <c r="T417" s="789"/>
      <c r="U417" s="789"/>
      <c r="V417" s="789"/>
      <c r="W417" s="789"/>
      <c r="X417" s="789"/>
      <c r="Y417" s="789"/>
      <c r="Z417" s="789"/>
      <c r="AA417" s="48"/>
      <c r="AB417" s="48"/>
      <c r="AC417" s="48"/>
    </row>
    <row r="418" spans="1:68" ht="16.5" hidden="1" customHeight="1" x14ac:dyDescent="0.25">
      <c r="A418" s="640" t="s">
        <v>674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612"/>
      <c r="AB418" s="612"/>
      <c r="AC418" s="612"/>
    </row>
    <row r="419" spans="1:68" ht="14.25" hidden="1" customHeight="1" x14ac:dyDescent="0.25">
      <c r="A419" s="636" t="s">
        <v>108</v>
      </c>
      <c r="B419" s="633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  <c r="AA419" s="613"/>
      <c r="AB419" s="613"/>
      <c r="AC419" s="613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30">
        <v>4680115888401</v>
      </c>
      <c r="E420" s="631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2"/>
      <c r="R420" s="622"/>
      <c r="S420" s="622"/>
      <c r="T420" s="623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30">
        <v>4680115884847</v>
      </c>
      <c r="E421" s="631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94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2"/>
      <c r="R421" s="622"/>
      <c r="S421" s="622"/>
      <c r="T421" s="623"/>
      <c r="U421" s="34"/>
      <c r="V421" s="34"/>
      <c r="W421" s="35" t="s">
        <v>67</v>
      </c>
      <c r="X421" s="617">
        <v>1684</v>
      </c>
      <c r="Y421" s="618">
        <f t="shared" si="61"/>
        <v>1695</v>
      </c>
      <c r="Z421" s="36">
        <f>IFERROR(IF(Y421=0,"",ROUNDUP(Y421/H421,0)*0.02175),"")</f>
        <v>2.4577499999999999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1736.7653333333333</v>
      </c>
      <c r="BN421" s="64">
        <f t="shared" si="63"/>
        <v>1748.1100000000001</v>
      </c>
      <c r="BO421" s="64">
        <f t="shared" si="64"/>
        <v>2.3388888888888886</v>
      </c>
      <c r="BP421" s="64">
        <f t="shared" si="65"/>
        <v>2.3541666666666665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30">
        <v>4680115884854</v>
      </c>
      <c r="E422" s="631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2"/>
      <c r="R422" s="622"/>
      <c r="S422" s="622"/>
      <c r="T422" s="623"/>
      <c r="U422" s="34"/>
      <c r="V422" s="34"/>
      <c r="W422" s="35" t="s">
        <v>67</v>
      </c>
      <c r="X422" s="617">
        <v>800</v>
      </c>
      <c r="Y422" s="618">
        <f t="shared" si="61"/>
        <v>810</v>
      </c>
      <c r="Z422" s="36">
        <f>IFERROR(IF(Y422=0,"",ROUNDUP(Y422/H422,0)*0.02175),"")</f>
        <v>1.1744999999999999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825.06666666666672</v>
      </c>
      <c r="BN422" s="64">
        <f t="shared" si="63"/>
        <v>835.38</v>
      </c>
      <c r="BO422" s="64">
        <f t="shared" si="64"/>
        <v>1.1111111111111112</v>
      </c>
      <c r="BP422" s="64">
        <f t="shared" si="65"/>
        <v>1.125</v>
      </c>
    </row>
    <row r="423" spans="1:68" ht="27" customHeight="1" x14ac:dyDescent="0.25">
      <c r="A423" s="54" t="s">
        <v>684</v>
      </c>
      <c r="B423" s="54" t="s">
        <v>685</v>
      </c>
      <c r="C423" s="31">
        <v>4301011867</v>
      </c>
      <c r="D423" s="630">
        <v>4680115884830</v>
      </c>
      <c r="E423" s="631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7">
        <v>1131</v>
      </c>
      <c r="Y423" s="618">
        <f t="shared" si="61"/>
        <v>1140</v>
      </c>
      <c r="Z423" s="36">
        <f>IFERROR(IF(Y423=0,"",ROUNDUP(Y423/H423,0)*0.02175),"")</f>
        <v>1.6529999999999998</v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1166.4379999999999</v>
      </c>
      <c r="BN423" s="64">
        <f t="shared" si="63"/>
        <v>1175.72</v>
      </c>
      <c r="BO423" s="64">
        <f t="shared" si="64"/>
        <v>1.5708333333333333</v>
      </c>
      <c r="BP423" s="64">
        <f t="shared" si="65"/>
        <v>1.5833333333333333</v>
      </c>
    </row>
    <row r="424" spans="1:68" ht="27" customHeight="1" x14ac:dyDescent="0.25">
      <c r="A424" s="54" t="s">
        <v>687</v>
      </c>
      <c r="B424" s="54" t="s">
        <v>688</v>
      </c>
      <c r="C424" s="31">
        <v>4301012356</v>
      </c>
      <c r="D424" s="630">
        <v>4680115889231</v>
      </c>
      <c r="E424" s="631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7">
        <v>451</v>
      </c>
      <c r="Y424" s="618">
        <f t="shared" si="61"/>
        <v>465</v>
      </c>
      <c r="Z424" s="36">
        <f>IFERROR(IF(Y424=0,"",ROUNDUP(Y424/H424,0)*0.02175),"")</f>
        <v>0.6742499999999999</v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465.13133333333337</v>
      </c>
      <c r="BN424" s="64">
        <f t="shared" si="63"/>
        <v>479.57</v>
      </c>
      <c r="BO424" s="64">
        <f t="shared" si="64"/>
        <v>0.62638888888888888</v>
      </c>
      <c r="BP424" s="64">
        <f t="shared" si="65"/>
        <v>0.64583333333333326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30">
        <v>4680115882638</v>
      </c>
      <c r="E425" s="631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2"/>
      <c r="R425" s="622"/>
      <c r="S425" s="622"/>
      <c r="T425" s="623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30">
        <v>4680115884922</v>
      </c>
      <c r="E426" s="631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2"/>
      <c r="R426" s="622"/>
      <c r="S426" s="622"/>
      <c r="T426" s="623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30">
        <v>4680115884861</v>
      </c>
      <c r="E427" s="631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8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2"/>
      <c r="R427" s="622"/>
      <c r="S427" s="622"/>
      <c r="T427" s="623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2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7" t="s">
        <v>69</v>
      </c>
      <c r="Q428" s="638"/>
      <c r="R428" s="638"/>
      <c r="S428" s="638"/>
      <c r="T428" s="638"/>
      <c r="U428" s="638"/>
      <c r="V428" s="639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271.06666666666666</v>
      </c>
      <c r="Y428" s="619">
        <f>IFERROR(Y420/H420,"0")+IFERROR(Y421/H421,"0")+IFERROR(Y422/H422,"0")+IFERROR(Y423/H423,"0")+IFERROR(Y424/H424,"0")+IFERROR(Y425/H425,"0")+IFERROR(Y426/H426,"0")+IFERROR(Y427/H427,"0")</f>
        <v>274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5.9594999999999994</v>
      </c>
      <c r="AA428" s="620"/>
      <c r="AB428" s="620"/>
      <c r="AC428" s="620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7" t="s">
        <v>69</v>
      </c>
      <c r="Q429" s="638"/>
      <c r="R429" s="638"/>
      <c r="S429" s="638"/>
      <c r="T429" s="638"/>
      <c r="U429" s="638"/>
      <c r="V429" s="639"/>
      <c r="W429" s="37" t="s">
        <v>67</v>
      </c>
      <c r="X429" s="619">
        <f>IFERROR(SUM(X420:X427),"0")</f>
        <v>4066</v>
      </c>
      <c r="Y429" s="619">
        <f>IFERROR(SUM(Y420:Y427),"0")</f>
        <v>4110</v>
      </c>
      <c r="Z429" s="37"/>
      <c r="AA429" s="620"/>
      <c r="AB429" s="620"/>
      <c r="AC429" s="620"/>
    </row>
    <row r="430" spans="1:68" ht="14.25" hidden="1" customHeight="1" x14ac:dyDescent="0.25">
      <c r="A430" s="636" t="s">
        <v>143</v>
      </c>
      <c r="B430" s="633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  <c r="AA430" s="613"/>
      <c r="AB430" s="613"/>
      <c r="AC430" s="613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30">
        <v>4607091383980</v>
      </c>
      <c r="E431" s="631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2"/>
      <c r="R431" s="622"/>
      <c r="S431" s="622"/>
      <c r="T431" s="623"/>
      <c r="U431" s="34"/>
      <c r="V431" s="34"/>
      <c r="W431" s="35" t="s">
        <v>67</v>
      </c>
      <c r="X431" s="617">
        <v>100</v>
      </c>
      <c r="Y431" s="618">
        <f>IFERROR(IF(X431="",0,CEILING((X431/$H431),1)*$H431),"")</f>
        <v>105</v>
      </c>
      <c r="Z431" s="36">
        <f>IFERROR(IF(Y431=0,"",ROUNDUP(Y431/H431,0)*0.02175),"")</f>
        <v>0.15225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103.13333333333334</v>
      </c>
      <c r="BN431" s="64">
        <f>IFERROR(Y431*I431/H431,"0")</f>
        <v>108.29</v>
      </c>
      <c r="BO431" s="64">
        <f>IFERROR(1/J431*(X431/H431),"0")</f>
        <v>0.1388888888888889</v>
      </c>
      <c r="BP431" s="64">
        <f>IFERROR(1/J431*(Y431/H431),"0")</f>
        <v>0.14583333333333331</v>
      </c>
    </row>
    <row r="432" spans="1:68" ht="27" customHeight="1" x14ac:dyDescent="0.25">
      <c r="A432" s="54" t="s">
        <v>702</v>
      </c>
      <c r="B432" s="54" t="s">
        <v>703</v>
      </c>
      <c r="C432" s="31">
        <v>4301020355</v>
      </c>
      <c r="D432" s="630">
        <v>4680115888425</v>
      </c>
      <c r="E432" s="631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2"/>
      <c r="R432" s="622"/>
      <c r="S432" s="622"/>
      <c r="T432" s="623"/>
      <c r="U432" s="34"/>
      <c r="V432" s="34"/>
      <c r="W432" s="35" t="s">
        <v>67</v>
      </c>
      <c r="X432" s="617">
        <v>51</v>
      </c>
      <c r="Y432" s="618">
        <f>IFERROR(IF(X432="",0,CEILING((X432/$H432),1)*$H432),"")</f>
        <v>60</v>
      </c>
      <c r="Z432" s="36">
        <f>IFERROR(IF(Y432=0,"",ROUNDUP(Y432/H432,0)*0.02175),"")</f>
        <v>8.6999999999999994E-2</v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52.597999999999999</v>
      </c>
      <c r="BN432" s="64">
        <f>IFERROR(Y432*I432/H432,"0")</f>
        <v>61.88</v>
      </c>
      <c r="BO432" s="64">
        <f>IFERROR(1/J432*(X432/H432),"0")</f>
        <v>7.0833333333333331E-2</v>
      </c>
      <c r="BP432" s="64">
        <f>IFERROR(1/J432*(Y432/H432),"0")</f>
        <v>8.3333333333333329E-2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30">
        <v>4607091384178</v>
      </c>
      <c r="E433" s="631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2"/>
      <c r="R433" s="622"/>
      <c r="S433" s="622"/>
      <c r="T433" s="623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2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7" t="s">
        <v>69</v>
      </c>
      <c r="Q434" s="638"/>
      <c r="R434" s="638"/>
      <c r="S434" s="638"/>
      <c r="T434" s="638"/>
      <c r="U434" s="638"/>
      <c r="V434" s="639"/>
      <c r="W434" s="37" t="s">
        <v>70</v>
      </c>
      <c r="X434" s="619">
        <f>IFERROR(X431/H431,"0")+IFERROR(X432/H432,"0")+IFERROR(X433/H433,"0")</f>
        <v>10.066666666666666</v>
      </c>
      <c r="Y434" s="619">
        <f>IFERROR(Y431/H431,"0")+IFERROR(Y432/H432,"0")+IFERROR(Y433/H433,"0")</f>
        <v>11</v>
      </c>
      <c r="Z434" s="619">
        <f>IFERROR(IF(Z431="",0,Z431),"0")+IFERROR(IF(Z432="",0,Z432),"0")+IFERROR(IF(Z433="",0,Z433),"0")</f>
        <v>0.23924999999999999</v>
      </c>
      <c r="AA434" s="620"/>
      <c r="AB434" s="620"/>
      <c r="AC434" s="620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7" t="s">
        <v>69</v>
      </c>
      <c r="Q435" s="638"/>
      <c r="R435" s="638"/>
      <c r="S435" s="638"/>
      <c r="T435" s="638"/>
      <c r="U435" s="638"/>
      <c r="V435" s="639"/>
      <c r="W435" s="37" t="s">
        <v>67</v>
      </c>
      <c r="X435" s="619">
        <f>IFERROR(SUM(X431:X433),"0")</f>
        <v>151</v>
      </c>
      <c r="Y435" s="619">
        <f>IFERROR(SUM(Y431:Y433),"0")</f>
        <v>165</v>
      </c>
      <c r="Z435" s="37"/>
      <c r="AA435" s="620"/>
      <c r="AB435" s="620"/>
      <c r="AC435" s="620"/>
    </row>
    <row r="436" spans="1:68" ht="14.25" hidden="1" customHeight="1" x14ac:dyDescent="0.25">
      <c r="A436" s="636" t="s">
        <v>71</v>
      </c>
      <c r="B436" s="633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30">
        <v>4607091383928</v>
      </c>
      <c r="E437" s="631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2"/>
      <c r="R437" s="622"/>
      <c r="S437" s="622"/>
      <c r="T437" s="623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customHeight="1" x14ac:dyDescent="0.25">
      <c r="A438" s="54" t="s">
        <v>711</v>
      </c>
      <c r="B438" s="54" t="s">
        <v>712</v>
      </c>
      <c r="C438" s="31">
        <v>4301051897</v>
      </c>
      <c r="D438" s="630">
        <v>4607091384260</v>
      </c>
      <c r="E438" s="631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2"/>
      <c r="R438" s="622"/>
      <c r="S438" s="622"/>
      <c r="T438" s="623"/>
      <c r="U438" s="34"/>
      <c r="V438" s="34"/>
      <c r="W438" s="35" t="s">
        <v>67</v>
      </c>
      <c r="X438" s="617">
        <v>5</v>
      </c>
      <c r="Y438" s="618">
        <f>IFERROR(IF(X438="",0,CEILING((X438/$H438),1)*$H438),"")</f>
        <v>9</v>
      </c>
      <c r="Z438" s="36">
        <f>IFERROR(IF(Y438=0,"",ROUNDUP(Y438/H438,0)*0.01898),"")</f>
        <v>1.898E-2</v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5.2744444444444447</v>
      </c>
      <c r="BN438" s="64">
        <f>IFERROR(Y438*I438/H438,"0")</f>
        <v>9.4939999999999998</v>
      </c>
      <c r="BO438" s="64">
        <f>IFERROR(1/J438*(X438/H438),"0")</f>
        <v>8.6805555555555559E-3</v>
      </c>
      <c r="BP438" s="64">
        <f>IFERROR(1/J438*(Y438/H438),"0")</f>
        <v>1.5625E-2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30">
        <v>4680115889538</v>
      </c>
      <c r="E439" s="631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4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2"/>
      <c r="R439" s="622"/>
      <c r="S439" s="622"/>
      <c r="T439" s="623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32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7" t="s">
        <v>69</v>
      </c>
      <c r="Q440" s="638"/>
      <c r="R440" s="638"/>
      <c r="S440" s="638"/>
      <c r="T440" s="638"/>
      <c r="U440" s="638"/>
      <c r="V440" s="639"/>
      <c r="W440" s="37" t="s">
        <v>70</v>
      </c>
      <c r="X440" s="619">
        <f>IFERROR(X437/H437,"0")+IFERROR(X438/H438,"0")+IFERROR(X439/H439,"0")</f>
        <v>0.55555555555555558</v>
      </c>
      <c r="Y440" s="619">
        <f>IFERROR(Y437/H437,"0")+IFERROR(Y438/H438,"0")+IFERROR(Y439/H439,"0")</f>
        <v>1</v>
      </c>
      <c r="Z440" s="619">
        <f>IFERROR(IF(Z437="",0,Z437),"0")+IFERROR(IF(Z438="",0,Z438),"0")+IFERROR(IF(Z439="",0,Z439),"0")</f>
        <v>1.898E-2</v>
      </c>
      <c r="AA440" s="620"/>
      <c r="AB440" s="620"/>
      <c r="AC440" s="620"/>
    </row>
    <row r="441" spans="1:68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7" t="s">
        <v>69</v>
      </c>
      <c r="Q441" s="638"/>
      <c r="R441" s="638"/>
      <c r="S441" s="638"/>
      <c r="T441" s="638"/>
      <c r="U441" s="638"/>
      <c r="V441" s="639"/>
      <c r="W441" s="37" t="s">
        <v>67</v>
      </c>
      <c r="X441" s="619">
        <f>IFERROR(SUM(X437:X439),"0")</f>
        <v>5</v>
      </c>
      <c r="Y441" s="619">
        <f>IFERROR(SUM(Y437:Y439),"0")</f>
        <v>9</v>
      </c>
      <c r="Z441" s="37"/>
      <c r="AA441" s="620"/>
      <c r="AB441" s="620"/>
      <c r="AC441" s="620"/>
    </row>
    <row r="442" spans="1:68" ht="14.25" hidden="1" customHeight="1" x14ac:dyDescent="0.25">
      <c r="A442" s="636" t="s">
        <v>161</v>
      </c>
      <c r="B442" s="633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30">
        <v>4680115889545</v>
      </c>
      <c r="E443" s="631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7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2"/>
      <c r="R443" s="622"/>
      <c r="S443" s="622"/>
      <c r="T443" s="623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720</v>
      </c>
      <c r="B444" s="54" t="s">
        <v>721</v>
      </c>
      <c r="C444" s="31">
        <v>4301060524</v>
      </c>
      <c r="D444" s="630">
        <v>4607091384673</v>
      </c>
      <c r="E444" s="631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2"/>
      <c r="R444" s="622"/>
      <c r="S444" s="622"/>
      <c r="T444" s="623"/>
      <c r="U444" s="34"/>
      <c r="V444" s="34"/>
      <c r="W444" s="35" t="s">
        <v>67</v>
      </c>
      <c r="X444" s="617">
        <v>119</v>
      </c>
      <c r="Y444" s="618">
        <f>IFERROR(IF(X444="",0,CEILING((X444/$H444),1)*$H444),"")</f>
        <v>126</v>
      </c>
      <c r="Z444" s="36">
        <f>IFERROR(IF(Y444=0,"",ROUNDUP(Y444/H444,0)*0.01898),"")</f>
        <v>0.26572000000000001</v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125.53177777777779</v>
      </c>
      <c r="BN444" s="64">
        <f>IFERROR(Y444*I444/H444,"0")</f>
        <v>132.916</v>
      </c>
      <c r="BO444" s="64">
        <f>IFERROR(1/J444*(X444/H444),"0")</f>
        <v>0.20659722222222221</v>
      </c>
      <c r="BP444" s="64">
        <f>IFERROR(1/J444*(Y444/H444),"0")</f>
        <v>0.21875</v>
      </c>
    </row>
    <row r="445" spans="1:68" x14ac:dyDescent="0.2">
      <c r="A445" s="632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7" t="s">
        <v>69</v>
      </c>
      <c r="Q445" s="638"/>
      <c r="R445" s="638"/>
      <c r="S445" s="638"/>
      <c r="T445" s="638"/>
      <c r="U445" s="638"/>
      <c r="V445" s="639"/>
      <c r="W445" s="37" t="s">
        <v>70</v>
      </c>
      <c r="X445" s="619">
        <f>IFERROR(X443/H443,"0")+IFERROR(X444/H444,"0")</f>
        <v>13.222222222222221</v>
      </c>
      <c r="Y445" s="619">
        <f>IFERROR(Y443/H443,"0")+IFERROR(Y444/H444,"0")</f>
        <v>14</v>
      </c>
      <c r="Z445" s="619">
        <f>IFERROR(IF(Z443="",0,Z443),"0")+IFERROR(IF(Z444="",0,Z444),"0")</f>
        <v>0.26572000000000001</v>
      </c>
      <c r="AA445" s="620"/>
      <c r="AB445" s="620"/>
      <c r="AC445" s="620"/>
    </row>
    <row r="446" spans="1:68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7" t="s">
        <v>69</v>
      </c>
      <c r="Q446" s="638"/>
      <c r="R446" s="638"/>
      <c r="S446" s="638"/>
      <c r="T446" s="638"/>
      <c r="U446" s="638"/>
      <c r="V446" s="639"/>
      <c r="W446" s="37" t="s">
        <v>67</v>
      </c>
      <c r="X446" s="619">
        <f>IFERROR(SUM(X443:X444),"0")</f>
        <v>119</v>
      </c>
      <c r="Y446" s="619">
        <f>IFERROR(SUM(Y443:Y444),"0")</f>
        <v>126</v>
      </c>
      <c r="Z446" s="37"/>
      <c r="AA446" s="620"/>
      <c r="AB446" s="620"/>
      <c r="AC446" s="620"/>
    </row>
    <row r="447" spans="1:68" ht="16.5" hidden="1" customHeight="1" x14ac:dyDescent="0.25">
      <c r="A447" s="640" t="s">
        <v>723</v>
      </c>
      <c r="B447" s="633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  <c r="AA447" s="612"/>
      <c r="AB447" s="612"/>
      <c r="AC447" s="612"/>
    </row>
    <row r="448" spans="1:68" ht="14.25" hidden="1" customHeight="1" x14ac:dyDescent="0.25">
      <c r="A448" s="636" t="s">
        <v>108</v>
      </c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30">
        <v>4680115884885</v>
      </c>
      <c r="E449" s="631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2"/>
      <c r="R449" s="622"/>
      <c r="S449" s="622"/>
      <c r="T449" s="623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30">
        <v>4680115884908</v>
      </c>
      <c r="E450" s="631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2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7" t="s">
        <v>69</v>
      </c>
      <c r="Q451" s="638"/>
      <c r="R451" s="638"/>
      <c r="S451" s="638"/>
      <c r="T451" s="638"/>
      <c r="U451" s="638"/>
      <c r="V451" s="639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7" t="s">
        <v>69</v>
      </c>
      <c r="Q452" s="638"/>
      <c r="R452" s="638"/>
      <c r="S452" s="638"/>
      <c r="T452" s="638"/>
      <c r="U452" s="638"/>
      <c r="V452" s="639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6" t="s">
        <v>62</v>
      </c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30">
        <v>4607091384802</v>
      </c>
      <c r="E454" s="631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2"/>
      <c r="R454" s="622"/>
      <c r="S454" s="622"/>
      <c r="T454" s="623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2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7" t="s">
        <v>69</v>
      </c>
      <c r="Q455" s="638"/>
      <c r="R455" s="638"/>
      <c r="S455" s="638"/>
      <c r="T455" s="638"/>
      <c r="U455" s="638"/>
      <c r="V455" s="639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7" t="s">
        <v>69</v>
      </c>
      <c r="Q456" s="638"/>
      <c r="R456" s="638"/>
      <c r="S456" s="638"/>
      <c r="T456" s="638"/>
      <c r="U456" s="638"/>
      <c r="V456" s="639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6" t="s">
        <v>71</v>
      </c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  <c r="AA457" s="613"/>
      <c r="AB457" s="613"/>
      <c r="AC457" s="613"/>
    </row>
    <row r="458" spans="1:68" ht="27" hidden="1" customHeight="1" x14ac:dyDescent="0.25">
      <c r="A458" s="54" t="s">
        <v>732</v>
      </c>
      <c r="B458" s="54" t="s">
        <v>733</v>
      </c>
      <c r="C458" s="31">
        <v>4301051899</v>
      </c>
      <c r="D458" s="630">
        <v>4607091384246</v>
      </c>
      <c r="E458" s="631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2"/>
      <c r="R458" s="622"/>
      <c r="S458" s="622"/>
      <c r="T458" s="623"/>
      <c r="U458" s="34"/>
      <c r="V458" s="34"/>
      <c r="W458" s="35" t="s">
        <v>67</v>
      </c>
      <c r="X458" s="617">
        <v>0</v>
      </c>
      <c r="Y458" s="618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735</v>
      </c>
      <c r="B459" s="54" t="s">
        <v>736</v>
      </c>
      <c r="C459" s="31">
        <v>4301051660</v>
      </c>
      <c r="D459" s="630">
        <v>4607091384253</v>
      </c>
      <c r="E459" s="631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3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2"/>
      <c r="R459" s="622"/>
      <c r="S459" s="622"/>
      <c r="T459" s="623"/>
      <c r="U459" s="34"/>
      <c r="V459" s="34"/>
      <c r="W459" s="35" t="s">
        <v>67</v>
      </c>
      <c r="X459" s="617">
        <v>17</v>
      </c>
      <c r="Y459" s="618">
        <f>IFERROR(IF(X459="",0,CEILING((X459/$H459),1)*$H459),"")</f>
        <v>19.2</v>
      </c>
      <c r="Z459" s="36">
        <f>IFERROR(IF(Y459=0,"",ROUNDUP(Y459/H459,0)*0.00651),"")</f>
        <v>5.2080000000000001E-2</v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18.87</v>
      </c>
      <c r="BN459" s="64">
        <f>IFERROR(Y459*I459/H459,"0")</f>
        <v>21.312000000000001</v>
      </c>
      <c r="BO459" s="64">
        <f>IFERROR(1/J459*(X459/H459),"0")</f>
        <v>3.8919413919413927E-2</v>
      </c>
      <c r="BP459" s="64">
        <f>IFERROR(1/J459*(Y459/H459),"0")</f>
        <v>4.3956043956043959E-2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30">
        <v>4607091384253</v>
      </c>
      <c r="E460" s="631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2"/>
      <c r="R460" s="622"/>
      <c r="S460" s="622"/>
      <c r="T460" s="623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2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7" t="s">
        <v>69</v>
      </c>
      <c r="Q461" s="638"/>
      <c r="R461" s="638"/>
      <c r="S461" s="638"/>
      <c r="T461" s="638"/>
      <c r="U461" s="638"/>
      <c r="V461" s="639"/>
      <c r="W461" s="37" t="s">
        <v>70</v>
      </c>
      <c r="X461" s="619">
        <f>IFERROR(X458/H458,"0")+IFERROR(X459/H459,"0")+IFERROR(X460/H460,"0")</f>
        <v>7.0833333333333339</v>
      </c>
      <c r="Y461" s="619">
        <f>IFERROR(Y458/H458,"0")+IFERROR(Y459/H459,"0")+IFERROR(Y460/H460,"0")</f>
        <v>8</v>
      </c>
      <c r="Z461" s="619">
        <f>IFERROR(IF(Z458="",0,Z458),"0")+IFERROR(IF(Z459="",0,Z459),"0")+IFERROR(IF(Z460="",0,Z460),"0")</f>
        <v>5.2080000000000001E-2</v>
      </c>
      <c r="AA461" s="620"/>
      <c r="AB461" s="620"/>
      <c r="AC461" s="620"/>
    </row>
    <row r="462" spans="1:68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7" t="s">
        <v>69</v>
      </c>
      <c r="Q462" s="638"/>
      <c r="R462" s="638"/>
      <c r="S462" s="638"/>
      <c r="T462" s="638"/>
      <c r="U462" s="638"/>
      <c r="V462" s="639"/>
      <c r="W462" s="37" t="s">
        <v>67</v>
      </c>
      <c r="X462" s="619">
        <f>IFERROR(SUM(X458:X460),"0")</f>
        <v>17</v>
      </c>
      <c r="Y462" s="619">
        <f>IFERROR(SUM(Y458:Y460),"0")</f>
        <v>19.2</v>
      </c>
      <c r="Z462" s="37"/>
      <c r="AA462" s="620"/>
      <c r="AB462" s="620"/>
      <c r="AC462" s="620"/>
    </row>
    <row r="463" spans="1:68" ht="27.75" hidden="1" customHeight="1" x14ac:dyDescent="0.2">
      <c r="A463" s="788" t="s">
        <v>739</v>
      </c>
      <c r="B463" s="789"/>
      <c r="C463" s="789"/>
      <c r="D463" s="789"/>
      <c r="E463" s="789"/>
      <c r="F463" s="789"/>
      <c r="G463" s="789"/>
      <c r="H463" s="789"/>
      <c r="I463" s="789"/>
      <c r="J463" s="789"/>
      <c r="K463" s="789"/>
      <c r="L463" s="789"/>
      <c r="M463" s="789"/>
      <c r="N463" s="789"/>
      <c r="O463" s="789"/>
      <c r="P463" s="789"/>
      <c r="Q463" s="789"/>
      <c r="R463" s="789"/>
      <c r="S463" s="789"/>
      <c r="T463" s="789"/>
      <c r="U463" s="789"/>
      <c r="V463" s="789"/>
      <c r="W463" s="789"/>
      <c r="X463" s="789"/>
      <c r="Y463" s="789"/>
      <c r="Z463" s="789"/>
      <c r="AA463" s="48"/>
      <c r="AB463" s="48"/>
      <c r="AC463" s="48"/>
    </row>
    <row r="464" spans="1:68" ht="16.5" hidden="1" customHeight="1" x14ac:dyDescent="0.25">
      <c r="A464" s="640" t="s">
        <v>740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12"/>
      <c r="AB464" s="612"/>
      <c r="AC464" s="612"/>
    </row>
    <row r="465" spans="1:68" ht="14.25" hidden="1" customHeight="1" x14ac:dyDescent="0.25">
      <c r="A465" s="636" t="s">
        <v>62</v>
      </c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  <c r="AA465" s="613"/>
      <c r="AB465" s="613"/>
      <c r="AC465" s="613"/>
    </row>
    <row r="466" spans="1:68" ht="27" customHeight="1" x14ac:dyDescent="0.25">
      <c r="A466" s="54" t="s">
        <v>741</v>
      </c>
      <c r="B466" s="54" t="s">
        <v>742</v>
      </c>
      <c r="C466" s="31">
        <v>4301031405</v>
      </c>
      <c r="D466" s="630">
        <v>4680115886100</v>
      </c>
      <c r="E466" s="631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71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2"/>
      <c r="R466" s="622"/>
      <c r="S466" s="622"/>
      <c r="T466" s="623"/>
      <c r="U466" s="34"/>
      <c r="V466" s="34"/>
      <c r="W466" s="35" t="s">
        <v>67</v>
      </c>
      <c r="X466" s="617">
        <v>100</v>
      </c>
      <c r="Y466" s="618">
        <f t="shared" ref="Y466:Y471" si="66">IFERROR(IF(X466="",0,CEILING((X466/$H466),1)*$H466),"")</f>
        <v>102.60000000000001</v>
      </c>
      <c r="Z466" s="36">
        <f>IFERROR(IF(Y466=0,"",ROUNDUP(Y466/H466,0)*0.00902),"")</f>
        <v>0.17138</v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103.5185185185185</v>
      </c>
      <c r="BN466" s="64">
        <f t="shared" ref="BN466:BN471" si="68">IFERROR(Y466*I466/H466,"0")</f>
        <v>106.21</v>
      </c>
      <c r="BO466" s="64">
        <f t="shared" ref="BO466:BO471" si="69">IFERROR(1/J466*(X466/H466),"0")</f>
        <v>0.14029180695847362</v>
      </c>
      <c r="BP466" s="64">
        <f t="shared" ref="BP466:BP471" si="70">IFERROR(1/J466*(Y466/H466),"0")</f>
        <v>0.14393939393939395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30">
        <v>4680115886124</v>
      </c>
      <c r="E467" s="631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2"/>
      <c r="R467" s="622"/>
      <c r="S467" s="622"/>
      <c r="T467" s="623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30">
        <v>4607091384338</v>
      </c>
      <c r="E468" s="631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30">
        <v>4680115883161</v>
      </c>
      <c r="E469" s="631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2"/>
      <c r="R469" s="622"/>
      <c r="S469" s="622"/>
      <c r="T469" s="623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30">
        <v>4607091389531</v>
      </c>
      <c r="E470" s="631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2"/>
      <c r="R470" s="622"/>
      <c r="S470" s="622"/>
      <c r="T470" s="623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30">
        <v>4607091384345</v>
      </c>
      <c r="E471" s="631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2"/>
      <c r="R471" s="622"/>
      <c r="S471" s="622"/>
      <c r="T471" s="623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x14ac:dyDescent="0.2">
      <c r="A472" s="632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7" t="s">
        <v>69</v>
      </c>
      <c r="Q472" s="638"/>
      <c r="R472" s="638"/>
      <c r="S472" s="638"/>
      <c r="T472" s="638"/>
      <c r="U472" s="638"/>
      <c r="V472" s="639"/>
      <c r="W472" s="37" t="s">
        <v>70</v>
      </c>
      <c r="X472" s="619">
        <f>IFERROR(X466/H466,"0")+IFERROR(X467/H467,"0")+IFERROR(X468/H468,"0")+IFERROR(X469/H469,"0")+IFERROR(X470/H470,"0")+IFERROR(X471/H471,"0")</f>
        <v>18.518518518518519</v>
      </c>
      <c r="Y472" s="619">
        <f>IFERROR(Y466/H466,"0")+IFERROR(Y467/H467,"0")+IFERROR(Y468/H468,"0")+IFERROR(Y469/H469,"0")+IFERROR(Y470/H470,"0")+IFERROR(Y471/H471,"0")</f>
        <v>19</v>
      </c>
      <c r="Z472" s="619">
        <f>IFERROR(IF(Z466="",0,Z466),"0")+IFERROR(IF(Z467="",0,Z467),"0")+IFERROR(IF(Z468="",0,Z468),"0")+IFERROR(IF(Z469="",0,Z469),"0")+IFERROR(IF(Z470="",0,Z470),"0")+IFERROR(IF(Z471="",0,Z471),"0")</f>
        <v>0.17138</v>
      </c>
      <c r="AA472" s="620"/>
      <c r="AB472" s="620"/>
      <c r="AC472" s="620"/>
    </row>
    <row r="473" spans="1:68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7" t="s">
        <v>69</v>
      </c>
      <c r="Q473" s="638"/>
      <c r="R473" s="638"/>
      <c r="S473" s="638"/>
      <c r="T473" s="638"/>
      <c r="U473" s="638"/>
      <c r="V473" s="639"/>
      <c r="W473" s="37" t="s">
        <v>67</v>
      </c>
      <c r="X473" s="619">
        <f>IFERROR(SUM(X466:X471),"0")</f>
        <v>100</v>
      </c>
      <c r="Y473" s="619">
        <f>IFERROR(SUM(Y466:Y471),"0")</f>
        <v>102.60000000000001</v>
      </c>
      <c r="Z473" s="37"/>
      <c r="AA473" s="620"/>
      <c r="AB473" s="620"/>
      <c r="AC473" s="620"/>
    </row>
    <row r="474" spans="1:68" ht="14.25" hidden="1" customHeight="1" x14ac:dyDescent="0.25">
      <c r="A474" s="636" t="s">
        <v>71</v>
      </c>
      <c r="B474" s="633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30">
        <v>4607091384352</v>
      </c>
      <c r="E475" s="631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2"/>
      <c r="R475" s="622"/>
      <c r="S475" s="622"/>
      <c r="T475" s="623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2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7" t="s">
        <v>69</v>
      </c>
      <c r="Q476" s="638"/>
      <c r="R476" s="638"/>
      <c r="S476" s="638"/>
      <c r="T476" s="638"/>
      <c r="U476" s="638"/>
      <c r="V476" s="639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7" t="s">
        <v>69</v>
      </c>
      <c r="Q477" s="638"/>
      <c r="R477" s="638"/>
      <c r="S477" s="638"/>
      <c r="T477" s="638"/>
      <c r="U477" s="638"/>
      <c r="V477" s="639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40" t="s">
        <v>760</v>
      </c>
      <c r="B478" s="633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  <c r="AA478" s="612"/>
      <c r="AB478" s="612"/>
      <c r="AC478" s="612"/>
    </row>
    <row r="479" spans="1:68" ht="14.25" hidden="1" customHeight="1" x14ac:dyDescent="0.25">
      <c r="A479" s="636" t="s">
        <v>143</v>
      </c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30">
        <v>4680115885240</v>
      </c>
      <c r="E480" s="631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5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2"/>
      <c r="R480" s="622"/>
      <c r="S480" s="622"/>
      <c r="T480" s="623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2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7" t="s">
        <v>69</v>
      </c>
      <c r="Q481" s="638"/>
      <c r="R481" s="638"/>
      <c r="S481" s="638"/>
      <c r="T481" s="638"/>
      <c r="U481" s="638"/>
      <c r="V481" s="639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7" t="s">
        <v>69</v>
      </c>
      <c r="Q482" s="638"/>
      <c r="R482" s="638"/>
      <c r="S482" s="638"/>
      <c r="T482" s="638"/>
      <c r="U482" s="638"/>
      <c r="V482" s="639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6" t="s">
        <v>62</v>
      </c>
      <c r="B483" s="633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  <c r="AA483" s="613"/>
      <c r="AB483" s="613"/>
      <c r="AC483" s="613"/>
    </row>
    <row r="484" spans="1:68" ht="27" customHeight="1" x14ac:dyDescent="0.25">
      <c r="A484" s="54" t="s">
        <v>764</v>
      </c>
      <c r="B484" s="54" t="s">
        <v>765</v>
      </c>
      <c r="C484" s="31">
        <v>4301031407</v>
      </c>
      <c r="D484" s="630">
        <v>4680115886094</v>
      </c>
      <c r="E484" s="631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2"/>
      <c r="R484" s="622"/>
      <c r="S484" s="622"/>
      <c r="T484" s="623"/>
      <c r="U484" s="34"/>
      <c r="V484" s="34"/>
      <c r="W484" s="35" t="s">
        <v>67</v>
      </c>
      <c r="X484" s="617">
        <v>80</v>
      </c>
      <c r="Y484" s="618">
        <f>IFERROR(IF(X484="",0,CEILING((X484/$H484),1)*$H484),"")</f>
        <v>81</v>
      </c>
      <c r="Z484" s="36">
        <f>IFERROR(IF(Y484=0,"",ROUNDUP(Y484/H484,0)*0.00902),"")</f>
        <v>0.1353</v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82.81481481481481</v>
      </c>
      <c r="BN484" s="64">
        <f>IFERROR(Y484*I484/H484,"0")</f>
        <v>83.85</v>
      </c>
      <c r="BO484" s="64">
        <f>IFERROR(1/J484*(X484/H484),"0")</f>
        <v>0.11223344556677889</v>
      </c>
      <c r="BP484" s="64">
        <f>IFERROR(1/J484*(Y484/H484),"0")</f>
        <v>0.11363636363636363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30">
        <v>4680115880771</v>
      </c>
      <c r="E485" s="631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2"/>
      <c r="R485" s="622"/>
      <c r="S485" s="622"/>
      <c r="T485" s="623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30">
        <v>4607091389500</v>
      </c>
      <c r="E486" s="631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3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2"/>
      <c r="R486" s="622"/>
      <c r="S486" s="622"/>
      <c r="T486" s="623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632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7" t="s">
        <v>69</v>
      </c>
      <c r="Q487" s="638"/>
      <c r="R487" s="638"/>
      <c r="S487" s="638"/>
      <c r="T487" s="638"/>
      <c r="U487" s="638"/>
      <c r="V487" s="639"/>
      <c r="W487" s="37" t="s">
        <v>70</v>
      </c>
      <c r="X487" s="619">
        <f>IFERROR(X484/H484,"0")+IFERROR(X485/H485,"0")+IFERROR(X486/H486,"0")</f>
        <v>14.814814814814813</v>
      </c>
      <c r="Y487" s="619">
        <f>IFERROR(Y484/H484,"0")+IFERROR(Y485/H485,"0")+IFERROR(Y486/H486,"0")</f>
        <v>14.999999999999998</v>
      </c>
      <c r="Z487" s="619">
        <f>IFERROR(IF(Z484="",0,Z484),"0")+IFERROR(IF(Z485="",0,Z485),"0")+IFERROR(IF(Z486="",0,Z486),"0")</f>
        <v>0.1353</v>
      </c>
      <c r="AA487" s="620"/>
      <c r="AB487" s="620"/>
      <c r="AC487" s="620"/>
    </row>
    <row r="488" spans="1:68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7" t="s">
        <v>69</v>
      </c>
      <c r="Q488" s="638"/>
      <c r="R488" s="638"/>
      <c r="S488" s="638"/>
      <c r="T488" s="638"/>
      <c r="U488" s="638"/>
      <c r="V488" s="639"/>
      <c r="W488" s="37" t="s">
        <v>67</v>
      </c>
      <c r="X488" s="619">
        <f>IFERROR(SUM(X484:X486),"0")</f>
        <v>80</v>
      </c>
      <c r="Y488" s="619">
        <f>IFERROR(SUM(Y484:Y486),"0")</f>
        <v>81</v>
      </c>
      <c r="Z488" s="37"/>
      <c r="AA488" s="620"/>
      <c r="AB488" s="620"/>
      <c r="AC488" s="620"/>
    </row>
    <row r="489" spans="1:68" ht="27.75" hidden="1" customHeight="1" x14ac:dyDescent="0.2">
      <c r="A489" s="788" t="s">
        <v>772</v>
      </c>
      <c r="B489" s="789"/>
      <c r="C489" s="789"/>
      <c r="D489" s="789"/>
      <c r="E489" s="789"/>
      <c r="F489" s="789"/>
      <c r="G489" s="789"/>
      <c r="H489" s="789"/>
      <c r="I489" s="789"/>
      <c r="J489" s="789"/>
      <c r="K489" s="789"/>
      <c r="L489" s="789"/>
      <c r="M489" s="789"/>
      <c r="N489" s="789"/>
      <c r="O489" s="789"/>
      <c r="P489" s="789"/>
      <c r="Q489" s="789"/>
      <c r="R489" s="789"/>
      <c r="S489" s="789"/>
      <c r="T489" s="789"/>
      <c r="U489" s="789"/>
      <c r="V489" s="789"/>
      <c r="W489" s="789"/>
      <c r="X489" s="789"/>
      <c r="Y489" s="789"/>
      <c r="Z489" s="789"/>
      <c r="AA489" s="48"/>
      <c r="AB489" s="48"/>
      <c r="AC489" s="48"/>
    </row>
    <row r="490" spans="1:68" ht="16.5" hidden="1" customHeight="1" x14ac:dyDescent="0.25">
      <c r="A490" s="640" t="s">
        <v>772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12"/>
      <c r="AB490" s="612"/>
      <c r="AC490" s="612"/>
    </row>
    <row r="491" spans="1:68" ht="14.25" hidden="1" customHeight="1" x14ac:dyDescent="0.25">
      <c r="A491" s="636" t="s">
        <v>108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13"/>
      <c r="AB491" s="613"/>
      <c r="AC491" s="613"/>
    </row>
    <row r="492" spans="1:68" ht="27" customHeight="1" x14ac:dyDescent="0.25">
      <c r="A492" s="54" t="s">
        <v>773</v>
      </c>
      <c r="B492" s="54" t="s">
        <v>774</v>
      </c>
      <c r="C492" s="31">
        <v>4301011769</v>
      </c>
      <c r="D492" s="630">
        <v>4607091389067</v>
      </c>
      <c r="E492" s="631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2"/>
      <c r="R492" s="622"/>
      <c r="S492" s="622"/>
      <c r="T492" s="623"/>
      <c r="U492" s="34"/>
      <c r="V492" s="34"/>
      <c r="W492" s="35" t="s">
        <v>67</v>
      </c>
      <c r="X492" s="617">
        <v>87</v>
      </c>
      <c r="Y492" s="618">
        <f t="shared" ref="Y492:Y499" si="71">IFERROR(IF(X492="",0,CEILING((X492/$H492),1)*$H492),"")</f>
        <v>89.76</v>
      </c>
      <c r="Z492" s="36">
        <f>IFERROR(IF(Y492=0,"",ROUNDUP(Y492/H492,0)*0.01196),"")</f>
        <v>0.20332</v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92.767045454545453</v>
      </c>
      <c r="BN492" s="64">
        <f t="shared" ref="BN492:BN499" si="73">IFERROR(Y492*I492/H492,"0")</f>
        <v>95.710000000000008</v>
      </c>
      <c r="BO492" s="64">
        <f t="shared" ref="BO492:BO499" si="74">IFERROR(1/J492*(X492/H492),"0")</f>
        <v>0.15843531468531469</v>
      </c>
      <c r="BP492" s="64">
        <f t="shared" ref="BP492:BP499" si="75">IFERROR(1/J492*(Y492/H492),"0")</f>
        <v>0.16346153846153846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30">
        <v>4680115889576</v>
      </c>
      <c r="E493" s="631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2"/>
      <c r="R493" s="622"/>
      <c r="S493" s="622"/>
      <c r="T493" s="623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customHeight="1" x14ac:dyDescent="0.25">
      <c r="A494" s="54" t="s">
        <v>778</v>
      </c>
      <c r="B494" s="54" t="s">
        <v>779</v>
      </c>
      <c r="C494" s="31">
        <v>4301011961</v>
      </c>
      <c r="D494" s="630">
        <v>4680115885271</v>
      </c>
      <c r="E494" s="631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7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2"/>
      <c r="R494" s="622"/>
      <c r="S494" s="622"/>
      <c r="T494" s="623"/>
      <c r="U494" s="34"/>
      <c r="V494" s="34"/>
      <c r="W494" s="35" t="s">
        <v>67</v>
      </c>
      <c r="X494" s="617">
        <v>26</v>
      </c>
      <c r="Y494" s="618">
        <f t="shared" si="71"/>
        <v>26.400000000000002</v>
      </c>
      <c r="Z494" s="36">
        <f>IFERROR(IF(Y494=0,"",ROUNDUP(Y494/H494,0)*0.01196),"")</f>
        <v>5.9799999999999999E-2</v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27.723484848484848</v>
      </c>
      <c r="BN494" s="64">
        <f t="shared" si="73"/>
        <v>28.15</v>
      </c>
      <c r="BO494" s="64">
        <f t="shared" si="74"/>
        <v>4.7348484848484848E-2</v>
      </c>
      <c r="BP494" s="64">
        <f t="shared" si="75"/>
        <v>4.807692307692308E-2</v>
      </c>
    </row>
    <row r="495" spans="1:68" ht="27" hidden="1" customHeight="1" x14ac:dyDescent="0.25">
      <c r="A495" s="54" t="s">
        <v>781</v>
      </c>
      <c r="B495" s="54" t="s">
        <v>782</v>
      </c>
      <c r="C495" s="31">
        <v>4301011369</v>
      </c>
      <c r="D495" s="630">
        <v>4680115885226</v>
      </c>
      <c r="E495" s="631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2"/>
      <c r="R495" s="622"/>
      <c r="S495" s="622"/>
      <c r="T495" s="623"/>
      <c r="U495" s="34"/>
      <c r="V495" s="34"/>
      <c r="W495" s="35" t="s">
        <v>67</v>
      </c>
      <c r="X495" s="617">
        <v>0</v>
      </c>
      <c r="Y495" s="618">
        <f t="shared" si="71"/>
        <v>0</v>
      </c>
      <c r="Z495" s="36" t="str">
        <f>IFERROR(IF(Y495=0,"",ROUNDUP(Y495/H495,0)*0.01196),"")</f>
        <v/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0</v>
      </c>
      <c r="BN495" s="64">
        <f t="shared" si="73"/>
        <v>0</v>
      </c>
      <c r="BO495" s="64">
        <f t="shared" si="74"/>
        <v>0</v>
      </c>
      <c r="BP495" s="64">
        <f t="shared" si="75"/>
        <v>0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30">
        <v>4607091389104</v>
      </c>
      <c r="E496" s="631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2"/>
      <c r="R496" s="622"/>
      <c r="S496" s="622"/>
      <c r="T496" s="623"/>
      <c r="U496" s="34"/>
      <c r="V496" s="34"/>
      <c r="W496" s="35" t="s">
        <v>67</v>
      </c>
      <c r="X496" s="617">
        <v>249</v>
      </c>
      <c r="Y496" s="618">
        <f t="shared" si="71"/>
        <v>253.44</v>
      </c>
      <c r="Z496" s="36">
        <f>IFERROR(IF(Y496=0,"",ROUNDUP(Y496/H496,0)*0.01196),"")</f>
        <v>0.57408000000000003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265.50568181818181</v>
      </c>
      <c r="BN496" s="64">
        <f t="shared" si="73"/>
        <v>270.23999999999995</v>
      </c>
      <c r="BO496" s="64">
        <f t="shared" si="74"/>
        <v>0.45345279720279719</v>
      </c>
      <c r="BP496" s="64">
        <f t="shared" si="75"/>
        <v>0.46153846153846156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30">
        <v>4680115886391</v>
      </c>
      <c r="E497" s="631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2"/>
      <c r="R497" s="622"/>
      <c r="S497" s="622"/>
      <c r="T497" s="623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30">
        <v>4680115880603</v>
      </c>
      <c r="E498" s="631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7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2"/>
      <c r="R498" s="622"/>
      <c r="S498" s="622"/>
      <c r="T498" s="623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customHeight="1" x14ac:dyDescent="0.25">
      <c r="A499" s="54" t="s">
        <v>791</v>
      </c>
      <c r="B499" s="54" t="s">
        <v>792</v>
      </c>
      <c r="C499" s="31">
        <v>4301012034</v>
      </c>
      <c r="D499" s="630">
        <v>4607091389982</v>
      </c>
      <c r="E499" s="631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7">
        <v>60</v>
      </c>
      <c r="Y499" s="618">
        <f t="shared" si="71"/>
        <v>62.4</v>
      </c>
      <c r="Z499" s="36">
        <f>IFERROR(IF(Y499=0,"",ROUNDUP(Y499/H499,0)*0.00902),"")</f>
        <v>0.11726</v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86.375000000000014</v>
      </c>
      <c r="BN499" s="64">
        <f t="shared" si="73"/>
        <v>89.830000000000013</v>
      </c>
      <c r="BO499" s="64">
        <f t="shared" si="74"/>
        <v>9.4696969696969696E-2</v>
      </c>
      <c r="BP499" s="64">
        <f t="shared" si="75"/>
        <v>9.8484848484848481E-2</v>
      </c>
    </row>
    <row r="500" spans="1:68" x14ac:dyDescent="0.2">
      <c r="A500" s="632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7" t="s">
        <v>69</v>
      </c>
      <c r="Q500" s="638"/>
      <c r="R500" s="638"/>
      <c r="S500" s="638"/>
      <c r="T500" s="638"/>
      <c r="U500" s="638"/>
      <c r="V500" s="639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81.060606060606062</v>
      </c>
      <c r="Y500" s="619">
        <f>IFERROR(Y492/H492,"0")+IFERROR(Y493/H493,"0")+IFERROR(Y494/H494,"0")+IFERROR(Y495/H495,"0")+IFERROR(Y496/H496,"0")+IFERROR(Y497/H497,"0")+IFERROR(Y498/H498,"0")+IFERROR(Y499/H499,"0")</f>
        <v>83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0.95446000000000009</v>
      </c>
      <c r="AA500" s="620"/>
      <c r="AB500" s="620"/>
      <c r="AC500" s="620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7" t="s">
        <v>69</v>
      </c>
      <c r="Q501" s="638"/>
      <c r="R501" s="638"/>
      <c r="S501" s="638"/>
      <c r="T501" s="638"/>
      <c r="U501" s="638"/>
      <c r="V501" s="639"/>
      <c r="W501" s="37" t="s">
        <v>67</v>
      </c>
      <c r="X501" s="619">
        <f>IFERROR(SUM(X492:X499),"0")</f>
        <v>422</v>
      </c>
      <c r="Y501" s="619">
        <f>IFERROR(SUM(Y492:Y499),"0")</f>
        <v>432</v>
      </c>
      <c r="Z501" s="37"/>
      <c r="AA501" s="620"/>
      <c r="AB501" s="620"/>
      <c r="AC501" s="620"/>
    </row>
    <row r="502" spans="1:68" ht="14.25" hidden="1" customHeight="1" x14ac:dyDescent="0.25">
      <c r="A502" s="636" t="s">
        <v>143</v>
      </c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  <c r="AA502" s="613"/>
      <c r="AB502" s="613"/>
      <c r="AC502" s="613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30">
        <v>4607091388930</v>
      </c>
      <c r="E503" s="631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3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2"/>
      <c r="R503" s="622"/>
      <c r="S503" s="622"/>
      <c r="T503" s="623"/>
      <c r="U503" s="34"/>
      <c r="V503" s="34"/>
      <c r="W503" s="35" t="s">
        <v>67</v>
      </c>
      <c r="X503" s="617">
        <v>151</v>
      </c>
      <c r="Y503" s="618">
        <f>IFERROR(IF(X503="",0,CEILING((X503/$H503),1)*$H503),"")</f>
        <v>153.12</v>
      </c>
      <c r="Z503" s="36">
        <f>IFERROR(IF(Y503=0,"",ROUNDUP(Y503/H503,0)*0.01196),"")</f>
        <v>0.34683999999999998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161.00946969696969</v>
      </c>
      <c r="BN503" s="64">
        <f>IFERROR(Y503*I503/H503,"0")</f>
        <v>163.26999999999998</v>
      </c>
      <c r="BO503" s="64">
        <f>IFERROR(1/J503*(X503/H503),"0")</f>
        <v>0.27498543123543123</v>
      </c>
      <c r="BP503" s="64">
        <f>IFERROR(1/J503*(Y503/H503),"0")</f>
        <v>0.27884615384615385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30">
        <v>4680115886407</v>
      </c>
      <c r="E504" s="631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2"/>
      <c r="R504" s="622"/>
      <c r="S504" s="622"/>
      <c r="T504" s="623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30">
        <v>4680115880054</v>
      </c>
      <c r="E505" s="631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x14ac:dyDescent="0.2">
      <c r="A506" s="632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7" t="s">
        <v>69</v>
      </c>
      <c r="Q506" s="638"/>
      <c r="R506" s="638"/>
      <c r="S506" s="638"/>
      <c r="T506" s="638"/>
      <c r="U506" s="638"/>
      <c r="V506" s="639"/>
      <c r="W506" s="37" t="s">
        <v>70</v>
      </c>
      <c r="X506" s="619">
        <f>IFERROR(X503/H503,"0")+IFERROR(X504/H504,"0")+IFERROR(X505/H505,"0")</f>
        <v>28.598484848484848</v>
      </c>
      <c r="Y506" s="619">
        <f>IFERROR(Y503/H503,"0")+IFERROR(Y504/H504,"0")+IFERROR(Y505/H505,"0")</f>
        <v>29</v>
      </c>
      <c r="Z506" s="619">
        <f>IFERROR(IF(Z503="",0,Z503),"0")+IFERROR(IF(Z504="",0,Z504),"0")+IFERROR(IF(Z505="",0,Z505),"0")</f>
        <v>0.34683999999999998</v>
      </c>
      <c r="AA506" s="620"/>
      <c r="AB506" s="620"/>
      <c r="AC506" s="620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7" t="s">
        <v>69</v>
      </c>
      <c r="Q507" s="638"/>
      <c r="R507" s="638"/>
      <c r="S507" s="638"/>
      <c r="T507" s="638"/>
      <c r="U507" s="638"/>
      <c r="V507" s="639"/>
      <c r="W507" s="37" t="s">
        <v>67</v>
      </c>
      <c r="X507" s="619">
        <f>IFERROR(SUM(X503:X505),"0")</f>
        <v>151</v>
      </c>
      <c r="Y507" s="619">
        <f>IFERROR(SUM(Y503:Y505),"0")</f>
        <v>153.12</v>
      </c>
      <c r="Z507" s="37"/>
      <c r="AA507" s="620"/>
      <c r="AB507" s="620"/>
      <c r="AC507" s="620"/>
    </row>
    <row r="508" spans="1:68" ht="14.25" hidden="1" customHeight="1" x14ac:dyDescent="0.25">
      <c r="A508" s="636" t="s">
        <v>62</v>
      </c>
      <c r="B508" s="633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  <c r="AA508" s="613"/>
      <c r="AB508" s="613"/>
      <c r="AC508" s="613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30">
        <v>4680115883116</v>
      </c>
      <c r="E509" s="631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2"/>
      <c r="R509" s="622"/>
      <c r="S509" s="622"/>
      <c r="T509" s="623"/>
      <c r="U509" s="34"/>
      <c r="V509" s="34"/>
      <c r="W509" s="35" t="s">
        <v>67</v>
      </c>
      <c r="X509" s="617">
        <v>82</v>
      </c>
      <c r="Y509" s="618">
        <f t="shared" ref="Y509:Y515" si="76">IFERROR(IF(X509="",0,CEILING((X509/$H509),1)*$H509),"")</f>
        <v>84.48</v>
      </c>
      <c r="Z509" s="36">
        <f>IFERROR(IF(Y509=0,"",ROUNDUP(Y509/H509,0)*0.01196),"")</f>
        <v>0.19136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87.435606060606048</v>
      </c>
      <c r="BN509" s="64">
        <f t="shared" ref="BN509:BN515" si="78">IFERROR(Y509*I509/H509,"0")</f>
        <v>90.08</v>
      </c>
      <c r="BO509" s="64">
        <f t="shared" ref="BO509:BO515" si="79">IFERROR(1/J509*(X509/H509),"0")</f>
        <v>0.14932983682983683</v>
      </c>
      <c r="BP509" s="64">
        <f t="shared" ref="BP509:BP515" si="80">IFERROR(1/J509*(Y509/H509),"0")</f>
        <v>0.15384615384615385</v>
      </c>
    </row>
    <row r="510" spans="1:68" ht="27" customHeight="1" x14ac:dyDescent="0.25">
      <c r="A510" s="54" t="s">
        <v>803</v>
      </c>
      <c r="B510" s="54" t="s">
        <v>804</v>
      </c>
      <c r="C510" s="31">
        <v>4301031350</v>
      </c>
      <c r="D510" s="630">
        <v>4680115883093</v>
      </c>
      <c r="E510" s="631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2"/>
      <c r="R510" s="622"/>
      <c r="S510" s="622"/>
      <c r="T510" s="623"/>
      <c r="U510" s="34"/>
      <c r="V510" s="34"/>
      <c r="W510" s="35" t="s">
        <v>67</v>
      </c>
      <c r="X510" s="617">
        <v>186</v>
      </c>
      <c r="Y510" s="618">
        <f t="shared" si="76"/>
        <v>190.08</v>
      </c>
      <c r="Z510" s="36">
        <f>IFERROR(IF(Y510=0,"",ROUNDUP(Y510/H510,0)*0.01196),"")</f>
        <v>0.43056</v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198.32954545454547</v>
      </c>
      <c r="BN510" s="64">
        <f t="shared" si="78"/>
        <v>202.67999999999998</v>
      </c>
      <c r="BO510" s="64">
        <f t="shared" si="79"/>
        <v>0.33872377622377625</v>
      </c>
      <c r="BP510" s="64">
        <f t="shared" si="80"/>
        <v>0.34615384615384615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30">
        <v>4680115883109</v>
      </c>
      <c r="E511" s="631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2"/>
      <c r="R511" s="622"/>
      <c r="S511" s="622"/>
      <c r="T511" s="623"/>
      <c r="U511" s="34"/>
      <c r="V511" s="34"/>
      <c r="W511" s="35" t="s">
        <v>67</v>
      </c>
      <c r="X511" s="617">
        <v>212</v>
      </c>
      <c r="Y511" s="618">
        <f t="shared" si="76"/>
        <v>216.48000000000002</v>
      </c>
      <c r="Z511" s="36">
        <f>IFERROR(IF(Y511=0,"",ROUNDUP(Y511/H511,0)*0.01196),"")</f>
        <v>0.49036000000000002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226.05303030303028</v>
      </c>
      <c r="BN511" s="64">
        <f t="shared" si="78"/>
        <v>230.83</v>
      </c>
      <c r="BO511" s="64">
        <f t="shared" si="79"/>
        <v>0.38607226107226106</v>
      </c>
      <c r="BP511" s="64">
        <f t="shared" si="80"/>
        <v>0.39423076923076927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30">
        <v>4680115882072</v>
      </c>
      <c r="E512" s="631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2"/>
      <c r="R512" s="622"/>
      <c r="S512" s="622"/>
      <c r="T512" s="623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30">
        <v>4680115882102</v>
      </c>
      <c r="E513" s="631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2"/>
      <c r="R513" s="622"/>
      <c r="S513" s="622"/>
      <c r="T513" s="623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30">
        <v>4680115882102</v>
      </c>
      <c r="E514" s="631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80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2"/>
      <c r="R514" s="622"/>
      <c r="S514" s="622"/>
      <c r="T514" s="623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30">
        <v>4680115882096</v>
      </c>
      <c r="E515" s="631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2"/>
      <c r="R515" s="622"/>
      <c r="S515" s="622"/>
      <c r="T515" s="623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2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7" t="s">
        <v>69</v>
      </c>
      <c r="Q516" s="638"/>
      <c r="R516" s="638"/>
      <c r="S516" s="638"/>
      <c r="T516" s="638"/>
      <c r="U516" s="638"/>
      <c r="V516" s="639"/>
      <c r="W516" s="37" t="s">
        <v>70</v>
      </c>
      <c r="X516" s="619">
        <f>IFERROR(X509/H509,"0")+IFERROR(X510/H510,"0")+IFERROR(X511/H511,"0")+IFERROR(X512/H512,"0")+IFERROR(X513/H513,"0")+IFERROR(X514/H514,"0")+IFERROR(X515/H515,"0")</f>
        <v>90.909090909090907</v>
      </c>
      <c r="Y516" s="619">
        <f>IFERROR(Y509/H509,"0")+IFERROR(Y510/H510,"0")+IFERROR(Y511/H511,"0")+IFERROR(Y512/H512,"0")+IFERROR(Y513/H513,"0")+IFERROR(Y514/H514,"0")+IFERROR(Y515/H515,"0")</f>
        <v>93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1.1122800000000002</v>
      </c>
      <c r="AA516" s="620"/>
      <c r="AB516" s="620"/>
      <c r="AC516" s="620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7" t="s">
        <v>69</v>
      </c>
      <c r="Q517" s="638"/>
      <c r="R517" s="638"/>
      <c r="S517" s="638"/>
      <c r="T517" s="638"/>
      <c r="U517" s="638"/>
      <c r="V517" s="639"/>
      <c r="W517" s="37" t="s">
        <v>67</v>
      </c>
      <c r="X517" s="619">
        <f>IFERROR(SUM(X509:X515),"0")</f>
        <v>480</v>
      </c>
      <c r="Y517" s="619">
        <f>IFERROR(SUM(Y509:Y515),"0")</f>
        <v>491.04</v>
      </c>
      <c r="Z517" s="37"/>
      <c r="AA517" s="620"/>
      <c r="AB517" s="620"/>
      <c r="AC517" s="620"/>
    </row>
    <row r="518" spans="1:68" ht="27.75" hidden="1" customHeight="1" x14ac:dyDescent="0.2">
      <c r="A518" s="788" t="s">
        <v>816</v>
      </c>
      <c r="B518" s="789"/>
      <c r="C518" s="789"/>
      <c r="D518" s="789"/>
      <c r="E518" s="789"/>
      <c r="F518" s="789"/>
      <c r="G518" s="789"/>
      <c r="H518" s="789"/>
      <c r="I518" s="789"/>
      <c r="J518" s="789"/>
      <c r="K518" s="789"/>
      <c r="L518" s="789"/>
      <c r="M518" s="789"/>
      <c r="N518" s="789"/>
      <c r="O518" s="789"/>
      <c r="P518" s="789"/>
      <c r="Q518" s="789"/>
      <c r="R518" s="789"/>
      <c r="S518" s="789"/>
      <c r="T518" s="789"/>
      <c r="U518" s="789"/>
      <c r="V518" s="789"/>
      <c r="W518" s="789"/>
      <c r="X518" s="789"/>
      <c r="Y518" s="789"/>
      <c r="Z518" s="789"/>
      <c r="AA518" s="48"/>
      <c r="AB518" s="48"/>
      <c r="AC518" s="48"/>
    </row>
    <row r="519" spans="1:68" ht="16.5" hidden="1" customHeight="1" x14ac:dyDescent="0.25">
      <c r="A519" s="640" t="s">
        <v>816</v>
      </c>
      <c r="B519" s="633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  <c r="AA519" s="612"/>
      <c r="AB519" s="612"/>
      <c r="AC519" s="612"/>
    </row>
    <row r="520" spans="1:68" ht="14.25" hidden="1" customHeight="1" x14ac:dyDescent="0.25">
      <c r="A520" s="636" t="s">
        <v>108</v>
      </c>
      <c r="B520" s="633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30">
        <v>4680115889736</v>
      </c>
      <c r="E521" s="631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8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2"/>
      <c r="R521" s="622"/>
      <c r="S521" s="622"/>
      <c r="T521" s="623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2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7" t="s">
        <v>69</v>
      </c>
      <c r="Q522" s="638"/>
      <c r="R522" s="638"/>
      <c r="S522" s="638"/>
      <c r="T522" s="638"/>
      <c r="U522" s="638"/>
      <c r="V522" s="639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7" t="s">
        <v>69</v>
      </c>
      <c r="Q523" s="638"/>
      <c r="R523" s="638"/>
      <c r="S523" s="638"/>
      <c r="T523" s="638"/>
      <c r="U523" s="638"/>
      <c r="V523" s="639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6" t="s">
        <v>143</v>
      </c>
      <c r="B524" s="633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30">
        <v>4680115889781</v>
      </c>
      <c r="E525" s="631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2"/>
      <c r="R525" s="622"/>
      <c r="S525" s="622"/>
      <c r="T525" s="623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2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7" t="s">
        <v>69</v>
      </c>
      <c r="Q526" s="638"/>
      <c r="R526" s="638"/>
      <c r="S526" s="638"/>
      <c r="T526" s="638"/>
      <c r="U526" s="638"/>
      <c r="V526" s="639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7" t="s">
        <v>69</v>
      </c>
      <c r="Q527" s="638"/>
      <c r="R527" s="638"/>
      <c r="S527" s="638"/>
      <c r="T527" s="638"/>
      <c r="U527" s="638"/>
      <c r="V527" s="639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6" t="s">
        <v>62</v>
      </c>
      <c r="B528" s="633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30">
        <v>4680115889774</v>
      </c>
      <c r="E529" s="631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2"/>
      <c r="R529" s="622"/>
      <c r="S529" s="622"/>
      <c r="T529" s="623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2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7" t="s">
        <v>69</v>
      </c>
      <c r="Q530" s="638"/>
      <c r="R530" s="638"/>
      <c r="S530" s="638"/>
      <c r="T530" s="638"/>
      <c r="U530" s="638"/>
      <c r="V530" s="639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7" t="s">
        <v>69</v>
      </c>
      <c r="Q531" s="638"/>
      <c r="R531" s="638"/>
      <c r="S531" s="638"/>
      <c r="T531" s="638"/>
      <c r="U531" s="638"/>
      <c r="V531" s="639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6" t="s">
        <v>71</v>
      </c>
      <c r="B532" s="633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  <c r="AA532" s="613"/>
      <c r="AB532" s="613"/>
      <c r="AC532" s="613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30">
        <v>4680115889811</v>
      </c>
      <c r="E533" s="631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0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7" t="s">
        <v>69</v>
      </c>
      <c r="Q534" s="638"/>
      <c r="R534" s="638"/>
      <c r="S534" s="638"/>
      <c r="T534" s="638"/>
      <c r="U534" s="638"/>
      <c r="V534" s="639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7" t="s">
        <v>69</v>
      </c>
      <c r="Q535" s="638"/>
      <c r="R535" s="638"/>
      <c r="S535" s="638"/>
      <c r="T535" s="638"/>
      <c r="U535" s="638"/>
      <c r="V535" s="639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6" t="s">
        <v>161</v>
      </c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30">
        <v>4680115889804</v>
      </c>
      <c r="E537" s="631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1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2"/>
      <c r="R537" s="622"/>
      <c r="S537" s="622"/>
      <c r="T537" s="623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30">
        <v>4680115889828</v>
      </c>
      <c r="E538" s="631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2"/>
      <c r="R538" s="622"/>
      <c r="S538" s="622"/>
      <c r="T538" s="623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7" t="s">
        <v>69</v>
      </c>
      <c r="Q539" s="638"/>
      <c r="R539" s="638"/>
      <c r="S539" s="638"/>
      <c r="T539" s="638"/>
      <c r="U539" s="638"/>
      <c r="V539" s="639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7" t="s">
        <v>69</v>
      </c>
      <c r="Q540" s="638"/>
      <c r="R540" s="638"/>
      <c r="S540" s="638"/>
      <c r="T540" s="638"/>
      <c r="U540" s="638"/>
      <c r="V540" s="639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40" t="s">
        <v>834</v>
      </c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  <c r="AA541" s="612"/>
      <c r="AB541" s="612"/>
      <c r="AC541" s="612"/>
    </row>
    <row r="542" spans="1:68" ht="14.25" hidden="1" customHeight="1" x14ac:dyDescent="0.25">
      <c r="A542" s="636" t="s">
        <v>143</v>
      </c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30">
        <v>4680115889798</v>
      </c>
      <c r="E543" s="631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80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2"/>
      <c r="R543" s="622"/>
      <c r="S543" s="622"/>
      <c r="T543" s="623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2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7" t="s">
        <v>69</v>
      </c>
      <c r="Q544" s="638"/>
      <c r="R544" s="638"/>
      <c r="S544" s="638"/>
      <c r="T544" s="638"/>
      <c r="U544" s="638"/>
      <c r="V544" s="639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7" t="s">
        <v>69</v>
      </c>
      <c r="Q545" s="638"/>
      <c r="R545" s="638"/>
      <c r="S545" s="638"/>
      <c r="T545" s="638"/>
      <c r="U545" s="638"/>
      <c r="V545" s="639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10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793"/>
      <c r="P546" s="674" t="s">
        <v>838</v>
      </c>
      <c r="Q546" s="675"/>
      <c r="R546" s="675"/>
      <c r="S546" s="675"/>
      <c r="T546" s="675"/>
      <c r="U546" s="675"/>
      <c r="V546" s="676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10218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10412.210000000003</v>
      </c>
      <c r="Z546" s="37"/>
      <c r="AA546" s="620"/>
      <c r="AB546" s="620"/>
      <c r="AC546" s="620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793"/>
      <c r="P547" s="674" t="s">
        <v>839</v>
      </c>
      <c r="Q547" s="675"/>
      <c r="R547" s="675"/>
      <c r="S547" s="675"/>
      <c r="T547" s="675"/>
      <c r="U547" s="675"/>
      <c r="V547" s="676"/>
      <c r="W547" s="37" t="s">
        <v>67</v>
      </c>
      <c r="X547" s="619">
        <f>IFERROR(SUM(BM22:BM543),"0")</f>
        <v>10789.203864025218</v>
      </c>
      <c r="Y547" s="619">
        <f>IFERROR(SUM(BN22:BN543),"0")</f>
        <v>10995.903999999999</v>
      </c>
      <c r="Z547" s="37"/>
      <c r="AA547" s="620"/>
      <c r="AB547" s="620"/>
      <c r="AC547" s="620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793"/>
      <c r="P548" s="674" t="s">
        <v>840</v>
      </c>
      <c r="Q548" s="675"/>
      <c r="R548" s="675"/>
      <c r="S548" s="675"/>
      <c r="T548" s="675"/>
      <c r="U548" s="675"/>
      <c r="V548" s="676"/>
      <c r="W548" s="37" t="s">
        <v>841</v>
      </c>
      <c r="X548" s="38">
        <f>ROUNDUP(SUM(BO22:BO543),0)</f>
        <v>18</v>
      </c>
      <c r="Y548" s="38">
        <f>ROUNDUP(SUM(BP22:BP543),0)</f>
        <v>18</v>
      </c>
      <c r="Z548" s="37"/>
      <c r="AA548" s="620"/>
      <c r="AB548" s="620"/>
      <c r="AC548" s="620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793"/>
      <c r="P549" s="674" t="s">
        <v>842</v>
      </c>
      <c r="Q549" s="675"/>
      <c r="R549" s="675"/>
      <c r="S549" s="675"/>
      <c r="T549" s="675"/>
      <c r="U549" s="675"/>
      <c r="V549" s="676"/>
      <c r="W549" s="37" t="s">
        <v>67</v>
      </c>
      <c r="X549" s="619">
        <f>GrossWeightTotal+PalletQtyTotal*25</f>
        <v>11239.203864025218</v>
      </c>
      <c r="Y549" s="619">
        <f>GrossWeightTotalR+PalletQtyTotalR*25</f>
        <v>11445.903999999999</v>
      </c>
      <c r="Z549" s="37"/>
      <c r="AA549" s="620"/>
      <c r="AB549" s="620"/>
      <c r="AC549" s="620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793"/>
      <c r="P550" s="674" t="s">
        <v>843</v>
      </c>
      <c r="Q550" s="675"/>
      <c r="R550" s="675"/>
      <c r="S550" s="675"/>
      <c r="T550" s="675"/>
      <c r="U550" s="675"/>
      <c r="V550" s="676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1869.2674249373677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1905</v>
      </c>
      <c r="Z550" s="37"/>
      <c r="AA550" s="620"/>
      <c r="AB550" s="620"/>
      <c r="AC550" s="620"/>
    </row>
    <row r="551" spans="1:32" ht="14.25" hidden="1" customHeight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793"/>
      <c r="P551" s="674" t="s">
        <v>844</v>
      </c>
      <c r="Q551" s="675"/>
      <c r="R551" s="675"/>
      <c r="S551" s="675"/>
      <c r="T551" s="675"/>
      <c r="U551" s="675"/>
      <c r="V551" s="676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20.617609999999999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4" t="s">
        <v>106</v>
      </c>
      <c r="E553" s="817"/>
      <c r="F553" s="817"/>
      <c r="G553" s="817"/>
      <c r="H553" s="817"/>
      <c r="I553" s="817"/>
      <c r="J553" s="625"/>
      <c r="K553" s="624" t="s">
        <v>327</v>
      </c>
      <c r="L553" s="817"/>
      <c r="M553" s="817"/>
      <c r="N553" s="817"/>
      <c r="O553" s="817"/>
      <c r="P553" s="817"/>
      <c r="Q553" s="817"/>
      <c r="R553" s="817"/>
      <c r="S553" s="817"/>
      <c r="T553" s="817"/>
      <c r="U553" s="817"/>
      <c r="V553" s="625"/>
      <c r="W553" s="624" t="s">
        <v>673</v>
      </c>
      <c r="X553" s="625"/>
      <c r="Y553" s="624" t="s">
        <v>739</v>
      </c>
      <c r="Z553" s="625"/>
      <c r="AA553" s="614" t="s">
        <v>772</v>
      </c>
      <c r="AB553" s="624" t="s">
        <v>816</v>
      </c>
      <c r="AC553" s="625"/>
      <c r="AF553" s="615"/>
    </row>
    <row r="554" spans="1:32" ht="14.25" customHeight="1" thickTop="1" x14ac:dyDescent="0.2">
      <c r="A554" s="915" t="s">
        <v>847</v>
      </c>
      <c r="B554" s="624" t="s">
        <v>61</v>
      </c>
      <c r="C554" s="624" t="s">
        <v>90</v>
      </c>
      <c r="D554" s="624" t="s">
        <v>107</v>
      </c>
      <c r="E554" s="624" t="s">
        <v>123</v>
      </c>
      <c r="F554" s="624" t="s">
        <v>169</v>
      </c>
      <c r="G554" s="624" t="s">
        <v>193</v>
      </c>
      <c r="H554" s="624" t="s">
        <v>237</v>
      </c>
      <c r="I554" s="624" t="s">
        <v>250</v>
      </c>
      <c r="J554" s="624" t="s">
        <v>106</v>
      </c>
      <c r="K554" s="624" t="s">
        <v>328</v>
      </c>
      <c r="L554" s="624" t="s">
        <v>349</v>
      </c>
      <c r="M554" s="624" t="s">
        <v>412</v>
      </c>
      <c r="N554" s="615"/>
      <c r="O554" s="624" t="s">
        <v>480</v>
      </c>
      <c r="P554" s="624" t="s">
        <v>511</v>
      </c>
      <c r="Q554" s="624" t="s">
        <v>530</v>
      </c>
      <c r="R554" s="624" t="s">
        <v>539</v>
      </c>
      <c r="S554" s="624" t="s">
        <v>561</v>
      </c>
      <c r="T554" s="624" t="s">
        <v>570</v>
      </c>
      <c r="U554" s="624" t="s">
        <v>656</v>
      </c>
      <c r="V554" s="624" t="s">
        <v>663</v>
      </c>
      <c r="W554" s="624" t="s">
        <v>674</v>
      </c>
      <c r="X554" s="624" t="s">
        <v>723</v>
      </c>
      <c r="Y554" s="624" t="s">
        <v>740</v>
      </c>
      <c r="Z554" s="624" t="s">
        <v>760</v>
      </c>
      <c r="AA554" s="624" t="s">
        <v>772</v>
      </c>
      <c r="AB554" s="624" t="s">
        <v>816</v>
      </c>
      <c r="AC554" s="624" t="s">
        <v>834</v>
      </c>
      <c r="AF554" s="615"/>
    </row>
    <row r="555" spans="1:32" ht="13.5" customHeight="1" thickBot="1" x14ac:dyDescent="0.25">
      <c r="A555" s="916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15"/>
      <c r="O555" s="645"/>
      <c r="P555" s="645"/>
      <c r="Q555" s="645"/>
      <c r="R555" s="645"/>
      <c r="S555" s="645"/>
      <c r="T555" s="645"/>
      <c r="U555" s="645"/>
      <c r="V555" s="645"/>
      <c r="W555" s="645"/>
      <c r="X555" s="645"/>
      <c r="Y555" s="645"/>
      <c r="Z555" s="645"/>
      <c r="AA555" s="645"/>
      <c r="AB555" s="645"/>
      <c r="AC555" s="645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41.4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167.20000000000002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455.5</v>
      </c>
      <c r="F556" s="46">
        <f>IFERROR(Y84*1,"0")+IFERROR(Y85*1,"0")+IFERROR(Y86*1,"0")+IFERROR(Y87*1,"0")+IFERROR(Y88*1,"0")+IFERROR(Y89*1,"0")+IFERROR(Y93*1,"0")+IFERROR(Y94*1,"0")+IFERROR(Y95*1,"0")+IFERROR(Y96*1,"0")</f>
        <v>522.9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598.56000000000006</v>
      </c>
      <c r="H556" s="46">
        <f>IFERROR(Y131*1,"0")+IFERROR(Y132*1,"0")+IFERROR(Y136*1,"0")+IFERROR(Y137*1,"0")+IFERROR(Y141*1,"0")+IFERROR(Y142*1,"0")</f>
        <v>5.28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655.13999999999987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486.34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1057.2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3.6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36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319.79999999999995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365.93</v>
      </c>
      <c r="U556" s="46">
        <f>IFERROR(Y406*1,"0")+IFERROR(Y407*1,"0")</f>
        <v>0</v>
      </c>
      <c r="V556" s="46">
        <f>IFERROR(Y412*1,"0")+IFERROR(Y413*1,"0")+IFERROR(Y414*1,"0")</f>
        <v>8.4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4410</v>
      </c>
      <c r="X556" s="46">
        <f>IFERROR(Y449*1,"0")+IFERROR(Y450*1,"0")+IFERROR(Y454*1,"0")+IFERROR(Y458*1,"0")+IFERROR(Y459*1,"0")+IFERROR(Y460*1,"0")</f>
        <v>19.2</v>
      </c>
      <c r="Y556" s="46">
        <f>IFERROR(Y466*1,"0")+IFERROR(Y467*1,"0")+IFERROR(Y468*1,"0")+IFERROR(Y469*1,"0")+IFERROR(Y470*1,"0")+IFERROR(Y471*1,"0")+IFERROR(Y475*1,"0")</f>
        <v>102.60000000000001</v>
      </c>
      <c r="Z556" s="46">
        <f>IFERROR(Y480*1,"0")+IFERROR(Y484*1,"0")+IFERROR(Y485*1,"0")+IFERROR(Y486*1,"0")</f>
        <v>81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1076.1600000000001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0,79"/>
        <filter val="1 131,00"/>
        <filter val="1 684,00"/>
        <filter val="1 869,27"/>
        <filter val="1,00"/>
        <filter val="1,11"/>
        <filter val="1,14"/>
        <filter val="10 218,00"/>
        <filter val="10 789,20"/>
        <filter val="10,07"/>
        <filter val="100,00"/>
        <filter val="107,00"/>
        <filter val="11 239,20"/>
        <filter val="111,11"/>
        <filter val="119,00"/>
        <filter val="12,51"/>
        <filter val="121,00"/>
        <filter val="123,00"/>
        <filter val="13,00"/>
        <filter val="13,22"/>
        <filter val="13,89"/>
        <filter val="130,00"/>
        <filter val="133,00"/>
        <filter val="138,00"/>
        <filter val="14,00"/>
        <filter val="14,58"/>
        <filter val="14,81"/>
        <filter val="140,00"/>
        <filter val="150,00"/>
        <filter val="151,00"/>
        <filter val="16,00"/>
        <filter val="161,00"/>
        <filter val="164,00"/>
        <filter val="166,00"/>
        <filter val="17,00"/>
        <filter val="17,39"/>
        <filter val="18"/>
        <filter val="18,52"/>
        <filter val="186,00"/>
        <filter val="19,44"/>
        <filter val="193,04"/>
        <filter val="195,00"/>
        <filter val="2,00"/>
        <filter val="2,08"/>
        <filter val="2,38"/>
        <filter val="20,00"/>
        <filter val="201,00"/>
        <filter val="208,00"/>
        <filter val="212,00"/>
        <filter val="214,00"/>
        <filter val="22,22"/>
        <filter val="223,65"/>
        <filter val="23,50"/>
        <filter val="241,00"/>
        <filter val="249,00"/>
        <filter val="250,00"/>
        <filter val="256,00"/>
        <filter val="26,00"/>
        <filter val="26,26"/>
        <filter val="27,00"/>
        <filter val="27,92"/>
        <filter val="271,07"/>
        <filter val="28,00"/>
        <filter val="28,60"/>
        <filter val="284,17"/>
        <filter val="293,00"/>
        <filter val="3,00"/>
        <filter val="3,33"/>
        <filter val="30,00"/>
        <filter val="303,00"/>
        <filter val="31,00"/>
        <filter val="311,00"/>
        <filter val="35,00"/>
        <filter val="360,00"/>
        <filter val="380,00"/>
        <filter val="39,39"/>
        <filter val="39,87"/>
        <filter val="4 066,00"/>
        <filter val="40,00"/>
        <filter val="40,13"/>
        <filter val="42,52"/>
        <filter val="422,00"/>
        <filter val="45,00"/>
        <filter val="451,00"/>
        <filter val="47,00"/>
        <filter val="477,00"/>
        <filter val="480,00"/>
        <filter val="5,00"/>
        <filter val="51,00"/>
        <filter val="52,00"/>
        <filter val="52,72"/>
        <filter val="56,00"/>
        <filter val="56,25"/>
        <filter val="60,00"/>
        <filter val="61,98"/>
        <filter val="62,00"/>
        <filter val="63,00"/>
        <filter val="647,00"/>
        <filter val="67,00"/>
        <filter val="682,00"/>
        <filter val="7,00"/>
        <filter val="7,08"/>
        <filter val="79,00"/>
        <filter val="80,00"/>
        <filter val="800,00"/>
        <filter val="81,06"/>
        <filter val="82,00"/>
        <filter val="87,00"/>
        <filter val="90,91"/>
        <filter val="93,00"/>
        <filter val="99,00"/>
      </filters>
    </filterColumn>
    <filterColumn colId="29" showButton="0"/>
    <filterColumn colId="30" showButton="0"/>
  </autoFilter>
  <mergeCells count="977">
    <mergeCell ref="X17:X18"/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95:E95"/>
    <mergeCell ref="P74:V74"/>
    <mergeCell ref="Y17:Y18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D395:E395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J9:M9"/>
    <mergeCell ref="A418:Z418"/>
    <mergeCell ref="D112:E112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H17:H18"/>
    <mergeCell ref="P261:T261"/>
    <mergeCell ref="A146:Z146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26:T26"/>
    <mergeCell ref="P461:V461"/>
    <mergeCell ref="A143:O144"/>
    <mergeCell ref="P511:T511"/>
    <mergeCell ref="P507:V507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27:T27"/>
    <mergeCell ref="P325:T325"/>
    <mergeCell ref="P154:T154"/>
    <mergeCell ref="D504:E504"/>
    <mergeCell ref="P241:V241"/>
    <mergeCell ref="Q10:R10"/>
    <mergeCell ref="A442:Z442"/>
    <mergeCell ref="D185:E185"/>
    <mergeCell ref="P296:T296"/>
    <mergeCell ref="P356:T356"/>
    <mergeCell ref="D277:E277"/>
    <mergeCell ref="P256:V256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D422:E422"/>
    <mergeCell ref="P360:V360"/>
    <mergeCell ref="P80:V80"/>
    <mergeCell ref="P151:V151"/>
    <mergeCell ref="P87:T87"/>
    <mergeCell ref="D201:E201"/>
    <mergeCell ref="D335:E335"/>
    <mergeCell ref="D68:E68"/>
    <mergeCell ref="A440:O441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A12:M12"/>
    <mergeCell ref="A411:Z411"/>
    <mergeCell ref="A19:Z19"/>
    <mergeCell ref="P310:T310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P272:T27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A41:O42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38:E38"/>
    <mergeCell ref="P353:T353"/>
    <mergeCell ref="P440:V440"/>
    <mergeCell ref="P132:T132"/>
    <mergeCell ref="A44:Z44"/>
    <mergeCell ref="P75:V75"/>
    <mergeCell ref="P342:V34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D39:E39"/>
    <mergeCell ref="A135:Z135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Q9:R9"/>
    <mergeCell ref="P267:V267"/>
    <mergeCell ref="A331:Z331"/>
    <mergeCell ref="D255:E255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D9:E9"/>
    <mergeCell ref="F9:G9"/>
    <mergeCell ref="P495:T495"/>
    <mergeCell ref="P17:T18"/>
    <mergeCell ref="P250:T250"/>
    <mergeCell ref="P492:T492"/>
    <mergeCell ref="P286:T286"/>
    <mergeCell ref="D400:E400"/>
    <mergeCell ref="D77:E77"/>
    <mergeCell ref="P131:T131"/>
    <mergeCell ref="D375:E375"/>
    <mergeCell ref="D369:E369"/>
    <mergeCell ref="P423:T423"/>
    <mergeCell ref="P223:T223"/>
    <mergeCell ref="D160:E160"/>
    <mergeCell ref="P139:V139"/>
    <mergeCell ref="I17:I18"/>
    <mergeCell ref="D141:E141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A34:Z34"/>
    <mergeCell ref="P245:V245"/>
    <mergeCell ref="P516:V51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2026-10-09T09:28:40Z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