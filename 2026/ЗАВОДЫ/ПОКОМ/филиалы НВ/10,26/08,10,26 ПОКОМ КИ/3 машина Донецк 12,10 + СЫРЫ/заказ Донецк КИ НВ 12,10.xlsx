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D1F5CD1-EE77-445F-AC23-7DD5F7D3D0D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X544" i="1"/>
  <c r="BO543" i="1"/>
  <c r="BM543" i="1"/>
  <c r="Y543" i="1"/>
  <c r="P543" i="1"/>
  <c r="X540" i="1"/>
  <c r="X539" i="1"/>
  <c r="BO538" i="1"/>
  <c r="BM538" i="1"/>
  <c r="Y538" i="1"/>
  <c r="P538" i="1"/>
  <c r="BO537" i="1"/>
  <c r="BM537" i="1"/>
  <c r="Y537" i="1"/>
  <c r="Y539" i="1" s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X488" i="1"/>
  <c r="X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O471" i="1"/>
  <c r="BM471" i="1"/>
  <c r="Y471" i="1"/>
  <c r="P471" i="1"/>
  <c r="BO470" i="1"/>
  <c r="BM470" i="1"/>
  <c r="Y470" i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X403" i="1"/>
  <c r="Y402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Y349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BO339" i="1"/>
  <c r="BM339" i="1"/>
  <c r="Y339" i="1"/>
  <c r="P339" i="1"/>
  <c r="X337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556" i="1" s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N315" i="1"/>
  <c r="BM315" i="1"/>
  <c r="Z315" i="1"/>
  <c r="Y315" i="1"/>
  <c r="P315" i="1"/>
  <c r="X312" i="1"/>
  <c r="X311" i="1"/>
  <c r="BO310" i="1"/>
  <c r="BM310" i="1"/>
  <c r="Y310" i="1"/>
  <c r="BP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O294" i="1"/>
  <c r="BM294" i="1"/>
  <c r="Y294" i="1"/>
  <c r="BP294" i="1" s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P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Y251" i="1" s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Y181" i="1" s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X144" i="1"/>
  <c r="X143" i="1"/>
  <c r="BO142" i="1"/>
  <c r="BM142" i="1"/>
  <c r="Y142" i="1"/>
  <c r="P142" i="1"/>
  <c r="BO141" i="1"/>
  <c r="BM141" i="1"/>
  <c r="Y141" i="1"/>
  <c r="Y143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BP131" i="1" s="1"/>
  <c r="P131" i="1"/>
  <c r="X128" i="1"/>
  <c r="X127" i="1"/>
  <c r="BO126" i="1"/>
  <c r="BM126" i="1"/>
  <c r="Y126" i="1"/>
  <c r="Y128" i="1" s="1"/>
  <c r="P126" i="1"/>
  <c r="X124" i="1"/>
  <c r="X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Y117" i="1" s="1"/>
  <c r="P111" i="1"/>
  <c r="X109" i="1"/>
  <c r="X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8" i="1" s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F556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P77" i="1"/>
  <c r="X75" i="1"/>
  <c r="X74" i="1"/>
  <c r="BO73" i="1"/>
  <c r="BM73" i="1"/>
  <c r="Y73" i="1"/>
  <c r="P73" i="1"/>
  <c r="BO72" i="1"/>
  <c r="BM72" i="1"/>
  <c r="Y72" i="1"/>
  <c r="Y74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X51" i="1"/>
  <c r="X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BO46" i="1"/>
  <c r="BM46" i="1"/>
  <c r="Y46" i="1"/>
  <c r="D556" i="1" s="1"/>
  <c r="P46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C556" i="1" s="1"/>
  <c r="P36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546" i="1" s="1"/>
  <c r="X23" i="1"/>
  <c r="BO22" i="1"/>
  <c r="X548" i="1" s="1"/>
  <c r="BM22" i="1"/>
  <c r="Y22" i="1"/>
  <c r="B556" i="1" s="1"/>
  <c r="P22" i="1"/>
  <c r="H10" i="1"/>
  <c r="A9" i="1"/>
  <c r="A10" i="1" s="1"/>
  <c r="D7" i="1"/>
  <c r="Q6" i="1"/>
  <c r="P2" i="1"/>
  <c r="BP319" i="1" l="1"/>
  <c r="BN319" i="1"/>
  <c r="Z319" i="1"/>
  <c r="BP339" i="1"/>
  <c r="BN339" i="1"/>
  <c r="Z339" i="1"/>
  <c r="BP355" i="1"/>
  <c r="BN355" i="1"/>
  <c r="Z355" i="1"/>
  <c r="BP365" i="1"/>
  <c r="BN365" i="1"/>
  <c r="Z365" i="1"/>
  <c r="BP375" i="1"/>
  <c r="BN375" i="1"/>
  <c r="Z375" i="1"/>
  <c r="BP393" i="1"/>
  <c r="BN393" i="1"/>
  <c r="Z393" i="1"/>
  <c r="BP413" i="1"/>
  <c r="BN413" i="1"/>
  <c r="Z413" i="1"/>
  <c r="BP426" i="1"/>
  <c r="BN426" i="1"/>
  <c r="Z426" i="1"/>
  <c r="Y451" i="1"/>
  <c r="BP449" i="1"/>
  <c r="BN449" i="1"/>
  <c r="Z449" i="1"/>
  <c r="BP471" i="1"/>
  <c r="BN471" i="1"/>
  <c r="Z471" i="1"/>
  <c r="BP496" i="1"/>
  <c r="BN496" i="1"/>
  <c r="Z496" i="1"/>
  <c r="BP512" i="1"/>
  <c r="BN512" i="1"/>
  <c r="Z512" i="1"/>
  <c r="X547" i="1"/>
  <c r="X549" i="1" s="1"/>
  <c r="X550" i="1"/>
  <c r="Z27" i="1"/>
  <c r="BN27" i="1"/>
  <c r="Z37" i="1"/>
  <c r="BN37" i="1"/>
  <c r="Z47" i="1"/>
  <c r="BN47" i="1"/>
  <c r="Z54" i="1"/>
  <c r="BN54" i="1"/>
  <c r="Y63" i="1"/>
  <c r="Z58" i="1"/>
  <c r="BN58" i="1"/>
  <c r="Z66" i="1"/>
  <c r="BN66" i="1"/>
  <c r="Z72" i="1"/>
  <c r="BN72" i="1"/>
  <c r="BP72" i="1"/>
  <c r="Y75" i="1"/>
  <c r="Y81" i="1"/>
  <c r="Z85" i="1"/>
  <c r="BN85" i="1"/>
  <c r="Z89" i="1"/>
  <c r="BN89" i="1"/>
  <c r="Y97" i="1"/>
  <c r="Z95" i="1"/>
  <c r="BN95" i="1"/>
  <c r="G556" i="1"/>
  <c r="Z104" i="1"/>
  <c r="BN104" i="1"/>
  <c r="Z112" i="1"/>
  <c r="BN112" i="1"/>
  <c r="Z120" i="1"/>
  <c r="BN120" i="1"/>
  <c r="Z126" i="1"/>
  <c r="Z127" i="1" s="1"/>
  <c r="BN126" i="1"/>
  <c r="BP126" i="1"/>
  <c r="Y127" i="1"/>
  <c r="Z131" i="1"/>
  <c r="BN131" i="1"/>
  <c r="Y134" i="1"/>
  <c r="Z141" i="1"/>
  <c r="BN141" i="1"/>
  <c r="BP141" i="1"/>
  <c r="Y144" i="1"/>
  <c r="Z150" i="1"/>
  <c r="BN150" i="1"/>
  <c r="Z162" i="1"/>
  <c r="BN162" i="1"/>
  <c r="Z172" i="1"/>
  <c r="BN172" i="1"/>
  <c r="Z176" i="1"/>
  <c r="BN176" i="1"/>
  <c r="Z180" i="1"/>
  <c r="BN180" i="1"/>
  <c r="Y186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Y242" i="1"/>
  <c r="Z250" i="1"/>
  <c r="BN250" i="1"/>
  <c r="Z254" i="1"/>
  <c r="BN254" i="1"/>
  <c r="Z262" i="1"/>
  <c r="BN262" i="1"/>
  <c r="Z271" i="1"/>
  <c r="BN271" i="1"/>
  <c r="Z275" i="1"/>
  <c r="BN275" i="1"/>
  <c r="Z279" i="1"/>
  <c r="BN279" i="1"/>
  <c r="Z285" i="1"/>
  <c r="BN285" i="1"/>
  <c r="BP285" i="1"/>
  <c r="Z294" i="1"/>
  <c r="BN294" i="1"/>
  <c r="Z310" i="1"/>
  <c r="BN310" i="1"/>
  <c r="Y321" i="1"/>
  <c r="BP315" i="1"/>
  <c r="BP333" i="1"/>
  <c r="BN333" i="1"/>
  <c r="Z333" i="1"/>
  <c r="BP346" i="1"/>
  <c r="BN346" i="1"/>
  <c r="Z346" i="1"/>
  <c r="BP359" i="1"/>
  <c r="BN359" i="1"/>
  <c r="Z359" i="1"/>
  <c r="BP369" i="1"/>
  <c r="BN369" i="1"/>
  <c r="Z369" i="1"/>
  <c r="BP387" i="1"/>
  <c r="BN387" i="1"/>
  <c r="Z387" i="1"/>
  <c r="Y403" i="1"/>
  <c r="BP399" i="1"/>
  <c r="BN399" i="1"/>
  <c r="Z399" i="1"/>
  <c r="BP422" i="1"/>
  <c r="BN422" i="1"/>
  <c r="Z422" i="1"/>
  <c r="BP438" i="1"/>
  <c r="BN438" i="1"/>
  <c r="Z438" i="1"/>
  <c r="BP467" i="1"/>
  <c r="BN467" i="1"/>
  <c r="Z467" i="1"/>
  <c r="BP486" i="1"/>
  <c r="BN486" i="1"/>
  <c r="Z486" i="1"/>
  <c r="BP492" i="1"/>
  <c r="BN492" i="1"/>
  <c r="Z492" i="1"/>
  <c r="BP504" i="1"/>
  <c r="BN504" i="1"/>
  <c r="Z504" i="1"/>
  <c r="BP538" i="1"/>
  <c r="BN538" i="1"/>
  <c r="Z538" i="1"/>
  <c r="AC556" i="1"/>
  <c r="Y544" i="1"/>
  <c r="BP543" i="1"/>
  <c r="BN543" i="1"/>
  <c r="Z543" i="1"/>
  <c r="Z544" i="1" s="1"/>
  <c r="Y371" i="1"/>
  <c r="Y488" i="1"/>
  <c r="Y487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6" i="1"/>
  <c r="BN36" i="1"/>
  <c r="BP36" i="1"/>
  <c r="Z38" i="1"/>
  <c r="BN38" i="1"/>
  <c r="Z40" i="1"/>
  <c r="BN40" i="1"/>
  <c r="Y41" i="1"/>
  <c r="Z46" i="1"/>
  <c r="BN46" i="1"/>
  <c r="BP46" i="1"/>
  <c r="Z48" i="1"/>
  <c r="BN48" i="1"/>
  <c r="Y51" i="1"/>
  <c r="E556" i="1"/>
  <c r="Z55" i="1"/>
  <c r="Z62" i="1" s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Y70" i="1"/>
  <c r="Z73" i="1"/>
  <c r="Z74" i="1" s="1"/>
  <c r="BN73" i="1"/>
  <c r="BP73" i="1"/>
  <c r="Z77" i="1"/>
  <c r="BN77" i="1"/>
  <c r="BP77" i="1"/>
  <c r="Z79" i="1"/>
  <c r="BN79" i="1"/>
  <c r="Y80" i="1"/>
  <c r="Z84" i="1"/>
  <c r="BN84" i="1"/>
  <c r="BP84" i="1"/>
  <c r="Z86" i="1"/>
  <c r="BN86" i="1"/>
  <c r="Z88" i="1"/>
  <c r="BN88" i="1"/>
  <c r="Y91" i="1"/>
  <c r="Z94" i="1"/>
  <c r="BN94" i="1"/>
  <c r="BP94" i="1"/>
  <c r="Z96" i="1"/>
  <c r="BN96" i="1"/>
  <c r="Z101" i="1"/>
  <c r="BN101" i="1"/>
  <c r="BP101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Y116" i="1"/>
  <c r="Z119" i="1"/>
  <c r="BN119" i="1"/>
  <c r="BP119" i="1"/>
  <c r="Z121" i="1"/>
  <c r="BN121" i="1"/>
  <c r="Y124" i="1"/>
  <c r="H556" i="1"/>
  <c r="Z132" i="1"/>
  <c r="BN132" i="1"/>
  <c r="BP132" i="1"/>
  <c r="Y133" i="1"/>
  <c r="Z136" i="1"/>
  <c r="Z138" i="1" s="1"/>
  <c r="BN136" i="1"/>
  <c r="BP136" i="1"/>
  <c r="Y139" i="1"/>
  <c r="Z142" i="1"/>
  <c r="Z143" i="1" s="1"/>
  <c r="BN142" i="1"/>
  <c r="BP142" i="1"/>
  <c r="Z147" i="1"/>
  <c r="BN147" i="1"/>
  <c r="Z149" i="1"/>
  <c r="BN149" i="1"/>
  <c r="BP161" i="1"/>
  <c r="BN161" i="1"/>
  <c r="Z161" i="1"/>
  <c r="Y168" i="1"/>
  <c r="BP173" i="1"/>
  <c r="BN173" i="1"/>
  <c r="Z173" i="1"/>
  <c r="BP177" i="1"/>
  <c r="BN177" i="1"/>
  <c r="Z177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5" i="1"/>
  <c r="BP244" i="1"/>
  <c r="BN244" i="1"/>
  <c r="Z244" i="1"/>
  <c r="Z245" i="1" s="1"/>
  <c r="Y246" i="1"/>
  <c r="M556" i="1"/>
  <c r="Y252" i="1"/>
  <c r="BP249" i="1"/>
  <c r="BN249" i="1"/>
  <c r="Z249" i="1"/>
  <c r="Z251" i="1" s="1"/>
  <c r="Y256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Y24" i="1"/>
  <c r="Y42" i="1"/>
  <c r="Y50" i="1"/>
  <c r="Y90" i="1"/>
  <c r="Y109" i="1"/>
  <c r="I556" i="1"/>
  <c r="Y151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Z342" i="1"/>
  <c r="BP340" i="1"/>
  <c r="BN340" i="1"/>
  <c r="Z340" i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Z298" i="1" s="1"/>
  <c r="BP295" i="1"/>
  <c r="BN295" i="1"/>
  <c r="Z295" i="1"/>
  <c r="BP316" i="1"/>
  <c r="BN316" i="1"/>
  <c r="Z316" i="1"/>
  <c r="Z321" i="1" s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Z349" i="1"/>
  <c r="BP347" i="1"/>
  <c r="BN347" i="1"/>
  <c r="Z347" i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Z383" i="1" s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Z461" i="1" s="1"/>
  <c r="BP468" i="1"/>
  <c r="BN468" i="1"/>
  <c r="Z468" i="1"/>
  <c r="W556" i="1"/>
  <c r="Y428" i="1"/>
  <c r="Z487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500" i="1" l="1"/>
  <c r="Z440" i="1"/>
  <c r="Z370" i="1"/>
  <c r="Z360" i="1"/>
  <c r="Z328" i="1"/>
  <c r="Z377" i="1"/>
  <c r="Z241" i="1"/>
  <c r="Z235" i="1"/>
  <c r="Z163" i="1"/>
  <c r="Z133" i="1"/>
  <c r="Z97" i="1"/>
  <c r="Z90" i="1"/>
  <c r="Z80" i="1"/>
  <c r="Z50" i="1"/>
  <c r="Z41" i="1"/>
  <c r="Z31" i="1"/>
  <c r="Z428" i="1"/>
  <c r="Z516" i="1"/>
  <c r="Z390" i="1"/>
  <c r="Z267" i="1"/>
  <c r="Z181" i="1"/>
  <c r="Y546" i="1"/>
  <c r="Z472" i="1"/>
  <c r="Z206" i="1"/>
  <c r="Z151" i="1"/>
  <c r="Z123" i="1"/>
  <c r="Z116" i="1"/>
  <c r="Z108" i="1"/>
  <c r="Z69" i="1"/>
  <c r="Y550" i="1"/>
  <c r="Y547" i="1"/>
  <c r="Z434" i="1"/>
  <c r="Z282" i="1"/>
  <c r="Z336" i="1"/>
  <c r="Z227" i="1"/>
  <c r="Z415" i="1"/>
  <c r="Y548" i="1"/>
  <c r="Z551" i="1" l="1"/>
  <c r="Y549" i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<sst xmlns="http://schemas.openxmlformats.org/spreadsheetml/2006/main" count="2462" uniqueCount="893">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</sst>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29</v>
      </c>
      <c r="Y49" s="618">
        <f>IFERROR(IF(X49="",0,CEILING((X49/$H49),1)*$H49),"")</f>
        <v>29.6</v>
      </c>
      <c r="Z49" s="36">
        <f>IFERROR(IF(Y49=0,"",ROUNDUP(Y49/H49,0)*0.00902),"")</f>
        <v>7.2160000000000002E-2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30.489189189189187</v>
      </c>
      <c r="BN49" s="64">
        <f>IFERROR(Y49*I49/H49,"0")</f>
        <v>31.12</v>
      </c>
      <c r="BO49" s="64">
        <f>IFERROR(1/J49*(X49/H49),"0")</f>
        <v>5.9377559377559376E-2</v>
      </c>
      <c r="BP49" s="64">
        <f>IFERROR(1/J49*(Y49/H49),"0")</f>
        <v>6.0606060606060608E-2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7.8378378378378377</v>
      </c>
      <c r="Y50" s="619">
        <f>IFERROR(Y46/H46,"0")+IFERROR(Y47/H47,"0")+IFERROR(Y48/H48,"0")+IFERROR(Y49/H49,"0")</f>
        <v>8</v>
      </c>
      <c r="Z50" s="619">
        <f>IFERROR(IF(Z46="",0,Z46),"0")+IFERROR(IF(Z47="",0,Z47),"0")+IFERROR(IF(Z48="",0,Z48),"0")+IFERROR(IF(Z49="",0,Z49),"0")</f>
        <v>7.2160000000000002E-2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29</v>
      </c>
      <c r="Y51" s="619">
        <f>IFERROR(SUM(Y46:Y49),"0")</f>
        <v>29.6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96</v>
      </c>
      <c r="Y54" s="618">
        <f t="shared" ref="Y54:Y61" si="0">IFERROR(IF(X54="",0,CEILING((X54/$H54),1)*$H54),"")</f>
        <v>100.8</v>
      </c>
      <c r="Z54" s="36">
        <f>IFERROR(IF(Y54=0,"",ROUNDUP(Y54/H54,0)*0.01898),"")</f>
        <v>0.17082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99.51428571428572</v>
      </c>
      <c r="BN54" s="64">
        <f t="shared" ref="BN54:BN61" si="2">IFERROR(Y54*I54/H54,"0")</f>
        <v>104.49000000000001</v>
      </c>
      <c r="BO54" s="64">
        <f t="shared" ref="BO54:BO61" si="3">IFERROR(1/J54*(X54/H54),"0")</f>
        <v>0.13392857142857142</v>
      </c>
      <c r="BP54" s="64">
        <f t="shared" ref="BP54:BP61" si="4">IFERROR(1/J54*(Y54/H54),"0")</f>
        <v>0.140625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221</v>
      </c>
      <c r="Y55" s="618">
        <f t="shared" si="0"/>
        <v>226.8</v>
      </c>
      <c r="Z55" s="36">
        <f>IFERROR(IF(Y55=0,"",ROUNDUP(Y55/H55,0)*0.01898),"")</f>
        <v>0.39857999999999999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229.38981481481483</v>
      </c>
      <c r="BN55" s="64">
        <f t="shared" si="2"/>
        <v>235.41000000000003</v>
      </c>
      <c r="BO55" s="64">
        <f t="shared" si="3"/>
        <v>0.31973379629629628</v>
      </c>
      <c r="BP55" s="64">
        <f t="shared" si="4"/>
        <v>0.328125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4</v>
      </c>
      <c r="Y58" s="618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4.1900000000000004</v>
      </c>
      <c r="BN58" s="64">
        <f t="shared" si="2"/>
        <v>4.1900000000000004</v>
      </c>
      <c r="BO58" s="64">
        <f t="shared" si="3"/>
        <v>7.575757575757576E-3</v>
      </c>
      <c r="BP58" s="64">
        <f t="shared" si="4"/>
        <v>7.575757575757576E-3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80</v>
      </c>
      <c r="Y61" s="618">
        <f t="shared" si="0"/>
        <v>81</v>
      </c>
      <c r="Z61" s="36">
        <f>IFERROR(IF(Y61=0,"",ROUNDUP(Y61/H61,0)*0.00902),"")</f>
        <v>0.16236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83.377777777777794</v>
      </c>
      <c r="BN61" s="64">
        <f t="shared" si="2"/>
        <v>84.420000000000016</v>
      </c>
      <c r="BO61" s="64">
        <f t="shared" si="3"/>
        <v>0.13468013468013468</v>
      </c>
      <c r="BP61" s="64">
        <f t="shared" si="4"/>
        <v>0.13636363636363635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47.81216931216931</v>
      </c>
      <c r="Y62" s="619">
        <f>IFERROR(Y54/H54,"0")+IFERROR(Y55/H55,"0")+IFERROR(Y56/H56,"0")+IFERROR(Y57/H57,"0")+IFERROR(Y58/H58,"0")+IFERROR(Y59/H59,"0")+IFERROR(Y60/H60,"0")+IFERROR(Y61/H61,"0")</f>
        <v>49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0.74077999999999999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401</v>
      </c>
      <c r="Y63" s="619">
        <f>IFERROR(SUM(Y54:Y61),"0")</f>
        <v>412.6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28</v>
      </c>
      <c r="Y72" s="618">
        <f>IFERROR(IF(X72="",0,CEILING((X72/$H72),1)*$H72),"")</f>
        <v>28.8</v>
      </c>
      <c r="Z72" s="36">
        <f>IFERROR(IF(Y72=0,"",ROUNDUP(Y72/H72,0)*0.00651),"")</f>
        <v>0.10416</v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31.826666666666664</v>
      </c>
      <c r="BN72" s="64">
        <f>IFERROR(Y72*I72/H72,"0")</f>
        <v>32.735999999999997</v>
      </c>
      <c r="BO72" s="64">
        <f>IFERROR(1/J72*(X72/H72),"0")</f>
        <v>8.5470085470085472E-2</v>
      </c>
      <c r="BP72" s="64">
        <f>IFERROR(1/J72*(Y72/H72),"0")</f>
        <v>8.7912087912087919E-2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15.555555555555555</v>
      </c>
      <c r="Y74" s="619">
        <f>IFERROR(Y72/H72,"0")+IFERROR(Y73/H73,"0")</f>
        <v>16</v>
      </c>
      <c r="Z74" s="619">
        <f>IFERROR(IF(Z72="",0,Z72),"0")+IFERROR(IF(Z73="",0,Z73),"0")</f>
        <v>0.10416</v>
      </c>
      <c r="AA74" s="620"/>
      <c r="AB74" s="620"/>
      <c r="AC74" s="620"/>
    </row>
    <row r="75" spans="1:68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28</v>
      </c>
      <c r="Y75" s="619">
        <f>IFERROR(SUM(Y72:Y73),"0")</f>
        <v>28.8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45</v>
      </c>
      <c r="Y77" s="618">
        <f>IFERROR(IF(X77="",0,CEILING((X77/$H77),1)*$H77),"")</f>
        <v>46.8</v>
      </c>
      <c r="Z77" s="36">
        <f>IFERROR(IF(Y77=0,"",ROUNDUP(Y77/H77,0)*0.01898),"")</f>
        <v>0.11388000000000001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47.36538461538462</v>
      </c>
      <c r="BN77" s="64">
        <f>IFERROR(Y77*I77/H77,"0")</f>
        <v>49.260000000000005</v>
      </c>
      <c r="BO77" s="64">
        <f>IFERROR(1/J77*(X77/H77),"0")</f>
        <v>9.0144230769230768E-2</v>
      </c>
      <c r="BP77" s="64">
        <f>IFERROR(1/J77*(Y77/H77),"0")</f>
        <v>9.375E-2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5.7692307692307692</v>
      </c>
      <c r="Y80" s="619">
        <f>IFERROR(Y77/H77,"0")+IFERROR(Y78/H78,"0")+IFERROR(Y79/H79,"0")</f>
        <v>6</v>
      </c>
      <c r="Z80" s="619">
        <f>IFERROR(IF(Z77="",0,Z77),"0")+IFERROR(IF(Z78="",0,Z78),"0")+IFERROR(IF(Z79="",0,Z79),"0")</f>
        <v>0.11388000000000001</v>
      </c>
      <c r="AA80" s="620"/>
      <c r="AB80" s="620"/>
      <c r="AC80" s="620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45</v>
      </c>
      <c r="Y81" s="619">
        <f>IFERROR(SUM(Y77:Y79),"0")</f>
        <v>46.8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3</v>
      </c>
      <c r="Y86" s="618">
        <f t="shared" si="5"/>
        <v>4.08</v>
      </c>
      <c r="Z86" s="36">
        <f>IFERROR(IF(Y86=0,"",ROUNDUP(Y86/H86,0)*0.00726),"")</f>
        <v>2.1780000000000001E-2</v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3.3970588235294117</v>
      </c>
      <c r="BN86" s="64">
        <f t="shared" si="7"/>
        <v>4.6199999999999992</v>
      </c>
      <c r="BO86" s="64">
        <f t="shared" si="8"/>
        <v>1.1488970588235291E-2</v>
      </c>
      <c r="BP86" s="64">
        <f t="shared" si="9"/>
        <v>1.5625E-2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58</v>
      </c>
      <c r="Y89" s="618">
        <f t="shared" si="5"/>
        <v>58.5</v>
      </c>
      <c r="Z89" s="36">
        <f>IFERROR(IF(Y89=0,"",ROUNDUP(Y89/H89,0)*0.00902),"")</f>
        <v>0.11726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60.448888888888895</v>
      </c>
      <c r="BN89" s="64">
        <f t="shared" si="7"/>
        <v>60.97</v>
      </c>
      <c r="BO89" s="64">
        <f t="shared" si="8"/>
        <v>9.7643097643097643E-2</v>
      </c>
      <c r="BP89" s="64">
        <f t="shared" si="9"/>
        <v>9.8484848484848481E-2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15.094771241830065</v>
      </c>
      <c r="Y90" s="619">
        <f>IFERROR(Y84/H84,"0")+IFERROR(Y85/H85,"0")+IFERROR(Y86/H86,"0")+IFERROR(Y87/H87,"0")+IFERROR(Y88/H88,"0")+IFERROR(Y89/H89,"0")</f>
        <v>16</v>
      </c>
      <c r="Z90" s="619">
        <f>IFERROR(IF(Z84="",0,Z84),"0")+IFERROR(IF(Z85="",0,Z85),"0")+IFERROR(IF(Z86="",0,Z86),"0")+IFERROR(IF(Z87="",0,Z87),"0")+IFERROR(IF(Z88="",0,Z88),"0")+IFERROR(IF(Z89="",0,Z89),"0")</f>
        <v>0.13904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61</v>
      </c>
      <c r="Y91" s="619">
        <f>IFERROR(SUM(Y84:Y89),"0")</f>
        <v>62.58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0</v>
      </c>
      <c r="Y97" s="619">
        <f>IFERROR(Y93/H93,"0")+IFERROR(Y94/H94,"0")+IFERROR(Y95/H95,"0")+IFERROR(Y96/H96,"0")</f>
        <v>0</v>
      </c>
      <c r="Z97" s="619">
        <f>IFERROR(IF(Z93="",0,Z93),"0")+IFERROR(IF(Z94="",0,Z94),"0")+IFERROR(IF(Z95="",0,Z95),"0")+IFERROR(IF(Z96="",0,Z96),"0")</f>
        <v>0</v>
      </c>
      <c r="AA97" s="620"/>
      <c r="AB97" s="620"/>
      <c r="AC97" s="620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0</v>
      </c>
      <c r="Y98" s="619">
        <f>IFERROR(SUM(Y93:Y96),"0")</f>
        <v>0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109</v>
      </c>
      <c r="Y101" s="618">
        <f t="shared" ref="Y101:Y107" si="10">IFERROR(IF(X101="",0,CEILING((X101/$H101),1)*$H101),"")</f>
        <v>118.80000000000001</v>
      </c>
      <c r="Z101" s="36">
        <f>IFERROR(IF(Y101=0,"",ROUNDUP(Y101/H101,0)*0.01898),"")</f>
        <v>0.20877999999999999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113.13796296296296</v>
      </c>
      <c r="BN101" s="64">
        <f t="shared" ref="BN101:BN107" si="12">IFERROR(Y101*I101/H101,"0")</f>
        <v>123.31000000000002</v>
      </c>
      <c r="BO101" s="64">
        <f t="shared" ref="BO101:BO107" si="13">IFERROR(1/J101*(X101/H101),"0")</f>
        <v>0.15769675925925924</v>
      </c>
      <c r="BP101" s="64">
        <f t="shared" ref="BP101:BP107" si="14">IFERROR(1/J101*(Y101/H101),"0")</f>
        <v>0.171875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257</v>
      </c>
      <c r="Y105" s="618">
        <f t="shared" si="10"/>
        <v>261</v>
      </c>
      <c r="Z105" s="36">
        <f>IFERROR(IF(Y105=0,"",ROUNDUP(Y105/H105,0)*0.00902),"")</f>
        <v>0.52316000000000007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267.85111111111115</v>
      </c>
      <c r="BN105" s="64">
        <f t="shared" si="12"/>
        <v>272.02000000000004</v>
      </c>
      <c r="BO105" s="64">
        <f t="shared" si="13"/>
        <v>0.43265993265993269</v>
      </c>
      <c r="BP105" s="64">
        <f t="shared" si="14"/>
        <v>0.43939393939393939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67.203703703703709</v>
      </c>
      <c r="Y108" s="619">
        <f>IFERROR(Y101/H101,"0")+IFERROR(Y102/H102,"0")+IFERROR(Y103/H103,"0")+IFERROR(Y104/H104,"0")+IFERROR(Y105/H105,"0")+IFERROR(Y106/H106,"0")+IFERROR(Y107/H107,"0")</f>
        <v>69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0.73194000000000004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366</v>
      </c>
      <c r="Y109" s="619">
        <f>IFERROR(SUM(Y101:Y107),"0")</f>
        <v>379.8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6</v>
      </c>
      <c r="Y115" s="618">
        <f>IFERROR(IF(X115="",0,CEILING((X115/$H115),1)*$H115),"")</f>
        <v>7.1999999999999993</v>
      </c>
      <c r="Z115" s="36">
        <f>IFERROR(IF(Y115=0,"",ROUNDUP(Y115/H115,0)*0.00651),"")</f>
        <v>1.9529999999999999E-2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6.45</v>
      </c>
      <c r="BN115" s="64">
        <f>IFERROR(Y115*I115/H115,"0")</f>
        <v>7.7399999999999993</v>
      </c>
      <c r="BO115" s="64">
        <f>IFERROR(1/J115*(X115/H115),"0")</f>
        <v>1.3736263736263738E-2</v>
      </c>
      <c r="BP115" s="64">
        <f>IFERROR(1/J115*(Y115/H115),"0")</f>
        <v>1.6483516483516484E-2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2.5</v>
      </c>
      <c r="Y116" s="619">
        <f>IFERROR(Y111/H111,"0")+IFERROR(Y112/H112,"0")+IFERROR(Y113/H113,"0")+IFERROR(Y114/H114,"0")+IFERROR(Y115/H115,"0")</f>
        <v>3</v>
      </c>
      <c r="Z116" s="619">
        <f>IFERROR(IF(Z111="",0,Z111),"0")+IFERROR(IF(Z112="",0,Z112),"0")+IFERROR(IF(Z113="",0,Z113),"0")+IFERROR(IF(Z114="",0,Z114),"0")+IFERROR(IF(Z115="",0,Z115),"0")</f>
        <v>1.9529999999999999E-2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6</v>
      </c>
      <c r="Y117" s="619">
        <f>IFERROR(SUM(Y111:Y115),"0")</f>
        <v>7.1999999999999993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398</v>
      </c>
      <c r="Y119" s="618">
        <f>IFERROR(IF(X119="",0,CEILING((X119/$H119),1)*$H119),"")</f>
        <v>405</v>
      </c>
      <c r="Z119" s="36">
        <f>IFERROR(IF(Y119=0,"",ROUNDUP(Y119/H119,0)*0.01898),"")</f>
        <v>0.94900000000000007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421.9782716049383</v>
      </c>
      <c r="BN119" s="64">
        <f>IFERROR(Y119*I119/H119,"0")</f>
        <v>429.4</v>
      </c>
      <c r="BO119" s="64">
        <f>IFERROR(1/J119*(X119/H119),"0")</f>
        <v>0.76774691358024694</v>
      </c>
      <c r="BP119" s="64">
        <f>IFERROR(1/J119*(Y119/H119),"0")</f>
        <v>0.78125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715</v>
      </c>
      <c r="Y121" s="618">
        <f>IFERROR(IF(X121="",0,CEILING((X121/$H121),1)*$H121),"")</f>
        <v>715.5</v>
      </c>
      <c r="Z121" s="36">
        <f>IFERROR(IF(Y121=0,"",ROUNDUP(Y121/H121,0)*0.00651),"")</f>
        <v>1.72515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781.73333333333323</v>
      </c>
      <c r="BN121" s="64">
        <f>IFERROR(Y121*I121/H121,"0")</f>
        <v>782.28</v>
      </c>
      <c r="BO121" s="64">
        <f>IFERROR(1/J121*(X121/H121),"0")</f>
        <v>1.4550264550264549</v>
      </c>
      <c r="BP121" s="64">
        <f>IFERROR(1/J121*(Y121/H121),"0")</f>
        <v>1.4560439560439562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313.95061728395058</v>
      </c>
      <c r="Y123" s="619">
        <f>IFERROR(Y119/H119,"0")+IFERROR(Y120/H120,"0")+IFERROR(Y121/H121,"0")+IFERROR(Y122/H122,"0")</f>
        <v>315</v>
      </c>
      <c r="Z123" s="619">
        <f>IFERROR(IF(Z119="",0,Z119),"0")+IFERROR(IF(Z120="",0,Z120),"0")+IFERROR(IF(Z121="",0,Z121),"0")+IFERROR(IF(Z122="",0,Z122),"0")</f>
        <v>2.67415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1113</v>
      </c>
      <c r="Y124" s="619">
        <f>IFERROR(SUM(Y119:Y122),"0")</f>
        <v>1120.5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86</v>
      </c>
      <c r="Y126" s="618">
        <f>IFERROR(IF(X126="",0,CEILING((X126/$H126),1)*$H126),"")</f>
        <v>87.12</v>
      </c>
      <c r="Z126" s="36">
        <f>IFERROR(IF(Y126=0,"",ROUNDUP(Y126/H126,0)*0.00651),"")</f>
        <v>0.28644000000000003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97.206060606060603</v>
      </c>
      <c r="BN126" s="64">
        <f>IFERROR(Y126*I126/H126,"0")</f>
        <v>98.471999999999994</v>
      </c>
      <c r="BO126" s="64">
        <f>IFERROR(1/J126*(X126/H126),"0")</f>
        <v>0.23865023865023866</v>
      </c>
      <c r="BP126" s="64">
        <f>IFERROR(1/J126*(Y126/H126),"0")</f>
        <v>0.24175824175824179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43.434343434343432</v>
      </c>
      <c r="Y127" s="619">
        <f>IFERROR(Y126/H126,"0")</f>
        <v>44</v>
      </c>
      <c r="Z127" s="619">
        <f>IFERROR(IF(Z126="",0,Z126),"0")</f>
        <v>0.28644000000000003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86</v>
      </c>
      <c r="Y128" s="619">
        <f>IFERROR(SUM(Y126:Y126),"0")</f>
        <v>87.12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12</v>
      </c>
      <c r="Y131" s="618">
        <f>IFERROR(IF(X131="",0,CEILING((X131/$H131),1)*$H131),"")</f>
        <v>12.8</v>
      </c>
      <c r="Z131" s="36">
        <f>IFERROR(IF(Y131=0,"",ROUNDUP(Y131/H131,0)*0.00651),"")</f>
        <v>2.6040000000000001E-2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12.675000000000001</v>
      </c>
      <c r="BN131" s="64">
        <f>IFERROR(Y131*I131/H131,"0")</f>
        <v>13.52</v>
      </c>
      <c r="BO131" s="64">
        <f>IFERROR(1/J131*(X131/H131),"0")</f>
        <v>2.0604395604395608E-2</v>
      </c>
      <c r="BP131" s="64">
        <f>IFERROR(1/J131*(Y131/H131),"0")</f>
        <v>2.197802197802198E-2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3.75</v>
      </c>
      <c r="Y133" s="619">
        <f>IFERROR(Y131/H131,"0")+IFERROR(Y132/H132,"0")</f>
        <v>4</v>
      </c>
      <c r="Z133" s="619">
        <f>IFERROR(IF(Z131="",0,Z131),"0")+IFERROR(IF(Z132="",0,Z132),"0")</f>
        <v>2.6040000000000001E-2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12</v>
      </c>
      <c r="Y134" s="619">
        <f>IFERROR(SUM(Y131:Y132),"0")</f>
        <v>12.8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17</v>
      </c>
      <c r="Y136" s="618">
        <f>IFERROR(IF(X136="",0,CEILING((X136/$H136),1)*$H136),"")</f>
        <v>19.599999999999998</v>
      </c>
      <c r="Z136" s="36">
        <f>IFERROR(IF(Y136=0,"",ROUNDUP(Y136/H136,0)*0.00651),"")</f>
        <v>4.5569999999999999E-2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18.627142857142857</v>
      </c>
      <c r="BN136" s="64">
        <f>IFERROR(Y136*I136/H136,"0")</f>
        <v>21.475999999999999</v>
      </c>
      <c r="BO136" s="64">
        <f>IFERROR(1/J136*(X136/H136),"0")</f>
        <v>3.3359497645211934E-2</v>
      </c>
      <c r="BP136" s="64">
        <f>IFERROR(1/J136*(Y136/H136),"0")</f>
        <v>3.8461538461538464E-2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6.0714285714285721</v>
      </c>
      <c r="Y138" s="619">
        <f>IFERROR(Y136/H136,"0")+IFERROR(Y137/H137,"0")</f>
        <v>7</v>
      </c>
      <c r="Z138" s="619">
        <f>IFERROR(IF(Z136="",0,Z136),"0")+IFERROR(IF(Z137="",0,Z137),"0")</f>
        <v>4.5569999999999999E-2</v>
      </c>
      <c r="AA138" s="620"/>
      <c r="AB138" s="620"/>
      <c r="AC138" s="620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17</v>
      </c>
      <c r="Y139" s="619">
        <f>IFERROR(SUM(Y136:Y137),"0")</f>
        <v>19.599999999999998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10</v>
      </c>
      <c r="Y171" s="618">
        <f t="shared" ref="Y171:Y180" si="15">IFERROR(IF(X171="",0,CEILING((X171/$H171),1)*$H171),"")</f>
        <v>10.5</v>
      </c>
      <c r="Z171" s="36">
        <f>IFERROR(IF(Y171=0,"",ROUNDUP(Y171/H171,0)*0.00902),"")</f>
        <v>2.7060000000000001E-2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10.542857142857143</v>
      </c>
      <c r="BN171" s="64">
        <f t="shared" ref="BN171:BN180" si="17">IFERROR(Y171*I171/H171,"0")</f>
        <v>11.069999999999999</v>
      </c>
      <c r="BO171" s="64">
        <f t="shared" ref="BO171:BO180" si="18">IFERROR(1/J171*(X171/H171),"0")</f>
        <v>2.1645021645021648E-2</v>
      </c>
      <c r="BP171" s="64">
        <f t="shared" ref="BP171:BP180" si="19">IFERROR(1/J171*(Y171/H171),"0")</f>
        <v>2.2727272727272728E-2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60</v>
      </c>
      <c r="Y173" s="618">
        <f t="shared" si="15"/>
        <v>63</v>
      </c>
      <c r="Z173" s="36">
        <f>IFERROR(IF(Y173=0,"",ROUNDUP(Y173/H173,0)*0.00902),"")</f>
        <v>0.16236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63.25714285714286</v>
      </c>
      <c r="BN173" s="64">
        <f t="shared" si="17"/>
        <v>66.42</v>
      </c>
      <c r="BO173" s="64">
        <f t="shared" si="18"/>
        <v>0.12987012987012986</v>
      </c>
      <c r="BP173" s="64">
        <f t="shared" si="19"/>
        <v>0.13636363636363635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386</v>
      </c>
      <c r="Y174" s="618">
        <f t="shared" si="15"/>
        <v>388.5</v>
      </c>
      <c r="Z174" s="36">
        <f>IFERROR(IF(Y174=0,"",ROUNDUP(Y174/H174,0)*0.00902),"")</f>
        <v>1.00122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406.95428571428567</v>
      </c>
      <c r="BN174" s="64">
        <f t="shared" si="17"/>
        <v>409.59000000000003</v>
      </c>
      <c r="BO174" s="64">
        <f t="shared" si="18"/>
        <v>0.83549783549783552</v>
      </c>
      <c r="BP174" s="64">
        <f t="shared" si="19"/>
        <v>0.84090909090909094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24</v>
      </c>
      <c r="Y176" s="618">
        <f t="shared" si="15"/>
        <v>25.2</v>
      </c>
      <c r="Z176" s="36">
        <f>IFERROR(IF(Y176=0,"",ROUNDUP(Y176/H176,0)*0.00502),"")</f>
        <v>7.5300000000000006E-2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25.428571428571431</v>
      </c>
      <c r="BN176" s="64">
        <f t="shared" si="17"/>
        <v>26.700000000000003</v>
      </c>
      <c r="BO176" s="64">
        <f t="shared" si="18"/>
        <v>6.1050061050061062E-2</v>
      </c>
      <c r="BP176" s="64">
        <f t="shared" si="19"/>
        <v>6.4102564102564111E-2</v>
      </c>
    </row>
    <row r="177" spans="1:68" ht="27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4</v>
      </c>
      <c r="Y177" s="618">
        <f t="shared" si="15"/>
        <v>4.5</v>
      </c>
      <c r="Z177" s="36">
        <f>IFERROR(IF(Y177=0,"",ROUNDUP(Y177/H177,0)*0.00417),"")</f>
        <v>2.085E-2</v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4.9333333333333336</v>
      </c>
      <c r="BN177" s="64">
        <f t="shared" si="17"/>
        <v>5.55</v>
      </c>
      <c r="BO177" s="64">
        <f t="shared" si="18"/>
        <v>1.3227513227513227E-2</v>
      </c>
      <c r="BP177" s="64">
        <f t="shared" si="19"/>
        <v>1.488095238095238E-2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14</v>
      </c>
      <c r="Y178" s="618">
        <f t="shared" si="15"/>
        <v>15.12</v>
      </c>
      <c r="Z178" s="36">
        <f>IFERROR(IF(Y178=0,"",ROUNDUP(Y178/H178,0)*0.00502),"")</f>
        <v>4.5179999999999998E-2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14.833333333333336</v>
      </c>
      <c r="BN178" s="64">
        <f t="shared" si="17"/>
        <v>16.02</v>
      </c>
      <c r="BO178" s="64">
        <f t="shared" si="18"/>
        <v>3.561253561253562E-2</v>
      </c>
      <c r="BP178" s="64">
        <f t="shared" si="19"/>
        <v>3.8461538461538464E-2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71</v>
      </c>
      <c r="Y180" s="618">
        <f t="shared" si="15"/>
        <v>72.239999999999995</v>
      </c>
      <c r="Z180" s="36">
        <f>IFERROR(IF(Y180=0,"",ROUNDUP(Y180/H180,0)*0.00502),"")</f>
        <v>0.21586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75.226190476190482</v>
      </c>
      <c r="BN180" s="64">
        <f t="shared" si="17"/>
        <v>76.540000000000006</v>
      </c>
      <c r="BO180" s="64">
        <f t="shared" si="18"/>
        <v>0.18060643060643064</v>
      </c>
      <c r="BP180" s="64">
        <f t="shared" si="19"/>
        <v>0.18376068376068377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199.61111111111111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204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1.5478299999999998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569</v>
      </c>
      <c r="Y182" s="619">
        <f>IFERROR(SUM(Y171:Y180),"0")</f>
        <v>579.05999999999995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32</v>
      </c>
      <c r="Y214" s="618">
        <f t="shared" ref="Y214:Y226" si="26">IFERROR(IF(X214="",0,CEILING((X214/$H214),1)*$H214),"")</f>
        <v>33.6</v>
      </c>
      <c r="Z214" s="36">
        <f>IFERROR(IF(Y214=0,"",ROUNDUP(Y214/H214,0)*0.00902),"")</f>
        <v>7.2160000000000002E-2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33.904761904761905</v>
      </c>
      <c r="BN214" s="64">
        <f t="shared" ref="BN214:BN226" si="28">IFERROR(Y214*I214/H214,"0")</f>
        <v>35.6</v>
      </c>
      <c r="BO214" s="64">
        <f t="shared" ref="BO214:BO226" si="29">IFERROR(1/J214*(X214/H214),"0")</f>
        <v>5.772005772005772E-2</v>
      </c>
      <c r="BP214" s="64">
        <f t="shared" ref="BP214:BP226" si="30">IFERROR(1/J214*(Y214/H214),"0")</f>
        <v>6.0606060606060608E-2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13</v>
      </c>
      <c r="Y217" s="618">
        <f t="shared" si="26"/>
        <v>13.600000000000001</v>
      </c>
      <c r="Z217" s="36">
        <f>IFERROR(IF(Y217=0,"",ROUNDUP(Y217/H217,0)*0.00556),"")</f>
        <v>9.4519999999999993E-2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15.112499999999999</v>
      </c>
      <c r="BN217" s="64">
        <f t="shared" si="28"/>
        <v>15.81</v>
      </c>
      <c r="BO217" s="64">
        <f t="shared" si="29"/>
        <v>6.4484126984126977E-2</v>
      </c>
      <c r="BP217" s="64">
        <f t="shared" si="30"/>
        <v>6.7460317460317457E-2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3</v>
      </c>
      <c r="Y218" s="618">
        <f t="shared" si="26"/>
        <v>4.2</v>
      </c>
      <c r="Z218" s="36">
        <f>IFERROR(IF(Y218=0,"",ROUNDUP(Y218/H218,0)*0.00502),"")</f>
        <v>1.004E-2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3.1857142857142855</v>
      </c>
      <c r="BN218" s="64">
        <f t="shared" si="28"/>
        <v>4.46</v>
      </c>
      <c r="BO218" s="64">
        <f t="shared" si="29"/>
        <v>6.1050061050061059E-3</v>
      </c>
      <c r="BP218" s="64">
        <f t="shared" si="30"/>
        <v>8.5470085470085479E-3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3</v>
      </c>
      <c r="Y222" s="618">
        <f t="shared" si="26"/>
        <v>3.6</v>
      </c>
      <c r="Z222" s="36">
        <f>IFERROR(IF(Y222=0,"",ROUNDUP(Y222/H222,0)*0.00502),"")</f>
        <v>1.004E-2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3.2166666666666668</v>
      </c>
      <c r="BN222" s="64">
        <f t="shared" si="28"/>
        <v>3.8599999999999994</v>
      </c>
      <c r="BO222" s="64">
        <f t="shared" si="29"/>
        <v>7.1225071225071226E-3</v>
      </c>
      <c r="BP222" s="64">
        <f t="shared" si="30"/>
        <v>8.5470085470085479E-3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250</v>
      </c>
      <c r="Y224" s="618">
        <f t="shared" si="26"/>
        <v>252</v>
      </c>
      <c r="Z224" s="36">
        <f>IFERROR(IF(Y224=0,"",ROUNDUP(Y224/H224,0)*0.00502),"")</f>
        <v>0.60240000000000005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261.90476190476187</v>
      </c>
      <c r="BN224" s="64">
        <f t="shared" si="28"/>
        <v>264.00000000000006</v>
      </c>
      <c r="BO224" s="64">
        <f t="shared" si="29"/>
        <v>0.50875050875050876</v>
      </c>
      <c r="BP224" s="64">
        <f t="shared" si="30"/>
        <v>0.51282051282051289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146.01190476190476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149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0.78916000000000008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301</v>
      </c>
      <c r="Y228" s="619">
        <f>IFERROR(SUM(Y214:Y226),"0")</f>
        <v>307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4</v>
      </c>
      <c r="Y239" s="618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5</v>
      </c>
      <c r="Y240" s="61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5.753968253968254</v>
      </c>
      <c r="BN240" s="64">
        <f>IFERROR(Y240*I240/H240,"0")</f>
        <v>5.8</v>
      </c>
      <c r="BO240" s="64">
        <f>IFERROR(1/J240*(X240/H240),"0")</f>
        <v>1.8371546149323927E-2</v>
      </c>
      <c r="BP240" s="64">
        <f>IFERROR(1/J240*(Y240/H240),"0")</f>
        <v>1.8518518518518517E-2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7.1428571428571423</v>
      </c>
      <c r="Y241" s="619">
        <f>IFERROR(Y238/H238,"0")+IFERROR(Y239/H239,"0")+IFERROR(Y240/H240,"0")</f>
        <v>8</v>
      </c>
      <c r="Z241" s="619">
        <f>IFERROR(IF(Z238="",0,Z238),"0")+IFERROR(IF(Z239="",0,Z239),"0")+IFERROR(IF(Z240="",0,Z240),"0")</f>
        <v>4.7199999999999999E-2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9</v>
      </c>
      <c r="Y242" s="619">
        <f>IFERROR(SUM(Y238:Y240),"0")</f>
        <v>10.08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9</v>
      </c>
      <c r="Y263" s="618">
        <f t="shared" si="31"/>
        <v>9</v>
      </c>
      <c r="Z263" s="36">
        <f>IFERROR(IF(Y263=0,"",ROUNDUP(Y263/H263,0)*0.00502),"")</f>
        <v>2.5100000000000001E-2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9.65</v>
      </c>
      <c r="BN263" s="64">
        <f t="shared" si="33"/>
        <v>9.65</v>
      </c>
      <c r="BO263" s="64">
        <f t="shared" si="34"/>
        <v>2.1367521367521368E-2</v>
      </c>
      <c r="BP263" s="64">
        <f t="shared" si="35"/>
        <v>2.1367521367521368E-2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6</v>
      </c>
      <c r="Y264" s="618">
        <f t="shared" si="31"/>
        <v>7.2</v>
      </c>
      <c r="Z264" s="36">
        <f>IFERROR(IF(Y264=0,"",ROUNDUP(Y264/H264,0)*0.00502),"")</f>
        <v>2.0080000000000001E-2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6.3333333333333321</v>
      </c>
      <c r="BN264" s="64">
        <f t="shared" si="33"/>
        <v>7.6</v>
      </c>
      <c r="BO264" s="64">
        <f t="shared" si="34"/>
        <v>1.4245014245014245E-2</v>
      </c>
      <c r="BP264" s="64">
        <f t="shared" si="35"/>
        <v>1.7094017094017096E-2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15</v>
      </c>
      <c r="Y266" s="618">
        <f t="shared" si="31"/>
        <v>16.2</v>
      </c>
      <c r="Z266" s="36">
        <f>IFERROR(IF(Y266=0,"",ROUNDUP(Y266/H266,0)*0.00502),"")</f>
        <v>4.5179999999999998E-2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15.833333333333332</v>
      </c>
      <c r="BN266" s="64">
        <f t="shared" si="33"/>
        <v>17.099999999999998</v>
      </c>
      <c r="BO266" s="64">
        <f t="shared" si="34"/>
        <v>3.561253561253562E-2</v>
      </c>
      <c r="BP266" s="64">
        <f t="shared" si="35"/>
        <v>3.8461538461538464E-2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16.666666666666664</v>
      </c>
      <c r="Y267" s="619">
        <f>IFERROR(Y259/H259,"0")+IFERROR(Y260/H260,"0")+IFERROR(Y261/H261,"0")+IFERROR(Y262/H262,"0")+IFERROR(Y263/H263,"0")+IFERROR(Y264/H264,"0")+IFERROR(Y265/H265,"0")+IFERROR(Y266/H266,"0")</f>
        <v>18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9.0359999999999996E-2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30</v>
      </c>
      <c r="Y268" s="619">
        <f>IFERROR(SUM(Y259:Y266),"0")</f>
        <v>32.4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61</v>
      </c>
      <c r="Y270" s="618">
        <f t="shared" ref="Y270:Y281" si="36">IFERROR(IF(X270="",0,CEILING((X270/$H270),1)*$H270),"")</f>
        <v>64.8</v>
      </c>
      <c r="Z270" s="36">
        <f>IFERROR(IF(Y270=0,"",ROUNDUP(Y270/H270,0)*0.01898),"")</f>
        <v>0.15184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64.72024691358024</v>
      </c>
      <c r="BN270" s="64">
        <f t="shared" ref="BN270:BN281" si="38">IFERROR(Y270*I270/H270,"0")</f>
        <v>68.751999999999995</v>
      </c>
      <c r="BO270" s="64">
        <f t="shared" ref="BO270:BO281" si="39">IFERROR(1/J270*(X270/H270),"0")</f>
        <v>0.11766975308641976</v>
      </c>
      <c r="BP270" s="64">
        <f t="shared" ref="BP270:BP281" si="40">IFERROR(1/J270*(Y270/H270),"0")</f>
        <v>0.125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136</v>
      </c>
      <c r="Y271" s="618">
        <f t="shared" si="36"/>
        <v>137.69999999999999</v>
      </c>
      <c r="Z271" s="36">
        <f>IFERROR(IF(Y271=0,"",ROUNDUP(Y271/H271,0)*0.01898),"")</f>
        <v>0.32266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143.9920987654321</v>
      </c>
      <c r="BN271" s="64">
        <f t="shared" si="38"/>
        <v>145.792</v>
      </c>
      <c r="BO271" s="64">
        <f t="shared" si="39"/>
        <v>0.26234567901234568</v>
      </c>
      <c r="BP271" s="64">
        <f t="shared" si="40"/>
        <v>0.265625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77</v>
      </c>
      <c r="Y273" s="618">
        <f t="shared" si="36"/>
        <v>79.2</v>
      </c>
      <c r="Z273" s="36">
        <f>IFERROR(IF(Y273=0,"",ROUNDUP(Y273/H273,0)*0.00651),"")</f>
        <v>0.21482999999999999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85.662500000000009</v>
      </c>
      <c r="BN273" s="64">
        <f t="shared" si="38"/>
        <v>88.11</v>
      </c>
      <c r="BO273" s="64">
        <f t="shared" si="39"/>
        <v>0.17628205128205132</v>
      </c>
      <c r="BP273" s="64">
        <f t="shared" si="40"/>
        <v>0.18131868131868134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699</v>
      </c>
      <c r="Y276" s="618">
        <f t="shared" si="36"/>
        <v>700.8</v>
      </c>
      <c r="Z276" s="36">
        <f>IFERROR(IF(Y276=0,"",ROUNDUP(Y276/H276,0)*0.00651),"")</f>
        <v>1.9009199999999999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772.3950000000001</v>
      </c>
      <c r="BN276" s="64">
        <f t="shared" si="38"/>
        <v>774.38400000000001</v>
      </c>
      <c r="BO276" s="64">
        <f t="shared" si="39"/>
        <v>1.6002747252747254</v>
      </c>
      <c r="BP276" s="64">
        <f t="shared" si="40"/>
        <v>1.6043956043956045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138</v>
      </c>
      <c r="Y278" s="618">
        <f t="shared" si="36"/>
        <v>139.19999999999999</v>
      </c>
      <c r="Z278" s="36">
        <f>IFERROR(IF(Y278=0,"",ROUNDUP(Y278/H278,0)*0.00651),"")</f>
        <v>0.37758000000000003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152.49</v>
      </c>
      <c r="BN278" s="64">
        <f t="shared" si="38"/>
        <v>153.816</v>
      </c>
      <c r="BO278" s="64">
        <f t="shared" si="39"/>
        <v>0.31593406593406598</v>
      </c>
      <c r="BP278" s="64">
        <f t="shared" si="40"/>
        <v>0.31868131868131871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69</v>
      </c>
      <c r="Y279" s="618">
        <f t="shared" si="36"/>
        <v>69.599999999999994</v>
      </c>
      <c r="Z279" s="36">
        <f>IFERROR(IF(Y279=0,"",ROUNDUP(Y279/H279,0)*0.00651),"")</f>
        <v>0.18879000000000001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76.245000000000005</v>
      </c>
      <c r="BN279" s="64">
        <f t="shared" si="38"/>
        <v>76.908000000000001</v>
      </c>
      <c r="BO279" s="64">
        <f t="shared" si="39"/>
        <v>0.15796703296703299</v>
      </c>
      <c r="BP279" s="64">
        <f t="shared" si="40"/>
        <v>0.15934065934065936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98</v>
      </c>
      <c r="Y280" s="618">
        <f t="shared" si="36"/>
        <v>98.399999999999991</v>
      </c>
      <c r="Z280" s="36">
        <f>IFERROR(IF(Y280=0,"",ROUNDUP(Y280/H280,0)*0.00651),"")</f>
        <v>0.26690999999999998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108.535</v>
      </c>
      <c r="BN280" s="64">
        <f t="shared" si="38"/>
        <v>108.97799999999999</v>
      </c>
      <c r="BO280" s="64">
        <f t="shared" si="39"/>
        <v>0.22435897435897439</v>
      </c>
      <c r="BP280" s="64">
        <f t="shared" si="40"/>
        <v>0.22527472527472528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474.73765432098764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478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3.4235300000000004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1278</v>
      </c>
      <c r="Y283" s="619">
        <f>IFERROR(SUM(Y270:Y281),"0")</f>
        <v>1289.7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19</v>
      </c>
      <c r="Y285" s="618">
        <f>IFERROR(IF(X285="",0,CEILING((X285/$H285),1)*$H285),"")</f>
        <v>19.2</v>
      </c>
      <c r="Z285" s="36">
        <f>IFERROR(IF(Y285=0,"",ROUNDUP(Y285/H285,0)*0.00651),"")</f>
        <v>5.2080000000000001E-2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20.995000000000005</v>
      </c>
      <c r="BN285" s="64">
        <f>IFERROR(Y285*I285/H285,"0")</f>
        <v>21.216000000000001</v>
      </c>
      <c r="BO285" s="64">
        <f>IFERROR(1/J285*(X285/H285),"0")</f>
        <v>4.3498168498168503E-2</v>
      </c>
      <c r="BP285" s="64">
        <f>IFERROR(1/J285*(Y285/H285),"0")</f>
        <v>4.3956043956043959E-2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7.916666666666667</v>
      </c>
      <c r="Y287" s="619">
        <f>IFERROR(Y285/H285,"0")+IFERROR(Y286/H286,"0")</f>
        <v>8</v>
      </c>
      <c r="Z287" s="619">
        <f>IFERROR(IF(Z285="",0,Z285),"0")+IFERROR(IF(Z286="",0,Z286),"0")</f>
        <v>5.2080000000000001E-2</v>
      </c>
      <c r="AA287" s="620"/>
      <c r="AB287" s="620"/>
      <c r="AC287" s="620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19</v>
      </c>
      <c r="Y288" s="619">
        <f>IFERROR(SUM(Y285:Y286),"0")</f>
        <v>19.2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1</v>
      </c>
      <c r="Y305" s="618">
        <f>IFERROR(IF(X305="",0,CEILING((X305/$H305),1)*$H305),"")</f>
        <v>1.8</v>
      </c>
      <c r="Z305" s="36">
        <f>IFERROR(IF(Y305=0,"",ROUNDUP(Y305/H305,0)*0.0059),"")</f>
        <v>5.8999999999999999E-3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1.0972222222222223</v>
      </c>
      <c r="BN305" s="64">
        <f>IFERROR(Y305*I305/H305,"0")</f>
        <v>1.9750000000000001</v>
      </c>
      <c r="BO305" s="64">
        <f>IFERROR(1/J305*(X305/H305),"0")</f>
        <v>2.5720164609053498E-3</v>
      </c>
      <c r="BP305" s="64">
        <f>IFERROR(1/J305*(Y305/H305),"0")</f>
        <v>4.6296296296296294E-3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0.55555555555555558</v>
      </c>
      <c r="Y306" s="619">
        <f>IFERROR(Y305/H305,"0")</f>
        <v>1</v>
      </c>
      <c r="Z306" s="619">
        <f>IFERROR(IF(Z305="",0,Z305),"0")</f>
        <v>5.8999999999999999E-3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1</v>
      </c>
      <c r="Y307" s="619">
        <f>IFERROR(SUM(Y305:Y305),"0")</f>
        <v>1.8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82</v>
      </c>
      <c r="Y326" s="618">
        <f>IFERROR(IF(X326="",0,CEILING((X326/$H326),1)*$H326),"")</f>
        <v>84</v>
      </c>
      <c r="Z326" s="36">
        <f>IFERROR(IF(Y326=0,"",ROUNDUP(Y326/H326,0)*0.00651),"")</f>
        <v>0.22785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90.61</v>
      </c>
      <c r="BN326" s="64">
        <f>IFERROR(Y326*I326/H326,"0")</f>
        <v>92.820000000000007</v>
      </c>
      <c r="BO326" s="64">
        <f>IFERROR(1/J326*(X326/H326),"0")</f>
        <v>0.18772893772893776</v>
      </c>
      <c r="BP326" s="64">
        <f>IFERROR(1/J326*(Y326/H326),"0")</f>
        <v>0.19230769230769232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183</v>
      </c>
      <c r="Y327" s="618">
        <f>IFERROR(IF(X327="",0,CEILING((X327/$H327),1)*$H327),"")</f>
        <v>184.79999999999998</v>
      </c>
      <c r="Z327" s="36">
        <f>IFERROR(IF(Y327=0,"",ROUNDUP(Y327/H327,0)*0.00651),"")</f>
        <v>0.50126999999999999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196.72499999999999</v>
      </c>
      <c r="BN327" s="64">
        <f>IFERROR(Y327*I327/H327,"0")</f>
        <v>198.66</v>
      </c>
      <c r="BO327" s="64">
        <f>IFERROR(1/J327*(X327/H327),"0")</f>
        <v>0.41895604395604397</v>
      </c>
      <c r="BP327" s="64">
        <f>IFERROR(1/J327*(Y327/H327),"0")</f>
        <v>0.42307692307692313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110.41666666666667</v>
      </c>
      <c r="Y328" s="619">
        <f>IFERROR(Y325/H325,"0")+IFERROR(Y326/H326,"0")+IFERROR(Y327/H327,"0")</f>
        <v>112</v>
      </c>
      <c r="Z328" s="619">
        <f>IFERROR(IF(Z325="",0,Z325),"0")+IFERROR(IF(Z326="",0,Z326),"0")+IFERROR(IF(Z327="",0,Z327),"0")</f>
        <v>0.72911999999999999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265</v>
      </c>
      <c r="Y329" s="619">
        <f>IFERROR(SUM(Y325:Y327),"0")</f>
        <v>268.79999999999995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387</v>
      </c>
      <c r="Y347" s="618">
        <f>IFERROR(IF(X347="",0,CEILING((X347/$H347),1)*$H347),"")</f>
        <v>390</v>
      </c>
      <c r="Z347" s="36">
        <f>IFERROR(IF(Y347=0,"",ROUNDUP(Y347/H347,0)*0.01898),"")</f>
        <v>0.94900000000000007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407.34230769230777</v>
      </c>
      <c r="BN347" s="64">
        <f>IFERROR(Y347*I347/H347,"0")</f>
        <v>410.50000000000006</v>
      </c>
      <c r="BO347" s="64">
        <f>IFERROR(1/J347*(X347/H347),"0")</f>
        <v>0.77524038461538458</v>
      </c>
      <c r="BP347" s="64">
        <f>IFERROR(1/J347*(Y347/H347),"0")</f>
        <v>0.78125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78</v>
      </c>
      <c r="Y348" s="618">
        <f>IFERROR(IF(X348="",0,CEILING((X348/$H348),1)*$H348),"")</f>
        <v>78</v>
      </c>
      <c r="Z348" s="36">
        <f>IFERROR(IF(Y348=0,"",ROUNDUP(Y348/H348,0)*0.01898),"")</f>
        <v>0.1898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82.100000000000023</v>
      </c>
      <c r="BN348" s="64">
        <f>IFERROR(Y348*I348/H348,"0")</f>
        <v>82.100000000000023</v>
      </c>
      <c r="BO348" s="64">
        <f>IFERROR(1/J348*(X348/H348),"0")</f>
        <v>0.15625</v>
      </c>
      <c r="BP348" s="64">
        <f>IFERROR(1/J348*(Y348/H348),"0")</f>
        <v>0.15625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59.615384615384613</v>
      </c>
      <c r="Y349" s="619">
        <f>IFERROR(Y346/H346,"0")+IFERROR(Y347/H347,"0")+IFERROR(Y348/H348,"0")</f>
        <v>60</v>
      </c>
      <c r="Z349" s="619">
        <f>IFERROR(IF(Z346="",0,Z346),"0")+IFERROR(IF(Z347="",0,Z347),"0")+IFERROR(IF(Z348="",0,Z348),"0")</f>
        <v>1.1388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465</v>
      </c>
      <c r="Y350" s="619">
        <f>IFERROR(SUM(Y346:Y348),"0")</f>
        <v>468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8</v>
      </c>
      <c r="Y356" s="618">
        <f t="shared" si="51"/>
        <v>10.8</v>
      </c>
      <c r="Z356" s="36">
        <f>IFERROR(IF(Y356=0,"",ROUNDUP(Y356/H356,0)*0.01898),"")</f>
        <v>1.898E-2</v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8.3037037037037038</v>
      </c>
      <c r="BN356" s="64">
        <f t="shared" si="53"/>
        <v>11.21</v>
      </c>
      <c r="BO356" s="64">
        <f t="shared" si="54"/>
        <v>1.1574074074074073E-2</v>
      </c>
      <c r="BP356" s="64">
        <f t="shared" si="55"/>
        <v>1.5625E-2</v>
      </c>
    </row>
    <row r="357" spans="1:68" ht="27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14</v>
      </c>
      <c r="Y357" s="618">
        <f t="shared" si="51"/>
        <v>21.6</v>
      </c>
      <c r="Z357" s="36">
        <f>IFERROR(IF(Y357=0,"",ROUNDUP(Y357/H357,0)*0.01898),"")</f>
        <v>3.7960000000000001E-2</v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14.53148148148148</v>
      </c>
      <c r="BN357" s="64">
        <f t="shared" si="53"/>
        <v>22.42</v>
      </c>
      <c r="BO357" s="64">
        <f t="shared" si="54"/>
        <v>2.0254629629629629E-2</v>
      </c>
      <c r="BP357" s="64">
        <f t="shared" si="55"/>
        <v>3.125E-2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2.0370370370370372</v>
      </c>
      <c r="Y360" s="619">
        <f>IFERROR(Y353/H353,"0")+IFERROR(Y354/H354,"0")+IFERROR(Y355/H355,"0")+IFERROR(Y356/H356,"0")+IFERROR(Y357/H357,"0")+IFERROR(Y358/H358,"0")+IFERROR(Y359/H359,"0")</f>
        <v>3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5.6940000000000004E-2</v>
      </c>
      <c r="AA360" s="620"/>
      <c r="AB360" s="620"/>
      <c r="AC360" s="620"/>
    </row>
    <row r="361" spans="1:68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22</v>
      </c>
      <c r="Y361" s="619">
        <f>IFERROR(SUM(Y353:Y359),"0")</f>
        <v>32.400000000000006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340</v>
      </c>
      <c r="Y381" s="618">
        <f>IFERROR(IF(X381="",0,CEILING((X381/$H381),1)*$H381),"")</f>
        <v>343.2</v>
      </c>
      <c r="Z381" s="36">
        <f>IFERROR(IF(Y381=0,"",ROUNDUP(Y381/H381,0)*0.01898),"")</f>
        <v>0.83511999999999997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361.53333333333336</v>
      </c>
      <c r="BN381" s="64">
        <f>IFERROR(Y381*I381/H381,"0")</f>
        <v>364.93600000000004</v>
      </c>
      <c r="BO381" s="64">
        <f>IFERROR(1/J381*(X381/H381),"0")</f>
        <v>0.68108974358974361</v>
      </c>
      <c r="BP381" s="64">
        <f>IFERROR(1/J381*(Y381/H381),"0")</f>
        <v>0.6875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43.589743589743591</v>
      </c>
      <c r="Y383" s="619">
        <f>IFERROR(Y380/H380,"0")+IFERROR(Y381/H381,"0")+IFERROR(Y382/H382,"0")</f>
        <v>44</v>
      </c>
      <c r="Z383" s="619">
        <f>IFERROR(IF(Z380="",0,Z380),"0")+IFERROR(IF(Z381="",0,Z381),"0")+IFERROR(IF(Z382="",0,Z382),"0")</f>
        <v>0.83511999999999997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340</v>
      </c>
      <c r="Y384" s="619">
        <f>IFERROR(SUM(Y380:Y382),"0")</f>
        <v>343.2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0</v>
      </c>
      <c r="Y390" s="619">
        <f>IFERROR(Y386/H386,"0")+IFERROR(Y387/H387,"0")+IFERROR(Y388/H388,"0")+IFERROR(Y389/H389,"0")</f>
        <v>0</v>
      </c>
      <c r="Z390" s="619">
        <f>IFERROR(IF(Z386="",0,Z386),"0")+IFERROR(IF(Z387="",0,Z387),"0")+IFERROR(IF(Z388="",0,Z388),"0")+IFERROR(IF(Z389="",0,Z389),"0")</f>
        <v>0</v>
      </c>
      <c r="AA390" s="620"/>
      <c r="AB390" s="620"/>
      <c r="AC390" s="620"/>
    </row>
    <row r="391" spans="1:68" hidden="1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0</v>
      </c>
      <c r="Y391" s="619">
        <f>IFERROR(SUM(Y386:Y389),"0")</f>
        <v>0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25</v>
      </c>
      <c r="Y393" s="618">
        <f>IFERROR(IF(X393="",0,CEILING((X393/$H393),1)*$H393),"")</f>
        <v>26</v>
      </c>
      <c r="Z393" s="36">
        <f>IFERROR(IF(Y393=0,"",ROUNDUP(Y393/H393,0)*0.00474),"")</f>
        <v>6.1620000000000001E-2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28.000000000000004</v>
      </c>
      <c r="BN393" s="64">
        <f>IFERROR(Y393*I393/H393,"0")</f>
        <v>29.120000000000005</v>
      </c>
      <c r="BO393" s="64">
        <f>IFERROR(1/J393*(X393/H393),"0")</f>
        <v>5.2521008403361345E-2</v>
      </c>
      <c r="BP393" s="64">
        <f>IFERROR(1/J393*(Y393/H393),"0")</f>
        <v>5.4621848739495799E-2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8</v>
      </c>
      <c r="Y394" s="618">
        <f>IFERROR(IF(X394="",0,CEILING((X394/$H394),1)*$H394),"")</f>
        <v>8</v>
      </c>
      <c r="Z394" s="36">
        <f>IFERROR(IF(Y394=0,"",ROUNDUP(Y394/H394,0)*0.00474),"")</f>
        <v>1.8960000000000001E-2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8.9600000000000009</v>
      </c>
      <c r="BN394" s="64">
        <f>IFERROR(Y394*I394/H394,"0")</f>
        <v>8.9600000000000009</v>
      </c>
      <c r="BO394" s="64">
        <f>IFERROR(1/J394*(X394/H394),"0")</f>
        <v>1.680672268907563E-2</v>
      </c>
      <c r="BP394" s="64">
        <f>IFERROR(1/J394*(Y394/H394),"0")</f>
        <v>1.680672268907563E-2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20</v>
      </c>
      <c r="Y395" s="618">
        <f>IFERROR(IF(X395="",0,CEILING((X395/$H395),1)*$H395),"")</f>
        <v>20</v>
      </c>
      <c r="Z395" s="36">
        <f>IFERROR(IF(Y395=0,"",ROUNDUP(Y395/H395,0)*0.00474),"")</f>
        <v>4.7400000000000005E-2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22.400000000000002</v>
      </c>
      <c r="BN395" s="64">
        <f>IFERROR(Y395*I395/H395,"0")</f>
        <v>22.400000000000002</v>
      </c>
      <c r="BO395" s="64">
        <f>IFERROR(1/J395*(X395/H395),"0")</f>
        <v>4.2016806722689072E-2</v>
      </c>
      <c r="BP395" s="64">
        <f>IFERROR(1/J395*(Y395/H395),"0")</f>
        <v>4.2016806722689072E-2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26.5</v>
      </c>
      <c r="Y396" s="619">
        <f>IFERROR(Y393/H393,"0")+IFERROR(Y394/H394,"0")+IFERROR(Y395/H395,"0")</f>
        <v>27</v>
      </c>
      <c r="Z396" s="619">
        <f>IFERROR(IF(Z393="",0,Z393),"0")+IFERROR(IF(Z394="",0,Z394),"0")+IFERROR(IF(Z395="",0,Z395),"0")</f>
        <v>0.12798000000000001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53</v>
      </c>
      <c r="Y397" s="619">
        <f>IFERROR(SUM(Y393:Y395),"0")</f>
        <v>54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23</v>
      </c>
      <c r="Y413" s="618">
        <f>IFERROR(IF(X413="",0,CEILING((X413/$H413),1)*$H413),"")</f>
        <v>23.1</v>
      </c>
      <c r="Z413" s="36">
        <f>IFERROR(IF(Y413=0,"",ROUNDUP(Y413/H413,0)*0.00651),"")</f>
        <v>7.1610000000000007E-2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25.759999999999998</v>
      </c>
      <c r="BN413" s="64">
        <f>IFERROR(Y413*I413/H413,"0")</f>
        <v>25.872</v>
      </c>
      <c r="BO413" s="64">
        <f>IFERROR(1/J413*(X413/H413),"0")</f>
        <v>6.0177917320774467E-2</v>
      </c>
      <c r="BP413" s="64">
        <f>IFERROR(1/J413*(Y413/H413),"0")</f>
        <v>6.0439560439560447E-2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10.952380952380953</v>
      </c>
      <c r="Y415" s="619">
        <f>IFERROR(Y412/H412,"0")+IFERROR(Y413/H413,"0")+IFERROR(Y414/H414,"0")</f>
        <v>11</v>
      </c>
      <c r="Z415" s="619">
        <f>IFERROR(IF(Z412="",0,Z412),"0")+IFERROR(IF(Z413="",0,Z413),"0")+IFERROR(IF(Z414="",0,Z414),"0")</f>
        <v>7.1610000000000007E-2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23</v>
      </c>
      <c r="Y416" s="619">
        <f>IFERROR(SUM(Y412:Y414),"0")</f>
        <v>23.1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22</v>
      </c>
      <c r="Y420" s="618">
        <f t="shared" ref="Y420:Y427" si="61">IFERROR(IF(X420="",0,CEILING((X420/$H420),1)*$H420),"")</f>
        <v>30</v>
      </c>
      <c r="Z420" s="36">
        <f>IFERROR(IF(Y420=0,"",ROUNDUP(Y420/H420,0)*0.02175),"")</f>
        <v>4.3499999999999997E-2</v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22.689333333333334</v>
      </c>
      <c r="BN420" s="64">
        <f t="shared" ref="BN420:BN427" si="63">IFERROR(Y420*I420/H420,"0")</f>
        <v>30.94</v>
      </c>
      <c r="BO420" s="64">
        <f t="shared" ref="BO420:BO427" si="64">IFERROR(1/J420*(X420/H420),"0")</f>
        <v>3.0555555555555551E-2</v>
      </c>
      <c r="BP420" s="64">
        <f t="shared" ref="BP420:BP427" si="65">IFERROR(1/J420*(Y420/H420),"0")</f>
        <v>4.1666666666666664E-2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2578</v>
      </c>
      <c r="Y421" s="618">
        <f t="shared" si="61"/>
        <v>2580</v>
      </c>
      <c r="Z421" s="36">
        <f>IFERROR(IF(Y421=0,"",ROUNDUP(Y421/H421,0)*0.02175),"")</f>
        <v>3.7409999999999997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2658.7773333333334</v>
      </c>
      <c r="BN421" s="64">
        <f t="shared" si="63"/>
        <v>2660.8399999999997</v>
      </c>
      <c r="BO421" s="64">
        <f t="shared" si="64"/>
        <v>3.5805555555555557</v>
      </c>
      <c r="BP421" s="64">
        <f t="shared" si="65"/>
        <v>3.583333333333333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942</v>
      </c>
      <c r="Y422" s="618">
        <f t="shared" si="61"/>
        <v>945</v>
      </c>
      <c r="Z422" s="36">
        <f>IFERROR(IF(Y422=0,"",ROUNDUP(Y422/H422,0)*0.02175),"")</f>
        <v>1.37025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971.51599999999996</v>
      </c>
      <c r="BN422" s="64">
        <f t="shared" si="63"/>
        <v>974.61000000000013</v>
      </c>
      <c r="BO422" s="64">
        <f t="shared" si="64"/>
        <v>1.3083333333333331</v>
      </c>
      <c r="BP422" s="64">
        <f t="shared" si="65"/>
        <v>1.3125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984</v>
      </c>
      <c r="Y423" s="618">
        <f t="shared" si="61"/>
        <v>990</v>
      </c>
      <c r="Z423" s="36">
        <f>IFERROR(IF(Y423=0,"",ROUNDUP(Y423/H423,0)*0.02175),"")</f>
        <v>1.4355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1014.8320000000001</v>
      </c>
      <c r="BN423" s="64">
        <f t="shared" si="63"/>
        <v>1021.0200000000001</v>
      </c>
      <c r="BO423" s="64">
        <f t="shared" si="64"/>
        <v>1.3666666666666665</v>
      </c>
      <c r="BP423" s="64">
        <f t="shared" si="65"/>
        <v>1.375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1375</v>
      </c>
      <c r="Y424" s="618">
        <f t="shared" si="61"/>
        <v>1380</v>
      </c>
      <c r="Z424" s="36">
        <f>IFERROR(IF(Y424=0,"",ROUNDUP(Y424/H424,0)*0.02175),"")</f>
        <v>2.0009999999999999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1418.0833333333333</v>
      </c>
      <c r="BN424" s="64">
        <f t="shared" si="63"/>
        <v>1423.2400000000002</v>
      </c>
      <c r="BO424" s="64">
        <f t="shared" si="64"/>
        <v>1.9097222222222223</v>
      </c>
      <c r="BP424" s="64">
        <f t="shared" si="65"/>
        <v>1.9166666666666665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393.40000000000003</v>
      </c>
      <c r="Y428" s="619">
        <f>IFERROR(Y420/H420,"0")+IFERROR(Y421/H421,"0")+IFERROR(Y422/H422,"0")+IFERROR(Y423/H423,"0")+IFERROR(Y424/H424,"0")+IFERROR(Y425/H425,"0")+IFERROR(Y426/H426,"0")+IFERROR(Y427/H427,"0")</f>
        <v>395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8.5912500000000005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5901</v>
      </c>
      <c r="Y429" s="619">
        <f>IFERROR(SUM(Y420:Y427),"0")</f>
        <v>5925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hidden="1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0</v>
      </c>
      <c r="Y431" s="618">
        <f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96</v>
      </c>
      <c r="Y432" s="618">
        <f>IFERROR(IF(X432="",0,CEILING((X432/$H432),1)*$H432),"")</f>
        <v>105</v>
      </c>
      <c r="Z432" s="36">
        <f>IFERROR(IF(Y432=0,"",ROUNDUP(Y432/H432,0)*0.02175),"")</f>
        <v>0.15225</v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99.00800000000001</v>
      </c>
      <c r="BN432" s="64">
        <f>IFERROR(Y432*I432/H432,"0")</f>
        <v>108.29</v>
      </c>
      <c r="BO432" s="64">
        <f>IFERROR(1/J432*(X432/H432),"0")</f>
        <v>0.13333333333333333</v>
      </c>
      <c r="BP432" s="64">
        <f>IFERROR(1/J432*(Y432/H432),"0")</f>
        <v>0.14583333333333331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6.4</v>
      </c>
      <c r="Y434" s="619">
        <f>IFERROR(Y431/H431,"0")+IFERROR(Y432/H432,"0")+IFERROR(Y433/H433,"0")</f>
        <v>7</v>
      </c>
      <c r="Z434" s="619">
        <f>IFERROR(IF(Z431="",0,Z431),"0")+IFERROR(IF(Z432="",0,Z432),"0")+IFERROR(IF(Z433="",0,Z433),"0")</f>
        <v>0.15225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96</v>
      </c>
      <c r="Y435" s="619">
        <f>IFERROR(SUM(Y431:Y433),"0")</f>
        <v>105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971</v>
      </c>
      <c r="Y458" s="618">
        <f>IFERROR(IF(X458="",0,CEILING((X458/$H458),1)*$H458),"")</f>
        <v>972</v>
      </c>
      <c r="Z458" s="36">
        <f>IFERROR(IF(Y458=0,"",ROUNDUP(Y458/H458,0)*0.01898),"")</f>
        <v>2.0498400000000001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1024.297111111111</v>
      </c>
      <c r="BN458" s="64">
        <f>IFERROR(Y458*I458/H458,"0")</f>
        <v>1025.3519999999999</v>
      </c>
      <c r="BO458" s="64">
        <f>IFERROR(1/J458*(X458/H458),"0")</f>
        <v>1.6857638888888888</v>
      </c>
      <c r="BP458" s="64">
        <f>IFERROR(1/J458*(Y458/H458),"0")</f>
        <v>1.6875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107.88888888888889</v>
      </c>
      <c r="Y461" s="619">
        <f>IFERROR(Y458/H458,"0")+IFERROR(Y459/H459,"0")+IFERROR(Y460/H460,"0")</f>
        <v>108</v>
      </c>
      <c r="Z461" s="619">
        <f>IFERROR(IF(Z458="",0,Z458),"0")+IFERROR(IF(Z459="",0,Z459),"0")+IFERROR(IF(Z460="",0,Z460),"0")</f>
        <v>2.0498400000000001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971</v>
      </c>
      <c r="Y462" s="619">
        <f>IFERROR(SUM(Y458:Y460),"0")</f>
        <v>972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1611</v>
      </c>
      <c r="Y495" s="618">
        <f t="shared" si="71"/>
        <v>1615.68</v>
      </c>
      <c r="Z495" s="36">
        <f>IFERROR(IF(Y495=0,"",ROUNDUP(Y495/H495,0)*0.01196),"")</f>
        <v>3.6597599999999999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1717.7897727272727</v>
      </c>
      <c r="BN495" s="64">
        <f t="shared" si="73"/>
        <v>1722.7800000000002</v>
      </c>
      <c r="BO495" s="64">
        <f t="shared" si="74"/>
        <v>2.9337849650349654</v>
      </c>
      <c r="BP495" s="64">
        <f t="shared" si="75"/>
        <v>2.9423076923076925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2063</v>
      </c>
      <c r="Y496" s="618">
        <f t="shared" si="71"/>
        <v>2064.48</v>
      </c>
      <c r="Z496" s="36">
        <f>IFERROR(IF(Y496=0,"",ROUNDUP(Y496/H496,0)*0.01196),"")</f>
        <v>4.6763599999999999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2199.751893939394</v>
      </c>
      <c r="BN496" s="64">
        <f t="shared" si="73"/>
        <v>2201.33</v>
      </c>
      <c r="BO496" s="64">
        <f t="shared" si="74"/>
        <v>3.7569201631701632</v>
      </c>
      <c r="BP496" s="64">
        <f t="shared" si="75"/>
        <v>3.759615384615385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58</v>
      </c>
      <c r="Y499" s="618">
        <f t="shared" si="71"/>
        <v>62.4</v>
      </c>
      <c r="Z499" s="36">
        <f>IFERROR(IF(Y499=0,"",ROUNDUP(Y499/H499,0)*0.00902),"")</f>
        <v>0.11726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83.495833333333337</v>
      </c>
      <c r="BN499" s="64">
        <f t="shared" si="73"/>
        <v>89.830000000000013</v>
      </c>
      <c r="BO499" s="64">
        <f t="shared" si="74"/>
        <v>9.1540404040404047E-2</v>
      </c>
      <c r="BP499" s="64">
        <f t="shared" si="75"/>
        <v>9.8484848484848481E-2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707.91666666666663</v>
      </c>
      <c r="Y500" s="619">
        <f>IFERROR(Y492/H492,"0")+IFERROR(Y493/H493,"0")+IFERROR(Y494/H494,"0")+IFERROR(Y495/H495,"0")+IFERROR(Y496/H496,"0")+IFERROR(Y497/H497,"0")+IFERROR(Y498/H498,"0")+IFERROR(Y499/H499,"0")</f>
        <v>710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8.4533799999999992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3732</v>
      </c>
      <c r="Y501" s="619">
        <f>IFERROR(SUM(Y492:Y499),"0")</f>
        <v>3742.56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hidden="1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0</v>
      </c>
      <c r="Y503" s="618">
        <f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0</v>
      </c>
      <c r="Y506" s="619">
        <f>IFERROR(Y503/H503,"0")+IFERROR(Y504/H504,"0")+IFERROR(Y505/H505,"0")</f>
        <v>0</v>
      </c>
      <c r="Z506" s="619">
        <f>IFERROR(IF(Z503="",0,Z503),"0")+IFERROR(IF(Z504="",0,Z504),"0")+IFERROR(IF(Z505="",0,Z505),"0")</f>
        <v>0</v>
      </c>
      <c r="AA506" s="620"/>
      <c r="AB506" s="620"/>
      <c r="AC506" s="620"/>
    </row>
    <row r="507" spans="1:68" hidden="1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0</v>
      </c>
      <c r="Y507" s="619">
        <f>IFERROR(SUM(Y503:Y505),"0")</f>
        <v>0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150</v>
      </c>
      <c r="Y509" s="618">
        <f t="shared" ref="Y509:Y515" si="76">IFERROR(IF(X509="",0,CEILING((X509/$H509),1)*$H509),"")</f>
        <v>153.12</v>
      </c>
      <c r="Z509" s="36">
        <f>IFERROR(IF(Y509=0,"",ROUNDUP(Y509/H509,0)*0.01196),"")</f>
        <v>0.34683999999999998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159.94318181818181</v>
      </c>
      <c r="BN509" s="64">
        <f t="shared" ref="BN509:BN515" si="78">IFERROR(Y509*I509/H509,"0")</f>
        <v>163.26999999999998</v>
      </c>
      <c r="BO509" s="64">
        <f t="shared" ref="BO509:BO515" si="79">IFERROR(1/J509*(X509/H509),"0")</f>
        <v>0.27316433566433568</v>
      </c>
      <c r="BP509" s="64">
        <f t="shared" ref="BP509:BP515" si="80">IFERROR(1/J509*(Y509/H509),"0")</f>
        <v>0.27884615384615385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187</v>
      </c>
      <c r="Y511" s="618">
        <f t="shared" si="76"/>
        <v>190.08</v>
      </c>
      <c r="Z511" s="36">
        <f>IFERROR(IF(Y511=0,"",ROUNDUP(Y511/H511,0)*0.01196),"")</f>
        <v>0.43056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199.39583333333331</v>
      </c>
      <c r="BN511" s="64">
        <f t="shared" si="78"/>
        <v>202.67999999999998</v>
      </c>
      <c r="BO511" s="64">
        <f t="shared" si="79"/>
        <v>0.34054487179487181</v>
      </c>
      <c r="BP511" s="64">
        <f t="shared" si="80"/>
        <v>0.34615384615384615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63.825757575757571</v>
      </c>
      <c r="Y516" s="619">
        <f>IFERROR(Y509/H509,"0")+IFERROR(Y510/H510,"0")+IFERROR(Y511/H511,"0")+IFERROR(Y512/H512,"0")+IFERROR(Y513/H513,"0")+IFERROR(Y514/H514,"0")+IFERROR(Y515/H515,"0")</f>
        <v>65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0.77739999999999998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337</v>
      </c>
      <c r="Y517" s="619">
        <f>IFERROR(SUM(Y509:Y515),"0")</f>
        <v>343.20000000000005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16576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16723.899999999998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17512.309397912202</v>
      </c>
      <c r="Y547" s="619">
        <f>IFERROR(SUM(BN22:BN543),"0")</f>
        <v>17670.115000000005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29</v>
      </c>
      <c r="Y548" s="38">
        <f>ROUNDUP(SUM(BP22:BP543),0)</f>
        <v>30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18237.309397912202</v>
      </c>
      <c r="Y549" s="619">
        <f>GrossWeightTotalR+PalletQtyTotalR*25</f>
        <v>18420.115000000005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2914.1645999283251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2945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33.893439999999998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29.6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488.20000000000005</v>
      </c>
      <c r="F556" s="46">
        <f>IFERROR(Y84*1,"0")+IFERROR(Y85*1,"0")+IFERROR(Y86*1,"0")+IFERROR(Y87*1,"0")+IFERROR(Y88*1,"0")+IFERROR(Y89*1,"0")+IFERROR(Y93*1,"0")+IFERROR(Y94*1,"0")+IFERROR(Y95*1,"0")+IFERROR(Y96*1,"0")</f>
        <v>62.58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1594.62</v>
      </c>
      <c r="H556" s="46">
        <f>IFERROR(Y131*1,"0")+IFERROR(Y132*1,"0")+IFERROR(Y136*1,"0")+IFERROR(Y137*1,"0")+IFERROR(Y141*1,"0")+IFERROR(Y142*1,"0")</f>
        <v>32.4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579.05999999999995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317.08000000000004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1341.3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1.8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268.79999999999995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468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429.6</v>
      </c>
      <c r="U556" s="46">
        <f>IFERROR(Y406*1,"0")+IFERROR(Y407*1,"0")</f>
        <v>0</v>
      </c>
      <c r="V556" s="46">
        <f>IFERROR(Y412*1,"0")+IFERROR(Y413*1,"0")+IFERROR(Y414*1,"0")</f>
        <v>23.1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6030</v>
      </c>
      <c r="X556" s="46">
        <f>IFERROR(Y449*1,"0")+IFERROR(Y450*1,"0")+IFERROR(Y454*1,"0")+IFERROR(Y458*1,"0")+IFERROR(Y459*1,"0")+IFERROR(Y460*1,"0")</f>
        <v>972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4085.7599999999998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113,00"/>
        <filter val="1 278,00"/>
        <filter val="1 375,00"/>
        <filter val="1 611,00"/>
        <filter val="1,00"/>
        <filter val="10,00"/>
        <filter val="10,95"/>
        <filter val="107,89"/>
        <filter val="109,00"/>
        <filter val="110,42"/>
        <filter val="12,00"/>
        <filter val="13,00"/>
        <filter val="136,00"/>
        <filter val="138,00"/>
        <filter val="14,00"/>
        <filter val="146,01"/>
        <filter val="15,00"/>
        <filter val="15,09"/>
        <filter val="15,56"/>
        <filter val="150,00"/>
        <filter val="16 576,00"/>
        <filter val="16,67"/>
        <filter val="17 512,31"/>
        <filter val="17,00"/>
        <filter val="18 237,31"/>
        <filter val="183,00"/>
        <filter val="187,00"/>
        <filter val="19,00"/>
        <filter val="199,61"/>
        <filter val="2 063,00"/>
        <filter val="2 578,00"/>
        <filter val="2 914,16"/>
        <filter val="2,04"/>
        <filter val="2,50"/>
        <filter val="20,00"/>
        <filter val="22,00"/>
        <filter val="221,00"/>
        <filter val="23,00"/>
        <filter val="24,00"/>
        <filter val="25,00"/>
        <filter val="250,00"/>
        <filter val="257,00"/>
        <filter val="26,50"/>
        <filter val="265,00"/>
        <filter val="28,00"/>
        <filter val="29"/>
        <filter val="29,00"/>
        <filter val="3 732,00"/>
        <filter val="3,00"/>
        <filter val="3,75"/>
        <filter val="30,00"/>
        <filter val="301,00"/>
        <filter val="313,95"/>
        <filter val="32,00"/>
        <filter val="337,00"/>
        <filter val="340,00"/>
        <filter val="366,00"/>
        <filter val="386,00"/>
        <filter val="387,00"/>
        <filter val="393,40"/>
        <filter val="398,00"/>
        <filter val="4,00"/>
        <filter val="401,00"/>
        <filter val="43,43"/>
        <filter val="43,59"/>
        <filter val="45,00"/>
        <filter val="465,00"/>
        <filter val="47,81"/>
        <filter val="474,74"/>
        <filter val="5 901,00"/>
        <filter val="5,00"/>
        <filter val="5,77"/>
        <filter val="53,00"/>
        <filter val="569,00"/>
        <filter val="58,00"/>
        <filter val="59,62"/>
        <filter val="6,00"/>
        <filter val="6,07"/>
        <filter val="6,40"/>
        <filter val="60,00"/>
        <filter val="61,00"/>
        <filter val="63,83"/>
        <filter val="67,20"/>
        <filter val="69,00"/>
        <filter val="699,00"/>
        <filter val="7,14"/>
        <filter val="7,84"/>
        <filter val="7,92"/>
        <filter val="707,92"/>
        <filter val="71,00"/>
        <filter val="715,00"/>
        <filter val="77,00"/>
        <filter val="78,00"/>
        <filter val="8,00"/>
        <filter val="80,00"/>
        <filter val="82,00"/>
        <filter val="86,00"/>
        <filter val="9,00"/>
        <filter val="942,00"/>
        <filter val="96,00"/>
        <filter val="971,00"/>
        <filter val="98,00"/>
        <filter val="984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2026-10-09T09:38:37Z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