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5F47F8C-A754-4E5D-93B1-D503F97D0C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Z524" i="1" s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BP347" i="1"/>
  <c r="BN347" i="1"/>
  <c r="Z347" i="1"/>
  <c r="Z349" i="1" s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Z406" i="1" s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Z452" i="1"/>
  <c r="BP450" i="1"/>
  <c r="BN450" i="1"/>
  <c r="Z450" i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Z426" i="1" s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534" i="1" l="1"/>
  <c r="Z102" i="1"/>
  <c r="Y566" i="1"/>
  <c r="Z31" i="1"/>
  <c r="Z386" i="1"/>
  <c r="Y568" i="1"/>
  <c r="Z490" i="1"/>
  <c r="Z393" i="1"/>
  <c r="Z376" i="1"/>
  <c r="Z328" i="1"/>
  <c r="Z302" i="1"/>
  <c r="Z291" i="1"/>
  <c r="Z272" i="1"/>
  <c r="Z210" i="1"/>
  <c r="Z155" i="1"/>
  <c r="Z127" i="1"/>
  <c r="Z85" i="1"/>
  <c r="Z67" i="1"/>
  <c r="Y565" i="1"/>
  <c r="Z317" i="1"/>
  <c r="Z261" i="1"/>
  <c r="Y567" i="1"/>
  <c r="Z505" i="1"/>
  <c r="Z286" i="1"/>
  <c r="Z399" i="1"/>
  <c r="Y564" i="1"/>
  <c r="Z335" i="1"/>
  <c r="Z185" i="1"/>
  <c r="Z518" i="1"/>
  <c r="Z446" i="1"/>
  <c r="Z120" i="1"/>
  <c r="Z113" i="1"/>
  <c r="Z95" i="1"/>
  <c r="Z74" i="1"/>
  <c r="Z55" i="1"/>
  <c r="Z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<sst xmlns="http://schemas.openxmlformats.org/spreadsheetml/2006/main" count="2536" uniqueCount="916">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</sst>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0</v>
      </c>
      <c r="Y51" s="634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14</v>
      </c>
      <c r="Y53" s="634">
        <f>IFERROR(IF(X53="",0,CEILING((X53/$H53),1)*$H53),"")</f>
        <v>16</v>
      </c>
      <c r="Z53" s="36">
        <f>IFERROR(IF(Y53=0,"",ROUNDUP(Y53/H53,0)*0.00902),"")</f>
        <v>3.6080000000000001E-2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14.665000000000001</v>
      </c>
      <c r="BN53" s="64">
        <f>IFERROR(Y53*I53/H53,"0")</f>
        <v>16.760000000000002</v>
      </c>
      <c r="BO53" s="64">
        <f>IFERROR(1/J53*(X53/H53),"0")</f>
        <v>2.6515151515151516E-2</v>
      </c>
      <c r="BP53" s="64">
        <f>IFERROR(1/J53*(Y53/H53),"0")</f>
        <v>3.0303030303030304E-2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3.5</v>
      </c>
      <c r="Y55" s="635">
        <f>IFERROR(Y51/H51,"0")+IFERROR(Y52/H52,"0")+IFERROR(Y53/H53,"0")+IFERROR(Y54/H54,"0")</f>
        <v>4</v>
      </c>
      <c r="Z55" s="635">
        <f>IFERROR(IF(Z51="",0,Z51),"0")+IFERROR(IF(Z52="",0,Z52),"0")+IFERROR(IF(Z53="",0,Z53),"0")+IFERROR(IF(Z54="",0,Z54),"0")</f>
        <v>3.6080000000000001E-2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14</v>
      </c>
      <c r="Y56" s="635">
        <f>IFERROR(SUM(Y51:Y54),"0")</f>
        <v>16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44</v>
      </c>
      <c r="Y66" s="634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45.857777777777784</v>
      </c>
      <c r="BN66" s="64">
        <f t="shared" si="2"/>
        <v>46.900000000000006</v>
      </c>
      <c r="BO66" s="64">
        <f t="shared" si="3"/>
        <v>7.4074074074074084E-2</v>
      </c>
      <c r="BP66" s="64">
        <f t="shared" si="4"/>
        <v>7.575757575757576E-2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9.7777777777777786</v>
      </c>
      <c r="Y67" s="635">
        <f>IFERROR(Y59/H59,"0")+IFERROR(Y60/H60,"0")+IFERROR(Y61/H61,"0")+IFERROR(Y62/H62,"0")+IFERROR(Y63/H63,"0")+IFERROR(Y64/H64,"0")+IFERROR(Y65/H65,"0")+IFERROR(Y66/H66,"0")</f>
        <v>10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44</v>
      </c>
      <c r="Y68" s="635">
        <f>IFERROR(SUM(Y59:Y66),"0")</f>
        <v>45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45</v>
      </c>
      <c r="Y94" s="634">
        <f t="shared" si="5"/>
        <v>45</v>
      </c>
      <c r="Z94" s="36">
        <f>IFERROR(IF(Y94=0,"",ROUNDUP(Y94/H94,0)*0.00902),"")</f>
        <v>9.0200000000000002E-2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46.900000000000006</v>
      </c>
      <c r="BN94" s="64">
        <f t="shared" si="7"/>
        <v>46.900000000000006</v>
      </c>
      <c r="BO94" s="64">
        <f t="shared" si="8"/>
        <v>7.575757575757576E-2</v>
      </c>
      <c r="BP94" s="64">
        <f t="shared" si="9"/>
        <v>7.575757575757576E-2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10</v>
      </c>
      <c r="Y95" s="635">
        <f>IFERROR(Y89/H89,"0")+IFERROR(Y90/H90,"0")+IFERROR(Y91/H91,"0")+IFERROR(Y92/H92,"0")+IFERROR(Y93/H93,"0")+IFERROR(Y94/H94,"0")</f>
        <v>10</v>
      </c>
      <c r="Z95" s="635">
        <f>IFERROR(IF(Z89="",0,Z89),"0")+IFERROR(IF(Z90="",0,Z90),"0")+IFERROR(IF(Z91="",0,Z91),"0")+IFERROR(IF(Z92="",0,Z92),"0")+IFERROR(IF(Z93="",0,Z93),"0")+IFERROR(IF(Z94="",0,Z94),"0")</f>
        <v>9.0200000000000002E-2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45</v>
      </c>
      <c r="Y96" s="635">
        <f>IFERROR(SUM(Y89:Y94),"0")</f>
        <v>45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666</v>
      </c>
      <c r="Y98" s="634">
        <f>IFERROR(IF(X98="",0,CEILING((X98/$H98),1)*$H98),"")</f>
        <v>672.3</v>
      </c>
      <c r="Z98" s="36">
        <f>IFERROR(IF(Y98=0,"",ROUNDUP(Y98/H98,0)*0.01898),"")</f>
        <v>1.57534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706.61777777777775</v>
      </c>
      <c r="BN98" s="64">
        <f>IFERROR(Y98*I98/H98,"0")</f>
        <v>713.30200000000002</v>
      </c>
      <c r="BO98" s="64">
        <f>IFERROR(1/J98*(X98/H98),"0")</f>
        <v>1.2847222222222223</v>
      </c>
      <c r="BP98" s="64">
        <f>IFERROR(1/J98*(Y98/H98),"0")</f>
        <v>1.296875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162</v>
      </c>
      <c r="Y100" s="634">
        <f>IFERROR(IF(X100="",0,CEILING((X100/$H100),1)*$H100),"")</f>
        <v>162</v>
      </c>
      <c r="Z100" s="36">
        <f>IFERROR(IF(Y100=0,"",ROUNDUP(Y100/H100,0)*0.00651),"")</f>
        <v>0.3906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177.11999999999998</v>
      </c>
      <c r="BN100" s="64">
        <f>IFERROR(Y100*I100/H100,"0")</f>
        <v>177.11999999999998</v>
      </c>
      <c r="BO100" s="64">
        <f>IFERROR(1/J100*(X100/H100),"0")</f>
        <v>0.32967032967032966</v>
      </c>
      <c r="BP100" s="64">
        <f>IFERROR(1/J100*(Y100/H100),"0")</f>
        <v>0.32967032967032966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142.22222222222223</v>
      </c>
      <c r="Y102" s="635">
        <f>IFERROR(Y98/H98,"0")+IFERROR(Y99/H99,"0")+IFERROR(Y100/H100,"0")+IFERROR(Y101/H101,"0")</f>
        <v>143</v>
      </c>
      <c r="Z102" s="635">
        <f>IFERROR(IF(Z98="",0,Z98),"0")+IFERROR(IF(Z99="",0,Z99),"0")+IFERROR(IF(Z100="",0,Z100),"0")+IFERROR(IF(Z101="",0,Z101),"0")</f>
        <v>1.96594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828</v>
      </c>
      <c r="Y103" s="635">
        <f>IFERROR(SUM(Y98:Y101),"0")</f>
        <v>834.3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45</v>
      </c>
      <c r="Y110" s="634">
        <f t="shared" si="10"/>
        <v>45</v>
      </c>
      <c r="Z110" s="36">
        <f>IFERROR(IF(Y110=0,"",ROUNDUP(Y110/H110,0)*0.00902),"")</f>
        <v>9.0200000000000002E-2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46.900000000000006</v>
      </c>
      <c r="BN110" s="64">
        <f t="shared" si="12"/>
        <v>46.900000000000006</v>
      </c>
      <c r="BO110" s="64">
        <f t="shared" si="13"/>
        <v>7.575757575757576E-2</v>
      </c>
      <c r="BP110" s="64">
        <f t="shared" si="14"/>
        <v>7.575757575757576E-2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10</v>
      </c>
      <c r="Y113" s="635">
        <f>IFERROR(Y106/H106,"0")+IFERROR(Y107/H107,"0")+IFERROR(Y108/H108,"0")+IFERROR(Y109/H109,"0")+IFERROR(Y110/H110,"0")+IFERROR(Y111/H111,"0")+IFERROR(Y112/H112,"0")</f>
        <v>10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9.0200000000000002E-2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45</v>
      </c>
      <c r="Y114" s="635">
        <f>IFERROR(SUM(Y106:Y112),"0")</f>
        <v>45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hidden="1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0</v>
      </c>
      <c r="Y123" s="634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156</v>
      </c>
      <c r="Y125" s="634">
        <f>IFERROR(IF(X125="",0,CEILING((X125/$H125),1)*$H125),"")</f>
        <v>156.60000000000002</v>
      </c>
      <c r="Z125" s="36">
        <f>IFERROR(IF(Y125=0,"",ROUNDUP(Y125/H125,0)*0.00651),"")</f>
        <v>0.37758000000000003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170.56</v>
      </c>
      <c r="BN125" s="64">
        <f>IFERROR(Y125*I125/H125,"0")</f>
        <v>171.21600000000001</v>
      </c>
      <c r="BO125" s="64">
        <f>IFERROR(1/J125*(X125/H125),"0")</f>
        <v>0.31746031746031744</v>
      </c>
      <c r="BP125" s="64">
        <f>IFERROR(1/J125*(Y125/H125),"0")</f>
        <v>0.31868131868131877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57.777777777777771</v>
      </c>
      <c r="Y127" s="635">
        <f>IFERROR(Y123/H123,"0")+IFERROR(Y124/H124,"0")+IFERROR(Y125/H125,"0")+IFERROR(Y126/H126,"0")</f>
        <v>58.000000000000007</v>
      </c>
      <c r="Z127" s="635">
        <f>IFERROR(IF(Z123="",0,Z123),"0")+IFERROR(IF(Z124="",0,Z124),"0")+IFERROR(IF(Z125="",0,Z125),"0")+IFERROR(IF(Z126="",0,Z126),"0")</f>
        <v>0.37758000000000003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156</v>
      </c>
      <c r="Y128" s="635">
        <f>IFERROR(SUM(Y123:Y126),"0")</f>
        <v>156.60000000000002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116</v>
      </c>
      <c r="Y175" s="634">
        <f t="shared" ref="Y175:Y184" si="15">IFERROR(IF(X175="",0,CEILING((X175/$H175),1)*$H175),"")</f>
        <v>119</v>
      </c>
      <c r="Z175" s="36">
        <f>IFERROR(IF(Y175=0,"",ROUNDUP(Y175/H175,0)*0.00902),"")</f>
        <v>0.30668000000000001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122.29714285714286</v>
      </c>
      <c r="BN175" s="64">
        <f t="shared" ref="BN175:BN184" si="17">IFERROR(Y175*I175/H175,"0")</f>
        <v>125.46000000000001</v>
      </c>
      <c r="BO175" s="64">
        <f t="shared" ref="BO175:BO184" si="18">IFERROR(1/J175*(X175/H175),"0")</f>
        <v>0.25108225108225113</v>
      </c>
      <c r="BP175" s="64">
        <f t="shared" ref="BP175:BP184" si="19">IFERROR(1/J175*(Y175/H175),"0")</f>
        <v>0.25757575757575757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100</v>
      </c>
      <c r="Y177" s="634">
        <f t="shared" si="15"/>
        <v>101.5</v>
      </c>
      <c r="Z177" s="36">
        <f>IFERROR(IF(Y177=0,"",ROUNDUP(Y177/H177,0)*0.00902),"")</f>
        <v>0.26158000000000003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105.42857142857143</v>
      </c>
      <c r="BN177" s="64">
        <f t="shared" si="17"/>
        <v>107.00999999999999</v>
      </c>
      <c r="BO177" s="64">
        <f t="shared" si="18"/>
        <v>0.21645021645021648</v>
      </c>
      <c r="BP177" s="64">
        <f t="shared" si="19"/>
        <v>0.2196969696969697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100</v>
      </c>
      <c r="Y178" s="634">
        <f t="shared" si="15"/>
        <v>101.5</v>
      </c>
      <c r="Z178" s="36">
        <f>IFERROR(IF(Y178=0,"",ROUNDUP(Y178/H178,0)*0.00902),"")</f>
        <v>0.26158000000000003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105.42857142857143</v>
      </c>
      <c r="BN178" s="64">
        <f t="shared" si="17"/>
        <v>107.00999999999999</v>
      </c>
      <c r="BO178" s="64">
        <f t="shared" si="18"/>
        <v>0.21645021645021648</v>
      </c>
      <c r="BP178" s="64">
        <f t="shared" si="19"/>
        <v>0.2196969696969697</v>
      </c>
    </row>
    <row r="179" spans="1:68" ht="16.5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1</v>
      </c>
      <c r="Y179" s="634">
        <f t="shared" si="15"/>
        <v>1.8</v>
      </c>
      <c r="Z179" s="36">
        <f>IFERROR(IF(Y179=0,"",ROUNDUP(Y179/H179,0)*0.00726),"")</f>
        <v>1.452E-2</v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1.2333333333333334</v>
      </c>
      <c r="BN179" s="64">
        <f t="shared" si="17"/>
        <v>2.2200000000000002</v>
      </c>
      <c r="BO179" s="64">
        <f t="shared" si="18"/>
        <v>5.7870370370370367E-3</v>
      </c>
      <c r="BP179" s="64">
        <f t="shared" si="19"/>
        <v>1.0416666666666666E-2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11</v>
      </c>
      <c r="Y180" s="634">
        <f t="shared" si="15"/>
        <v>11.76</v>
      </c>
      <c r="Z180" s="36">
        <f>IFERROR(IF(Y180=0,"",ROUNDUP(Y180/H180,0)*0.00502),"")</f>
        <v>3.5140000000000005E-2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11.654761904761907</v>
      </c>
      <c r="BN180" s="64">
        <f t="shared" si="17"/>
        <v>12.46</v>
      </c>
      <c r="BO180" s="64">
        <f t="shared" si="18"/>
        <v>2.7981277981277985E-2</v>
      </c>
      <c r="BP180" s="64">
        <f t="shared" si="19"/>
        <v>2.9914529914529919E-2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7</v>
      </c>
      <c r="Y182" s="634">
        <f t="shared" si="15"/>
        <v>8.4</v>
      </c>
      <c r="Z182" s="36">
        <f>IFERROR(IF(Y182=0,"",ROUNDUP(Y182/H182,0)*0.00502),"")</f>
        <v>2.5100000000000001E-2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7.4166666666666679</v>
      </c>
      <c r="BN182" s="64">
        <f t="shared" si="17"/>
        <v>8.9000000000000021</v>
      </c>
      <c r="BO182" s="64">
        <f t="shared" si="18"/>
        <v>1.780626780626781E-2</v>
      </c>
      <c r="BP182" s="64">
        <f t="shared" si="19"/>
        <v>2.1367521367521368E-2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44</v>
      </c>
      <c r="Y184" s="634">
        <f t="shared" si="15"/>
        <v>45.36</v>
      </c>
      <c r="Z184" s="36">
        <f>IFERROR(IF(Y184=0,"",ROUNDUP(Y184/H184,0)*0.00502),"")</f>
        <v>0.13553999999999999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46.619047619047628</v>
      </c>
      <c r="BN184" s="64">
        <f t="shared" si="17"/>
        <v>48.060000000000009</v>
      </c>
      <c r="BO184" s="64">
        <f t="shared" si="18"/>
        <v>0.11192511192511194</v>
      </c>
      <c r="BP184" s="64">
        <f t="shared" si="19"/>
        <v>0.11538461538461539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128.30158730158732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133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1.0401400000000001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379</v>
      </c>
      <c r="Y186" s="635">
        <f>IFERROR(SUM(Y175:Y184),"0")</f>
        <v>389.32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38</v>
      </c>
      <c r="Y223" s="634">
        <f t="shared" si="26"/>
        <v>39.9</v>
      </c>
      <c r="Z223" s="36">
        <f>IFERROR(IF(Y223=0,"",ROUNDUP(Y223/H223,0)*0.00502),"")</f>
        <v>9.5380000000000006E-2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40.352380952380948</v>
      </c>
      <c r="BN223" s="64">
        <f t="shared" si="28"/>
        <v>42.36999999999999</v>
      </c>
      <c r="BO223" s="64">
        <f t="shared" si="29"/>
        <v>7.7330077330077338E-2</v>
      </c>
      <c r="BP223" s="64">
        <f t="shared" si="30"/>
        <v>8.11965811965812E-2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39</v>
      </c>
      <c r="Y227" s="634">
        <f t="shared" si="26"/>
        <v>39.6</v>
      </c>
      <c r="Z227" s="36">
        <f>IFERROR(IF(Y227=0,"",ROUNDUP(Y227/H227,0)*0.00502),"")</f>
        <v>0.11044000000000001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41.816666666666663</v>
      </c>
      <c r="BN227" s="64">
        <f t="shared" si="28"/>
        <v>42.46</v>
      </c>
      <c r="BO227" s="64">
        <f t="shared" si="29"/>
        <v>9.2592592592592601E-2</v>
      </c>
      <c r="BP227" s="64">
        <f t="shared" si="30"/>
        <v>9.401709401709403E-2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32</v>
      </c>
      <c r="Y229" s="634">
        <f t="shared" si="26"/>
        <v>33.6</v>
      </c>
      <c r="Z229" s="36">
        <f>IFERROR(IF(Y229=0,"",ROUNDUP(Y229/H229,0)*0.00502),"")</f>
        <v>8.0320000000000003E-2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33.523809523809526</v>
      </c>
      <c r="BN229" s="64">
        <f t="shared" si="28"/>
        <v>35.200000000000003</v>
      </c>
      <c r="BO229" s="64">
        <f t="shared" si="29"/>
        <v>6.5120065120065129E-2</v>
      </c>
      <c r="BP229" s="64">
        <f t="shared" si="30"/>
        <v>6.8376068376068383E-2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55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57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0.28614000000000001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109</v>
      </c>
      <c r="Y233" s="635">
        <f>IFERROR(SUM(Y218:Y231),"0")</f>
        <v>113.1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30</v>
      </c>
      <c r="Y264" s="634">
        <f t="shared" ref="Y264:Y271" si="31">IFERROR(IF(X264="",0,CEILING((X264/$H264),1)*$H264),"")</f>
        <v>32.400000000000006</v>
      </c>
      <c r="Z264" s="36">
        <f>IFERROR(IF(Y264=0,"",ROUNDUP(Y264/H264,0)*0.00902),"")</f>
        <v>5.4120000000000001E-2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31.05555555555555</v>
      </c>
      <c r="BN264" s="64">
        <f t="shared" ref="BN264:BN271" si="33">IFERROR(Y264*I264/H264,"0")</f>
        <v>33.54</v>
      </c>
      <c r="BO264" s="64">
        <f t="shared" ref="BO264:BO271" si="34">IFERROR(1/J264*(X264/H264),"0")</f>
        <v>4.208754208754209E-2</v>
      </c>
      <c r="BP264" s="64">
        <f t="shared" ref="BP264:BP271" si="35">IFERROR(1/J264*(Y264/H264),"0")</f>
        <v>4.5454545454545463E-2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76</v>
      </c>
      <c r="Y265" s="634">
        <f t="shared" si="31"/>
        <v>81</v>
      </c>
      <c r="Z265" s="36">
        <f>IFERROR(IF(Y265=0,"",ROUNDUP(Y265/H265,0)*0.00902),"")</f>
        <v>0.1353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78.67407407407407</v>
      </c>
      <c r="BN265" s="64">
        <f t="shared" si="33"/>
        <v>83.85</v>
      </c>
      <c r="BO265" s="64">
        <f t="shared" si="34"/>
        <v>0.10662177328843994</v>
      </c>
      <c r="BP265" s="64">
        <f t="shared" si="35"/>
        <v>0.11363636363636363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97</v>
      </c>
      <c r="Y266" s="634">
        <f t="shared" si="31"/>
        <v>97.2</v>
      </c>
      <c r="Z266" s="36">
        <f>IFERROR(IF(Y266=0,"",ROUNDUP(Y266/H266,0)*0.00902),"")</f>
        <v>0.16236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100.41296296296296</v>
      </c>
      <c r="BN266" s="64">
        <f t="shared" si="33"/>
        <v>100.61999999999999</v>
      </c>
      <c r="BO266" s="64">
        <f t="shared" si="34"/>
        <v>0.13608305274971941</v>
      </c>
      <c r="BP266" s="64">
        <f t="shared" si="35"/>
        <v>0.13636363636363635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100</v>
      </c>
      <c r="Y267" s="634">
        <f t="shared" si="31"/>
        <v>102.60000000000001</v>
      </c>
      <c r="Z267" s="36">
        <f>IFERROR(IF(Y267=0,"",ROUNDUP(Y267/H267,0)*0.00902),"")</f>
        <v>0.17138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103.5185185185185</v>
      </c>
      <c r="BN267" s="64">
        <f t="shared" si="33"/>
        <v>106.21</v>
      </c>
      <c r="BO267" s="64">
        <f t="shared" si="34"/>
        <v>0.14029180695847362</v>
      </c>
      <c r="BP267" s="64">
        <f t="shared" si="35"/>
        <v>0.14393939393939395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29</v>
      </c>
      <c r="Y268" s="634">
        <f t="shared" si="31"/>
        <v>30.6</v>
      </c>
      <c r="Z268" s="36">
        <f>IFERROR(IF(Y268=0,"",ROUNDUP(Y268/H268,0)*0.00502),"")</f>
        <v>8.5339999999999999E-2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31.094444444444441</v>
      </c>
      <c r="BN268" s="64">
        <f t="shared" si="33"/>
        <v>32.81</v>
      </c>
      <c r="BO268" s="64">
        <f t="shared" si="34"/>
        <v>6.8850902184235521E-2</v>
      </c>
      <c r="BP268" s="64">
        <f t="shared" si="35"/>
        <v>7.2649572649572655E-2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29</v>
      </c>
      <c r="Y269" s="634">
        <f t="shared" si="31"/>
        <v>30.6</v>
      </c>
      <c r="Z269" s="36">
        <f>IFERROR(IF(Y269=0,"",ROUNDUP(Y269/H269,0)*0.00502),"")</f>
        <v>8.5339999999999999E-2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30.611111111111107</v>
      </c>
      <c r="BN269" s="64">
        <f t="shared" si="33"/>
        <v>32.299999999999997</v>
      </c>
      <c r="BO269" s="64">
        <f t="shared" si="34"/>
        <v>6.8850902184235521E-2</v>
      </c>
      <c r="BP269" s="64">
        <f t="shared" si="35"/>
        <v>7.2649572649572655E-2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29</v>
      </c>
      <c r="Y271" s="634">
        <f t="shared" si="31"/>
        <v>30.6</v>
      </c>
      <c r="Z271" s="36">
        <f>IFERROR(IF(Y271=0,"",ROUNDUP(Y271/H271,0)*0.00502),"")</f>
        <v>8.5339999999999999E-2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30.611111111111107</v>
      </c>
      <c r="BN271" s="64">
        <f t="shared" si="33"/>
        <v>32.299999999999997</v>
      </c>
      <c r="BO271" s="64">
        <f t="shared" si="34"/>
        <v>6.8850902184235521E-2</v>
      </c>
      <c r="BP271" s="64">
        <f t="shared" si="35"/>
        <v>7.2649572649572655E-2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104.44444444444444</v>
      </c>
      <c r="Y272" s="635">
        <f>IFERROR(Y264/H264,"0")+IFERROR(Y265/H265,"0")+IFERROR(Y266/H266,"0")+IFERROR(Y267/H267,"0")+IFERROR(Y268/H268,"0")+IFERROR(Y269/H269,"0")+IFERROR(Y270/H270,"0")+IFERROR(Y271/H271,"0")</f>
        <v>109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0.77917999999999987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390</v>
      </c>
      <c r="Y273" s="635">
        <f>IFERROR(SUM(Y264:Y271),"0")</f>
        <v>405.00000000000011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93</v>
      </c>
      <c r="Y275" s="634">
        <f t="shared" ref="Y275:Y285" si="36">IFERROR(IF(X275="",0,CEILING((X275/$H275),1)*$H275),"")</f>
        <v>97.199999999999989</v>
      </c>
      <c r="Z275" s="36">
        <f>IFERROR(IF(Y275=0,"",ROUNDUP(Y275/H275,0)*0.01898),"")</f>
        <v>0.22776000000000002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98.671851851851855</v>
      </c>
      <c r="BN275" s="64">
        <f t="shared" ref="BN275:BN285" si="38">IFERROR(Y275*I275/H275,"0")</f>
        <v>103.12799999999999</v>
      </c>
      <c r="BO275" s="64">
        <f t="shared" ref="BO275:BO285" si="39">IFERROR(1/J275*(X275/H275),"0")</f>
        <v>0.17939814814814817</v>
      </c>
      <c r="BP275" s="64">
        <f t="shared" ref="BP275:BP285" si="40">IFERROR(1/J275*(Y275/H275),"0")</f>
        <v>0.1875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127</v>
      </c>
      <c r="Y276" s="634">
        <f t="shared" si="36"/>
        <v>129.6</v>
      </c>
      <c r="Z276" s="36">
        <f>IFERROR(IF(Y276=0,"",ROUNDUP(Y276/H276,0)*0.01898),"")</f>
        <v>0.30368000000000001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134.46320987654323</v>
      </c>
      <c r="BN276" s="64">
        <f t="shared" si="38"/>
        <v>137.21600000000001</v>
      </c>
      <c r="BO276" s="64">
        <f t="shared" si="39"/>
        <v>0.24498456790123457</v>
      </c>
      <c r="BP276" s="64">
        <f t="shared" si="40"/>
        <v>0.25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129</v>
      </c>
      <c r="Y278" s="634">
        <f t="shared" si="36"/>
        <v>129.6</v>
      </c>
      <c r="Z278" s="36">
        <f>IFERROR(IF(Y278=0,"",ROUNDUP(Y278/H278,0)*0.00651),"")</f>
        <v>0.35154000000000002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143.51250000000002</v>
      </c>
      <c r="BN278" s="64">
        <f t="shared" si="38"/>
        <v>144.18</v>
      </c>
      <c r="BO278" s="64">
        <f t="shared" si="39"/>
        <v>0.29532967032967034</v>
      </c>
      <c r="BP278" s="64">
        <f t="shared" si="40"/>
        <v>0.2967032967032967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135</v>
      </c>
      <c r="Y283" s="634">
        <f t="shared" si="36"/>
        <v>136.79999999999998</v>
      </c>
      <c r="Z283" s="36">
        <f>IFERROR(IF(Y283=0,"",ROUNDUP(Y283/H283,0)*0.00651),"")</f>
        <v>0.37107000000000001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149.17500000000001</v>
      </c>
      <c r="BN283" s="64">
        <f t="shared" si="38"/>
        <v>151.16399999999999</v>
      </c>
      <c r="BO283" s="64">
        <f t="shared" si="39"/>
        <v>0.30906593406593408</v>
      </c>
      <c r="BP283" s="64">
        <f t="shared" si="40"/>
        <v>0.31318681318681318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137.16049382716051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139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1.2540500000000001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484</v>
      </c>
      <c r="Y287" s="635">
        <f>IFERROR(SUM(Y275:Y285),"0")</f>
        <v>493.19999999999993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35</v>
      </c>
      <c r="Y289" s="634">
        <f>IFERROR(IF(X289="",0,CEILING((X289/$H289),1)*$H289),"")</f>
        <v>36</v>
      </c>
      <c r="Z289" s="36">
        <f>IFERROR(IF(Y289=0,"",ROUNDUP(Y289/H289,0)*0.00651),"")</f>
        <v>9.7650000000000001E-2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38.675000000000004</v>
      </c>
      <c r="BN289" s="64">
        <f>IFERROR(Y289*I289/H289,"0")</f>
        <v>39.780000000000008</v>
      </c>
      <c r="BO289" s="64">
        <f>IFERROR(1/J289*(X289/H289),"0")</f>
        <v>8.0128205128205135E-2</v>
      </c>
      <c r="BP289" s="64">
        <f>IFERROR(1/J289*(Y289/H289),"0")</f>
        <v>8.241758241758243E-2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30</v>
      </c>
      <c r="Y290" s="634">
        <f>IFERROR(IF(X290="",0,CEILING((X290/$H290),1)*$H290),"")</f>
        <v>31.2</v>
      </c>
      <c r="Z290" s="36">
        <f>IFERROR(IF(Y290=0,"",ROUNDUP(Y290/H290,0)*0.00651),"")</f>
        <v>8.4629999999999997E-2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33.150000000000006</v>
      </c>
      <c r="BN290" s="64">
        <f>IFERROR(Y290*I290/H290,"0")</f>
        <v>34.476000000000006</v>
      </c>
      <c r="BO290" s="64">
        <f>IFERROR(1/J290*(X290/H290),"0")</f>
        <v>6.8681318681318687E-2</v>
      </c>
      <c r="BP290" s="64">
        <f>IFERROR(1/J290*(Y290/H290),"0")</f>
        <v>7.1428571428571438E-2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27.083333333333336</v>
      </c>
      <c r="Y291" s="635">
        <f>IFERROR(Y289/H289,"0")+IFERROR(Y290/H290,"0")</f>
        <v>28</v>
      </c>
      <c r="Z291" s="635">
        <f>IFERROR(IF(Z289="",0,Z289),"0")+IFERROR(IF(Z290="",0,Z290),"0")</f>
        <v>0.18228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65</v>
      </c>
      <c r="Y292" s="635">
        <f>IFERROR(SUM(Y289:Y290),"0")</f>
        <v>67.2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9</v>
      </c>
      <c r="Y309" s="634">
        <f>IFERROR(IF(X309="",0,CEILING((X309/$H309),1)*$H309),"")</f>
        <v>9</v>
      </c>
      <c r="Z309" s="36">
        <f>IFERROR(IF(Y309=0,"",ROUNDUP(Y309/H309,0)*0.0059),"")</f>
        <v>2.9499999999999998E-2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9.8750000000000018</v>
      </c>
      <c r="BN309" s="64">
        <f>IFERROR(Y309*I309/H309,"0")</f>
        <v>9.8750000000000018</v>
      </c>
      <c r="BO309" s="64">
        <f>IFERROR(1/J309*(X309/H309),"0")</f>
        <v>2.3148148148148147E-2</v>
      </c>
      <c r="BP309" s="64">
        <f>IFERROR(1/J309*(Y309/H309),"0")</f>
        <v>2.3148148148148147E-2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5</v>
      </c>
      <c r="Y310" s="635">
        <f>IFERROR(Y309/H309,"0")</f>
        <v>5</v>
      </c>
      <c r="Z310" s="635">
        <f>IFERROR(IF(Z309="",0,Z309),"0")</f>
        <v>2.9499999999999998E-2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9</v>
      </c>
      <c r="Y311" s="635">
        <f>IFERROR(SUM(Y309:Y309),"0")</f>
        <v>9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8</v>
      </c>
      <c r="Y333" s="634">
        <f>IFERROR(IF(X333="",0,CEILING((X333/$H333),1)*$H333),"")</f>
        <v>9.6</v>
      </c>
      <c r="Z333" s="36">
        <f>IFERROR(IF(Y333=0,"",ROUNDUP(Y333/H333,0)*0.00651),"")</f>
        <v>2.6040000000000001E-2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8.8400000000000016</v>
      </c>
      <c r="BN333" s="64">
        <f>IFERROR(Y333*I333/H333,"0")</f>
        <v>10.608000000000001</v>
      </c>
      <c r="BO333" s="64">
        <f>IFERROR(1/J333*(X333/H333),"0")</f>
        <v>1.8315018315018316E-2</v>
      </c>
      <c r="BP333" s="64">
        <f>IFERROR(1/J333*(Y333/H333),"0")</f>
        <v>2.197802197802198E-2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4</v>
      </c>
      <c r="Y334" s="634">
        <f>IFERROR(IF(X334="",0,CEILING((X334/$H334),1)*$H334),"")</f>
        <v>4.8</v>
      </c>
      <c r="Z334" s="36">
        <f>IFERROR(IF(Y334=0,"",ROUNDUP(Y334/H334,0)*0.00651),"")</f>
        <v>1.302E-2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4.3000000000000007</v>
      </c>
      <c r="BN334" s="64">
        <f>IFERROR(Y334*I334/H334,"0")</f>
        <v>5.16</v>
      </c>
      <c r="BO334" s="64">
        <f>IFERROR(1/J334*(X334/H334),"0")</f>
        <v>9.1575091575091579E-3</v>
      </c>
      <c r="BP334" s="64">
        <f>IFERROR(1/J334*(Y334/H334),"0")</f>
        <v>1.098901098901099E-2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5</v>
      </c>
      <c r="Y335" s="635">
        <f>IFERROR(Y332/H332,"0")+IFERROR(Y333/H333,"0")+IFERROR(Y334/H334,"0")</f>
        <v>6</v>
      </c>
      <c r="Z335" s="635">
        <f>IFERROR(IF(Z332="",0,Z332),"0")+IFERROR(IF(Z333="",0,Z333),"0")+IFERROR(IF(Z334="",0,Z334),"0")</f>
        <v>3.9059999999999997E-2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12</v>
      </c>
      <c r="Y336" s="635">
        <f>IFERROR(SUM(Y332:Y334),"0")</f>
        <v>14.399999999999999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100</v>
      </c>
      <c r="Y362" s="634">
        <f>IFERROR(IF(X362="",0,CEILING((X362/$H362),1)*$H362),"")</f>
        <v>101.39999999999999</v>
      </c>
      <c r="Z362" s="36">
        <f>IFERROR(IF(Y362=0,"",ROUNDUP(Y362/H362,0)*0.01898),"")</f>
        <v>0.24674000000000001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105.25641025641028</v>
      </c>
      <c r="BN362" s="64">
        <f>IFERROR(Y362*I362/H362,"0")</f>
        <v>106.73</v>
      </c>
      <c r="BO362" s="64">
        <f>IFERROR(1/J362*(X362/H362),"0")</f>
        <v>0.20032051282051283</v>
      </c>
      <c r="BP362" s="64">
        <f>IFERROR(1/J362*(Y362/H362),"0")</f>
        <v>0.203125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50</v>
      </c>
      <c r="Y363" s="634">
        <f>IFERROR(IF(X363="",0,CEILING((X363/$H363),1)*$H363),"")</f>
        <v>54.6</v>
      </c>
      <c r="Z363" s="36">
        <f>IFERROR(IF(Y363=0,"",ROUNDUP(Y363/H363,0)*0.01898),"")</f>
        <v>0.13286000000000001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52.628205128205138</v>
      </c>
      <c r="BN363" s="64">
        <f>IFERROR(Y363*I363/H363,"0")</f>
        <v>57.470000000000013</v>
      </c>
      <c r="BO363" s="64">
        <f>IFERROR(1/J363*(X363/H363),"0")</f>
        <v>0.10016025641025642</v>
      </c>
      <c r="BP363" s="64">
        <f>IFERROR(1/J363*(Y363/H363),"0")</f>
        <v>0.109375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19.230769230769234</v>
      </c>
      <c r="Y365" s="635">
        <f>IFERROR(Y362/H362,"0")+IFERROR(Y363/H363,"0")+IFERROR(Y364/H364,"0")</f>
        <v>20</v>
      </c>
      <c r="Z365" s="635">
        <f>IFERROR(IF(Z362="",0,Z362),"0")+IFERROR(IF(Z363="",0,Z363),"0")+IFERROR(IF(Z364="",0,Z364),"0")</f>
        <v>0.37960000000000005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150</v>
      </c>
      <c r="Y366" s="635">
        <f>IFERROR(SUM(Y362:Y364),"0")</f>
        <v>156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15</v>
      </c>
      <c r="Y385" s="634">
        <f t="shared" si="56"/>
        <v>16.2</v>
      </c>
      <c r="Z385" s="36">
        <f>IFERROR(IF(Y385=0,"",ROUNDUP(Y385/H385,0)*0.00651),"")</f>
        <v>5.8590000000000003E-2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16.900000000000002</v>
      </c>
      <c r="BN385" s="64">
        <f t="shared" si="58"/>
        <v>18.251999999999999</v>
      </c>
      <c r="BO385" s="64">
        <f t="shared" si="59"/>
        <v>4.5787545787545791E-2</v>
      </c>
      <c r="BP385" s="64">
        <f t="shared" si="60"/>
        <v>4.9450549450549455E-2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8.3333333333333339</v>
      </c>
      <c r="Y386" s="635">
        <f>IFERROR(Y379/H379,"0")+IFERROR(Y380/H380,"0")+IFERROR(Y381/H381,"0")+IFERROR(Y382/H382,"0")+IFERROR(Y383/H383,"0")+IFERROR(Y384/H384,"0")+IFERROR(Y385/H385,"0")</f>
        <v>9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5.8590000000000003E-2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15</v>
      </c>
      <c r="Y387" s="635">
        <f>IFERROR(SUM(Y379:Y385),"0")</f>
        <v>16.2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124</v>
      </c>
      <c r="Y396" s="634">
        <f>IFERROR(IF(X396="",0,CEILING((X396/$H396),1)*$H396),"")</f>
        <v>126</v>
      </c>
      <c r="Z396" s="36">
        <f>IFERROR(IF(Y396=0,"",ROUNDUP(Y396/H396,0)*0.01898),"")</f>
        <v>0.28470000000000001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131.29238095238094</v>
      </c>
      <c r="BN396" s="64">
        <f>IFERROR(Y396*I396/H396,"0")</f>
        <v>133.41</v>
      </c>
      <c r="BO396" s="64">
        <f>IFERROR(1/J396*(X396/H396),"0")</f>
        <v>0.23065476190476189</v>
      </c>
      <c r="BP396" s="64">
        <f>IFERROR(1/J396*(Y396/H396),"0")</f>
        <v>0.234375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78</v>
      </c>
      <c r="Y398" s="634">
        <f>IFERROR(IF(X398="",0,CEILING((X398/$H398),1)*$H398),"")</f>
        <v>84</v>
      </c>
      <c r="Z398" s="36">
        <f>IFERROR(IF(Y398=0,"",ROUNDUP(Y398/H398,0)*0.01898),"")</f>
        <v>0.1898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82.587142857142851</v>
      </c>
      <c r="BN398" s="64">
        <f>IFERROR(Y398*I398/H398,"0")</f>
        <v>88.94</v>
      </c>
      <c r="BO398" s="64">
        <f>IFERROR(1/J398*(X398/H398),"0")</f>
        <v>0.1450892857142857</v>
      </c>
      <c r="BP398" s="64">
        <f>IFERROR(1/J398*(Y398/H398),"0")</f>
        <v>0.15625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24.047619047619044</v>
      </c>
      <c r="Y399" s="635">
        <f>IFERROR(Y396/H396,"0")+IFERROR(Y397/H397,"0")+IFERROR(Y398/H398,"0")</f>
        <v>25</v>
      </c>
      <c r="Z399" s="635">
        <f>IFERROR(IF(Z396="",0,Z396),"0")+IFERROR(IF(Z397="",0,Z397),"0")+IFERROR(IF(Z398="",0,Z398),"0")</f>
        <v>0.47450000000000003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202</v>
      </c>
      <c r="Y400" s="635">
        <f>IFERROR(SUM(Y396:Y398),"0")</f>
        <v>210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65</v>
      </c>
      <c r="Y409" s="634">
        <f>IFERROR(IF(X409="",0,CEILING((X409/$H409),1)*$H409),"")</f>
        <v>66</v>
      </c>
      <c r="Z409" s="36">
        <f>IFERROR(IF(Y409=0,"",ROUNDUP(Y409/H409,0)*0.00474),"")</f>
        <v>0.15642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72.800000000000011</v>
      </c>
      <c r="BN409" s="64">
        <f>IFERROR(Y409*I409/H409,"0")</f>
        <v>73.92</v>
      </c>
      <c r="BO409" s="64">
        <f>IFERROR(1/J409*(X409/H409),"0")</f>
        <v>0.13655462184873948</v>
      </c>
      <c r="BP409" s="64">
        <f>IFERROR(1/J409*(Y409/H409),"0")</f>
        <v>0.13865546218487396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39</v>
      </c>
      <c r="Y410" s="634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43.680000000000007</v>
      </c>
      <c r="BN410" s="64">
        <f>IFERROR(Y410*I410/H410,"0")</f>
        <v>44.800000000000004</v>
      </c>
      <c r="BO410" s="64">
        <f>IFERROR(1/J410*(X410/H410),"0")</f>
        <v>8.1932773109243698E-2</v>
      </c>
      <c r="BP410" s="64">
        <f>IFERROR(1/J410*(Y410/H410),"0")</f>
        <v>8.4033613445378144E-2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97</v>
      </c>
      <c r="Y411" s="634">
        <f>IFERROR(IF(X411="",0,CEILING((X411/$H411),1)*$H411),"")</f>
        <v>98</v>
      </c>
      <c r="Z411" s="36">
        <f>IFERROR(IF(Y411=0,"",ROUNDUP(Y411/H411,0)*0.00474),"")</f>
        <v>0.23226000000000002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108.64000000000001</v>
      </c>
      <c r="BN411" s="64">
        <f>IFERROR(Y411*I411/H411,"0")</f>
        <v>109.76</v>
      </c>
      <c r="BO411" s="64">
        <f>IFERROR(1/J411*(X411/H411),"0")</f>
        <v>0.20378151260504201</v>
      </c>
      <c r="BP411" s="64">
        <f>IFERROR(1/J411*(Y411/H411),"0")</f>
        <v>0.20588235294117646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100.5</v>
      </c>
      <c r="Y412" s="635">
        <f>IFERROR(Y409/H409,"0")+IFERROR(Y410/H410,"0")+IFERROR(Y411/H411,"0")</f>
        <v>102</v>
      </c>
      <c r="Z412" s="635">
        <f>IFERROR(IF(Z409="",0,Z409),"0")+IFERROR(IF(Z410="",0,Z410),"0")+IFERROR(IF(Z411="",0,Z411),"0")</f>
        <v>0.48348000000000002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201</v>
      </c>
      <c r="Y413" s="635">
        <f>IFERROR(SUM(Y409:Y411),"0")</f>
        <v>204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1693</v>
      </c>
      <c r="Y439" s="634">
        <f t="shared" si="61"/>
        <v>1695</v>
      </c>
      <c r="Z439" s="36">
        <f>IFERROR(IF(Y439=0,"",ROUNDUP(Y439/H439,0)*0.02175),"")</f>
        <v>2.4577499999999999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1746.0473333333334</v>
      </c>
      <c r="BN439" s="64">
        <f t="shared" si="63"/>
        <v>1748.1100000000001</v>
      </c>
      <c r="BO439" s="64">
        <f t="shared" si="64"/>
        <v>2.3513888888888888</v>
      </c>
      <c r="BP439" s="64">
        <f t="shared" si="65"/>
        <v>2.3541666666666665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985</v>
      </c>
      <c r="Y440" s="634">
        <f t="shared" si="61"/>
        <v>990</v>
      </c>
      <c r="Z440" s="36">
        <f>IFERROR(IF(Y440=0,"",ROUNDUP(Y440/H440,0)*0.02175),"")</f>
        <v>1.4355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1015.8633333333333</v>
      </c>
      <c r="BN440" s="64">
        <f t="shared" si="63"/>
        <v>1021.0200000000001</v>
      </c>
      <c r="BO440" s="64">
        <f t="shared" si="64"/>
        <v>1.3680555555555556</v>
      </c>
      <c r="BP440" s="64">
        <f t="shared" si="65"/>
        <v>1.375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880</v>
      </c>
      <c r="Y441" s="634">
        <f t="shared" si="61"/>
        <v>885</v>
      </c>
      <c r="Z441" s="36">
        <f>IFERROR(IF(Y441=0,"",ROUNDUP(Y441/H441,0)*0.02175),"")</f>
        <v>1.28325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907.57333333333338</v>
      </c>
      <c r="BN441" s="64">
        <f t="shared" si="63"/>
        <v>912.73</v>
      </c>
      <c r="BO441" s="64">
        <f t="shared" si="64"/>
        <v>1.2222222222222221</v>
      </c>
      <c r="BP441" s="64">
        <f t="shared" si="65"/>
        <v>1.2291666666666665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1092</v>
      </c>
      <c r="Y442" s="634">
        <f t="shared" si="61"/>
        <v>1095</v>
      </c>
      <c r="Z442" s="36">
        <f>IFERROR(IF(Y442=0,"",ROUNDUP(Y442/H442,0)*0.02175),"")</f>
        <v>1.58775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1126.2160000000001</v>
      </c>
      <c r="BN442" s="64">
        <f t="shared" si="63"/>
        <v>1129.3100000000002</v>
      </c>
      <c r="BO442" s="64">
        <f t="shared" si="64"/>
        <v>1.5166666666666666</v>
      </c>
      <c r="BP442" s="64">
        <f t="shared" si="65"/>
        <v>1.5208333333333333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310</v>
      </c>
      <c r="Y446" s="635">
        <f>IFERROR(Y438/H438,"0")+IFERROR(Y439/H439,"0")+IFERROR(Y440/H440,"0")+IFERROR(Y441/H441,"0")+IFERROR(Y442/H442,"0")+IFERROR(Y443/H443,"0")+IFERROR(Y444/H444,"0")+IFERROR(Y445/H445,"0")</f>
        <v>311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6.7642499999999997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4650</v>
      </c>
      <c r="Y447" s="635">
        <f>IFERROR(SUM(Y438:Y445),"0")</f>
        <v>4665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20</v>
      </c>
      <c r="Y456" s="634">
        <f>IFERROR(IF(X456="",0,CEILING((X456/$H456),1)*$H456),"")</f>
        <v>27</v>
      </c>
      <c r="Z456" s="36">
        <f>IFERROR(IF(Y456=0,"",ROUNDUP(Y456/H456,0)*0.01898),"")</f>
        <v>5.6940000000000004E-2</v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21.097777777777779</v>
      </c>
      <c r="BN456" s="64">
        <f>IFERROR(Y456*I456/H456,"0")</f>
        <v>28.481999999999996</v>
      </c>
      <c r="BO456" s="64">
        <f>IFERROR(1/J456*(X456/H456),"0")</f>
        <v>3.4722222222222224E-2</v>
      </c>
      <c r="BP456" s="64">
        <f>IFERROR(1/J456*(Y456/H456),"0")</f>
        <v>4.6875E-2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2.2222222222222223</v>
      </c>
      <c r="Y458" s="635">
        <f>IFERROR(Y455/H455,"0")+IFERROR(Y456/H456,"0")+IFERROR(Y457/H457,"0")</f>
        <v>3</v>
      </c>
      <c r="Z458" s="635">
        <f>IFERROR(IF(Z455="",0,Z455),"0")+IFERROR(IF(Z456="",0,Z456),"0")+IFERROR(IF(Z457="",0,Z457),"0")</f>
        <v>5.6940000000000004E-2</v>
      </c>
      <c r="AA458" s="636"/>
      <c r="AB458" s="636"/>
      <c r="AC458" s="636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20</v>
      </c>
      <c r="Y459" s="635">
        <f>IFERROR(SUM(Y455:Y457),"0")</f>
        <v>27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303</v>
      </c>
      <c r="Y476" s="634">
        <f>IFERROR(IF(X476="",0,CEILING((X476/$H476),1)*$H476),"")</f>
        <v>306</v>
      </c>
      <c r="Z476" s="36">
        <f>IFERROR(IF(Y476=0,"",ROUNDUP(Y476/H476,0)*0.01898),"")</f>
        <v>0.64532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319.63133333333332</v>
      </c>
      <c r="BN476" s="64">
        <f>IFERROR(Y476*I476/H476,"0")</f>
        <v>322.79599999999999</v>
      </c>
      <c r="BO476" s="64">
        <f>IFERROR(1/J476*(X476/H476),"0")</f>
        <v>0.52604166666666663</v>
      </c>
      <c r="BP476" s="64">
        <f>IFERROR(1/J476*(Y476/H476),"0")</f>
        <v>0.53125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33.666666666666664</v>
      </c>
      <c r="Y479" s="635">
        <f>IFERROR(Y476/H476,"0")+IFERROR(Y477/H477,"0")+IFERROR(Y478/H478,"0")</f>
        <v>34</v>
      </c>
      <c r="Z479" s="635">
        <f>IFERROR(IF(Z476="",0,Z476),"0")+IFERROR(IF(Z477="",0,Z477),"0")+IFERROR(IF(Z478="",0,Z478),"0")</f>
        <v>0.64532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303</v>
      </c>
      <c r="Y480" s="635">
        <f>IFERROR(SUM(Y476:Y478),"0")</f>
        <v>306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162</v>
      </c>
      <c r="Y513" s="634">
        <f t="shared" si="71"/>
        <v>163.68</v>
      </c>
      <c r="Z513" s="36">
        <f>IFERROR(IF(Y513=0,"",ROUNDUP(Y513/H513,0)*0.01196),"")</f>
        <v>0.37075999999999998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172.73863636363635</v>
      </c>
      <c r="BN513" s="64">
        <f t="shared" si="73"/>
        <v>174.53</v>
      </c>
      <c r="BO513" s="64">
        <f t="shared" si="74"/>
        <v>0.2950174825174825</v>
      </c>
      <c r="BP513" s="64">
        <f t="shared" si="75"/>
        <v>0.29807692307692307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257</v>
      </c>
      <c r="Y514" s="634">
        <f t="shared" si="71"/>
        <v>258.72000000000003</v>
      </c>
      <c r="Z514" s="36">
        <f>IFERROR(IF(Y514=0,"",ROUNDUP(Y514/H514,0)*0.01196),"")</f>
        <v>0.58604000000000001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274.03598484848487</v>
      </c>
      <c r="BN514" s="64">
        <f t="shared" si="73"/>
        <v>275.87</v>
      </c>
      <c r="BO514" s="64">
        <f t="shared" si="74"/>
        <v>0.46802156177156179</v>
      </c>
      <c r="BP514" s="64">
        <f t="shared" si="75"/>
        <v>0.4711538461538462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41</v>
      </c>
      <c r="Y517" s="634">
        <f t="shared" si="71"/>
        <v>43.199999999999996</v>
      </c>
      <c r="Z517" s="36">
        <f>IFERROR(IF(Y517=0,"",ROUNDUP(Y517/H517,0)*0.00902),"")</f>
        <v>8.1180000000000002E-2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59.022916666666667</v>
      </c>
      <c r="BN517" s="64">
        <f t="shared" si="73"/>
        <v>62.190000000000005</v>
      </c>
      <c r="BO517" s="64">
        <f t="shared" si="74"/>
        <v>6.4709595959595967E-2</v>
      </c>
      <c r="BP517" s="64">
        <f t="shared" si="75"/>
        <v>6.8181818181818177E-2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87.897727272727266</v>
      </c>
      <c r="Y518" s="635">
        <f>IFERROR(Y510/H510,"0")+IFERROR(Y511/H511,"0")+IFERROR(Y512/H512,"0")+IFERROR(Y513/H513,"0")+IFERROR(Y514/H514,"0")+IFERROR(Y515/H515,"0")+IFERROR(Y516/H516,"0")+IFERROR(Y517/H517,"0")</f>
        <v>89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1.0379799999999999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460</v>
      </c>
      <c r="Y519" s="635">
        <f>IFERROR(SUM(Y510:Y517),"0")</f>
        <v>465.6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24</v>
      </c>
      <c r="Y523" s="634">
        <f>IFERROR(IF(X523="",0,CEILING((X523/$H523),1)*$H523),"")</f>
        <v>24</v>
      </c>
      <c r="Z523" s="36">
        <f>IFERROR(IF(Y523=0,"",ROUNDUP(Y523/H523,0)*0.00902),"")</f>
        <v>4.5100000000000001E-2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34.550000000000004</v>
      </c>
      <c r="BN523" s="64">
        <f>IFERROR(Y523*I523/H523,"0")</f>
        <v>34.550000000000004</v>
      </c>
      <c r="BO523" s="64">
        <f>IFERROR(1/J523*(X523/H523),"0")</f>
        <v>3.787878787878788E-2</v>
      </c>
      <c r="BP523" s="64">
        <f>IFERROR(1/J523*(Y523/H523),"0")</f>
        <v>3.787878787878788E-2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5</v>
      </c>
      <c r="Y524" s="635">
        <f>IFERROR(Y521/H521,"0")+IFERROR(Y522/H522,"0")+IFERROR(Y523/H523,"0")</f>
        <v>5</v>
      </c>
      <c r="Z524" s="635">
        <f>IFERROR(IF(Z521="",0,Z521),"0")+IFERROR(IF(Z522="",0,Z522),"0")+IFERROR(IF(Z523="",0,Z523),"0")</f>
        <v>4.5100000000000001E-2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24</v>
      </c>
      <c r="Y525" s="635">
        <f>IFERROR(SUM(Y521:Y523),"0")</f>
        <v>24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97</v>
      </c>
      <c r="Y528" s="634">
        <f t="shared" si="76"/>
        <v>100.32000000000001</v>
      </c>
      <c r="Z528" s="36">
        <f>IFERROR(IF(Y528=0,"",ROUNDUP(Y528/H528,0)*0.01196),"")</f>
        <v>0.22724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103.42992424242424</v>
      </c>
      <c r="BN528" s="64">
        <f t="shared" si="78"/>
        <v>106.97</v>
      </c>
      <c r="BO528" s="64">
        <f t="shared" si="79"/>
        <v>0.1766462703962704</v>
      </c>
      <c r="BP528" s="64">
        <f t="shared" si="80"/>
        <v>0.18269230769230771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18.371212121212121</v>
      </c>
      <c r="Y534" s="635">
        <f>IFERROR(Y527/H527,"0")+IFERROR(Y528/H528,"0")+IFERROR(Y529/H529,"0")+IFERROR(Y530/H530,"0")+IFERROR(Y531/H531,"0")+IFERROR(Y532/H532,"0")+IFERROR(Y533/H533,"0")</f>
        <v>19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0.22724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97</v>
      </c>
      <c r="Y535" s="635">
        <f>IFERROR(SUM(Y527:Y533),"0")</f>
        <v>100.32000000000001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8702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8807.24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9145.0225598691432</v>
      </c>
      <c r="Y565" s="635">
        <f>IFERROR(SUM(BN22:BN561),"0")</f>
        <v>9257.3050000000003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15</v>
      </c>
      <c r="Y566" s="38">
        <f>ROUNDUP(SUM(BP22:BP561),0)</f>
        <v>15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9520.0225598691432</v>
      </c>
      <c r="Y567" s="635">
        <f>GrossWeightTotalR+PalletQtyTotalR*25</f>
        <v>9632.3050000000003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1304.5371865788534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1329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16.43355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16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45</v>
      </c>
      <c r="F574" s="46">
        <f>IFERROR(Y89*1,"0")+IFERROR(Y90*1,"0")+IFERROR(Y91*1,"0")+IFERROR(Y92*1,"0")+IFERROR(Y93*1,"0")+IFERROR(Y94*1,"0")+IFERROR(Y98*1,"0")+IFERROR(Y99*1,"0")+IFERROR(Y100*1,"0")+IFERROR(Y101*1,"0")</f>
        <v>879.3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201.60000000000002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389.32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113.1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965.40000000000009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9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14.399999999999999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156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430.2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4692</v>
      </c>
      <c r="Y574" s="46">
        <f>IFERROR(Y467*1,"0")+IFERROR(Y468*1,"0")+IFERROR(Y472*1,"0")+IFERROR(Y476*1,"0")+IFERROR(Y477*1,"0")+IFERROR(Y478*1,"0")</f>
        <v>306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589.92000000000007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 304,54"/>
        <filter val="1 693,00"/>
        <filter val="1,00"/>
        <filter val="10,00"/>
        <filter val="100,00"/>
        <filter val="100,50"/>
        <filter val="104,44"/>
        <filter val="109,00"/>
        <filter val="11,00"/>
        <filter val="116,00"/>
        <filter val="12,00"/>
        <filter val="124,00"/>
        <filter val="127,00"/>
        <filter val="128,30"/>
        <filter val="129,00"/>
        <filter val="135,00"/>
        <filter val="137,16"/>
        <filter val="14,00"/>
        <filter val="142,22"/>
        <filter val="15"/>
        <filter val="15,00"/>
        <filter val="150,00"/>
        <filter val="156,00"/>
        <filter val="162,00"/>
        <filter val="18,37"/>
        <filter val="19,23"/>
        <filter val="2,22"/>
        <filter val="20,00"/>
        <filter val="201,00"/>
        <filter val="202,00"/>
        <filter val="24,00"/>
        <filter val="24,05"/>
        <filter val="257,00"/>
        <filter val="27,08"/>
        <filter val="29,00"/>
        <filter val="3,50"/>
        <filter val="30,00"/>
        <filter val="303,00"/>
        <filter val="310,00"/>
        <filter val="32,00"/>
        <filter val="33,67"/>
        <filter val="35,00"/>
        <filter val="379,00"/>
        <filter val="38,00"/>
        <filter val="39,00"/>
        <filter val="390,00"/>
        <filter val="4 650,00"/>
        <filter val="4,00"/>
        <filter val="41,00"/>
        <filter val="44,00"/>
        <filter val="45,00"/>
        <filter val="460,00"/>
        <filter val="484,00"/>
        <filter val="5,00"/>
        <filter val="50,00"/>
        <filter val="55,00"/>
        <filter val="57,78"/>
        <filter val="65,00"/>
        <filter val="666,00"/>
        <filter val="7,00"/>
        <filter val="76,00"/>
        <filter val="78,00"/>
        <filter val="8 702,00"/>
        <filter val="8,00"/>
        <filter val="8,33"/>
        <filter val="828,00"/>
        <filter val="87,90"/>
        <filter val="880,00"/>
        <filter val="9 145,02"/>
        <filter val="9 520,02"/>
        <filter val="9,00"/>
        <filter val="9,78"/>
        <filter val="93,00"/>
        <filter val="97,00"/>
        <filter val="985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2026-10-21T10:26:28Z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