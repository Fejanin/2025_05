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CBABE339-D8FA-46D4-B2DD-68FBA8F1C95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3" i="1"/>
  <c r="P21" i="1"/>
  <c r="O21" i="1"/>
  <c r="N21" i="1"/>
  <c r="T18" i="1" l="1"/>
  <c r="T19" i="1"/>
  <c r="C21" i="1" l="1"/>
  <c r="D21" i="1"/>
  <c r="E21" i="1" l="1"/>
  <c r="T20" i="1" l="1"/>
  <c r="S21" i="1"/>
  <c r="R21" i="1"/>
  <c r="Q21" i="1"/>
  <c r="F21" i="1" l="1"/>
  <c r="G21" i="1"/>
  <c r="H21" i="1"/>
  <c r="I21" i="1"/>
  <c r="J21" i="1"/>
  <c r="K21" i="1"/>
  <c r="L21" i="1"/>
  <c r="M21" i="1"/>
  <c r="B21" i="1" l="1"/>
  <c r="B23" i="1" s="1"/>
  <c r="T21" i="1" l="1"/>
</calcChain>
</file>

<file path=xl/sharedStrings.xml><?xml version="1.0" encoding="utf-8"?>
<sst xmlns="http://schemas.openxmlformats.org/spreadsheetml/2006/main" count="49" uniqueCount="34">
  <si>
    <t>Бердянск</t>
  </si>
  <si>
    <t>Донецк</t>
  </si>
  <si>
    <t>Луганск</t>
  </si>
  <si>
    <t>Мелитополь</t>
  </si>
  <si>
    <t>Поляков</t>
  </si>
  <si>
    <t>ПОЛУЧАТЕЛЬ</t>
  </si>
  <si>
    <t>Остаток</t>
  </si>
  <si>
    <t>ИТОГОВЫЕ ДАННЫЕ</t>
  </si>
  <si>
    <t>нетто</t>
  </si>
  <si>
    <t>брутто</t>
  </si>
  <si>
    <t>паллеты</t>
  </si>
  <si>
    <t>ПРС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</si>
  <si>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</si>
  <si>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</si>
  <si>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</si>
  <si>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</si>
  <si>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</si>
  <si>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</si>
  <si>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</si>
  <si>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</si>
  <si>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</si>
  <si>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Обрыньба</t>
  </si>
  <si>
    <t>Логистон (ПРС)</t>
  </si>
  <si>
    <t>Мариуполь</t>
  </si>
  <si>
    <t>Патяка КСК</t>
  </si>
  <si>
    <t>Патяка НВ</t>
  </si>
  <si>
    <t>Бутырин НВ</t>
  </si>
  <si>
    <t>1 машина на 24,10</t>
  </si>
  <si>
    <t>2 машина на 24,10</t>
  </si>
  <si>
    <t>1 машина на 25,10</t>
  </si>
  <si>
    <t>2 машина на 25,10</t>
  </si>
  <si>
    <t>3 машина на 25,10</t>
  </si>
  <si>
    <t>НВ</t>
  </si>
  <si>
    <t>НВ_КСК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</si>
</sst>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3" borderId="6" xfId="0" applyFill="1" applyBorder="1"/>
    <xf numFmtId="0" fontId="0" fillId="3" borderId="18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abSelected="1" zoomScale="115" zoomScaleNormal="115" workbookViewId="0">
      <selection activeCell="U24" sqref="U24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8" width="7.28515625" customWidth="1"/>
    <col min="19" max="19" width="6" customWidth="1"/>
    <col min="20" max="20" width="8.140625" bestFit="1" customWidth="1"/>
  </cols>
  <sheetData>
    <row r="1" spans="1:20" ht="15" customHeight="1" x14ac:dyDescent="0.25">
      <c r="A1" s="33" t="s">
        <v>5</v>
      </c>
      <c r="B1" s="35" t="s">
        <v>16</v>
      </c>
      <c r="C1" s="35" t="s">
        <v>17</v>
      </c>
      <c r="D1" s="35" t="s">
        <v>18</v>
      </c>
      <c r="E1" s="33" t="s">
        <v>27</v>
      </c>
      <c r="F1" s="37"/>
      <c r="G1" s="38"/>
      <c r="H1" s="33" t="s">
        <v>28</v>
      </c>
      <c r="I1" s="37"/>
      <c r="J1" s="38"/>
      <c r="K1" s="33" t="s">
        <v>29</v>
      </c>
      <c r="L1" s="37"/>
      <c r="M1" s="38"/>
      <c r="N1" s="33" t="s">
        <v>30</v>
      </c>
      <c r="O1" s="37"/>
      <c r="P1" s="38"/>
      <c r="Q1" s="33" t="s">
        <v>31</v>
      </c>
      <c r="R1" s="37"/>
      <c r="S1" s="38"/>
      <c r="T1" s="31" t="s">
        <v>6</v>
      </c>
    </row>
    <row r="2" spans="1:20" ht="30.75" thickBot="1" x14ac:dyDescent="0.3">
      <c r="A2" s="34"/>
      <c r="B2" s="36"/>
      <c r="C2" s="36"/>
      <c r="D2" s="36"/>
      <c r="E2" s="17" t="s">
        <v>8</v>
      </c>
      <c r="F2" s="18" t="s">
        <v>9</v>
      </c>
      <c r="G2" s="19" t="s">
        <v>10</v>
      </c>
      <c r="H2" s="17" t="s">
        <v>8</v>
      </c>
      <c r="I2" s="18" t="s">
        <v>9</v>
      </c>
      <c r="J2" s="19" t="s">
        <v>10</v>
      </c>
      <c r="K2" s="17" t="s">
        <v>8</v>
      </c>
      <c r="L2" s="18" t="s">
        <v>9</v>
      </c>
      <c r="M2" s="19" t="s">
        <v>10</v>
      </c>
      <c r="N2" s="17" t="s">
        <v>8</v>
      </c>
      <c r="O2" s="18" t="s">
        <v>9</v>
      </c>
      <c r="P2" s="19" t="s">
        <v>10</v>
      </c>
      <c r="Q2" s="17" t="s">
        <v>8</v>
      </c>
      <c r="R2" s="18" t="s">
        <v>9</v>
      </c>
      <c r="S2" s="19" t="s">
        <v>10</v>
      </c>
      <c r="T2" s="32"/>
    </row>
    <row r="3" spans="1:20" x14ac:dyDescent="0.25">
      <c r="A3" s="6" t="s">
        <v>0</v>
      </c>
      <c r="B3" s="20">
        <v>8798</v>
      </c>
      <c r="C3" s="21"/>
      <c r="D3" s="22"/>
      <c r="E3" s="20"/>
      <c r="F3" s="21"/>
      <c r="G3" s="22"/>
      <c r="H3" s="6"/>
      <c r="I3" s="3"/>
      <c r="J3" s="7"/>
      <c r="K3" s="6"/>
      <c r="L3" s="3"/>
      <c r="M3" s="7"/>
      <c r="N3" s="6">
        <v>8798</v>
      </c>
      <c r="O3" s="3">
        <v>9704</v>
      </c>
      <c r="P3" s="7">
        <v>15</v>
      </c>
      <c r="Q3" s="6"/>
      <c r="R3" s="3"/>
      <c r="S3" s="7"/>
      <c r="T3" s="8">
        <f>B3-E3-H3-K3-N3-Q3</f>
        <v>0</v>
      </c>
    </row>
    <row r="4" spans="1:20" x14ac:dyDescent="0.25">
      <c r="A4" s="29" t="s">
        <v>1</v>
      </c>
      <c r="B4" s="23">
        <v>30116</v>
      </c>
      <c r="C4" s="24"/>
      <c r="D4" s="25"/>
      <c r="E4" s="23"/>
      <c r="F4" s="24"/>
      <c r="G4" s="25"/>
      <c r="H4" s="4">
        <v>17609</v>
      </c>
      <c r="I4" s="2">
        <v>19520</v>
      </c>
      <c r="J4" s="5">
        <v>31</v>
      </c>
      <c r="K4" s="4">
        <v>12507</v>
      </c>
      <c r="L4" s="2">
        <v>13821</v>
      </c>
      <c r="M4" s="5">
        <v>22</v>
      </c>
      <c r="N4" s="4"/>
      <c r="O4" s="2"/>
      <c r="P4" s="5"/>
      <c r="Q4" s="4"/>
      <c r="R4" s="2"/>
      <c r="S4" s="5"/>
      <c r="T4" s="8">
        <f t="shared" ref="T4:T17" si="0">B4-E4-H4-K4-N4-Q4</f>
        <v>0</v>
      </c>
    </row>
    <row r="5" spans="1:20" x14ac:dyDescent="0.25">
      <c r="A5" s="4" t="s">
        <v>2</v>
      </c>
      <c r="B5" s="23">
        <v>17611</v>
      </c>
      <c r="C5" s="24"/>
      <c r="D5" s="25"/>
      <c r="E5" s="23">
        <v>17611</v>
      </c>
      <c r="F5" s="24">
        <v>19630</v>
      </c>
      <c r="G5" s="25">
        <v>32</v>
      </c>
      <c r="H5" s="4"/>
      <c r="I5" s="2"/>
      <c r="J5" s="5"/>
      <c r="K5" s="4"/>
      <c r="L5" s="2"/>
      <c r="M5" s="5"/>
      <c r="N5" s="4"/>
      <c r="O5" s="2"/>
      <c r="P5" s="5"/>
      <c r="Q5" s="4"/>
      <c r="R5" s="2"/>
      <c r="S5" s="5"/>
      <c r="T5" s="8">
        <f t="shared" si="0"/>
        <v>0</v>
      </c>
    </row>
    <row r="6" spans="1:20" x14ac:dyDescent="0.25">
      <c r="A6" s="4" t="s">
        <v>3</v>
      </c>
      <c r="B6" s="23">
        <v>13030</v>
      </c>
      <c r="C6" s="24"/>
      <c r="D6" s="25"/>
      <c r="E6" s="23"/>
      <c r="F6" s="24"/>
      <c r="G6" s="25"/>
      <c r="H6" s="4"/>
      <c r="I6" s="2"/>
      <c r="J6" s="5"/>
      <c r="K6" s="23"/>
      <c r="L6" s="2"/>
      <c r="M6" s="5"/>
      <c r="N6" s="4">
        <v>8702</v>
      </c>
      <c r="O6" s="2">
        <v>9632</v>
      </c>
      <c r="P6" s="5">
        <v>15</v>
      </c>
      <c r="Q6" s="23">
        <v>4328</v>
      </c>
      <c r="R6" s="2">
        <v>4814</v>
      </c>
      <c r="S6" s="5">
        <v>8</v>
      </c>
      <c r="T6" s="8">
        <f t="shared" si="0"/>
        <v>0</v>
      </c>
    </row>
    <row r="7" spans="1:20" x14ac:dyDescent="0.25">
      <c r="A7" s="4" t="s">
        <v>23</v>
      </c>
      <c r="B7" s="23">
        <v>4958</v>
      </c>
      <c r="C7" s="24"/>
      <c r="D7" s="25"/>
      <c r="E7" s="23"/>
      <c r="F7" s="24"/>
      <c r="G7" s="25"/>
      <c r="H7" s="4"/>
      <c r="I7" s="2"/>
      <c r="J7" s="5"/>
      <c r="K7" s="23"/>
      <c r="L7" s="2"/>
      <c r="M7" s="5"/>
      <c r="N7" s="4"/>
      <c r="O7" s="2"/>
      <c r="P7" s="5"/>
      <c r="Q7" s="23">
        <v>4958</v>
      </c>
      <c r="R7" s="2">
        <v>5539</v>
      </c>
      <c r="S7" s="5">
        <v>9</v>
      </c>
      <c r="T7" s="8">
        <f t="shared" si="0"/>
        <v>0</v>
      </c>
    </row>
    <row r="8" spans="1:20" x14ac:dyDescent="0.25">
      <c r="A8" s="4" t="s">
        <v>24</v>
      </c>
      <c r="B8" s="23">
        <v>4320</v>
      </c>
      <c r="C8" s="24">
        <v>4654</v>
      </c>
      <c r="D8" s="25">
        <v>7</v>
      </c>
      <c r="E8" s="23"/>
      <c r="F8" s="24"/>
      <c r="G8" s="25"/>
      <c r="H8" s="4"/>
      <c r="I8" s="2"/>
      <c r="J8" s="5"/>
      <c r="K8" s="4"/>
      <c r="L8" s="2"/>
      <c r="M8" s="5"/>
      <c r="N8" s="4"/>
      <c r="O8" s="2"/>
      <c r="P8" s="5"/>
      <c r="Q8" s="23">
        <v>4320</v>
      </c>
      <c r="R8" s="24">
        <v>4654</v>
      </c>
      <c r="S8" s="25">
        <v>7</v>
      </c>
      <c r="T8" s="8">
        <f t="shared" si="0"/>
        <v>0</v>
      </c>
    </row>
    <row r="9" spans="1:20" x14ac:dyDescent="0.25">
      <c r="A9" s="4" t="s">
        <v>25</v>
      </c>
      <c r="B9" s="23">
        <v>3725</v>
      </c>
      <c r="C9" s="24">
        <v>4035</v>
      </c>
      <c r="D9" s="25">
        <v>6</v>
      </c>
      <c r="E9" s="23"/>
      <c r="F9" s="24"/>
      <c r="G9" s="25"/>
      <c r="H9" s="4"/>
      <c r="I9" s="2"/>
      <c r="J9" s="5"/>
      <c r="K9" s="4"/>
      <c r="L9" s="2"/>
      <c r="M9" s="5"/>
      <c r="N9" s="4"/>
      <c r="O9" s="2"/>
      <c r="P9" s="5"/>
      <c r="Q9" s="23">
        <v>3725</v>
      </c>
      <c r="R9" s="24">
        <v>4035</v>
      </c>
      <c r="S9" s="25">
        <v>6</v>
      </c>
      <c r="T9" s="8">
        <f t="shared" si="0"/>
        <v>0</v>
      </c>
    </row>
    <row r="10" spans="1:20" hidden="1" x14ac:dyDescent="0.25">
      <c r="A10" s="4" t="s">
        <v>4</v>
      </c>
      <c r="B10" s="23"/>
      <c r="C10" s="24"/>
      <c r="D10" s="25"/>
      <c r="E10" s="23"/>
      <c r="F10" s="24"/>
      <c r="G10" s="25"/>
      <c r="H10" s="4"/>
      <c r="I10" s="2"/>
      <c r="J10" s="5"/>
      <c r="K10" s="4"/>
      <c r="L10" s="2"/>
      <c r="M10" s="5"/>
      <c r="N10" s="4"/>
      <c r="O10" s="2"/>
      <c r="P10" s="5"/>
      <c r="Q10" s="4"/>
      <c r="R10" s="2"/>
      <c r="S10" s="5"/>
      <c r="T10" s="8">
        <f t="shared" si="0"/>
        <v>0</v>
      </c>
    </row>
    <row r="11" spans="1:20" hidden="1" x14ac:dyDescent="0.25">
      <c r="A11" s="9" t="s">
        <v>19</v>
      </c>
      <c r="B11" s="26"/>
      <c r="C11" s="27"/>
      <c r="D11" s="28"/>
      <c r="E11" s="26"/>
      <c r="F11" s="27"/>
      <c r="G11" s="28"/>
      <c r="H11" s="9"/>
      <c r="I11" s="10"/>
      <c r="J11" s="11"/>
      <c r="K11" s="9"/>
      <c r="L11" s="10"/>
      <c r="M11" s="11"/>
      <c r="N11" s="9"/>
      <c r="O11" s="10"/>
      <c r="P11" s="11"/>
      <c r="Q11" s="9"/>
      <c r="R11" s="10"/>
      <c r="S11" s="11"/>
      <c r="T11" s="8">
        <f t="shared" si="0"/>
        <v>0</v>
      </c>
    </row>
    <row r="12" spans="1:20" hidden="1" x14ac:dyDescent="0.25">
      <c r="A12" s="9" t="s">
        <v>11</v>
      </c>
      <c r="B12" s="26"/>
      <c r="C12" s="27"/>
      <c r="D12" s="28"/>
      <c r="E12" s="26"/>
      <c r="F12" s="27"/>
      <c r="G12" s="28"/>
      <c r="H12" s="9"/>
      <c r="I12" s="10"/>
      <c r="J12" s="11"/>
      <c r="K12" s="9"/>
      <c r="L12" s="10"/>
      <c r="M12" s="11"/>
      <c r="N12" s="9"/>
      <c r="O12" s="10"/>
      <c r="P12" s="11"/>
      <c r="Q12" s="9"/>
      <c r="R12" s="10"/>
      <c r="S12" s="11"/>
      <c r="T12" s="8">
        <f t="shared" si="0"/>
        <v>0</v>
      </c>
    </row>
    <row r="13" spans="1:20" hidden="1" x14ac:dyDescent="0.25">
      <c r="A13" s="9" t="s">
        <v>22</v>
      </c>
      <c r="B13" s="26"/>
      <c r="C13" s="27"/>
      <c r="D13" s="28"/>
      <c r="E13" s="26"/>
      <c r="F13" s="27"/>
      <c r="G13" s="28"/>
      <c r="H13" s="9"/>
      <c r="I13" s="10"/>
      <c r="J13" s="11"/>
      <c r="K13" s="9"/>
      <c r="L13" s="10"/>
      <c r="M13" s="11"/>
      <c r="N13" s="9"/>
      <c r="O13" s="10"/>
      <c r="P13" s="11"/>
      <c r="Q13" s="9"/>
      <c r="R13" s="10"/>
      <c r="S13" s="11"/>
      <c r="T13" s="8">
        <f t="shared" si="0"/>
        <v>0</v>
      </c>
    </row>
    <row r="14" spans="1:20" hidden="1" x14ac:dyDescent="0.25">
      <c r="A14" s="9" t="s">
        <v>13</v>
      </c>
      <c r="B14" s="26"/>
      <c r="C14" s="27"/>
      <c r="D14" s="28"/>
      <c r="E14" s="26"/>
      <c r="F14" s="27"/>
      <c r="G14" s="28"/>
      <c r="H14" s="9"/>
      <c r="I14" s="10"/>
      <c r="J14" s="11"/>
      <c r="K14" s="9"/>
      <c r="L14" s="10"/>
      <c r="M14" s="11"/>
      <c r="N14" s="9"/>
      <c r="O14" s="10"/>
      <c r="P14" s="11"/>
      <c r="Q14" s="9"/>
      <c r="R14" s="10"/>
      <c r="S14" s="11"/>
      <c r="T14" s="8">
        <f t="shared" si="0"/>
        <v>0</v>
      </c>
    </row>
    <row r="15" spans="1:20" hidden="1" x14ac:dyDescent="0.25">
      <c r="A15" s="9" t="s">
        <v>14</v>
      </c>
      <c r="B15" s="26"/>
      <c r="C15" s="27"/>
      <c r="D15" s="28"/>
      <c r="E15" s="26"/>
      <c r="F15" s="27"/>
      <c r="G15" s="28"/>
      <c r="H15" s="9"/>
      <c r="I15" s="10"/>
      <c r="J15" s="11"/>
      <c r="K15" s="9"/>
      <c r="L15" s="10"/>
      <c r="M15" s="11"/>
      <c r="N15" s="9"/>
      <c r="O15" s="10"/>
      <c r="P15" s="11"/>
      <c r="Q15" s="9"/>
      <c r="R15" s="10"/>
      <c r="S15" s="11"/>
      <c r="T15" s="8">
        <f t="shared" si="0"/>
        <v>0</v>
      </c>
    </row>
    <row r="16" spans="1:20" hidden="1" x14ac:dyDescent="0.25">
      <c r="A16" s="9" t="s">
        <v>15</v>
      </c>
      <c r="B16" s="23"/>
      <c r="C16" s="24"/>
      <c r="D16" s="25"/>
      <c r="E16" s="23"/>
      <c r="F16" s="24"/>
      <c r="G16" s="25"/>
      <c r="H16" s="4"/>
      <c r="I16" s="2"/>
      <c r="J16" s="5"/>
      <c r="K16" s="9"/>
      <c r="L16" s="10"/>
      <c r="M16" s="11"/>
      <c r="N16" s="9"/>
      <c r="O16" s="10"/>
      <c r="P16" s="11"/>
      <c r="Q16" s="9"/>
      <c r="R16" s="10"/>
      <c r="S16" s="11"/>
      <c r="T16" s="8">
        <f t="shared" si="0"/>
        <v>0</v>
      </c>
    </row>
    <row r="17" spans="1:20" ht="15.75" thickBot="1" x14ac:dyDescent="0.3">
      <c r="A17" s="30" t="s">
        <v>26</v>
      </c>
      <c r="B17" s="26">
        <v>5020</v>
      </c>
      <c r="C17" s="27">
        <v>5502</v>
      </c>
      <c r="D17" s="28">
        <v>9</v>
      </c>
      <c r="E17" s="26"/>
      <c r="F17" s="27"/>
      <c r="G17" s="28"/>
      <c r="H17" s="9"/>
      <c r="I17" s="10"/>
      <c r="J17" s="11"/>
      <c r="K17" s="26">
        <v>5020</v>
      </c>
      <c r="L17" s="27">
        <v>5502</v>
      </c>
      <c r="M17" s="28">
        <v>9</v>
      </c>
      <c r="N17" s="26"/>
      <c r="O17" s="27"/>
      <c r="P17" s="28"/>
      <c r="Q17" s="9"/>
      <c r="R17" s="10"/>
      <c r="S17" s="11"/>
      <c r="T17" s="8">
        <f t="shared" si="0"/>
        <v>0</v>
      </c>
    </row>
    <row r="18" spans="1:20" hidden="1" x14ac:dyDescent="0.25">
      <c r="A18" s="9" t="s">
        <v>12</v>
      </c>
      <c r="B18" s="26"/>
      <c r="C18" s="27"/>
      <c r="D18" s="28"/>
      <c r="E18" s="26"/>
      <c r="F18" s="27"/>
      <c r="G18" s="28"/>
      <c r="H18" s="9"/>
      <c r="I18" s="10"/>
      <c r="J18" s="11"/>
      <c r="K18" s="9"/>
      <c r="L18" s="10"/>
      <c r="M18" s="11"/>
      <c r="N18" s="9"/>
      <c r="O18" s="10"/>
      <c r="P18" s="11"/>
      <c r="Q18" s="9"/>
      <c r="R18" s="10"/>
      <c r="S18" s="11"/>
      <c r="T18" s="8">
        <f t="shared" ref="T18:T19" si="1">B18-E18-H18-K18-Q18</f>
        <v>0</v>
      </c>
    </row>
    <row r="19" spans="1:20" hidden="1" x14ac:dyDescent="0.25">
      <c r="A19" s="9" t="s">
        <v>21</v>
      </c>
      <c r="B19" s="26"/>
      <c r="C19" s="27"/>
      <c r="D19" s="28"/>
      <c r="E19" s="26"/>
      <c r="F19" s="27"/>
      <c r="G19" s="28"/>
      <c r="H19" s="9"/>
      <c r="I19" s="10"/>
      <c r="J19" s="11"/>
      <c r="K19" s="9"/>
      <c r="L19" s="10"/>
      <c r="M19" s="11"/>
      <c r="N19" s="9"/>
      <c r="O19" s="10"/>
      <c r="P19" s="11"/>
      <c r="Q19" s="9"/>
      <c r="R19" s="10"/>
      <c r="S19" s="11"/>
      <c r="T19" s="8">
        <f t="shared" si="1"/>
        <v>0</v>
      </c>
    </row>
    <row r="20" spans="1:20" ht="15.75" hidden="1" thickBot="1" x14ac:dyDescent="0.3">
      <c r="A20" s="9" t="s">
        <v>20</v>
      </c>
      <c r="B20" s="23"/>
      <c r="C20" s="27"/>
      <c r="D20" s="28"/>
      <c r="E20" s="23"/>
      <c r="F20" s="27"/>
      <c r="G20" s="28"/>
      <c r="H20" s="9"/>
      <c r="I20" s="10"/>
      <c r="J20" s="11"/>
      <c r="K20" s="9"/>
      <c r="L20" s="10"/>
      <c r="M20" s="11"/>
      <c r="N20" s="9"/>
      <c r="O20" s="10"/>
      <c r="P20" s="11"/>
      <c r="Q20" s="9"/>
      <c r="R20" s="10"/>
      <c r="S20" s="11"/>
      <c r="T20" s="8">
        <f t="shared" ref="T20" si="2">B20-E20-H20-K20-Q20</f>
        <v>0</v>
      </c>
    </row>
    <row r="21" spans="1:20" s="1" customFormat="1" ht="15.75" thickBot="1" x14ac:dyDescent="0.3">
      <c r="A21" s="12" t="s">
        <v>7</v>
      </c>
      <c r="B21" s="13">
        <f t="shared" ref="B21:P21" si="3">SUM(B3:B20)</f>
        <v>87578</v>
      </c>
      <c r="C21" s="13">
        <f t="shared" si="3"/>
        <v>14191</v>
      </c>
      <c r="D21" s="13">
        <f t="shared" si="3"/>
        <v>22</v>
      </c>
      <c r="E21" s="12">
        <f t="shared" si="3"/>
        <v>17611</v>
      </c>
      <c r="F21" s="14">
        <f t="shared" si="3"/>
        <v>19630</v>
      </c>
      <c r="G21" s="15">
        <f t="shared" si="3"/>
        <v>32</v>
      </c>
      <c r="H21" s="12">
        <f t="shared" si="3"/>
        <v>17609</v>
      </c>
      <c r="I21" s="14">
        <f t="shared" si="3"/>
        <v>19520</v>
      </c>
      <c r="J21" s="15">
        <f t="shared" si="3"/>
        <v>31</v>
      </c>
      <c r="K21" s="12">
        <f t="shared" si="3"/>
        <v>17527</v>
      </c>
      <c r="L21" s="14">
        <f t="shared" si="3"/>
        <v>19323</v>
      </c>
      <c r="M21" s="15">
        <f t="shared" si="3"/>
        <v>31</v>
      </c>
      <c r="N21" s="12">
        <f t="shared" si="3"/>
        <v>17500</v>
      </c>
      <c r="O21" s="14">
        <f t="shared" si="3"/>
        <v>19336</v>
      </c>
      <c r="P21" s="15">
        <f t="shared" si="3"/>
        <v>30</v>
      </c>
      <c r="Q21" s="12">
        <f t="shared" ref="Q21:S21" si="4">SUM(Q3:Q20)</f>
        <v>17331</v>
      </c>
      <c r="R21" s="14">
        <f t="shared" si="4"/>
        <v>19042</v>
      </c>
      <c r="S21" s="15">
        <f t="shared" si="4"/>
        <v>30</v>
      </c>
      <c r="T21" s="16">
        <f>SUM(T3:T20)</f>
        <v>0</v>
      </c>
    </row>
    <row r="23" spans="1:20" x14ac:dyDescent="0.25">
      <c r="B23">
        <f>B21/17500</f>
        <v>5.0044571428571425</v>
      </c>
      <c r="E23" t="s">
        <v>32</v>
      </c>
      <c r="H23" t="s">
        <v>32</v>
      </c>
      <c r="K23" t="s">
        <v>32</v>
      </c>
      <c r="N23" t="s">
        <v>32</v>
      </c>
      <c r="Q23" t="s">
        <v>33</v>
      </c>
    </row>
  </sheetData>
  <mergeCells count="10">
    <mergeCell ref="T1:T2"/>
    <mergeCell ref="A1:A2"/>
    <mergeCell ref="B1:B2"/>
    <mergeCell ref="E1:G1"/>
    <mergeCell ref="H1:J1"/>
    <mergeCell ref="K1:M1"/>
    <mergeCell ref="Q1:S1"/>
    <mergeCell ref="C1:C2"/>
    <mergeCell ref="D1:D2"/>
    <mergeCell ref="N1:P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2026-10-21T10:42:18Z</dcterms:modified>
</cp:coreProperties>
</file>