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36665F3-9C92-4346-ADDA-F3336D77C6A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AN9" i="1" l="1"/>
  <c r="AN12" i="1"/>
  <c r="AN14" i="1"/>
  <c r="AN17" i="1"/>
  <c r="AN19" i="1"/>
  <c r="AN23" i="1"/>
  <c r="AN25" i="1"/>
  <c r="AN30" i="1"/>
  <c r="AN32" i="1"/>
  <c r="AN33" i="1"/>
  <c r="AN37" i="1"/>
  <c r="AN41" i="1"/>
  <c r="AN42" i="1"/>
  <c r="AN49" i="1"/>
  <c r="AN52" i="1"/>
  <c r="AN53" i="1"/>
  <c r="AN57" i="1"/>
  <c r="AN58" i="1"/>
  <c r="AN65" i="1"/>
  <c r="AN68" i="1"/>
  <c r="AN69" i="1"/>
  <c r="AN70" i="1"/>
  <c r="AN71" i="1"/>
  <c r="AN72" i="1"/>
  <c r="AN77" i="1"/>
  <c r="AN79" i="1"/>
  <c r="AN80" i="1"/>
  <c r="AN81" i="1"/>
  <c r="AN82" i="1"/>
  <c r="AN83" i="1"/>
  <c r="AN85" i="1"/>
  <c r="AN89" i="1"/>
  <c r="AN90" i="1"/>
  <c r="AN91" i="1"/>
  <c r="AN92" i="1"/>
  <c r="AN93" i="1"/>
  <c r="AN95" i="1"/>
  <c r="AN96" i="1"/>
  <c r="AN97" i="1"/>
  <c r="AN98" i="1"/>
  <c r="AN101" i="1"/>
  <c r="AN105" i="1"/>
  <c r="AN106" i="1"/>
  <c r="AN108" i="1"/>
  <c r="AN110" i="1"/>
  <c r="AN111" i="1"/>
  <c r="AN112" i="1"/>
  <c r="AN113" i="1"/>
  <c r="AN114" i="1"/>
  <c r="AN117" i="1"/>
  <c r="AN119" i="1"/>
  <c r="AN120" i="1"/>
  <c r="AN121" i="1"/>
  <c r="AN122" i="1"/>
  <c r="AN123" i="1"/>
  <c r="AN124" i="1"/>
  <c r="AN125" i="1"/>
  <c r="AN126" i="1"/>
  <c r="AN128" i="1"/>
  <c r="AN129" i="1"/>
  <c r="AN130" i="1"/>
  <c r="AN131" i="1"/>
  <c r="AN132" i="1"/>
  <c r="AN133" i="1"/>
  <c r="U65" i="1"/>
  <c r="U128" i="1"/>
  <c r="AM128" i="1" s="1"/>
  <c r="AM65" i="1"/>
  <c r="T9" i="1" l="1"/>
  <c r="U9" i="1" s="1"/>
  <c r="AM9" i="1" s="1"/>
  <c r="T19" i="1"/>
  <c r="U19" i="1" s="1"/>
  <c r="AM19" i="1" s="1"/>
  <c r="T23" i="1"/>
  <c r="U23" i="1" s="1"/>
  <c r="AM23" i="1" s="1"/>
  <c r="T30" i="1"/>
  <c r="U30" i="1" s="1"/>
  <c r="AM30" i="1" s="1"/>
  <c r="T32" i="1"/>
  <c r="U32" i="1" s="1"/>
  <c r="AM32" i="1" s="1"/>
  <c r="T33" i="1"/>
  <c r="U33" i="1" s="1"/>
  <c r="AM33" i="1" s="1"/>
  <c r="T49" i="1"/>
  <c r="U49" i="1" s="1"/>
  <c r="AM49" i="1" s="1"/>
  <c r="T52" i="1"/>
  <c r="U52" i="1" s="1"/>
  <c r="AM52" i="1" s="1"/>
  <c r="T77" i="1"/>
  <c r="U77" i="1" s="1"/>
  <c r="AM77" i="1" s="1"/>
  <c r="T79" i="1"/>
  <c r="U79" i="1" s="1"/>
  <c r="AM79" i="1" s="1"/>
  <c r="T81" i="1"/>
  <c r="U81" i="1" s="1"/>
  <c r="AM81" i="1" s="1"/>
  <c r="T82" i="1"/>
  <c r="U82" i="1" s="1"/>
  <c r="AM82" i="1" s="1"/>
  <c r="T85" i="1"/>
  <c r="U85" i="1" s="1"/>
  <c r="AM85" i="1" s="1"/>
  <c r="T89" i="1"/>
  <c r="U89" i="1" s="1"/>
  <c r="AM89" i="1" s="1"/>
  <c r="T90" i="1"/>
  <c r="U90" i="1" s="1"/>
  <c r="AM90" i="1" s="1"/>
  <c r="T92" i="1"/>
  <c r="U92" i="1" s="1"/>
  <c r="AM92" i="1" s="1"/>
  <c r="T96" i="1"/>
  <c r="U96" i="1" s="1"/>
  <c r="AM96" i="1" s="1"/>
  <c r="T97" i="1"/>
  <c r="U97" i="1" s="1"/>
  <c r="AM97" i="1" s="1"/>
  <c r="T98" i="1"/>
  <c r="U98" i="1" s="1"/>
  <c r="AM98" i="1" s="1"/>
  <c r="T105" i="1"/>
  <c r="U105" i="1" s="1"/>
  <c r="AM105" i="1" s="1"/>
  <c r="T106" i="1"/>
  <c r="U106" i="1" s="1"/>
  <c r="AM106" i="1" s="1"/>
  <c r="T108" i="1"/>
  <c r="U108" i="1" s="1"/>
  <c r="AM108" i="1" s="1"/>
  <c r="T111" i="1"/>
  <c r="U111" i="1" s="1"/>
  <c r="AM111" i="1" s="1"/>
  <c r="T112" i="1"/>
  <c r="U112" i="1" s="1"/>
  <c r="AM112" i="1" s="1"/>
  <c r="T113" i="1"/>
  <c r="U113" i="1" s="1"/>
  <c r="AM113" i="1" s="1"/>
  <c r="T114" i="1"/>
  <c r="U114" i="1" s="1"/>
  <c r="AM114" i="1" s="1"/>
  <c r="T117" i="1"/>
  <c r="U117" i="1" s="1"/>
  <c r="AM117" i="1" s="1"/>
  <c r="T119" i="1"/>
  <c r="U119" i="1" s="1"/>
  <c r="AM119" i="1" s="1"/>
  <c r="T120" i="1"/>
  <c r="U120" i="1" s="1"/>
  <c r="AM120" i="1" s="1"/>
  <c r="T121" i="1"/>
  <c r="U121" i="1" s="1"/>
  <c r="AM121" i="1" s="1"/>
  <c r="T122" i="1"/>
  <c r="U122" i="1" s="1"/>
  <c r="AM122" i="1" s="1"/>
  <c r="T123" i="1"/>
  <c r="U123" i="1" s="1"/>
  <c r="AM123" i="1" s="1"/>
  <c r="T124" i="1"/>
  <c r="U124" i="1" s="1"/>
  <c r="AM124" i="1" s="1"/>
  <c r="T130" i="1"/>
  <c r="U130" i="1" s="1"/>
  <c r="AM130" i="1" s="1"/>
  <c r="T131" i="1"/>
  <c r="U131" i="1" s="1"/>
  <c r="AM131" i="1" s="1"/>
  <c r="T132" i="1"/>
  <c r="U132" i="1" s="1"/>
  <c r="AM132" i="1" s="1"/>
  <c r="T133" i="1"/>
  <c r="U133" i="1" s="1"/>
  <c r="AM133" i="1" s="1"/>
  <c r="X22" i="1"/>
  <c r="T22" i="1" s="1"/>
  <c r="Y22" i="1"/>
  <c r="X54" i="1"/>
  <c r="T54" i="1" s="1"/>
  <c r="Y54" i="1"/>
  <c r="X65" i="1"/>
  <c r="X66" i="1"/>
  <c r="T66" i="1" s="1"/>
  <c r="Y66" i="1"/>
  <c r="X67" i="1"/>
  <c r="T67" i="1" s="1"/>
  <c r="X102" i="1"/>
  <c r="T102" i="1" s="1"/>
  <c r="Y102" i="1"/>
  <c r="X104" i="1"/>
  <c r="T104" i="1" s="1"/>
  <c r="Y104" i="1"/>
  <c r="X115" i="1"/>
  <c r="T115" i="1" s="1"/>
  <c r="Y115" i="1"/>
  <c r="X128" i="1"/>
  <c r="V67" i="1" l="1"/>
  <c r="AN67" i="1" s="1"/>
  <c r="V66" i="1"/>
  <c r="AN66" i="1" s="1"/>
  <c r="V115" i="1"/>
  <c r="AN115" i="1" s="1"/>
  <c r="V104" i="1"/>
  <c r="AN104" i="1" s="1"/>
  <c r="V102" i="1"/>
  <c r="AN102" i="1" s="1"/>
  <c r="V54" i="1"/>
  <c r="AN54" i="1" s="1"/>
  <c r="V22" i="1"/>
  <c r="AN22" i="1" s="1"/>
  <c r="X5" i="1"/>
  <c r="Z90" i="1"/>
  <c r="R133" i="1"/>
  <c r="L133" i="1"/>
  <c r="R132" i="1"/>
  <c r="Z132" i="1" s="1"/>
  <c r="L132" i="1"/>
  <c r="R131" i="1"/>
  <c r="L131" i="1"/>
  <c r="R130" i="1"/>
  <c r="AA130" i="1" s="1"/>
  <c r="L130" i="1"/>
  <c r="R129" i="1"/>
  <c r="L129" i="1"/>
  <c r="R128" i="1"/>
  <c r="S128" i="1" s="1"/>
  <c r="L128" i="1"/>
  <c r="R127" i="1"/>
  <c r="AA127" i="1" s="1"/>
  <c r="L127" i="1"/>
  <c r="R126" i="1"/>
  <c r="AA126" i="1" s="1"/>
  <c r="L126" i="1"/>
  <c r="R125" i="1"/>
  <c r="L125" i="1"/>
  <c r="R124" i="1"/>
  <c r="AA124" i="1" s="1"/>
  <c r="L124" i="1"/>
  <c r="R123" i="1"/>
  <c r="L123" i="1"/>
  <c r="R122" i="1"/>
  <c r="Z122" i="1" s="1"/>
  <c r="L122" i="1"/>
  <c r="R121" i="1"/>
  <c r="L121" i="1"/>
  <c r="R120" i="1"/>
  <c r="AA120" i="1" s="1"/>
  <c r="L120" i="1"/>
  <c r="R119" i="1"/>
  <c r="L119" i="1"/>
  <c r="R118" i="1"/>
  <c r="L118" i="1"/>
  <c r="R117" i="1"/>
  <c r="L117" i="1"/>
  <c r="R116" i="1"/>
  <c r="S116" i="1" s="1"/>
  <c r="T116" i="1" s="1"/>
  <c r="L116" i="1"/>
  <c r="R115" i="1"/>
  <c r="AA115" i="1" s="1"/>
  <c r="L115" i="1"/>
  <c r="R114" i="1"/>
  <c r="AA114" i="1" s="1"/>
  <c r="L114" i="1"/>
  <c r="R113" i="1"/>
  <c r="L113" i="1"/>
  <c r="R112" i="1"/>
  <c r="AA112" i="1" s="1"/>
  <c r="L112" i="1"/>
  <c r="R111" i="1"/>
  <c r="L111" i="1"/>
  <c r="R110" i="1"/>
  <c r="AA110" i="1" s="1"/>
  <c r="L110" i="1"/>
  <c r="R109" i="1"/>
  <c r="AA109" i="1" s="1"/>
  <c r="L109" i="1"/>
  <c r="R108" i="1"/>
  <c r="AA108" i="1" s="1"/>
  <c r="L108" i="1"/>
  <c r="R107" i="1"/>
  <c r="AA107" i="1" s="1"/>
  <c r="L107" i="1"/>
  <c r="R106" i="1"/>
  <c r="AA106" i="1" s="1"/>
  <c r="L106" i="1"/>
  <c r="R105" i="1"/>
  <c r="Z105" i="1" s="1"/>
  <c r="L105" i="1"/>
  <c r="R104" i="1"/>
  <c r="S104" i="1" s="1"/>
  <c r="L104" i="1"/>
  <c r="R103" i="1"/>
  <c r="AA103" i="1" s="1"/>
  <c r="L103" i="1"/>
  <c r="R102" i="1"/>
  <c r="S102" i="1" s="1"/>
  <c r="L102" i="1"/>
  <c r="R101" i="1"/>
  <c r="S101" i="1" s="1"/>
  <c r="T101" i="1" s="1"/>
  <c r="U101" i="1" s="1"/>
  <c r="AM101" i="1" s="1"/>
  <c r="L101" i="1"/>
  <c r="R100" i="1"/>
  <c r="AA100" i="1" s="1"/>
  <c r="L100" i="1"/>
  <c r="R99" i="1"/>
  <c r="AA99" i="1" s="1"/>
  <c r="L99" i="1"/>
  <c r="R98" i="1"/>
  <c r="AA98" i="1" s="1"/>
  <c r="L98" i="1"/>
  <c r="R97" i="1"/>
  <c r="Z97" i="1" s="1"/>
  <c r="L97" i="1"/>
  <c r="F96" i="1"/>
  <c r="E96" i="1"/>
  <c r="R95" i="1"/>
  <c r="AA95" i="1" s="1"/>
  <c r="L95" i="1"/>
  <c r="R94" i="1"/>
  <c r="AA94" i="1" s="1"/>
  <c r="L94" i="1"/>
  <c r="R93" i="1"/>
  <c r="AA93" i="1" s="1"/>
  <c r="L93" i="1"/>
  <c r="R92" i="1"/>
  <c r="AA92" i="1" s="1"/>
  <c r="L92" i="1"/>
  <c r="R91" i="1"/>
  <c r="AA91" i="1" s="1"/>
  <c r="L91" i="1"/>
  <c r="R90" i="1"/>
  <c r="AA90" i="1" s="1"/>
  <c r="L90" i="1"/>
  <c r="R89" i="1"/>
  <c r="Z89" i="1" s="1"/>
  <c r="L89" i="1"/>
  <c r="R88" i="1"/>
  <c r="S88" i="1" s="1"/>
  <c r="T88" i="1" s="1"/>
  <c r="L88" i="1"/>
  <c r="R87" i="1"/>
  <c r="AA87" i="1" s="1"/>
  <c r="L87" i="1"/>
  <c r="R86" i="1"/>
  <c r="AA86" i="1" s="1"/>
  <c r="L86" i="1"/>
  <c r="R85" i="1"/>
  <c r="L85" i="1"/>
  <c r="R84" i="1"/>
  <c r="AA84" i="1" s="1"/>
  <c r="L84" i="1"/>
  <c r="R83" i="1"/>
  <c r="S83" i="1" s="1"/>
  <c r="T83" i="1" s="1"/>
  <c r="U83" i="1" s="1"/>
  <c r="AM83" i="1" s="1"/>
  <c r="L83" i="1"/>
  <c r="R82" i="1"/>
  <c r="AA82" i="1" s="1"/>
  <c r="L82" i="1"/>
  <c r="R81" i="1"/>
  <c r="L81" i="1"/>
  <c r="R80" i="1"/>
  <c r="L80" i="1"/>
  <c r="R79" i="1"/>
  <c r="L79" i="1"/>
  <c r="R78" i="1"/>
  <c r="AA78" i="1" s="1"/>
  <c r="L78" i="1"/>
  <c r="R77" i="1"/>
  <c r="L77" i="1"/>
  <c r="R76" i="1"/>
  <c r="L76" i="1"/>
  <c r="R75" i="1"/>
  <c r="S75" i="1" s="1"/>
  <c r="T75" i="1" s="1"/>
  <c r="L75" i="1"/>
  <c r="R74" i="1"/>
  <c r="AA74" i="1" s="1"/>
  <c r="L74" i="1"/>
  <c r="R73" i="1"/>
  <c r="AA73" i="1" s="1"/>
  <c r="L73" i="1"/>
  <c r="R72" i="1"/>
  <c r="S72" i="1" s="1"/>
  <c r="T72" i="1" s="1"/>
  <c r="U72" i="1" s="1"/>
  <c r="AM72" i="1" s="1"/>
  <c r="L72" i="1"/>
  <c r="R71" i="1"/>
  <c r="S71" i="1" s="1"/>
  <c r="T71" i="1" s="1"/>
  <c r="U71" i="1" s="1"/>
  <c r="AM71" i="1" s="1"/>
  <c r="L71" i="1"/>
  <c r="R70" i="1"/>
  <c r="AA70" i="1" s="1"/>
  <c r="L70" i="1"/>
  <c r="R69" i="1"/>
  <c r="AA69" i="1" s="1"/>
  <c r="L69" i="1"/>
  <c r="R68" i="1"/>
  <c r="AA68" i="1" s="1"/>
  <c r="L68" i="1"/>
  <c r="R67" i="1"/>
  <c r="AA67" i="1" s="1"/>
  <c r="L67" i="1"/>
  <c r="R66" i="1"/>
  <c r="AA66" i="1" s="1"/>
  <c r="L66" i="1"/>
  <c r="R65" i="1"/>
  <c r="L65" i="1"/>
  <c r="R64" i="1"/>
  <c r="L64" i="1"/>
  <c r="R63" i="1"/>
  <c r="AA63" i="1" s="1"/>
  <c r="L63" i="1"/>
  <c r="R62" i="1"/>
  <c r="AA62" i="1" s="1"/>
  <c r="L62" i="1"/>
  <c r="R61" i="1"/>
  <c r="AA61" i="1" s="1"/>
  <c r="L61" i="1"/>
  <c r="R60" i="1"/>
  <c r="AA60" i="1" s="1"/>
  <c r="L60" i="1"/>
  <c r="R59" i="1"/>
  <c r="AA59" i="1" s="1"/>
  <c r="L59" i="1"/>
  <c r="R58" i="1"/>
  <c r="AA58" i="1" s="1"/>
  <c r="L58" i="1"/>
  <c r="R57" i="1"/>
  <c r="AA57" i="1" s="1"/>
  <c r="L57" i="1"/>
  <c r="R56" i="1"/>
  <c r="AA56" i="1" s="1"/>
  <c r="L56" i="1"/>
  <c r="F55" i="1"/>
  <c r="E55" i="1"/>
  <c r="L55" i="1" s="1"/>
  <c r="R54" i="1"/>
  <c r="AA54" i="1" s="1"/>
  <c r="L54" i="1"/>
  <c r="R53" i="1"/>
  <c r="AA53" i="1" s="1"/>
  <c r="L53" i="1"/>
  <c r="R52" i="1"/>
  <c r="Z52" i="1" s="1"/>
  <c r="L52" i="1"/>
  <c r="R51" i="1"/>
  <c r="AA51" i="1" s="1"/>
  <c r="L51" i="1"/>
  <c r="R50" i="1"/>
  <c r="AA50" i="1" s="1"/>
  <c r="L50" i="1"/>
  <c r="R49" i="1"/>
  <c r="L49" i="1"/>
  <c r="F49" i="1"/>
  <c r="Z49" i="1" s="1"/>
  <c r="R48" i="1"/>
  <c r="L48" i="1"/>
  <c r="R47" i="1"/>
  <c r="AA47" i="1" s="1"/>
  <c r="L47" i="1"/>
  <c r="R46" i="1"/>
  <c r="S46" i="1" s="1"/>
  <c r="T46" i="1" s="1"/>
  <c r="L46" i="1"/>
  <c r="R45" i="1"/>
  <c r="S45" i="1" s="1"/>
  <c r="T45" i="1" s="1"/>
  <c r="L45" i="1"/>
  <c r="R44" i="1"/>
  <c r="AA44" i="1" s="1"/>
  <c r="L44" i="1"/>
  <c r="R43" i="1"/>
  <c r="AA43" i="1" s="1"/>
  <c r="L43" i="1"/>
  <c r="R42" i="1"/>
  <c r="S42" i="1" s="1"/>
  <c r="T42" i="1" s="1"/>
  <c r="U42" i="1" s="1"/>
  <c r="AM42" i="1" s="1"/>
  <c r="L42" i="1"/>
  <c r="R41" i="1"/>
  <c r="L41" i="1"/>
  <c r="R40" i="1"/>
  <c r="L40" i="1"/>
  <c r="R39" i="1"/>
  <c r="AA39" i="1" s="1"/>
  <c r="L39" i="1"/>
  <c r="R38" i="1"/>
  <c r="L38" i="1"/>
  <c r="R37" i="1"/>
  <c r="S37" i="1" s="1"/>
  <c r="T37" i="1" s="1"/>
  <c r="U37" i="1" s="1"/>
  <c r="AM37" i="1" s="1"/>
  <c r="L37" i="1"/>
  <c r="R36" i="1"/>
  <c r="L36" i="1"/>
  <c r="R35" i="1"/>
  <c r="AA35" i="1" s="1"/>
  <c r="L35" i="1"/>
  <c r="R34" i="1"/>
  <c r="L34" i="1"/>
  <c r="R33" i="1"/>
  <c r="L33" i="1"/>
  <c r="R32" i="1"/>
  <c r="Z32" i="1" s="1"/>
  <c r="L32" i="1"/>
  <c r="R31" i="1"/>
  <c r="AA31" i="1" s="1"/>
  <c r="L31" i="1"/>
  <c r="R30" i="1"/>
  <c r="AA30" i="1" s="1"/>
  <c r="L30" i="1"/>
  <c r="R29" i="1"/>
  <c r="AA29" i="1" s="1"/>
  <c r="L29" i="1"/>
  <c r="R28" i="1"/>
  <c r="L28" i="1"/>
  <c r="R27" i="1"/>
  <c r="AA27" i="1" s="1"/>
  <c r="L27" i="1"/>
  <c r="R26" i="1"/>
  <c r="AA26" i="1" s="1"/>
  <c r="L26" i="1"/>
  <c r="R25" i="1"/>
  <c r="AA25" i="1" s="1"/>
  <c r="L25" i="1"/>
  <c r="R24" i="1"/>
  <c r="S24" i="1" s="1"/>
  <c r="T24" i="1" s="1"/>
  <c r="L24" i="1"/>
  <c r="R23" i="1"/>
  <c r="Z23" i="1" s="1"/>
  <c r="L23" i="1"/>
  <c r="R22" i="1"/>
  <c r="AA22" i="1" s="1"/>
  <c r="L22" i="1"/>
  <c r="R21" i="1"/>
  <c r="AA21" i="1" s="1"/>
  <c r="L21" i="1"/>
  <c r="R20" i="1"/>
  <c r="AA20" i="1" s="1"/>
  <c r="L20" i="1"/>
  <c r="R19" i="1"/>
  <c r="L19" i="1"/>
  <c r="R18" i="1"/>
  <c r="AA18" i="1" s="1"/>
  <c r="L18" i="1"/>
  <c r="R17" i="1"/>
  <c r="S17" i="1" s="1"/>
  <c r="T17" i="1" s="1"/>
  <c r="U17" i="1" s="1"/>
  <c r="AM17" i="1" s="1"/>
  <c r="L17" i="1"/>
  <c r="R16" i="1"/>
  <c r="AA16" i="1" s="1"/>
  <c r="L16" i="1"/>
  <c r="R15" i="1"/>
  <c r="AA15" i="1" s="1"/>
  <c r="L15" i="1"/>
  <c r="R14" i="1"/>
  <c r="AA14" i="1" s="1"/>
  <c r="L14" i="1"/>
  <c r="R13" i="1"/>
  <c r="S13" i="1" s="1"/>
  <c r="T13" i="1" s="1"/>
  <c r="L13" i="1"/>
  <c r="R12" i="1"/>
  <c r="AA12" i="1" s="1"/>
  <c r="L12" i="1"/>
  <c r="R11" i="1"/>
  <c r="AA11" i="1" s="1"/>
  <c r="L11" i="1"/>
  <c r="R10" i="1"/>
  <c r="AA10" i="1" s="1"/>
  <c r="L10" i="1"/>
  <c r="R9" i="1"/>
  <c r="Z9" i="1" s="1"/>
  <c r="L9" i="1"/>
  <c r="R8" i="1"/>
  <c r="L8" i="1"/>
  <c r="R7" i="1"/>
  <c r="AA7" i="1" s="1"/>
  <c r="L7" i="1"/>
  <c r="R6" i="1"/>
  <c r="AA6" i="1" s="1"/>
  <c r="L6" i="1"/>
  <c r="AK5" i="1"/>
  <c r="AJ5" i="1"/>
  <c r="AI5" i="1"/>
  <c r="AH5" i="1"/>
  <c r="AG5" i="1"/>
  <c r="AF5" i="1"/>
  <c r="AE5" i="1"/>
  <c r="AD5" i="1"/>
  <c r="AC5" i="1"/>
  <c r="AB5" i="1"/>
  <c r="Q5" i="1"/>
  <c r="P5" i="1"/>
  <c r="O5" i="1"/>
  <c r="N5" i="1"/>
  <c r="M5" i="1"/>
  <c r="K5" i="1"/>
  <c r="U13" i="1" l="1"/>
  <c r="AM13" i="1" s="1"/>
  <c r="V13" i="1"/>
  <c r="AN13" i="1" s="1"/>
  <c r="U24" i="1"/>
  <c r="AM24" i="1" s="1"/>
  <c r="V24" i="1"/>
  <c r="AN24" i="1" s="1"/>
  <c r="U45" i="1"/>
  <c r="AM45" i="1" s="1"/>
  <c r="V45" i="1"/>
  <c r="AN45" i="1" s="1"/>
  <c r="U46" i="1"/>
  <c r="AM46" i="1" s="1"/>
  <c r="V46" i="1"/>
  <c r="AN46" i="1" s="1"/>
  <c r="U75" i="1"/>
  <c r="AM75" i="1" s="1"/>
  <c r="V75" i="1"/>
  <c r="AN75" i="1" s="1"/>
  <c r="U88" i="1"/>
  <c r="AM88" i="1" s="1"/>
  <c r="V88" i="1"/>
  <c r="AN88" i="1" s="1"/>
  <c r="U116" i="1"/>
  <c r="AM116" i="1" s="1"/>
  <c r="V116" i="1"/>
  <c r="AN116" i="1" s="1"/>
  <c r="U22" i="1"/>
  <c r="AM22" i="1" s="1"/>
  <c r="U54" i="1"/>
  <c r="AM54" i="1" s="1"/>
  <c r="U102" i="1"/>
  <c r="AM102" i="1" s="1"/>
  <c r="U104" i="1"/>
  <c r="AM104" i="1" s="1"/>
  <c r="U115" i="1"/>
  <c r="AM115" i="1" s="1"/>
  <c r="U66" i="1"/>
  <c r="AM66" i="1" s="1"/>
  <c r="U67" i="1"/>
  <c r="AM67" i="1" s="1"/>
  <c r="Z98" i="1"/>
  <c r="Z130" i="1"/>
  <c r="Z124" i="1"/>
  <c r="Z112" i="1"/>
  <c r="Z92" i="1"/>
  <c r="Z120" i="1"/>
  <c r="Z13" i="1"/>
  <c r="Z17" i="1"/>
  <c r="AA19" i="1"/>
  <c r="Z19" i="1"/>
  <c r="Z24" i="1"/>
  <c r="AA33" i="1"/>
  <c r="Z33" i="1"/>
  <c r="Z37" i="1"/>
  <c r="Z42" i="1"/>
  <c r="Z45" i="1"/>
  <c r="Z46" i="1"/>
  <c r="Z30" i="1"/>
  <c r="AA65" i="1"/>
  <c r="Z65" i="1"/>
  <c r="Z71" i="1"/>
  <c r="Z72" i="1"/>
  <c r="Z75" i="1"/>
  <c r="AA77" i="1"/>
  <c r="Z77" i="1"/>
  <c r="AA79" i="1"/>
  <c r="Z79" i="1"/>
  <c r="AA81" i="1"/>
  <c r="Z81" i="1"/>
  <c r="Z83" i="1"/>
  <c r="AA85" i="1"/>
  <c r="Z85" i="1"/>
  <c r="Z88" i="1"/>
  <c r="Z101" i="1"/>
  <c r="Z102" i="1"/>
  <c r="Z104" i="1"/>
  <c r="AA111" i="1"/>
  <c r="Z111" i="1"/>
  <c r="AA113" i="1"/>
  <c r="Z113" i="1"/>
  <c r="Z116" i="1"/>
  <c r="AA117" i="1"/>
  <c r="Z117" i="1"/>
  <c r="AA119" i="1"/>
  <c r="Z119" i="1"/>
  <c r="AA121" i="1"/>
  <c r="Z121" i="1"/>
  <c r="AA123" i="1"/>
  <c r="Z123" i="1"/>
  <c r="Z128" i="1"/>
  <c r="AA131" i="1"/>
  <c r="Z131" i="1"/>
  <c r="AA133" i="1"/>
  <c r="Z133" i="1"/>
  <c r="Z82" i="1"/>
  <c r="Z106" i="1"/>
  <c r="Z114" i="1"/>
  <c r="Z108" i="1"/>
  <c r="S67" i="1"/>
  <c r="AA45" i="1"/>
  <c r="S91" i="1"/>
  <c r="T91" i="1" s="1"/>
  <c r="U91" i="1" s="1"/>
  <c r="AM91" i="1" s="1"/>
  <c r="S58" i="1"/>
  <c r="T58" i="1" s="1"/>
  <c r="U58" i="1" s="1"/>
  <c r="AM58" i="1" s="1"/>
  <c r="S62" i="1"/>
  <c r="T62" i="1" s="1"/>
  <c r="S64" i="1"/>
  <c r="T64" i="1" s="1"/>
  <c r="S103" i="1"/>
  <c r="T103" i="1" s="1"/>
  <c r="S107" i="1"/>
  <c r="T107" i="1" s="1"/>
  <c r="S109" i="1"/>
  <c r="T109" i="1" s="1"/>
  <c r="S47" i="1"/>
  <c r="T47" i="1" s="1"/>
  <c r="S57" i="1"/>
  <c r="T57" i="1" s="1"/>
  <c r="U57" i="1" s="1"/>
  <c r="AM57" i="1" s="1"/>
  <c r="AA128" i="1"/>
  <c r="AA101" i="1"/>
  <c r="S66" i="1"/>
  <c r="AA116" i="1"/>
  <c r="S78" i="1"/>
  <c r="T78" i="1" s="1"/>
  <c r="AA13" i="1"/>
  <c r="AA102" i="1"/>
  <c r="S18" i="1"/>
  <c r="T18" i="1" s="1"/>
  <c r="S40" i="1"/>
  <c r="T40" i="1" s="1"/>
  <c r="S43" i="1"/>
  <c r="T43" i="1" s="1"/>
  <c r="S63" i="1"/>
  <c r="T63" i="1" s="1"/>
  <c r="S110" i="1"/>
  <c r="T110" i="1" s="1"/>
  <c r="U110" i="1" s="1"/>
  <c r="AM110" i="1" s="1"/>
  <c r="S20" i="1"/>
  <c r="T20" i="1" s="1"/>
  <c r="S44" i="1"/>
  <c r="T44" i="1" s="1"/>
  <c r="S84" i="1"/>
  <c r="T84" i="1" s="1"/>
  <c r="S21" i="1"/>
  <c r="T21" i="1" s="1"/>
  <c r="S86" i="1"/>
  <c r="T86" i="1" s="1"/>
  <c r="S22" i="1"/>
  <c r="S87" i="1"/>
  <c r="T87" i="1" s="1"/>
  <c r="S115" i="1"/>
  <c r="R55" i="1"/>
  <c r="S25" i="1"/>
  <c r="T25" i="1" s="1"/>
  <c r="U25" i="1" s="1"/>
  <c r="AM25" i="1" s="1"/>
  <c r="S48" i="1"/>
  <c r="T48" i="1" s="1"/>
  <c r="S68" i="1"/>
  <c r="T68" i="1" s="1"/>
  <c r="U68" i="1" s="1"/>
  <c r="AM68" i="1" s="1"/>
  <c r="S26" i="1"/>
  <c r="T26" i="1" s="1"/>
  <c r="S69" i="1"/>
  <c r="T69" i="1" s="1"/>
  <c r="U69" i="1" s="1"/>
  <c r="AM69" i="1" s="1"/>
  <c r="S27" i="1"/>
  <c r="T27" i="1" s="1"/>
  <c r="S50" i="1"/>
  <c r="T50" i="1" s="1"/>
  <c r="S70" i="1"/>
  <c r="T70" i="1" s="1"/>
  <c r="U70" i="1" s="1"/>
  <c r="AM70" i="1" s="1"/>
  <c r="S118" i="1"/>
  <c r="T118" i="1" s="1"/>
  <c r="S6" i="1"/>
  <c r="T6" i="1" s="1"/>
  <c r="S28" i="1"/>
  <c r="T28" i="1" s="1"/>
  <c r="S51" i="1"/>
  <c r="T51" i="1" s="1"/>
  <c r="S93" i="1"/>
  <c r="T93" i="1" s="1"/>
  <c r="U93" i="1" s="1"/>
  <c r="AM93" i="1" s="1"/>
  <c r="AA105" i="1"/>
  <c r="S7" i="1"/>
  <c r="T7" i="1" s="1"/>
  <c r="S29" i="1"/>
  <c r="T29" i="1" s="1"/>
  <c r="S94" i="1"/>
  <c r="T94" i="1" s="1"/>
  <c r="S8" i="1"/>
  <c r="T8" i="1" s="1"/>
  <c r="S31" i="1"/>
  <c r="T31" i="1" s="1"/>
  <c r="S53" i="1"/>
  <c r="T53" i="1" s="1"/>
  <c r="U53" i="1" s="1"/>
  <c r="AM53" i="1" s="1"/>
  <c r="S73" i="1"/>
  <c r="T73" i="1" s="1"/>
  <c r="S95" i="1"/>
  <c r="T95" i="1" s="1"/>
  <c r="U95" i="1" s="1"/>
  <c r="AM95" i="1" s="1"/>
  <c r="S10" i="1"/>
  <c r="T10" i="1" s="1"/>
  <c r="S34" i="1"/>
  <c r="T34" i="1" s="1"/>
  <c r="S54" i="1"/>
  <c r="S74" i="1"/>
  <c r="T74" i="1" s="1"/>
  <c r="S99" i="1"/>
  <c r="T99" i="1" s="1"/>
  <c r="S125" i="1"/>
  <c r="T125" i="1" s="1"/>
  <c r="U125" i="1" s="1"/>
  <c r="AM125" i="1" s="1"/>
  <c r="S11" i="1"/>
  <c r="T11" i="1" s="1"/>
  <c r="S35" i="1"/>
  <c r="T35" i="1" s="1"/>
  <c r="S100" i="1"/>
  <c r="T100" i="1" s="1"/>
  <c r="S126" i="1"/>
  <c r="T126" i="1" s="1"/>
  <c r="U126" i="1" s="1"/>
  <c r="AM126" i="1" s="1"/>
  <c r="S12" i="1"/>
  <c r="T12" i="1" s="1"/>
  <c r="U12" i="1" s="1"/>
  <c r="AM12" i="1" s="1"/>
  <c r="S36" i="1"/>
  <c r="T36" i="1" s="1"/>
  <c r="S56" i="1"/>
  <c r="T56" i="1" s="1"/>
  <c r="S76" i="1"/>
  <c r="T76" i="1" s="1"/>
  <c r="S127" i="1"/>
  <c r="T127" i="1" s="1"/>
  <c r="AA17" i="1"/>
  <c r="S15" i="1"/>
  <c r="T15" i="1" s="1"/>
  <c r="S39" i="1"/>
  <c r="T39" i="1" s="1"/>
  <c r="S59" i="1"/>
  <c r="T59" i="1" s="1"/>
  <c r="S16" i="1"/>
  <c r="T16" i="1" s="1"/>
  <c r="S60" i="1"/>
  <c r="T60" i="1" s="1"/>
  <c r="S80" i="1"/>
  <c r="T80" i="1" s="1"/>
  <c r="U80" i="1" s="1"/>
  <c r="AM80" i="1" s="1"/>
  <c r="S14" i="1"/>
  <c r="T14" i="1" s="1"/>
  <c r="U14" i="1" s="1"/>
  <c r="AM14" i="1" s="1"/>
  <c r="S38" i="1"/>
  <c r="T38" i="1" s="1"/>
  <c r="S129" i="1"/>
  <c r="T129" i="1" s="1"/>
  <c r="U129" i="1" s="1"/>
  <c r="AM129" i="1" s="1"/>
  <c r="S41" i="1"/>
  <c r="T41" i="1" s="1"/>
  <c r="U41" i="1" s="1"/>
  <c r="AM41" i="1" s="1"/>
  <c r="S61" i="1"/>
  <c r="T61" i="1" s="1"/>
  <c r="AA38" i="1"/>
  <c r="AA8" i="1"/>
  <c r="AA34" i="1"/>
  <c r="AA9" i="1"/>
  <c r="AA46" i="1"/>
  <c r="AA41" i="1"/>
  <c r="AA132" i="1"/>
  <c r="AA42" i="1"/>
  <c r="E5" i="1"/>
  <c r="AA37" i="1"/>
  <c r="F5" i="1"/>
  <c r="AA125" i="1"/>
  <c r="AA40" i="1"/>
  <c r="AA52" i="1"/>
  <c r="AA75" i="1"/>
  <c r="AA83" i="1"/>
  <c r="AA23" i="1"/>
  <c r="AA48" i="1"/>
  <c r="AA104" i="1"/>
  <c r="AA32" i="1"/>
  <c r="AA88" i="1"/>
  <c r="AA24" i="1"/>
  <c r="AA28" i="1"/>
  <c r="AA64" i="1"/>
  <c r="AA72" i="1"/>
  <c r="AA76" i="1"/>
  <c r="AA80" i="1"/>
  <c r="AA71" i="1"/>
  <c r="AA129" i="1"/>
  <c r="AA36" i="1"/>
  <c r="AA89" i="1"/>
  <c r="AA97" i="1"/>
  <c r="AA118" i="1"/>
  <c r="AA122" i="1"/>
  <c r="R96" i="1"/>
  <c r="AA96" i="1" s="1"/>
  <c r="L96" i="1"/>
  <c r="L5" i="1" s="1"/>
  <c r="AA49" i="1"/>
  <c r="V38" i="1" l="1"/>
  <c r="AN38" i="1" s="1"/>
  <c r="V16" i="1"/>
  <c r="AN16" i="1" s="1"/>
  <c r="V39" i="1"/>
  <c r="AN39" i="1" s="1"/>
  <c r="V76" i="1"/>
  <c r="AN76" i="1" s="1"/>
  <c r="V36" i="1"/>
  <c r="AN36" i="1" s="1"/>
  <c r="V35" i="1"/>
  <c r="AN35" i="1" s="1"/>
  <c r="V74" i="1"/>
  <c r="AN74" i="1" s="1"/>
  <c r="V34" i="1"/>
  <c r="AN34" i="1" s="1"/>
  <c r="V8" i="1"/>
  <c r="AN8" i="1" s="1"/>
  <c r="V29" i="1"/>
  <c r="AN29" i="1" s="1"/>
  <c r="V51" i="1"/>
  <c r="AN51" i="1" s="1"/>
  <c r="V6" i="1"/>
  <c r="V27" i="1"/>
  <c r="AN27" i="1" s="1"/>
  <c r="V26" i="1"/>
  <c r="AN26" i="1" s="1"/>
  <c r="V48" i="1"/>
  <c r="AN48" i="1" s="1"/>
  <c r="V87" i="1"/>
  <c r="AN87" i="1" s="1"/>
  <c r="V86" i="1"/>
  <c r="AN86" i="1" s="1"/>
  <c r="V84" i="1"/>
  <c r="AN84" i="1" s="1"/>
  <c r="V20" i="1"/>
  <c r="AN20" i="1" s="1"/>
  <c r="V63" i="1"/>
  <c r="AN63" i="1" s="1"/>
  <c r="V40" i="1"/>
  <c r="AN40" i="1" s="1"/>
  <c r="V78" i="1"/>
  <c r="AN78" i="1" s="1"/>
  <c r="V47" i="1"/>
  <c r="AN47" i="1" s="1"/>
  <c r="V107" i="1"/>
  <c r="AN107" i="1" s="1"/>
  <c r="V64" i="1"/>
  <c r="AN64" i="1" s="1"/>
  <c r="V61" i="1"/>
  <c r="AN61" i="1" s="1"/>
  <c r="V60" i="1"/>
  <c r="AN60" i="1" s="1"/>
  <c r="V59" i="1"/>
  <c r="AN59" i="1" s="1"/>
  <c r="V15" i="1"/>
  <c r="AN15" i="1" s="1"/>
  <c r="V127" i="1"/>
  <c r="AN127" i="1" s="1"/>
  <c r="V56" i="1"/>
  <c r="AN56" i="1" s="1"/>
  <c r="V100" i="1"/>
  <c r="AN100" i="1" s="1"/>
  <c r="V11" i="1"/>
  <c r="AN11" i="1" s="1"/>
  <c r="V99" i="1"/>
  <c r="AN99" i="1" s="1"/>
  <c r="V10" i="1"/>
  <c r="AN10" i="1" s="1"/>
  <c r="V73" i="1"/>
  <c r="AN73" i="1" s="1"/>
  <c r="V31" i="1"/>
  <c r="AN31" i="1" s="1"/>
  <c r="V94" i="1"/>
  <c r="AN94" i="1" s="1"/>
  <c r="V7" i="1"/>
  <c r="AN7" i="1" s="1"/>
  <c r="V28" i="1"/>
  <c r="AN28" i="1" s="1"/>
  <c r="V118" i="1"/>
  <c r="AN118" i="1" s="1"/>
  <c r="V50" i="1"/>
  <c r="AN50" i="1" s="1"/>
  <c r="V21" i="1"/>
  <c r="AN21" i="1" s="1"/>
  <c r="V44" i="1"/>
  <c r="AN44" i="1" s="1"/>
  <c r="V43" i="1"/>
  <c r="AN43" i="1" s="1"/>
  <c r="V18" i="1"/>
  <c r="AN18" i="1" s="1"/>
  <c r="V109" i="1"/>
  <c r="AN109" i="1" s="1"/>
  <c r="V103" i="1"/>
  <c r="AN103" i="1" s="1"/>
  <c r="V62" i="1"/>
  <c r="AN62" i="1" s="1"/>
  <c r="Z41" i="1"/>
  <c r="Z38" i="1"/>
  <c r="Z80" i="1"/>
  <c r="Z16" i="1"/>
  <c r="Z39" i="1"/>
  <c r="Z76" i="1"/>
  <c r="Z36" i="1"/>
  <c r="Z126" i="1"/>
  <c r="Z35" i="1"/>
  <c r="Z125" i="1"/>
  <c r="Z74" i="1"/>
  <c r="Z34" i="1"/>
  <c r="Z95" i="1"/>
  <c r="Z53" i="1"/>
  <c r="Z8" i="1"/>
  <c r="Z29" i="1"/>
  <c r="Z51" i="1"/>
  <c r="Z6" i="1"/>
  <c r="Z70" i="1"/>
  <c r="Z27" i="1"/>
  <c r="Z26" i="1"/>
  <c r="Z48" i="1"/>
  <c r="Z87" i="1"/>
  <c r="Z86" i="1"/>
  <c r="Z84" i="1"/>
  <c r="Z20" i="1"/>
  <c r="Z63" i="1"/>
  <c r="Z40" i="1"/>
  <c r="Z78" i="1"/>
  <c r="Z66" i="1"/>
  <c r="Z47" i="1"/>
  <c r="Z107" i="1"/>
  <c r="Z64" i="1"/>
  <c r="Z58" i="1"/>
  <c r="Z96" i="1"/>
  <c r="Z61" i="1"/>
  <c r="Z129" i="1"/>
  <c r="Z14" i="1"/>
  <c r="Z60" i="1"/>
  <c r="Z59" i="1"/>
  <c r="Z15" i="1"/>
  <c r="Z127" i="1"/>
  <c r="Z56" i="1"/>
  <c r="Z12" i="1"/>
  <c r="Z100" i="1"/>
  <c r="Z11" i="1"/>
  <c r="Z99" i="1"/>
  <c r="Z54" i="1"/>
  <c r="Z10" i="1"/>
  <c r="Z73" i="1"/>
  <c r="Z31" i="1"/>
  <c r="Z94" i="1"/>
  <c r="Z7" i="1"/>
  <c r="Z93" i="1"/>
  <c r="Z28" i="1"/>
  <c r="Z118" i="1"/>
  <c r="Z50" i="1"/>
  <c r="Z69" i="1"/>
  <c r="Z68" i="1"/>
  <c r="Z25" i="1"/>
  <c r="Z115" i="1"/>
  <c r="Z22" i="1"/>
  <c r="Z21" i="1"/>
  <c r="Z44" i="1"/>
  <c r="Z110" i="1"/>
  <c r="Z43" i="1"/>
  <c r="Z18" i="1"/>
  <c r="Z57" i="1"/>
  <c r="Z109" i="1"/>
  <c r="Z103" i="1"/>
  <c r="Z62" i="1"/>
  <c r="Z91" i="1"/>
  <c r="Z67" i="1"/>
  <c r="R5" i="1"/>
  <c r="AA55" i="1"/>
  <c r="S55" i="1"/>
  <c r="T55" i="1" s="1"/>
  <c r="AN6" i="1" l="1"/>
  <c r="V55" i="1"/>
  <c r="AN55" i="1" s="1"/>
  <c r="U62" i="1"/>
  <c r="AM62" i="1" s="1"/>
  <c r="U103" i="1"/>
  <c r="AM103" i="1" s="1"/>
  <c r="U109" i="1"/>
  <c r="AM109" i="1" s="1"/>
  <c r="U18" i="1"/>
  <c r="AM18" i="1" s="1"/>
  <c r="U43" i="1"/>
  <c r="AM43" i="1" s="1"/>
  <c r="U44" i="1"/>
  <c r="AM44" i="1" s="1"/>
  <c r="U21" i="1"/>
  <c r="AM21" i="1" s="1"/>
  <c r="U50" i="1"/>
  <c r="AM50" i="1" s="1"/>
  <c r="U118" i="1"/>
  <c r="AM118" i="1" s="1"/>
  <c r="U28" i="1"/>
  <c r="AM28" i="1" s="1"/>
  <c r="U7" i="1"/>
  <c r="AM7" i="1" s="1"/>
  <c r="U94" i="1"/>
  <c r="AM94" i="1" s="1"/>
  <c r="U31" i="1"/>
  <c r="AM31" i="1" s="1"/>
  <c r="U73" i="1"/>
  <c r="AM73" i="1" s="1"/>
  <c r="U10" i="1"/>
  <c r="AM10" i="1" s="1"/>
  <c r="U99" i="1"/>
  <c r="AM99" i="1" s="1"/>
  <c r="U11" i="1"/>
  <c r="AM11" i="1" s="1"/>
  <c r="U100" i="1"/>
  <c r="AM100" i="1" s="1"/>
  <c r="U56" i="1"/>
  <c r="AM56" i="1" s="1"/>
  <c r="U127" i="1"/>
  <c r="AM127" i="1" s="1"/>
  <c r="U15" i="1"/>
  <c r="AM15" i="1" s="1"/>
  <c r="U59" i="1"/>
  <c r="AM59" i="1" s="1"/>
  <c r="U60" i="1"/>
  <c r="AM60" i="1" s="1"/>
  <c r="U61" i="1"/>
  <c r="AM61" i="1" s="1"/>
  <c r="U64" i="1"/>
  <c r="AM64" i="1" s="1"/>
  <c r="U107" i="1"/>
  <c r="AM107" i="1" s="1"/>
  <c r="U47" i="1"/>
  <c r="AM47" i="1" s="1"/>
  <c r="U78" i="1"/>
  <c r="AM78" i="1" s="1"/>
  <c r="U40" i="1"/>
  <c r="AM40" i="1" s="1"/>
  <c r="U63" i="1"/>
  <c r="AM63" i="1" s="1"/>
  <c r="U20" i="1"/>
  <c r="AM20" i="1" s="1"/>
  <c r="U84" i="1"/>
  <c r="AM84" i="1" s="1"/>
  <c r="U86" i="1"/>
  <c r="AM86" i="1" s="1"/>
  <c r="U87" i="1"/>
  <c r="AM87" i="1" s="1"/>
  <c r="U48" i="1"/>
  <c r="AM48" i="1" s="1"/>
  <c r="U26" i="1"/>
  <c r="AM26" i="1" s="1"/>
  <c r="U27" i="1"/>
  <c r="AM27" i="1" s="1"/>
  <c r="U6" i="1"/>
  <c r="AM6" i="1" s="1"/>
  <c r="U51" i="1"/>
  <c r="AM51" i="1" s="1"/>
  <c r="U29" i="1"/>
  <c r="AM29" i="1" s="1"/>
  <c r="U8" i="1"/>
  <c r="AM8" i="1" s="1"/>
  <c r="U34" i="1"/>
  <c r="AM34" i="1" s="1"/>
  <c r="U74" i="1"/>
  <c r="AM74" i="1" s="1"/>
  <c r="U35" i="1"/>
  <c r="AM35" i="1" s="1"/>
  <c r="U36" i="1"/>
  <c r="AM36" i="1" s="1"/>
  <c r="U76" i="1"/>
  <c r="AM76" i="1" s="1"/>
  <c r="U39" i="1"/>
  <c r="AM39" i="1" s="1"/>
  <c r="U16" i="1"/>
  <c r="AM16" i="1" s="1"/>
  <c r="U38" i="1"/>
  <c r="AM38" i="1" s="1"/>
  <c r="S5" i="1"/>
  <c r="V5" i="1" l="1"/>
  <c r="U55" i="1"/>
  <c r="AN5" i="1"/>
  <c r="AN1" i="1" s="1"/>
  <c r="Z55" i="1"/>
  <c r="T5" i="1"/>
  <c r="AM55" i="1" l="1"/>
  <c r="AM5" i="1" s="1"/>
  <c r="AM1" i="1" s="1"/>
  <c r="U5" i="1"/>
</calcChain>
</file>

<file path=xl/sharedStrings.xml><?xml version="1.0" encoding="utf-8"?>
<sst xmlns="http://schemas.openxmlformats.org/spreadsheetml/2006/main" count="480" uniqueCount="199">
  <si>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</si>
  <si>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</si>
  <si>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</si>
  <si>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</si>
  <si>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</si>
  <si>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</si>
  <si>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</si>
  <si>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</si>
  <si>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</si>
  <si>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</si>
  <si>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</si>
  <si>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</si>
  <si>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</si>
  <si>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</si>
  <si>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</si>
  <si>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</si>
  <si>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</si>
  <si>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</si>
  <si>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</si>
  <si>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</si>
  <si>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</si>
  <si>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</si>
  <si>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</si>
  <si>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</si>
  <si>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18,10,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</si>
  <si>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</si>
  <si>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</si>
  <si>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</si>
  <si>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</si>
  <si>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</si>
  <si>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</si>
  <si>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</si>
  <si>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</si>
  <si>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</si>
  <si>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</si>
  <si>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</si>
  <si>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</si>
  <si>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</si>
  <si>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</si>
  <si>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</si>
  <si>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</si>
  <si>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</si>
  <si>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</si>
  <si>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</si>
  <si>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</si>
  <si>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</si>
  <si>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</si>
  <si>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</si>
  <si>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</si>
  <si>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</si>
  <si>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</si>
  <si>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</si>
  <si>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</si>
  <si>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</si>
  <si>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</si>
  <si>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</si>
  <si>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</si>
  <si>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</si>
  <si>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</si>
  <si>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</si>
  <si>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</si>
  <si>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</si>
  <si>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</si>
  <si>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</si>
  <si>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</si>
  <si>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</si>
  <si>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</si>
  <si>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</si>
  <si>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</si>
  <si>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</si>
  <si>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</si>
  <si>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</si>
  <si>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</si>
  <si>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</si>
  <si>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</si>
  <si>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</si>
  <si>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</si>
  <si>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</si>
  <si>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</si>
  <si>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</si>
  <si>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</si>
  <si>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</si>
  <si>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</si>
  <si>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</si>
  <si>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</si>
  <si>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</si>
  <si>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продажи!!! / 60 заказ под спар (07,10,26) / 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</si>
  <si>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</si>
  <si>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</si>
  <si>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</si>
  <si>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</si>
  <si>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</si>
  <si>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</si>
  <si>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</si>
  <si>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</si>
  <si>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</si>
  <si>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</si>
  <si>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</si>
  <si>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</si>
  <si>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</si>
  <si>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</si>
  <si>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</si>
  <si>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</si>
  <si>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</si>
  <si>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</si>
  <si>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</si>
  <si>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</si>
  <si>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</si>
  <si>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</si>
  <si>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</si>
  <si>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</si>
  <si>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</si>
  <si>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</si>
  <si>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</si>
  <si>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</si>
  <si>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</si>
  <si>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</si>
  <si>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</si>
  <si>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</si>
  <si>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</si>
  <si>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</si>
  <si>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</si>
  <si>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</si>
  <si>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</si>
  <si>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</si>
  <si>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</si>
  <si>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</si>
  <si>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</si>
  <si>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</si>
  <si>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</si>
  <si>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</si>
  <si>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</si>
  <si>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</si>
  <si>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</si>
  <si>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</si>
  <si>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</si>
  <si>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</si>
  <si>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</si>
  <si>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</si>
  <si>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</si>
  <si>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</si>
  <si>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</si>
  <si>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</si>
  <si>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</si>
  <si>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</si>
  <si>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</si>
  <si>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</si>
  <si>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</si>
  <si>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</si>
  <si>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</si>
  <si>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</si>
  <si>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</si>
  <si>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</si>
  <si>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</si>
  <si>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</si>
  <si>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</si>
  <si>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</si>
  <si>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</si>
  <si>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</si>
  <si>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</si>
  <si>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</si>
  <si>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</si>
  <si>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</si>
  <si>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</si>
  <si>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</si>
  <si>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150 заказ под спар (07,10,26)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</si>
  <si>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</si>
  <si>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</si>
  <si>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 / 200 заказ под спар (07,10,26)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</si>
  <si>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</si>
  <si>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</si>
  <si>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</si>
  <si>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</si>
  <si>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</si>
  <si>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</si>
  <si>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</si>
  <si>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</si>
  <si>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</si>
  <si>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</si>
  <si>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</si>
  <si>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</si>
  <si>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</si>
  <si>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</si>
  <si>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</si>
  <si>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</si>
  <si>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</si>
  <si>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</si>
  <si>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t>234шт в уценке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</si>
  <si>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</si>
  <si>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t>итого</t>
  </si>
  <si>
    <t>ТК</t>
  </si>
  <si>
    <t>Воронков</t>
  </si>
  <si>
    <t>ТК ком</t>
  </si>
  <si>
    <t>дн</t>
  </si>
  <si>
    <t>заказ</t>
  </si>
  <si>
    <t>19,10,</t>
  </si>
  <si>
    <t>20,10,</t>
  </si>
  <si>
    <t>%</t>
  </si>
  <si>
    <t>20,10,доз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</si>
</sst>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12,10,</v>
          </cell>
          <cell r="P4" t="str">
            <v>13,10,</v>
          </cell>
          <cell r="Q4" t="str">
            <v>18,10,</v>
          </cell>
          <cell r="R4" t="str">
            <v>15,10,</v>
          </cell>
        </row>
        <row r="5">
          <cell r="E5">
            <v>54811.666999999979</v>
          </cell>
          <cell r="F5">
            <v>22336.574999999993</v>
          </cell>
          <cell r="K5">
            <v>57263.189999999981</v>
          </cell>
          <cell r="L5">
            <v>-2451.5230000000001</v>
          </cell>
          <cell r="M5">
            <v>0</v>
          </cell>
          <cell r="N5">
            <v>0</v>
          </cell>
          <cell r="O5">
            <v>21446.763140655392</v>
          </cell>
          <cell r="P5">
            <v>20393.552839794433</v>
          </cell>
          <cell r="Q5">
            <v>22317.312848996939</v>
          </cell>
          <cell r="R5">
            <v>10962.333399999998</v>
          </cell>
          <cell r="S5">
            <v>39893.211390553239</v>
          </cell>
          <cell r="T5">
            <v>3620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1859.6569999999999</v>
          </cell>
          <cell r="D6">
            <v>2475.8960000000002</v>
          </cell>
          <cell r="E6">
            <v>2992.42</v>
          </cell>
          <cell r="F6">
            <v>763.81799999999998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2963.89</v>
          </cell>
          <cell r="L6">
            <v>28.5300000000002</v>
          </cell>
          <cell r="O6">
            <v>991.00000000000011</v>
          </cell>
          <cell r="P6">
            <v>1009</v>
          </cell>
          <cell r="Q6">
            <v>2513.5494300000009</v>
          </cell>
          <cell r="R6">
            <v>598.48400000000004</v>
          </cell>
          <cell r="S6">
            <v>1605.1985699999998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582.11699999999996</v>
          </cell>
          <cell r="D7">
            <v>1087.73</v>
          </cell>
          <cell r="E7">
            <v>1064.0830000000001</v>
          </cell>
          <cell r="F7">
            <v>318.32100000000003</v>
          </cell>
          <cell r="G7">
            <v>1</v>
          </cell>
          <cell r="H7">
            <v>45</v>
          </cell>
          <cell r="I7" t="str">
            <v>матрица</v>
          </cell>
          <cell r="K7">
            <v>1048.18</v>
          </cell>
          <cell r="L7">
            <v>15.90300000000002</v>
          </cell>
          <cell r="O7">
            <v>396.4</v>
          </cell>
          <cell r="P7">
            <v>403.6</v>
          </cell>
          <cell r="Q7">
            <v>504.31198999999998</v>
          </cell>
          <cell r="R7">
            <v>212.81660000000002</v>
          </cell>
          <cell r="S7">
            <v>824.75791000000015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535.13699999999994</v>
          </cell>
          <cell r="D8">
            <v>1279.364</v>
          </cell>
          <cell r="E8">
            <v>1089.2460000000001</v>
          </cell>
          <cell r="F8">
            <v>445.339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1093.8499999999999</v>
          </cell>
          <cell r="L8">
            <v>-4.6039999999998145</v>
          </cell>
          <cell r="O8">
            <v>346.85</v>
          </cell>
          <cell r="P8">
            <v>353.15</v>
          </cell>
          <cell r="Q8">
            <v>559.04163000000028</v>
          </cell>
          <cell r="R8">
            <v>217.84920000000002</v>
          </cell>
          <cell r="S8">
            <v>800.88517000000002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450</v>
          </cell>
          <cell r="D10">
            <v>940</v>
          </cell>
          <cell r="E10">
            <v>750</v>
          </cell>
          <cell r="F10">
            <v>434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793</v>
          </cell>
          <cell r="L10">
            <v>-43</v>
          </cell>
          <cell r="O10">
            <v>176.62593000000001</v>
          </cell>
          <cell r="P10">
            <v>179.83407</v>
          </cell>
          <cell r="Q10">
            <v>236.65000000000029</v>
          </cell>
          <cell r="R10">
            <v>150</v>
          </cell>
          <cell r="S10">
            <v>697.88999999999965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540</v>
          </cell>
          <cell r="D11">
            <v>1318</v>
          </cell>
          <cell r="E11">
            <v>909</v>
          </cell>
          <cell r="F11">
            <v>641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965</v>
          </cell>
          <cell r="L11">
            <v>-56</v>
          </cell>
          <cell r="O11">
            <v>248.0740277655004</v>
          </cell>
          <cell r="P11">
            <v>252.57991323450031</v>
          </cell>
          <cell r="Q11">
            <v>258.09605899999929</v>
          </cell>
          <cell r="R11">
            <v>181.8</v>
          </cell>
          <cell r="S11">
            <v>690.95000000000027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43</v>
          </cell>
          <cell r="D12">
            <v>120</v>
          </cell>
          <cell r="E12">
            <v>82</v>
          </cell>
          <cell r="F12">
            <v>61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86</v>
          </cell>
          <cell r="L12">
            <v>-4</v>
          </cell>
          <cell r="O12">
            <v>40.199999999999989</v>
          </cell>
          <cell r="Q12">
            <v>17.969999999999992</v>
          </cell>
          <cell r="R12">
            <v>16.399999999999999</v>
          </cell>
          <cell r="S12">
            <v>69.430000000000007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174</v>
          </cell>
          <cell r="D13">
            <v>12</v>
          </cell>
          <cell r="E13">
            <v>130</v>
          </cell>
          <cell r="F13">
            <v>36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136</v>
          </cell>
          <cell r="L13">
            <v>-6</v>
          </cell>
          <cell r="O13">
            <v>10.759999999999989</v>
          </cell>
          <cell r="Q13">
            <v>148.44</v>
          </cell>
          <cell r="R13">
            <v>26</v>
          </cell>
          <cell r="S13">
            <v>103.80000000000001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139</v>
          </cell>
          <cell r="D14">
            <v>345</v>
          </cell>
          <cell r="E14">
            <v>207</v>
          </cell>
          <cell r="F14">
            <v>202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208</v>
          </cell>
          <cell r="L14">
            <v>-1</v>
          </cell>
          <cell r="O14">
            <v>103.7081499999999</v>
          </cell>
          <cell r="P14">
            <v>105.59184999999989</v>
          </cell>
          <cell r="Q14">
            <v>0</v>
          </cell>
          <cell r="R14">
            <v>41.4</v>
          </cell>
          <cell r="S14">
            <v>64.800000000000182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1096.6479999999999</v>
          </cell>
          <cell r="D15">
            <v>911.12599999999998</v>
          </cell>
          <cell r="E15">
            <v>1063.6469999999999</v>
          </cell>
          <cell r="F15">
            <v>683.99599999999998</v>
          </cell>
          <cell r="G15">
            <v>1</v>
          </cell>
          <cell r="H15">
            <v>70</v>
          </cell>
          <cell r="I15" t="str">
            <v>матрица</v>
          </cell>
          <cell r="K15">
            <v>1052.875</v>
          </cell>
          <cell r="L15">
            <v>10.771999999999935</v>
          </cell>
          <cell r="O15">
            <v>495.50000000000011</v>
          </cell>
          <cell r="P15">
            <v>504.49999999999989</v>
          </cell>
          <cell r="Q15">
            <v>197.61519999999999</v>
          </cell>
          <cell r="R15">
            <v>212.7294</v>
          </cell>
          <cell r="S15">
            <v>564.77689999999996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3526.5880000000002</v>
          </cell>
          <cell r="D16">
            <v>1988.7860000000001</v>
          </cell>
          <cell r="E16">
            <v>3976.7919999999999</v>
          </cell>
          <cell r="F16">
            <v>459.51499999999999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4016.3</v>
          </cell>
          <cell r="L16">
            <v>-39.508000000000266</v>
          </cell>
          <cell r="O16">
            <v>2229.75</v>
          </cell>
          <cell r="P16">
            <v>2270.25</v>
          </cell>
          <cell r="Q16">
            <v>1255.168210000001</v>
          </cell>
          <cell r="R16">
            <v>795.35839999999996</v>
          </cell>
          <cell r="S16">
            <v>2931.9383899999998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137.94900000000001</v>
          </cell>
          <cell r="E17">
            <v>71.516000000000005</v>
          </cell>
          <cell r="F17">
            <v>47.545999999999999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70.13</v>
          </cell>
          <cell r="L17">
            <v>1.3860000000000099</v>
          </cell>
          <cell r="O17">
            <v>41.22229999999999</v>
          </cell>
          <cell r="Q17">
            <v>48.839610000000043</v>
          </cell>
          <cell r="R17">
            <v>14.3032</v>
          </cell>
          <cell r="S17">
            <v>26.878889999999977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100.098</v>
          </cell>
          <cell r="D18">
            <v>42.26</v>
          </cell>
          <cell r="E18">
            <v>82.638999999999996</v>
          </cell>
          <cell r="F18">
            <v>35.063000000000002</v>
          </cell>
          <cell r="G18">
            <v>1</v>
          </cell>
          <cell r="H18">
            <v>60</v>
          </cell>
          <cell r="I18" t="str">
            <v>матрица</v>
          </cell>
          <cell r="K18">
            <v>79.41</v>
          </cell>
          <cell r="L18">
            <v>3.2289999999999992</v>
          </cell>
          <cell r="O18">
            <v>28.44770000000003</v>
          </cell>
          <cell r="Q18">
            <v>0</v>
          </cell>
          <cell r="R18">
            <v>16.527799999999999</v>
          </cell>
          <cell r="S18">
            <v>126.55899999999995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-2.9340000000000002</v>
          </cell>
          <cell r="D19">
            <v>43.030999999999999</v>
          </cell>
          <cell r="E19">
            <v>10.465</v>
          </cell>
          <cell r="F19">
            <v>28.187999999999999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11.83</v>
          </cell>
          <cell r="L19">
            <v>-1.3650000000000002</v>
          </cell>
          <cell r="O19">
            <v>10.338200000000001</v>
          </cell>
          <cell r="Q19">
            <v>0</v>
          </cell>
          <cell r="R19">
            <v>2.093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1192.039</v>
          </cell>
          <cell r="D20">
            <v>803.21</v>
          </cell>
          <cell r="E20">
            <v>1347.18</v>
          </cell>
          <cell r="F20">
            <v>366.02</v>
          </cell>
          <cell r="G20">
            <v>1</v>
          </cell>
          <cell r="H20">
            <v>60</v>
          </cell>
          <cell r="I20" t="str">
            <v>матрица</v>
          </cell>
          <cell r="K20">
            <v>1316.25</v>
          </cell>
          <cell r="L20">
            <v>30.930000000000064</v>
          </cell>
          <cell r="O20">
            <v>647.53407652889712</v>
          </cell>
          <cell r="P20">
            <v>659.29554310560763</v>
          </cell>
          <cell r="Q20">
            <v>511.51721036549549</v>
          </cell>
          <cell r="R20">
            <v>269.43600000000004</v>
          </cell>
          <cell r="S20">
            <v>914.14717000000064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268.33499999999998</v>
          </cell>
          <cell r="D21">
            <v>100.114</v>
          </cell>
          <cell r="E21">
            <v>184.67699999999999</v>
          </cell>
          <cell r="F21">
            <v>122.33799999999999</v>
          </cell>
          <cell r="G21">
            <v>1</v>
          </cell>
          <cell r="H21">
            <v>70</v>
          </cell>
          <cell r="I21" t="str">
            <v>матрица</v>
          </cell>
          <cell r="K21">
            <v>179.26</v>
          </cell>
          <cell r="L21">
            <v>5.4170000000000016</v>
          </cell>
          <cell r="O21">
            <v>61.744067205499952</v>
          </cell>
          <cell r="P21">
            <v>62.865553794499938</v>
          </cell>
          <cell r="Q21">
            <v>38.685419000000053</v>
          </cell>
          <cell r="R21">
            <v>36.935400000000001</v>
          </cell>
          <cell r="S21">
            <v>139.12406000000013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454.93200000000002</v>
          </cell>
          <cell r="D22">
            <v>217.577</v>
          </cell>
          <cell r="E22">
            <v>433.05799999999999</v>
          </cell>
          <cell r="F22">
            <v>110.744</v>
          </cell>
          <cell r="G22">
            <v>1</v>
          </cell>
          <cell r="H22">
            <v>70</v>
          </cell>
          <cell r="I22" t="str">
            <v>матрица</v>
          </cell>
          <cell r="K22">
            <v>417.31</v>
          </cell>
          <cell r="L22">
            <v>15.74799999999999</v>
          </cell>
          <cell r="O22">
            <v>238.27677333999989</v>
          </cell>
          <cell r="P22">
            <v>242.60470665999981</v>
          </cell>
          <cell r="Q22">
            <v>160.14661000000029</v>
          </cell>
          <cell r="R22">
            <v>86.611599999999996</v>
          </cell>
          <cell r="S22">
            <v>244.2613099999999</v>
          </cell>
          <cell r="T22">
            <v>400</v>
          </cell>
          <cell r="U22" t="str">
            <v>промо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Q23">
            <v>0</v>
          </cell>
          <cell r="R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627.50300000000004</v>
          </cell>
          <cell r="D24">
            <v>347.93099999999998</v>
          </cell>
          <cell r="E24">
            <v>705.846</v>
          </cell>
          <cell r="F24">
            <v>125.169</v>
          </cell>
          <cell r="G24">
            <v>1</v>
          </cell>
          <cell r="H24">
            <v>70</v>
          </cell>
          <cell r="I24" t="str">
            <v>матрица</v>
          </cell>
          <cell r="K24">
            <v>685.34500000000003</v>
          </cell>
          <cell r="L24">
            <v>20.500999999999976</v>
          </cell>
          <cell r="O24">
            <v>372.38338752499999</v>
          </cell>
          <cell r="P24">
            <v>379.14716247500002</v>
          </cell>
          <cell r="Q24">
            <v>266.16336999999999</v>
          </cell>
          <cell r="R24">
            <v>141.16919999999999</v>
          </cell>
          <cell r="S24">
            <v>480.58288000000005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98.896000000000001</v>
          </cell>
          <cell r="D25">
            <v>213.149</v>
          </cell>
          <cell r="E25">
            <v>111.696</v>
          </cell>
          <cell r="F25">
            <v>185.857</v>
          </cell>
          <cell r="G25">
            <v>1</v>
          </cell>
          <cell r="H25">
            <v>40</v>
          </cell>
          <cell r="I25" t="str">
            <v>матрица</v>
          </cell>
          <cell r="K25">
            <v>116.95</v>
          </cell>
          <cell r="L25">
            <v>-5.2540000000000049</v>
          </cell>
          <cell r="O25">
            <v>0</v>
          </cell>
          <cell r="Q25">
            <v>43.43865999999997</v>
          </cell>
          <cell r="R25">
            <v>22.339199999999998</v>
          </cell>
          <cell r="S25">
            <v>27.605140000000034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146.584</v>
          </cell>
          <cell r="D26">
            <v>365.53300000000002</v>
          </cell>
          <cell r="E26">
            <v>237.82</v>
          </cell>
          <cell r="F26">
            <v>209.49199999999999</v>
          </cell>
          <cell r="G26">
            <v>1</v>
          </cell>
          <cell r="H26">
            <v>30</v>
          </cell>
          <cell r="I26" t="str">
            <v>матрица</v>
          </cell>
          <cell r="K26">
            <v>232.1</v>
          </cell>
          <cell r="L26">
            <v>5.7199999999999989</v>
          </cell>
          <cell r="O26">
            <v>89.066580860000002</v>
          </cell>
          <cell r="P26">
            <v>90.684339139999977</v>
          </cell>
          <cell r="Q26">
            <v>45.380360000000003</v>
          </cell>
          <cell r="R26">
            <v>47.564</v>
          </cell>
          <cell r="S26">
            <v>112.36272000000005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105.596</v>
          </cell>
          <cell r="D27">
            <v>305.58999999999997</v>
          </cell>
          <cell r="E27">
            <v>215.648</v>
          </cell>
          <cell r="F27">
            <v>158.91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194.4</v>
          </cell>
          <cell r="L27">
            <v>21.24799999999999</v>
          </cell>
          <cell r="O27">
            <v>97.787439999999918</v>
          </cell>
          <cell r="Q27">
            <v>87.108980000000145</v>
          </cell>
          <cell r="R27">
            <v>43.129599999999996</v>
          </cell>
          <cell r="S27">
            <v>152.18397999999988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1197.08</v>
          </cell>
          <cell r="D28">
            <v>1113.085</v>
          </cell>
          <cell r="E28">
            <v>1280.749</v>
          </cell>
          <cell r="F28">
            <v>662.80499999999995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1372.7</v>
          </cell>
          <cell r="L28">
            <v>-91.951000000000022</v>
          </cell>
          <cell r="O28">
            <v>430.24654463000007</v>
          </cell>
          <cell r="P28">
            <v>438.06131536999999</v>
          </cell>
          <cell r="Q28">
            <v>441.44283999999948</v>
          </cell>
          <cell r="R28">
            <v>256.14980000000003</v>
          </cell>
          <cell r="S28">
            <v>973.16700000000048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1181.021</v>
          </cell>
          <cell r="D29">
            <v>1958.2159999999999</v>
          </cell>
          <cell r="E29">
            <v>1839.954</v>
          </cell>
          <cell r="F29">
            <v>935.15</v>
          </cell>
          <cell r="G29">
            <v>1</v>
          </cell>
          <cell r="H29">
            <v>40</v>
          </cell>
          <cell r="I29" t="str">
            <v>матрица</v>
          </cell>
          <cell r="K29">
            <v>1701.25</v>
          </cell>
          <cell r="L29">
            <v>138.70399999999995</v>
          </cell>
          <cell r="O29">
            <v>703.82120687499969</v>
          </cell>
          <cell r="P29">
            <v>716.60504312499961</v>
          </cell>
          <cell r="Q29">
            <v>317.93592999999998</v>
          </cell>
          <cell r="R29">
            <v>367.99079999999998</v>
          </cell>
          <cell r="S29">
            <v>1558.3820200000005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103.58199999999999</v>
          </cell>
          <cell r="D31">
            <v>223.88200000000001</v>
          </cell>
          <cell r="E31">
            <v>245.71</v>
          </cell>
          <cell r="F31">
            <v>20.2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234.6</v>
          </cell>
          <cell r="L31">
            <v>11.110000000000014</v>
          </cell>
          <cell r="O31">
            <v>87.086013350499869</v>
          </cell>
          <cell r="P31">
            <v>88.66779764949986</v>
          </cell>
          <cell r="Q31">
            <v>119.4489490000003</v>
          </cell>
          <cell r="R31">
            <v>49.142000000000003</v>
          </cell>
          <cell r="S31">
            <v>249.73024000000004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Q32">
            <v>0</v>
          </cell>
          <cell r="R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4094</v>
          </cell>
          <cell r="D34">
            <v>4151</v>
          </cell>
          <cell r="E34">
            <v>5078</v>
          </cell>
          <cell r="F34">
            <v>1988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5125</v>
          </cell>
          <cell r="L34">
            <v>-47</v>
          </cell>
          <cell r="O34">
            <v>1788.2882390000011</v>
          </cell>
          <cell r="P34">
            <v>1820.769761</v>
          </cell>
          <cell r="Q34">
            <v>2337.751999999999</v>
          </cell>
          <cell r="R34">
            <v>1015.6</v>
          </cell>
          <cell r="S34">
            <v>3744.59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539</v>
          </cell>
          <cell r="D35">
            <v>491</v>
          </cell>
          <cell r="E35">
            <v>498</v>
          </cell>
          <cell r="F35">
            <v>362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512</v>
          </cell>
          <cell r="L35">
            <v>-14</v>
          </cell>
          <cell r="O35">
            <v>8.9149999999999636</v>
          </cell>
          <cell r="Q35">
            <v>350.5150000000001</v>
          </cell>
          <cell r="R35">
            <v>99.6</v>
          </cell>
          <cell r="S35">
            <v>423.9699999999998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222</v>
          </cell>
          <cell r="D36">
            <v>1479</v>
          </cell>
          <cell r="E36">
            <v>910</v>
          </cell>
          <cell r="F36">
            <v>521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1052</v>
          </cell>
          <cell r="L36">
            <v>-142</v>
          </cell>
          <cell r="O36">
            <v>223.67365499999991</v>
          </cell>
          <cell r="P36">
            <v>227.73634499999989</v>
          </cell>
          <cell r="Q36">
            <v>386.3700000000004</v>
          </cell>
          <cell r="R36">
            <v>182</v>
          </cell>
          <cell r="S36">
            <v>734.22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20</v>
          </cell>
          <cell r="D37">
            <v>12</v>
          </cell>
          <cell r="E37">
            <v>17</v>
          </cell>
          <cell r="F37">
            <v>12</v>
          </cell>
          <cell r="G37">
            <v>0.4</v>
          </cell>
          <cell r="H37">
            <v>40</v>
          </cell>
          <cell r="I37" t="str">
            <v>матрица</v>
          </cell>
          <cell r="K37">
            <v>22</v>
          </cell>
          <cell r="L37">
            <v>-5</v>
          </cell>
          <cell r="O37">
            <v>8</v>
          </cell>
          <cell r="Q37">
            <v>9.2200000000000042</v>
          </cell>
          <cell r="R37">
            <v>3.4</v>
          </cell>
          <cell r="S37">
            <v>9.8799999999999955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2.8660000000000001</v>
          </cell>
          <cell r="D38">
            <v>303.154</v>
          </cell>
          <cell r="E38">
            <v>127.169</v>
          </cell>
          <cell r="F38">
            <v>150.50200000000001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139.19999999999999</v>
          </cell>
          <cell r="L38">
            <v>-12.030999999999992</v>
          </cell>
          <cell r="O38">
            <v>4.9765999999999204</v>
          </cell>
          <cell r="Q38">
            <v>0</v>
          </cell>
          <cell r="R38">
            <v>25.433799999999998</v>
          </cell>
          <cell r="S38">
            <v>137.01010000000008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321</v>
          </cell>
          <cell r="D39">
            <v>344</v>
          </cell>
          <cell r="E39">
            <v>428</v>
          </cell>
          <cell r="F39">
            <v>146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435</v>
          </cell>
          <cell r="L39">
            <v>-7</v>
          </cell>
          <cell r="O39">
            <v>181.4421899999999</v>
          </cell>
          <cell r="P39">
            <v>184.73780999999991</v>
          </cell>
          <cell r="Q39">
            <v>126.6600000000002</v>
          </cell>
          <cell r="R39">
            <v>85.6</v>
          </cell>
          <cell r="S39">
            <v>345.56000000000006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9</v>
          </cell>
          <cell r="D40">
            <v>615</v>
          </cell>
          <cell r="E40">
            <v>370</v>
          </cell>
          <cell r="F40">
            <v>106</v>
          </cell>
          <cell r="G40">
            <v>0.35</v>
          </cell>
          <cell r="H40">
            <v>40</v>
          </cell>
          <cell r="I40" t="str">
            <v>!!! / НЕДОГРУЗ / матрица</v>
          </cell>
          <cell r="K40">
            <v>404</v>
          </cell>
          <cell r="L40">
            <v>-34</v>
          </cell>
          <cell r="O40">
            <v>50</v>
          </cell>
          <cell r="Q40">
            <v>0</v>
          </cell>
          <cell r="R40">
            <v>74</v>
          </cell>
          <cell r="S40">
            <v>473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31.922000000000001</v>
          </cell>
          <cell r="D41">
            <v>184.66499999999999</v>
          </cell>
          <cell r="E41">
            <v>120.67700000000001</v>
          </cell>
          <cell r="F41">
            <v>71.2</v>
          </cell>
          <cell r="G41">
            <v>1</v>
          </cell>
          <cell r="H41">
            <v>40</v>
          </cell>
          <cell r="I41" t="str">
            <v>матрица</v>
          </cell>
          <cell r="K41">
            <v>146.35</v>
          </cell>
          <cell r="L41">
            <v>-25.672999999999988</v>
          </cell>
          <cell r="O41">
            <v>61.008635699999978</v>
          </cell>
          <cell r="P41">
            <v>62.116764299999957</v>
          </cell>
          <cell r="Q41">
            <v>47.680370000000103</v>
          </cell>
          <cell r="R41">
            <v>24.135400000000001</v>
          </cell>
          <cell r="S41">
            <v>35.551329999999965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3</v>
          </cell>
          <cell r="D42">
            <v>486</v>
          </cell>
          <cell r="E42">
            <v>224</v>
          </cell>
          <cell r="F42">
            <v>151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351</v>
          </cell>
          <cell r="L42">
            <v>-127</v>
          </cell>
          <cell r="O42">
            <v>145.424295</v>
          </cell>
          <cell r="P42">
            <v>148.06570500000001</v>
          </cell>
          <cell r="Q42">
            <v>0</v>
          </cell>
          <cell r="R42">
            <v>44.8</v>
          </cell>
          <cell r="S42">
            <v>70.709999999999951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189</v>
          </cell>
          <cell r="D43">
            <v>202</v>
          </cell>
          <cell r="E43">
            <v>312</v>
          </cell>
          <cell r="F43">
            <v>22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322</v>
          </cell>
          <cell r="L43">
            <v>-10</v>
          </cell>
          <cell r="O43">
            <v>188.33955</v>
          </cell>
          <cell r="P43">
            <v>191.76044999999999</v>
          </cell>
          <cell r="Q43">
            <v>99.870000000000076</v>
          </cell>
          <cell r="R43">
            <v>62.4</v>
          </cell>
          <cell r="S43">
            <v>215.62999999999991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236.297</v>
          </cell>
          <cell r="D44">
            <v>515.61099999999999</v>
          </cell>
          <cell r="E44">
            <v>320.04000000000002</v>
          </cell>
          <cell r="F44">
            <v>315.74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323.2</v>
          </cell>
          <cell r="L44">
            <v>-3.1599999999999682</v>
          </cell>
          <cell r="O44">
            <v>69.317920000000129</v>
          </cell>
          <cell r="Q44">
            <v>111.11937999999989</v>
          </cell>
          <cell r="R44">
            <v>64.00800000000001</v>
          </cell>
          <cell r="S44">
            <v>239.91470000000004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-1</v>
          </cell>
          <cell r="D45">
            <v>1265</v>
          </cell>
          <cell r="E45">
            <v>1226</v>
          </cell>
          <cell r="F45">
            <v>4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1263</v>
          </cell>
          <cell r="L45">
            <v>-37</v>
          </cell>
          <cell r="O45">
            <v>0</v>
          </cell>
          <cell r="Q45">
            <v>640.88000000000011</v>
          </cell>
          <cell r="R45">
            <v>245.2</v>
          </cell>
          <cell r="S45">
            <v>1684.52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664</v>
          </cell>
          <cell r="D46">
            <v>264</v>
          </cell>
          <cell r="E46">
            <v>696</v>
          </cell>
          <cell r="F46">
            <v>35</v>
          </cell>
          <cell r="G46">
            <v>0.4</v>
          </cell>
          <cell r="H46">
            <v>40</v>
          </cell>
          <cell r="I46" t="str">
            <v>матрица</v>
          </cell>
          <cell r="K46">
            <v>743</v>
          </cell>
          <cell r="L46">
            <v>-47</v>
          </cell>
          <cell r="O46">
            <v>342.21211999999991</v>
          </cell>
          <cell r="P46">
            <v>348.42787999999979</v>
          </cell>
          <cell r="Q46">
            <v>356.11000000000041</v>
          </cell>
          <cell r="R46">
            <v>139.19999999999999</v>
          </cell>
          <cell r="S46">
            <v>519.04999999999995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39.747</v>
          </cell>
          <cell r="D47">
            <v>857.13400000000001</v>
          </cell>
          <cell r="E47">
            <v>440.65499999999997</v>
          </cell>
          <cell r="F47">
            <v>321.214</v>
          </cell>
          <cell r="G47">
            <v>1</v>
          </cell>
          <cell r="H47">
            <v>50</v>
          </cell>
          <cell r="I47" t="str">
            <v>матрица</v>
          </cell>
          <cell r="K47">
            <v>575.75</v>
          </cell>
          <cell r="L47">
            <v>-135.09500000000003</v>
          </cell>
          <cell r="O47">
            <v>282.1773255279316</v>
          </cell>
          <cell r="P47">
            <v>287.30264526506852</v>
          </cell>
          <cell r="Q47">
            <v>0</v>
          </cell>
          <cell r="R47">
            <v>88.131</v>
          </cell>
          <cell r="S47">
            <v>122.81252920699978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460.697</v>
          </cell>
          <cell r="D48">
            <v>697.90899999999999</v>
          </cell>
          <cell r="E48">
            <v>745.29899999999998</v>
          </cell>
          <cell r="F48">
            <v>267.07900000000001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760.1</v>
          </cell>
          <cell r="L48">
            <v>-14.801000000000045</v>
          </cell>
          <cell r="O48">
            <v>366.70943056057371</v>
          </cell>
          <cell r="P48">
            <v>373.37014675642661</v>
          </cell>
          <cell r="Q48">
            <v>370.35132268299958</v>
          </cell>
          <cell r="R48">
            <v>149.0598</v>
          </cell>
          <cell r="S48">
            <v>336.6778000000001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34.406999999999996</v>
          </cell>
          <cell r="E49">
            <v>3.0049999999999999</v>
          </cell>
          <cell r="F49">
            <v>87.664000000000001</v>
          </cell>
          <cell r="G49">
            <v>1</v>
          </cell>
          <cell r="H49">
            <v>45</v>
          </cell>
          <cell r="I49" t="str">
            <v>!!! / НЕДОГРУЗ / матрица</v>
          </cell>
          <cell r="K49">
            <v>2.6</v>
          </cell>
          <cell r="L49">
            <v>0.4049999999999998</v>
          </cell>
          <cell r="O49">
            <v>0</v>
          </cell>
          <cell r="Q49">
            <v>0</v>
          </cell>
          <cell r="R49">
            <v>0.60099999999999998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216</v>
          </cell>
          <cell r="D50">
            <v>131</v>
          </cell>
          <cell r="E50">
            <v>132</v>
          </cell>
          <cell r="F50">
            <v>178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136</v>
          </cell>
          <cell r="L50">
            <v>-4</v>
          </cell>
          <cell r="O50">
            <v>0</v>
          </cell>
          <cell r="Q50">
            <v>0</v>
          </cell>
          <cell r="R50">
            <v>26.4</v>
          </cell>
          <cell r="S50">
            <v>125.59999999999997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442</v>
          </cell>
          <cell r="D51">
            <v>480</v>
          </cell>
          <cell r="E51">
            <v>525</v>
          </cell>
          <cell r="F51">
            <v>264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529</v>
          </cell>
          <cell r="L51">
            <v>-4</v>
          </cell>
          <cell r="O51">
            <v>172.96616700000001</v>
          </cell>
          <cell r="P51">
            <v>176.107833</v>
          </cell>
          <cell r="Q51">
            <v>242.69599999999991</v>
          </cell>
          <cell r="R51">
            <v>105</v>
          </cell>
          <cell r="S51">
            <v>351.73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27</v>
          </cell>
          <cell r="D52">
            <v>43</v>
          </cell>
          <cell r="E52">
            <v>22</v>
          </cell>
          <cell r="F52">
            <v>34</v>
          </cell>
          <cell r="G52">
            <v>0.4</v>
          </cell>
          <cell r="H52">
            <v>40</v>
          </cell>
          <cell r="I52" t="str">
            <v>матрица</v>
          </cell>
          <cell r="K52">
            <v>25</v>
          </cell>
          <cell r="L52">
            <v>-3</v>
          </cell>
          <cell r="O52">
            <v>51.059999999999988</v>
          </cell>
          <cell r="Q52">
            <v>0</v>
          </cell>
          <cell r="R52">
            <v>4.4000000000000004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120</v>
          </cell>
          <cell r="D53">
            <v>38</v>
          </cell>
          <cell r="E53">
            <v>58</v>
          </cell>
          <cell r="F53">
            <v>55</v>
          </cell>
          <cell r="G53">
            <v>0.4</v>
          </cell>
          <cell r="H53">
            <v>40</v>
          </cell>
          <cell r="I53" t="str">
            <v>матрица</v>
          </cell>
          <cell r="K53">
            <v>72</v>
          </cell>
          <cell r="L53">
            <v>-14</v>
          </cell>
          <cell r="O53">
            <v>8.9199999999999875</v>
          </cell>
          <cell r="Q53">
            <v>56.960000000000029</v>
          </cell>
          <cell r="R53">
            <v>11.6</v>
          </cell>
          <cell r="S53">
            <v>12.519999999999982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456.274</v>
          </cell>
          <cell r="D54">
            <v>696.42100000000005</v>
          </cell>
          <cell r="E54">
            <v>848.48</v>
          </cell>
          <cell r="F54">
            <v>-27.448</v>
          </cell>
          <cell r="G54">
            <v>1</v>
          </cell>
          <cell r="H54">
            <v>50</v>
          </cell>
          <cell r="I54" t="str">
            <v>матрица</v>
          </cell>
          <cell r="K54">
            <v>828.15</v>
          </cell>
          <cell r="L54">
            <v>20.330000000000041</v>
          </cell>
          <cell r="O54">
            <v>439.53110570100017</v>
          </cell>
          <cell r="P54">
            <v>447.51451629899998</v>
          </cell>
          <cell r="Q54">
            <v>263.84597800000017</v>
          </cell>
          <cell r="R54">
            <v>169.696</v>
          </cell>
          <cell r="S54">
            <v>828.0603999999995</v>
          </cell>
          <cell r="T54">
            <v>950</v>
          </cell>
          <cell r="U54" t="str">
            <v>промо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128</v>
          </cell>
          <cell r="D55">
            <v>504</v>
          </cell>
          <cell r="E55">
            <v>390</v>
          </cell>
          <cell r="F55">
            <v>71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256</v>
          </cell>
          <cell r="L55">
            <v>134</v>
          </cell>
          <cell r="O55">
            <v>219.67497</v>
          </cell>
          <cell r="P55">
            <v>223.66502999999989</v>
          </cell>
          <cell r="Q55">
            <v>81.120000000000047</v>
          </cell>
          <cell r="R55">
            <v>78</v>
          </cell>
          <cell r="S55">
            <v>301.54000000000008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457.24599999999998</v>
          </cell>
          <cell r="D56">
            <v>1431.88</v>
          </cell>
          <cell r="E56">
            <v>1077.308</v>
          </cell>
          <cell r="F56">
            <v>678.81700000000001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1082.45</v>
          </cell>
          <cell r="L56">
            <v>-5.1420000000000528</v>
          </cell>
          <cell r="O56">
            <v>445.95</v>
          </cell>
          <cell r="P56">
            <v>454.05</v>
          </cell>
          <cell r="Q56">
            <v>356.64641999999998</v>
          </cell>
          <cell r="R56">
            <v>215.4616</v>
          </cell>
          <cell r="S56">
            <v>542.34497999999985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69.822999999999993</v>
          </cell>
          <cell r="D57">
            <v>113.608</v>
          </cell>
          <cell r="E57">
            <v>88.313000000000002</v>
          </cell>
          <cell r="F57">
            <v>71.314999999999998</v>
          </cell>
          <cell r="G57">
            <v>1</v>
          </cell>
          <cell r="H57">
            <v>55</v>
          </cell>
          <cell r="I57" t="str">
            <v>матрица</v>
          </cell>
          <cell r="K57">
            <v>87.4</v>
          </cell>
          <cell r="L57">
            <v>0.9129999999999967</v>
          </cell>
          <cell r="O57">
            <v>76.960439999999977</v>
          </cell>
          <cell r="Q57">
            <v>16.70974</v>
          </cell>
          <cell r="R57">
            <v>17.662600000000001</v>
          </cell>
          <cell r="S57">
            <v>38.134720000000016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47</v>
          </cell>
          <cell r="D58">
            <v>424</v>
          </cell>
          <cell r="E58">
            <v>187</v>
          </cell>
          <cell r="F58">
            <v>235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192</v>
          </cell>
          <cell r="L58">
            <v>-5</v>
          </cell>
          <cell r="O58">
            <v>74.265540000000001</v>
          </cell>
          <cell r="P58">
            <v>75.614459999999994</v>
          </cell>
          <cell r="Q58">
            <v>0</v>
          </cell>
          <cell r="R58">
            <v>37.4</v>
          </cell>
          <cell r="S58">
            <v>45.21999999999997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108</v>
          </cell>
          <cell r="D59">
            <v>596</v>
          </cell>
          <cell r="E59">
            <v>237</v>
          </cell>
          <cell r="F59">
            <v>343</v>
          </cell>
          <cell r="G59">
            <v>0.4</v>
          </cell>
          <cell r="H59">
            <v>50</v>
          </cell>
          <cell r="I59" t="str">
            <v>ВНИМАНИЕ / матрица</v>
          </cell>
          <cell r="K59">
            <v>276</v>
          </cell>
          <cell r="L59">
            <v>-39</v>
          </cell>
          <cell r="O59">
            <v>0</v>
          </cell>
          <cell r="Q59">
            <v>0</v>
          </cell>
          <cell r="R59">
            <v>47.4</v>
          </cell>
          <cell r="S59">
            <v>202.10000000000002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395.77699999999999</v>
          </cell>
          <cell r="D60">
            <v>371.98</v>
          </cell>
          <cell r="E60">
            <v>368.11200000000002</v>
          </cell>
          <cell r="F60">
            <v>316.67700000000002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368.8</v>
          </cell>
          <cell r="L60">
            <v>-0.68799999999998818</v>
          </cell>
          <cell r="O60">
            <v>171.30573659000001</v>
          </cell>
          <cell r="P60">
            <v>174.41724341</v>
          </cell>
          <cell r="Q60">
            <v>75.196870000000004</v>
          </cell>
          <cell r="R60">
            <v>73.622399999999999</v>
          </cell>
          <cell r="S60">
            <v>109.06074999999998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115.581</v>
          </cell>
          <cell r="D61">
            <v>676.79300000000001</v>
          </cell>
          <cell r="E61">
            <v>373.32600000000002</v>
          </cell>
          <cell r="F61">
            <v>349.52800000000002</v>
          </cell>
          <cell r="G61">
            <v>1</v>
          </cell>
          <cell r="H61">
            <v>40</v>
          </cell>
          <cell r="I61" t="str">
            <v>матрица</v>
          </cell>
          <cell r="K61">
            <v>369</v>
          </cell>
          <cell r="L61">
            <v>4.3260000000000218</v>
          </cell>
          <cell r="O61">
            <v>0</v>
          </cell>
          <cell r="Q61">
            <v>167.79810000000009</v>
          </cell>
          <cell r="R61">
            <v>74.665199999999999</v>
          </cell>
          <cell r="S61">
            <v>341.32369999999992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542</v>
          </cell>
          <cell r="D62">
            <v>1018</v>
          </cell>
          <cell r="E62">
            <v>854</v>
          </cell>
          <cell r="F62">
            <v>491</v>
          </cell>
          <cell r="G62">
            <v>0.4</v>
          </cell>
          <cell r="H62">
            <v>40</v>
          </cell>
          <cell r="I62" t="str">
            <v>матрица</v>
          </cell>
          <cell r="K62">
            <v>899</v>
          </cell>
          <cell r="L62">
            <v>-45</v>
          </cell>
          <cell r="O62">
            <v>325.10250500000012</v>
          </cell>
          <cell r="P62">
            <v>331.00749500000001</v>
          </cell>
          <cell r="Q62">
            <v>298.31999999999988</v>
          </cell>
          <cell r="R62">
            <v>170.8</v>
          </cell>
          <cell r="S62">
            <v>518.77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134</v>
          </cell>
          <cell r="D63">
            <v>881</v>
          </cell>
          <cell r="E63">
            <v>556</v>
          </cell>
          <cell r="F63">
            <v>284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608</v>
          </cell>
          <cell r="L63">
            <v>-52</v>
          </cell>
          <cell r="O63">
            <v>203.77437500000019</v>
          </cell>
          <cell r="P63">
            <v>207.47562500000021</v>
          </cell>
          <cell r="Q63">
            <v>99.18</v>
          </cell>
          <cell r="R63">
            <v>111.2</v>
          </cell>
          <cell r="S63">
            <v>484.36999999999944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7.0369999999999999</v>
          </cell>
          <cell r="D64">
            <v>904.80100000000004</v>
          </cell>
          <cell r="E64">
            <v>481.00799999999998</v>
          </cell>
          <cell r="F64">
            <v>307.47800000000001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484.82</v>
          </cell>
          <cell r="L64">
            <v>-3.8120000000000118</v>
          </cell>
          <cell r="O64">
            <v>0</v>
          </cell>
          <cell r="Q64">
            <v>50</v>
          </cell>
          <cell r="R64">
            <v>96.201599999999999</v>
          </cell>
          <cell r="S64">
            <v>652.63879999999995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57.646999999999998</v>
          </cell>
          <cell r="D65">
            <v>29.725999999999999</v>
          </cell>
          <cell r="E65">
            <v>84.730999999999995</v>
          </cell>
          <cell r="F65">
            <v>-1.897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121.5</v>
          </cell>
          <cell r="L65">
            <v>-36.769000000000005</v>
          </cell>
          <cell r="O65">
            <v>107.4934727</v>
          </cell>
          <cell r="P65">
            <v>109.44592729999999</v>
          </cell>
          <cell r="Q65">
            <v>251.41919999999999</v>
          </cell>
          <cell r="R65">
            <v>16.946199999999997</v>
          </cell>
          <cell r="T65">
            <v>180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258.35000000000002</v>
          </cell>
          <cell r="E66">
            <v>256.298</v>
          </cell>
          <cell r="F66">
            <v>-7.4999999999999997E-2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399.125</v>
          </cell>
          <cell r="L66">
            <v>-142.827</v>
          </cell>
          <cell r="O66">
            <v>0</v>
          </cell>
          <cell r="Q66">
            <v>300</v>
          </cell>
          <cell r="R66">
            <v>51.259599999999999</v>
          </cell>
          <cell r="S66">
            <v>289.56040000000002</v>
          </cell>
          <cell r="T66">
            <v>400</v>
          </cell>
          <cell r="U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1.0999999999999999E-2</v>
          </cell>
          <cell r="D67">
            <v>113.79</v>
          </cell>
          <cell r="E67">
            <v>94.111000000000004</v>
          </cell>
          <cell r="F67">
            <v>-0.155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136.6</v>
          </cell>
          <cell r="L67">
            <v>-42.48899999999999</v>
          </cell>
          <cell r="O67">
            <v>11.991960000000001</v>
          </cell>
          <cell r="Q67">
            <v>13.82489999999998</v>
          </cell>
          <cell r="R67">
            <v>18.822200000000002</v>
          </cell>
          <cell r="S67">
            <v>124.91574000000003</v>
          </cell>
          <cell r="T67">
            <v>160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16</v>
          </cell>
          <cell r="E68">
            <v>16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16</v>
          </cell>
          <cell r="L68">
            <v>0</v>
          </cell>
          <cell r="O68">
            <v>5</v>
          </cell>
          <cell r="Q68">
            <v>1.52</v>
          </cell>
          <cell r="R68">
            <v>3.2</v>
          </cell>
          <cell r="S68">
            <v>30.28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145.14599999999999</v>
          </cell>
          <cell r="D69">
            <v>169.78800000000001</v>
          </cell>
          <cell r="E69">
            <v>126.77500000000001</v>
          </cell>
          <cell r="F69">
            <v>129.697</v>
          </cell>
          <cell r="G69">
            <v>1</v>
          </cell>
          <cell r="H69">
            <v>30</v>
          </cell>
          <cell r="I69" t="str">
            <v>матрица</v>
          </cell>
          <cell r="K69">
            <v>155.1</v>
          </cell>
          <cell r="L69">
            <v>-28.324999999999989</v>
          </cell>
          <cell r="O69">
            <v>35.464699999999972</v>
          </cell>
          <cell r="Q69">
            <v>37.811599999999999</v>
          </cell>
          <cell r="R69">
            <v>25.355</v>
          </cell>
          <cell r="S69">
            <v>88.609200000000016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104</v>
          </cell>
          <cell r="D70">
            <v>120</v>
          </cell>
          <cell r="E70">
            <v>133</v>
          </cell>
          <cell r="F70">
            <v>66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133</v>
          </cell>
          <cell r="L70">
            <v>0</v>
          </cell>
          <cell r="O70">
            <v>91.942000000000007</v>
          </cell>
          <cell r="Q70">
            <v>135.55799999999999</v>
          </cell>
          <cell r="R70">
            <v>26.6</v>
          </cell>
          <cell r="S70">
            <v>12.400000000000034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83</v>
          </cell>
          <cell r="E71">
            <v>52</v>
          </cell>
          <cell r="F71">
            <v>23</v>
          </cell>
          <cell r="G71">
            <v>0.6</v>
          </cell>
          <cell r="H71">
            <v>60</v>
          </cell>
          <cell r="I71" t="str">
            <v>матрица</v>
          </cell>
          <cell r="K71">
            <v>55</v>
          </cell>
          <cell r="L71">
            <v>-3</v>
          </cell>
          <cell r="O71">
            <v>24.600000000000009</v>
          </cell>
          <cell r="Q71">
            <v>68.38000000000001</v>
          </cell>
          <cell r="R71">
            <v>10.4</v>
          </cell>
          <cell r="S71">
            <v>3.6199999999999903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144</v>
          </cell>
          <cell r="D72">
            <v>6</v>
          </cell>
          <cell r="E72">
            <v>111</v>
          </cell>
          <cell r="F72">
            <v>16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117</v>
          </cell>
          <cell r="L72">
            <v>-6</v>
          </cell>
          <cell r="O72">
            <v>50.025680000000008</v>
          </cell>
          <cell r="P72">
            <v>50.93432</v>
          </cell>
          <cell r="Q72">
            <v>96.70999999999998</v>
          </cell>
          <cell r="R72">
            <v>22.2</v>
          </cell>
          <cell r="S72">
            <v>41.629999999999995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179</v>
          </cell>
          <cell r="D73">
            <v>126</v>
          </cell>
          <cell r="E73">
            <v>145</v>
          </cell>
          <cell r="F73">
            <v>133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159</v>
          </cell>
          <cell r="L73">
            <v>-14</v>
          </cell>
          <cell r="O73">
            <v>93.020000000000039</v>
          </cell>
          <cell r="Q73">
            <v>0</v>
          </cell>
          <cell r="R73">
            <v>29</v>
          </cell>
          <cell r="S73">
            <v>107.47999999999996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79</v>
          </cell>
          <cell r="D74">
            <v>80</v>
          </cell>
          <cell r="E74">
            <v>126</v>
          </cell>
          <cell r="F74">
            <v>16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129</v>
          </cell>
          <cell r="L74">
            <v>-3</v>
          </cell>
          <cell r="O74">
            <v>62.839309999999998</v>
          </cell>
          <cell r="P74">
            <v>63.980689999999989</v>
          </cell>
          <cell r="Q74">
            <v>0</v>
          </cell>
          <cell r="R74">
            <v>25.2</v>
          </cell>
          <cell r="S74">
            <v>146.98000000000002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470</v>
          </cell>
          <cell r="D75">
            <v>260</v>
          </cell>
          <cell r="E75">
            <v>375</v>
          </cell>
          <cell r="F75">
            <v>254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398</v>
          </cell>
          <cell r="L75">
            <v>-23</v>
          </cell>
          <cell r="O75">
            <v>133.30932000000021</v>
          </cell>
          <cell r="P75">
            <v>135.73068000000009</v>
          </cell>
          <cell r="Q75">
            <v>198.30999999999969</v>
          </cell>
          <cell r="R75">
            <v>75</v>
          </cell>
          <cell r="S75">
            <v>141.14999999999998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154</v>
          </cell>
          <cell r="D76">
            <v>192</v>
          </cell>
          <cell r="E76">
            <v>172</v>
          </cell>
          <cell r="F76">
            <v>113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174</v>
          </cell>
          <cell r="L76">
            <v>-2</v>
          </cell>
          <cell r="O76">
            <v>11.25000000000003</v>
          </cell>
          <cell r="Q76">
            <v>77.929999999999922</v>
          </cell>
          <cell r="R76">
            <v>34.4</v>
          </cell>
          <cell r="S76">
            <v>193.42000000000002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56</v>
          </cell>
          <cell r="D77">
            <v>30</v>
          </cell>
          <cell r="E77">
            <v>38</v>
          </cell>
          <cell r="F77">
            <v>43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41</v>
          </cell>
          <cell r="L77">
            <v>-3</v>
          </cell>
          <cell r="O77">
            <v>41.78</v>
          </cell>
          <cell r="Q77">
            <v>0</v>
          </cell>
          <cell r="R77">
            <v>7.6</v>
          </cell>
          <cell r="S77">
            <v>6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211</v>
          </cell>
          <cell r="D78">
            <v>246</v>
          </cell>
          <cell r="E78">
            <v>314</v>
          </cell>
          <cell r="F78">
            <v>57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318</v>
          </cell>
          <cell r="L78">
            <v>-4</v>
          </cell>
          <cell r="O78">
            <v>74.325000000000003</v>
          </cell>
          <cell r="P78">
            <v>75.674999999999997</v>
          </cell>
          <cell r="Q78">
            <v>294.74000000000012</v>
          </cell>
          <cell r="R78">
            <v>62.8</v>
          </cell>
          <cell r="S78">
            <v>220.45999999999981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12</v>
          </cell>
          <cell r="F79">
            <v>10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24</v>
          </cell>
          <cell r="L79">
            <v>-24</v>
          </cell>
          <cell r="O79">
            <v>10</v>
          </cell>
          <cell r="Q79">
            <v>15.2</v>
          </cell>
          <cell r="R79">
            <v>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D80">
            <v>48</v>
          </cell>
          <cell r="E80">
            <v>42</v>
          </cell>
          <cell r="F80">
            <v>4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59</v>
          </cell>
          <cell r="L80">
            <v>-17</v>
          </cell>
          <cell r="O80">
            <v>0</v>
          </cell>
          <cell r="Q80">
            <v>45.6</v>
          </cell>
          <cell r="R80">
            <v>8.4</v>
          </cell>
          <cell r="S80">
            <v>47.000000000000007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14</v>
          </cell>
          <cell r="D81">
            <v>270</v>
          </cell>
          <cell r="E81">
            <v>74</v>
          </cell>
          <cell r="F81">
            <v>209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150</v>
          </cell>
          <cell r="L81">
            <v>-76</v>
          </cell>
          <cell r="O81">
            <v>87.539999999999964</v>
          </cell>
          <cell r="Q81">
            <v>0</v>
          </cell>
          <cell r="R81">
            <v>14.8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68.361000000000004</v>
          </cell>
          <cell r="E82">
            <v>7.19</v>
          </cell>
          <cell r="F82">
            <v>59.716000000000001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8.1</v>
          </cell>
          <cell r="L82">
            <v>-0.90999999999999925</v>
          </cell>
          <cell r="O82">
            <v>0</v>
          </cell>
          <cell r="Q82">
            <v>0</v>
          </cell>
          <cell r="R82">
            <v>1.4380000000000002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67.594999999999999</v>
          </cell>
          <cell r="D83">
            <v>505.90499999999997</v>
          </cell>
          <cell r="E83">
            <v>108.23399999999999</v>
          </cell>
          <cell r="F83">
            <v>141.422</v>
          </cell>
          <cell r="G83">
            <v>1</v>
          </cell>
          <cell r="H83">
            <v>55</v>
          </cell>
          <cell r="I83" t="str">
            <v>матрица</v>
          </cell>
          <cell r="K83">
            <v>128.69999999999999</v>
          </cell>
          <cell r="L83">
            <v>-20.465999999999994</v>
          </cell>
          <cell r="O83">
            <v>0</v>
          </cell>
          <cell r="Q83">
            <v>67.224829999999997</v>
          </cell>
          <cell r="R83">
            <v>21.646799999999999</v>
          </cell>
          <cell r="S83">
            <v>40.291370000000001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561.70500000000004</v>
          </cell>
          <cell r="D84">
            <v>552.95899999999995</v>
          </cell>
          <cell r="E84">
            <v>723.16300000000001</v>
          </cell>
          <cell r="F84">
            <v>220.065</v>
          </cell>
          <cell r="G84">
            <v>1</v>
          </cell>
          <cell r="H84">
            <v>60</v>
          </cell>
          <cell r="I84" t="str">
            <v>матрица</v>
          </cell>
          <cell r="K84">
            <v>725.86500000000001</v>
          </cell>
          <cell r="L84">
            <v>-2.7019999999999982</v>
          </cell>
          <cell r="O84">
            <v>444.8430721529374</v>
          </cell>
          <cell r="P84">
            <v>452.92296650082108</v>
          </cell>
          <cell r="Q84">
            <v>138.46079</v>
          </cell>
          <cell r="R84">
            <v>144.6326</v>
          </cell>
          <cell r="S84">
            <v>406.98307134624139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2397.386</v>
          </cell>
          <cell r="D86">
            <v>851.31600000000003</v>
          </cell>
          <cell r="E86">
            <v>2710.1469999999999</v>
          </cell>
          <cell r="F86">
            <v>-71.481999999999999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2734.1</v>
          </cell>
          <cell r="L86">
            <v>-23.952999999999975</v>
          </cell>
          <cell r="O86">
            <v>1295.82658554</v>
          </cell>
          <cell r="P86">
            <v>1319.3632944599999</v>
          </cell>
          <cell r="Q86">
            <v>1590.57431</v>
          </cell>
          <cell r="R86">
            <v>542.02940000000001</v>
          </cell>
          <cell r="S86">
            <v>2099.05591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2425.4319999999998</v>
          </cell>
          <cell r="D87">
            <v>1279.4100000000001</v>
          </cell>
          <cell r="E87">
            <v>1873.2</v>
          </cell>
          <cell r="F87">
            <v>1469.192</v>
          </cell>
          <cell r="G87">
            <v>1</v>
          </cell>
          <cell r="H87">
            <v>60</v>
          </cell>
          <cell r="I87" t="str">
            <v>матрица</v>
          </cell>
          <cell r="K87">
            <v>1890.9</v>
          </cell>
          <cell r="L87">
            <v>-17.700000000000045</v>
          </cell>
          <cell r="O87">
            <v>402.80442173499961</v>
          </cell>
          <cell r="P87">
            <v>410.12074826499952</v>
          </cell>
          <cell r="Q87">
            <v>872.44684000000052</v>
          </cell>
          <cell r="R87">
            <v>374.64</v>
          </cell>
          <cell r="S87">
            <v>1153.7959899999996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2410.0309999999999</v>
          </cell>
          <cell r="D88">
            <v>1825.049</v>
          </cell>
          <cell r="E88">
            <v>3035.7739999999999</v>
          </cell>
          <cell r="F88">
            <v>434.76299999999998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3091.2</v>
          </cell>
          <cell r="L88">
            <v>-55.425999999999931</v>
          </cell>
          <cell r="O88">
            <v>1664.88</v>
          </cell>
          <cell r="P88">
            <v>1695.12</v>
          </cell>
          <cell r="Q88">
            <v>1354.5647799999999</v>
          </cell>
          <cell r="R88">
            <v>607.15480000000002</v>
          </cell>
          <cell r="S88">
            <v>1832.9524200000005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86.78</v>
          </cell>
          <cell r="D89">
            <v>21.536999999999999</v>
          </cell>
          <cell r="E89">
            <v>26.716999999999999</v>
          </cell>
          <cell r="F89">
            <v>78.89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27.7</v>
          </cell>
          <cell r="L89">
            <v>-0.98300000000000054</v>
          </cell>
          <cell r="O89">
            <v>10.698199999999989</v>
          </cell>
          <cell r="Q89">
            <v>0</v>
          </cell>
          <cell r="R89">
            <v>5.3433999999999999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D90">
            <v>36</v>
          </cell>
          <cell r="E90">
            <v>25</v>
          </cell>
          <cell r="F90">
            <v>5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100</v>
          </cell>
          <cell r="L90">
            <v>-75</v>
          </cell>
          <cell r="O90">
            <v>0</v>
          </cell>
          <cell r="Q90">
            <v>12.09</v>
          </cell>
          <cell r="R90">
            <v>5</v>
          </cell>
          <cell r="S90">
            <v>80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389</v>
          </cell>
          <cell r="D91">
            <v>1</v>
          </cell>
          <cell r="E91">
            <v>69</v>
          </cell>
          <cell r="F91">
            <v>78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72</v>
          </cell>
          <cell r="L91">
            <v>-3</v>
          </cell>
          <cell r="O91">
            <v>0</v>
          </cell>
          <cell r="Q91">
            <v>0</v>
          </cell>
          <cell r="R91">
            <v>13.8</v>
          </cell>
          <cell r="S91">
            <v>46.2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НЕДОГРУЗ / матрица</v>
          </cell>
          <cell r="L92">
            <v>0</v>
          </cell>
          <cell r="O92">
            <v>0</v>
          </cell>
          <cell r="Q92">
            <v>0</v>
          </cell>
          <cell r="R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D93">
            <v>216</v>
          </cell>
          <cell r="E93">
            <v>82</v>
          </cell>
          <cell r="F93">
            <v>98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87</v>
          </cell>
          <cell r="L93">
            <v>-5</v>
          </cell>
          <cell r="O93">
            <v>0</v>
          </cell>
          <cell r="Q93">
            <v>0</v>
          </cell>
          <cell r="R93">
            <v>16.399999999999999</v>
          </cell>
          <cell r="S93">
            <v>90.6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72</v>
          </cell>
          <cell r="D94">
            <v>166</v>
          </cell>
          <cell r="E94">
            <v>142</v>
          </cell>
          <cell r="F94">
            <v>65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149</v>
          </cell>
          <cell r="L94">
            <v>-7</v>
          </cell>
          <cell r="O94">
            <v>38.250000000000057</v>
          </cell>
          <cell r="Q94">
            <v>71.679999999999922</v>
          </cell>
          <cell r="R94">
            <v>28.4</v>
          </cell>
          <cell r="S94">
            <v>151.66999999999999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213</v>
          </cell>
          <cell r="D95">
            <v>1</v>
          </cell>
          <cell r="E95">
            <v>173</v>
          </cell>
          <cell r="F95">
            <v>35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174</v>
          </cell>
          <cell r="L95">
            <v>-1</v>
          </cell>
          <cell r="O95">
            <v>46.700000000000017</v>
          </cell>
          <cell r="Q95">
            <v>248.9</v>
          </cell>
          <cell r="R95">
            <v>34.6</v>
          </cell>
          <cell r="S95">
            <v>67.300000000000011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16.064</v>
          </cell>
          <cell r="D96">
            <v>1.0069999999999999</v>
          </cell>
          <cell r="E96">
            <v>34.006</v>
          </cell>
          <cell r="F96">
            <v>79.483000000000004</v>
          </cell>
          <cell r="G96">
            <v>0</v>
          </cell>
          <cell r="H96">
            <v>55</v>
          </cell>
          <cell r="I96" t="str">
            <v>вывод</v>
          </cell>
          <cell r="K96">
            <v>20.3</v>
          </cell>
          <cell r="L96">
            <v>13.706</v>
          </cell>
          <cell r="O96">
            <v>0</v>
          </cell>
          <cell r="Q96">
            <v>0</v>
          </cell>
          <cell r="R96">
            <v>6.8011999999999997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K97">
            <v>6</v>
          </cell>
          <cell r="L97">
            <v>-6</v>
          </cell>
          <cell r="O97">
            <v>0</v>
          </cell>
          <cell r="Q97">
            <v>0</v>
          </cell>
          <cell r="R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H98">
            <v>30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  <cell r="R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78</v>
          </cell>
          <cell r="D99">
            <v>286</v>
          </cell>
          <cell r="E99">
            <v>288</v>
          </cell>
          <cell r="F99">
            <v>-16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325</v>
          </cell>
          <cell r="L99">
            <v>-37</v>
          </cell>
          <cell r="O99">
            <v>154.44041300000001</v>
          </cell>
          <cell r="P99">
            <v>157.245587</v>
          </cell>
          <cell r="Q99">
            <v>172.41399999999999</v>
          </cell>
          <cell r="R99">
            <v>57.6</v>
          </cell>
          <cell r="S99">
            <v>194.29999999999998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68</v>
          </cell>
          <cell r="D100">
            <v>268</v>
          </cell>
          <cell r="E100">
            <v>215</v>
          </cell>
          <cell r="F100">
            <v>51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231</v>
          </cell>
          <cell r="L100">
            <v>-16</v>
          </cell>
          <cell r="O100">
            <v>130.97155100000001</v>
          </cell>
          <cell r="P100">
            <v>133.350449</v>
          </cell>
          <cell r="Q100">
            <v>42.56</v>
          </cell>
          <cell r="R100">
            <v>43</v>
          </cell>
          <cell r="S100">
            <v>136.61800000000002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41</v>
          </cell>
          <cell r="D101">
            <v>13</v>
          </cell>
          <cell r="E101">
            <v>34</v>
          </cell>
          <cell r="F101">
            <v>8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35</v>
          </cell>
          <cell r="L101">
            <v>-1</v>
          </cell>
          <cell r="O101">
            <v>0</v>
          </cell>
          <cell r="Q101">
            <v>43</v>
          </cell>
          <cell r="R101">
            <v>6.8</v>
          </cell>
          <cell r="S101">
            <v>27.200000000000003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2.6589999999999998</v>
          </cell>
          <cell r="D102">
            <v>767.22699999999998</v>
          </cell>
          <cell r="E102">
            <v>470.18900000000002</v>
          </cell>
          <cell r="F102">
            <v>4.1840000000000002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634.79999999999995</v>
          </cell>
          <cell r="L102">
            <v>-164.61099999999993</v>
          </cell>
          <cell r="O102">
            <v>521.54050700000005</v>
          </cell>
          <cell r="P102">
            <v>531.01349300000004</v>
          </cell>
          <cell r="Q102">
            <v>0</v>
          </cell>
          <cell r="R102">
            <v>94.037800000000004</v>
          </cell>
          <cell r="S102">
            <v>24.696699999999932</v>
          </cell>
          <cell r="T102">
            <v>450</v>
          </cell>
          <cell r="U102" t="str">
            <v>промо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5.6310000000000002</v>
          </cell>
          <cell r="D103">
            <v>1703.6569999999999</v>
          </cell>
          <cell r="E103">
            <v>894.99800000000005</v>
          </cell>
          <cell r="F103">
            <v>438.95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931.7</v>
          </cell>
          <cell r="L103">
            <v>-36.701999999999998</v>
          </cell>
          <cell r="O103">
            <v>0</v>
          </cell>
          <cell r="Q103">
            <v>293.42634999999967</v>
          </cell>
          <cell r="R103">
            <v>178.99960000000002</v>
          </cell>
          <cell r="S103">
            <v>1147.1194500000004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D104">
            <v>315.36900000000003</v>
          </cell>
          <cell r="E104">
            <v>303.83999999999997</v>
          </cell>
          <cell r="F104">
            <v>-1.605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533.5</v>
          </cell>
          <cell r="L104">
            <v>-229.66000000000003</v>
          </cell>
          <cell r="O104">
            <v>87.082800000000034</v>
          </cell>
          <cell r="Q104">
            <v>31.503849999999979</v>
          </cell>
          <cell r="R104">
            <v>60.767999999999994</v>
          </cell>
          <cell r="S104">
            <v>399.5463499999999</v>
          </cell>
          <cell r="T104">
            <v>550</v>
          </cell>
          <cell r="U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  <cell r="R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21.356999999999999</v>
          </cell>
          <cell r="D106">
            <v>43.372</v>
          </cell>
          <cell r="E106">
            <v>8.17</v>
          </cell>
          <cell r="F106">
            <v>55.238</v>
          </cell>
          <cell r="G106">
            <v>1</v>
          </cell>
          <cell r="H106">
            <v>55</v>
          </cell>
          <cell r="I106" t="str">
            <v>НЕДОГРУЗ / матрица</v>
          </cell>
          <cell r="K106">
            <v>8</v>
          </cell>
          <cell r="L106">
            <v>0.16999999999999993</v>
          </cell>
          <cell r="O106">
            <v>0</v>
          </cell>
          <cell r="Q106">
            <v>0</v>
          </cell>
          <cell r="R106">
            <v>1.6339999999999999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146</v>
          </cell>
          <cell r="D107">
            <v>358</v>
          </cell>
          <cell r="E107">
            <v>251</v>
          </cell>
          <cell r="F107">
            <v>151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514</v>
          </cell>
          <cell r="L107">
            <v>-263</v>
          </cell>
          <cell r="O107">
            <v>79</v>
          </cell>
          <cell r="Q107">
            <v>0</v>
          </cell>
          <cell r="R107">
            <v>50.2</v>
          </cell>
          <cell r="S107">
            <v>297.10000000000002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НЕДОГРУЗ / матрица</v>
          </cell>
          <cell r="L108">
            <v>0</v>
          </cell>
          <cell r="O108">
            <v>0</v>
          </cell>
          <cell r="Q108">
            <v>0</v>
          </cell>
          <cell r="R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144</v>
          </cell>
          <cell r="D109">
            <v>206</v>
          </cell>
          <cell r="E109">
            <v>196</v>
          </cell>
          <cell r="F109">
            <v>145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526</v>
          </cell>
          <cell r="L109">
            <v>-330</v>
          </cell>
          <cell r="O109">
            <v>0</v>
          </cell>
          <cell r="Q109">
            <v>0</v>
          </cell>
          <cell r="R109">
            <v>39.200000000000003</v>
          </cell>
          <cell r="S109">
            <v>227.40000000000003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73</v>
          </cell>
          <cell r="D110">
            <v>122</v>
          </cell>
          <cell r="E110">
            <v>102</v>
          </cell>
          <cell r="F110">
            <v>65</v>
          </cell>
          <cell r="G110">
            <v>0.09</v>
          </cell>
          <cell r="I110" t="str">
            <v>матрица</v>
          </cell>
          <cell r="K110">
            <v>108</v>
          </cell>
          <cell r="L110">
            <v>-6</v>
          </cell>
          <cell r="O110">
            <v>93.952000000000027</v>
          </cell>
          <cell r="Q110">
            <v>57.847999999999971</v>
          </cell>
          <cell r="R110">
            <v>20.399999999999999</v>
          </cell>
          <cell r="S110">
            <v>17.799999999999983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324.89100000000002</v>
          </cell>
          <cell r="D111">
            <v>106.657</v>
          </cell>
          <cell r="E111">
            <v>69.741</v>
          </cell>
          <cell r="F111">
            <v>197.65700000000001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70</v>
          </cell>
          <cell r="L111">
            <v>-0.25900000000000034</v>
          </cell>
          <cell r="O111">
            <v>0</v>
          </cell>
          <cell r="Q111">
            <v>0</v>
          </cell>
          <cell r="R111">
            <v>13.9482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5</v>
          </cell>
          <cell r="L112">
            <v>-5</v>
          </cell>
          <cell r="O112">
            <v>0</v>
          </cell>
          <cell r="Q112">
            <v>0</v>
          </cell>
          <cell r="R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-5</v>
          </cell>
          <cell r="D113">
            <v>83</v>
          </cell>
          <cell r="E113">
            <v>28</v>
          </cell>
          <cell r="F113">
            <v>26</v>
          </cell>
          <cell r="G113">
            <v>0.09</v>
          </cell>
          <cell r="I113" t="str">
            <v>НЕДОГРУЗ / матрица</v>
          </cell>
          <cell r="K113">
            <v>48</v>
          </cell>
          <cell r="L113">
            <v>-20</v>
          </cell>
          <cell r="O113">
            <v>79.12</v>
          </cell>
          <cell r="Q113">
            <v>0</v>
          </cell>
          <cell r="R113">
            <v>5.6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Q114">
            <v>0</v>
          </cell>
          <cell r="R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276.70999999999998</v>
          </cell>
          <cell r="D115">
            <v>463.99900000000002</v>
          </cell>
          <cell r="E115">
            <v>423.63200000000001</v>
          </cell>
          <cell r="F115">
            <v>188.786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413.15</v>
          </cell>
          <cell r="L115">
            <v>10.482000000000028</v>
          </cell>
          <cell r="O115">
            <v>232.99426766000011</v>
          </cell>
          <cell r="P115">
            <v>237.22625234</v>
          </cell>
          <cell r="Q115">
            <v>0</v>
          </cell>
          <cell r="R115">
            <v>84.726399999999998</v>
          </cell>
          <cell r="S115">
            <v>315.34707999999995</v>
          </cell>
          <cell r="T115">
            <v>400</v>
          </cell>
          <cell r="U115" t="str">
            <v>промо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508.03300000000002</v>
          </cell>
          <cell r="D116">
            <v>431.19400000000002</v>
          </cell>
          <cell r="E116">
            <v>599.99199999999996</v>
          </cell>
          <cell r="F116">
            <v>172.27500000000001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578.79999999999995</v>
          </cell>
          <cell r="L116">
            <v>21.192000000000007</v>
          </cell>
          <cell r="O116">
            <v>319.77721784999989</v>
          </cell>
          <cell r="P116">
            <v>325.58548214999979</v>
          </cell>
          <cell r="Q116">
            <v>0</v>
          </cell>
          <cell r="R116">
            <v>119.99839999999999</v>
          </cell>
          <cell r="S116">
            <v>562.34390000000019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138.29599999999999</v>
          </cell>
          <cell r="D117">
            <v>234.601</v>
          </cell>
          <cell r="E117">
            <v>146.49</v>
          </cell>
          <cell r="F117">
            <v>169.434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143.69999999999999</v>
          </cell>
          <cell r="L117">
            <v>2.7900000000000205</v>
          </cell>
          <cell r="O117">
            <v>95.131946809999988</v>
          </cell>
          <cell r="P117">
            <v>96.859873189999973</v>
          </cell>
          <cell r="Q117">
            <v>0</v>
          </cell>
          <cell r="R117">
            <v>29.298000000000002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1259.9649999999999</v>
          </cell>
          <cell r="D118">
            <v>1694.204</v>
          </cell>
          <cell r="E118">
            <v>2176.875</v>
          </cell>
          <cell r="F118">
            <v>143.017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2180.6999999999998</v>
          </cell>
          <cell r="L118">
            <v>-3.8249999999998181</v>
          </cell>
          <cell r="O118">
            <v>1088.6278120475481</v>
          </cell>
          <cell r="P118">
            <v>1108.4010720040119</v>
          </cell>
          <cell r="Q118">
            <v>963.12235594843935</v>
          </cell>
          <cell r="R118">
            <v>435.375</v>
          </cell>
          <cell r="S118">
            <v>1703.6442600000007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200</v>
          </cell>
          <cell r="D119">
            <v>156</v>
          </cell>
          <cell r="E119">
            <v>11</v>
          </cell>
          <cell r="F119">
            <v>334</v>
          </cell>
          <cell r="G119">
            <v>0.25</v>
          </cell>
          <cell r="H119">
            <v>1096</v>
          </cell>
          <cell r="I119" t="str">
            <v>ВНИМАНИЕ / матрица</v>
          </cell>
          <cell r="K119">
            <v>16</v>
          </cell>
          <cell r="L119">
            <v>-5</v>
          </cell>
          <cell r="O119">
            <v>0</v>
          </cell>
          <cell r="Q119">
            <v>0</v>
          </cell>
          <cell r="R119">
            <v>2.2000000000000002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314</v>
          </cell>
          <cell r="E120">
            <v>13</v>
          </cell>
          <cell r="F120">
            <v>301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13</v>
          </cell>
          <cell r="L120">
            <v>0</v>
          </cell>
          <cell r="O120">
            <v>0</v>
          </cell>
          <cell r="Q120">
            <v>0</v>
          </cell>
          <cell r="R120">
            <v>2.6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109</v>
          </cell>
          <cell r="D121">
            <v>204</v>
          </cell>
          <cell r="E121">
            <v>11</v>
          </cell>
          <cell r="F121">
            <v>302</v>
          </cell>
          <cell r="G121">
            <v>0.25</v>
          </cell>
          <cell r="H121">
            <v>1096</v>
          </cell>
          <cell r="I121" t="str">
            <v>!!! / НЕДОГРУЗ / матрица</v>
          </cell>
          <cell r="K121">
            <v>11</v>
          </cell>
          <cell r="L121">
            <v>0</v>
          </cell>
          <cell r="O121">
            <v>0</v>
          </cell>
          <cell r="Q121">
            <v>0</v>
          </cell>
          <cell r="R121">
            <v>2.2000000000000002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56.713999999999999</v>
          </cell>
          <cell r="E122">
            <v>22.954000000000001</v>
          </cell>
          <cell r="F122">
            <v>31.117999999999999</v>
          </cell>
          <cell r="G122">
            <v>0</v>
          </cell>
          <cell r="I122" t="str">
            <v>не в матрице</v>
          </cell>
          <cell r="K122">
            <v>22.7</v>
          </cell>
          <cell r="L122">
            <v>0.25400000000000134</v>
          </cell>
          <cell r="O122">
            <v>0</v>
          </cell>
          <cell r="Q122">
            <v>0</v>
          </cell>
          <cell r="R122">
            <v>4.5907999999999998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63.290999999999997</v>
          </cell>
          <cell r="D123">
            <v>54.078000000000003</v>
          </cell>
          <cell r="E123">
            <v>17.997</v>
          </cell>
          <cell r="F123">
            <v>79.427999999999997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20.9</v>
          </cell>
          <cell r="L123">
            <v>-2.9029999999999987</v>
          </cell>
          <cell r="O123">
            <v>0</v>
          </cell>
          <cell r="Q123">
            <v>0</v>
          </cell>
          <cell r="R123">
            <v>3.5994000000000002</v>
          </cell>
        </row>
        <row r="124">
          <cell r="A124" t="str">
            <v xml:space="preserve"> 636  Сосиски Датские ВЕС ТМ Зареченские продукты  ПОКОМ</v>
          </cell>
          <cell r="B124" t="str">
            <v>кг</v>
          </cell>
          <cell r="D124">
            <v>62.085000000000001</v>
          </cell>
          <cell r="F124">
            <v>62.085000000000001</v>
          </cell>
          <cell r="G124">
            <v>0</v>
          </cell>
          <cell r="I124" t="str">
            <v>дубль</v>
          </cell>
          <cell r="J124" t="str">
            <v xml:space="preserve"> 318  Сосиски Датские ТМ Зареченские, ВЕС  ПОКОМ</v>
          </cell>
          <cell r="L124">
            <v>0</v>
          </cell>
          <cell r="Q124">
            <v>0</v>
          </cell>
          <cell r="R124">
            <v>0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D125">
            <v>36</v>
          </cell>
          <cell r="E125">
            <v>30</v>
          </cell>
          <cell r="F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73</v>
          </cell>
          <cell r="L125">
            <v>-43</v>
          </cell>
          <cell r="O125">
            <v>0</v>
          </cell>
          <cell r="Q125">
            <v>44.4</v>
          </cell>
          <cell r="R125">
            <v>6</v>
          </cell>
          <cell r="S125">
            <v>23.6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D126">
            <v>72</v>
          </cell>
          <cell r="E126">
            <v>68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110</v>
          </cell>
          <cell r="L126">
            <v>-42</v>
          </cell>
          <cell r="O126">
            <v>0</v>
          </cell>
          <cell r="Q126">
            <v>103.6</v>
          </cell>
          <cell r="R126">
            <v>13.6</v>
          </cell>
          <cell r="S126">
            <v>52.800000000000011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476.29700000000003</v>
          </cell>
          <cell r="D127">
            <v>100.462</v>
          </cell>
          <cell r="E127">
            <v>281.90499999999997</v>
          </cell>
          <cell r="F127">
            <v>234.49700000000001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283.60000000000002</v>
          </cell>
          <cell r="L127">
            <v>-1.69500000000005</v>
          </cell>
          <cell r="O127">
            <v>46.152704999999912</v>
          </cell>
          <cell r="Q127">
            <v>104.1514050000001</v>
          </cell>
          <cell r="R127">
            <v>56.380999999999993</v>
          </cell>
          <cell r="S127">
            <v>263.58038999999997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D128">
            <v>24</v>
          </cell>
          <cell r="E128">
            <v>22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33</v>
          </cell>
          <cell r="L128">
            <v>-11</v>
          </cell>
          <cell r="O128">
            <v>0</v>
          </cell>
          <cell r="Q128">
            <v>24.5</v>
          </cell>
          <cell r="R128">
            <v>4.4000000000000004</v>
          </cell>
          <cell r="S128">
            <v>26.1</v>
          </cell>
          <cell r="T128">
            <v>130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55</v>
          </cell>
          <cell r="D129">
            <v>120</v>
          </cell>
          <cell r="E129">
            <v>74</v>
          </cell>
          <cell r="F129">
            <v>80</v>
          </cell>
          <cell r="G129">
            <v>0.12</v>
          </cell>
          <cell r="H129">
            <v>45</v>
          </cell>
          <cell r="I129" t="str">
            <v>НЕДОГРУЗ / матрица</v>
          </cell>
          <cell r="K129">
            <v>84</v>
          </cell>
          <cell r="L129">
            <v>-10</v>
          </cell>
          <cell r="O129">
            <v>16.56999999999999</v>
          </cell>
          <cell r="Q129">
            <v>27.890000000000011</v>
          </cell>
          <cell r="R129">
            <v>14.8</v>
          </cell>
          <cell r="S129">
            <v>45.740000000000009</v>
          </cell>
        </row>
        <row r="130">
          <cell r="A130" t="str">
            <v>БОНУС_ 334  Паштет Любительский ТМ Стародворье ламистер 0,1 кг  ПОКОМ</v>
          </cell>
          <cell r="B130" t="str">
            <v>шт</v>
          </cell>
          <cell r="C130">
            <v>87</v>
          </cell>
          <cell r="D130">
            <v>67</v>
          </cell>
          <cell r="E130">
            <v>138</v>
          </cell>
          <cell r="F130">
            <v>-5</v>
          </cell>
          <cell r="G130">
            <v>0</v>
          </cell>
          <cell r="I130" t="str">
            <v>бонус</v>
          </cell>
          <cell r="J130" t="str">
            <v xml:space="preserve"> 334  Паштет Любительский ТМ Стародворье ламистер 0,1 кг  ПОКОМ</v>
          </cell>
          <cell r="K130">
            <v>145</v>
          </cell>
          <cell r="L130">
            <v>-7</v>
          </cell>
          <cell r="O130">
            <v>0</v>
          </cell>
          <cell r="Q130">
            <v>0</v>
          </cell>
          <cell r="R130">
            <v>27.6</v>
          </cell>
        </row>
        <row r="131">
          <cell r="A131" t="str">
            <v>Колбаса варено-копченая Сервелат Европейский ТМ Вязанка вес</v>
          </cell>
          <cell r="B131" t="str">
            <v>кг</v>
          </cell>
          <cell r="G131">
            <v>1</v>
          </cell>
          <cell r="I131" t="str">
            <v>матрица</v>
          </cell>
          <cell r="L131">
            <v>0</v>
          </cell>
          <cell r="Q131">
            <v>0</v>
          </cell>
          <cell r="R131">
            <v>0</v>
          </cell>
        </row>
        <row r="132">
          <cell r="A132" t="str">
            <v>Сардельки «Шпикачки Зареченские» Весовой полиамид ТМ «Зареченские продукты»</v>
          </cell>
          <cell r="B132" t="str">
            <v>кг</v>
          </cell>
          <cell r="G132">
            <v>1</v>
          </cell>
          <cell r="I132" t="str">
            <v>матрица</v>
          </cell>
          <cell r="L132">
            <v>0</v>
          </cell>
          <cell r="Q132">
            <v>100</v>
          </cell>
          <cell r="R132">
            <v>0</v>
          </cell>
        </row>
        <row r="133">
          <cell r="A133" t="str">
            <v>Сосиски Ганноверские Бордо Весовые П/а мгс Баварушка</v>
          </cell>
          <cell r="B133" t="str">
            <v>кг</v>
          </cell>
          <cell r="G133">
            <v>1</v>
          </cell>
          <cell r="I133" t="str">
            <v>матрица</v>
          </cell>
          <cell r="L133">
            <v>0</v>
          </cell>
          <cell r="Q133">
            <v>100</v>
          </cell>
          <cell r="R1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3" width="7" customWidth="1"/>
    <col min="24" max="25" width="7" style="18" customWidth="1"/>
    <col min="26" max="27" width="5" customWidth="1"/>
    <col min="28" max="29" width="6.7109375" customWidth="1"/>
    <col min="30" max="31" width="6" customWidth="1"/>
    <col min="32" max="37" width="6.7109375" customWidth="1"/>
    <col min="38" max="38" width="20.28515625" customWidth="1"/>
    <col min="39" max="40" width="7" customWidth="1"/>
    <col min="41" max="55" width="8" customWidth="1"/>
  </cols>
  <sheetData>
    <row r="1" spans="1:5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-0.42</v>
      </c>
      <c r="U1" s="19"/>
      <c r="V1" s="19">
        <v>0.60099999999999998</v>
      </c>
      <c r="W1" s="19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-1</v>
      </c>
      <c r="AN1" s="1">
        <f>AN2-AN5</f>
        <v>-13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193</v>
      </c>
      <c r="U2" s="1"/>
      <c r="V2" s="1" t="s">
        <v>197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11900</v>
      </c>
      <c r="AN2" s="1">
        <v>17000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189</v>
      </c>
      <c r="U3" s="3" t="s">
        <v>194</v>
      </c>
      <c r="V3" s="3" t="s">
        <v>194</v>
      </c>
      <c r="W3" s="3" t="s">
        <v>194</v>
      </c>
      <c r="X3" s="3" t="s">
        <v>190</v>
      </c>
      <c r="Y3" s="3" t="s">
        <v>192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 t="s">
        <v>195</v>
      </c>
      <c r="V4" s="1" t="s">
        <v>196</v>
      </c>
      <c r="W4" s="1" t="s">
        <v>198</v>
      </c>
      <c r="X4" s="1" t="s">
        <v>191</v>
      </c>
      <c r="Y4" s="1"/>
      <c r="Z4" s="1"/>
      <c r="AA4" s="1"/>
      <c r="AB4" s="1" t="s">
        <v>23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/>
      <c r="AM4" s="1" t="s">
        <v>195</v>
      </c>
      <c r="AN4" s="1" t="s">
        <v>196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SUM(E6:E498)</f>
        <v>54811.666999999979</v>
      </c>
      <c r="F5" s="4">
        <f>SUM(F6:F498)</f>
        <v>22336.574999999993</v>
      </c>
      <c r="G5" s="7"/>
      <c r="H5" s="1"/>
      <c r="I5" s="1"/>
      <c r="J5" s="1"/>
      <c r="K5" s="4">
        <f t="shared" ref="K5:X5" si="0">SUM(K6:K498)</f>
        <v>57263.189999999981</v>
      </c>
      <c r="L5" s="4">
        <f t="shared" si="0"/>
        <v>-2451.5230000000001</v>
      </c>
      <c r="M5" s="4">
        <f t="shared" si="0"/>
        <v>0</v>
      </c>
      <c r="N5" s="4">
        <f t="shared" si="0"/>
        <v>0</v>
      </c>
      <c r="O5" s="4">
        <f t="shared" si="0"/>
        <v>21446.763140655392</v>
      </c>
      <c r="P5" s="4">
        <f t="shared" si="0"/>
        <v>20393.552839794433</v>
      </c>
      <c r="Q5" s="4">
        <f t="shared" si="0"/>
        <v>22317.312848996939</v>
      </c>
      <c r="R5" s="4">
        <f t="shared" si="0"/>
        <v>10962.333399999998</v>
      </c>
      <c r="S5" s="4">
        <f t="shared" si="0"/>
        <v>39893.211390553239</v>
      </c>
      <c r="T5" s="4">
        <f t="shared" si="0"/>
        <v>37297.235802553245</v>
      </c>
      <c r="U5" s="4">
        <f t="shared" si="0"/>
        <v>15651.959275868749</v>
      </c>
      <c r="V5" s="4">
        <f t="shared" ref="V5:W5" si="1">SUM(V6:V498)</f>
        <v>21645.276526684494</v>
      </c>
      <c r="W5" s="4">
        <f t="shared" si="1"/>
        <v>350</v>
      </c>
      <c r="X5" s="4">
        <f t="shared" si="0"/>
        <v>3620</v>
      </c>
      <c r="Y5" s="4"/>
      <c r="Z5" s="1"/>
      <c r="AA5" s="1"/>
      <c r="AB5" s="4">
        <f t="shared" ref="AB5:AK5" si="2">SUM(AB6:AB498)</f>
        <v>10213.466199999997</v>
      </c>
      <c r="AC5" s="4">
        <f t="shared" si="2"/>
        <v>10078.527999999997</v>
      </c>
      <c r="AD5" s="4">
        <f t="shared" si="2"/>
        <v>9816.7540000000026</v>
      </c>
      <c r="AE5" s="4">
        <f t="shared" si="2"/>
        <v>9688.5272000000023</v>
      </c>
      <c r="AF5" s="4">
        <f t="shared" si="2"/>
        <v>10274.442600000009</v>
      </c>
      <c r="AG5" s="4">
        <f t="shared" si="2"/>
        <v>10906.315000000001</v>
      </c>
      <c r="AH5" s="4">
        <f t="shared" si="2"/>
        <v>10747.732599999996</v>
      </c>
      <c r="AI5" s="4">
        <f t="shared" si="2"/>
        <v>10833.357999999998</v>
      </c>
      <c r="AJ5" s="4">
        <f t="shared" si="2"/>
        <v>11492.782400000011</v>
      </c>
      <c r="AK5" s="4">
        <f t="shared" si="2"/>
        <v>11039.104400000004</v>
      </c>
      <c r="AL5" s="1"/>
      <c r="AM5" s="4">
        <f>SUM(AM6:AM498)</f>
        <v>11901</v>
      </c>
      <c r="AN5" s="4">
        <f>SUM(AN6:AN498)</f>
        <v>17013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35</v>
      </c>
      <c r="B6" s="1" t="s">
        <v>36</v>
      </c>
      <c r="C6" s="1">
        <v>1859.6569999999999</v>
      </c>
      <c r="D6" s="1">
        <v>2475.8960000000002</v>
      </c>
      <c r="E6" s="1">
        <v>2992.42</v>
      </c>
      <c r="F6" s="1">
        <v>763.81799999999998</v>
      </c>
      <c r="G6" s="7">
        <v>1</v>
      </c>
      <c r="H6" s="1">
        <v>50</v>
      </c>
      <c r="I6" s="1" t="s">
        <v>37</v>
      </c>
      <c r="J6" s="1"/>
      <c r="K6" s="1">
        <v>2963.89</v>
      </c>
      <c r="L6" s="1">
        <f t="shared" ref="L6:L37" si="3">E6-K6</f>
        <v>28.5300000000002</v>
      </c>
      <c r="M6" s="1"/>
      <c r="N6" s="1"/>
      <c r="O6" s="1">
        <v>991.00000000000011</v>
      </c>
      <c r="P6" s="1">
        <v>1009</v>
      </c>
      <c r="Q6" s="1">
        <v>2513.5494300000009</v>
      </c>
      <c r="R6" s="1">
        <f t="shared" ref="R6:R37" si="4">E6/5</f>
        <v>598.48400000000004</v>
      </c>
      <c r="S6" s="5">
        <f>11.5*R6-Q6-P6-O6-F6</f>
        <v>1605.1985699999998</v>
      </c>
      <c r="T6" s="5">
        <f>S6+R6*$T$1</f>
        <v>1353.8352899999998</v>
      </c>
      <c r="U6" s="5">
        <f>T6-V6</f>
        <v>540.18028070999992</v>
      </c>
      <c r="V6" s="5">
        <f>T6*$V$1</f>
        <v>813.65500928999984</v>
      </c>
      <c r="W6" s="5"/>
      <c r="X6" s="17"/>
      <c r="Y6" s="17"/>
      <c r="Z6" s="1">
        <f>(F6+O6+P6+Q6+T6)/R6</f>
        <v>11.080000000000002</v>
      </c>
      <c r="AA6" s="1">
        <f t="shared" ref="AA6:AA37" si="5">(F6+O6+P6+Q6)/R6</f>
        <v>8.8178922577713035</v>
      </c>
      <c r="AB6" s="1">
        <v>595.89340000000004</v>
      </c>
      <c r="AC6" s="1">
        <v>466.50080000000003</v>
      </c>
      <c r="AD6" s="1">
        <v>492.22899999999998</v>
      </c>
      <c r="AE6" s="1">
        <v>529.75339999999994</v>
      </c>
      <c r="AF6" s="1">
        <v>513.3356</v>
      </c>
      <c r="AG6" s="1">
        <v>551.42700000000002</v>
      </c>
      <c r="AH6" s="1">
        <v>517.61120000000005</v>
      </c>
      <c r="AI6" s="1">
        <v>560.27980000000002</v>
      </c>
      <c r="AJ6" s="1">
        <v>683.02780000000007</v>
      </c>
      <c r="AK6" s="1">
        <v>629.77780000000007</v>
      </c>
      <c r="AL6" s="1"/>
      <c r="AM6" s="1">
        <f>ROUND(G6*U6,0)</f>
        <v>540</v>
      </c>
      <c r="AN6" s="1">
        <f>ROUND(G6*V6,0)</f>
        <v>814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38</v>
      </c>
      <c r="B7" s="1" t="s">
        <v>36</v>
      </c>
      <c r="C7" s="1">
        <v>582.11699999999996</v>
      </c>
      <c r="D7" s="1">
        <v>1087.73</v>
      </c>
      <c r="E7" s="1">
        <v>1064.0830000000001</v>
      </c>
      <c r="F7" s="1">
        <v>318.32100000000003</v>
      </c>
      <c r="G7" s="7">
        <v>1</v>
      </c>
      <c r="H7" s="1">
        <v>45</v>
      </c>
      <c r="I7" s="1" t="s">
        <v>37</v>
      </c>
      <c r="J7" s="1"/>
      <c r="K7" s="1">
        <v>1048.18</v>
      </c>
      <c r="L7" s="1">
        <f t="shared" si="3"/>
        <v>15.90300000000002</v>
      </c>
      <c r="M7" s="1"/>
      <c r="N7" s="1"/>
      <c r="O7" s="1">
        <v>396.4</v>
      </c>
      <c r="P7" s="1">
        <v>403.6</v>
      </c>
      <c r="Q7" s="1">
        <v>504.31198999999998</v>
      </c>
      <c r="R7" s="1">
        <f t="shared" si="4"/>
        <v>212.81660000000002</v>
      </c>
      <c r="S7" s="5">
        <f t="shared" ref="S7:S8" si="6">11.5*R7-Q7-P7-O7-F7</f>
        <v>824.75791000000015</v>
      </c>
      <c r="T7" s="5">
        <f t="shared" ref="T7:T8" si="7">S7+R7*$T$1</f>
        <v>735.37493800000016</v>
      </c>
      <c r="U7" s="5">
        <f t="shared" ref="U7:U70" si="8">T7-V7</f>
        <v>293.41460026200008</v>
      </c>
      <c r="V7" s="5">
        <f t="shared" ref="V7:V8" si="9">T7*$V$1</f>
        <v>441.96033773800008</v>
      </c>
      <c r="W7" s="5"/>
      <c r="X7" s="17"/>
      <c r="Y7" s="17"/>
      <c r="Z7" s="1">
        <f t="shared" ref="Z7:Z70" si="10">(F7+O7+P7+Q7+T7)/R7</f>
        <v>11.079999999999998</v>
      </c>
      <c r="AA7" s="1">
        <f t="shared" si="5"/>
        <v>7.6245602551680633</v>
      </c>
      <c r="AB7" s="1">
        <v>200.62620000000001</v>
      </c>
      <c r="AC7" s="1">
        <v>184.89920000000001</v>
      </c>
      <c r="AD7" s="1">
        <v>182.24600000000001</v>
      </c>
      <c r="AE7" s="1">
        <v>212.876</v>
      </c>
      <c r="AF7" s="1">
        <v>220.70779999999999</v>
      </c>
      <c r="AG7" s="1">
        <v>207.75020000000001</v>
      </c>
      <c r="AH7" s="1">
        <v>215.72300000000001</v>
      </c>
      <c r="AI7" s="1">
        <v>234.3954</v>
      </c>
      <c r="AJ7" s="1">
        <v>230.3776</v>
      </c>
      <c r="AK7" s="1">
        <v>285.33019999999999</v>
      </c>
      <c r="AL7" s="1"/>
      <c r="AM7" s="1">
        <f t="shared" ref="AM7:AM70" si="11">ROUND(G7*U7,0)</f>
        <v>293</v>
      </c>
      <c r="AN7" s="1">
        <f t="shared" ref="AN7:AN70" si="12">ROUND(G7*V7,0)</f>
        <v>442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39</v>
      </c>
      <c r="B8" s="1" t="s">
        <v>36</v>
      </c>
      <c r="C8" s="1">
        <v>535.13699999999994</v>
      </c>
      <c r="D8" s="1">
        <v>1279.364</v>
      </c>
      <c r="E8" s="1">
        <v>1089.2460000000001</v>
      </c>
      <c r="F8" s="1">
        <v>445.339</v>
      </c>
      <c r="G8" s="7">
        <v>1</v>
      </c>
      <c r="H8" s="1">
        <v>45</v>
      </c>
      <c r="I8" s="9" t="s">
        <v>40</v>
      </c>
      <c r="J8" s="1"/>
      <c r="K8" s="1">
        <v>1093.8499999999999</v>
      </c>
      <c r="L8" s="1">
        <f t="shared" si="3"/>
        <v>-4.6039999999998145</v>
      </c>
      <c r="M8" s="1"/>
      <c r="N8" s="1"/>
      <c r="O8" s="1">
        <v>346.85</v>
      </c>
      <c r="P8" s="1">
        <v>353.15</v>
      </c>
      <c r="Q8" s="1">
        <v>559.04163000000028</v>
      </c>
      <c r="R8" s="1">
        <f t="shared" si="4"/>
        <v>217.84920000000002</v>
      </c>
      <c r="S8" s="5">
        <f t="shared" si="6"/>
        <v>800.88517000000002</v>
      </c>
      <c r="T8" s="5">
        <f t="shared" si="7"/>
        <v>709.38850600000001</v>
      </c>
      <c r="U8" s="5">
        <f t="shared" si="8"/>
        <v>283.046013894</v>
      </c>
      <c r="V8" s="5">
        <f t="shared" si="9"/>
        <v>426.34249210600001</v>
      </c>
      <c r="W8" s="5"/>
      <c r="X8" s="17"/>
      <c r="Y8" s="17"/>
      <c r="Z8" s="1">
        <f t="shared" si="10"/>
        <v>11.079999999999998</v>
      </c>
      <c r="AA8" s="1">
        <f t="shared" si="5"/>
        <v>7.8236717417369439</v>
      </c>
      <c r="AB8" s="1">
        <v>205.40940000000001</v>
      </c>
      <c r="AC8" s="1">
        <v>190.92339999999999</v>
      </c>
      <c r="AD8" s="1">
        <v>198.07759999999999</v>
      </c>
      <c r="AE8" s="1">
        <v>222.83099999999999</v>
      </c>
      <c r="AF8" s="1">
        <v>217.4478</v>
      </c>
      <c r="AG8" s="1">
        <v>214.1678</v>
      </c>
      <c r="AH8" s="1">
        <v>218.27119999999999</v>
      </c>
      <c r="AI8" s="1">
        <v>225.20240000000001</v>
      </c>
      <c r="AJ8" s="1">
        <v>269.71019999999999</v>
      </c>
      <c r="AK8" s="1">
        <v>293.387</v>
      </c>
      <c r="AL8" s="1"/>
      <c r="AM8" s="1">
        <f t="shared" si="11"/>
        <v>283</v>
      </c>
      <c r="AN8" s="1">
        <f t="shared" si="12"/>
        <v>426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>
        <v>0</v>
      </c>
      <c r="R9" s="10">
        <f t="shared" si="4"/>
        <v>0</v>
      </c>
      <c r="S9" s="12"/>
      <c r="T9" s="5">
        <f t="shared" ref="T9:T70" si="13">S9</f>
        <v>0</v>
      </c>
      <c r="U9" s="5">
        <f t="shared" si="8"/>
        <v>0</v>
      </c>
      <c r="V9" s="5"/>
      <c r="W9" s="5"/>
      <c r="X9" s="17"/>
      <c r="Y9" s="17"/>
      <c r="Z9" s="1" t="e">
        <f t="shared" si="10"/>
        <v>#DIV/0!</v>
      </c>
      <c r="AA9" s="10" t="e">
        <f t="shared" si="5"/>
        <v>#DIV/0!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 t="s">
        <v>43</v>
      </c>
      <c r="AM9" s="1">
        <f t="shared" si="11"/>
        <v>0</v>
      </c>
      <c r="AN9" s="1">
        <f t="shared" si="12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44</v>
      </c>
      <c r="B10" s="1" t="s">
        <v>42</v>
      </c>
      <c r="C10" s="1">
        <v>450</v>
      </c>
      <c r="D10" s="1">
        <v>940</v>
      </c>
      <c r="E10" s="1">
        <v>750</v>
      </c>
      <c r="F10" s="1">
        <v>434</v>
      </c>
      <c r="G10" s="7">
        <v>0.45</v>
      </c>
      <c r="H10" s="1">
        <v>45</v>
      </c>
      <c r="I10" s="1" t="s">
        <v>37</v>
      </c>
      <c r="J10" s="1"/>
      <c r="K10" s="1">
        <v>793</v>
      </c>
      <c r="L10" s="1">
        <f t="shared" si="3"/>
        <v>-43</v>
      </c>
      <c r="M10" s="1"/>
      <c r="N10" s="1"/>
      <c r="O10" s="1">
        <v>176.62593000000001</v>
      </c>
      <c r="P10" s="1">
        <v>179.83407</v>
      </c>
      <c r="Q10" s="1">
        <v>236.65000000000029</v>
      </c>
      <c r="R10" s="1">
        <f t="shared" si="4"/>
        <v>150</v>
      </c>
      <c r="S10" s="5">
        <f t="shared" ref="S10:S22" si="14">11.5*R10-Q10-P10-O10-F10</f>
        <v>697.88999999999965</v>
      </c>
      <c r="T10" s="5">
        <f t="shared" ref="T10:T11" si="15">S10+R10*$T$1</f>
        <v>634.88999999999965</v>
      </c>
      <c r="U10" s="5">
        <f t="shared" si="8"/>
        <v>253.32110999999986</v>
      </c>
      <c r="V10" s="5">
        <f t="shared" ref="V10:V11" si="16">T10*$V$1</f>
        <v>381.56888999999978</v>
      </c>
      <c r="W10" s="5"/>
      <c r="X10" s="17"/>
      <c r="Y10" s="17"/>
      <c r="Z10" s="1">
        <f t="shared" si="10"/>
        <v>11.08</v>
      </c>
      <c r="AA10" s="1">
        <f t="shared" si="5"/>
        <v>6.8474000000000022</v>
      </c>
      <c r="AB10" s="1">
        <v>131.80000000000001</v>
      </c>
      <c r="AC10" s="1">
        <v>135.6</v>
      </c>
      <c r="AD10" s="1">
        <v>150.19999999999999</v>
      </c>
      <c r="AE10" s="1">
        <v>141.80000000000001</v>
      </c>
      <c r="AF10" s="1">
        <v>138.80000000000001</v>
      </c>
      <c r="AG10" s="1">
        <v>146</v>
      </c>
      <c r="AH10" s="1">
        <v>145.4</v>
      </c>
      <c r="AI10" s="1">
        <v>163.19999999999999</v>
      </c>
      <c r="AJ10" s="1">
        <v>166.4</v>
      </c>
      <c r="AK10" s="1">
        <v>157.4</v>
      </c>
      <c r="AL10" s="1"/>
      <c r="AM10" s="1">
        <f t="shared" si="11"/>
        <v>114</v>
      </c>
      <c r="AN10" s="1">
        <f t="shared" si="12"/>
        <v>172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45</v>
      </c>
      <c r="B11" s="1" t="s">
        <v>42</v>
      </c>
      <c r="C11" s="1">
        <v>540</v>
      </c>
      <c r="D11" s="1">
        <v>1318</v>
      </c>
      <c r="E11" s="1">
        <v>909</v>
      </c>
      <c r="F11" s="1">
        <v>641</v>
      </c>
      <c r="G11" s="7">
        <v>0.45</v>
      </c>
      <c r="H11" s="1">
        <v>45</v>
      </c>
      <c r="I11" s="1" t="s">
        <v>37</v>
      </c>
      <c r="J11" s="1"/>
      <c r="K11" s="1">
        <v>965</v>
      </c>
      <c r="L11" s="1">
        <f t="shared" si="3"/>
        <v>-56</v>
      </c>
      <c r="M11" s="1"/>
      <c r="N11" s="1"/>
      <c r="O11" s="1">
        <v>248.0740277655004</v>
      </c>
      <c r="P11" s="1">
        <v>252.57991323450031</v>
      </c>
      <c r="Q11" s="1">
        <v>258.09605899999929</v>
      </c>
      <c r="R11" s="1">
        <f t="shared" si="4"/>
        <v>181.8</v>
      </c>
      <c r="S11" s="5">
        <f t="shared" si="14"/>
        <v>690.95000000000027</v>
      </c>
      <c r="T11" s="5">
        <f t="shared" si="15"/>
        <v>614.59400000000028</v>
      </c>
      <c r="U11" s="5">
        <f t="shared" si="8"/>
        <v>245.22300600000011</v>
      </c>
      <c r="V11" s="5">
        <f t="shared" si="16"/>
        <v>369.37099400000017</v>
      </c>
      <c r="W11" s="5"/>
      <c r="X11" s="17"/>
      <c r="Y11" s="17"/>
      <c r="Z11" s="1">
        <f t="shared" si="10"/>
        <v>11.08</v>
      </c>
      <c r="AA11" s="1">
        <f t="shared" si="5"/>
        <v>7.6993949394939492</v>
      </c>
      <c r="AB11" s="1">
        <v>175</v>
      </c>
      <c r="AC11" s="1">
        <v>184.4</v>
      </c>
      <c r="AD11" s="1">
        <v>201.2</v>
      </c>
      <c r="AE11" s="1">
        <v>207.4</v>
      </c>
      <c r="AF11" s="1">
        <v>199.2</v>
      </c>
      <c r="AG11" s="1">
        <v>198.6</v>
      </c>
      <c r="AH11" s="1">
        <v>206</v>
      </c>
      <c r="AI11" s="1">
        <v>206.2</v>
      </c>
      <c r="AJ11" s="1">
        <v>205.4</v>
      </c>
      <c r="AK11" s="1">
        <v>250.2</v>
      </c>
      <c r="AL11" s="1"/>
      <c r="AM11" s="1">
        <f t="shared" si="11"/>
        <v>110</v>
      </c>
      <c r="AN11" s="1">
        <f t="shared" si="12"/>
        <v>166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46</v>
      </c>
      <c r="B12" s="1" t="s">
        <v>42</v>
      </c>
      <c r="C12" s="1">
        <v>43</v>
      </c>
      <c r="D12" s="1">
        <v>120</v>
      </c>
      <c r="E12" s="1">
        <v>82</v>
      </c>
      <c r="F12" s="1">
        <v>61</v>
      </c>
      <c r="G12" s="7">
        <v>0.17</v>
      </c>
      <c r="H12" s="1">
        <v>180</v>
      </c>
      <c r="I12" s="1" t="s">
        <v>37</v>
      </c>
      <c r="J12" s="1"/>
      <c r="K12" s="1">
        <v>86</v>
      </c>
      <c r="L12" s="1">
        <f t="shared" si="3"/>
        <v>-4</v>
      </c>
      <c r="M12" s="1"/>
      <c r="N12" s="1"/>
      <c r="O12" s="1">
        <v>40.199999999999989</v>
      </c>
      <c r="P12" s="1"/>
      <c r="Q12" s="1">
        <v>17.969999999999992</v>
      </c>
      <c r="R12" s="1">
        <f t="shared" si="4"/>
        <v>16.399999999999999</v>
      </c>
      <c r="S12" s="5">
        <f t="shared" si="14"/>
        <v>69.430000000000007</v>
      </c>
      <c r="T12" s="5">
        <f t="shared" si="13"/>
        <v>69.430000000000007</v>
      </c>
      <c r="U12" s="5">
        <f t="shared" si="8"/>
        <v>69.430000000000007</v>
      </c>
      <c r="V12" s="5"/>
      <c r="W12" s="5"/>
      <c r="X12" s="17"/>
      <c r="Y12" s="17"/>
      <c r="Z12" s="1">
        <f t="shared" si="10"/>
        <v>11.5</v>
      </c>
      <c r="AA12" s="1">
        <f t="shared" si="5"/>
        <v>7.2664634146341465</v>
      </c>
      <c r="AB12" s="1">
        <v>14.6</v>
      </c>
      <c r="AC12" s="1">
        <v>13.6</v>
      </c>
      <c r="AD12" s="1">
        <v>13</v>
      </c>
      <c r="AE12" s="1">
        <v>14.4</v>
      </c>
      <c r="AF12" s="1">
        <v>14.8</v>
      </c>
      <c r="AG12" s="1">
        <v>11.8</v>
      </c>
      <c r="AH12" s="1">
        <v>11</v>
      </c>
      <c r="AI12" s="1">
        <v>15.8</v>
      </c>
      <c r="AJ12" s="1">
        <v>20.399999999999999</v>
      </c>
      <c r="AK12" s="1">
        <v>21.4</v>
      </c>
      <c r="AL12" s="1"/>
      <c r="AM12" s="1">
        <f t="shared" si="11"/>
        <v>12</v>
      </c>
      <c r="AN12" s="1">
        <f t="shared" si="12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47</v>
      </c>
      <c r="B13" s="1" t="s">
        <v>42</v>
      </c>
      <c r="C13" s="1">
        <v>174</v>
      </c>
      <c r="D13" s="1">
        <v>12</v>
      </c>
      <c r="E13" s="1">
        <v>130</v>
      </c>
      <c r="F13" s="1">
        <v>36</v>
      </c>
      <c r="G13" s="7">
        <v>0.3</v>
      </c>
      <c r="H13" s="1">
        <v>40</v>
      </c>
      <c r="I13" s="1" t="s">
        <v>37</v>
      </c>
      <c r="J13" s="1"/>
      <c r="K13" s="1">
        <v>136</v>
      </c>
      <c r="L13" s="1">
        <f t="shared" si="3"/>
        <v>-6</v>
      </c>
      <c r="M13" s="1"/>
      <c r="N13" s="1"/>
      <c r="O13" s="1">
        <v>10.759999999999989</v>
      </c>
      <c r="P13" s="1"/>
      <c r="Q13" s="1">
        <v>148.44</v>
      </c>
      <c r="R13" s="1">
        <f t="shared" si="4"/>
        <v>26</v>
      </c>
      <c r="S13" s="5">
        <f t="shared" si="14"/>
        <v>103.80000000000001</v>
      </c>
      <c r="T13" s="5">
        <f t="shared" si="13"/>
        <v>103.80000000000001</v>
      </c>
      <c r="U13" s="5">
        <f t="shared" si="8"/>
        <v>41.416200000000003</v>
      </c>
      <c r="V13" s="5">
        <f>T13*$V$1</f>
        <v>62.383800000000008</v>
      </c>
      <c r="W13" s="5"/>
      <c r="X13" s="17"/>
      <c r="Y13" s="17"/>
      <c r="Z13" s="1">
        <f t="shared" si="10"/>
        <v>11.5</v>
      </c>
      <c r="AA13" s="1">
        <f t="shared" si="5"/>
        <v>7.5076923076923077</v>
      </c>
      <c r="AB13" s="1">
        <v>26.8</v>
      </c>
      <c r="AC13" s="1">
        <v>28.8</v>
      </c>
      <c r="AD13" s="1">
        <v>34.799999999999997</v>
      </c>
      <c r="AE13" s="1">
        <v>24.4</v>
      </c>
      <c r="AF13" s="1">
        <v>28.4</v>
      </c>
      <c r="AG13" s="1">
        <v>36</v>
      </c>
      <c r="AH13" s="1">
        <v>39.4</v>
      </c>
      <c r="AI13" s="1">
        <v>26</v>
      </c>
      <c r="AJ13" s="1">
        <v>10.8</v>
      </c>
      <c r="AK13" s="1">
        <v>12.4</v>
      </c>
      <c r="AL13" s="1"/>
      <c r="AM13" s="1">
        <f t="shared" si="11"/>
        <v>12</v>
      </c>
      <c r="AN13" s="1">
        <f t="shared" si="12"/>
        <v>19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48</v>
      </c>
      <c r="B14" s="1" t="s">
        <v>42</v>
      </c>
      <c r="C14" s="1">
        <v>139</v>
      </c>
      <c r="D14" s="1">
        <v>345</v>
      </c>
      <c r="E14" s="1">
        <v>207</v>
      </c>
      <c r="F14" s="1">
        <v>202</v>
      </c>
      <c r="G14" s="7">
        <v>0.17</v>
      </c>
      <c r="H14" s="1">
        <v>180</v>
      </c>
      <c r="I14" s="1" t="s">
        <v>37</v>
      </c>
      <c r="J14" s="1"/>
      <c r="K14" s="1">
        <v>208</v>
      </c>
      <c r="L14" s="1">
        <f t="shared" si="3"/>
        <v>-1</v>
      </c>
      <c r="M14" s="1"/>
      <c r="N14" s="1"/>
      <c r="O14" s="1">
        <v>103.7081499999999</v>
      </c>
      <c r="P14" s="1">
        <v>105.59184999999989</v>
      </c>
      <c r="Q14" s="1">
        <v>0</v>
      </c>
      <c r="R14" s="1">
        <f t="shared" si="4"/>
        <v>41.4</v>
      </c>
      <c r="S14" s="5">
        <f t="shared" si="14"/>
        <v>64.800000000000182</v>
      </c>
      <c r="T14" s="5">
        <f t="shared" si="13"/>
        <v>64.800000000000182</v>
      </c>
      <c r="U14" s="5">
        <f t="shared" si="8"/>
        <v>64.800000000000182</v>
      </c>
      <c r="V14" s="5"/>
      <c r="W14" s="5"/>
      <c r="X14" s="17"/>
      <c r="Y14" s="17"/>
      <c r="Z14" s="1">
        <f t="shared" si="10"/>
        <v>11.500000000000002</v>
      </c>
      <c r="AA14" s="1">
        <f t="shared" si="5"/>
        <v>9.9347826086956488</v>
      </c>
      <c r="AB14" s="1">
        <v>38.799999999999997</v>
      </c>
      <c r="AC14" s="1">
        <v>53.8</v>
      </c>
      <c r="AD14" s="1">
        <v>51</v>
      </c>
      <c r="AE14" s="1">
        <v>41</v>
      </c>
      <c r="AF14" s="1">
        <v>42.6</v>
      </c>
      <c r="AG14" s="1">
        <v>45.8</v>
      </c>
      <c r="AH14" s="1">
        <v>48.6</v>
      </c>
      <c r="AI14" s="1">
        <v>53.8</v>
      </c>
      <c r="AJ14" s="1">
        <v>56.6</v>
      </c>
      <c r="AK14" s="1">
        <v>54.4</v>
      </c>
      <c r="AL14" s="1"/>
      <c r="AM14" s="1">
        <f t="shared" si="11"/>
        <v>11</v>
      </c>
      <c r="AN14" s="1">
        <f t="shared" si="12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49</v>
      </c>
      <c r="B15" s="1" t="s">
        <v>36</v>
      </c>
      <c r="C15" s="1">
        <v>1096.6479999999999</v>
      </c>
      <c r="D15" s="1">
        <v>911.12599999999998</v>
      </c>
      <c r="E15" s="1">
        <v>1063.6469999999999</v>
      </c>
      <c r="F15" s="1">
        <v>683.99599999999998</v>
      </c>
      <c r="G15" s="7">
        <v>1</v>
      </c>
      <c r="H15" s="1">
        <v>70</v>
      </c>
      <c r="I15" s="1" t="s">
        <v>37</v>
      </c>
      <c r="J15" s="1"/>
      <c r="K15" s="1">
        <v>1052.875</v>
      </c>
      <c r="L15" s="1">
        <f t="shared" si="3"/>
        <v>10.771999999999935</v>
      </c>
      <c r="M15" s="1"/>
      <c r="N15" s="1"/>
      <c r="O15" s="1">
        <v>495.50000000000011</v>
      </c>
      <c r="P15" s="1">
        <v>504.49999999999989</v>
      </c>
      <c r="Q15" s="1">
        <v>197.61519999999999</v>
      </c>
      <c r="R15" s="1">
        <f t="shared" si="4"/>
        <v>212.7294</v>
      </c>
      <c r="S15" s="5">
        <f t="shared" si="14"/>
        <v>564.77689999999996</v>
      </c>
      <c r="T15" s="5">
        <f t="shared" ref="T15:T16" si="17">S15+R15*$T$1</f>
        <v>475.43055199999998</v>
      </c>
      <c r="U15" s="5">
        <f t="shared" si="8"/>
        <v>189.69679024800001</v>
      </c>
      <c r="V15" s="5">
        <f t="shared" ref="V15:V16" si="18">T15*$V$1</f>
        <v>285.73376175199996</v>
      </c>
      <c r="W15" s="5"/>
      <c r="X15" s="17"/>
      <c r="Y15" s="17"/>
      <c r="Z15" s="1">
        <f t="shared" si="10"/>
        <v>11.08</v>
      </c>
      <c r="AA15" s="1">
        <f t="shared" si="5"/>
        <v>8.8450924037768175</v>
      </c>
      <c r="AB15" s="1">
        <v>208.01599999999999</v>
      </c>
      <c r="AC15" s="1">
        <v>228.04939999999999</v>
      </c>
      <c r="AD15" s="1">
        <v>224.29179999999999</v>
      </c>
      <c r="AE15" s="1">
        <v>230.38239999999999</v>
      </c>
      <c r="AF15" s="1">
        <v>239.61060000000001</v>
      </c>
      <c r="AG15" s="1">
        <v>266.99099999999999</v>
      </c>
      <c r="AH15" s="1">
        <v>267.36419999999998</v>
      </c>
      <c r="AI15" s="1">
        <v>230.82159999999999</v>
      </c>
      <c r="AJ15" s="1">
        <v>233.12559999999999</v>
      </c>
      <c r="AK15" s="1">
        <v>259.81060000000002</v>
      </c>
      <c r="AL15" s="1"/>
      <c r="AM15" s="1">
        <f t="shared" si="11"/>
        <v>190</v>
      </c>
      <c r="AN15" s="1">
        <f t="shared" si="12"/>
        <v>286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50</v>
      </c>
      <c r="B16" s="1" t="s">
        <v>36</v>
      </c>
      <c r="C16" s="1">
        <v>3526.5880000000002</v>
      </c>
      <c r="D16" s="1">
        <v>1988.7860000000001</v>
      </c>
      <c r="E16" s="1">
        <v>3976.7919999999999</v>
      </c>
      <c r="F16" s="1">
        <v>459.51499999999999</v>
      </c>
      <c r="G16" s="7">
        <v>1</v>
      </c>
      <c r="H16" s="1">
        <v>50</v>
      </c>
      <c r="I16" s="1" t="s">
        <v>37</v>
      </c>
      <c r="J16" s="1"/>
      <c r="K16" s="1">
        <v>4016.3</v>
      </c>
      <c r="L16" s="1">
        <f t="shared" si="3"/>
        <v>-39.508000000000266</v>
      </c>
      <c r="M16" s="1"/>
      <c r="N16" s="1"/>
      <c r="O16" s="1">
        <v>2229.75</v>
      </c>
      <c r="P16" s="1">
        <v>2270.25</v>
      </c>
      <c r="Q16" s="1">
        <v>1255.168210000001</v>
      </c>
      <c r="R16" s="1">
        <f t="shared" si="4"/>
        <v>795.35839999999996</v>
      </c>
      <c r="S16" s="5">
        <f t="shared" si="14"/>
        <v>2931.9383899999998</v>
      </c>
      <c r="T16" s="5">
        <f t="shared" si="17"/>
        <v>2597.8878619999996</v>
      </c>
      <c r="U16" s="5">
        <f t="shared" si="8"/>
        <v>1036.5572569379999</v>
      </c>
      <c r="V16" s="5">
        <f t="shared" si="18"/>
        <v>1561.3306050619997</v>
      </c>
      <c r="W16" s="5">
        <v>350</v>
      </c>
      <c r="X16" s="17"/>
      <c r="Y16" s="17"/>
      <c r="Z16" s="1">
        <f t="shared" si="10"/>
        <v>11.079999999999998</v>
      </c>
      <c r="AA16" s="1">
        <f t="shared" si="5"/>
        <v>7.8136890362885465</v>
      </c>
      <c r="AB16" s="1">
        <v>775.00980000000004</v>
      </c>
      <c r="AC16" s="1">
        <v>780.07339999999999</v>
      </c>
      <c r="AD16" s="1">
        <v>675.8442</v>
      </c>
      <c r="AE16" s="1">
        <v>640.81600000000003</v>
      </c>
      <c r="AF16" s="1">
        <v>767.41360000000009</v>
      </c>
      <c r="AG16" s="1">
        <v>828.15359999999998</v>
      </c>
      <c r="AH16" s="1">
        <v>790.303</v>
      </c>
      <c r="AI16" s="1">
        <v>764.45860000000005</v>
      </c>
      <c r="AJ16" s="1">
        <v>816.20259999999996</v>
      </c>
      <c r="AK16" s="1">
        <v>828.27839999999992</v>
      </c>
      <c r="AL16" s="1"/>
      <c r="AM16" s="1">
        <f t="shared" si="11"/>
        <v>1037</v>
      </c>
      <c r="AN16" s="1">
        <f t="shared" si="12"/>
        <v>1561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51</v>
      </c>
      <c r="B17" s="1" t="s">
        <v>36</v>
      </c>
      <c r="C17" s="1">
        <v>137.94900000000001</v>
      </c>
      <c r="D17" s="1"/>
      <c r="E17" s="1">
        <v>71.516000000000005</v>
      </c>
      <c r="F17" s="1">
        <v>47.545999999999999</v>
      </c>
      <c r="G17" s="7">
        <v>1</v>
      </c>
      <c r="H17" s="1">
        <v>60</v>
      </c>
      <c r="I17" s="1" t="s">
        <v>37</v>
      </c>
      <c r="J17" s="1"/>
      <c r="K17" s="1">
        <v>70.13</v>
      </c>
      <c r="L17" s="1">
        <f t="shared" si="3"/>
        <v>1.3860000000000099</v>
      </c>
      <c r="M17" s="1"/>
      <c r="N17" s="1"/>
      <c r="O17" s="1">
        <v>41.22229999999999</v>
      </c>
      <c r="P17" s="1"/>
      <c r="Q17" s="1">
        <v>48.839610000000043</v>
      </c>
      <c r="R17" s="1">
        <f t="shared" si="4"/>
        <v>14.3032</v>
      </c>
      <c r="S17" s="5">
        <f t="shared" si="14"/>
        <v>26.878889999999977</v>
      </c>
      <c r="T17" s="5">
        <f t="shared" si="13"/>
        <v>26.878889999999977</v>
      </c>
      <c r="U17" s="5">
        <f t="shared" si="8"/>
        <v>26.878889999999977</v>
      </c>
      <c r="V17" s="5"/>
      <c r="W17" s="5"/>
      <c r="X17" s="17"/>
      <c r="Y17" s="17"/>
      <c r="Z17" s="1">
        <f t="shared" si="10"/>
        <v>11.5</v>
      </c>
      <c r="AA17" s="1">
        <f t="shared" si="5"/>
        <v>9.6207778678897053</v>
      </c>
      <c r="AB17" s="1">
        <v>16.235800000000001</v>
      </c>
      <c r="AC17" s="1">
        <v>14.9642</v>
      </c>
      <c r="AD17" s="1">
        <v>13.9262</v>
      </c>
      <c r="AE17" s="1">
        <v>16.6556</v>
      </c>
      <c r="AF17" s="1">
        <v>20.724799999999998</v>
      </c>
      <c r="AG17" s="1">
        <v>23.348199999999999</v>
      </c>
      <c r="AH17" s="1">
        <v>19.873799999999999</v>
      </c>
      <c r="AI17" s="1">
        <v>16.658200000000001</v>
      </c>
      <c r="AJ17" s="1">
        <v>19.036799999999999</v>
      </c>
      <c r="AK17" s="1">
        <v>21.176200000000001</v>
      </c>
      <c r="AL17" s="1"/>
      <c r="AM17" s="1">
        <f t="shared" si="11"/>
        <v>27</v>
      </c>
      <c r="AN17" s="1">
        <f t="shared" si="12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52</v>
      </c>
      <c r="B18" s="1" t="s">
        <v>36</v>
      </c>
      <c r="C18" s="1">
        <v>100.098</v>
      </c>
      <c r="D18" s="1">
        <v>42.26</v>
      </c>
      <c r="E18" s="1">
        <v>82.638999999999996</v>
      </c>
      <c r="F18" s="1">
        <v>35.063000000000002</v>
      </c>
      <c r="G18" s="7">
        <v>1</v>
      </c>
      <c r="H18" s="1">
        <v>60</v>
      </c>
      <c r="I18" s="1" t="s">
        <v>37</v>
      </c>
      <c r="J18" s="1"/>
      <c r="K18" s="1">
        <v>79.41</v>
      </c>
      <c r="L18" s="1">
        <f t="shared" si="3"/>
        <v>3.2289999999999992</v>
      </c>
      <c r="M18" s="1"/>
      <c r="N18" s="1"/>
      <c r="O18" s="1">
        <v>28.44770000000003</v>
      </c>
      <c r="P18" s="1"/>
      <c r="Q18" s="1">
        <v>0</v>
      </c>
      <c r="R18" s="1">
        <f t="shared" si="4"/>
        <v>16.527799999999999</v>
      </c>
      <c r="S18" s="5">
        <f t="shared" si="14"/>
        <v>126.55899999999995</v>
      </c>
      <c r="T18" s="5">
        <f t="shared" si="13"/>
        <v>126.55899999999995</v>
      </c>
      <c r="U18" s="5">
        <f t="shared" si="8"/>
        <v>50.497040999999982</v>
      </c>
      <c r="V18" s="5">
        <f>T18*$V$1</f>
        <v>76.061958999999973</v>
      </c>
      <c r="W18" s="5"/>
      <c r="X18" s="17"/>
      <c r="Y18" s="17"/>
      <c r="Z18" s="1">
        <f t="shared" si="10"/>
        <v>11.5</v>
      </c>
      <c r="AA18" s="1">
        <f t="shared" si="5"/>
        <v>3.8426590350802909</v>
      </c>
      <c r="AB18" s="1">
        <v>9.158199999999999</v>
      </c>
      <c r="AC18" s="1">
        <v>12.9864</v>
      </c>
      <c r="AD18" s="1">
        <v>14.903</v>
      </c>
      <c r="AE18" s="1">
        <v>10.818</v>
      </c>
      <c r="AF18" s="1">
        <v>13.6614</v>
      </c>
      <c r="AG18" s="1">
        <v>18.693000000000001</v>
      </c>
      <c r="AH18" s="1">
        <v>17.530200000000001</v>
      </c>
      <c r="AI18" s="1">
        <v>12.1244</v>
      </c>
      <c r="AJ18" s="1">
        <v>14.151199999999999</v>
      </c>
      <c r="AK18" s="1">
        <v>20.768999999999998</v>
      </c>
      <c r="AL18" s="1"/>
      <c r="AM18" s="1">
        <f t="shared" si="11"/>
        <v>50</v>
      </c>
      <c r="AN18" s="1">
        <f t="shared" si="12"/>
        <v>76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53</v>
      </c>
      <c r="B19" s="1" t="s">
        <v>36</v>
      </c>
      <c r="C19" s="1">
        <v>-2.9340000000000002</v>
      </c>
      <c r="D19" s="1">
        <v>43.030999999999999</v>
      </c>
      <c r="E19" s="1">
        <v>10.465</v>
      </c>
      <c r="F19" s="1">
        <v>28.187999999999999</v>
      </c>
      <c r="G19" s="7">
        <v>1</v>
      </c>
      <c r="H19" s="1">
        <v>180</v>
      </c>
      <c r="I19" s="1" t="s">
        <v>37</v>
      </c>
      <c r="J19" s="1"/>
      <c r="K19" s="1">
        <v>11.83</v>
      </c>
      <c r="L19" s="1">
        <f t="shared" si="3"/>
        <v>-1.3650000000000002</v>
      </c>
      <c r="M19" s="1"/>
      <c r="N19" s="1"/>
      <c r="O19" s="1">
        <v>10.338200000000001</v>
      </c>
      <c r="P19" s="1"/>
      <c r="Q19" s="1">
        <v>0</v>
      </c>
      <c r="R19" s="1">
        <f t="shared" si="4"/>
        <v>2.093</v>
      </c>
      <c r="S19" s="5"/>
      <c r="T19" s="5">
        <f t="shared" si="13"/>
        <v>0</v>
      </c>
      <c r="U19" s="5">
        <f t="shared" si="8"/>
        <v>0</v>
      </c>
      <c r="V19" s="5"/>
      <c r="W19" s="5"/>
      <c r="X19" s="17"/>
      <c r="Y19" s="17"/>
      <c r="Z19" s="1">
        <f t="shared" si="10"/>
        <v>18.407166746297182</v>
      </c>
      <c r="AA19" s="1">
        <f t="shared" si="5"/>
        <v>18.407166746297182</v>
      </c>
      <c r="AB19" s="1">
        <v>2.0362</v>
      </c>
      <c r="AC19" s="1">
        <v>3.6604000000000001</v>
      </c>
      <c r="AD19" s="1">
        <v>3.3679999999999999</v>
      </c>
      <c r="AE19" s="1">
        <v>1.5246</v>
      </c>
      <c r="AF19" s="1">
        <v>1.8056000000000001</v>
      </c>
      <c r="AG19" s="1">
        <v>1.9366000000000001</v>
      </c>
      <c r="AH19" s="1">
        <v>1.5718000000000001</v>
      </c>
      <c r="AI19" s="1">
        <v>1.7906</v>
      </c>
      <c r="AJ19" s="1">
        <v>2.5901999999999998</v>
      </c>
      <c r="AK19" s="1">
        <v>1.7988</v>
      </c>
      <c r="AL19" s="1"/>
      <c r="AM19" s="1">
        <f t="shared" si="11"/>
        <v>0</v>
      </c>
      <c r="AN19" s="1">
        <f t="shared" si="12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54</v>
      </c>
      <c r="B20" s="1" t="s">
        <v>36</v>
      </c>
      <c r="C20" s="1">
        <v>1192.039</v>
      </c>
      <c r="D20" s="1">
        <v>803.21</v>
      </c>
      <c r="E20" s="1">
        <v>1347.18</v>
      </c>
      <c r="F20" s="1">
        <v>366.02</v>
      </c>
      <c r="G20" s="7">
        <v>1</v>
      </c>
      <c r="H20" s="1">
        <v>60</v>
      </c>
      <c r="I20" s="1" t="s">
        <v>37</v>
      </c>
      <c r="J20" s="1"/>
      <c r="K20" s="1">
        <v>1316.25</v>
      </c>
      <c r="L20" s="1">
        <f t="shared" si="3"/>
        <v>30.930000000000064</v>
      </c>
      <c r="M20" s="1"/>
      <c r="N20" s="1"/>
      <c r="O20" s="1">
        <v>647.53407652889712</v>
      </c>
      <c r="P20" s="1">
        <v>659.29554310560763</v>
      </c>
      <c r="Q20" s="1">
        <v>511.51721036549549</v>
      </c>
      <c r="R20" s="1">
        <f t="shared" si="4"/>
        <v>269.43600000000004</v>
      </c>
      <c r="S20" s="5">
        <f t="shared" si="14"/>
        <v>914.14717000000064</v>
      </c>
      <c r="T20" s="5">
        <f>S20+R20*$T$1</f>
        <v>800.98405000000059</v>
      </c>
      <c r="U20" s="5">
        <f t="shared" si="8"/>
        <v>319.59263595000027</v>
      </c>
      <c r="V20" s="5">
        <f t="shared" ref="V20:V22" si="19">T20*$V$1</f>
        <v>481.39141405000032</v>
      </c>
      <c r="W20" s="5"/>
      <c r="X20" s="17"/>
      <c r="Y20" s="17"/>
      <c r="Z20" s="1">
        <f t="shared" si="10"/>
        <v>11.080000000000002</v>
      </c>
      <c r="AA20" s="1">
        <f t="shared" si="5"/>
        <v>8.1071825220089373</v>
      </c>
      <c r="AB20" s="1">
        <v>262.96539999999999</v>
      </c>
      <c r="AC20" s="1">
        <v>261.03739999999999</v>
      </c>
      <c r="AD20" s="1">
        <v>231.03299999999999</v>
      </c>
      <c r="AE20" s="1">
        <v>231.0196</v>
      </c>
      <c r="AF20" s="1">
        <v>266.68880000000001</v>
      </c>
      <c r="AG20" s="1">
        <v>289.93419999999998</v>
      </c>
      <c r="AH20" s="1">
        <v>292.35160000000002</v>
      </c>
      <c r="AI20" s="1">
        <v>267.48160000000001</v>
      </c>
      <c r="AJ20" s="1">
        <v>272.67099999999999</v>
      </c>
      <c r="AK20" s="1">
        <v>299.54820000000001</v>
      </c>
      <c r="AL20" s="1"/>
      <c r="AM20" s="1">
        <f t="shared" si="11"/>
        <v>320</v>
      </c>
      <c r="AN20" s="1">
        <f t="shared" si="12"/>
        <v>481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55</v>
      </c>
      <c r="B21" s="1" t="s">
        <v>36</v>
      </c>
      <c r="C21" s="1">
        <v>268.33499999999998</v>
      </c>
      <c r="D21" s="1">
        <v>100.114</v>
      </c>
      <c r="E21" s="1">
        <v>184.67699999999999</v>
      </c>
      <c r="F21" s="1">
        <v>122.33799999999999</v>
      </c>
      <c r="G21" s="7">
        <v>1</v>
      </c>
      <c r="H21" s="1">
        <v>70</v>
      </c>
      <c r="I21" s="1" t="s">
        <v>37</v>
      </c>
      <c r="J21" s="1"/>
      <c r="K21" s="1">
        <v>179.26</v>
      </c>
      <c r="L21" s="1">
        <f t="shared" si="3"/>
        <v>5.4170000000000016</v>
      </c>
      <c r="M21" s="1"/>
      <c r="N21" s="1"/>
      <c r="O21" s="1">
        <v>61.744067205499952</v>
      </c>
      <c r="P21" s="1">
        <v>62.865553794499938</v>
      </c>
      <c r="Q21" s="1">
        <v>38.685419000000053</v>
      </c>
      <c r="R21" s="1">
        <f t="shared" si="4"/>
        <v>36.935400000000001</v>
      </c>
      <c r="S21" s="5">
        <f t="shared" si="14"/>
        <v>139.12406000000013</v>
      </c>
      <c r="T21" s="5">
        <f t="shared" si="13"/>
        <v>139.12406000000013</v>
      </c>
      <c r="U21" s="5">
        <f t="shared" si="8"/>
        <v>55.510499940000059</v>
      </c>
      <c r="V21" s="5">
        <f t="shared" si="19"/>
        <v>83.613560060000069</v>
      </c>
      <c r="W21" s="5"/>
      <c r="X21" s="17"/>
      <c r="Y21" s="17"/>
      <c r="Z21" s="1">
        <f t="shared" si="10"/>
        <v>11.5</v>
      </c>
      <c r="AA21" s="1">
        <f t="shared" si="5"/>
        <v>7.7333138398392851</v>
      </c>
      <c r="AB21" s="1">
        <v>36.135199999999998</v>
      </c>
      <c r="AC21" s="1">
        <v>38.785600000000002</v>
      </c>
      <c r="AD21" s="1">
        <v>36.6614</v>
      </c>
      <c r="AE21" s="1">
        <v>41.685199999999988</v>
      </c>
      <c r="AF21" s="1">
        <v>47.904600000000002</v>
      </c>
      <c r="AG21" s="1">
        <v>59.2864</v>
      </c>
      <c r="AH21" s="1">
        <v>56.157799999999988</v>
      </c>
      <c r="AI21" s="1">
        <v>44.815800000000003</v>
      </c>
      <c r="AJ21" s="1">
        <v>46.234999999999999</v>
      </c>
      <c r="AK21" s="1">
        <v>51.521799999999999</v>
      </c>
      <c r="AL21" s="1"/>
      <c r="AM21" s="1">
        <f t="shared" si="11"/>
        <v>56</v>
      </c>
      <c r="AN21" s="1">
        <f t="shared" si="12"/>
        <v>84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56</v>
      </c>
      <c r="B22" s="1" t="s">
        <v>36</v>
      </c>
      <c r="C22" s="1">
        <v>454.93200000000002</v>
      </c>
      <c r="D22" s="1">
        <v>217.577</v>
      </c>
      <c r="E22" s="1">
        <v>433.05799999999999</v>
      </c>
      <c r="F22" s="1">
        <v>110.744</v>
      </c>
      <c r="G22" s="7">
        <v>1</v>
      </c>
      <c r="H22" s="1">
        <v>70</v>
      </c>
      <c r="I22" s="1" t="s">
        <v>37</v>
      </c>
      <c r="J22" s="1"/>
      <c r="K22" s="1">
        <v>417.31</v>
      </c>
      <c r="L22" s="1">
        <f t="shared" si="3"/>
        <v>15.74799999999999</v>
      </c>
      <c r="M22" s="1"/>
      <c r="N22" s="1"/>
      <c r="O22" s="1">
        <v>238.27677333999989</v>
      </c>
      <c r="P22" s="1">
        <v>242.60470665999981</v>
      </c>
      <c r="Q22" s="1">
        <v>160.14661000000029</v>
      </c>
      <c r="R22" s="1">
        <f t="shared" si="4"/>
        <v>86.611599999999996</v>
      </c>
      <c r="S22" s="5">
        <f t="shared" si="14"/>
        <v>244.2613099999999</v>
      </c>
      <c r="T22" s="5">
        <f>X22</f>
        <v>400</v>
      </c>
      <c r="U22" s="5">
        <f t="shared" si="8"/>
        <v>159.60000000000002</v>
      </c>
      <c r="V22" s="5">
        <f t="shared" si="19"/>
        <v>240.39999999999998</v>
      </c>
      <c r="W22" s="5"/>
      <c r="X22" s="17">
        <f>VLOOKUP(A22,[1]Sheet!$A:$U,20,0)</f>
        <v>400</v>
      </c>
      <c r="Y22" s="17" t="str">
        <f>VLOOKUP(A22,[1]Sheet!$A:$U,21,0)</f>
        <v>промо</v>
      </c>
      <c r="Z22" s="1">
        <f t="shared" si="10"/>
        <v>13.298127387093645</v>
      </c>
      <c r="AA22" s="1">
        <f t="shared" si="5"/>
        <v>8.6798083628520892</v>
      </c>
      <c r="AB22" s="1">
        <v>92.844200000000001</v>
      </c>
      <c r="AC22" s="1">
        <v>90.825400000000002</v>
      </c>
      <c r="AD22" s="1">
        <v>80.068399999999997</v>
      </c>
      <c r="AE22" s="1">
        <v>83.840599999999995</v>
      </c>
      <c r="AF22" s="1">
        <v>97.186000000000007</v>
      </c>
      <c r="AG22" s="1">
        <v>100.78400000000001</v>
      </c>
      <c r="AH22" s="1">
        <v>98.3446</v>
      </c>
      <c r="AI22" s="1">
        <v>86.057199999999995</v>
      </c>
      <c r="AJ22" s="1">
        <v>89.749800000000008</v>
      </c>
      <c r="AK22" s="1">
        <v>107.6352</v>
      </c>
      <c r="AL22" s="1"/>
      <c r="AM22" s="1">
        <f t="shared" si="11"/>
        <v>160</v>
      </c>
      <c r="AN22" s="1">
        <f t="shared" si="12"/>
        <v>240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0" t="s">
        <v>57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3"/>
        <v>0</v>
      </c>
      <c r="M23" s="10"/>
      <c r="N23" s="10"/>
      <c r="O23" s="10">
        <v>0</v>
      </c>
      <c r="P23" s="10"/>
      <c r="Q23" s="10">
        <v>0</v>
      </c>
      <c r="R23" s="10">
        <f t="shared" si="4"/>
        <v>0</v>
      </c>
      <c r="S23" s="12"/>
      <c r="T23" s="5">
        <f t="shared" si="13"/>
        <v>0</v>
      </c>
      <c r="U23" s="5">
        <f t="shared" si="8"/>
        <v>0</v>
      </c>
      <c r="V23" s="5"/>
      <c r="W23" s="5"/>
      <c r="X23" s="17"/>
      <c r="Y23" s="17"/>
      <c r="Z23" s="1" t="e">
        <f t="shared" si="10"/>
        <v>#DIV/0!</v>
      </c>
      <c r="AA23" s="10" t="e">
        <f t="shared" si="5"/>
        <v>#DIV/0!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 t="s">
        <v>43</v>
      </c>
      <c r="AM23" s="1">
        <f t="shared" si="11"/>
        <v>0</v>
      </c>
      <c r="AN23" s="1">
        <f t="shared" si="12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58</v>
      </c>
      <c r="B24" s="1" t="s">
        <v>36</v>
      </c>
      <c r="C24" s="1">
        <v>627.50300000000004</v>
      </c>
      <c r="D24" s="1">
        <v>347.93099999999998</v>
      </c>
      <c r="E24" s="1">
        <v>705.846</v>
      </c>
      <c r="F24" s="1">
        <v>125.169</v>
      </c>
      <c r="G24" s="7">
        <v>1</v>
      </c>
      <c r="H24" s="1">
        <v>70</v>
      </c>
      <c r="I24" s="1" t="s">
        <v>37</v>
      </c>
      <c r="J24" s="1"/>
      <c r="K24" s="1">
        <v>685.34500000000003</v>
      </c>
      <c r="L24" s="1">
        <f t="shared" si="3"/>
        <v>20.500999999999976</v>
      </c>
      <c r="M24" s="1"/>
      <c r="N24" s="1"/>
      <c r="O24" s="1">
        <v>372.38338752499999</v>
      </c>
      <c r="P24" s="1">
        <v>379.14716247500002</v>
      </c>
      <c r="Q24" s="1">
        <v>266.16336999999999</v>
      </c>
      <c r="R24" s="1">
        <f t="shared" si="4"/>
        <v>141.16919999999999</v>
      </c>
      <c r="S24" s="5">
        <f t="shared" ref="S24:S29" si="20">11.5*R24-Q24-P24-O24-F24</f>
        <v>480.58288000000005</v>
      </c>
      <c r="T24" s="5">
        <f>S24+R24*$T$1</f>
        <v>421.29181600000004</v>
      </c>
      <c r="U24" s="5">
        <f t="shared" si="8"/>
        <v>168.09543458400003</v>
      </c>
      <c r="V24" s="5">
        <f>T24*$V$1</f>
        <v>253.19638141600001</v>
      </c>
      <c r="W24" s="5"/>
      <c r="X24" s="17"/>
      <c r="Y24" s="17"/>
      <c r="Z24" s="1">
        <f t="shared" si="10"/>
        <v>11.08</v>
      </c>
      <c r="AA24" s="1">
        <f t="shared" si="5"/>
        <v>8.0956959450078347</v>
      </c>
      <c r="AB24" s="1">
        <v>138.0496</v>
      </c>
      <c r="AC24" s="1">
        <v>134.48500000000001</v>
      </c>
      <c r="AD24" s="1">
        <v>114.6332</v>
      </c>
      <c r="AE24" s="1">
        <v>122.8556</v>
      </c>
      <c r="AF24" s="1">
        <v>154.4462</v>
      </c>
      <c r="AG24" s="1">
        <v>156.86439999999999</v>
      </c>
      <c r="AH24" s="1">
        <v>146.11439999999999</v>
      </c>
      <c r="AI24" s="1">
        <v>137.9374</v>
      </c>
      <c r="AJ24" s="1">
        <v>140.28139999999999</v>
      </c>
      <c r="AK24" s="1">
        <v>155.126</v>
      </c>
      <c r="AL24" s="1"/>
      <c r="AM24" s="1">
        <f t="shared" si="11"/>
        <v>168</v>
      </c>
      <c r="AN24" s="1">
        <f t="shared" si="12"/>
        <v>253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59</v>
      </c>
      <c r="B25" s="1" t="s">
        <v>36</v>
      </c>
      <c r="C25" s="1">
        <v>98.896000000000001</v>
      </c>
      <c r="D25" s="1">
        <v>213.149</v>
      </c>
      <c r="E25" s="1">
        <v>111.696</v>
      </c>
      <c r="F25" s="1">
        <v>185.857</v>
      </c>
      <c r="G25" s="7">
        <v>1</v>
      </c>
      <c r="H25" s="1">
        <v>40</v>
      </c>
      <c r="I25" s="1" t="s">
        <v>37</v>
      </c>
      <c r="J25" s="1"/>
      <c r="K25" s="1">
        <v>116.95</v>
      </c>
      <c r="L25" s="1">
        <f t="shared" si="3"/>
        <v>-5.2540000000000049</v>
      </c>
      <c r="M25" s="1"/>
      <c r="N25" s="1"/>
      <c r="O25" s="1">
        <v>0</v>
      </c>
      <c r="P25" s="1"/>
      <c r="Q25" s="1">
        <v>43.43865999999997</v>
      </c>
      <c r="R25" s="1">
        <f t="shared" si="4"/>
        <v>22.339199999999998</v>
      </c>
      <c r="S25" s="5">
        <f t="shared" si="20"/>
        <v>27.605140000000034</v>
      </c>
      <c r="T25" s="5">
        <f t="shared" si="13"/>
        <v>27.605140000000034</v>
      </c>
      <c r="U25" s="5">
        <f t="shared" si="8"/>
        <v>27.605140000000034</v>
      </c>
      <c r="V25" s="5"/>
      <c r="W25" s="5"/>
      <c r="X25" s="17"/>
      <c r="Y25" s="17"/>
      <c r="Z25" s="1">
        <f t="shared" si="10"/>
        <v>11.500000000000002</v>
      </c>
      <c r="AA25" s="1">
        <f t="shared" si="5"/>
        <v>10.264273563959318</v>
      </c>
      <c r="AB25" s="1">
        <v>22.230799999999999</v>
      </c>
      <c r="AC25" s="1">
        <v>20.890999999999998</v>
      </c>
      <c r="AD25" s="1">
        <v>21.743400000000001</v>
      </c>
      <c r="AE25" s="1">
        <v>31.498799999999999</v>
      </c>
      <c r="AF25" s="1">
        <v>36.451999999999998</v>
      </c>
      <c r="AG25" s="1">
        <v>28.552800000000001</v>
      </c>
      <c r="AH25" s="1">
        <v>25.166799999999999</v>
      </c>
      <c r="AI25" s="1">
        <v>29.244199999999999</v>
      </c>
      <c r="AJ25" s="1">
        <v>30.193000000000001</v>
      </c>
      <c r="AK25" s="1">
        <v>20.341200000000001</v>
      </c>
      <c r="AL25" s="1"/>
      <c r="AM25" s="1">
        <f t="shared" si="11"/>
        <v>28</v>
      </c>
      <c r="AN25" s="1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60</v>
      </c>
      <c r="B26" s="1" t="s">
        <v>36</v>
      </c>
      <c r="C26" s="1">
        <v>146.584</v>
      </c>
      <c r="D26" s="1">
        <v>365.53300000000002</v>
      </c>
      <c r="E26" s="1">
        <v>237.82</v>
      </c>
      <c r="F26" s="1">
        <v>209.49199999999999</v>
      </c>
      <c r="G26" s="7">
        <v>1</v>
      </c>
      <c r="H26" s="1">
        <v>30</v>
      </c>
      <c r="I26" s="1" t="s">
        <v>37</v>
      </c>
      <c r="J26" s="1"/>
      <c r="K26" s="1">
        <v>232.1</v>
      </c>
      <c r="L26" s="1">
        <f t="shared" si="3"/>
        <v>5.7199999999999989</v>
      </c>
      <c r="M26" s="1"/>
      <c r="N26" s="1"/>
      <c r="O26" s="1">
        <v>89.066580860000002</v>
      </c>
      <c r="P26" s="1">
        <v>90.684339139999977</v>
      </c>
      <c r="Q26" s="1">
        <v>45.380360000000003</v>
      </c>
      <c r="R26" s="1">
        <f t="shared" si="4"/>
        <v>47.564</v>
      </c>
      <c r="S26" s="5">
        <f t="shared" si="20"/>
        <v>112.36272000000005</v>
      </c>
      <c r="T26" s="5">
        <f t="shared" si="13"/>
        <v>112.36272000000005</v>
      </c>
      <c r="U26" s="5">
        <f t="shared" si="8"/>
        <v>44.83272528000002</v>
      </c>
      <c r="V26" s="5">
        <f t="shared" ref="V26:V29" si="21">T26*$V$1</f>
        <v>67.529994720000033</v>
      </c>
      <c r="W26" s="5"/>
      <c r="X26" s="17"/>
      <c r="Y26" s="17"/>
      <c r="Z26" s="1">
        <f t="shared" si="10"/>
        <v>11.5</v>
      </c>
      <c r="AA26" s="1">
        <f t="shared" si="5"/>
        <v>9.1376520057186106</v>
      </c>
      <c r="AB26" s="1">
        <v>47.768799999999999</v>
      </c>
      <c r="AC26" s="1">
        <v>53.683399999999992</v>
      </c>
      <c r="AD26" s="1">
        <v>55.056600000000003</v>
      </c>
      <c r="AE26" s="1">
        <v>34.062199999999997</v>
      </c>
      <c r="AF26" s="1">
        <v>31.221399999999999</v>
      </c>
      <c r="AG26" s="1">
        <v>46.425600000000003</v>
      </c>
      <c r="AH26" s="1">
        <v>48.891800000000003</v>
      </c>
      <c r="AI26" s="1">
        <v>43.962200000000003</v>
      </c>
      <c r="AJ26" s="1">
        <v>33.269799999999996</v>
      </c>
      <c r="AK26" s="1">
        <v>13.7828</v>
      </c>
      <c r="AL26" s="1"/>
      <c r="AM26" s="1">
        <f t="shared" si="11"/>
        <v>45</v>
      </c>
      <c r="AN26" s="1">
        <f t="shared" si="12"/>
        <v>68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61</v>
      </c>
      <c r="B27" s="1" t="s">
        <v>36</v>
      </c>
      <c r="C27" s="1">
        <v>105.596</v>
      </c>
      <c r="D27" s="1">
        <v>305.58999999999997</v>
      </c>
      <c r="E27" s="1">
        <v>215.648</v>
      </c>
      <c r="F27" s="1">
        <v>158.91</v>
      </c>
      <c r="G27" s="7">
        <v>1</v>
      </c>
      <c r="H27" s="1">
        <v>40</v>
      </c>
      <c r="I27" s="9" t="s">
        <v>40</v>
      </c>
      <c r="J27" s="1"/>
      <c r="K27" s="1">
        <v>194.4</v>
      </c>
      <c r="L27" s="1">
        <f t="shared" si="3"/>
        <v>21.24799999999999</v>
      </c>
      <c r="M27" s="1"/>
      <c r="N27" s="1"/>
      <c r="O27" s="1">
        <v>97.787439999999918</v>
      </c>
      <c r="P27" s="1"/>
      <c r="Q27" s="1">
        <v>87.108980000000145</v>
      </c>
      <c r="R27" s="1">
        <f t="shared" si="4"/>
        <v>43.129599999999996</v>
      </c>
      <c r="S27" s="5">
        <f t="shared" si="20"/>
        <v>152.18397999999988</v>
      </c>
      <c r="T27" s="5">
        <f t="shared" si="13"/>
        <v>152.18397999999988</v>
      </c>
      <c r="U27" s="5">
        <f t="shared" si="8"/>
        <v>60.721408019999956</v>
      </c>
      <c r="V27" s="5">
        <f t="shared" si="21"/>
        <v>91.462571979999922</v>
      </c>
      <c r="W27" s="5"/>
      <c r="X27" s="17"/>
      <c r="Y27" s="17"/>
      <c r="Z27" s="1">
        <f t="shared" si="10"/>
        <v>11.499999999999998</v>
      </c>
      <c r="AA27" s="1">
        <f t="shared" si="5"/>
        <v>7.9714724922095286</v>
      </c>
      <c r="AB27" s="1">
        <v>39.3996</v>
      </c>
      <c r="AC27" s="1">
        <v>39.060400000000001</v>
      </c>
      <c r="AD27" s="1">
        <v>40.458199999999998</v>
      </c>
      <c r="AE27" s="1">
        <v>28.9742</v>
      </c>
      <c r="AF27" s="1">
        <v>29.550999999999998</v>
      </c>
      <c r="AG27" s="1">
        <v>35.141000000000012</v>
      </c>
      <c r="AH27" s="1">
        <v>39.5794</v>
      </c>
      <c r="AI27" s="1">
        <v>32.5458</v>
      </c>
      <c r="AJ27" s="1">
        <v>22.7224</v>
      </c>
      <c r="AK27" s="1">
        <v>6.7043999999999997</v>
      </c>
      <c r="AL27" s="1"/>
      <c r="AM27" s="1">
        <f t="shared" si="11"/>
        <v>61</v>
      </c>
      <c r="AN27" s="1">
        <f t="shared" si="12"/>
        <v>91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62</v>
      </c>
      <c r="B28" s="1" t="s">
        <v>36</v>
      </c>
      <c r="C28" s="1">
        <v>1197.08</v>
      </c>
      <c r="D28" s="1">
        <v>1113.085</v>
      </c>
      <c r="E28" s="1">
        <v>1280.749</v>
      </c>
      <c r="F28" s="1">
        <v>662.80499999999995</v>
      </c>
      <c r="G28" s="7">
        <v>1</v>
      </c>
      <c r="H28" s="1">
        <v>30</v>
      </c>
      <c r="I28" s="9" t="s">
        <v>40</v>
      </c>
      <c r="J28" s="1"/>
      <c r="K28" s="1">
        <v>1372.7</v>
      </c>
      <c r="L28" s="1">
        <f t="shared" si="3"/>
        <v>-91.951000000000022</v>
      </c>
      <c r="M28" s="1"/>
      <c r="N28" s="1"/>
      <c r="O28" s="1">
        <v>430.24654463000007</v>
      </c>
      <c r="P28" s="1">
        <v>438.06131536999999</v>
      </c>
      <c r="Q28" s="1">
        <v>441.44283999999948</v>
      </c>
      <c r="R28" s="1">
        <f t="shared" si="4"/>
        <v>256.14980000000003</v>
      </c>
      <c r="S28" s="5">
        <f t="shared" si="20"/>
        <v>973.16700000000048</v>
      </c>
      <c r="T28" s="5">
        <f t="shared" ref="T28:T29" si="22">S28+R28*$T$1</f>
        <v>865.58408400000053</v>
      </c>
      <c r="U28" s="5">
        <f t="shared" si="8"/>
        <v>345.36804951600027</v>
      </c>
      <c r="V28" s="5">
        <f t="shared" si="21"/>
        <v>520.21603448400026</v>
      </c>
      <c r="W28" s="5"/>
      <c r="X28" s="17"/>
      <c r="Y28" s="17"/>
      <c r="Z28" s="1">
        <f t="shared" si="10"/>
        <v>11.079999999999998</v>
      </c>
      <c r="AA28" s="1">
        <f t="shared" si="5"/>
        <v>7.7007895379969042</v>
      </c>
      <c r="AB28" s="1">
        <v>243.46600000000001</v>
      </c>
      <c r="AC28" s="1">
        <v>244.32079999999999</v>
      </c>
      <c r="AD28" s="1">
        <v>256.52339999999998</v>
      </c>
      <c r="AE28" s="1">
        <v>270.452</v>
      </c>
      <c r="AF28" s="1">
        <v>280.71120000000002</v>
      </c>
      <c r="AG28" s="1">
        <v>310.25920000000002</v>
      </c>
      <c r="AH28" s="1">
        <v>314.48059999999998</v>
      </c>
      <c r="AI28" s="1">
        <v>320.68</v>
      </c>
      <c r="AJ28" s="1">
        <v>316.95460000000003</v>
      </c>
      <c r="AK28" s="1">
        <v>308.58339999999998</v>
      </c>
      <c r="AL28" s="1"/>
      <c r="AM28" s="1">
        <f t="shared" si="11"/>
        <v>345</v>
      </c>
      <c r="AN28" s="1">
        <f t="shared" si="12"/>
        <v>520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63</v>
      </c>
      <c r="B29" s="1" t="s">
        <v>36</v>
      </c>
      <c r="C29" s="1">
        <v>1181.021</v>
      </c>
      <c r="D29" s="1">
        <v>1958.2159999999999</v>
      </c>
      <c r="E29" s="1">
        <v>1839.954</v>
      </c>
      <c r="F29" s="1">
        <v>935.15</v>
      </c>
      <c r="G29" s="7">
        <v>1</v>
      </c>
      <c r="H29" s="1">
        <v>40</v>
      </c>
      <c r="I29" s="1" t="s">
        <v>37</v>
      </c>
      <c r="J29" s="1"/>
      <c r="K29" s="1">
        <v>1701.25</v>
      </c>
      <c r="L29" s="1">
        <f t="shared" si="3"/>
        <v>138.70399999999995</v>
      </c>
      <c r="M29" s="1"/>
      <c r="N29" s="1"/>
      <c r="O29" s="1">
        <v>703.82120687499969</v>
      </c>
      <c r="P29" s="1">
        <v>716.60504312499961</v>
      </c>
      <c r="Q29" s="1">
        <v>317.93592999999998</v>
      </c>
      <c r="R29" s="1">
        <f t="shared" si="4"/>
        <v>367.99079999999998</v>
      </c>
      <c r="S29" s="5">
        <f t="shared" si="20"/>
        <v>1558.3820200000005</v>
      </c>
      <c r="T29" s="5">
        <f t="shared" si="22"/>
        <v>1403.8258840000005</v>
      </c>
      <c r="U29" s="5">
        <f t="shared" si="8"/>
        <v>560.12652771600028</v>
      </c>
      <c r="V29" s="5">
        <f t="shared" si="21"/>
        <v>843.69935628400026</v>
      </c>
      <c r="W29" s="5"/>
      <c r="X29" s="17"/>
      <c r="Y29" s="17"/>
      <c r="Z29" s="1">
        <f t="shared" si="10"/>
        <v>11.08</v>
      </c>
      <c r="AA29" s="1">
        <f t="shared" si="5"/>
        <v>7.2651603790094734</v>
      </c>
      <c r="AB29" s="1">
        <v>334.6694</v>
      </c>
      <c r="AC29" s="1">
        <v>360.96960000000001</v>
      </c>
      <c r="AD29" s="1">
        <v>349.10199999999998</v>
      </c>
      <c r="AE29" s="1">
        <v>355.59320000000002</v>
      </c>
      <c r="AF29" s="1">
        <v>382.23180000000002</v>
      </c>
      <c r="AG29" s="1">
        <v>388.74599999999998</v>
      </c>
      <c r="AH29" s="1">
        <v>399.38979999999998</v>
      </c>
      <c r="AI29" s="1">
        <v>362.9348</v>
      </c>
      <c r="AJ29" s="1">
        <v>381.44900000000001</v>
      </c>
      <c r="AK29" s="1">
        <v>488.75020000000012</v>
      </c>
      <c r="AL29" s="1"/>
      <c r="AM29" s="1">
        <f t="shared" si="11"/>
        <v>560</v>
      </c>
      <c r="AN29" s="1">
        <f t="shared" si="12"/>
        <v>844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0" t="s">
        <v>64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/>
      <c r="Q30" s="10">
        <v>0</v>
      </c>
      <c r="R30" s="10">
        <f t="shared" si="4"/>
        <v>0</v>
      </c>
      <c r="S30" s="12"/>
      <c r="T30" s="5">
        <f t="shared" si="13"/>
        <v>0</v>
      </c>
      <c r="U30" s="5">
        <f t="shared" si="8"/>
        <v>0</v>
      </c>
      <c r="V30" s="5"/>
      <c r="W30" s="5"/>
      <c r="X30" s="17"/>
      <c r="Y30" s="17"/>
      <c r="Z30" s="1" t="e">
        <f t="shared" si="10"/>
        <v>#DIV/0!</v>
      </c>
      <c r="AA30" s="10" t="e">
        <f t="shared" si="5"/>
        <v>#DIV/0!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 t="s">
        <v>43</v>
      </c>
      <c r="AM30" s="1">
        <f t="shared" si="11"/>
        <v>0</v>
      </c>
      <c r="AN30" s="1">
        <f t="shared" si="12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65</v>
      </c>
      <c r="B31" s="1" t="s">
        <v>36</v>
      </c>
      <c r="C31" s="1">
        <v>103.58199999999999</v>
      </c>
      <c r="D31" s="1">
        <v>223.88200000000001</v>
      </c>
      <c r="E31" s="1">
        <v>245.71</v>
      </c>
      <c r="F31" s="1">
        <v>20.2</v>
      </c>
      <c r="G31" s="7">
        <v>1</v>
      </c>
      <c r="H31" s="1">
        <v>30</v>
      </c>
      <c r="I31" s="9" t="s">
        <v>40</v>
      </c>
      <c r="J31" s="1"/>
      <c r="K31" s="1">
        <v>234.6</v>
      </c>
      <c r="L31" s="1">
        <f t="shared" si="3"/>
        <v>11.110000000000014</v>
      </c>
      <c r="M31" s="1"/>
      <c r="N31" s="1"/>
      <c r="O31" s="1">
        <v>87.086013350499869</v>
      </c>
      <c r="P31" s="1">
        <v>88.66779764949986</v>
      </c>
      <c r="Q31" s="1">
        <v>119.4489490000003</v>
      </c>
      <c r="R31" s="1">
        <f t="shared" si="4"/>
        <v>49.142000000000003</v>
      </c>
      <c r="S31" s="5">
        <f>11.5*R31-Q31-P31-O31-F31</f>
        <v>249.73024000000004</v>
      </c>
      <c r="T31" s="5">
        <f>S31+R31*$T$1</f>
        <v>229.09060000000005</v>
      </c>
      <c r="U31" s="5">
        <f t="shared" si="8"/>
        <v>91.407149400000037</v>
      </c>
      <c r="V31" s="5">
        <f>T31*$V$1</f>
        <v>137.68345060000001</v>
      </c>
      <c r="W31" s="5"/>
      <c r="X31" s="17"/>
      <c r="Y31" s="17"/>
      <c r="Z31" s="1">
        <f t="shared" si="10"/>
        <v>11.080000000000002</v>
      </c>
      <c r="AA31" s="1">
        <f t="shared" si="5"/>
        <v>6.4181913638028574</v>
      </c>
      <c r="AB31" s="1">
        <v>42.608800000000002</v>
      </c>
      <c r="AC31" s="1">
        <v>39.976999999999997</v>
      </c>
      <c r="AD31" s="1">
        <v>38.119399999999999</v>
      </c>
      <c r="AE31" s="1">
        <v>30.584399999999999</v>
      </c>
      <c r="AF31" s="1">
        <v>31.743400000000001</v>
      </c>
      <c r="AG31" s="1">
        <v>43.1676</v>
      </c>
      <c r="AH31" s="1">
        <v>41.247399999999999</v>
      </c>
      <c r="AI31" s="1">
        <v>33.716799999999999</v>
      </c>
      <c r="AJ31" s="1">
        <v>37.151000000000003</v>
      </c>
      <c r="AK31" s="1">
        <v>40.635000000000012</v>
      </c>
      <c r="AL31" s="1"/>
      <c r="AM31" s="1">
        <f t="shared" si="11"/>
        <v>91</v>
      </c>
      <c r="AN31" s="1">
        <f t="shared" si="12"/>
        <v>138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0" t="s">
        <v>66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3"/>
        <v>0</v>
      </c>
      <c r="M32" s="10"/>
      <c r="N32" s="10"/>
      <c r="O32" s="10">
        <v>0</v>
      </c>
      <c r="P32" s="10"/>
      <c r="Q32" s="10">
        <v>0</v>
      </c>
      <c r="R32" s="10">
        <f t="shared" si="4"/>
        <v>0</v>
      </c>
      <c r="S32" s="12"/>
      <c r="T32" s="5">
        <f t="shared" si="13"/>
        <v>0</v>
      </c>
      <c r="U32" s="5">
        <f t="shared" si="8"/>
        <v>0</v>
      </c>
      <c r="V32" s="5"/>
      <c r="W32" s="5"/>
      <c r="X32" s="17"/>
      <c r="Y32" s="17"/>
      <c r="Z32" s="1" t="e">
        <f t="shared" si="10"/>
        <v>#DIV/0!</v>
      </c>
      <c r="AA32" s="10" t="e">
        <f t="shared" si="5"/>
        <v>#DIV/0!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 t="s">
        <v>43</v>
      </c>
      <c r="AM32" s="1">
        <f t="shared" si="11"/>
        <v>0</v>
      </c>
      <c r="AN32" s="1">
        <f t="shared" si="1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0" t="s">
        <v>67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/>
      <c r="Q33" s="10">
        <v>0</v>
      </c>
      <c r="R33" s="10">
        <f t="shared" si="4"/>
        <v>0</v>
      </c>
      <c r="S33" s="12"/>
      <c r="T33" s="5">
        <f t="shared" si="13"/>
        <v>0</v>
      </c>
      <c r="U33" s="5">
        <f t="shared" si="8"/>
        <v>0</v>
      </c>
      <c r="V33" s="5"/>
      <c r="W33" s="5"/>
      <c r="X33" s="17"/>
      <c r="Y33" s="17"/>
      <c r="Z33" s="1" t="e">
        <f t="shared" si="10"/>
        <v>#DIV/0!</v>
      </c>
      <c r="AA33" s="10" t="e">
        <f t="shared" si="5"/>
        <v>#DIV/0!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 t="s">
        <v>43</v>
      </c>
      <c r="AM33" s="1">
        <f t="shared" si="11"/>
        <v>0</v>
      </c>
      <c r="AN33" s="1">
        <f t="shared" si="12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68</v>
      </c>
      <c r="B34" s="1" t="s">
        <v>42</v>
      </c>
      <c r="C34" s="1">
        <v>4094</v>
      </c>
      <c r="D34" s="1">
        <v>4151</v>
      </c>
      <c r="E34" s="1">
        <v>5078</v>
      </c>
      <c r="F34" s="1">
        <v>1988</v>
      </c>
      <c r="G34" s="7">
        <v>0.4</v>
      </c>
      <c r="H34" s="1">
        <v>45</v>
      </c>
      <c r="I34" s="9" t="s">
        <v>40</v>
      </c>
      <c r="J34" s="1"/>
      <c r="K34" s="1">
        <v>5125</v>
      </c>
      <c r="L34" s="1">
        <f t="shared" si="3"/>
        <v>-47</v>
      </c>
      <c r="M34" s="1"/>
      <c r="N34" s="1"/>
      <c r="O34" s="1">
        <v>1788.2882390000011</v>
      </c>
      <c r="P34" s="1">
        <v>1820.769761</v>
      </c>
      <c r="Q34" s="1">
        <v>2337.751999999999</v>
      </c>
      <c r="R34" s="1">
        <f t="shared" si="4"/>
        <v>1015.6</v>
      </c>
      <c r="S34" s="5">
        <f t="shared" ref="S34:S84" si="23">11.5*R34-Q34-P34-O34-F34</f>
        <v>3744.59</v>
      </c>
      <c r="T34" s="5">
        <f t="shared" ref="T34:T36" si="24">S34+R34*$T$1</f>
        <v>3318.038</v>
      </c>
      <c r="U34" s="5">
        <f t="shared" si="8"/>
        <v>1323.897162</v>
      </c>
      <c r="V34" s="5">
        <f t="shared" ref="V34:V36" si="25">T34*$V$1</f>
        <v>1994.140838</v>
      </c>
      <c r="W34" s="5"/>
      <c r="X34" s="17"/>
      <c r="Y34" s="17"/>
      <c r="Z34" s="1">
        <f t="shared" si="10"/>
        <v>11.08</v>
      </c>
      <c r="AA34" s="1">
        <f t="shared" si="5"/>
        <v>7.8129283182355254</v>
      </c>
      <c r="AB34" s="1">
        <v>977.8</v>
      </c>
      <c r="AC34" s="1">
        <v>931.4</v>
      </c>
      <c r="AD34" s="1">
        <v>904.4</v>
      </c>
      <c r="AE34" s="1">
        <v>986.06000000000006</v>
      </c>
      <c r="AF34" s="1">
        <v>1036.6600000000001</v>
      </c>
      <c r="AG34" s="1">
        <v>1083.5999999999999</v>
      </c>
      <c r="AH34" s="1">
        <v>1082</v>
      </c>
      <c r="AI34" s="1">
        <v>1122.8</v>
      </c>
      <c r="AJ34" s="1">
        <v>1122</v>
      </c>
      <c r="AK34" s="1">
        <v>775</v>
      </c>
      <c r="AL34" s="1"/>
      <c r="AM34" s="1">
        <f t="shared" si="11"/>
        <v>530</v>
      </c>
      <c r="AN34" s="1">
        <f t="shared" si="12"/>
        <v>798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69</v>
      </c>
      <c r="B35" s="1" t="s">
        <v>42</v>
      </c>
      <c r="C35" s="1">
        <v>539</v>
      </c>
      <c r="D35" s="1">
        <v>491</v>
      </c>
      <c r="E35" s="1">
        <v>498</v>
      </c>
      <c r="F35" s="1">
        <v>362</v>
      </c>
      <c r="G35" s="7">
        <v>0.45</v>
      </c>
      <c r="H35" s="1">
        <v>50</v>
      </c>
      <c r="I35" s="1" t="s">
        <v>37</v>
      </c>
      <c r="J35" s="1"/>
      <c r="K35" s="1">
        <v>512</v>
      </c>
      <c r="L35" s="1">
        <f t="shared" si="3"/>
        <v>-14</v>
      </c>
      <c r="M35" s="1"/>
      <c r="N35" s="1"/>
      <c r="O35" s="1">
        <v>8.9149999999999636</v>
      </c>
      <c r="P35" s="1"/>
      <c r="Q35" s="1">
        <v>350.5150000000001</v>
      </c>
      <c r="R35" s="1">
        <f t="shared" si="4"/>
        <v>99.6</v>
      </c>
      <c r="S35" s="5">
        <f t="shared" si="23"/>
        <v>423.9699999999998</v>
      </c>
      <c r="T35" s="5">
        <f t="shared" si="24"/>
        <v>382.13799999999981</v>
      </c>
      <c r="U35" s="5">
        <f t="shared" si="8"/>
        <v>152.47306199999994</v>
      </c>
      <c r="V35" s="5">
        <f t="shared" si="25"/>
        <v>229.66493799999986</v>
      </c>
      <c r="W35" s="5"/>
      <c r="X35" s="17"/>
      <c r="Y35" s="17"/>
      <c r="Z35" s="1">
        <f t="shared" si="10"/>
        <v>11.079999999999998</v>
      </c>
      <c r="AA35" s="1">
        <f t="shared" si="5"/>
        <v>7.2432730923694786</v>
      </c>
      <c r="AB35" s="1">
        <v>93.4</v>
      </c>
      <c r="AC35" s="1">
        <v>77.2</v>
      </c>
      <c r="AD35" s="1">
        <v>88.4</v>
      </c>
      <c r="AE35" s="1">
        <v>113.2</v>
      </c>
      <c r="AF35" s="1">
        <v>104.8</v>
      </c>
      <c r="AG35" s="1">
        <v>113.8</v>
      </c>
      <c r="AH35" s="1">
        <v>116.6</v>
      </c>
      <c r="AI35" s="1">
        <v>125.4</v>
      </c>
      <c r="AJ35" s="1">
        <v>125.8</v>
      </c>
      <c r="AK35" s="1">
        <v>125.6</v>
      </c>
      <c r="AL35" s="1"/>
      <c r="AM35" s="1">
        <f t="shared" si="11"/>
        <v>69</v>
      </c>
      <c r="AN35" s="1">
        <f t="shared" si="12"/>
        <v>103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70</v>
      </c>
      <c r="B36" s="1" t="s">
        <v>42</v>
      </c>
      <c r="C36" s="1">
        <v>222</v>
      </c>
      <c r="D36" s="1">
        <v>1479</v>
      </c>
      <c r="E36" s="1">
        <v>910</v>
      </c>
      <c r="F36" s="1">
        <v>521</v>
      </c>
      <c r="G36" s="7">
        <v>0.4</v>
      </c>
      <c r="H36" s="1">
        <v>45</v>
      </c>
      <c r="I36" s="1" t="s">
        <v>37</v>
      </c>
      <c r="J36" s="1"/>
      <c r="K36" s="1">
        <v>1052</v>
      </c>
      <c r="L36" s="1">
        <f t="shared" si="3"/>
        <v>-142</v>
      </c>
      <c r="M36" s="1"/>
      <c r="N36" s="1"/>
      <c r="O36" s="1">
        <v>223.67365499999991</v>
      </c>
      <c r="P36" s="1">
        <v>227.73634499999989</v>
      </c>
      <c r="Q36" s="1">
        <v>386.3700000000004</v>
      </c>
      <c r="R36" s="1">
        <f t="shared" si="4"/>
        <v>182</v>
      </c>
      <c r="S36" s="5">
        <f t="shared" si="23"/>
        <v>734.22</v>
      </c>
      <c r="T36" s="5">
        <f t="shared" si="24"/>
        <v>657.78</v>
      </c>
      <c r="U36" s="5">
        <f t="shared" si="8"/>
        <v>262.45422000000002</v>
      </c>
      <c r="V36" s="5">
        <f t="shared" si="25"/>
        <v>395.32577999999995</v>
      </c>
      <c r="W36" s="5"/>
      <c r="X36" s="17"/>
      <c r="Y36" s="17"/>
      <c r="Z36" s="1">
        <f t="shared" si="10"/>
        <v>11.08</v>
      </c>
      <c r="AA36" s="1">
        <f t="shared" si="5"/>
        <v>7.465824175824177</v>
      </c>
      <c r="AB36" s="1">
        <v>176.4</v>
      </c>
      <c r="AC36" s="1">
        <v>177.2</v>
      </c>
      <c r="AD36" s="1">
        <v>188</v>
      </c>
      <c r="AE36" s="1">
        <v>197.4</v>
      </c>
      <c r="AF36" s="1">
        <v>174.8</v>
      </c>
      <c r="AG36" s="1">
        <v>159.4</v>
      </c>
      <c r="AH36" s="1">
        <v>167.6</v>
      </c>
      <c r="AI36" s="1">
        <v>160.4</v>
      </c>
      <c r="AJ36" s="1">
        <v>185.2</v>
      </c>
      <c r="AK36" s="1">
        <v>146</v>
      </c>
      <c r="AL36" s="1"/>
      <c r="AM36" s="1">
        <f t="shared" si="11"/>
        <v>105</v>
      </c>
      <c r="AN36" s="1">
        <f t="shared" si="12"/>
        <v>158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71</v>
      </c>
      <c r="B37" s="1" t="s">
        <v>42</v>
      </c>
      <c r="C37" s="1">
        <v>20</v>
      </c>
      <c r="D37" s="1">
        <v>12</v>
      </c>
      <c r="E37" s="1">
        <v>17</v>
      </c>
      <c r="F37" s="1">
        <v>12</v>
      </c>
      <c r="G37" s="7">
        <v>0.4</v>
      </c>
      <c r="H37" s="1">
        <v>40</v>
      </c>
      <c r="I37" s="1" t="s">
        <v>37</v>
      </c>
      <c r="J37" s="1"/>
      <c r="K37" s="1">
        <v>22</v>
      </c>
      <c r="L37" s="1">
        <f t="shared" si="3"/>
        <v>-5</v>
      </c>
      <c r="M37" s="1"/>
      <c r="N37" s="1"/>
      <c r="O37" s="1">
        <v>8</v>
      </c>
      <c r="P37" s="1"/>
      <c r="Q37" s="1">
        <v>9.2200000000000042</v>
      </c>
      <c r="R37" s="1">
        <f t="shared" si="4"/>
        <v>3.4</v>
      </c>
      <c r="S37" s="5">
        <f t="shared" si="23"/>
        <v>9.8799999999999955</v>
      </c>
      <c r="T37" s="5">
        <f t="shared" si="13"/>
        <v>9.8799999999999955</v>
      </c>
      <c r="U37" s="5">
        <f t="shared" si="8"/>
        <v>9.8799999999999955</v>
      </c>
      <c r="V37" s="5"/>
      <c r="W37" s="5"/>
      <c r="X37" s="17"/>
      <c r="Y37" s="17"/>
      <c r="Z37" s="1">
        <f t="shared" si="10"/>
        <v>11.5</v>
      </c>
      <c r="AA37" s="1">
        <f t="shared" si="5"/>
        <v>8.594117647058825</v>
      </c>
      <c r="AB37" s="1">
        <v>3.6</v>
      </c>
      <c r="AC37" s="1">
        <v>2.8</v>
      </c>
      <c r="AD37" s="1">
        <v>3.4</v>
      </c>
      <c r="AE37" s="1">
        <v>3.6</v>
      </c>
      <c r="AF37" s="1">
        <v>2.6</v>
      </c>
      <c r="AG37" s="1">
        <v>1.6</v>
      </c>
      <c r="AH37" s="1">
        <v>0.6</v>
      </c>
      <c r="AI37" s="1">
        <v>2</v>
      </c>
      <c r="AJ37" s="1">
        <v>2.8</v>
      </c>
      <c r="AK37" s="1">
        <v>1.4</v>
      </c>
      <c r="AL37" s="1"/>
      <c r="AM37" s="1">
        <f t="shared" si="11"/>
        <v>4</v>
      </c>
      <c r="AN37" s="1">
        <f t="shared" si="1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72</v>
      </c>
      <c r="B38" s="1" t="s">
        <v>36</v>
      </c>
      <c r="C38" s="1">
        <v>2.8660000000000001</v>
      </c>
      <c r="D38" s="1">
        <v>303.154</v>
      </c>
      <c r="E38" s="1">
        <v>127.169</v>
      </c>
      <c r="F38" s="1">
        <v>150.50200000000001</v>
      </c>
      <c r="G38" s="7">
        <v>1</v>
      </c>
      <c r="H38" s="1">
        <v>45</v>
      </c>
      <c r="I38" s="9" t="s">
        <v>40</v>
      </c>
      <c r="J38" s="1"/>
      <c r="K38" s="1">
        <v>139.19999999999999</v>
      </c>
      <c r="L38" s="1">
        <f t="shared" ref="L38:L69" si="26">E38-K38</f>
        <v>-12.030999999999992</v>
      </c>
      <c r="M38" s="1"/>
      <c r="N38" s="1"/>
      <c r="O38" s="1">
        <v>4.9765999999999204</v>
      </c>
      <c r="P38" s="1"/>
      <c r="Q38" s="1">
        <v>0</v>
      </c>
      <c r="R38" s="1">
        <f t="shared" ref="R38:R69" si="27">E38/5</f>
        <v>25.433799999999998</v>
      </c>
      <c r="S38" s="5">
        <f t="shared" si="23"/>
        <v>137.01010000000008</v>
      </c>
      <c r="T38" s="5">
        <f t="shared" si="13"/>
        <v>137.01010000000008</v>
      </c>
      <c r="U38" s="5">
        <f t="shared" si="8"/>
        <v>54.667029900000031</v>
      </c>
      <c r="V38" s="5">
        <f t="shared" ref="V38:V40" si="28">T38*$V$1</f>
        <v>82.343070100000048</v>
      </c>
      <c r="W38" s="5"/>
      <c r="X38" s="17"/>
      <c r="Y38" s="17"/>
      <c r="Z38" s="1">
        <f t="shared" si="10"/>
        <v>11.5</v>
      </c>
      <c r="AA38" s="1">
        <f t="shared" ref="AA38:AA69" si="29">(F38+O38+P38+Q38)/R38</f>
        <v>6.1130700092003538</v>
      </c>
      <c r="AB38" s="1">
        <v>17.929600000000001</v>
      </c>
      <c r="AC38" s="1">
        <v>24.651</v>
      </c>
      <c r="AD38" s="1">
        <v>30.5916</v>
      </c>
      <c r="AE38" s="1">
        <v>23.4132</v>
      </c>
      <c r="AF38" s="1">
        <v>27.113600000000002</v>
      </c>
      <c r="AG38" s="1">
        <v>26.136800000000001</v>
      </c>
      <c r="AH38" s="1">
        <v>25.5244</v>
      </c>
      <c r="AI38" s="1">
        <v>32.070399999999999</v>
      </c>
      <c r="AJ38" s="1">
        <v>33.582999999999998</v>
      </c>
      <c r="AK38" s="1">
        <v>38.2774</v>
      </c>
      <c r="AL38" s="1"/>
      <c r="AM38" s="1">
        <f t="shared" si="11"/>
        <v>55</v>
      </c>
      <c r="AN38" s="1">
        <f t="shared" si="12"/>
        <v>82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73</v>
      </c>
      <c r="B39" s="1" t="s">
        <v>42</v>
      </c>
      <c r="C39" s="1">
        <v>321</v>
      </c>
      <c r="D39" s="1">
        <v>344</v>
      </c>
      <c r="E39" s="1">
        <v>428</v>
      </c>
      <c r="F39" s="1">
        <v>146</v>
      </c>
      <c r="G39" s="7">
        <v>0.1</v>
      </c>
      <c r="H39" s="1">
        <v>731</v>
      </c>
      <c r="I39" s="1" t="s">
        <v>37</v>
      </c>
      <c r="J39" s="1"/>
      <c r="K39" s="1">
        <v>435</v>
      </c>
      <c r="L39" s="1">
        <f t="shared" si="26"/>
        <v>-7</v>
      </c>
      <c r="M39" s="1"/>
      <c r="N39" s="1"/>
      <c r="O39" s="1">
        <v>181.4421899999999</v>
      </c>
      <c r="P39" s="1">
        <v>184.73780999999991</v>
      </c>
      <c r="Q39" s="1">
        <v>126.6600000000002</v>
      </c>
      <c r="R39" s="1">
        <f t="shared" si="27"/>
        <v>85.6</v>
      </c>
      <c r="S39" s="5">
        <f t="shared" si="23"/>
        <v>345.56000000000006</v>
      </c>
      <c r="T39" s="5">
        <f t="shared" ref="T39:T40" si="30">S39+R39*$T$1</f>
        <v>309.60800000000006</v>
      </c>
      <c r="U39" s="5">
        <f t="shared" si="8"/>
        <v>123.53359200000003</v>
      </c>
      <c r="V39" s="5">
        <f t="shared" si="28"/>
        <v>186.07440800000003</v>
      </c>
      <c r="W39" s="5"/>
      <c r="X39" s="17"/>
      <c r="Y39" s="17"/>
      <c r="Z39" s="1">
        <f t="shared" si="10"/>
        <v>11.080000000000002</v>
      </c>
      <c r="AA39" s="1">
        <f t="shared" si="29"/>
        <v>7.4630841121495335</v>
      </c>
      <c r="AB39" s="1">
        <v>79.2</v>
      </c>
      <c r="AC39" s="1">
        <v>79</v>
      </c>
      <c r="AD39" s="1">
        <v>73.400000000000006</v>
      </c>
      <c r="AE39" s="1">
        <v>76.599999999999994</v>
      </c>
      <c r="AF39" s="1">
        <v>83.2</v>
      </c>
      <c r="AG39" s="1">
        <v>87.4</v>
      </c>
      <c r="AH39" s="1">
        <v>84.4</v>
      </c>
      <c r="AI39" s="1">
        <v>92.8</v>
      </c>
      <c r="AJ39" s="1">
        <v>98.6</v>
      </c>
      <c r="AK39" s="1">
        <v>79.8</v>
      </c>
      <c r="AL39" s="1"/>
      <c r="AM39" s="1">
        <f t="shared" si="11"/>
        <v>12</v>
      </c>
      <c r="AN39" s="1">
        <f t="shared" si="12"/>
        <v>19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74</v>
      </c>
      <c r="B40" s="1" t="s">
        <v>42</v>
      </c>
      <c r="C40" s="1">
        <v>9</v>
      </c>
      <c r="D40" s="1">
        <v>615</v>
      </c>
      <c r="E40" s="1">
        <v>370</v>
      </c>
      <c r="F40" s="1">
        <v>106</v>
      </c>
      <c r="G40" s="7">
        <v>0.35</v>
      </c>
      <c r="H40" s="1">
        <v>40</v>
      </c>
      <c r="I40" s="9" t="s">
        <v>75</v>
      </c>
      <c r="J40" s="1"/>
      <c r="K40" s="1">
        <v>404</v>
      </c>
      <c r="L40" s="1">
        <f t="shared" si="26"/>
        <v>-34</v>
      </c>
      <c r="M40" s="1"/>
      <c r="N40" s="1"/>
      <c r="O40" s="1">
        <v>50</v>
      </c>
      <c r="P40" s="1"/>
      <c r="Q40" s="1">
        <v>0</v>
      </c>
      <c r="R40" s="1">
        <f t="shared" si="27"/>
        <v>74</v>
      </c>
      <c r="S40" s="5">
        <f>8.5*R40-Q40-P40-O40-F40</f>
        <v>473</v>
      </c>
      <c r="T40" s="5">
        <f t="shared" si="30"/>
        <v>441.92</v>
      </c>
      <c r="U40" s="5">
        <f t="shared" si="8"/>
        <v>176.32607999999999</v>
      </c>
      <c r="V40" s="5">
        <f t="shared" si="28"/>
        <v>265.59392000000003</v>
      </c>
      <c r="W40" s="5"/>
      <c r="X40" s="17"/>
      <c r="Y40" s="17"/>
      <c r="Z40" s="1">
        <f t="shared" si="10"/>
        <v>8.0800000000000018</v>
      </c>
      <c r="AA40" s="1">
        <f t="shared" si="29"/>
        <v>2.1081081081081079</v>
      </c>
      <c r="AB40" s="1">
        <v>23</v>
      </c>
      <c r="AC40" s="1">
        <v>28.2</v>
      </c>
      <c r="AD40" s="1">
        <v>59.2</v>
      </c>
      <c r="AE40" s="1">
        <v>32.200000000000003</v>
      </c>
      <c r="AF40" s="1">
        <v>1.2</v>
      </c>
      <c r="AG40" s="1">
        <v>-0.2</v>
      </c>
      <c r="AH40" s="1">
        <v>-0.4</v>
      </c>
      <c r="AI40" s="1">
        <v>13.8</v>
      </c>
      <c r="AJ40" s="1">
        <v>24</v>
      </c>
      <c r="AK40" s="1">
        <v>8.8000000000000007</v>
      </c>
      <c r="AL40" s="1" t="s">
        <v>76</v>
      </c>
      <c r="AM40" s="1">
        <f t="shared" si="11"/>
        <v>62</v>
      </c>
      <c r="AN40" s="1">
        <f t="shared" si="12"/>
        <v>93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77</v>
      </c>
      <c r="B41" s="1" t="s">
        <v>36</v>
      </c>
      <c r="C41" s="1">
        <v>31.922000000000001</v>
      </c>
      <c r="D41" s="1">
        <v>184.66499999999999</v>
      </c>
      <c r="E41" s="1">
        <v>120.67700000000001</v>
      </c>
      <c r="F41" s="1">
        <v>71.2</v>
      </c>
      <c r="G41" s="7">
        <v>1</v>
      </c>
      <c r="H41" s="1">
        <v>40</v>
      </c>
      <c r="I41" s="1" t="s">
        <v>37</v>
      </c>
      <c r="J41" s="1"/>
      <c r="K41" s="1">
        <v>146.35</v>
      </c>
      <c r="L41" s="1">
        <f t="shared" si="26"/>
        <v>-25.672999999999988</v>
      </c>
      <c r="M41" s="1"/>
      <c r="N41" s="1"/>
      <c r="O41" s="1">
        <v>61.008635699999978</v>
      </c>
      <c r="P41" s="1">
        <v>62.116764299999957</v>
      </c>
      <c r="Q41" s="1">
        <v>47.680370000000103</v>
      </c>
      <c r="R41" s="1">
        <f t="shared" si="27"/>
        <v>24.135400000000001</v>
      </c>
      <c r="S41" s="5">
        <f t="shared" si="23"/>
        <v>35.551329999999965</v>
      </c>
      <c r="T41" s="5">
        <f t="shared" si="13"/>
        <v>35.551329999999965</v>
      </c>
      <c r="U41" s="5">
        <f t="shared" si="8"/>
        <v>35.551329999999965</v>
      </c>
      <c r="V41" s="5"/>
      <c r="W41" s="5"/>
      <c r="X41" s="17"/>
      <c r="Y41" s="17"/>
      <c r="Z41" s="1">
        <f t="shared" si="10"/>
        <v>11.5</v>
      </c>
      <c r="AA41" s="1">
        <f t="shared" si="29"/>
        <v>10.027004731639005</v>
      </c>
      <c r="AB41" s="1">
        <v>26.602599999999999</v>
      </c>
      <c r="AC41" s="1">
        <v>26.461400000000001</v>
      </c>
      <c r="AD41" s="1">
        <v>25.2514</v>
      </c>
      <c r="AE41" s="1">
        <v>12.7476</v>
      </c>
      <c r="AF41" s="1">
        <v>5.3621999999999996</v>
      </c>
      <c r="AG41" s="1">
        <v>18.358599999999999</v>
      </c>
      <c r="AH41" s="1">
        <v>30.653400000000001</v>
      </c>
      <c r="AI41" s="1">
        <v>17.975200000000001</v>
      </c>
      <c r="AJ41" s="1">
        <v>13.5848</v>
      </c>
      <c r="AK41" s="1">
        <v>8.2422000000000004</v>
      </c>
      <c r="AL41" s="1"/>
      <c r="AM41" s="1">
        <f t="shared" si="11"/>
        <v>36</v>
      </c>
      <c r="AN41" s="1">
        <f t="shared" si="12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78</v>
      </c>
      <c r="B42" s="1" t="s">
        <v>42</v>
      </c>
      <c r="C42" s="1">
        <v>3</v>
      </c>
      <c r="D42" s="1">
        <v>486</v>
      </c>
      <c r="E42" s="1">
        <v>224</v>
      </c>
      <c r="F42" s="1">
        <v>151</v>
      </c>
      <c r="G42" s="7">
        <v>0.4</v>
      </c>
      <c r="H42" s="1">
        <v>40</v>
      </c>
      <c r="I42" s="9" t="s">
        <v>40</v>
      </c>
      <c r="J42" s="1"/>
      <c r="K42" s="1">
        <v>351</v>
      </c>
      <c r="L42" s="1">
        <f t="shared" si="26"/>
        <v>-127</v>
      </c>
      <c r="M42" s="1"/>
      <c r="N42" s="1"/>
      <c r="O42" s="1">
        <v>145.424295</v>
      </c>
      <c r="P42" s="1">
        <v>148.06570500000001</v>
      </c>
      <c r="Q42" s="1">
        <v>0</v>
      </c>
      <c r="R42" s="1">
        <f t="shared" si="27"/>
        <v>44.8</v>
      </c>
      <c r="S42" s="5">
        <f t="shared" si="23"/>
        <v>70.709999999999951</v>
      </c>
      <c r="T42" s="5">
        <f t="shared" si="13"/>
        <v>70.709999999999951</v>
      </c>
      <c r="U42" s="5">
        <f t="shared" si="8"/>
        <v>70.709999999999951</v>
      </c>
      <c r="V42" s="5"/>
      <c r="W42" s="5"/>
      <c r="X42" s="17"/>
      <c r="Y42" s="17"/>
      <c r="Z42" s="1">
        <f t="shared" si="10"/>
        <v>11.5</v>
      </c>
      <c r="AA42" s="1">
        <f t="shared" si="29"/>
        <v>9.9216517857142872</v>
      </c>
      <c r="AB42" s="1">
        <v>29.8</v>
      </c>
      <c r="AC42" s="1">
        <v>66.8</v>
      </c>
      <c r="AD42" s="1">
        <v>81.8</v>
      </c>
      <c r="AE42" s="1">
        <v>99.6</v>
      </c>
      <c r="AF42" s="1">
        <v>112</v>
      </c>
      <c r="AG42" s="1">
        <v>121.8</v>
      </c>
      <c r="AH42" s="1">
        <v>74</v>
      </c>
      <c r="AI42" s="1">
        <v>58.2</v>
      </c>
      <c r="AJ42" s="1">
        <v>100</v>
      </c>
      <c r="AK42" s="1">
        <v>68.400000000000006</v>
      </c>
      <c r="AL42" s="1"/>
      <c r="AM42" s="1">
        <f t="shared" si="11"/>
        <v>28</v>
      </c>
      <c r="AN42" s="1">
        <f t="shared" si="12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79</v>
      </c>
      <c r="B43" s="1" t="s">
        <v>42</v>
      </c>
      <c r="C43" s="1">
        <v>189</v>
      </c>
      <c r="D43" s="1">
        <v>202</v>
      </c>
      <c r="E43" s="1">
        <v>312</v>
      </c>
      <c r="F43" s="1">
        <v>22</v>
      </c>
      <c r="G43" s="7">
        <v>0.4</v>
      </c>
      <c r="H43" s="1">
        <v>45</v>
      </c>
      <c r="I43" s="9" t="s">
        <v>40</v>
      </c>
      <c r="J43" s="1"/>
      <c r="K43" s="1">
        <v>322</v>
      </c>
      <c r="L43" s="1">
        <f t="shared" si="26"/>
        <v>-10</v>
      </c>
      <c r="M43" s="1"/>
      <c r="N43" s="1"/>
      <c r="O43" s="1">
        <v>188.33955</v>
      </c>
      <c r="P43" s="1">
        <v>191.76044999999999</v>
      </c>
      <c r="Q43" s="1">
        <v>99.870000000000076</v>
      </c>
      <c r="R43" s="1">
        <f t="shared" si="27"/>
        <v>62.4</v>
      </c>
      <c r="S43" s="5">
        <f t="shared" si="23"/>
        <v>215.62999999999991</v>
      </c>
      <c r="T43" s="5">
        <f t="shared" ref="T43:T46" si="31">S43+R43*$T$1</f>
        <v>189.42199999999991</v>
      </c>
      <c r="U43" s="5">
        <f t="shared" si="8"/>
        <v>75.579377999999963</v>
      </c>
      <c r="V43" s="5">
        <f t="shared" ref="V43:V48" si="32">T43*$V$1</f>
        <v>113.84262199999995</v>
      </c>
      <c r="W43" s="5"/>
      <c r="X43" s="17"/>
      <c r="Y43" s="17"/>
      <c r="Z43" s="1">
        <f t="shared" si="10"/>
        <v>11.080000000000002</v>
      </c>
      <c r="AA43" s="1">
        <f t="shared" si="29"/>
        <v>8.044391025641028</v>
      </c>
      <c r="AB43" s="1">
        <v>58.6</v>
      </c>
      <c r="AC43" s="1">
        <v>60.4</v>
      </c>
      <c r="AD43" s="1">
        <v>45</v>
      </c>
      <c r="AE43" s="1">
        <v>33.799999999999997</v>
      </c>
      <c r="AF43" s="1">
        <v>43.2</v>
      </c>
      <c r="AG43" s="1">
        <v>55.2</v>
      </c>
      <c r="AH43" s="1">
        <v>56.8</v>
      </c>
      <c r="AI43" s="1">
        <v>32.799999999999997</v>
      </c>
      <c r="AJ43" s="1">
        <v>43</v>
      </c>
      <c r="AK43" s="1">
        <v>54.2</v>
      </c>
      <c r="AL43" s="1"/>
      <c r="AM43" s="1">
        <f t="shared" si="11"/>
        <v>30</v>
      </c>
      <c r="AN43" s="1">
        <f t="shared" si="12"/>
        <v>46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80</v>
      </c>
      <c r="B44" s="1" t="s">
        <v>36</v>
      </c>
      <c r="C44" s="1">
        <v>236.297</v>
      </c>
      <c r="D44" s="1">
        <v>515.61099999999999</v>
      </c>
      <c r="E44" s="1">
        <v>320.04000000000002</v>
      </c>
      <c r="F44" s="1">
        <v>315.74</v>
      </c>
      <c r="G44" s="7">
        <v>1</v>
      </c>
      <c r="H44" s="1">
        <v>40</v>
      </c>
      <c r="I44" s="9" t="s">
        <v>40</v>
      </c>
      <c r="J44" s="1"/>
      <c r="K44" s="1">
        <v>323.2</v>
      </c>
      <c r="L44" s="1">
        <f t="shared" si="26"/>
        <v>-3.1599999999999682</v>
      </c>
      <c r="M44" s="1"/>
      <c r="N44" s="1"/>
      <c r="O44" s="1">
        <v>69.317920000000129</v>
      </c>
      <c r="P44" s="1"/>
      <c r="Q44" s="1">
        <v>111.11937999999989</v>
      </c>
      <c r="R44" s="1">
        <f t="shared" si="27"/>
        <v>64.00800000000001</v>
      </c>
      <c r="S44" s="5">
        <f t="shared" si="23"/>
        <v>239.91470000000004</v>
      </c>
      <c r="T44" s="5">
        <f t="shared" si="31"/>
        <v>213.03134000000003</v>
      </c>
      <c r="U44" s="5">
        <f t="shared" si="8"/>
        <v>84.999504660000014</v>
      </c>
      <c r="V44" s="5">
        <f t="shared" si="32"/>
        <v>128.03183534000001</v>
      </c>
      <c r="W44" s="5"/>
      <c r="X44" s="17"/>
      <c r="Y44" s="17"/>
      <c r="Z44" s="1">
        <f t="shared" si="10"/>
        <v>11.08</v>
      </c>
      <c r="AA44" s="1">
        <f t="shared" si="29"/>
        <v>7.7518013373328332</v>
      </c>
      <c r="AB44" s="1">
        <v>63.973999999999997</v>
      </c>
      <c r="AC44" s="1">
        <v>63.660200000000003</v>
      </c>
      <c r="AD44" s="1">
        <v>81.626599999999996</v>
      </c>
      <c r="AE44" s="1">
        <v>49.550800000000002</v>
      </c>
      <c r="AF44" s="1">
        <v>8.9260000000000002</v>
      </c>
      <c r="AG44" s="1">
        <v>-0.46539999999999998</v>
      </c>
      <c r="AH44" s="1">
        <v>37.095999999999997</v>
      </c>
      <c r="AI44" s="1">
        <v>60.197799999999987</v>
      </c>
      <c r="AJ44" s="1">
        <v>34.119799999999998</v>
      </c>
      <c r="AK44" s="1">
        <v>15.690799999999999</v>
      </c>
      <c r="AL44" s="1"/>
      <c r="AM44" s="1">
        <f t="shared" si="11"/>
        <v>85</v>
      </c>
      <c r="AN44" s="1">
        <f t="shared" si="12"/>
        <v>128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81</v>
      </c>
      <c r="B45" s="1" t="s">
        <v>42</v>
      </c>
      <c r="C45" s="1">
        <v>-1</v>
      </c>
      <c r="D45" s="1">
        <v>1265</v>
      </c>
      <c r="E45" s="1">
        <v>1226</v>
      </c>
      <c r="F45" s="1">
        <v>4</v>
      </c>
      <c r="G45" s="7">
        <v>0.35</v>
      </c>
      <c r="H45" s="1">
        <v>40</v>
      </c>
      <c r="I45" s="9" t="s">
        <v>40</v>
      </c>
      <c r="J45" s="1"/>
      <c r="K45" s="1">
        <v>1263</v>
      </c>
      <c r="L45" s="1">
        <f t="shared" si="26"/>
        <v>-37</v>
      </c>
      <c r="M45" s="1"/>
      <c r="N45" s="1"/>
      <c r="O45" s="1">
        <v>0</v>
      </c>
      <c r="P45" s="1"/>
      <c r="Q45" s="1">
        <v>640.88000000000011</v>
      </c>
      <c r="R45" s="1">
        <f t="shared" si="27"/>
        <v>245.2</v>
      </c>
      <c r="S45" s="5">
        <f>9.5*R45-Q45-P45-O45-F45</f>
        <v>1684.52</v>
      </c>
      <c r="T45" s="5">
        <f t="shared" si="31"/>
        <v>1581.5360000000001</v>
      </c>
      <c r="U45" s="5">
        <f t="shared" si="8"/>
        <v>631.03286400000002</v>
      </c>
      <c r="V45" s="5">
        <f t="shared" si="32"/>
        <v>950.50313600000004</v>
      </c>
      <c r="W45" s="5"/>
      <c r="X45" s="17"/>
      <c r="Y45" s="17"/>
      <c r="Z45" s="1">
        <f t="shared" si="10"/>
        <v>9.0800000000000018</v>
      </c>
      <c r="AA45" s="1">
        <f t="shared" si="29"/>
        <v>2.6300163132137038</v>
      </c>
      <c r="AB45" s="1">
        <v>114.4</v>
      </c>
      <c r="AC45" s="1">
        <v>137.6</v>
      </c>
      <c r="AD45" s="1">
        <v>203.4</v>
      </c>
      <c r="AE45" s="1">
        <v>106.6</v>
      </c>
      <c r="AF45" s="1">
        <v>39.4</v>
      </c>
      <c r="AG45" s="1">
        <v>32</v>
      </c>
      <c r="AH45" s="1">
        <v>167.4</v>
      </c>
      <c r="AI45" s="1">
        <v>255.8</v>
      </c>
      <c r="AJ45" s="1">
        <v>270</v>
      </c>
      <c r="AK45" s="1">
        <v>263.60000000000002</v>
      </c>
      <c r="AL45" s="1"/>
      <c r="AM45" s="1">
        <f t="shared" si="11"/>
        <v>221</v>
      </c>
      <c r="AN45" s="1">
        <f t="shared" si="12"/>
        <v>333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82</v>
      </c>
      <c r="B46" s="1" t="s">
        <v>42</v>
      </c>
      <c r="C46" s="1">
        <v>664</v>
      </c>
      <c r="D46" s="1">
        <v>264</v>
      </c>
      <c r="E46" s="1">
        <v>696</v>
      </c>
      <c r="F46" s="1">
        <v>35</v>
      </c>
      <c r="G46" s="7">
        <v>0.4</v>
      </c>
      <c r="H46" s="1">
        <v>40</v>
      </c>
      <c r="I46" s="1" t="s">
        <v>37</v>
      </c>
      <c r="J46" s="1"/>
      <c r="K46" s="1">
        <v>743</v>
      </c>
      <c r="L46" s="1">
        <f t="shared" si="26"/>
        <v>-47</v>
      </c>
      <c r="M46" s="1"/>
      <c r="N46" s="1"/>
      <c r="O46" s="1">
        <v>342.21211999999991</v>
      </c>
      <c r="P46" s="1">
        <v>348.42787999999979</v>
      </c>
      <c r="Q46" s="1">
        <v>356.11000000000041</v>
      </c>
      <c r="R46" s="1">
        <f t="shared" si="27"/>
        <v>139.19999999999999</v>
      </c>
      <c r="S46" s="5">
        <f t="shared" si="23"/>
        <v>519.04999999999995</v>
      </c>
      <c r="T46" s="5">
        <f t="shared" si="31"/>
        <v>460.58599999999996</v>
      </c>
      <c r="U46" s="5">
        <f t="shared" si="8"/>
        <v>183.77381400000002</v>
      </c>
      <c r="V46" s="5">
        <f t="shared" si="32"/>
        <v>276.81218599999994</v>
      </c>
      <c r="W46" s="5"/>
      <c r="X46" s="17"/>
      <c r="Y46" s="17"/>
      <c r="Z46" s="1">
        <f t="shared" si="10"/>
        <v>11.080000000000002</v>
      </c>
      <c r="AA46" s="1">
        <f t="shared" si="29"/>
        <v>7.7711925287356332</v>
      </c>
      <c r="AB46" s="1">
        <v>135</v>
      </c>
      <c r="AC46" s="1">
        <v>122.6</v>
      </c>
      <c r="AD46" s="1">
        <v>107.2</v>
      </c>
      <c r="AE46" s="1">
        <v>108</v>
      </c>
      <c r="AF46" s="1">
        <v>131.80000000000001</v>
      </c>
      <c r="AG46" s="1">
        <v>146.19999999999999</v>
      </c>
      <c r="AH46" s="1">
        <v>130.19999999999999</v>
      </c>
      <c r="AI46" s="1">
        <v>140.4</v>
      </c>
      <c r="AJ46" s="1">
        <v>153.6</v>
      </c>
      <c r="AK46" s="1">
        <v>183.2</v>
      </c>
      <c r="AL46" s="1"/>
      <c r="AM46" s="1">
        <f t="shared" si="11"/>
        <v>74</v>
      </c>
      <c r="AN46" s="1">
        <f t="shared" si="12"/>
        <v>111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83</v>
      </c>
      <c r="B47" s="1" t="s">
        <v>36</v>
      </c>
      <c r="C47" s="1">
        <v>39.747</v>
      </c>
      <c r="D47" s="1">
        <v>857.13400000000001</v>
      </c>
      <c r="E47" s="1">
        <v>440.65499999999997</v>
      </c>
      <c r="F47" s="1">
        <v>321.214</v>
      </c>
      <c r="G47" s="7">
        <v>1</v>
      </c>
      <c r="H47" s="1">
        <v>50</v>
      </c>
      <c r="I47" s="1" t="s">
        <v>37</v>
      </c>
      <c r="J47" s="1"/>
      <c r="K47" s="1">
        <v>575.75</v>
      </c>
      <c r="L47" s="1">
        <f t="shared" si="26"/>
        <v>-135.09500000000003</v>
      </c>
      <c r="M47" s="1"/>
      <c r="N47" s="1"/>
      <c r="O47" s="1">
        <v>282.1773255279316</v>
      </c>
      <c r="P47" s="1">
        <v>287.30264526506852</v>
      </c>
      <c r="Q47" s="1">
        <v>0</v>
      </c>
      <c r="R47" s="1">
        <f t="shared" si="27"/>
        <v>88.131</v>
      </c>
      <c r="S47" s="5">
        <f t="shared" si="23"/>
        <v>122.81252920699978</v>
      </c>
      <c r="T47" s="5">
        <f t="shared" si="13"/>
        <v>122.81252920699978</v>
      </c>
      <c r="U47" s="5">
        <f t="shared" si="8"/>
        <v>49.002199153592912</v>
      </c>
      <c r="V47" s="5">
        <f t="shared" si="32"/>
        <v>73.810330053406872</v>
      </c>
      <c r="W47" s="5"/>
      <c r="X47" s="17"/>
      <c r="Y47" s="17"/>
      <c r="Z47" s="1">
        <f t="shared" si="10"/>
        <v>11.499999999999998</v>
      </c>
      <c r="AA47" s="1">
        <f t="shared" si="29"/>
        <v>10.106477525422383</v>
      </c>
      <c r="AB47" s="1">
        <v>89.808199999999999</v>
      </c>
      <c r="AC47" s="1">
        <v>121.25839999999999</v>
      </c>
      <c r="AD47" s="1">
        <v>100.7212</v>
      </c>
      <c r="AE47" s="1">
        <v>84.682000000000002</v>
      </c>
      <c r="AF47" s="1">
        <v>101.071</v>
      </c>
      <c r="AG47" s="1">
        <v>105.2124</v>
      </c>
      <c r="AH47" s="1">
        <v>95.491600000000005</v>
      </c>
      <c r="AI47" s="1">
        <v>93.509</v>
      </c>
      <c r="AJ47" s="1">
        <v>94.5214</v>
      </c>
      <c r="AK47" s="1">
        <v>94.858399999999989</v>
      </c>
      <c r="AL47" s="1"/>
      <c r="AM47" s="1">
        <f t="shared" si="11"/>
        <v>49</v>
      </c>
      <c r="AN47" s="1">
        <f t="shared" si="12"/>
        <v>74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84</v>
      </c>
      <c r="B48" s="1" t="s">
        <v>36</v>
      </c>
      <c r="C48" s="1">
        <v>460.697</v>
      </c>
      <c r="D48" s="1">
        <v>697.90899999999999</v>
      </c>
      <c r="E48" s="1">
        <v>745.29899999999998</v>
      </c>
      <c r="F48" s="1">
        <v>267.07900000000001</v>
      </c>
      <c r="G48" s="7">
        <v>1</v>
      </c>
      <c r="H48" s="1">
        <v>50</v>
      </c>
      <c r="I48" s="1" t="s">
        <v>37</v>
      </c>
      <c r="J48" s="1"/>
      <c r="K48" s="1">
        <v>760.1</v>
      </c>
      <c r="L48" s="1">
        <f t="shared" si="26"/>
        <v>-14.801000000000045</v>
      </c>
      <c r="M48" s="1"/>
      <c r="N48" s="1"/>
      <c r="O48" s="1">
        <v>366.70943056057371</v>
      </c>
      <c r="P48" s="1">
        <v>373.37014675642661</v>
      </c>
      <c r="Q48" s="1">
        <v>370.35132268299958</v>
      </c>
      <c r="R48" s="1">
        <f t="shared" si="27"/>
        <v>149.0598</v>
      </c>
      <c r="S48" s="5">
        <f t="shared" si="23"/>
        <v>336.6778000000001</v>
      </c>
      <c r="T48" s="5">
        <f>S48+R48*$T$1</f>
        <v>274.07268400000009</v>
      </c>
      <c r="U48" s="5">
        <f t="shared" si="8"/>
        <v>109.35500091600005</v>
      </c>
      <c r="V48" s="5">
        <f t="shared" si="32"/>
        <v>164.71768308400004</v>
      </c>
      <c r="W48" s="5"/>
      <c r="X48" s="17"/>
      <c r="Y48" s="17"/>
      <c r="Z48" s="1">
        <f t="shared" si="10"/>
        <v>11.080000000000002</v>
      </c>
      <c r="AA48" s="1">
        <f t="shared" si="29"/>
        <v>9.241323951863615</v>
      </c>
      <c r="AB48" s="1">
        <v>155.542</v>
      </c>
      <c r="AC48" s="1">
        <v>149.3494</v>
      </c>
      <c r="AD48" s="1">
        <v>132.19200000000001</v>
      </c>
      <c r="AE48" s="1">
        <v>116.61360000000001</v>
      </c>
      <c r="AF48" s="1">
        <v>124.0046</v>
      </c>
      <c r="AG48" s="1">
        <v>146.42580000000001</v>
      </c>
      <c r="AH48" s="1">
        <v>147.56039999999999</v>
      </c>
      <c r="AI48" s="1">
        <v>129.40299999999999</v>
      </c>
      <c r="AJ48" s="1">
        <v>132.53659999999999</v>
      </c>
      <c r="AK48" s="1">
        <v>146.15979999999999</v>
      </c>
      <c r="AL48" s="1"/>
      <c r="AM48" s="1">
        <f t="shared" si="11"/>
        <v>109</v>
      </c>
      <c r="AN48" s="1">
        <f t="shared" si="12"/>
        <v>165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85</v>
      </c>
      <c r="B49" s="1" t="s">
        <v>36</v>
      </c>
      <c r="C49" s="1">
        <v>34.406999999999996</v>
      </c>
      <c r="D49" s="1"/>
      <c r="E49" s="1">
        <v>3.0049999999999999</v>
      </c>
      <c r="F49" s="13">
        <f>25.579+F124</f>
        <v>87.664000000000001</v>
      </c>
      <c r="G49" s="7">
        <v>1</v>
      </c>
      <c r="H49" s="1">
        <v>45</v>
      </c>
      <c r="I49" s="9" t="s">
        <v>75</v>
      </c>
      <c r="J49" s="1"/>
      <c r="K49" s="1">
        <v>2.6</v>
      </c>
      <c r="L49" s="1">
        <f t="shared" si="26"/>
        <v>0.4049999999999998</v>
      </c>
      <c r="M49" s="1"/>
      <c r="N49" s="1"/>
      <c r="O49" s="1">
        <v>0</v>
      </c>
      <c r="P49" s="1"/>
      <c r="Q49" s="1">
        <v>0</v>
      </c>
      <c r="R49" s="1">
        <f t="shared" si="27"/>
        <v>0.60099999999999998</v>
      </c>
      <c r="S49" s="5"/>
      <c r="T49" s="5">
        <f t="shared" si="13"/>
        <v>0</v>
      </c>
      <c r="U49" s="5">
        <f t="shared" si="8"/>
        <v>0</v>
      </c>
      <c r="V49" s="5"/>
      <c r="W49" s="5"/>
      <c r="X49" s="17"/>
      <c r="Y49" s="17"/>
      <c r="Z49" s="1">
        <f t="shared" si="10"/>
        <v>145.86356073211314</v>
      </c>
      <c r="AA49" s="1">
        <f t="shared" si="29"/>
        <v>145.86356073211314</v>
      </c>
      <c r="AB49" s="1">
        <v>0</v>
      </c>
      <c r="AC49" s="1">
        <v>0</v>
      </c>
      <c r="AD49" s="1">
        <v>0</v>
      </c>
      <c r="AE49" s="1">
        <v>0.29899999999999999</v>
      </c>
      <c r="AF49" s="1">
        <v>0.29899999999999999</v>
      </c>
      <c r="AG49" s="1">
        <v>0</v>
      </c>
      <c r="AH49" s="1">
        <v>-0.30520000000000003</v>
      </c>
      <c r="AI49" s="1">
        <v>-0.30520000000000003</v>
      </c>
      <c r="AJ49" s="1">
        <v>0</v>
      </c>
      <c r="AK49" s="1">
        <v>0</v>
      </c>
      <c r="AL49" s="14" t="s">
        <v>86</v>
      </c>
      <c r="AM49" s="1">
        <f t="shared" si="11"/>
        <v>0</v>
      </c>
      <c r="AN49" s="1">
        <f t="shared" si="12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87</v>
      </c>
      <c r="B50" s="1" t="s">
        <v>42</v>
      </c>
      <c r="C50" s="1">
        <v>216</v>
      </c>
      <c r="D50" s="1">
        <v>131</v>
      </c>
      <c r="E50" s="1">
        <v>132</v>
      </c>
      <c r="F50" s="1">
        <v>178</v>
      </c>
      <c r="G50" s="7">
        <v>0.45</v>
      </c>
      <c r="H50" s="1">
        <v>50</v>
      </c>
      <c r="I50" s="1" t="s">
        <v>37</v>
      </c>
      <c r="J50" s="1"/>
      <c r="K50" s="1">
        <v>136</v>
      </c>
      <c r="L50" s="1">
        <f t="shared" si="26"/>
        <v>-4</v>
      </c>
      <c r="M50" s="1"/>
      <c r="N50" s="1"/>
      <c r="O50" s="1">
        <v>0</v>
      </c>
      <c r="P50" s="1"/>
      <c r="Q50" s="1">
        <v>0</v>
      </c>
      <c r="R50" s="1">
        <f t="shared" si="27"/>
        <v>26.4</v>
      </c>
      <c r="S50" s="5">
        <f t="shared" si="23"/>
        <v>125.59999999999997</v>
      </c>
      <c r="T50" s="5">
        <f t="shared" si="13"/>
        <v>125.59999999999997</v>
      </c>
      <c r="U50" s="5">
        <f t="shared" si="8"/>
        <v>50.114399999999989</v>
      </c>
      <c r="V50" s="5">
        <f t="shared" ref="V50:V51" si="33">T50*$V$1</f>
        <v>75.485599999999977</v>
      </c>
      <c r="W50" s="5"/>
      <c r="X50" s="17"/>
      <c r="Y50" s="17"/>
      <c r="Z50" s="1">
        <f t="shared" si="10"/>
        <v>11.5</v>
      </c>
      <c r="AA50" s="1">
        <f t="shared" si="29"/>
        <v>6.7424242424242431</v>
      </c>
      <c r="AB50" s="1">
        <v>21.8</v>
      </c>
      <c r="AC50" s="1">
        <v>23</v>
      </c>
      <c r="AD50" s="1">
        <v>34</v>
      </c>
      <c r="AE50" s="1">
        <v>37</v>
      </c>
      <c r="AF50" s="1">
        <v>29</v>
      </c>
      <c r="AG50" s="1">
        <v>39.200000000000003</v>
      </c>
      <c r="AH50" s="1">
        <v>49.8</v>
      </c>
      <c r="AI50" s="1">
        <v>39</v>
      </c>
      <c r="AJ50" s="1">
        <v>34.4</v>
      </c>
      <c r="AK50" s="1">
        <v>39.4</v>
      </c>
      <c r="AL50" s="1"/>
      <c r="AM50" s="1">
        <f t="shared" si="11"/>
        <v>23</v>
      </c>
      <c r="AN50" s="1">
        <f t="shared" si="12"/>
        <v>34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88</v>
      </c>
      <c r="B51" s="1" t="s">
        <v>42</v>
      </c>
      <c r="C51" s="1">
        <v>442</v>
      </c>
      <c r="D51" s="1">
        <v>480</v>
      </c>
      <c r="E51" s="1">
        <v>525</v>
      </c>
      <c r="F51" s="1">
        <v>264</v>
      </c>
      <c r="G51" s="7">
        <v>0.45</v>
      </c>
      <c r="H51" s="1">
        <v>50</v>
      </c>
      <c r="I51" s="1" t="s">
        <v>37</v>
      </c>
      <c r="J51" s="1"/>
      <c r="K51" s="1">
        <v>529</v>
      </c>
      <c r="L51" s="1">
        <f t="shared" si="26"/>
        <v>-4</v>
      </c>
      <c r="M51" s="1"/>
      <c r="N51" s="1"/>
      <c r="O51" s="1">
        <v>172.96616700000001</v>
      </c>
      <c r="P51" s="1">
        <v>176.107833</v>
      </c>
      <c r="Q51" s="1">
        <v>242.69599999999991</v>
      </c>
      <c r="R51" s="1">
        <f t="shared" si="27"/>
        <v>105</v>
      </c>
      <c r="S51" s="5">
        <f t="shared" si="23"/>
        <v>351.73</v>
      </c>
      <c r="T51" s="5">
        <f>S51+R51*$T$1</f>
        <v>307.63</v>
      </c>
      <c r="U51" s="5">
        <f t="shared" si="8"/>
        <v>122.74437</v>
      </c>
      <c r="V51" s="5">
        <f t="shared" si="33"/>
        <v>184.88562999999999</v>
      </c>
      <c r="W51" s="5"/>
      <c r="X51" s="17"/>
      <c r="Y51" s="17"/>
      <c r="Z51" s="1">
        <f t="shared" si="10"/>
        <v>11.08</v>
      </c>
      <c r="AA51" s="1">
        <f t="shared" si="29"/>
        <v>8.1501904761904758</v>
      </c>
      <c r="AB51" s="1">
        <v>102.6</v>
      </c>
      <c r="AC51" s="1">
        <v>96</v>
      </c>
      <c r="AD51" s="1">
        <v>100.6</v>
      </c>
      <c r="AE51" s="1">
        <v>99.2</v>
      </c>
      <c r="AF51" s="1">
        <v>100</v>
      </c>
      <c r="AG51" s="1">
        <v>113.4</v>
      </c>
      <c r="AH51" s="1">
        <v>107.6</v>
      </c>
      <c r="AI51" s="1">
        <v>84.2</v>
      </c>
      <c r="AJ51" s="1">
        <v>90.2</v>
      </c>
      <c r="AK51" s="1">
        <v>119.8</v>
      </c>
      <c r="AL51" s="1"/>
      <c r="AM51" s="1">
        <f t="shared" si="11"/>
        <v>55</v>
      </c>
      <c r="AN51" s="1">
        <f t="shared" si="12"/>
        <v>83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89</v>
      </c>
      <c r="B52" s="1" t="s">
        <v>42</v>
      </c>
      <c r="C52" s="1">
        <v>27</v>
      </c>
      <c r="D52" s="1">
        <v>43</v>
      </c>
      <c r="E52" s="1">
        <v>22</v>
      </c>
      <c r="F52" s="1">
        <v>34</v>
      </c>
      <c r="G52" s="7">
        <v>0.4</v>
      </c>
      <c r="H52" s="1">
        <v>40</v>
      </c>
      <c r="I52" s="1" t="s">
        <v>37</v>
      </c>
      <c r="J52" s="1"/>
      <c r="K52" s="1">
        <v>25</v>
      </c>
      <c r="L52" s="1">
        <f t="shared" si="26"/>
        <v>-3</v>
      </c>
      <c r="M52" s="1"/>
      <c r="N52" s="1"/>
      <c r="O52" s="1">
        <v>51.059999999999988</v>
      </c>
      <c r="P52" s="1"/>
      <c r="Q52" s="1">
        <v>0</v>
      </c>
      <c r="R52" s="1">
        <f t="shared" si="27"/>
        <v>4.4000000000000004</v>
      </c>
      <c r="S52" s="5"/>
      <c r="T52" s="5">
        <f t="shared" si="13"/>
        <v>0</v>
      </c>
      <c r="U52" s="5">
        <f t="shared" si="8"/>
        <v>0</v>
      </c>
      <c r="V52" s="5"/>
      <c r="W52" s="5"/>
      <c r="X52" s="17"/>
      <c r="Y52" s="17"/>
      <c r="Z52" s="1">
        <f t="shared" si="10"/>
        <v>19.331818181818178</v>
      </c>
      <c r="AA52" s="1">
        <f t="shared" si="29"/>
        <v>19.331818181818178</v>
      </c>
      <c r="AB52" s="1">
        <v>7</v>
      </c>
      <c r="AC52" s="1">
        <v>9.6</v>
      </c>
      <c r="AD52" s="1">
        <v>7.8</v>
      </c>
      <c r="AE52" s="1">
        <v>6.2</v>
      </c>
      <c r="AF52" s="1">
        <v>9.1999999999999993</v>
      </c>
      <c r="AG52" s="1">
        <v>9.1999999999999993</v>
      </c>
      <c r="AH52" s="1">
        <v>9.1999999999999993</v>
      </c>
      <c r="AI52" s="1">
        <v>7.2</v>
      </c>
      <c r="AJ52" s="1">
        <v>1.2</v>
      </c>
      <c r="AK52" s="1">
        <v>-0.8</v>
      </c>
      <c r="AL52" s="1"/>
      <c r="AM52" s="1">
        <f t="shared" si="11"/>
        <v>0</v>
      </c>
      <c r="AN52" s="1">
        <f t="shared" si="12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90</v>
      </c>
      <c r="B53" s="1" t="s">
        <v>42</v>
      </c>
      <c r="C53" s="1">
        <v>120</v>
      </c>
      <c r="D53" s="1">
        <v>38</v>
      </c>
      <c r="E53" s="1">
        <v>58</v>
      </c>
      <c r="F53" s="1">
        <v>55</v>
      </c>
      <c r="G53" s="7">
        <v>0.4</v>
      </c>
      <c r="H53" s="1">
        <v>40</v>
      </c>
      <c r="I53" s="1" t="s">
        <v>37</v>
      </c>
      <c r="J53" s="1"/>
      <c r="K53" s="1">
        <v>72</v>
      </c>
      <c r="L53" s="1">
        <f t="shared" si="26"/>
        <v>-14</v>
      </c>
      <c r="M53" s="1"/>
      <c r="N53" s="1"/>
      <c r="O53" s="1">
        <v>8.9199999999999875</v>
      </c>
      <c r="P53" s="1"/>
      <c r="Q53" s="1">
        <v>56.960000000000029</v>
      </c>
      <c r="R53" s="1">
        <f t="shared" si="27"/>
        <v>11.6</v>
      </c>
      <c r="S53" s="5">
        <f t="shared" si="23"/>
        <v>12.519999999999982</v>
      </c>
      <c r="T53" s="5">
        <f t="shared" si="13"/>
        <v>12.519999999999982</v>
      </c>
      <c r="U53" s="5">
        <f t="shared" si="8"/>
        <v>12.519999999999982</v>
      </c>
      <c r="V53" s="5"/>
      <c r="W53" s="5"/>
      <c r="X53" s="17"/>
      <c r="Y53" s="17"/>
      <c r="Z53" s="1">
        <f t="shared" si="10"/>
        <v>11.5</v>
      </c>
      <c r="AA53" s="1">
        <f t="shared" si="29"/>
        <v>10.420689655172415</v>
      </c>
      <c r="AB53" s="1">
        <v>14.4</v>
      </c>
      <c r="AC53" s="1">
        <v>11.2</v>
      </c>
      <c r="AD53" s="1">
        <v>17.600000000000001</v>
      </c>
      <c r="AE53" s="1">
        <v>15.8</v>
      </c>
      <c r="AF53" s="1">
        <v>17.399999999999999</v>
      </c>
      <c r="AG53" s="1">
        <v>22.4</v>
      </c>
      <c r="AH53" s="1">
        <v>14.4</v>
      </c>
      <c r="AI53" s="1">
        <v>10.4</v>
      </c>
      <c r="AJ53" s="1">
        <v>13</v>
      </c>
      <c r="AK53" s="1">
        <v>16.600000000000001</v>
      </c>
      <c r="AL53" s="1"/>
      <c r="AM53" s="1">
        <f t="shared" si="11"/>
        <v>5</v>
      </c>
      <c r="AN53" s="1">
        <f t="shared" si="1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91</v>
      </c>
      <c r="B54" s="1" t="s">
        <v>36</v>
      </c>
      <c r="C54" s="1">
        <v>456.274</v>
      </c>
      <c r="D54" s="1">
        <v>696.42100000000005</v>
      </c>
      <c r="E54" s="1">
        <v>848.48</v>
      </c>
      <c r="F54" s="1">
        <v>-27.448</v>
      </c>
      <c r="G54" s="7">
        <v>1</v>
      </c>
      <c r="H54" s="1">
        <v>50</v>
      </c>
      <c r="I54" s="1" t="s">
        <v>37</v>
      </c>
      <c r="J54" s="1"/>
      <c r="K54" s="1">
        <v>828.15</v>
      </c>
      <c r="L54" s="1">
        <f t="shared" si="26"/>
        <v>20.330000000000041</v>
      </c>
      <c r="M54" s="1"/>
      <c r="N54" s="1"/>
      <c r="O54" s="1">
        <v>439.53110570100017</v>
      </c>
      <c r="P54" s="1">
        <v>447.51451629899998</v>
      </c>
      <c r="Q54" s="1">
        <v>263.84597800000017</v>
      </c>
      <c r="R54" s="1">
        <f t="shared" si="27"/>
        <v>169.696</v>
      </c>
      <c r="S54" s="5">
        <f t="shared" si="23"/>
        <v>828.0603999999995</v>
      </c>
      <c r="T54" s="5">
        <f>X54</f>
        <v>950</v>
      </c>
      <c r="U54" s="5">
        <f t="shared" si="8"/>
        <v>379.05000000000007</v>
      </c>
      <c r="V54" s="5">
        <f t="shared" ref="V54:V56" si="34">T54*$V$1</f>
        <v>570.94999999999993</v>
      </c>
      <c r="W54" s="5"/>
      <c r="X54" s="17">
        <f>VLOOKUP(A54,[1]Sheet!$A:$U,20,0)</f>
        <v>950</v>
      </c>
      <c r="Y54" s="17" t="str">
        <f>VLOOKUP(A54,[1]Sheet!$A:$U,21,0)</f>
        <v>промо</v>
      </c>
      <c r="Z54" s="1">
        <f t="shared" si="10"/>
        <v>12.218576749009998</v>
      </c>
      <c r="AA54" s="1">
        <f t="shared" si="29"/>
        <v>6.6203304733169936</v>
      </c>
      <c r="AB54" s="1">
        <v>157.18799999999999</v>
      </c>
      <c r="AC54" s="1">
        <v>152.66800000000001</v>
      </c>
      <c r="AD54" s="1">
        <v>130.7808</v>
      </c>
      <c r="AE54" s="1">
        <v>123.7856</v>
      </c>
      <c r="AF54" s="1">
        <v>130.64519999999999</v>
      </c>
      <c r="AG54" s="1">
        <v>141.1628</v>
      </c>
      <c r="AH54" s="1">
        <v>146.07660000000001</v>
      </c>
      <c r="AI54" s="1">
        <v>118.6026</v>
      </c>
      <c r="AJ54" s="1">
        <v>123.30800000000001</v>
      </c>
      <c r="AK54" s="1">
        <v>169.84139999999999</v>
      </c>
      <c r="AL54" s="1"/>
      <c r="AM54" s="1">
        <f t="shared" si="11"/>
        <v>379</v>
      </c>
      <c r="AN54" s="1">
        <f t="shared" si="12"/>
        <v>571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92</v>
      </c>
      <c r="B55" s="1" t="s">
        <v>42</v>
      </c>
      <c r="C55" s="1">
        <v>128</v>
      </c>
      <c r="D55" s="1">
        <v>504</v>
      </c>
      <c r="E55" s="13">
        <f>252+E130</f>
        <v>390</v>
      </c>
      <c r="F55" s="13">
        <f>76+F130</f>
        <v>71</v>
      </c>
      <c r="G55" s="7">
        <v>0.1</v>
      </c>
      <c r="H55" s="1">
        <v>731</v>
      </c>
      <c r="I55" s="1" t="s">
        <v>37</v>
      </c>
      <c r="J55" s="1"/>
      <c r="K55" s="1">
        <v>256</v>
      </c>
      <c r="L55" s="1">
        <f t="shared" si="26"/>
        <v>134</v>
      </c>
      <c r="M55" s="1"/>
      <c r="N55" s="1"/>
      <c r="O55" s="1">
        <v>219.67497</v>
      </c>
      <c r="P55" s="1">
        <v>223.66502999999989</v>
      </c>
      <c r="Q55" s="1">
        <v>81.120000000000047</v>
      </c>
      <c r="R55" s="1">
        <f t="shared" si="27"/>
        <v>78</v>
      </c>
      <c r="S55" s="5">
        <f t="shared" si="23"/>
        <v>301.54000000000008</v>
      </c>
      <c r="T55" s="5">
        <f t="shared" ref="T55:T56" si="35">S55+R55*$T$1</f>
        <v>268.78000000000009</v>
      </c>
      <c r="U55" s="5">
        <f t="shared" si="8"/>
        <v>107.24322000000004</v>
      </c>
      <c r="V55" s="5">
        <f t="shared" si="34"/>
        <v>161.53678000000005</v>
      </c>
      <c r="W55" s="5"/>
      <c r="X55" s="17"/>
      <c r="Y55" s="17"/>
      <c r="Z55" s="1">
        <f t="shared" si="10"/>
        <v>11.08</v>
      </c>
      <c r="AA55" s="1">
        <f t="shared" si="29"/>
        <v>7.6341025641025633</v>
      </c>
      <c r="AB55" s="1">
        <v>74.8</v>
      </c>
      <c r="AC55" s="1">
        <v>78</v>
      </c>
      <c r="AD55" s="1">
        <v>65.2</v>
      </c>
      <c r="AE55" s="1">
        <v>67.8</v>
      </c>
      <c r="AF55" s="1">
        <v>70.8</v>
      </c>
      <c r="AG55" s="1">
        <v>73.599999999999994</v>
      </c>
      <c r="AH55" s="1">
        <v>77.2</v>
      </c>
      <c r="AI55" s="1">
        <v>84.4</v>
      </c>
      <c r="AJ55" s="1">
        <v>84.4</v>
      </c>
      <c r="AK55" s="1">
        <v>66.400000000000006</v>
      </c>
      <c r="AL55" s="1"/>
      <c r="AM55" s="1">
        <f t="shared" si="11"/>
        <v>11</v>
      </c>
      <c r="AN55" s="1">
        <f t="shared" si="12"/>
        <v>16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93</v>
      </c>
      <c r="B56" s="1" t="s">
        <v>36</v>
      </c>
      <c r="C56" s="1">
        <v>457.24599999999998</v>
      </c>
      <c r="D56" s="1">
        <v>1431.88</v>
      </c>
      <c r="E56" s="1">
        <v>1077.308</v>
      </c>
      <c r="F56" s="1">
        <v>678.81700000000001</v>
      </c>
      <c r="G56" s="7">
        <v>1</v>
      </c>
      <c r="H56" s="1">
        <v>50</v>
      </c>
      <c r="I56" s="1" t="s">
        <v>37</v>
      </c>
      <c r="J56" s="1"/>
      <c r="K56" s="1">
        <v>1082.45</v>
      </c>
      <c r="L56" s="1">
        <f t="shared" si="26"/>
        <v>-5.1420000000000528</v>
      </c>
      <c r="M56" s="1"/>
      <c r="N56" s="1"/>
      <c r="O56" s="1">
        <v>445.95</v>
      </c>
      <c r="P56" s="1">
        <v>454.05</v>
      </c>
      <c r="Q56" s="1">
        <v>356.64641999999998</v>
      </c>
      <c r="R56" s="1">
        <f t="shared" si="27"/>
        <v>215.4616</v>
      </c>
      <c r="S56" s="5">
        <f t="shared" si="23"/>
        <v>542.34497999999985</v>
      </c>
      <c r="T56" s="5">
        <f t="shared" si="35"/>
        <v>451.85110799999984</v>
      </c>
      <c r="U56" s="5">
        <f t="shared" si="8"/>
        <v>180.28859209199993</v>
      </c>
      <c r="V56" s="5">
        <f t="shared" si="34"/>
        <v>271.56251590799991</v>
      </c>
      <c r="W56" s="5"/>
      <c r="X56" s="17"/>
      <c r="Y56" s="17"/>
      <c r="Z56" s="1">
        <f t="shared" si="10"/>
        <v>11.08</v>
      </c>
      <c r="AA56" s="1">
        <f t="shared" si="29"/>
        <v>8.9828694300979848</v>
      </c>
      <c r="AB56" s="1">
        <v>209.17959999999999</v>
      </c>
      <c r="AC56" s="1">
        <v>204.97620000000001</v>
      </c>
      <c r="AD56" s="1">
        <v>199.73179999999999</v>
      </c>
      <c r="AE56" s="1">
        <v>182.82060000000001</v>
      </c>
      <c r="AF56" s="1">
        <v>186.57300000000001</v>
      </c>
      <c r="AG56" s="1">
        <v>194.43940000000001</v>
      </c>
      <c r="AH56" s="1">
        <v>195.25960000000001</v>
      </c>
      <c r="AI56" s="1">
        <v>175.315</v>
      </c>
      <c r="AJ56" s="1">
        <v>180.76220000000001</v>
      </c>
      <c r="AK56" s="1">
        <v>194.12440000000001</v>
      </c>
      <c r="AL56" s="1"/>
      <c r="AM56" s="1">
        <f t="shared" si="11"/>
        <v>180</v>
      </c>
      <c r="AN56" s="1">
        <f t="shared" si="12"/>
        <v>272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94</v>
      </c>
      <c r="B57" s="1" t="s">
        <v>36</v>
      </c>
      <c r="C57" s="1">
        <v>69.822999999999993</v>
      </c>
      <c r="D57" s="1">
        <v>113.608</v>
      </c>
      <c r="E57" s="1">
        <v>88.313000000000002</v>
      </c>
      <c r="F57" s="1">
        <v>71.314999999999998</v>
      </c>
      <c r="G57" s="7">
        <v>1</v>
      </c>
      <c r="H57" s="1">
        <v>55</v>
      </c>
      <c r="I57" s="1" t="s">
        <v>37</v>
      </c>
      <c r="J57" s="1"/>
      <c r="K57" s="1">
        <v>87.4</v>
      </c>
      <c r="L57" s="1">
        <f t="shared" si="26"/>
        <v>0.9129999999999967</v>
      </c>
      <c r="M57" s="1"/>
      <c r="N57" s="1"/>
      <c r="O57" s="1">
        <v>76.960439999999977</v>
      </c>
      <c r="P57" s="1"/>
      <c r="Q57" s="1">
        <v>16.70974</v>
      </c>
      <c r="R57" s="1">
        <f t="shared" si="27"/>
        <v>17.662600000000001</v>
      </c>
      <c r="S57" s="5">
        <f t="shared" si="23"/>
        <v>38.134720000000016</v>
      </c>
      <c r="T57" s="5">
        <f t="shared" si="13"/>
        <v>38.134720000000016</v>
      </c>
      <c r="U57" s="5">
        <f t="shared" si="8"/>
        <v>38.134720000000016</v>
      </c>
      <c r="V57" s="5"/>
      <c r="W57" s="5"/>
      <c r="X57" s="17"/>
      <c r="Y57" s="17"/>
      <c r="Z57" s="1">
        <f t="shared" si="10"/>
        <v>11.5</v>
      </c>
      <c r="AA57" s="1">
        <f t="shared" si="29"/>
        <v>9.3409339508339642</v>
      </c>
      <c r="AB57" s="1">
        <v>17.589200000000002</v>
      </c>
      <c r="AC57" s="1">
        <v>20.5428</v>
      </c>
      <c r="AD57" s="1">
        <v>19.153199999999998</v>
      </c>
      <c r="AE57" s="1">
        <v>13.6248</v>
      </c>
      <c r="AF57" s="1">
        <v>14.4322</v>
      </c>
      <c r="AG57" s="1">
        <v>14.9146</v>
      </c>
      <c r="AH57" s="1">
        <v>20.043399999999998</v>
      </c>
      <c r="AI57" s="1">
        <v>21.0244</v>
      </c>
      <c r="AJ57" s="1">
        <v>18.474</v>
      </c>
      <c r="AK57" s="1">
        <v>16.654399999999999</v>
      </c>
      <c r="AL57" s="1"/>
      <c r="AM57" s="1">
        <f t="shared" si="11"/>
        <v>38</v>
      </c>
      <c r="AN57" s="1">
        <f t="shared" si="1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95</v>
      </c>
      <c r="B58" s="1" t="s">
        <v>42</v>
      </c>
      <c r="C58" s="1">
        <v>47</v>
      </c>
      <c r="D58" s="1">
        <v>424</v>
      </c>
      <c r="E58" s="1">
        <v>187</v>
      </c>
      <c r="F58" s="1">
        <v>235</v>
      </c>
      <c r="G58" s="7">
        <v>0.1</v>
      </c>
      <c r="H58" s="1">
        <v>731</v>
      </c>
      <c r="I58" s="1" t="s">
        <v>37</v>
      </c>
      <c r="J58" s="1"/>
      <c r="K58" s="1">
        <v>192</v>
      </c>
      <c r="L58" s="1">
        <f t="shared" si="26"/>
        <v>-5</v>
      </c>
      <c r="M58" s="1"/>
      <c r="N58" s="1"/>
      <c r="O58" s="1">
        <v>74.265540000000001</v>
      </c>
      <c r="P58" s="1">
        <v>75.614459999999994</v>
      </c>
      <c r="Q58" s="1">
        <v>0</v>
      </c>
      <c r="R58" s="1">
        <f t="shared" si="27"/>
        <v>37.4</v>
      </c>
      <c r="S58" s="5">
        <f t="shared" si="23"/>
        <v>45.21999999999997</v>
      </c>
      <c r="T58" s="5">
        <f t="shared" si="13"/>
        <v>45.21999999999997</v>
      </c>
      <c r="U58" s="5">
        <f t="shared" si="8"/>
        <v>45.21999999999997</v>
      </c>
      <c r="V58" s="5"/>
      <c r="W58" s="5"/>
      <c r="X58" s="17"/>
      <c r="Y58" s="17"/>
      <c r="Z58" s="1">
        <f t="shared" si="10"/>
        <v>11.5</v>
      </c>
      <c r="AA58" s="1">
        <f t="shared" si="29"/>
        <v>10.290909090909091</v>
      </c>
      <c r="AB58" s="1">
        <v>37.200000000000003</v>
      </c>
      <c r="AC58" s="1">
        <v>48</v>
      </c>
      <c r="AD58" s="1">
        <v>49.4</v>
      </c>
      <c r="AE58" s="1">
        <v>40.200000000000003</v>
      </c>
      <c r="AF58" s="1">
        <v>36.6</v>
      </c>
      <c r="AG58" s="1">
        <v>38</v>
      </c>
      <c r="AH58" s="1">
        <v>36.6</v>
      </c>
      <c r="AI58" s="1">
        <v>45.8</v>
      </c>
      <c r="AJ58" s="1">
        <v>49.2</v>
      </c>
      <c r="AK58" s="1">
        <v>39.4</v>
      </c>
      <c r="AL58" s="1"/>
      <c r="AM58" s="1">
        <f t="shared" si="11"/>
        <v>5</v>
      </c>
      <c r="AN58" s="1">
        <f t="shared" si="1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96</v>
      </c>
      <c r="B59" s="1" t="s">
        <v>42</v>
      </c>
      <c r="C59" s="1">
        <v>108</v>
      </c>
      <c r="D59" s="1">
        <v>596</v>
      </c>
      <c r="E59" s="1">
        <v>237</v>
      </c>
      <c r="F59" s="1">
        <v>343</v>
      </c>
      <c r="G59" s="7">
        <v>0.4</v>
      </c>
      <c r="H59" s="1">
        <v>50</v>
      </c>
      <c r="I59" s="1" t="s">
        <v>97</v>
      </c>
      <c r="J59" s="1"/>
      <c r="K59" s="1">
        <v>276</v>
      </c>
      <c r="L59" s="1">
        <f t="shared" si="26"/>
        <v>-39</v>
      </c>
      <c r="M59" s="1"/>
      <c r="N59" s="1"/>
      <c r="O59" s="1">
        <v>0</v>
      </c>
      <c r="P59" s="1"/>
      <c r="Q59" s="1">
        <v>0</v>
      </c>
      <c r="R59" s="1">
        <f t="shared" si="27"/>
        <v>47.4</v>
      </c>
      <c r="S59" s="5">
        <f t="shared" si="23"/>
        <v>202.10000000000002</v>
      </c>
      <c r="T59" s="5">
        <f>S59+R59*$T$1</f>
        <v>182.19200000000004</v>
      </c>
      <c r="U59" s="5">
        <f t="shared" si="8"/>
        <v>72.694608000000017</v>
      </c>
      <c r="V59" s="5">
        <f t="shared" ref="V59:V64" si="36">T59*$V$1</f>
        <v>109.49739200000002</v>
      </c>
      <c r="W59" s="5"/>
      <c r="X59" s="17"/>
      <c r="Y59" s="17"/>
      <c r="Z59" s="1">
        <f t="shared" si="10"/>
        <v>11.08</v>
      </c>
      <c r="AA59" s="1">
        <f t="shared" si="29"/>
        <v>7.2362869198312234</v>
      </c>
      <c r="AB59" s="1">
        <v>32</v>
      </c>
      <c r="AC59" s="1">
        <v>18.2</v>
      </c>
      <c r="AD59" s="1">
        <v>25.8</v>
      </c>
      <c r="AE59" s="1">
        <v>47</v>
      </c>
      <c r="AF59" s="1">
        <v>52.6</v>
      </c>
      <c r="AG59" s="1">
        <v>40</v>
      </c>
      <c r="AH59" s="1">
        <v>40.6</v>
      </c>
      <c r="AI59" s="1">
        <v>41.6</v>
      </c>
      <c r="AJ59" s="1">
        <v>40.799999999999997</v>
      </c>
      <c r="AK59" s="1">
        <v>54.8</v>
      </c>
      <c r="AL59" s="1" t="s">
        <v>98</v>
      </c>
      <c r="AM59" s="1">
        <f t="shared" si="11"/>
        <v>29</v>
      </c>
      <c r="AN59" s="1">
        <f t="shared" si="12"/>
        <v>44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99</v>
      </c>
      <c r="B60" s="1" t="s">
        <v>36</v>
      </c>
      <c r="C60" s="1">
        <v>395.77699999999999</v>
      </c>
      <c r="D60" s="1">
        <v>371.98</v>
      </c>
      <c r="E60" s="1">
        <v>368.11200000000002</v>
      </c>
      <c r="F60" s="1">
        <v>316.67700000000002</v>
      </c>
      <c r="G60" s="7">
        <v>1</v>
      </c>
      <c r="H60" s="1">
        <v>40</v>
      </c>
      <c r="I60" s="9" t="s">
        <v>40</v>
      </c>
      <c r="J60" s="1"/>
      <c r="K60" s="1">
        <v>368.8</v>
      </c>
      <c r="L60" s="1">
        <f t="shared" si="26"/>
        <v>-0.68799999999998818</v>
      </c>
      <c r="M60" s="1"/>
      <c r="N60" s="1"/>
      <c r="O60" s="1">
        <v>171.30573659000001</v>
      </c>
      <c r="P60" s="1">
        <v>174.41724341</v>
      </c>
      <c r="Q60" s="1">
        <v>75.196870000000004</v>
      </c>
      <c r="R60" s="1">
        <f t="shared" si="27"/>
        <v>73.622399999999999</v>
      </c>
      <c r="S60" s="5">
        <f t="shared" si="23"/>
        <v>109.06074999999998</v>
      </c>
      <c r="T60" s="5">
        <f t="shared" si="13"/>
        <v>109.06074999999998</v>
      </c>
      <c r="U60" s="5">
        <f t="shared" si="8"/>
        <v>43.515239249999993</v>
      </c>
      <c r="V60" s="5">
        <f t="shared" si="36"/>
        <v>65.545510749999991</v>
      </c>
      <c r="W60" s="5"/>
      <c r="X60" s="17"/>
      <c r="Y60" s="17"/>
      <c r="Z60" s="1">
        <f t="shared" si="10"/>
        <v>11.5</v>
      </c>
      <c r="AA60" s="1">
        <f t="shared" si="29"/>
        <v>10.018647178032772</v>
      </c>
      <c r="AB60" s="1">
        <v>79.154600000000002</v>
      </c>
      <c r="AC60" s="1">
        <v>84.038600000000002</v>
      </c>
      <c r="AD60" s="1">
        <v>84.491</v>
      </c>
      <c r="AE60" s="1">
        <v>92.173400000000001</v>
      </c>
      <c r="AF60" s="1">
        <v>104.8788</v>
      </c>
      <c r="AG60" s="1">
        <v>105.1588</v>
      </c>
      <c r="AH60" s="1">
        <v>95.004600000000011</v>
      </c>
      <c r="AI60" s="1">
        <v>56.900799999999997</v>
      </c>
      <c r="AJ60" s="1">
        <v>72.902999999999992</v>
      </c>
      <c r="AK60" s="1">
        <v>117.24079999999999</v>
      </c>
      <c r="AL60" s="1"/>
      <c r="AM60" s="1">
        <f t="shared" si="11"/>
        <v>44</v>
      </c>
      <c r="AN60" s="1">
        <f t="shared" si="12"/>
        <v>66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100</v>
      </c>
      <c r="B61" s="1" t="s">
        <v>36</v>
      </c>
      <c r="C61" s="1">
        <v>115.581</v>
      </c>
      <c r="D61" s="1">
        <v>676.79300000000001</v>
      </c>
      <c r="E61" s="1">
        <v>373.32600000000002</v>
      </c>
      <c r="F61" s="1">
        <v>349.52800000000002</v>
      </c>
      <c r="G61" s="7">
        <v>1</v>
      </c>
      <c r="H61" s="1">
        <v>40</v>
      </c>
      <c r="I61" s="1" t="s">
        <v>37</v>
      </c>
      <c r="J61" s="1"/>
      <c r="K61" s="1">
        <v>369</v>
      </c>
      <c r="L61" s="1">
        <f t="shared" si="26"/>
        <v>4.3260000000000218</v>
      </c>
      <c r="M61" s="1"/>
      <c r="N61" s="1"/>
      <c r="O61" s="1">
        <v>0</v>
      </c>
      <c r="P61" s="1"/>
      <c r="Q61" s="1">
        <v>167.79810000000009</v>
      </c>
      <c r="R61" s="1">
        <f t="shared" si="27"/>
        <v>74.665199999999999</v>
      </c>
      <c r="S61" s="5">
        <f t="shared" si="23"/>
        <v>341.32369999999992</v>
      </c>
      <c r="T61" s="5">
        <f t="shared" ref="T61:T64" si="37">S61+R61*$T$1</f>
        <v>309.96431599999994</v>
      </c>
      <c r="U61" s="5">
        <f t="shared" si="8"/>
        <v>123.67576208399998</v>
      </c>
      <c r="V61" s="5">
        <f t="shared" si="36"/>
        <v>186.28855391599996</v>
      </c>
      <c r="W61" s="5"/>
      <c r="X61" s="17"/>
      <c r="Y61" s="17"/>
      <c r="Z61" s="1">
        <f t="shared" si="10"/>
        <v>11.08</v>
      </c>
      <c r="AA61" s="1">
        <f t="shared" si="29"/>
        <v>6.9286106512806516</v>
      </c>
      <c r="AB61" s="1">
        <v>66.578000000000003</v>
      </c>
      <c r="AC61" s="1">
        <v>61.303600000000003</v>
      </c>
      <c r="AD61" s="1">
        <v>86.032200000000003</v>
      </c>
      <c r="AE61" s="1">
        <v>60.540200000000013</v>
      </c>
      <c r="AF61" s="1">
        <v>16.110199999999999</v>
      </c>
      <c r="AG61" s="1">
        <v>63.010399999999997</v>
      </c>
      <c r="AH61" s="1">
        <v>100.036</v>
      </c>
      <c r="AI61" s="1">
        <v>103.18680000000001</v>
      </c>
      <c r="AJ61" s="1">
        <v>88.636200000000002</v>
      </c>
      <c r="AK61" s="1">
        <v>68.945799999999991</v>
      </c>
      <c r="AL61" s="1"/>
      <c r="AM61" s="1">
        <f t="shared" si="11"/>
        <v>124</v>
      </c>
      <c r="AN61" s="1">
        <f t="shared" si="12"/>
        <v>186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101</v>
      </c>
      <c r="B62" s="1" t="s">
        <v>42</v>
      </c>
      <c r="C62" s="1">
        <v>542</v>
      </c>
      <c r="D62" s="1">
        <v>1018</v>
      </c>
      <c r="E62" s="1">
        <v>854</v>
      </c>
      <c r="F62" s="1">
        <v>491</v>
      </c>
      <c r="G62" s="7">
        <v>0.4</v>
      </c>
      <c r="H62" s="1">
        <v>40</v>
      </c>
      <c r="I62" s="1" t="s">
        <v>37</v>
      </c>
      <c r="J62" s="1"/>
      <c r="K62" s="1">
        <v>899</v>
      </c>
      <c r="L62" s="1">
        <f t="shared" si="26"/>
        <v>-45</v>
      </c>
      <c r="M62" s="1"/>
      <c r="N62" s="1"/>
      <c r="O62" s="1">
        <v>325.10250500000012</v>
      </c>
      <c r="P62" s="1">
        <v>331.00749500000001</v>
      </c>
      <c r="Q62" s="1">
        <v>298.31999999999988</v>
      </c>
      <c r="R62" s="1">
        <f t="shared" si="27"/>
        <v>170.8</v>
      </c>
      <c r="S62" s="5">
        <f t="shared" si="23"/>
        <v>518.77</v>
      </c>
      <c r="T62" s="5">
        <f t="shared" si="37"/>
        <v>447.03399999999999</v>
      </c>
      <c r="U62" s="5">
        <f t="shared" si="8"/>
        <v>178.36656600000003</v>
      </c>
      <c r="V62" s="5">
        <f t="shared" si="36"/>
        <v>268.66743399999996</v>
      </c>
      <c r="W62" s="5"/>
      <c r="X62" s="17"/>
      <c r="Y62" s="17"/>
      <c r="Z62" s="1">
        <f t="shared" si="10"/>
        <v>11.079999999999998</v>
      </c>
      <c r="AA62" s="1">
        <f t="shared" si="29"/>
        <v>8.4627049180327862</v>
      </c>
      <c r="AB62" s="1">
        <v>173.4</v>
      </c>
      <c r="AC62" s="1">
        <v>175.2</v>
      </c>
      <c r="AD62" s="1">
        <v>177.8</v>
      </c>
      <c r="AE62" s="1">
        <v>184.4</v>
      </c>
      <c r="AF62" s="1">
        <v>182.6</v>
      </c>
      <c r="AG62" s="1">
        <v>193.4</v>
      </c>
      <c r="AH62" s="1">
        <v>188.4</v>
      </c>
      <c r="AI62" s="1">
        <v>196.8</v>
      </c>
      <c r="AJ62" s="1">
        <v>233</v>
      </c>
      <c r="AK62" s="1">
        <v>274.2</v>
      </c>
      <c r="AL62" s="1"/>
      <c r="AM62" s="1">
        <f t="shared" si="11"/>
        <v>71</v>
      </c>
      <c r="AN62" s="1">
        <f t="shared" si="12"/>
        <v>107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102</v>
      </c>
      <c r="B63" s="1" t="s">
        <v>42</v>
      </c>
      <c r="C63" s="1">
        <v>134</v>
      </c>
      <c r="D63" s="1">
        <v>881</v>
      </c>
      <c r="E63" s="1">
        <v>556</v>
      </c>
      <c r="F63" s="1">
        <v>284</v>
      </c>
      <c r="G63" s="7">
        <v>0.4</v>
      </c>
      <c r="H63" s="1">
        <v>40</v>
      </c>
      <c r="I63" s="9" t="s">
        <v>40</v>
      </c>
      <c r="J63" s="1"/>
      <c r="K63" s="1">
        <v>608</v>
      </c>
      <c r="L63" s="1">
        <f t="shared" si="26"/>
        <v>-52</v>
      </c>
      <c r="M63" s="1"/>
      <c r="N63" s="1"/>
      <c r="O63" s="1">
        <v>203.77437500000019</v>
      </c>
      <c r="P63" s="1">
        <v>207.47562500000021</v>
      </c>
      <c r="Q63" s="1">
        <v>99.18</v>
      </c>
      <c r="R63" s="1">
        <f t="shared" si="27"/>
        <v>111.2</v>
      </c>
      <c r="S63" s="5">
        <f t="shared" si="23"/>
        <v>484.36999999999944</v>
      </c>
      <c r="T63" s="5">
        <f t="shared" si="37"/>
        <v>437.66599999999943</v>
      </c>
      <c r="U63" s="5">
        <f t="shared" si="8"/>
        <v>174.62873399999978</v>
      </c>
      <c r="V63" s="5">
        <f t="shared" si="36"/>
        <v>263.03726599999965</v>
      </c>
      <c r="W63" s="5"/>
      <c r="X63" s="17"/>
      <c r="Y63" s="17"/>
      <c r="Z63" s="1">
        <f t="shared" si="10"/>
        <v>11.08</v>
      </c>
      <c r="AA63" s="1">
        <f t="shared" si="29"/>
        <v>7.1441546762589976</v>
      </c>
      <c r="AB63" s="1">
        <v>104.4</v>
      </c>
      <c r="AC63" s="1">
        <v>114.8</v>
      </c>
      <c r="AD63" s="1">
        <v>116.8</v>
      </c>
      <c r="AE63" s="1">
        <v>127.4</v>
      </c>
      <c r="AF63" s="1">
        <v>128.6</v>
      </c>
      <c r="AG63" s="1">
        <v>101.8</v>
      </c>
      <c r="AH63" s="1">
        <v>61.8</v>
      </c>
      <c r="AI63" s="1">
        <v>99.6</v>
      </c>
      <c r="AJ63" s="1">
        <v>148.4</v>
      </c>
      <c r="AK63" s="1">
        <v>73.599999999999994</v>
      </c>
      <c r="AL63" s="1"/>
      <c r="AM63" s="1">
        <f t="shared" si="11"/>
        <v>70</v>
      </c>
      <c r="AN63" s="1">
        <f t="shared" si="12"/>
        <v>105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103</v>
      </c>
      <c r="B64" s="1" t="s">
        <v>36</v>
      </c>
      <c r="C64" s="1">
        <v>7.0369999999999999</v>
      </c>
      <c r="D64" s="1">
        <v>904.80100000000004</v>
      </c>
      <c r="E64" s="1">
        <v>481.00799999999998</v>
      </c>
      <c r="F64" s="1">
        <v>307.47800000000001</v>
      </c>
      <c r="G64" s="7">
        <v>1</v>
      </c>
      <c r="H64" s="1">
        <v>40</v>
      </c>
      <c r="I64" s="9" t="s">
        <v>40</v>
      </c>
      <c r="J64" s="1"/>
      <c r="K64" s="1">
        <v>484.82</v>
      </c>
      <c r="L64" s="1">
        <f t="shared" si="26"/>
        <v>-3.8120000000000118</v>
      </c>
      <c r="M64" s="1"/>
      <c r="N64" s="1"/>
      <c r="O64" s="1">
        <v>0</v>
      </c>
      <c r="P64" s="1"/>
      <c r="Q64" s="1">
        <v>50</v>
      </c>
      <c r="R64" s="1">
        <f t="shared" si="27"/>
        <v>96.201599999999999</v>
      </c>
      <c r="S64" s="5">
        <f>10.5*R64-Q64-P64-O64-F64</f>
        <v>652.63879999999995</v>
      </c>
      <c r="T64" s="5">
        <f t="shared" si="37"/>
        <v>612.23412799999994</v>
      </c>
      <c r="U64" s="5">
        <f t="shared" si="8"/>
        <v>244.28141707200001</v>
      </c>
      <c r="V64" s="5">
        <f t="shared" si="36"/>
        <v>367.95271092799993</v>
      </c>
      <c r="W64" s="5"/>
      <c r="X64" s="17"/>
      <c r="Y64" s="17"/>
      <c r="Z64" s="1">
        <f t="shared" si="10"/>
        <v>10.079999999999998</v>
      </c>
      <c r="AA64" s="1">
        <f t="shared" si="29"/>
        <v>3.7159257226491036</v>
      </c>
      <c r="AB64" s="1">
        <v>48.907400000000003</v>
      </c>
      <c r="AC64" s="1">
        <v>15.131</v>
      </c>
      <c r="AD64" s="1">
        <v>61.583000000000013</v>
      </c>
      <c r="AE64" s="1">
        <v>96.852400000000003</v>
      </c>
      <c r="AF64" s="1">
        <v>77.294000000000011</v>
      </c>
      <c r="AG64" s="1">
        <v>25.259599999999999</v>
      </c>
      <c r="AH64" s="1">
        <v>18.2072</v>
      </c>
      <c r="AI64" s="1">
        <v>61.124800000000008</v>
      </c>
      <c r="AJ64" s="1">
        <v>70.778999999999996</v>
      </c>
      <c r="AK64" s="1">
        <v>27.305800000000001</v>
      </c>
      <c r="AL64" s="1"/>
      <c r="AM64" s="1">
        <f t="shared" si="11"/>
        <v>244</v>
      </c>
      <c r="AN64" s="1">
        <f t="shared" si="12"/>
        <v>368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104</v>
      </c>
      <c r="B65" s="1" t="s">
        <v>36</v>
      </c>
      <c r="C65" s="1">
        <v>57.646999999999998</v>
      </c>
      <c r="D65" s="1">
        <v>29.725999999999999</v>
      </c>
      <c r="E65" s="1">
        <v>84.730999999999995</v>
      </c>
      <c r="F65" s="1">
        <v>-1.897</v>
      </c>
      <c r="G65" s="7">
        <v>1</v>
      </c>
      <c r="H65" s="1">
        <v>40</v>
      </c>
      <c r="I65" s="9" t="s">
        <v>40</v>
      </c>
      <c r="J65" s="1"/>
      <c r="K65" s="1">
        <v>121.5</v>
      </c>
      <c r="L65" s="1">
        <f t="shared" si="26"/>
        <v>-36.769000000000005</v>
      </c>
      <c r="M65" s="1"/>
      <c r="N65" s="1"/>
      <c r="O65" s="1">
        <v>107.4934727</v>
      </c>
      <c r="P65" s="1">
        <v>109.44592729999999</v>
      </c>
      <c r="Q65" s="1">
        <v>251.41919999999999</v>
      </c>
      <c r="R65" s="1">
        <f t="shared" si="27"/>
        <v>16.946199999999997</v>
      </c>
      <c r="S65" s="5"/>
      <c r="T65" s="5">
        <v>100</v>
      </c>
      <c r="U65" s="5">
        <f t="shared" si="8"/>
        <v>100</v>
      </c>
      <c r="V65" s="5"/>
      <c r="W65" s="5"/>
      <c r="X65" s="17">
        <f>VLOOKUP(A65,[1]Sheet!$A:$U,20,0)</f>
        <v>180</v>
      </c>
      <c r="Y65" s="17"/>
      <c r="Z65" s="1">
        <f t="shared" si="10"/>
        <v>33.427057393397931</v>
      </c>
      <c r="AA65" s="1">
        <f t="shared" si="29"/>
        <v>27.526029434327462</v>
      </c>
      <c r="AB65" s="1">
        <v>42.628</v>
      </c>
      <c r="AC65" s="1">
        <v>29.645199999999999</v>
      </c>
      <c r="AD65" s="1">
        <v>0</v>
      </c>
      <c r="AE65" s="1">
        <v>2.3567999999999998</v>
      </c>
      <c r="AF65" s="1">
        <v>20.276199999999999</v>
      </c>
      <c r="AG65" s="1">
        <v>17.383400000000002</v>
      </c>
      <c r="AH65" s="1">
        <v>-0.53600000000000003</v>
      </c>
      <c r="AI65" s="1">
        <v>1.5669999999999999</v>
      </c>
      <c r="AJ65" s="1">
        <v>1.5669999999999999</v>
      </c>
      <c r="AK65" s="1">
        <v>-0.7268</v>
      </c>
      <c r="AL65" s="1"/>
      <c r="AM65" s="1">
        <f t="shared" si="11"/>
        <v>100</v>
      </c>
      <c r="AN65" s="1">
        <f t="shared" si="12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105</v>
      </c>
      <c r="B66" s="1" t="s">
        <v>36</v>
      </c>
      <c r="C66" s="1"/>
      <c r="D66" s="1">
        <v>258.35000000000002</v>
      </c>
      <c r="E66" s="1">
        <v>256.298</v>
      </c>
      <c r="F66" s="1">
        <v>-7.4999999999999997E-2</v>
      </c>
      <c r="G66" s="7">
        <v>1</v>
      </c>
      <c r="H66" s="1">
        <v>40</v>
      </c>
      <c r="I66" s="9" t="s">
        <v>40</v>
      </c>
      <c r="J66" s="1"/>
      <c r="K66" s="1">
        <v>399.125</v>
      </c>
      <c r="L66" s="1">
        <f t="shared" si="26"/>
        <v>-142.827</v>
      </c>
      <c r="M66" s="1"/>
      <c r="N66" s="1"/>
      <c r="O66" s="1">
        <v>0</v>
      </c>
      <c r="P66" s="1"/>
      <c r="Q66" s="1">
        <v>300</v>
      </c>
      <c r="R66" s="1">
        <f t="shared" si="27"/>
        <v>51.259599999999999</v>
      </c>
      <c r="S66" s="5">
        <f t="shared" si="23"/>
        <v>289.56040000000002</v>
      </c>
      <c r="T66" s="5">
        <f t="shared" ref="T66:T67" si="38">X66</f>
        <v>400</v>
      </c>
      <c r="U66" s="5">
        <f t="shared" si="8"/>
        <v>159.60000000000002</v>
      </c>
      <c r="V66" s="5">
        <f t="shared" ref="V66:V67" si="39">T66*$V$1</f>
        <v>240.39999999999998</v>
      </c>
      <c r="W66" s="5"/>
      <c r="X66" s="17">
        <f>VLOOKUP(A66,[1]Sheet!$A:$U,20,0)</f>
        <v>400</v>
      </c>
      <c r="Y66" s="17" t="str">
        <f>VLOOKUP(A66,[1]Sheet!$A:$U,21,0)</f>
        <v>промо</v>
      </c>
      <c r="Z66" s="1">
        <f t="shared" si="10"/>
        <v>13.654515446862636</v>
      </c>
      <c r="AA66" s="1">
        <f t="shared" si="29"/>
        <v>5.8510991111908801</v>
      </c>
      <c r="AB66" s="1">
        <v>43.880800000000001</v>
      </c>
      <c r="AC66" s="1">
        <v>-0.09</v>
      </c>
      <c r="AD66" s="1">
        <v>-0.09</v>
      </c>
      <c r="AE66" s="1">
        <v>-0.1812</v>
      </c>
      <c r="AF66" s="1">
        <v>-0.36499999999999999</v>
      </c>
      <c r="AG66" s="1">
        <v>59.523000000000003</v>
      </c>
      <c r="AH66" s="1">
        <v>61.708000000000013</v>
      </c>
      <c r="AI66" s="1">
        <v>37.239999999999988</v>
      </c>
      <c r="AJ66" s="1">
        <v>34.334000000000003</v>
      </c>
      <c r="AK66" s="1">
        <v>-2.6212</v>
      </c>
      <c r="AL66" s="1"/>
      <c r="AM66" s="1">
        <f t="shared" si="11"/>
        <v>160</v>
      </c>
      <c r="AN66" s="1">
        <f t="shared" si="12"/>
        <v>240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106</v>
      </c>
      <c r="B67" s="1" t="s">
        <v>36</v>
      </c>
      <c r="C67" s="1">
        <v>1.0999999999999999E-2</v>
      </c>
      <c r="D67" s="1">
        <v>113.79</v>
      </c>
      <c r="E67" s="1">
        <v>94.111000000000004</v>
      </c>
      <c r="F67" s="1">
        <v>-0.155</v>
      </c>
      <c r="G67" s="7">
        <v>1</v>
      </c>
      <c r="H67" s="1">
        <v>40</v>
      </c>
      <c r="I67" s="9" t="s">
        <v>40</v>
      </c>
      <c r="J67" s="1"/>
      <c r="K67" s="1">
        <v>136.6</v>
      </c>
      <c r="L67" s="1">
        <f t="shared" si="26"/>
        <v>-42.48899999999999</v>
      </c>
      <c r="M67" s="1"/>
      <c r="N67" s="1"/>
      <c r="O67" s="1">
        <v>11.991960000000001</v>
      </c>
      <c r="P67" s="1"/>
      <c r="Q67" s="1">
        <v>13.82489999999998</v>
      </c>
      <c r="R67" s="1">
        <f t="shared" si="27"/>
        <v>18.822200000000002</v>
      </c>
      <c r="S67" s="5">
        <f>8*R67-Q67-P67-O67-F67</f>
        <v>124.91574000000003</v>
      </c>
      <c r="T67" s="5">
        <f t="shared" si="38"/>
        <v>160</v>
      </c>
      <c r="U67" s="5">
        <f t="shared" si="8"/>
        <v>63.84</v>
      </c>
      <c r="V67" s="5">
        <f t="shared" si="39"/>
        <v>96.16</v>
      </c>
      <c r="W67" s="5"/>
      <c r="X67" s="17">
        <f>VLOOKUP(A67,[1]Sheet!$A:$U,20,0)</f>
        <v>160</v>
      </c>
      <c r="Y67" s="17"/>
      <c r="Z67" s="1">
        <f t="shared" si="10"/>
        <v>9.8639829562962866</v>
      </c>
      <c r="AA67" s="1">
        <f t="shared" si="29"/>
        <v>1.3633826013962225</v>
      </c>
      <c r="AB67" s="1">
        <v>8.4867999999999988</v>
      </c>
      <c r="AC67" s="1">
        <v>10.5602</v>
      </c>
      <c r="AD67" s="1">
        <v>10.377800000000001</v>
      </c>
      <c r="AE67" s="1">
        <v>-0.18240000000000001</v>
      </c>
      <c r="AF67" s="1">
        <v>-0.54620000000000002</v>
      </c>
      <c r="AG67" s="1">
        <v>-0.90079999999999993</v>
      </c>
      <c r="AH67" s="1">
        <v>-0.53520000000000001</v>
      </c>
      <c r="AI67" s="1">
        <v>16.866399999999999</v>
      </c>
      <c r="AJ67" s="1">
        <v>33.512999999999998</v>
      </c>
      <c r="AK67" s="1">
        <v>40.464799999999997</v>
      </c>
      <c r="AL67" s="1"/>
      <c r="AM67" s="1">
        <f t="shared" si="11"/>
        <v>64</v>
      </c>
      <c r="AN67" s="1">
        <f t="shared" si="12"/>
        <v>96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107</v>
      </c>
      <c r="B68" s="1" t="s">
        <v>42</v>
      </c>
      <c r="C68" s="1">
        <v>16</v>
      </c>
      <c r="D68" s="1"/>
      <c r="E68" s="1">
        <v>16</v>
      </c>
      <c r="F68" s="1"/>
      <c r="G68" s="7">
        <v>0.6</v>
      </c>
      <c r="H68" s="1">
        <v>70</v>
      </c>
      <c r="I68" s="1" t="s">
        <v>37</v>
      </c>
      <c r="J68" s="1"/>
      <c r="K68" s="1">
        <v>16</v>
      </c>
      <c r="L68" s="1">
        <f t="shared" si="26"/>
        <v>0</v>
      </c>
      <c r="M68" s="1"/>
      <c r="N68" s="1"/>
      <c r="O68" s="1">
        <v>5</v>
      </c>
      <c r="P68" s="1"/>
      <c r="Q68" s="1">
        <v>1.52</v>
      </c>
      <c r="R68" s="1">
        <f t="shared" si="27"/>
        <v>3.2</v>
      </c>
      <c r="S68" s="5">
        <f t="shared" si="23"/>
        <v>30.28</v>
      </c>
      <c r="T68" s="5">
        <f t="shared" si="13"/>
        <v>30.28</v>
      </c>
      <c r="U68" s="5">
        <f t="shared" si="8"/>
        <v>30.28</v>
      </c>
      <c r="V68" s="5"/>
      <c r="W68" s="5"/>
      <c r="X68" s="17"/>
      <c r="Y68" s="17"/>
      <c r="Z68" s="1">
        <f t="shared" si="10"/>
        <v>11.499999999999998</v>
      </c>
      <c r="AA68" s="1">
        <f t="shared" si="29"/>
        <v>2.0374999999999996</v>
      </c>
      <c r="AB68" s="1">
        <v>1.6</v>
      </c>
      <c r="AC68" s="1">
        <v>1.4</v>
      </c>
      <c r="AD68" s="1">
        <v>1.8</v>
      </c>
      <c r="AE68" s="1">
        <v>1.4</v>
      </c>
      <c r="AF68" s="1">
        <v>1.2</v>
      </c>
      <c r="AG68" s="1">
        <v>1.6</v>
      </c>
      <c r="AH68" s="1">
        <v>0.6</v>
      </c>
      <c r="AI68" s="1">
        <v>1.2</v>
      </c>
      <c r="AJ68" s="1">
        <v>1.2</v>
      </c>
      <c r="AK68" s="1">
        <v>0</v>
      </c>
      <c r="AL68" s="1"/>
      <c r="AM68" s="1">
        <f t="shared" si="11"/>
        <v>18</v>
      </c>
      <c r="AN68" s="1">
        <f t="shared" si="12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108</v>
      </c>
      <c r="B69" s="1" t="s">
        <v>36</v>
      </c>
      <c r="C69" s="1">
        <v>145.14599999999999</v>
      </c>
      <c r="D69" s="1">
        <v>169.78800000000001</v>
      </c>
      <c r="E69" s="1">
        <v>126.77500000000001</v>
      </c>
      <c r="F69" s="1">
        <v>129.697</v>
      </c>
      <c r="G69" s="7">
        <v>1</v>
      </c>
      <c r="H69" s="1">
        <v>30</v>
      </c>
      <c r="I69" s="1" t="s">
        <v>37</v>
      </c>
      <c r="J69" s="1"/>
      <c r="K69" s="1">
        <v>155.1</v>
      </c>
      <c r="L69" s="1">
        <f t="shared" si="26"/>
        <v>-28.324999999999989</v>
      </c>
      <c r="M69" s="1"/>
      <c r="N69" s="1"/>
      <c r="O69" s="1">
        <v>35.464699999999972</v>
      </c>
      <c r="P69" s="1"/>
      <c r="Q69" s="1">
        <v>37.811599999999999</v>
      </c>
      <c r="R69" s="1">
        <f t="shared" si="27"/>
        <v>25.355</v>
      </c>
      <c r="S69" s="5">
        <f t="shared" si="23"/>
        <v>88.609200000000016</v>
      </c>
      <c r="T69" s="5">
        <f t="shared" si="13"/>
        <v>88.609200000000016</v>
      </c>
      <c r="U69" s="5">
        <f t="shared" si="8"/>
        <v>88.609200000000016</v>
      </c>
      <c r="V69" s="5"/>
      <c r="W69" s="5"/>
      <c r="X69" s="17"/>
      <c r="Y69" s="17"/>
      <c r="Z69" s="1">
        <f t="shared" si="10"/>
        <v>11.499999999999998</v>
      </c>
      <c r="AA69" s="1">
        <f t="shared" si="29"/>
        <v>8.0052573456911844</v>
      </c>
      <c r="AB69" s="1">
        <v>25.254000000000001</v>
      </c>
      <c r="AC69" s="1">
        <v>27.837800000000001</v>
      </c>
      <c r="AD69" s="1">
        <v>28.1508</v>
      </c>
      <c r="AE69" s="1">
        <v>34.746000000000002</v>
      </c>
      <c r="AF69" s="1">
        <v>35.825400000000002</v>
      </c>
      <c r="AG69" s="1">
        <v>37.188800000000001</v>
      </c>
      <c r="AH69" s="1">
        <v>38.170999999999999</v>
      </c>
      <c r="AI69" s="1">
        <v>39.023200000000003</v>
      </c>
      <c r="AJ69" s="1">
        <v>41.531599999999997</v>
      </c>
      <c r="AK69" s="1">
        <v>38.9026</v>
      </c>
      <c r="AL69" s="1"/>
      <c r="AM69" s="1">
        <f t="shared" si="11"/>
        <v>89</v>
      </c>
      <c r="AN69" s="1">
        <f t="shared" si="12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109</v>
      </c>
      <c r="B70" s="1" t="s">
        <v>42</v>
      </c>
      <c r="C70" s="1">
        <v>104</v>
      </c>
      <c r="D70" s="1">
        <v>120</v>
      </c>
      <c r="E70" s="1">
        <v>133</v>
      </c>
      <c r="F70" s="1">
        <v>66</v>
      </c>
      <c r="G70" s="7">
        <v>0.6</v>
      </c>
      <c r="H70" s="1">
        <v>60</v>
      </c>
      <c r="I70" s="1" t="s">
        <v>37</v>
      </c>
      <c r="J70" s="1"/>
      <c r="K70" s="1">
        <v>133</v>
      </c>
      <c r="L70" s="1">
        <f t="shared" ref="L70:L101" si="40">E70-K70</f>
        <v>0</v>
      </c>
      <c r="M70" s="1"/>
      <c r="N70" s="1"/>
      <c r="O70" s="1">
        <v>91.942000000000007</v>
      </c>
      <c r="P70" s="1"/>
      <c r="Q70" s="1">
        <v>135.55799999999999</v>
      </c>
      <c r="R70" s="1">
        <f t="shared" ref="R70:R101" si="41">E70/5</f>
        <v>26.6</v>
      </c>
      <c r="S70" s="5">
        <f t="shared" si="23"/>
        <v>12.400000000000034</v>
      </c>
      <c r="T70" s="5">
        <f t="shared" si="13"/>
        <v>12.400000000000034</v>
      </c>
      <c r="U70" s="5">
        <f t="shared" si="8"/>
        <v>12.400000000000034</v>
      </c>
      <c r="V70" s="5"/>
      <c r="W70" s="5"/>
      <c r="X70" s="17"/>
      <c r="Y70" s="17"/>
      <c r="Z70" s="1">
        <f t="shared" si="10"/>
        <v>11.5</v>
      </c>
      <c r="AA70" s="1">
        <f t="shared" ref="AA70:AA101" si="42">(F70+O70+P70+Q70)/R70</f>
        <v>11.033834586466165</v>
      </c>
      <c r="AB70" s="1">
        <v>30</v>
      </c>
      <c r="AC70" s="1">
        <v>24</v>
      </c>
      <c r="AD70" s="1">
        <v>20.399999999999999</v>
      </c>
      <c r="AE70" s="1">
        <v>26.2</v>
      </c>
      <c r="AF70" s="1">
        <v>30.2</v>
      </c>
      <c r="AG70" s="1">
        <v>26</v>
      </c>
      <c r="AH70" s="1">
        <v>31.2</v>
      </c>
      <c r="AI70" s="1">
        <v>26.6</v>
      </c>
      <c r="AJ70" s="1">
        <v>23.6</v>
      </c>
      <c r="AK70" s="1">
        <v>26.2</v>
      </c>
      <c r="AL70" s="1"/>
      <c r="AM70" s="1">
        <f t="shared" si="11"/>
        <v>7</v>
      </c>
      <c r="AN70" s="1">
        <f t="shared" si="12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110</v>
      </c>
      <c r="B71" s="1" t="s">
        <v>42</v>
      </c>
      <c r="C71" s="1">
        <v>83</v>
      </c>
      <c r="D71" s="1"/>
      <c r="E71" s="1">
        <v>52</v>
      </c>
      <c r="F71" s="1">
        <v>23</v>
      </c>
      <c r="G71" s="7">
        <v>0.6</v>
      </c>
      <c r="H71" s="1">
        <v>60</v>
      </c>
      <c r="I71" s="1" t="s">
        <v>37</v>
      </c>
      <c r="J71" s="1"/>
      <c r="K71" s="1">
        <v>55</v>
      </c>
      <c r="L71" s="1">
        <f t="shared" si="40"/>
        <v>-3</v>
      </c>
      <c r="M71" s="1"/>
      <c r="N71" s="1"/>
      <c r="O71" s="1">
        <v>24.600000000000009</v>
      </c>
      <c r="P71" s="1"/>
      <c r="Q71" s="1">
        <v>68.38000000000001</v>
      </c>
      <c r="R71" s="1">
        <f t="shared" si="41"/>
        <v>10.4</v>
      </c>
      <c r="S71" s="5">
        <f t="shared" si="23"/>
        <v>3.6199999999999903</v>
      </c>
      <c r="T71" s="5">
        <f t="shared" ref="T71:T133" si="43">S71</f>
        <v>3.6199999999999903</v>
      </c>
      <c r="U71" s="5">
        <f t="shared" ref="U71:U133" si="44">T71-V71</f>
        <v>3.6199999999999903</v>
      </c>
      <c r="V71" s="5"/>
      <c r="W71" s="5"/>
      <c r="X71" s="17"/>
      <c r="Y71" s="17"/>
      <c r="Z71" s="1">
        <f t="shared" ref="Z71:Z133" si="45">(F71+O71+P71+Q71+T71)/R71</f>
        <v>11.5</v>
      </c>
      <c r="AA71" s="1">
        <f t="shared" si="42"/>
        <v>11.151923076923078</v>
      </c>
      <c r="AB71" s="1">
        <v>12.4</v>
      </c>
      <c r="AC71" s="1">
        <v>8.4</v>
      </c>
      <c r="AD71" s="1">
        <v>8</v>
      </c>
      <c r="AE71" s="1">
        <v>7</v>
      </c>
      <c r="AF71" s="1">
        <v>8.1999999999999993</v>
      </c>
      <c r="AG71" s="1">
        <v>12.6</v>
      </c>
      <c r="AH71" s="1">
        <v>13.2</v>
      </c>
      <c r="AI71" s="1">
        <v>11</v>
      </c>
      <c r="AJ71" s="1">
        <v>8.8000000000000007</v>
      </c>
      <c r="AK71" s="1">
        <v>6.4</v>
      </c>
      <c r="AL71" s="1"/>
      <c r="AM71" s="1">
        <f t="shared" ref="AM71:AM133" si="46">ROUND(G71*U71,0)</f>
        <v>2</v>
      </c>
      <c r="AN71" s="1">
        <f t="shared" ref="AN71:AN133" si="47">ROUND(G71*V71,0)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111</v>
      </c>
      <c r="B72" s="1" t="s">
        <v>42</v>
      </c>
      <c r="C72" s="1">
        <v>144</v>
      </c>
      <c r="D72" s="1">
        <v>6</v>
      </c>
      <c r="E72" s="1">
        <v>111</v>
      </c>
      <c r="F72" s="1">
        <v>16</v>
      </c>
      <c r="G72" s="7">
        <v>0.4</v>
      </c>
      <c r="H72" s="1">
        <v>90</v>
      </c>
      <c r="I72" s="1" t="s">
        <v>37</v>
      </c>
      <c r="J72" s="1"/>
      <c r="K72" s="1">
        <v>117</v>
      </c>
      <c r="L72" s="1">
        <f t="shared" si="40"/>
        <v>-6</v>
      </c>
      <c r="M72" s="1"/>
      <c r="N72" s="1"/>
      <c r="O72" s="1">
        <v>50.025680000000008</v>
      </c>
      <c r="P72" s="1">
        <v>50.93432</v>
      </c>
      <c r="Q72" s="1">
        <v>96.70999999999998</v>
      </c>
      <c r="R72" s="1">
        <f t="shared" si="41"/>
        <v>22.2</v>
      </c>
      <c r="S72" s="5">
        <f t="shared" si="23"/>
        <v>41.629999999999995</v>
      </c>
      <c r="T72" s="5">
        <f t="shared" si="43"/>
        <v>41.629999999999995</v>
      </c>
      <c r="U72" s="5">
        <f t="shared" si="44"/>
        <v>41.629999999999995</v>
      </c>
      <c r="V72" s="5"/>
      <c r="W72" s="5"/>
      <c r="X72" s="17"/>
      <c r="Y72" s="17"/>
      <c r="Z72" s="1">
        <f t="shared" si="45"/>
        <v>11.5</v>
      </c>
      <c r="AA72" s="1">
        <f t="shared" si="42"/>
        <v>9.6247747747747745</v>
      </c>
      <c r="AB72" s="1">
        <v>24.6</v>
      </c>
      <c r="AC72" s="1">
        <v>25.2</v>
      </c>
      <c r="AD72" s="1">
        <v>22.8</v>
      </c>
      <c r="AE72" s="1">
        <v>19.399999999999999</v>
      </c>
      <c r="AF72" s="1">
        <v>28.2</v>
      </c>
      <c r="AG72" s="1">
        <v>31</v>
      </c>
      <c r="AH72" s="1">
        <v>25.8</v>
      </c>
      <c r="AI72" s="1">
        <v>28</v>
      </c>
      <c r="AJ72" s="1">
        <v>30</v>
      </c>
      <c r="AK72" s="1">
        <v>36.799999999999997</v>
      </c>
      <c r="AL72" s="1"/>
      <c r="AM72" s="1">
        <f t="shared" si="46"/>
        <v>17</v>
      </c>
      <c r="AN72" s="1">
        <f t="shared" si="47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112</v>
      </c>
      <c r="B73" s="1" t="s">
        <v>42</v>
      </c>
      <c r="C73" s="1">
        <v>179</v>
      </c>
      <c r="D73" s="1">
        <v>126</v>
      </c>
      <c r="E73" s="1">
        <v>145</v>
      </c>
      <c r="F73" s="1">
        <v>133</v>
      </c>
      <c r="G73" s="7">
        <v>0.33</v>
      </c>
      <c r="H73" s="1">
        <v>60</v>
      </c>
      <c r="I73" s="9" t="s">
        <v>40</v>
      </c>
      <c r="J73" s="1"/>
      <c r="K73" s="1">
        <v>159</v>
      </c>
      <c r="L73" s="1">
        <f t="shared" si="40"/>
        <v>-14</v>
      </c>
      <c r="M73" s="1"/>
      <c r="N73" s="1"/>
      <c r="O73" s="1">
        <v>93.020000000000039</v>
      </c>
      <c r="P73" s="1"/>
      <c r="Q73" s="1">
        <v>0</v>
      </c>
      <c r="R73" s="1">
        <f t="shared" si="41"/>
        <v>29</v>
      </c>
      <c r="S73" s="5">
        <f t="shared" si="23"/>
        <v>107.47999999999996</v>
      </c>
      <c r="T73" s="5">
        <f t="shared" si="43"/>
        <v>107.47999999999996</v>
      </c>
      <c r="U73" s="5">
        <f t="shared" si="44"/>
        <v>42.884519999999981</v>
      </c>
      <c r="V73" s="5">
        <f t="shared" ref="V73:V76" si="48">T73*$V$1</f>
        <v>64.595479999999981</v>
      </c>
      <c r="W73" s="5"/>
      <c r="X73" s="17"/>
      <c r="Y73" s="17"/>
      <c r="Z73" s="1">
        <f t="shared" si="45"/>
        <v>11.5</v>
      </c>
      <c r="AA73" s="1">
        <f t="shared" si="42"/>
        <v>7.7937931034482775</v>
      </c>
      <c r="AB73" s="1">
        <v>27.2</v>
      </c>
      <c r="AC73" s="1">
        <v>33</v>
      </c>
      <c r="AD73" s="1">
        <v>35.6</v>
      </c>
      <c r="AE73" s="1">
        <v>30.6</v>
      </c>
      <c r="AF73" s="1">
        <v>23.6</v>
      </c>
      <c r="AG73" s="1">
        <v>33.6</v>
      </c>
      <c r="AH73" s="1">
        <v>41.4</v>
      </c>
      <c r="AI73" s="1">
        <v>40.799999999999997</v>
      </c>
      <c r="AJ73" s="1">
        <v>37.6</v>
      </c>
      <c r="AK73" s="1">
        <v>24</v>
      </c>
      <c r="AL73" s="1"/>
      <c r="AM73" s="1">
        <f t="shared" si="46"/>
        <v>14</v>
      </c>
      <c r="AN73" s="1">
        <f t="shared" si="47"/>
        <v>21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113</v>
      </c>
      <c r="B74" s="1" t="s">
        <v>42</v>
      </c>
      <c r="C74" s="1">
        <v>79</v>
      </c>
      <c r="D74" s="1">
        <v>80</v>
      </c>
      <c r="E74" s="1">
        <v>126</v>
      </c>
      <c r="F74" s="1">
        <v>16</v>
      </c>
      <c r="G74" s="7">
        <v>0.35</v>
      </c>
      <c r="H74" s="1">
        <v>90</v>
      </c>
      <c r="I74" s="1" t="s">
        <v>37</v>
      </c>
      <c r="J74" s="1"/>
      <c r="K74" s="1">
        <v>129</v>
      </c>
      <c r="L74" s="1">
        <f t="shared" si="40"/>
        <v>-3</v>
      </c>
      <c r="M74" s="1"/>
      <c r="N74" s="1"/>
      <c r="O74" s="1">
        <v>62.839309999999998</v>
      </c>
      <c r="P74" s="1">
        <v>63.980689999999989</v>
      </c>
      <c r="Q74" s="1">
        <v>0</v>
      </c>
      <c r="R74" s="1">
        <f t="shared" si="41"/>
        <v>25.2</v>
      </c>
      <c r="S74" s="5">
        <f t="shared" si="23"/>
        <v>146.98000000000002</v>
      </c>
      <c r="T74" s="5">
        <f t="shared" si="43"/>
        <v>146.98000000000002</v>
      </c>
      <c r="U74" s="5">
        <f t="shared" si="44"/>
        <v>58.645020000000017</v>
      </c>
      <c r="V74" s="5">
        <f t="shared" si="48"/>
        <v>88.334980000000002</v>
      </c>
      <c r="W74" s="5"/>
      <c r="X74" s="17"/>
      <c r="Y74" s="17"/>
      <c r="Z74" s="1">
        <f t="shared" si="45"/>
        <v>11.5</v>
      </c>
      <c r="AA74" s="1">
        <f t="shared" si="42"/>
        <v>5.6674603174603178</v>
      </c>
      <c r="AB74" s="1">
        <v>20.399999999999999</v>
      </c>
      <c r="AC74" s="1">
        <v>23.6</v>
      </c>
      <c r="AD74" s="1">
        <v>18.600000000000001</v>
      </c>
      <c r="AE74" s="1">
        <v>17</v>
      </c>
      <c r="AF74" s="1">
        <v>14.8</v>
      </c>
      <c r="AG74" s="1">
        <v>5.4</v>
      </c>
      <c r="AH74" s="1">
        <v>9</v>
      </c>
      <c r="AI74" s="1">
        <v>27.8</v>
      </c>
      <c r="AJ74" s="1">
        <v>31</v>
      </c>
      <c r="AK74" s="1">
        <v>23.2</v>
      </c>
      <c r="AL74" s="1"/>
      <c r="AM74" s="1">
        <f t="shared" si="46"/>
        <v>21</v>
      </c>
      <c r="AN74" s="1">
        <f t="shared" si="47"/>
        <v>31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114</v>
      </c>
      <c r="B75" s="1" t="s">
        <v>42</v>
      </c>
      <c r="C75" s="1">
        <v>470</v>
      </c>
      <c r="D75" s="1">
        <v>260</v>
      </c>
      <c r="E75" s="1">
        <v>375</v>
      </c>
      <c r="F75" s="1">
        <v>254</v>
      </c>
      <c r="G75" s="7">
        <v>0.37</v>
      </c>
      <c r="H75" s="1">
        <v>50</v>
      </c>
      <c r="I75" s="1" t="s">
        <v>37</v>
      </c>
      <c r="J75" s="1"/>
      <c r="K75" s="1">
        <v>398</v>
      </c>
      <c r="L75" s="1">
        <f t="shared" si="40"/>
        <v>-23</v>
      </c>
      <c r="M75" s="1"/>
      <c r="N75" s="1"/>
      <c r="O75" s="1">
        <v>133.30932000000021</v>
      </c>
      <c r="P75" s="1">
        <v>135.73068000000009</v>
      </c>
      <c r="Q75" s="1">
        <v>198.30999999999969</v>
      </c>
      <c r="R75" s="1">
        <f t="shared" si="41"/>
        <v>75</v>
      </c>
      <c r="S75" s="5">
        <f t="shared" si="23"/>
        <v>141.14999999999998</v>
      </c>
      <c r="T75" s="5">
        <f t="shared" si="43"/>
        <v>141.14999999999998</v>
      </c>
      <c r="U75" s="5">
        <f t="shared" si="44"/>
        <v>56.318849999999998</v>
      </c>
      <c r="V75" s="5">
        <f t="shared" si="48"/>
        <v>84.83114999999998</v>
      </c>
      <c r="W75" s="5"/>
      <c r="X75" s="17"/>
      <c r="Y75" s="17"/>
      <c r="Z75" s="1">
        <f t="shared" si="45"/>
        <v>11.5</v>
      </c>
      <c r="AA75" s="1">
        <f t="shared" si="42"/>
        <v>9.6180000000000003</v>
      </c>
      <c r="AB75" s="1">
        <v>83</v>
      </c>
      <c r="AC75" s="1">
        <v>77.2</v>
      </c>
      <c r="AD75" s="1">
        <v>80.2</v>
      </c>
      <c r="AE75" s="1">
        <v>85.6</v>
      </c>
      <c r="AF75" s="1">
        <v>87.8</v>
      </c>
      <c r="AG75" s="1">
        <v>104.4</v>
      </c>
      <c r="AH75" s="1">
        <v>100.2</v>
      </c>
      <c r="AI75" s="1">
        <v>113.2</v>
      </c>
      <c r="AJ75" s="1">
        <v>114.4</v>
      </c>
      <c r="AK75" s="1">
        <v>101.2</v>
      </c>
      <c r="AL75" s="1"/>
      <c r="AM75" s="1">
        <f t="shared" si="46"/>
        <v>21</v>
      </c>
      <c r="AN75" s="1">
        <f t="shared" si="47"/>
        <v>31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115</v>
      </c>
      <c r="B76" s="1" t="s">
        <v>42</v>
      </c>
      <c r="C76" s="1">
        <v>154</v>
      </c>
      <c r="D76" s="1">
        <v>192</v>
      </c>
      <c r="E76" s="1">
        <v>172</v>
      </c>
      <c r="F76" s="1">
        <v>113</v>
      </c>
      <c r="G76" s="7">
        <v>0.6</v>
      </c>
      <c r="H76" s="1">
        <v>70</v>
      </c>
      <c r="I76" s="1" t="s">
        <v>37</v>
      </c>
      <c r="J76" s="1"/>
      <c r="K76" s="1">
        <v>174</v>
      </c>
      <c r="L76" s="1">
        <f t="shared" si="40"/>
        <v>-2</v>
      </c>
      <c r="M76" s="1"/>
      <c r="N76" s="1"/>
      <c r="O76" s="1">
        <v>11.25000000000003</v>
      </c>
      <c r="P76" s="1"/>
      <c r="Q76" s="1">
        <v>77.929999999999922</v>
      </c>
      <c r="R76" s="1">
        <f t="shared" si="41"/>
        <v>34.4</v>
      </c>
      <c r="S76" s="5">
        <f t="shared" si="23"/>
        <v>193.42000000000002</v>
      </c>
      <c r="T76" s="5">
        <f t="shared" si="43"/>
        <v>193.42000000000002</v>
      </c>
      <c r="U76" s="5">
        <f t="shared" si="44"/>
        <v>77.174580000000006</v>
      </c>
      <c r="V76" s="5">
        <f t="shared" si="48"/>
        <v>116.24542000000001</v>
      </c>
      <c r="W76" s="5"/>
      <c r="X76" s="17"/>
      <c r="Y76" s="17"/>
      <c r="Z76" s="1">
        <f t="shared" si="45"/>
        <v>11.5</v>
      </c>
      <c r="AA76" s="1">
        <f t="shared" si="42"/>
        <v>5.8773255813953478</v>
      </c>
      <c r="AB76" s="1">
        <v>28.4</v>
      </c>
      <c r="AC76" s="1">
        <v>25.6</v>
      </c>
      <c r="AD76" s="1">
        <v>30.6</v>
      </c>
      <c r="AE76" s="1">
        <v>36.200000000000003</v>
      </c>
      <c r="AF76" s="1">
        <v>37.6</v>
      </c>
      <c r="AG76" s="1">
        <v>36.200000000000003</v>
      </c>
      <c r="AH76" s="1">
        <v>30.2</v>
      </c>
      <c r="AI76" s="1">
        <v>45</v>
      </c>
      <c r="AJ76" s="1">
        <v>48.6</v>
      </c>
      <c r="AK76" s="1">
        <v>30.2</v>
      </c>
      <c r="AL76" s="1"/>
      <c r="AM76" s="1">
        <f t="shared" si="46"/>
        <v>46</v>
      </c>
      <c r="AN76" s="1">
        <f t="shared" si="47"/>
        <v>70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116</v>
      </c>
      <c r="B77" s="1" t="s">
        <v>42</v>
      </c>
      <c r="C77" s="1">
        <v>56</v>
      </c>
      <c r="D77" s="1">
        <v>30</v>
      </c>
      <c r="E77" s="1">
        <v>38</v>
      </c>
      <c r="F77" s="1">
        <v>43</v>
      </c>
      <c r="G77" s="7">
        <v>0.33</v>
      </c>
      <c r="H77" s="1">
        <v>40</v>
      </c>
      <c r="I77" s="1" t="s">
        <v>37</v>
      </c>
      <c r="J77" s="1"/>
      <c r="K77" s="1">
        <v>41</v>
      </c>
      <c r="L77" s="1">
        <f t="shared" si="40"/>
        <v>-3</v>
      </c>
      <c r="M77" s="1"/>
      <c r="N77" s="1"/>
      <c r="O77" s="1">
        <v>41.78</v>
      </c>
      <c r="P77" s="1"/>
      <c r="Q77" s="1">
        <v>0</v>
      </c>
      <c r="R77" s="1">
        <f t="shared" si="41"/>
        <v>7.6</v>
      </c>
      <c r="S77" s="5">
        <v>6</v>
      </c>
      <c r="T77" s="5">
        <f t="shared" si="43"/>
        <v>6</v>
      </c>
      <c r="U77" s="5">
        <f t="shared" si="44"/>
        <v>6</v>
      </c>
      <c r="V77" s="5"/>
      <c r="W77" s="5"/>
      <c r="X77" s="17"/>
      <c r="Y77" s="17"/>
      <c r="Z77" s="1">
        <f t="shared" si="45"/>
        <v>11.944736842105264</v>
      </c>
      <c r="AA77" s="1">
        <f t="shared" si="42"/>
        <v>11.155263157894737</v>
      </c>
      <c r="AB77" s="1">
        <v>7.6</v>
      </c>
      <c r="AC77" s="1">
        <v>10.4</v>
      </c>
      <c r="AD77" s="1">
        <v>9.4</v>
      </c>
      <c r="AE77" s="1">
        <v>4.4000000000000004</v>
      </c>
      <c r="AF77" s="1">
        <v>8.1999999999999993</v>
      </c>
      <c r="AG77" s="1">
        <v>12.2</v>
      </c>
      <c r="AH77" s="1">
        <v>12.2</v>
      </c>
      <c r="AI77" s="1">
        <v>12.8</v>
      </c>
      <c r="AJ77" s="1">
        <v>9</v>
      </c>
      <c r="AK77" s="1">
        <v>8.1999999999999993</v>
      </c>
      <c r="AL77" s="1"/>
      <c r="AM77" s="1">
        <f t="shared" si="46"/>
        <v>2</v>
      </c>
      <c r="AN77" s="1">
        <f t="shared" si="47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117</v>
      </c>
      <c r="B78" s="1" t="s">
        <v>42</v>
      </c>
      <c r="C78" s="1">
        <v>211</v>
      </c>
      <c r="D78" s="1">
        <v>246</v>
      </c>
      <c r="E78" s="1">
        <v>314</v>
      </c>
      <c r="F78" s="1">
        <v>57</v>
      </c>
      <c r="G78" s="7">
        <v>0.4</v>
      </c>
      <c r="H78" s="1">
        <v>55</v>
      </c>
      <c r="I78" s="9" t="s">
        <v>40</v>
      </c>
      <c r="J78" s="1"/>
      <c r="K78" s="1">
        <v>318</v>
      </c>
      <c r="L78" s="1">
        <f t="shared" si="40"/>
        <v>-4</v>
      </c>
      <c r="M78" s="1"/>
      <c r="N78" s="1"/>
      <c r="O78" s="1">
        <v>74.325000000000003</v>
      </c>
      <c r="P78" s="1">
        <v>75.674999999999997</v>
      </c>
      <c r="Q78" s="1">
        <v>294.74000000000012</v>
      </c>
      <c r="R78" s="1">
        <f t="shared" si="41"/>
        <v>62.8</v>
      </c>
      <c r="S78" s="5">
        <f t="shared" si="23"/>
        <v>220.45999999999981</v>
      </c>
      <c r="T78" s="5">
        <f>S78+R78*$T$1</f>
        <v>194.0839999999998</v>
      </c>
      <c r="U78" s="5">
        <f t="shared" si="44"/>
        <v>77.439515999999927</v>
      </c>
      <c r="V78" s="5">
        <f>T78*$V$1</f>
        <v>116.64448399999988</v>
      </c>
      <c r="W78" s="5"/>
      <c r="X78" s="17"/>
      <c r="Y78" s="17"/>
      <c r="Z78" s="1">
        <f t="shared" si="45"/>
        <v>11.08</v>
      </c>
      <c r="AA78" s="1">
        <f t="shared" si="42"/>
        <v>7.9894904458598752</v>
      </c>
      <c r="AB78" s="1">
        <v>61.2</v>
      </c>
      <c r="AC78" s="1">
        <v>41.4</v>
      </c>
      <c r="AD78" s="1">
        <v>36</v>
      </c>
      <c r="AE78" s="1">
        <v>44.4</v>
      </c>
      <c r="AF78" s="1">
        <v>49.4</v>
      </c>
      <c r="AG78" s="1">
        <v>54.2</v>
      </c>
      <c r="AH78" s="1">
        <v>46</v>
      </c>
      <c r="AI78" s="1">
        <v>49.8</v>
      </c>
      <c r="AJ78" s="1">
        <v>56.4</v>
      </c>
      <c r="AK78" s="1">
        <v>55.6</v>
      </c>
      <c r="AL78" s="1" t="s">
        <v>118</v>
      </c>
      <c r="AM78" s="1">
        <f t="shared" si="46"/>
        <v>31</v>
      </c>
      <c r="AN78" s="1">
        <f t="shared" si="47"/>
        <v>47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119</v>
      </c>
      <c r="B79" s="1" t="s">
        <v>42</v>
      </c>
      <c r="C79" s="1"/>
      <c r="D79" s="1">
        <v>12</v>
      </c>
      <c r="E79" s="1"/>
      <c r="F79" s="1">
        <v>10</v>
      </c>
      <c r="G79" s="7">
        <v>0.35</v>
      </c>
      <c r="H79" s="1">
        <v>40</v>
      </c>
      <c r="I79" s="9" t="s">
        <v>40</v>
      </c>
      <c r="J79" s="1"/>
      <c r="K79" s="1">
        <v>24</v>
      </c>
      <c r="L79" s="1">
        <f t="shared" si="40"/>
        <v>-24</v>
      </c>
      <c r="M79" s="1"/>
      <c r="N79" s="1"/>
      <c r="O79" s="1">
        <v>10</v>
      </c>
      <c r="P79" s="1"/>
      <c r="Q79" s="1">
        <v>15.2</v>
      </c>
      <c r="R79" s="1">
        <f t="shared" si="41"/>
        <v>0</v>
      </c>
      <c r="S79" s="5"/>
      <c r="T79" s="5">
        <f t="shared" si="43"/>
        <v>0</v>
      </c>
      <c r="U79" s="5">
        <f t="shared" si="44"/>
        <v>0</v>
      </c>
      <c r="V79" s="5"/>
      <c r="W79" s="5"/>
      <c r="X79" s="17"/>
      <c r="Y79" s="17"/>
      <c r="Z79" s="1" t="e">
        <f t="shared" si="45"/>
        <v>#DIV/0!</v>
      </c>
      <c r="AA79" s="1" t="e">
        <f t="shared" si="42"/>
        <v>#DIV/0!</v>
      </c>
      <c r="AB79" s="1">
        <v>2.4</v>
      </c>
      <c r="AC79" s="1">
        <v>0</v>
      </c>
      <c r="AD79" s="1">
        <v>0</v>
      </c>
      <c r="AE79" s="1">
        <v>-0.2</v>
      </c>
      <c r="AF79" s="1">
        <v>-0.2</v>
      </c>
      <c r="AG79" s="1">
        <v>0</v>
      </c>
      <c r="AH79" s="1">
        <v>0.4</v>
      </c>
      <c r="AI79" s="1">
        <v>10.8</v>
      </c>
      <c r="AJ79" s="1">
        <v>10.199999999999999</v>
      </c>
      <c r="AK79" s="1">
        <v>-0.4</v>
      </c>
      <c r="AL79" s="1"/>
      <c r="AM79" s="1">
        <f t="shared" si="46"/>
        <v>0</v>
      </c>
      <c r="AN79" s="1">
        <f t="shared" si="47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120</v>
      </c>
      <c r="B80" s="1" t="s">
        <v>42</v>
      </c>
      <c r="C80" s="1"/>
      <c r="D80" s="1">
        <v>48</v>
      </c>
      <c r="E80" s="1">
        <v>42</v>
      </c>
      <c r="F80" s="1">
        <v>4</v>
      </c>
      <c r="G80" s="7">
        <v>0.35</v>
      </c>
      <c r="H80" s="1">
        <v>45</v>
      </c>
      <c r="I80" s="9" t="s">
        <v>40</v>
      </c>
      <c r="J80" s="1"/>
      <c r="K80" s="1">
        <v>59</v>
      </c>
      <c r="L80" s="1">
        <f t="shared" si="40"/>
        <v>-17</v>
      </c>
      <c r="M80" s="1"/>
      <c r="N80" s="1"/>
      <c r="O80" s="1">
        <v>0</v>
      </c>
      <c r="P80" s="1"/>
      <c r="Q80" s="1">
        <v>45.6</v>
      </c>
      <c r="R80" s="1">
        <f t="shared" si="41"/>
        <v>8.4</v>
      </c>
      <c r="S80" s="5">
        <f t="shared" si="23"/>
        <v>47.000000000000007</v>
      </c>
      <c r="T80" s="5">
        <f t="shared" si="43"/>
        <v>47.000000000000007</v>
      </c>
      <c r="U80" s="5">
        <f t="shared" si="44"/>
        <v>47.000000000000007</v>
      </c>
      <c r="V80" s="5"/>
      <c r="W80" s="5"/>
      <c r="X80" s="17"/>
      <c r="Y80" s="17"/>
      <c r="Z80" s="1">
        <f t="shared" si="45"/>
        <v>11.5</v>
      </c>
      <c r="AA80" s="1">
        <f t="shared" si="42"/>
        <v>5.9047619047619051</v>
      </c>
      <c r="AB80" s="1">
        <v>7.2</v>
      </c>
      <c r="AC80" s="1">
        <v>0</v>
      </c>
      <c r="AD80" s="1">
        <v>-1.2</v>
      </c>
      <c r="AE80" s="1">
        <v>24.6</v>
      </c>
      <c r="AF80" s="1">
        <v>39.4</v>
      </c>
      <c r="AG80" s="1">
        <v>36</v>
      </c>
      <c r="AH80" s="1">
        <v>24.4</v>
      </c>
      <c r="AI80" s="1">
        <v>1.8</v>
      </c>
      <c r="AJ80" s="1">
        <v>0</v>
      </c>
      <c r="AK80" s="1">
        <v>26.4</v>
      </c>
      <c r="AL80" s="1"/>
      <c r="AM80" s="1">
        <f t="shared" si="46"/>
        <v>16</v>
      </c>
      <c r="AN80" s="1">
        <f t="shared" si="47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121</v>
      </c>
      <c r="B81" s="1" t="s">
        <v>42</v>
      </c>
      <c r="C81" s="1">
        <v>14</v>
      </c>
      <c r="D81" s="1">
        <v>270</v>
      </c>
      <c r="E81" s="1">
        <v>74</v>
      </c>
      <c r="F81" s="1">
        <v>209</v>
      </c>
      <c r="G81" s="7">
        <v>0.4</v>
      </c>
      <c r="H81" s="1">
        <v>55</v>
      </c>
      <c r="I81" s="1" t="s">
        <v>37</v>
      </c>
      <c r="J81" s="1"/>
      <c r="K81" s="1">
        <v>150</v>
      </c>
      <c r="L81" s="1">
        <f t="shared" si="40"/>
        <v>-76</v>
      </c>
      <c r="M81" s="1"/>
      <c r="N81" s="1"/>
      <c r="O81" s="1">
        <v>87.539999999999964</v>
      </c>
      <c r="P81" s="1"/>
      <c r="Q81" s="1">
        <v>0</v>
      </c>
      <c r="R81" s="1">
        <f t="shared" si="41"/>
        <v>14.8</v>
      </c>
      <c r="S81" s="5"/>
      <c r="T81" s="5">
        <f t="shared" si="43"/>
        <v>0</v>
      </c>
      <c r="U81" s="5">
        <f t="shared" si="44"/>
        <v>0</v>
      </c>
      <c r="V81" s="5"/>
      <c r="W81" s="5"/>
      <c r="X81" s="17"/>
      <c r="Y81" s="17"/>
      <c r="Z81" s="1">
        <f t="shared" si="45"/>
        <v>20.036486486486481</v>
      </c>
      <c r="AA81" s="1">
        <f t="shared" si="42"/>
        <v>20.036486486486481</v>
      </c>
      <c r="AB81" s="1">
        <v>18</v>
      </c>
      <c r="AC81" s="1">
        <v>31.8</v>
      </c>
      <c r="AD81" s="1">
        <v>27.2</v>
      </c>
      <c r="AE81" s="1">
        <v>35.799999999999997</v>
      </c>
      <c r="AF81" s="1">
        <v>35.6</v>
      </c>
      <c r="AG81" s="1">
        <v>29.6</v>
      </c>
      <c r="AH81" s="1">
        <v>29.8</v>
      </c>
      <c r="AI81" s="1">
        <v>18.600000000000001</v>
      </c>
      <c r="AJ81" s="1">
        <v>19.2</v>
      </c>
      <c r="AK81" s="1">
        <v>36</v>
      </c>
      <c r="AL81" s="1"/>
      <c r="AM81" s="1">
        <f t="shared" si="46"/>
        <v>0</v>
      </c>
      <c r="AN81" s="1">
        <f t="shared" si="47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122</v>
      </c>
      <c r="B82" s="1" t="s">
        <v>36</v>
      </c>
      <c r="C82" s="1">
        <v>68.361000000000004</v>
      </c>
      <c r="D82" s="1"/>
      <c r="E82" s="1">
        <v>7.19</v>
      </c>
      <c r="F82" s="1">
        <v>59.716000000000001</v>
      </c>
      <c r="G82" s="7">
        <v>1</v>
      </c>
      <c r="H82" s="1">
        <v>55</v>
      </c>
      <c r="I82" s="1" t="s">
        <v>37</v>
      </c>
      <c r="J82" s="1"/>
      <c r="K82" s="1">
        <v>8.1</v>
      </c>
      <c r="L82" s="1">
        <f t="shared" si="40"/>
        <v>-0.90999999999999925</v>
      </c>
      <c r="M82" s="1"/>
      <c r="N82" s="1"/>
      <c r="O82" s="1">
        <v>0</v>
      </c>
      <c r="P82" s="1"/>
      <c r="Q82" s="1">
        <v>0</v>
      </c>
      <c r="R82" s="1">
        <f t="shared" si="41"/>
        <v>1.4380000000000002</v>
      </c>
      <c r="S82" s="5"/>
      <c r="T82" s="5">
        <f t="shared" si="43"/>
        <v>0</v>
      </c>
      <c r="U82" s="5">
        <f t="shared" si="44"/>
        <v>0</v>
      </c>
      <c r="V82" s="5"/>
      <c r="W82" s="5"/>
      <c r="X82" s="17"/>
      <c r="Y82" s="17"/>
      <c r="Z82" s="1">
        <f t="shared" si="45"/>
        <v>41.527121001390817</v>
      </c>
      <c r="AA82" s="1">
        <f t="shared" si="42"/>
        <v>41.527121001390817</v>
      </c>
      <c r="AB82" s="1">
        <v>0.86620000000000008</v>
      </c>
      <c r="AC82" s="1">
        <v>0.56840000000000002</v>
      </c>
      <c r="AD82" s="1">
        <v>0.56840000000000002</v>
      </c>
      <c r="AE82" s="1">
        <v>1.1446000000000001</v>
      </c>
      <c r="AF82" s="1">
        <v>1.4156</v>
      </c>
      <c r="AG82" s="1">
        <v>1.1512</v>
      </c>
      <c r="AH82" s="1">
        <v>3.4895999999999998</v>
      </c>
      <c r="AI82" s="1">
        <v>3.4748000000000001</v>
      </c>
      <c r="AJ82" s="1">
        <v>3.3445999999999998</v>
      </c>
      <c r="AK82" s="1">
        <v>3.0251999999999999</v>
      </c>
      <c r="AL82" s="14" t="s">
        <v>123</v>
      </c>
      <c r="AM82" s="1">
        <f t="shared" si="46"/>
        <v>0</v>
      </c>
      <c r="AN82" s="1">
        <f t="shared" si="47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124</v>
      </c>
      <c r="B83" s="1" t="s">
        <v>36</v>
      </c>
      <c r="C83" s="1">
        <v>67.594999999999999</v>
      </c>
      <c r="D83" s="1">
        <v>505.90499999999997</v>
      </c>
      <c r="E83" s="1">
        <v>108.23399999999999</v>
      </c>
      <c r="F83" s="1">
        <v>141.422</v>
      </c>
      <c r="G83" s="7">
        <v>1</v>
      </c>
      <c r="H83" s="1">
        <v>55</v>
      </c>
      <c r="I83" s="1" t="s">
        <v>37</v>
      </c>
      <c r="J83" s="1"/>
      <c r="K83" s="1">
        <v>128.69999999999999</v>
      </c>
      <c r="L83" s="1">
        <f t="shared" si="40"/>
        <v>-20.465999999999994</v>
      </c>
      <c r="M83" s="1"/>
      <c r="N83" s="1"/>
      <c r="O83" s="1">
        <v>0</v>
      </c>
      <c r="P83" s="1"/>
      <c r="Q83" s="1">
        <v>67.224829999999997</v>
      </c>
      <c r="R83" s="1">
        <f t="shared" si="41"/>
        <v>21.646799999999999</v>
      </c>
      <c r="S83" s="5">
        <f t="shared" si="23"/>
        <v>40.291370000000001</v>
      </c>
      <c r="T83" s="5">
        <f t="shared" si="43"/>
        <v>40.291370000000001</v>
      </c>
      <c r="U83" s="5">
        <f t="shared" si="44"/>
        <v>40.291370000000001</v>
      </c>
      <c r="V83" s="5"/>
      <c r="W83" s="5"/>
      <c r="X83" s="17"/>
      <c r="Y83" s="17"/>
      <c r="Z83" s="1">
        <f t="shared" si="45"/>
        <v>11.5</v>
      </c>
      <c r="AA83" s="1">
        <f t="shared" si="42"/>
        <v>9.6386916310955897</v>
      </c>
      <c r="AB83" s="1">
        <v>18.131399999999999</v>
      </c>
      <c r="AC83" s="1">
        <v>21.6068</v>
      </c>
      <c r="AD83" s="1">
        <v>28.839600000000001</v>
      </c>
      <c r="AE83" s="1">
        <v>25.4146</v>
      </c>
      <c r="AF83" s="1">
        <v>20.510200000000001</v>
      </c>
      <c r="AG83" s="1">
        <v>20.4178</v>
      </c>
      <c r="AH83" s="1">
        <v>26.796399999999998</v>
      </c>
      <c r="AI83" s="1">
        <v>27.92</v>
      </c>
      <c r="AJ83" s="1">
        <v>28.6614</v>
      </c>
      <c r="AK83" s="1">
        <v>27.568000000000001</v>
      </c>
      <c r="AL83" s="1" t="s">
        <v>118</v>
      </c>
      <c r="AM83" s="1">
        <f t="shared" si="46"/>
        <v>40</v>
      </c>
      <c r="AN83" s="1">
        <f t="shared" si="47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125</v>
      </c>
      <c r="B84" s="1" t="s">
        <v>36</v>
      </c>
      <c r="C84" s="1">
        <v>561.70500000000004</v>
      </c>
      <c r="D84" s="1">
        <v>552.95899999999995</v>
      </c>
      <c r="E84" s="1">
        <v>723.16300000000001</v>
      </c>
      <c r="F84" s="1">
        <v>220.065</v>
      </c>
      <c r="G84" s="7">
        <v>1</v>
      </c>
      <c r="H84" s="1">
        <v>60</v>
      </c>
      <c r="I84" s="1" t="s">
        <v>37</v>
      </c>
      <c r="J84" s="1"/>
      <c r="K84" s="1">
        <v>725.86500000000001</v>
      </c>
      <c r="L84" s="1">
        <f t="shared" si="40"/>
        <v>-2.7019999999999982</v>
      </c>
      <c r="M84" s="1"/>
      <c r="N84" s="1"/>
      <c r="O84" s="1">
        <v>444.8430721529374</v>
      </c>
      <c r="P84" s="1">
        <v>452.92296650082108</v>
      </c>
      <c r="Q84" s="1">
        <v>138.46079</v>
      </c>
      <c r="R84" s="1">
        <f t="shared" si="41"/>
        <v>144.6326</v>
      </c>
      <c r="S84" s="5">
        <f t="shared" si="23"/>
        <v>406.98307134624139</v>
      </c>
      <c r="T84" s="5">
        <f>S84+R84*$T$1</f>
        <v>346.23737934624137</v>
      </c>
      <c r="U84" s="5">
        <f t="shared" si="44"/>
        <v>138.14871435915032</v>
      </c>
      <c r="V84" s="5">
        <f>T84*$V$1</f>
        <v>208.08866498709105</v>
      </c>
      <c r="W84" s="5"/>
      <c r="X84" s="17"/>
      <c r="Y84" s="17"/>
      <c r="Z84" s="1">
        <f t="shared" si="45"/>
        <v>11.08</v>
      </c>
      <c r="AA84" s="1">
        <f t="shared" si="42"/>
        <v>8.6860903327034062</v>
      </c>
      <c r="AB84" s="1">
        <v>145.7482</v>
      </c>
      <c r="AC84" s="1">
        <v>161.48840000000001</v>
      </c>
      <c r="AD84" s="1">
        <v>133.17140000000001</v>
      </c>
      <c r="AE84" s="1">
        <v>128.61879999999999</v>
      </c>
      <c r="AF84" s="1">
        <v>152.0676</v>
      </c>
      <c r="AG84" s="1">
        <v>157.40639999999999</v>
      </c>
      <c r="AH84" s="1">
        <v>149.3056</v>
      </c>
      <c r="AI84" s="1">
        <v>150.80600000000001</v>
      </c>
      <c r="AJ84" s="1">
        <v>161.60239999999999</v>
      </c>
      <c r="AK84" s="1">
        <v>168.8852</v>
      </c>
      <c r="AL84" s="1"/>
      <c r="AM84" s="1">
        <f t="shared" si="46"/>
        <v>138</v>
      </c>
      <c r="AN84" s="1">
        <f t="shared" si="47"/>
        <v>208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0" t="s">
        <v>126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40"/>
        <v>0</v>
      </c>
      <c r="M85" s="10"/>
      <c r="N85" s="10"/>
      <c r="O85" s="10">
        <v>0</v>
      </c>
      <c r="P85" s="10"/>
      <c r="Q85" s="10">
        <v>0</v>
      </c>
      <c r="R85" s="10">
        <f t="shared" si="41"/>
        <v>0</v>
      </c>
      <c r="S85" s="12"/>
      <c r="T85" s="5">
        <f t="shared" si="43"/>
        <v>0</v>
      </c>
      <c r="U85" s="5">
        <f t="shared" si="44"/>
        <v>0</v>
      </c>
      <c r="V85" s="5"/>
      <c r="W85" s="5"/>
      <c r="X85" s="17"/>
      <c r="Y85" s="17"/>
      <c r="Z85" s="1" t="e">
        <f t="shared" si="45"/>
        <v>#DIV/0!</v>
      </c>
      <c r="AA85" s="10" t="e">
        <f t="shared" si="42"/>
        <v>#DIV/0!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 t="s">
        <v>43</v>
      </c>
      <c r="AM85" s="1">
        <f t="shared" si="46"/>
        <v>0</v>
      </c>
      <c r="AN85" s="1">
        <f t="shared" si="47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127</v>
      </c>
      <c r="B86" s="1" t="s">
        <v>36</v>
      </c>
      <c r="C86" s="1">
        <v>2397.386</v>
      </c>
      <c r="D86" s="1">
        <v>851.31600000000003</v>
      </c>
      <c r="E86" s="1">
        <v>2710.1469999999999</v>
      </c>
      <c r="F86" s="1">
        <v>-71.481999999999999</v>
      </c>
      <c r="G86" s="7">
        <v>1</v>
      </c>
      <c r="H86" s="1">
        <v>60</v>
      </c>
      <c r="I86" s="1" t="s">
        <v>37</v>
      </c>
      <c r="J86" s="1"/>
      <c r="K86" s="1">
        <v>2734.1</v>
      </c>
      <c r="L86" s="1">
        <f t="shared" si="40"/>
        <v>-23.952999999999975</v>
      </c>
      <c r="M86" s="1"/>
      <c r="N86" s="1"/>
      <c r="O86" s="1">
        <v>1295.82658554</v>
      </c>
      <c r="P86" s="1">
        <v>1319.3632944599999</v>
      </c>
      <c r="Q86" s="1">
        <v>1590.57431</v>
      </c>
      <c r="R86" s="1">
        <f t="shared" si="41"/>
        <v>542.02940000000001</v>
      </c>
      <c r="S86" s="5">
        <f t="shared" ref="S86:S88" si="49">11.5*R86-Q86-P86-O86-F86</f>
        <v>2099.05591</v>
      </c>
      <c r="T86" s="5">
        <f t="shared" ref="T86:T88" si="50">S86+R86*$T$1</f>
        <v>1871.403562</v>
      </c>
      <c r="U86" s="5">
        <f t="shared" si="44"/>
        <v>746.6900212380001</v>
      </c>
      <c r="V86" s="5">
        <f t="shared" ref="V86:V88" si="51">T86*$V$1</f>
        <v>1124.7135407619999</v>
      </c>
      <c r="W86" s="5"/>
      <c r="X86" s="17"/>
      <c r="Y86" s="17"/>
      <c r="Z86" s="1">
        <f t="shared" si="45"/>
        <v>11.079999999999998</v>
      </c>
      <c r="AA86" s="1">
        <f t="shared" si="42"/>
        <v>7.6274131809086372</v>
      </c>
      <c r="AB86" s="1">
        <v>512.76220000000001</v>
      </c>
      <c r="AC86" s="1">
        <v>459.2072</v>
      </c>
      <c r="AD86" s="1">
        <v>405.00659999999999</v>
      </c>
      <c r="AE86" s="1">
        <v>427.90280000000001</v>
      </c>
      <c r="AF86" s="1">
        <v>494.89839999999998</v>
      </c>
      <c r="AG86" s="1">
        <v>526.31220000000008</v>
      </c>
      <c r="AH86" s="1">
        <v>493.4196</v>
      </c>
      <c r="AI86" s="1">
        <v>505.09059999999999</v>
      </c>
      <c r="AJ86" s="1">
        <v>580.20420000000001</v>
      </c>
      <c r="AK86" s="1">
        <v>540.80640000000005</v>
      </c>
      <c r="AL86" s="1"/>
      <c r="AM86" s="1">
        <f t="shared" si="46"/>
        <v>747</v>
      </c>
      <c r="AN86" s="1">
        <f t="shared" si="47"/>
        <v>1125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128</v>
      </c>
      <c r="B87" s="1" t="s">
        <v>36</v>
      </c>
      <c r="C87" s="1">
        <v>2425.4319999999998</v>
      </c>
      <c r="D87" s="1">
        <v>1279.4100000000001</v>
      </c>
      <c r="E87" s="1">
        <v>1873.2</v>
      </c>
      <c r="F87" s="1">
        <v>1469.192</v>
      </c>
      <c r="G87" s="7">
        <v>1</v>
      </c>
      <c r="H87" s="1">
        <v>60</v>
      </c>
      <c r="I87" s="1" t="s">
        <v>37</v>
      </c>
      <c r="J87" s="1"/>
      <c r="K87" s="1">
        <v>1890.9</v>
      </c>
      <c r="L87" s="1">
        <f t="shared" si="40"/>
        <v>-17.700000000000045</v>
      </c>
      <c r="M87" s="1"/>
      <c r="N87" s="1"/>
      <c r="O87" s="1">
        <v>402.80442173499961</v>
      </c>
      <c r="P87" s="1">
        <v>410.12074826499952</v>
      </c>
      <c r="Q87" s="1">
        <v>872.44684000000052</v>
      </c>
      <c r="R87" s="1">
        <f t="shared" si="41"/>
        <v>374.64</v>
      </c>
      <c r="S87" s="5">
        <f t="shared" si="49"/>
        <v>1153.7959899999996</v>
      </c>
      <c r="T87" s="5">
        <f t="shared" si="50"/>
        <v>996.44718999999964</v>
      </c>
      <c r="U87" s="5">
        <f t="shared" si="44"/>
        <v>397.5824288099999</v>
      </c>
      <c r="V87" s="5">
        <f t="shared" si="51"/>
        <v>598.86476118999974</v>
      </c>
      <c r="W87" s="5"/>
      <c r="X87" s="17"/>
      <c r="Y87" s="17"/>
      <c r="Z87" s="1">
        <f t="shared" si="45"/>
        <v>11.079999999999998</v>
      </c>
      <c r="AA87" s="1">
        <f t="shared" si="42"/>
        <v>8.4202541373051449</v>
      </c>
      <c r="AB87" s="1">
        <v>362.87380000000002</v>
      </c>
      <c r="AC87" s="1">
        <v>356.65640000000002</v>
      </c>
      <c r="AD87" s="1">
        <v>370.45139999999998</v>
      </c>
      <c r="AE87" s="1">
        <v>435.01280000000003</v>
      </c>
      <c r="AF87" s="1">
        <v>454.02980000000002</v>
      </c>
      <c r="AG87" s="1">
        <v>464.01760000000002</v>
      </c>
      <c r="AH87" s="1">
        <v>470.22359999999998</v>
      </c>
      <c r="AI87" s="1">
        <v>519.2894</v>
      </c>
      <c r="AJ87" s="1">
        <v>564.46319999999992</v>
      </c>
      <c r="AK87" s="1">
        <v>484.53480000000002</v>
      </c>
      <c r="AL87" s="1"/>
      <c r="AM87" s="1">
        <f t="shared" si="46"/>
        <v>398</v>
      </c>
      <c r="AN87" s="1">
        <f t="shared" si="47"/>
        <v>599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129</v>
      </c>
      <c r="B88" s="1" t="s">
        <v>36</v>
      </c>
      <c r="C88" s="1">
        <v>2410.0309999999999</v>
      </c>
      <c r="D88" s="1">
        <v>1825.049</v>
      </c>
      <c r="E88" s="1">
        <v>3035.7739999999999</v>
      </c>
      <c r="F88" s="1">
        <v>434.76299999999998</v>
      </c>
      <c r="G88" s="7">
        <v>1</v>
      </c>
      <c r="H88" s="1">
        <v>60</v>
      </c>
      <c r="I88" s="1" t="s">
        <v>37</v>
      </c>
      <c r="J88" s="1"/>
      <c r="K88" s="1">
        <v>3091.2</v>
      </c>
      <c r="L88" s="1">
        <f t="shared" si="40"/>
        <v>-55.425999999999931</v>
      </c>
      <c r="M88" s="1"/>
      <c r="N88" s="1"/>
      <c r="O88" s="1">
        <v>1664.88</v>
      </c>
      <c r="P88" s="1">
        <v>1695.12</v>
      </c>
      <c r="Q88" s="1">
        <v>1354.5647799999999</v>
      </c>
      <c r="R88" s="1">
        <f t="shared" si="41"/>
        <v>607.15480000000002</v>
      </c>
      <c r="S88" s="5">
        <f t="shared" si="49"/>
        <v>1832.9524200000005</v>
      </c>
      <c r="T88" s="5">
        <f t="shared" si="50"/>
        <v>1577.9474040000005</v>
      </c>
      <c r="U88" s="5">
        <f t="shared" si="44"/>
        <v>629.60101419600016</v>
      </c>
      <c r="V88" s="5">
        <f t="shared" si="51"/>
        <v>948.3463898040003</v>
      </c>
      <c r="W88" s="5"/>
      <c r="X88" s="17"/>
      <c r="Y88" s="17"/>
      <c r="Z88" s="1">
        <f t="shared" si="45"/>
        <v>11.08</v>
      </c>
      <c r="AA88" s="1">
        <f t="shared" si="42"/>
        <v>8.4810789274827432</v>
      </c>
      <c r="AB88" s="1">
        <v>614.59640000000002</v>
      </c>
      <c r="AC88" s="1">
        <v>581.85900000000004</v>
      </c>
      <c r="AD88" s="1">
        <v>521.048</v>
      </c>
      <c r="AE88" s="1">
        <v>463.74439999999998</v>
      </c>
      <c r="AF88" s="1">
        <v>532.01880000000006</v>
      </c>
      <c r="AG88" s="1">
        <v>605.65300000000002</v>
      </c>
      <c r="AH88" s="1">
        <v>579.95619999999997</v>
      </c>
      <c r="AI88" s="1">
        <v>556.60360000000003</v>
      </c>
      <c r="AJ88" s="1">
        <v>587.1934</v>
      </c>
      <c r="AK88" s="1">
        <v>598.42560000000003</v>
      </c>
      <c r="AL88" s="1"/>
      <c r="AM88" s="1">
        <f t="shared" si="46"/>
        <v>630</v>
      </c>
      <c r="AN88" s="1">
        <f t="shared" si="47"/>
        <v>948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130</v>
      </c>
      <c r="B89" s="1" t="s">
        <v>36</v>
      </c>
      <c r="C89" s="1">
        <v>86.78</v>
      </c>
      <c r="D89" s="1">
        <v>21.536999999999999</v>
      </c>
      <c r="E89" s="1">
        <v>26.716999999999999</v>
      </c>
      <c r="F89" s="1">
        <v>78.89</v>
      </c>
      <c r="G89" s="7">
        <v>1</v>
      </c>
      <c r="H89" s="1">
        <v>55</v>
      </c>
      <c r="I89" s="9" t="s">
        <v>40</v>
      </c>
      <c r="J89" s="1"/>
      <c r="K89" s="1">
        <v>27.7</v>
      </c>
      <c r="L89" s="1">
        <f t="shared" si="40"/>
        <v>-0.98300000000000054</v>
      </c>
      <c r="M89" s="1"/>
      <c r="N89" s="1"/>
      <c r="O89" s="1">
        <v>10.698199999999989</v>
      </c>
      <c r="P89" s="1"/>
      <c r="Q89" s="1">
        <v>0</v>
      </c>
      <c r="R89" s="1">
        <f t="shared" si="41"/>
        <v>5.3433999999999999</v>
      </c>
      <c r="S89" s="5"/>
      <c r="T89" s="5">
        <f t="shared" si="43"/>
        <v>0</v>
      </c>
      <c r="U89" s="5">
        <f t="shared" si="44"/>
        <v>0</v>
      </c>
      <c r="V89" s="5"/>
      <c r="W89" s="5"/>
      <c r="X89" s="17"/>
      <c r="Y89" s="17"/>
      <c r="Z89" s="1">
        <f t="shared" si="45"/>
        <v>16.766141408092224</v>
      </c>
      <c r="AA89" s="1">
        <f t="shared" si="42"/>
        <v>16.766141408092224</v>
      </c>
      <c r="AB89" s="1">
        <v>5.6134000000000004</v>
      </c>
      <c r="AC89" s="1">
        <v>9.3739999999999988</v>
      </c>
      <c r="AD89" s="1">
        <v>9.3148</v>
      </c>
      <c r="AE89" s="1">
        <v>6.9373999999999993</v>
      </c>
      <c r="AF89" s="1">
        <v>6.7266000000000004</v>
      </c>
      <c r="AG89" s="1">
        <v>8.3040000000000003</v>
      </c>
      <c r="AH89" s="1">
        <v>8.5742000000000012</v>
      </c>
      <c r="AI89" s="1">
        <v>8.3124000000000002</v>
      </c>
      <c r="AJ89" s="1">
        <v>8.0421999999999993</v>
      </c>
      <c r="AK89" s="1">
        <v>5.9122000000000003</v>
      </c>
      <c r="AL89" s="1"/>
      <c r="AM89" s="1">
        <f t="shared" si="46"/>
        <v>0</v>
      </c>
      <c r="AN89" s="1">
        <f t="shared" si="47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131</v>
      </c>
      <c r="B90" s="1" t="s">
        <v>42</v>
      </c>
      <c r="C90" s="1"/>
      <c r="D90" s="1">
        <v>36</v>
      </c>
      <c r="E90" s="1">
        <v>25</v>
      </c>
      <c r="F90" s="1">
        <v>5</v>
      </c>
      <c r="G90" s="7">
        <v>0.3</v>
      </c>
      <c r="H90" s="1">
        <v>40</v>
      </c>
      <c r="I90" s="9" t="s">
        <v>40</v>
      </c>
      <c r="J90" s="1"/>
      <c r="K90" s="1">
        <v>100</v>
      </c>
      <c r="L90" s="1">
        <f t="shared" si="40"/>
        <v>-75</v>
      </c>
      <c r="M90" s="1"/>
      <c r="N90" s="1"/>
      <c r="O90" s="1">
        <v>0</v>
      </c>
      <c r="P90" s="1"/>
      <c r="Q90" s="1">
        <v>12.09</v>
      </c>
      <c r="R90" s="1">
        <f t="shared" si="41"/>
        <v>5</v>
      </c>
      <c r="S90" s="5">
        <v>80</v>
      </c>
      <c r="T90" s="5">
        <f t="shared" si="43"/>
        <v>80</v>
      </c>
      <c r="U90" s="5">
        <f t="shared" si="44"/>
        <v>80</v>
      </c>
      <c r="V90" s="5"/>
      <c r="W90" s="5"/>
      <c r="X90" s="17"/>
      <c r="Y90" s="17"/>
      <c r="Z90" s="1">
        <f t="shared" si="45"/>
        <v>19.417999999999999</v>
      </c>
      <c r="AA90" s="1">
        <f t="shared" si="42"/>
        <v>3.4180000000000001</v>
      </c>
      <c r="AB90" s="1">
        <v>2.2000000000000002</v>
      </c>
      <c r="AC90" s="1">
        <v>0</v>
      </c>
      <c r="AD90" s="1">
        <v>-0.2</v>
      </c>
      <c r="AE90" s="1">
        <v>-0.2</v>
      </c>
      <c r="AF90" s="1">
        <v>-0.2</v>
      </c>
      <c r="AG90" s="1">
        <v>-0.8</v>
      </c>
      <c r="AH90" s="1">
        <v>-0.6</v>
      </c>
      <c r="AI90" s="1">
        <v>-0.4</v>
      </c>
      <c r="AJ90" s="1">
        <v>-2</v>
      </c>
      <c r="AK90" s="1">
        <v>-3.2</v>
      </c>
      <c r="AL90" s="1"/>
      <c r="AM90" s="1">
        <f t="shared" si="46"/>
        <v>24</v>
      </c>
      <c r="AN90" s="1">
        <f t="shared" si="47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132</v>
      </c>
      <c r="B91" s="1" t="s">
        <v>42</v>
      </c>
      <c r="C91" s="1">
        <v>389</v>
      </c>
      <c r="D91" s="1">
        <v>1</v>
      </c>
      <c r="E91" s="1">
        <v>69</v>
      </c>
      <c r="F91" s="1">
        <v>78</v>
      </c>
      <c r="G91" s="7">
        <v>0.3</v>
      </c>
      <c r="H91" s="1">
        <v>40</v>
      </c>
      <c r="I91" s="9" t="s">
        <v>40</v>
      </c>
      <c r="J91" s="1"/>
      <c r="K91" s="1">
        <v>72</v>
      </c>
      <c r="L91" s="1">
        <f t="shared" si="40"/>
        <v>-3</v>
      </c>
      <c r="M91" s="1"/>
      <c r="N91" s="1"/>
      <c r="O91" s="1">
        <v>0</v>
      </c>
      <c r="P91" s="1"/>
      <c r="Q91" s="1">
        <v>0</v>
      </c>
      <c r="R91" s="1">
        <f t="shared" si="41"/>
        <v>13.8</v>
      </c>
      <c r="S91" s="5">
        <f>9*R91-Q91-P91-O91-F91</f>
        <v>46.2</v>
      </c>
      <c r="T91" s="5">
        <f t="shared" si="43"/>
        <v>46.2</v>
      </c>
      <c r="U91" s="5">
        <f t="shared" si="44"/>
        <v>46.2</v>
      </c>
      <c r="V91" s="5"/>
      <c r="W91" s="5"/>
      <c r="X91" s="17"/>
      <c r="Y91" s="17"/>
      <c r="Z91" s="1">
        <f t="shared" si="45"/>
        <v>9</v>
      </c>
      <c r="AA91" s="1">
        <f t="shared" si="42"/>
        <v>5.6521739130434776</v>
      </c>
      <c r="AB91" s="1">
        <v>16.8</v>
      </c>
      <c r="AC91" s="1">
        <v>14.4</v>
      </c>
      <c r="AD91" s="1">
        <v>12.6</v>
      </c>
      <c r="AE91" s="1">
        <v>19.399999999999999</v>
      </c>
      <c r="AF91" s="1">
        <v>18.8</v>
      </c>
      <c r="AG91" s="1">
        <v>15.6</v>
      </c>
      <c r="AH91" s="1">
        <v>15</v>
      </c>
      <c r="AI91" s="1">
        <v>7.8</v>
      </c>
      <c r="AJ91" s="1">
        <v>9.4</v>
      </c>
      <c r="AK91" s="1">
        <v>58.2</v>
      </c>
      <c r="AL91" s="15" t="s">
        <v>187</v>
      </c>
      <c r="AM91" s="1">
        <f t="shared" si="46"/>
        <v>14</v>
      </c>
      <c r="AN91" s="1">
        <f t="shared" si="47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0" t="s">
        <v>133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40</v>
      </c>
      <c r="J92" s="10"/>
      <c r="K92" s="10"/>
      <c r="L92" s="10">
        <f t="shared" si="40"/>
        <v>0</v>
      </c>
      <c r="M92" s="10"/>
      <c r="N92" s="10"/>
      <c r="O92" s="10">
        <v>0</v>
      </c>
      <c r="P92" s="10"/>
      <c r="Q92" s="10">
        <v>0</v>
      </c>
      <c r="R92" s="10">
        <f t="shared" si="41"/>
        <v>0</v>
      </c>
      <c r="S92" s="12"/>
      <c r="T92" s="5">
        <f t="shared" si="43"/>
        <v>0</v>
      </c>
      <c r="U92" s="5">
        <f t="shared" si="44"/>
        <v>0</v>
      </c>
      <c r="V92" s="5"/>
      <c r="W92" s="5"/>
      <c r="X92" s="17"/>
      <c r="Y92" s="17"/>
      <c r="Z92" s="1" t="e">
        <f t="shared" si="45"/>
        <v>#DIV/0!</v>
      </c>
      <c r="AA92" s="10" t="e">
        <f t="shared" si="42"/>
        <v>#DIV/0!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 t="s">
        <v>43</v>
      </c>
      <c r="AM92" s="1">
        <f t="shared" si="46"/>
        <v>0</v>
      </c>
      <c r="AN92" s="1">
        <f t="shared" si="47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134</v>
      </c>
      <c r="B93" s="1" t="s">
        <v>42</v>
      </c>
      <c r="C93" s="1"/>
      <c r="D93" s="1">
        <v>216</v>
      </c>
      <c r="E93" s="1">
        <v>82</v>
      </c>
      <c r="F93" s="1">
        <v>98</v>
      </c>
      <c r="G93" s="7">
        <v>7.0000000000000007E-2</v>
      </c>
      <c r="H93" s="1">
        <v>90</v>
      </c>
      <c r="I93" s="9" t="s">
        <v>40</v>
      </c>
      <c r="J93" s="1"/>
      <c r="K93" s="1">
        <v>87</v>
      </c>
      <c r="L93" s="1">
        <f t="shared" si="40"/>
        <v>-5</v>
      </c>
      <c r="M93" s="1"/>
      <c r="N93" s="1"/>
      <c r="O93" s="1">
        <v>0</v>
      </c>
      <c r="P93" s="1"/>
      <c r="Q93" s="1">
        <v>0</v>
      </c>
      <c r="R93" s="1">
        <f t="shared" si="41"/>
        <v>16.399999999999999</v>
      </c>
      <c r="S93" s="5">
        <f t="shared" ref="S93:S95" si="52">11.5*R93-Q93-P93-O93-F93</f>
        <v>90.6</v>
      </c>
      <c r="T93" s="5">
        <f t="shared" si="43"/>
        <v>90.6</v>
      </c>
      <c r="U93" s="5">
        <f t="shared" si="44"/>
        <v>90.6</v>
      </c>
      <c r="V93" s="5"/>
      <c r="W93" s="5"/>
      <c r="X93" s="17"/>
      <c r="Y93" s="17"/>
      <c r="Z93" s="1">
        <f t="shared" si="45"/>
        <v>11.5</v>
      </c>
      <c r="AA93" s="1">
        <f t="shared" si="42"/>
        <v>5.9756097560975618</v>
      </c>
      <c r="AB93" s="1">
        <v>2.8</v>
      </c>
      <c r="AC93" s="1">
        <v>2.8</v>
      </c>
      <c r="AD93" s="1">
        <v>9.1999999999999993</v>
      </c>
      <c r="AE93" s="1">
        <v>29.4</v>
      </c>
      <c r="AF93" s="1">
        <v>32.799999999999997</v>
      </c>
      <c r="AG93" s="1">
        <v>32.200000000000003</v>
      </c>
      <c r="AH93" s="1">
        <v>32.6</v>
      </c>
      <c r="AI93" s="1">
        <v>27.2</v>
      </c>
      <c r="AJ93" s="1">
        <v>27.8</v>
      </c>
      <c r="AK93" s="1">
        <v>25.6</v>
      </c>
      <c r="AL93" s="1"/>
      <c r="AM93" s="1">
        <f t="shared" si="46"/>
        <v>6</v>
      </c>
      <c r="AN93" s="1">
        <f t="shared" si="47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135</v>
      </c>
      <c r="B94" s="1" t="s">
        <v>42</v>
      </c>
      <c r="C94" s="1">
        <v>72</v>
      </c>
      <c r="D94" s="1">
        <v>166</v>
      </c>
      <c r="E94" s="1">
        <v>142</v>
      </c>
      <c r="F94" s="1">
        <v>65</v>
      </c>
      <c r="G94" s="7">
        <v>7.0000000000000007E-2</v>
      </c>
      <c r="H94" s="1">
        <v>90</v>
      </c>
      <c r="I94" s="1" t="s">
        <v>37</v>
      </c>
      <c r="J94" s="1"/>
      <c r="K94" s="1">
        <v>149</v>
      </c>
      <c r="L94" s="1">
        <f t="shared" si="40"/>
        <v>-7</v>
      </c>
      <c r="M94" s="1"/>
      <c r="N94" s="1"/>
      <c r="O94" s="1">
        <v>38.250000000000057</v>
      </c>
      <c r="P94" s="1"/>
      <c r="Q94" s="1">
        <v>71.679999999999922</v>
      </c>
      <c r="R94" s="1">
        <f t="shared" si="41"/>
        <v>28.4</v>
      </c>
      <c r="S94" s="5">
        <f t="shared" si="52"/>
        <v>151.66999999999999</v>
      </c>
      <c r="T94" s="5">
        <f t="shared" si="43"/>
        <v>151.66999999999999</v>
      </c>
      <c r="U94" s="5">
        <f t="shared" si="44"/>
        <v>60.516329999999996</v>
      </c>
      <c r="V94" s="5">
        <f>T94*$V$1</f>
        <v>91.153669999999991</v>
      </c>
      <c r="W94" s="5"/>
      <c r="X94" s="17"/>
      <c r="Y94" s="17"/>
      <c r="Z94" s="1">
        <f t="shared" si="45"/>
        <v>11.5</v>
      </c>
      <c r="AA94" s="1">
        <f t="shared" si="42"/>
        <v>6.1595070422535203</v>
      </c>
      <c r="AB94" s="1">
        <v>23.4</v>
      </c>
      <c r="AC94" s="1">
        <v>19.8</v>
      </c>
      <c r="AD94" s="1">
        <v>19.600000000000001</v>
      </c>
      <c r="AE94" s="1">
        <v>24.2</v>
      </c>
      <c r="AF94" s="1">
        <v>23.2</v>
      </c>
      <c r="AG94" s="1">
        <v>21.8</v>
      </c>
      <c r="AH94" s="1">
        <v>23.2</v>
      </c>
      <c r="AI94" s="1">
        <v>22.4</v>
      </c>
      <c r="AJ94" s="1">
        <v>26.4</v>
      </c>
      <c r="AK94" s="1">
        <v>33.200000000000003</v>
      </c>
      <c r="AL94" s="1"/>
      <c r="AM94" s="1">
        <f t="shared" si="46"/>
        <v>4</v>
      </c>
      <c r="AN94" s="1">
        <f t="shared" si="47"/>
        <v>6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136</v>
      </c>
      <c r="B95" s="1" t="s">
        <v>42</v>
      </c>
      <c r="C95" s="1">
        <v>213</v>
      </c>
      <c r="D95" s="1">
        <v>1</v>
      </c>
      <c r="E95" s="1">
        <v>173</v>
      </c>
      <c r="F95" s="1">
        <v>35</v>
      </c>
      <c r="G95" s="7">
        <v>0.3</v>
      </c>
      <c r="H95" s="1">
        <v>40</v>
      </c>
      <c r="I95" s="1" t="s">
        <v>37</v>
      </c>
      <c r="J95" s="1"/>
      <c r="K95" s="1">
        <v>174</v>
      </c>
      <c r="L95" s="1">
        <f t="shared" si="40"/>
        <v>-1</v>
      </c>
      <c r="M95" s="1"/>
      <c r="N95" s="1"/>
      <c r="O95" s="1">
        <v>46.700000000000017</v>
      </c>
      <c r="P95" s="1"/>
      <c r="Q95" s="1">
        <v>248.9</v>
      </c>
      <c r="R95" s="1">
        <f t="shared" si="41"/>
        <v>34.6</v>
      </c>
      <c r="S95" s="5">
        <f t="shared" si="52"/>
        <v>67.300000000000011</v>
      </c>
      <c r="T95" s="5">
        <f t="shared" si="43"/>
        <v>67.300000000000011</v>
      </c>
      <c r="U95" s="5">
        <f t="shared" si="44"/>
        <v>67.300000000000011</v>
      </c>
      <c r="V95" s="5"/>
      <c r="W95" s="5"/>
      <c r="X95" s="17"/>
      <c r="Y95" s="17"/>
      <c r="Z95" s="1">
        <f t="shared" si="45"/>
        <v>11.5</v>
      </c>
      <c r="AA95" s="1">
        <f t="shared" si="42"/>
        <v>9.5549132947976876</v>
      </c>
      <c r="AB95" s="1">
        <v>38.4</v>
      </c>
      <c r="AC95" s="1">
        <v>21.8</v>
      </c>
      <c r="AD95" s="1">
        <v>15.4</v>
      </c>
      <c r="AE95" s="1">
        <v>20.2</v>
      </c>
      <c r="AF95" s="1">
        <v>25.2</v>
      </c>
      <c r="AG95" s="1">
        <v>35.799999999999997</v>
      </c>
      <c r="AH95" s="1">
        <v>35.200000000000003</v>
      </c>
      <c r="AI95" s="1">
        <v>21.2</v>
      </c>
      <c r="AJ95" s="1">
        <v>23.2</v>
      </c>
      <c r="AK95" s="1">
        <v>33.799999999999997</v>
      </c>
      <c r="AL95" s="1"/>
      <c r="AM95" s="1">
        <f t="shared" si="46"/>
        <v>20</v>
      </c>
      <c r="AN95" s="1">
        <f t="shared" si="47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0" t="s">
        <v>137</v>
      </c>
      <c r="B96" s="10" t="s">
        <v>36</v>
      </c>
      <c r="C96" s="10">
        <v>16.064</v>
      </c>
      <c r="D96" s="10">
        <v>1.0069999999999999</v>
      </c>
      <c r="E96" s="13">
        <f>16.009+E123</f>
        <v>34.006</v>
      </c>
      <c r="F96" s="13">
        <f>0.055+F123</f>
        <v>79.483000000000004</v>
      </c>
      <c r="G96" s="11">
        <v>0</v>
      </c>
      <c r="H96" s="10">
        <v>55</v>
      </c>
      <c r="I96" s="10" t="s">
        <v>138</v>
      </c>
      <c r="J96" s="10"/>
      <c r="K96" s="10">
        <v>20.3</v>
      </c>
      <c r="L96" s="10">
        <f t="shared" si="40"/>
        <v>13.706</v>
      </c>
      <c r="M96" s="10"/>
      <c r="N96" s="10"/>
      <c r="O96" s="10">
        <v>0</v>
      </c>
      <c r="P96" s="10"/>
      <c r="Q96" s="10">
        <v>0</v>
      </c>
      <c r="R96" s="10">
        <f t="shared" si="41"/>
        <v>6.8011999999999997</v>
      </c>
      <c r="S96" s="12"/>
      <c r="T96" s="5">
        <f t="shared" si="43"/>
        <v>0</v>
      </c>
      <c r="U96" s="5">
        <f t="shared" si="44"/>
        <v>0</v>
      </c>
      <c r="V96" s="5"/>
      <c r="W96" s="5"/>
      <c r="X96" s="17"/>
      <c r="Y96" s="17"/>
      <c r="Z96" s="1">
        <f t="shared" si="45"/>
        <v>11.68661412691878</v>
      </c>
      <c r="AA96" s="10">
        <f t="shared" si="42"/>
        <v>11.68661412691878</v>
      </c>
      <c r="AB96" s="10">
        <v>6.2028000000000008</v>
      </c>
      <c r="AC96" s="10">
        <v>8.6044</v>
      </c>
      <c r="AD96" s="10">
        <v>10.189</v>
      </c>
      <c r="AE96" s="10">
        <v>17.175999999999998</v>
      </c>
      <c r="AF96" s="10">
        <v>17.811599999999999</v>
      </c>
      <c r="AG96" s="10">
        <v>16.019200000000001</v>
      </c>
      <c r="AH96" s="10">
        <v>15.393000000000001</v>
      </c>
      <c r="AI96" s="10">
        <v>14.175000000000001</v>
      </c>
      <c r="AJ96" s="10">
        <v>19.166799999999999</v>
      </c>
      <c r="AK96" s="10">
        <v>18.487400000000001</v>
      </c>
      <c r="AL96" s="10" t="s">
        <v>139</v>
      </c>
      <c r="AM96" s="1">
        <f t="shared" si="46"/>
        <v>0</v>
      </c>
      <c r="AN96" s="1">
        <f t="shared" si="47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0" t="s">
        <v>140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>
        <v>6</v>
      </c>
      <c r="L97" s="10">
        <f t="shared" si="40"/>
        <v>-6</v>
      </c>
      <c r="M97" s="10"/>
      <c r="N97" s="10"/>
      <c r="O97" s="10">
        <v>0</v>
      </c>
      <c r="P97" s="10"/>
      <c r="Q97" s="10">
        <v>0</v>
      </c>
      <c r="R97" s="10">
        <f t="shared" si="41"/>
        <v>0</v>
      </c>
      <c r="S97" s="12"/>
      <c r="T97" s="5">
        <f t="shared" si="43"/>
        <v>0</v>
      </c>
      <c r="U97" s="5">
        <f t="shared" si="44"/>
        <v>0</v>
      </c>
      <c r="V97" s="5"/>
      <c r="W97" s="5"/>
      <c r="X97" s="17"/>
      <c r="Y97" s="17"/>
      <c r="Z97" s="1" t="e">
        <f t="shared" si="45"/>
        <v>#DIV/0!</v>
      </c>
      <c r="AA97" s="10" t="e">
        <f t="shared" si="42"/>
        <v>#DIV/0!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 t="s">
        <v>43</v>
      </c>
      <c r="AM97" s="1">
        <f t="shared" si="46"/>
        <v>0</v>
      </c>
      <c r="AN97" s="1">
        <f t="shared" si="47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0" t="s">
        <v>141</v>
      </c>
      <c r="B98" s="10" t="s">
        <v>42</v>
      </c>
      <c r="C98" s="10"/>
      <c r="D98" s="10"/>
      <c r="E98" s="10"/>
      <c r="F98" s="10"/>
      <c r="G98" s="11">
        <v>0</v>
      </c>
      <c r="H98" s="10">
        <v>30</v>
      </c>
      <c r="I98" s="10" t="s">
        <v>37</v>
      </c>
      <c r="J98" s="10"/>
      <c r="K98" s="10"/>
      <c r="L98" s="10">
        <f t="shared" si="40"/>
        <v>0</v>
      </c>
      <c r="M98" s="10"/>
      <c r="N98" s="10"/>
      <c r="O98" s="10">
        <v>0</v>
      </c>
      <c r="P98" s="10"/>
      <c r="Q98" s="10">
        <v>0</v>
      </c>
      <c r="R98" s="10">
        <f t="shared" si="41"/>
        <v>0</v>
      </c>
      <c r="S98" s="12"/>
      <c r="T98" s="5">
        <f t="shared" si="43"/>
        <v>0</v>
      </c>
      <c r="U98" s="5">
        <f t="shared" si="44"/>
        <v>0</v>
      </c>
      <c r="V98" s="5"/>
      <c r="W98" s="5"/>
      <c r="X98" s="17"/>
      <c r="Y98" s="17"/>
      <c r="Z98" s="1" t="e">
        <f t="shared" si="45"/>
        <v>#DIV/0!</v>
      </c>
      <c r="AA98" s="10" t="e">
        <f t="shared" si="42"/>
        <v>#DIV/0!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 t="s">
        <v>43</v>
      </c>
      <c r="AM98" s="1">
        <f t="shared" si="46"/>
        <v>0</v>
      </c>
      <c r="AN98" s="1">
        <f t="shared" si="47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 t="s">
        <v>142</v>
      </c>
      <c r="B99" s="1" t="s">
        <v>42</v>
      </c>
      <c r="C99" s="1">
        <v>78</v>
      </c>
      <c r="D99" s="1">
        <v>286</v>
      </c>
      <c r="E99" s="1">
        <v>288</v>
      </c>
      <c r="F99" s="1">
        <v>-16</v>
      </c>
      <c r="G99" s="7">
        <v>0.08</v>
      </c>
      <c r="H99" s="1">
        <v>45</v>
      </c>
      <c r="I99" s="1" t="s">
        <v>37</v>
      </c>
      <c r="J99" s="1"/>
      <c r="K99" s="1">
        <v>325</v>
      </c>
      <c r="L99" s="1">
        <f t="shared" si="40"/>
        <v>-37</v>
      </c>
      <c r="M99" s="1"/>
      <c r="N99" s="1"/>
      <c r="O99" s="1">
        <v>154.44041300000001</v>
      </c>
      <c r="P99" s="1">
        <v>157.245587</v>
      </c>
      <c r="Q99" s="1">
        <v>172.41399999999999</v>
      </c>
      <c r="R99" s="1">
        <f t="shared" si="41"/>
        <v>57.6</v>
      </c>
      <c r="S99" s="5">
        <f t="shared" ref="S99:S102" si="53">11.5*R99-Q99-P99-O99-F99</f>
        <v>194.29999999999998</v>
      </c>
      <c r="T99" s="5">
        <f t="shared" si="43"/>
        <v>194.29999999999998</v>
      </c>
      <c r="U99" s="5">
        <f t="shared" si="44"/>
        <v>77.525700000000001</v>
      </c>
      <c r="V99" s="5">
        <f t="shared" ref="V99:V100" si="54">T99*$V$1</f>
        <v>116.77429999999998</v>
      </c>
      <c r="W99" s="5"/>
      <c r="X99" s="17"/>
      <c r="Y99" s="17"/>
      <c r="Z99" s="1">
        <f t="shared" si="45"/>
        <v>11.5</v>
      </c>
      <c r="AA99" s="1">
        <f t="shared" si="42"/>
        <v>8.1267361111111107</v>
      </c>
      <c r="AB99" s="1">
        <v>58</v>
      </c>
      <c r="AC99" s="1">
        <v>53</v>
      </c>
      <c r="AD99" s="1">
        <v>45</v>
      </c>
      <c r="AE99" s="1">
        <v>43.8</v>
      </c>
      <c r="AF99" s="1">
        <v>45.2</v>
      </c>
      <c r="AG99" s="1">
        <v>46.8</v>
      </c>
      <c r="AH99" s="1">
        <v>48.4</v>
      </c>
      <c r="AI99" s="1">
        <v>49.6</v>
      </c>
      <c r="AJ99" s="1">
        <v>51.6</v>
      </c>
      <c r="AK99" s="1">
        <v>58.6</v>
      </c>
      <c r="AL99" s="1"/>
      <c r="AM99" s="1">
        <f t="shared" si="46"/>
        <v>6</v>
      </c>
      <c r="AN99" s="1">
        <f t="shared" si="47"/>
        <v>9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 t="s">
        <v>143</v>
      </c>
      <c r="B100" s="1" t="s">
        <v>42</v>
      </c>
      <c r="C100" s="1">
        <v>68</v>
      </c>
      <c r="D100" s="1">
        <v>268</v>
      </c>
      <c r="E100" s="1">
        <v>215</v>
      </c>
      <c r="F100" s="1">
        <v>51</v>
      </c>
      <c r="G100" s="7">
        <v>0.08</v>
      </c>
      <c r="H100" s="1">
        <v>45</v>
      </c>
      <c r="I100" s="1" t="s">
        <v>37</v>
      </c>
      <c r="J100" s="1"/>
      <c r="K100" s="1">
        <v>231</v>
      </c>
      <c r="L100" s="1">
        <f t="shared" si="40"/>
        <v>-16</v>
      </c>
      <c r="M100" s="1"/>
      <c r="N100" s="1"/>
      <c r="O100" s="1">
        <v>130.97155100000001</v>
      </c>
      <c r="P100" s="1">
        <v>133.350449</v>
      </c>
      <c r="Q100" s="1">
        <v>42.56</v>
      </c>
      <c r="R100" s="1">
        <f t="shared" si="41"/>
        <v>43</v>
      </c>
      <c r="S100" s="5">
        <f t="shared" si="53"/>
        <v>136.61800000000002</v>
      </c>
      <c r="T100" s="5">
        <f t="shared" si="43"/>
        <v>136.61800000000002</v>
      </c>
      <c r="U100" s="5">
        <f t="shared" si="44"/>
        <v>54.510582000000014</v>
      </c>
      <c r="V100" s="5">
        <f t="shared" si="54"/>
        <v>82.10741800000001</v>
      </c>
      <c r="W100" s="5"/>
      <c r="X100" s="17"/>
      <c r="Y100" s="17"/>
      <c r="Z100" s="1">
        <f t="shared" si="45"/>
        <v>11.5</v>
      </c>
      <c r="AA100" s="1">
        <f t="shared" si="42"/>
        <v>8.3228372093023264</v>
      </c>
      <c r="AB100" s="1">
        <v>44.8</v>
      </c>
      <c r="AC100" s="1">
        <v>45.2</v>
      </c>
      <c r="AD100" s="1">
        <v>38.200000000000003</v>
      </c>
      <c r="AE100" s="1">
        <v>41</v>
      </c>
      <c r="AF100" s="1">
        <v>38.6</v>
      </c>
      <c r="AG100" s="1">
        <v>37.6</v>
      </c>
      <c r="AH100" s="1">
        <v>37.6</v>
      </c>
      <c r="AI100" s="1">
        <v>38.6</v>
      </c>
      <c r="AJ100" s="1">
        <v>42.2</v>
      </c>
      <c r="AK100" s="1">
        <v>49</v>
      </c>
      <c r="AL100" s="1"/>
      <c r="AM100" s="1">
        <f t="shared" si="46"/>
        <v>4</v>
      </c>
      <c r="AN100" s="1">
        <f t="shared" si="47"/>
        <v>7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144</v>
      </c>
      <c r="B101" s="1" t="s">
        <v>42</v>
      </c>
      <c r="C101" s="1">
        <v>41</v>
      </c>
      <c r="D101" s="1">
        <v>13</v>
      </c>
      <c r="E101" s="1">
        <v>34</v>
      </c>
      <c r="F101" s="1">
        <v>8</v>
      </c>
      <c r="G101" s="7">
        <v>0.17</v>
      </c>
      <c r="H101" s="1">
        <v>30</v>
      </c>
      <c r="I101" s="9" t="s">
        <v>40</v>
      </c>
      <c r="J101" s="1"/>
      <c r="K101" s="1">
        <v>35</v>
      </c>
      <c r="L101" s="1">
        <f t="shared" si="40"/>
        <v>-1</v>
      </c>
      <c r="M101" s="1"/>
      <c r="N101" s="1"/>
      <c r="O101" s="1">
        <v>0</v>
      </c>
      <c r="P101" s="1"/>
      <c r="Q101" s="1">
        <v>43</v>
      </c>
      <c r="R101" s="1">
        <f t="shared" si="41"/>
        <v>6.8</v>
      </c>
      <c r="S101" s="5">
        <f t="shared" si="53"/>
        <v>27.200000000000003</v>
      </c>
      <c r="T101" s="5">
        <f t="shared" si="43"/>
        <v>27.200000000000003</v>
      </c>
      <c r="U101" s="5">
        <f t="shared" si="44"/>
        <v>27.200000000000003</v>
      </c>
      <c r="V101" s="5"/>
      <c r="W101" s="5"/>
      <c r="X101" s="17"/>
      <c r="Y101" s="17"/>
      <c r="Z101" s="1">
        <f t="shared" si="45"/>
        <v>11.5</v>
      </c>
      <c r="AA101" s="1">
        <f t="shared" si="42"/>
        <v>7.5</v>
      </c>
      <c r="AB101" s="1">
        <v>6</v>
      </c>
      <c r="AC101" s="1">
        <v>0.2</v>
      </c>
      <c r="AD101" s="1">
        <v>0.8</v>
      </c>
      <c r="AE101" s="1">
        <v>-0.6</v>
      </c>
      <c r="AF101" s="1">
        <v>-0.2</v>
      </c>
      <c r="AG101" s="1">
        <v>3.6</v>
      </c>
      <c r="AH101" s="1">
        <v>5</v>
      </c>
      <c r="AI101" s="1">
        <v>2.2000000000000002</v>
      </c>
      <c r="AJ101" s="1">
        <v>1.2</v>
      </c>
      <c r="AK101" s="1">
        <v>2</v>
      </c>
      <c r="AL101" s="1" t="s">
        <v>145</v>
      </c>
      <c r="AM101" s="1">
        <f t="shared" si="46"/>
        <v>5</v>
      </c>
      <c r="AN101" s="1">
        <f t="shared" si="47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 t="s">
        <v>146</v>
      </c>
      <c r="B102" s="1" t="s">
        <v>36</v>
      </c>
      <c r="C102" s="1">
        <v>2.6589999999999998</v>
      </c>
      <c r="D102" s="1">
        <v>767.22699999999998</v>
      </c>
      <c r="E102" s="1">
        <v>470.18900000000002</v>
      </c>
      <c r="F102" s="1">
        <v>4.1840000000000002</v>
      </c>
      <c r="G102" s="7">
        <v>1</v>
      </c>
      <c r="H102" s="1">
        <v>40</v>
      </c>
      <c r="I102" s="9" t="s">
        <v>40</v>
      </c>
      <c r="J102" s="1"/>
      <c r="K102" s="1">
        <v>634.79999999999995</v>
      </c>
      <c r="L102" s="1">
        <f t="shared" ref="L102:L133" si="55">E102-K102</f>
        <v>-164.61099999999993</v>
      </c>
      <c r="M102" s="1"/>
      <c r="N102" s="1"/>
      <c r="O102" s="1">
        <v>521.54050700000005</v>
      </c>
      <c r="P102" s="1">
        <v>531.01349300000004</v>
      </c>
      <c r="Q102" s="1">
        <v>0</v>
      </c>
      <c r="R102" s="1">
        <f t="shared" ref="R102:R133" si="56">E102/5</f>
        <v>94.037800000000004</v>
      </c>
      <c r="S102" s="5">
        <f t="shared" si="53"/>
        <v>24.696699999999932</v>
      </c>
      <c r="T102" s="5">
        <f>X102</f>
        <v>450</v>
      </c>
      <c r="U102" s="5">
        <f t="shared" si="44"/>
        <v>179.55</v>
      </c>
      <c r="V102" s="5">
        <f t="shared" ref="V102:V104" si="57">T102*$V$1</f>
        <v>270.45</v>
      </c>
      <c r="W102" s="5"/>
      <c r="X102" s="17">
        <f>VLOOKUP(A102,[1]Sheet!$A:$U,20,0)</f>
        <v>450</v>
      </c>
      <c r="Y102" s="17" t="str">
        <f>VLOOKUP(A102,[1]Sheet!$A:$U,21,0)</f>
        <v>промо</v>
      </c>
      <c r="Z102" s="1">
        <f t="shared" si="45"/>
        <v>16.022684494958412</v>
      </c>
      <c r="AA102" s="1">
        <f t="shared" ref="AA102:AA133" si="58">(F102+O102+P102+Q102)/R102</f>
        <v>11.237374757810157</v>
      </c>
      <c r="AB102" s="1">
        <v>85.136200000000002</v>
      </c>
      <c r="AC102" s="1">
        <v>180.54419999999999</v>
      </c>
      <c r="AD102" s="1">
        <v>136.57839999999999</v>
      </c>
      <c r="AE102" s="1">
        <v>26.54</v>
      </c>
      <c r="AF102" s="1">
        <v>85.914999999999992</v>
      </c>
      <c r="AG102" s="1">
        <v>95.000599999999991</v>
      </c>
      <c r="AH102" s="1">
        <v>36.310600000000001</v>
      </c>
      <c r="AI102" s="1">
        <v>67.372</v>
      </c>
      <c r="AJ102" s="1">
        <v>87.045000000000002</v>
      </c>
      <c r="AK102" s="1">
        <v>19.298999999999999</v>
      </c>
      <c r="AL102" s="1"/>
      <c r="AM102" s="1">
        <f t="shared" si="46"/>
        <v>180</v>
      </c>
      <c r="AN102" s="1">
        <f t="shared" si="47"/>
        <v>270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 t="s">
        <v>147</v>
      </c>
      <c r="B103" s="1" t="s">
        <v>36</v>
      </c>
      <c r="C103" s="1">
        <v>5.6310000000000002</v>
      </c>
      <c r="D103" s="1">
        <v>1703.6569999999999</v>
      </c>
      <c r="E103" s="1">
        <v>894.99800000000005</v>
      </c>
      <c r="F103" s="1">
        <v>438.95</v>
      </c>
      <c r="G103" s="7">
        <v>1</v>
      </c>
      <c r="H103" s="1">
        <v>40</v>
      </c>
      <c r="I103" s="9" t="s">
        <v>40</v>
      </c>
      <c r="J103" s="1"/>
      <c r="K103" s="1">
        <v>931.7</v>
      </c>
      <c r="L103" s="1">
        <f t="shared" si="55"/>
        <v>-36.701999999999998</v>
      </c>
      <c r="M103" s="1"/>
      <c r="N103" s="1"/>
      <c r="O103" s="1">
        <v>0</v>
      </c>
      <c r="P103" s="1"/>
      <c r="Q103" s="1">
        <v>293.42634999999967</v>
      </c>
      <c r="R103" s="1">
        <f t="shared" si="56"/>
        <v>178.99960000000002</v>
      </c>
      <c r="S103" s="5">
        <f>10.5*R103-Q103-P103-O103-F103</f>
        <v>1147.1194500000004</v>
      </c>
      <c r="T103" s="5">
        <f>S103+R103*$T$1</f>
        <v>1071.9396180000003</v>
      </c>
      <c r="U103" s="5">
        <f t="shared" si="44"/>
        <v>427.70390758200017</v>
      </c>
      <c r="V103" s="5">
        <f t="shared" si="57"/>
        <v>644.23571041800017</v>
      </c>
      <c r="W103" s="5"/>
      <c r="X103" s="17"/>
      <c r="Y103" s="17"/>
      <c r="Z103" s="1">
        <f t="shared" si="45"/>
        <v>10.079999999999998</v>
      </c>
      <c r="AA103" s="1">
        <f t="shared" si="58"/>
        <v>4.0914971318371638</v>
      </c>
      <c r="AB103" s="1">
        <v>121.483</v>
      </c>
      <c r="AC103" s="1">
        <v>79.496600000000001</v>
      </c>
      <c r="AD103" s="1">
        <v>111.6002</v>
      </c>
      <c r="AE103" s="1">
        <v>179.07859999999999</v>
      </c>
      <c r="AF103" s="1">
        <v>196.54900000000001</v>
      </c>
      <c r="AG103" s="1">
        <v>84.728999999999999</v>
      </c>
      <c r="AH103" s="1">
        <v>37.037599999999998</v>
      </c>
      <c r="AI103" s="1">
        <v>99.776600000000002</v>
      </c>
      <c r="AJ103" s="1">
        <v>121.7056</v>
      </c>
      <c r="AK103" s="1">
        <v>49.871600000000001</v>
      </c>
      <c r="AL103" s="1"/>
      <c r="AM103" s="1">
        <f t="shared" si="46"/>
        <v>428</v>
      </c>
      <c r="AN103" s="1">
        <f t="shared" si="47"/>
        <v>644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 t="s">
        <v>148</v>
      </c>
      <c r="B104" s="1" t="s">
        <v>36</v>
      </c>
      <c r="C104" s="1"/>
      <c r="D104" s="1">
        <v>315.36900000000003</v>
      </c>
      <c r="E104" s="1">
        <v>303.83999999999997</v>
      </c>
      <c r="F104" s="1">
        <v>-1.605</v>
      </c>
      <c r="G104" s="7">
        <v>1</v>
      </c>
      <c r="H104" s="1">
        <v>40</v>
      </c>
      <c r="I104" s="9" t="s">
        <v>40</v>
      </c>
      <c r="J104" s="1"/>
      <c r="K104" s="1">
        <v>533.5</v>
      </c>
      <c r="L104" s="1">
        <f t="shared" si="55"/>
        <v>-229.66000000000003</v>
      </c>
      <c r="M104" s="1"/>
      <c r="N104" s="1"/>
      <c r="O104" s="1">
        <v>87.082800000000034</v>
      </c>
      <c r="P104" s="1"/>
      <c r="Q104" s="1">
        <v>31.503849999999979</v>
      </c>
      <c r="R104" s="1">
        <f t="shared" si="56"/>
        <v>60.767999999999994</v>
      </c>
      <c r="S104" s="5">
        <f>8.5*R104-Q104-P104-O104-F104</f>
        <v>399.5463499999999</v>
      </c>
      <c r="T104" s="5">
        <f>X104</f>
        <v>550</v>
      </c>
      <c r="U104" s="5">
        <f t="shared" si="44"/>
        <v>219.45</v>
      </c>
      <c r="V104" s="5">
        <f t="shared" si="57"/>
        <v>330.55</v>
      </c>
      <c r="W104" s="5"/>
      <c r="X104" s="17">
        <f>VLOOKUP(A104,[1]Sheet!$A:$U,20,0)</f>
        <v>550</v>
      </c>
      <c r="Y104" s="17" t="str">
        <f>VLOOKUP(A104,[1]Sheet!$A:$U,21,0)</f>
        <v>промо</v>
      </c>
      <c r="Z104" s="1">
        <f t="shared" si="45"/>
        <v>10.975869701158505</v>
      </c>
      <c r="AA104" s="1">
        <f t="shared" si="58"/>
        <v>1.92505348209584</v>
      </c>
      <c r="AB104" s="1">
        <v>26.117000000000001</v>
      </c>
      <c r="AC104" s="1">
        <v>34.499200000000002</v>
      </c>
      <c r="AD104" s="1">
        <v>34.926200000000001</v>
      </c>
      <c r="AE104" s="1">
        <v>10.3934</v>
      </c>
      <c r="AF104" s="1">
        <v>9.5038</v>
      </c>
      <c r="AG104" s="1">
        <v>-0.74480000000000002</v>
      </c>
      <c r="AH104" s="1">
        <v>-0.85359999999999991</v>
      </c>
      <c r="AI104" s="1">
        <v>-2.0251999999999999</v>
      </c>
      <c r="AJ104" s="1">
        <v>-1.8894</v>
      </c>
      <c r="AK104" s="1">
        <v>-2.2866</v>
      </c>
      <c r="AL104" s="1"/>
      <c r="AM104" s="1">
        <f t="shared" si="46"/>
        <v>219</v>
      </c>
      <c r="AN104" s="1">
        <f t="shared" si="47"/>
        <v>331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0" t="s">
        <v>149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55"/>
        <v>0</v>
      </c>
      <c r="M105" s="10"/>
      <c r="N105" s="10"/>
      <c r="O105" s="10">
        <v>0</v>
      </c>
      <c r="P105" s="10"/>
      <c r="Q105" s="10">
        <v>0</v>
      </c>
      <c r="R105" s="10">
        <f t="shared" si="56"/>
        <v>0</v>
      </c>
      <c r="S105" s="12"/>
      <c r="T105" s="5">
        <f t="shared" si="43"/>
        <v>0</v>
      </c>
      <c r="U105" s="5">
        <f t="shared" si="44"/>
        <v>0</v>
      </c>
      <c r="V105" s="5"/>
      <c r="W105" s="5"/>
      <c r="X105" s="17"/>
      <c r="Y105" s="17"/>
      <c r="Z105" s="1" t="e">
        <f t="shared" si="45"/>
        <v>#DIV/0!</v>
      </c>
      <c r="AA105" s="10" t="e">
        <f t="shared" si="58"/>
        <v>#DIV/0!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 t="s">
        <v>150</v>
      </c>
      <c r="AM105" s="1">
        <f t="shared" si="46"/>
        <v>0</v>
      </c>
      <c r="AN105" s="1">
        <f t="shared" si="47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151</v>
      </c>
      <c r="B106" s="1" t="s">
        <v>36</v>
      </c>
      <c r="C106" s="1">
        <v>21.356999999999999</v>
      </c>
      <c r="D106" s="1">
        <v>43.372</v>
      </c>
      <c r="E106" s="1">
        <v>8.17</v>
      </c>
      <c r="F106" s="1">
        <v>55.238</v>
      </c>
      <c r="G106" s="7">
        <v>1</v>
      </c>
      <c r="H106" s="1">
        <v>55</v>
      </c>
      <c r="I106" s="9" t="s">
        <v>40</v>
      </c>
      <c r="J106" s="1"/>
      <c r="K106" s="1">
        <v>8</v>
      </c>
      <c r="L106" s="1">
        <f t="shared" si="55"/>
        <v>0.16999999999999993</v>
      </c>
      <c r="M106" s="1"/>
      <c r="N106" s="1"/>
      <c r="O106" s="1">
        <v>0</v>
      </c>
      <c r="P106" s="1"/>
      <c r="Q106" s="1">
        <v>0</v>
      </c>
      <c r="R106" s="1">
        <f t="shared" si="56"/>
        <v>1.6339999999999999</v>
      </c>
      <c r="S106" s="5"/>
      <c r="T106" s="5">
        <f t="shared" si="43"/>
        <v>0</v>
      </c>
      <c r="U106" s="5">
        <f t="shared" si="44"/>
        <v>0</v>
      </c>
      <c r="V106" s="5"/>
      <c r="W106" s="5"/>
      <c r="X106" s="17"/>
      <c r="Y106" s="17"/>
      <c r="Z106" s="1">
        <f t="shared" si="45"/>
        <v>33.805385556915546</v>
      </c>
      <c r="AA106" s="1">
        <f t="shared" si="58"/>
        <v>33.805385556915546</v>
      </c>
      <c r="AB106" s="1">
        <v>2.1850000000000001</v>
      </c>
      <c r="AC106" s="1">
        <v>1.0946</v>
      </c>
      <c r="AD106" s="1">
        <v>0.54359999999999997</v>
      </c>
      <c r="AE106" s="1">
        <v>4.95</v>
      </c>
      <c r="AF106" s="1">
        <v>4.95</v>
      </c>
      <c r="AG106" s="1">
        <v>2.1389999999999998</v>
      </c>
      <c r="AH106" s="1">
        <v>2.1389999999999998</v>
      </c>
      <c r="AI106" s="1">
        <v>3.8119999999999998</v>
      </c>
      <c r="AJ106" s="1">
        <v>4.6360000000000001</v>
      </c>
      <c r="AK106" s="1">
        <v>0.82400000000000007</v>
      </c>
      <c r="AL106" s="16" t="s">
        <v>188</v>
      </c>
      <c r="AM106" s="1">
        <f t="shared" si="46"/>
        <v>0</v>
      </c>
      <c r="AN106" s="1">
        <f t="shared" si="47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 t="s">
        <v>152</v>
      </c>
      <c r="B107" s="1" t="s">
        <v>42</v>
      </c>
      <c r="C107" s="1">
        <v>146</v>
      </c>
      <c r="D107" s="1">
        <v>358</v>
      </c>
      <c r="E107" s="1">
        <v>251</v>
      </c>
      <c r="F107" s="1">
        <v>151</v>
      </c>
      <c r="G107" s="7">
        <v>0.28000000000000003</v>
      </c>
      <c r="H107" s="1">
        <v>40</v>
      </c>
      <c r="I107" s="9" t="s">
        <v>40</v>
      </c>
      <c r="J107" s="1"/>
      <c r="K107" s="1">
        <v>514</v>
      </c>
      <c r="L107" s="1">
        <f t="shared" si="55"/>
        <v>-263</v>
      </c>
      <c r="M107" s="1"/>
      <c r="N107" s="1"/>
      <c r="O107" s="1">
        <v>79</v>
      </c>
      <c r="P107" s="1"/>
      <c r="Q107" s="1">
        <v>0</v>
      </c>
      <c r="R107" s="1">
        <f t="shared" si="56"/>
        <v>50.2</v>
      </c>
      <c r="S107" s="5">
        <f>10.5*R107-Q107-P107-O107-F107</f>
        <v>297.10000000000002</v>
      </c>
      <c r="T107" s="5">
        <f>S107+R107*$T$1</f>
        <v>276.01600000000002</v>
      </c>
      <c r="U107" s="5">
        <f t="shared" si="44"/>
        <v>110.13038400000002</v>
      </c>
      <c r="V107" s="5">
        <f>T107*$V$1</f>
        <v>165.885616</v>
      </c>
      <c r="W107" s="5"/>
      <c r="X107" s="17"/>
      <c r="Y107" s="17"/>
      <c r="Z107" s="1">
        <f t="shared" si="45"/>
        <v>10.08</v>
      </c>
      <c r="AA107" s="1">
        <f t="shared" si="58"/>
        <v>4.5816733067729078</v>
      </c>
      <c r="AB107" s="1">
        <v>3.6</v>
      </c>
      <c r="AC107" s="1">
        <v>50</v>
      </c>
      <c r="AD107" s="1">
        <v>59.4</v>
      </c>
      <c r="AE107" s="1">
        <v>7.2</v>
      </c>
      <c r="AF107" s="1">
        <v>-1.8</v>
      </c>
      <c r="AG107" s="1">
        <v>60.2</v>
      </c>
      <c r="AH107" s="1">
        <v>110.8</v>
      </c>
      <c r="AI107" s="1">
        <v>85.6</v>
      </c>
      <c r="AJ107" s="1">
        <v>33</v>
      </c>
      <c r="AK107" s="1">
        <v>-2.8</v>
      </c>
      <c r="AL107" s="1"/>
      <c r="AM107" s="1">
        <f t="shared" si="46"/>
        <v>31</v>
      </c>
      <c r="AN107" s="1">
        <f t="shared" si="47"/>
        <v>46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0" t="s">
        <v>153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40</v>
      </c>
      <c r="J108" s="10"/>
      <c r="K108" s="10"/>
      <c r="L108" s="10">
        <f t="shared" si="55"/>
        <v>0</v>
      </c>
      <c r="M108" s="10"/>
      <c r="N108" s="10"/>
      <c r="O108" s="10">
        <v>0</v>
      </c>
      <c r="P108" s="10"/>
      <c r="Q108" s="10">
        <v>0</v>
      </c>
      <c r="R108" s="10">
        <f t="shared" si="56"/>
        <v>0</v>
      </c>
      <c r="S108" s="12"/>
      <c r="T108" s="5">
        <f t="shared" si="43"/>
        <v>0</v>
      </c>
      <c r="U108" s="5">
        <f t="shared" si="44"/>
        <v>0</v>
      </c>
      <c r="V108" s="5"/>
      <c r="W108" s="5"/>
      <c r="X108" s="17"/>
      <c r="Y108" s="17"/>
      <c r="Z108" s="1" t="e">
        <f t="shared" si="45"/>
        <v>#DIV/0!</v>
      </c>
      <c r="AA108" s="10" t="e">
        <f t="shared" si="58"/>
        <v>#DIV/0!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 t="s">
        <v>43</v>
      </c>
      <c r="AM108" s="1">
        <f t="shared" si="46"/>
        <v>0</v>
      </c>
      <c r="AN108" s="1">
        <f t="shared" si="47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154</v>
      </c>
      <c r="B109" s="1" t="s">
        <v>42</v>
      </c>
      <c r="C109" s="1">
        <v>144</v>
      </c>
      <c r="D109" s="1">
        <v>206</v>
      </c>
      <c r="E109" s="1">
        <v>196</v>
      </c>
      <c r="F109" s="1">
        <v>145</v>
      </c>
      <c r="G109" s="7">
        <v>0.28000000000000003</v>
      </c>
      <c r="H109" s="1">
        <v>40</v>
      </c>
      <c r="I109" s="9" t="s">
        <v>40</v>
      </c>
      <c r="J109" s="1"/>
      <c r="K109" s="1">
        <v>526</v>
      </c>
      <c r="L109" s="1">
        <f t="shared" si="55"/>
        <v>-330</v>
      </c>
      <c r="M109" s="1"/>
      <c r="N109" s="1"/>
      <c r="O109" s="1">
        <v>0</v>
      </c>
      <c r="P109" s="1"/>
      <c r="Q109" s="1">
        <v>0</v>
      </c>
      <c r="R109" s="1">
        <f t="shared" si="56"/>
        <v>39.200000000000003</v>
      </c>
      <c r="S109" s="5">
        <f>9.5*R109-Q109-P109-O109-F109</f>
        <v>227.40000000000003</v>
      </c>
      <c r="T109" s="5">
        <f>S109+R109*$T$1</f>
        <v>210.93600000000004</v>
      </c>
      <c r="U109" s="5">
        <f t="shared" si="44"/>
        <v>84.163464000000019</v>
      </c>
      <c r="V109" s="5">
        <f>T109*$V$1</f>
        <v>126.77253600000002</v>
      </c>
      <c r="W109" s="5"/>
      <c r="X109" s="17"/>
      <c r="Y109" s="17"/>
      <c r="Z109" s="1">
        <f t="shared" si="45"/>
        <v>9.08</v>
      </c>
      <c r="AA109" s="1">
        <f t="shared" si="58"/>
        <v>3.6989795918367343</v>
      </c>
      <c r="AB109" s="1">
        <v>5</v>
      </c>
      <c r="AC109" s="1">
        <v>16.600000000000001</v>
      </c>
      <c r="AD109" s="1">
        <v>23.2</v>
      </c>
      <c r="AE109" s="1">
        <v>5.2</v>
      </c>
      <c r="AF109" s="1">
        <v>-1.4</v>
      </c>
      <c r="AG109" s="1">
        <v>38.6</v>
      </c>
      <c r="AH109" s="1">
        <v>63</v>
      </c>
      <c r="AI109" s="1">
        <v>37.6</v>
      </c>
      <c r="AJ109" s="1">
        <v>11.4</v>
      </c>
      <c r="AK109" s="1">
        <v>18.600000000000001</v>
      </c>
      <c r="AL109" s="1"/>
      <c r="AM109" s="1">
        <f t="shared" si="46"/>
        <v>24</v>
      </c>
      <c r="AN109" s="1">
        <f t="shared" si="47"/>
        <v>35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 t="s">
        <v>155</v>
      </c>
      <c r="B110" s="1" t="s">
        <v>42</v>
      </c>
      <c r="C110" s="1">
        <v>73</v>
      </c>
      <c r="D110" s="1">
        <v>122</v>
      </c>
      <c r="E110" s="1">
        <v>102</v>
      </c>
      <c r="F110" s="1">
        <v>65</v>
      </c>
      <c r="G110" s="7">
        <v>0.09</v>
      </c>
      <c r="H110" s="1"/>
      <c r="I110" s="1" t="s">
        <v>37</v>
      </c>
      <c r="J110" s="1"/>
      <c r="K110" s="1">
        <v>108</v>
      </c>
      <c r="L110" s="1">
        <f t="shared" si="55"/>
        <v>-6</v>
      </c>
      <c r="M110" s="1"/>
      <c r="N110" s="1"/>
      <c r="O110" s="1">
        <v>93.952000000000027</v>
      </c>
      <c r="P110" s="1"/>
      <c r="Q110" s="1">
        <v>57.847999999999971</v>
      </c>
      <c r="R110" s="1">
        <f t="shared" si="56"/>
        <v>20.399999999999999</v>
      </c>
      <c r="S110" s="5">
        <f t="shared" ref="S110" si="59">11.5*R110-Q110-P110-O110-F110</f>
        <v>17.799999999999983</v>
      </c>
      <c r="T110" s="5">
        <f t="shared" si="43"/>
        <v>17.799999999999983</v>
      </c>
      <c r="U110" s="5">
        <f t="shared" si="44"/>
        <v>17.799999999999983</v>
      </c>
      <c r="V110" s="5"/>
      <c r="W110" s="5"/>
      <c r="X110" s="17"/>
      <c r="Y110" s="17"/>
      <c r="Z110" s="1">
        <f t="shared" si="45"/>
        <v>11.5</v>
      </c>
      <c r="AA110" s="1">
        <f t="shared" si="58"/>
        <v>10.627450980392158</v>
      </c>
      <c r="AB110" s="1">
        <v>24</v>
      </c>
      <c r="AC110" s="1">
        <v>21.8</v>
      </c>
      <c r="AD110" s="1">
        <v>21</v>
      </c>
      <c r="AE110" s="1">
        <v>21</v>
      </c>
      <c r="AF110" s="1">
        <v>21.6</v>
      </c>
      <c r="AG110" s="1">
        <v>22.4</v>
      </c>
      <c r="AH110" s="1">
        <v>19.8</v>
      </c>
      <c r="AI110" s="1">
        <v>19.600000000000001</v>
      </c>
      <c r="AJ110" s="1">
        <v>24</v>
      </c>
      <c r="AK110" s="1">
        <v>23.2</v>
      </c>
      <c r="AL110" s="1"/>
      <c r="AM110" s="1">
        <f t="shared" si="46"/>
        <v>2</v>
      </c>
      <c r="AN110" s="1">
        <f t="shared" si="47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 t="s">
        <v>156</v>
      </c>
      <c r="B111" s="1" t="s">
        <v>36</v>
      </c>
      <c r="C111" s="1">
        <v>324.89100000000002</v>
      </c>
      <c r="D111" s="1">
        <v>106.657</v>
      </c>
      <c r="E111" s="1">
        <v>69.741</v>
      </c>
      <c r="F111" s="1">
        <v>197.65700000000001</v>
      </c>
      <c r="G111" s="7">
        <v>1</v>
      </c>
      <c r="H111" s="1">
        <v>60</v>
      </c>
      <c r="I111" s="1" t="s">
        <v>37</v>
      </c>
      <c r="J111" s="1"/>
      <c r="K111" s="1">
        <v>70</v>
      </c>
      <c r="L111" s="1">
        <f t="shared" si="55"/>
        <v>-0.25900000000000034</v>
      </c>
      <c r="M111" s="1"/>
      <c r="N111" s="1"/>
      <c r="O111" s="1">
        <v>0</v>
      </c>
      <c r="P111" s="1"/>
      <c r="Q111" s="1">
        <v>0</v>
      </c>
      <c r="R111" s="1">
        <f t="shared" si="56"/>
        <v>13.9482</v>
      </c>
      <c r="S111" s="5"/>
      <c r="T111" s="5">
        <f t="shared" si="43"/>
        <v>0</v>
      </c>
      <c r="U111" s="5">
        <f t="shared" si="44"/>
        <v>0</v>
      </c>
      <c r="V111" s="5"/>
      <c r="W111" s="5"/>
      <c r="X111" s="17"/>
      <c r="Y111" s="17"/>
      <c r="Z111" s="1">
        <f t="shared" si="45"/>
        <v>14.170789062387978</v>
      </c>
      <c r="AA111" s="1">
        <f t="shared" si="58"/>
        <v>14.170789062387978</v>
      </c>
      <c r="AB111" s="1">
        <v>14.5182</v>
      </c>
      <c r="AC111" s="1">
        <v>12.6028</v>
      </c>
      <c r="AD111" s="1">
        <v>11.6654</v>
      </c>
      <c r="AE111" s="1">
        <v>14.174200000000001</v>
      </c>
      <c r="AF111" s="1">
        <v>45.174799999999998</v>
      </c>
      <c r="AG111" s="1">
        <v>44.218200000000003</v>
      </c>
      <c r="AH111" s="1">
        <v>10.622999999999999</v>
      </c>
      <c r="AI111" s="1">
        <v>11.144600000000001</v>
      </c>
      <c r="AJ111" s="1">
        <v>19.508400000000002</v>
      </c>
      <c r="AK111" s="1">
        <v>24.999600000000001</v>
      </c>
      <c r="AL111" s="16" t="s">
        <v>139</v>
      </c>
      <c r="AM111" s="1">
        <f t="shared" si="46"/>
        <v>0</v>
      </c>
      <c r="AN111" s="1">
        <f t="shared" si="47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 t="s">
        <v>157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5</v>
      </c>
      <c r="L112" s="1">
        <f t="shared" si="55"/>
        <v>-5</v>
      </c>
      <c r="M112" s="1"/>
      <c r="N112" s="1"/>
      <c r="O112" s="1">
        <v>0</v>
      </c>
      <c r="P112" s="1"/>
      <c r="Q112" s="1">
        <v>0</v>
      </c>
      <c r="R112" s="1">
        <f t="shared" si="56"/>
        <v>0</v>
      </c>
      <c r="S112" s="5"/>
      <c r="T112" s="5">
        <f t="shared" si="43"/>
        <v>0</v>
      </c>
      <c r="U112" s="5">
        <f t="shared" si="44"/>
        <v>0</v>
      </c>
      <c r="V112" s="5"/>
      <c r="W112" s="5"/>
      <c r="X112" s="17"/>
      <c r="Y112" s="17"/>
      <c r="Z112" s="1" t="e">
        <f t="shared" si="45"/>
        <v>#DIV/0!</v>
      </c>
      <c r="AA112" s="1" t="e">
        <f t="shared" si="58"/>
        <v>#DIV/0!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-0.3352</v>
      </c>
      <c r="AI112" s="1">
        <v>-0.3352</v>
      </c>
      <c r="AJ112" s="1">
        <v>0</v>
      </c>
      <c r="AK112" s="1">
        <v>0</v>
      </c>
      <c r="AL112" s="14" t="s">
        <v>123</v>
      </c>
      <c r="AM112" s="1">
        <f t="shared" si="46"/>
        <v>0</v>
      </c>
      <c r="AN112" s="1">
        <f t="shared" si="47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158</v>
      </c>
      <c r="B113" s="1" t="s">
        <v>42</v>
      </c>
      <c r="C113" s="1">
        <v>-5</v>
      </c>
      <c r="D113" s="1">
        <v>83</v>
      </c>
      <c r="E113" s="1">
        <v>28</v>
      </c>
      <c r="F113" s="1">
        <v>26</v>
      </c>
      <c r="G113" s="7">
        <v>0.09</v>
      </c>
      <c r="H113" s="1"/>
      <c r="I113" s="9" t="s">
        <v>40</v>
      </c>
      <c r="J113" s="1"/>
      <c r="K113" s="1">
        <v>48</v>
      </c>
      <c r="L113" s="1">
        <f t="shared" si="55"/>
        <v>-20</v>
      </c>
      <c r="M113" s="1"/>
      <c r="N113" s="1"/>
      <c r="O113" s="1">
        <v>79.12</v>
      </c>
      <c r="P113" s="1"/>
      <c r="Q113" s="1">
        <v>0</v>
      </c>
      <c r="R113" s="1">
        <f t="shared" si="56"/>
        <v>5.6</v>
      </c>
      <c r="S113" s="5"/>
      <c r="T113" s="5">
        <f t="shared" si="43"/>
        <v>0</v>
      </c>
      <c r="U113" s="5">
        <f t="shared" si="44"/>
        <v>0</v>
      </c>
      <c r="V113" s="5"/>
      <c r="W113" s="5"/>
      <c r="X113" s="17"/>
      <c r="Y113" s="17"/>
      <c r="Z113" s="1">
        <f t="shared" si="45"/>
        <v>18.771428571428572</v>
      </c>
      <c r="AA113" s="1">
        <f t="shared" si="58"/>
        <v>18.771428571428572</v>
      </c>
      <c r="AB113" s="1">
        <v>9.8000000000000007</v>
      </c>
      <c r="AC113" s="1">
        <v>15</v>
      </c>
      <c r="AD113" s="1">
        <v>11.6</v>
      </c>
      <c r="AE113" s="1">
        <v>11.8</v>
      </c>
      <c r="AF113" s="1">
        <v>12.6</v>
      </c>
      <c r="AG113" s="1">
        <v>8.1999999999999993</v>
      </c>
      <c r="AH113" s="1">
        <v>6.6</v>
      </c>
      <c r="AI113" s="1">
        <v>14.8</v>
      </c>
      <c r="AJ113" s="1">
        <v>20.2</v>
      </c>
      <c r="AK113" s="1">
        <v>8.1999999999999993</v>
      </c>
      <c r="AL113" s="1"/>
      <c r="AM113" s="1">
        <f t="shared" si="46"/>
        <v>0</v>
      </c>
      <c r="AN113" s="1">
        <f t="shared" si="47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0" t="s">
        <v>159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55"/>
        <v>0</v>
      </c>
      <c r="M114" s="10"/>
      <c r="N114" s="10"/>
      <c r="O114" s="10">
        <v>0</v>
      </c>
      <c r="P114" s="10"/>
      <c r="Q114" s="10">
        <v>0</v>
      </c>
      <c r="R114" s="10">
        <f t="shared" si="56"/>
        <v>0</v>
      </c>
      <c r="S114" s="12"/>
      <c r="T114" s="5">
        <f t="shared" si="43"/>
        <v>0</v>
      </c>
      <c r="U114" s="5">
        <f t="shared" si="44"/>
        <v>0</v>
      </c>
      <c r="V114" s="5"/>
      <c r="W114" s="5"/>
      <c r="X114" s="17"/>
      <c r="Y114" s="17"/>
      <c r="Z114" s="1" t="e">
        <f t="shared" si="45"/>
        <v>#DIV/0!</v>
      </c>
      <c r="AA114" s="10" t="e">
        <f t="shared" si="58"/>
        <v>#DIV/0!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 t="s">
        <v>43</v>
      </c>
      <c r="AM114" s="1">
        <f t="shared" si="46"/>
        <v>0</v>
      </c>
      <c r="AN114" s="1">
        <f t="shared" si="47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160</v>
      </c>
      <c r="B115" s="1" t="s">
        <v>36</v>
      </c>
      <c r="C115" s="1">
        <v>276.70999999999998</v>
      </c>
      <c r="D115" s="1">
        <v>463.99900000000002</v>
      </c>
      <c r="E115" s="1">
        <v>423.63200000000001</v>
      </c>
      <c r="F115" s="1">
        <v>188.786</v>
      </c>
      <c r="G115" s="7">
        <v>1</v>
      </c>
      <c r="H115" s="1">
        <v>60</v>
      </c>
      <c r="I115" s="9" t="s">
        <v>40</v>
      </c>
      <c r="J115" s="1"/>
      <c r="K115" s="1">
        <v>413.15</v>
      </c>
      <c r="L115" s="1">
        <f t="shared" si="55"/>
        <v>10.482000000000028</v>
      </c>
      <c r="M115" s="1"/>
      <c r="N115" s="1"/>
      <c r="O115" s="1">
        <v>232.99426766000011</v>
      </c>
      <c r="P115" s="1">
        <v>237.22625234</v>
      </c>
      <c r="Q115" s="1">
        <v>0</v>
      </c>
      <c r="R115" s="1">
        <f t="shared" si="56"/>
        <v>84.726399999999998</v>
      </c>
      <c r="S115" s="5">
        <f t="shared" ref="S115:S118" si="60">11.5*R115-Q115-P115-O115-F115</f>
        <v>315.34707999999995</v>
      </c>
      <c r="T115" s="5">
        <f>X115</f>
        <v>400</v>
      </c>
      <c r="U115" s="5">
        <f t="shared" si="44"/>
        <v>159.60000000000002</v>
      </c>
      <c r="V115" s="5">
        <f t="shared" ref="V115:V116" si="61">T115*$V$1</f>
        <v>240.39999999999998</v>
      </c>
      <c r="W115" s="5"/>
      <c r="X115" s="17">
        <f>VLOOKUP(A115,[1]Sheet!$A:$U,20,0)</f>
        <v>400</v>
      </c>
      <c r="Y115" s="17" t="str">
        <f>VLOOKUP(A115,[1]Sheet!$A:$U,21,0)</f>
        <v>промо</v>
      </c>
      <c r="Z115" s="1">
        <f t="shared" si="45"/>
        <v>12.499132737847946</v>
      </c>
      <c r="AA115" s="1">
        <f t="shared" si="58"/>
        <v>7.7780540657929542</v>
      </c>
      <c r="AB115" s="1">
        <v>79.7958</v>
      </c>
      <c r="AC115" s="1">
        <v>96.615600000000001</v>
      </c>
      <c r="AD115" s="1">
        <v>82.1096</v>
      </c>
      <c r="AE115" s="1">
        <v>69.9298</v>
      </c>
      <c r="AF115" s="1">
        <v>86.117800000000003</v>
      </c>
      <c r="AG115" s="1">
        <v>86.794000000000011</v>
      </c>
      <c r="AH115" s="1">
        <v>73.754199999999997</v>
      </c>
      <c r="AI115" s="1">
        <v>90.467399999999998</v>
      </c>
      <c r="AJ115" s="1">
        <v>99.922799999999995</v>
      </c>
      <c r="AK115" s="1">
        <v>94.257800000000003</v>
      </c>
      <c r="AL115" s="1"/>
      <c r="AM115" s="1">
        <f t="shared" si="46"/>
        <v>160</v>
      </c>
      <c r="AN115" s="1">
        <f t="shared" si="47"/>
        <v>240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 t="s">
        <v>161</v>
      </c>
      <c r="B116" s="1" t="s">
        <v>36</v>
      </c>
      <c r="C116" s="1">
        <v>508.03300000000002</v>
      </c>
      <c r="D116" s="1">
        <v>431.19400000000002</v>
      </c>
      <c r="E116" s="1">
        <v>599.99199999999996</v>
      </c>
      <c r="F116" s="1">
        <v>172.27500000000001</v>
      </c>
      <c r="G116" s="7">
        <v>1</v>
      </c>
      <c r="H116" s="1">
        <v>60</v>
      </c>
      <c r="I116" s="1" t="s">
        <v>37</v>
      </c>
      <c r="J116" s="1"/>
      <c r="K116" s="1">
        <v>578.79999999999995</v>
      </c>
      <c r="L116" s="1">
        <f t="shared" si="55"/>
        <v>21.192000000000007</v>
      </c>
      <c r="M116" s="1"/>
      <c r="N116" s="1"/>
      <c r="O116" s="1">
        <v>319.77721784999989</v>
      </c>
      <c r="P116" s="1">
        <v>325.58548214999979</v>
      </c>
      <c r="Q116" s="1">
        <v>0</v>
      </c>
      <c r="R116" s="1">
        <f t="shared" si="56"/>
        <v>119.99839999999999</v>
      </c>
      <c r="S116" s="5">
        <f t="shared" si="60"/>
        <v>562.34390000000019</v>
      </c>
      <c r="T116" s="5">
        <f>S116+R116*$T$1</f>
        <v>511.94457200000022</v>
      </c>
      <c r="U116" s="5">
        <f t="shared" si="44"/>
        <v>204.26588422800012</v>
      </c>
      <c r="V116" s="5">
        <f t="shared" si="61"/>
        <v>307.6786877720001</v>
      </c>
      <c r="W116" s="5"/>
      <c r="X116" s="17"/>
      <c r="Y116" s="17"/>
      <c r="Z116" s="1">
        <f t="shared" si="45"/>
        <v>11.080000000000002</v>
      </c>
      <c r="AA116" s="1">
        <f t="shared" si="58"/>
        <v>6.8137383498446633</v>
      </c>
      <c r="AB116" s="1">
        <v>104.12860000000001</v>
      </c>
      <c r="AC116" s="1">
        <v>125.753</v>
      </c>
      <c r="AD116" s="1">
        <v>106.21599999999999</v>
      </c>
      <c r="AE116" s="1">
        <v>88.082799999999992</v>
      </c>
      <c r="AF116" s="1">
        <v>110.0094</v>
      </c>
      <c r="AG116" s="1">
        <v>126.1358</v>
      </c>
      <c r="AH116" s="1">
        <v>118.1798</v>
      </c>
      <c r="AI116" s="1">
        <v>128.58260000000001</v>
      </c>
      <c r="AJ116" s="1">
        <v>126.9572</v>
      </c>
      <c r="AK116" s="1">
        <v>118.0086</v>
      </c>
      <c r="AL116" s="1"/>
      <c r="AM116" s="1">
        <f t="shared" si="46"/>
        <v>204</v>
      </c>
      <c r="AN116" s="1">
        <f t="shared" si="47"/>
        <v>308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162</v>
      </c>
      <c r="B117" s="1" t="s">
        <v>36</v>
      </c>
      <c r="C117" s="1">
        <v>138.29599999999999</v>
      </c>
      <c r="D117" s="1">
        <v>234.601</v>
      </c>
      <c r="E117" s="1">
        <v>146.49</v>
      </c>
      <c r="F117" s="1">
        <v>169.434</v>
      </c>
      <c r="G117" s="7">
        <v>1</v>
      </c>
      <c r="H117" s="1">
        <v>60</v>
      </c>
      <c r="I117" s="9" t="s">
        <v>40</v>
      </c>
      <c r="J117" s="1"/>
      <c r="K117" s="1">
        <v>143.69999999999999</v>
      </c>
      <c r="L117" s="1">
        <f t="shared" si="55"/>
        <v>2.7900000000000205</v>
      </c>
      <c r="M117" s="1"/>
      <c r="N117" s="1"/>
      <c r="O117" s="1">
        <v>95.131946809999988</v>
      </c>
      <c r="P117" s="1">
        <v>96.859873189999973</v>
      </c>
      <c r="Q117" s="1">
        <v>0</v>
      </c>
      <c r="R117" s="1">
        <f t="shared" si="56"/>
        <v>29.298000000000002</v>
      </c>
      <c r="S117" s="5"/>
      <c r="T117" s="5">
        <f t="shared" si="43"/>
        <v>0</v>
      </c>
      <c r="U117" s="5">
        <f t="shared" si="44"/>
        <v>0</v>
      </c>
      <c r="V117" s="5"/>
      <c r="W117" s="5"/>
      <c r="X117" s="17"/>
      <c r="Y117" s="17"/>
      <c r="Z117" s="1">
        <f t="shared" si="45"/>
        <v>12.336194279473</v>
      </c>
      <c r="AA117" s="1">
        <f t="shared" si="58"/>
        <v>12.336194279473</v>
      </c>
      <c r="AB117" s="1">
        <v>30.648</v>
      </c>
      <c r="AC117" s="1">
        <v>46.579000000000001</v>
      </c>
      <c r="AD117" s="1">
        <v>41.085599999999999</v>
      </c>
      <c r="AE117" s="1">
        <v>25.831600000000002</v>
      </c>
      <c r="AF117" s="1">
        <v>33.179000000000002</v>
      </c>
      <c r="AG117" s="1">
        <v>34.262799999999999</v>
      </c>
      <c r="AH117" s="1">
        <v>34.434399999999997</v>
      </c>
      <c r="AI117" s="1">
        <v>48.102999999999987</v>
      </c>
      <c r="AJ117" s="1">
        <v>48.851599999999998</v>
      </c>
      <c r="AK117" s="1">
        <v>46.164200000000001</v>
      </c>
      <c r="AL117" s="1"/>
      <c r="AM117" s="1">
        <f t="shared" si="46"/>
        <v>0</v>
      </c>
      <c r="AN117" s="1">
        <f t="shared" si="47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 t="s">
        <v>163</v>
      </c>
      <c r="B118" s="1" t="s">
        <v>36</v>
      </c>
      <c r="C118" s="1">
        <v>1259.9649999999999</v>
      </c>
      <c r="D118" s="1">
        <v>1694.204</v>
      </c>
      <c r="E118" s="1">
        <v>2176.875</v>
      </c>
      <c r="F118" s="1">
        <v>143.017</v>
      </c>
      <c r="G118" s="7">
        <v>1</v>
      </c>
      <c r="H118" s="1">
        <v>60</v>
      </c>
      <c r="I118" s="1" t="s">
        <v>37</v>
      </c>
      <c r="J118" s="1"/>
      <c r="K118" s="1">
        <v>2180.6999999999998</v>
      </c>
      <c r="L118" s="1">
        <f t="shared" si="55"/>
        <v>-3.8249999999998181</v>
      </c>
      <c r="M118" s="1"/>
      <c r="N118" s="1"/>
      <c r="O118" s="1">
        <v>1088.6278120475481</v>
      </c>
      <c r="P118" s="1">
        <v>1108.4010720040119</v>
      </c>
      <c r="Q118" s="1">
        <v>963.12235594843935</v>
      </c>
      <c r="R118" s="1">
        <f t="shared" si="56"/>
        <v>435.375</v>
      </c>
      <c r="S118" s="5">
        <f t="shared" si="60"/>
        <v>1703.6442600000007</v>
      </c>
      <c r="T118" s="5">
        <f>S118+R118*$T$1</f>
        <v>1520.7867600000006</v>
      </c>
      <c r="U118" s="5">
        <f t="shared" si="44"/>
        <v>606.79391724000027</v>
      </c>
      <c r="V118" s="5">
        <f>T118*$V$1</f>
        <v>913.99284276000037</v>
      </c>
      <c r="W118" s="5"/>
      <c r="X118" s="17"/>
      <c r="Y118" s="17"/>
      <c r="Z118" s="1">
        <f t="shared" si="45"/>
        <v>11.08</v>
      </c>
      <c r="AA118" s="1">
        <f t="shared" si="58"/>
        <v>7.5869497329888018</v>
      </c>
      <c r="AB118" s="1">
        <v>425.35119999999989</v>
      </c>
      <c r="AC118" s="1">
        <v>404.13080000000002</v>
      </c>
      <c r="AD118" s="1">
        <v>357.29899999999998</v>
      </c>
      <c r="AE118" s="1">
        <v>310.04700000000003</v>
      </c>
      <c r="AF118" s="1">
        <v>340.2808</v>
      </c>
      <c r="AG118" s="1">
        <v>387.70940000000002</v>
      </c>
      <c r="AH118" s="1">
        <v>346.7552</v>
      </c>
      <c r="AI118" s="1">
        <v>311.18439999999998</v>
      </c>
      <c r="AJ118" s="1">
        <v>354.33460000000002</v>
      </c>
      <c r="AK118" s="1">
        <v>335.30160000000001</v>
      </c>
      <c r="AL118" s="1"/>
      <c r="AM118" s="1">
        <f t="shared" si="46"/>
        <v>607</v>
      </c>
      <c r="AN118" s="1">
        <f t="shared" si="47"/>
        <v>914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 t="s">
        <v>164</v>
      </c>
      <c r="B119" s="1" t="s">
        <v>42</v>
      </c>
      <c r="C119" s="1">
        <v>200</v>
      </c>
      <c r="D119" s="1">
        <v>156</v>
      </c>
      <c r="E119" s="1">
        <v>11</v>
      </c>
      <c r="F119" s="1">
        <v>334</v>
      </c>
      <c r="G119" s="7">
        <v>0.25</v>
      </c>
      <c r="H119" s="1">
        <v>1096</v>
      </c>
      <c r="I119" s="1" t="s">
        <v>97</v>
      </c>
      <c r="J119" s="1"/>
      <c r="K119" s="1">
        <v>16</v>
      </c>
      <c r="L119" s="1">
        <f t="shared" si="55"/>
        <v>-5</v>
      </c>
      <c r="M119" s="1"/>
      <c r="N119" s="1"/>
      <c r="O119" s="1">
        <v>0</v>
      </c>
      <c r="P119" s="1"/>
      <c r="Q119" s="1">
        <v>0</v>
      </c>
      <c r="R119" s="1">
        <f t="shared" si="56"/>
        <v>2.2000000000000002</v>
      </c>
      <c r="S119" s="5"/>
      <c r="T119" s="5">
        <f t="shared" si="43"/>
        <v>0</v>
      </c>
      <c r="U119" s="5">
        <f t="shared" si="44"/>
        <v>0</v>
      </c>
      <c r="V119" s="5"/>
      <c r="W119" s="5"/>
      <c r="X119" s="17"/>
      <c r="Y119" s="17"/>
      <c r="Z119" s="1">
        <f t="shared" si="45"/>
        <v>151.81818181818181</v>
      </c>
      <c r="AA119" s="1">
        <f t="shared" si="58"/>
        <v>151.81818181818181</v>
      </c>
      <c r="AB119" s="1">
        <v>2.4</v>
      </c>
      <c r="AC119" s="1">
        <v>6.4</v>
      </c>
      <c r="AD119" s="1">
        <v>5.6</v>
      </c>
      <c r="AE119" s="1">
        <v>3</v>
      </c>
      <c r="AF119" s="1">
        <v>3.4</v>
      </c>
      <c r="AG119" s="1">
        <v>7.4</v>
      </c>
      <c r="AH119" s="1">
        <v>11.8</v>
      </c>
      <c r="AI119" s="1">
        <v>14.8</v>
      </c>
      <c r="AJ119" s="1">
        <v>15.2</v>
      </c>
      <c r="AK119" s="1">
        <v>11.8</v>
      </c>
      <c r="AL119" s="14" t="s">
        <v>165</v>
      </c>
      <c r="AM119" s="1">
        <f t="shared" si="46"/>
        <v>0</v>
      </c>
      <c r="AN119" s="1">
        <f t="shared" si="47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 t="s">
        <v>166</v>
      </c>
      <c r="B120" s="1" t="s">
        <v>42</v>
      </c>
      <c r="C120" s="1">
        <v>314</v>
      </c>
      <c r="D120" s="1"/>
      <c r="E120" s="1">
        <v>13</v>
      </c>
      <c r="F120" s="1">
        <v>301</v>
      </c>
      <c r="G120" s="7">
        <v>0.32500000000000001</v>
      </c>
      <c r="H120" s="1">
        <v>1096</v>
      </c>
      <c r="I120" s="1" t="s">
        <v>37</v>
      </c>
      <c r="J120" s="1"/>
      <c r="K120" s="1">
        <v>13</v>
      </c>
      <c r="L120" s="1">
        <f t="shared" si="55"/>
        <v>0</v>
      </c>
      <c r="M120" s="1"/>
      <c r="N120" s="1"/>
      <c r="O120" s="1">
        <v>0</v>
      </c>
      <c r="P120" s="1"/>
      <c r="Q120" s="1">
        <v>0</v>
      </c>
      <c r="R120" s="1">
        <f t="shared" si="56"/>
        <v>2.6</v>
      </c>
      <c r="S120" s="5"/>
      <c r="T120" s="5">
        <f t="shared" si="43"/>
        <v>0</v>
      </c>
      <c r="U120" s="5">
        <f t="shared" si="44"/>
        <v>0</v>
      </c>
      <c r="V120" s="5"/>
      <c r="W120" s="5"/>
      <c r="X120" s="17"/>
      <c r="Y120" s="17"/>
      <c r="Z120" s="1">
        <f t="shared" si="45"/>
        <v>115.76923076923076</v>
      </c>
      <c r="AA120" s="1">
        <f t="shared" si="58"/>
        <v>115.76923076923076</v>
      </c>
      <c r="AB120" s="1">
        <v>3</v>
      </c>
      <c r="AC120" s="1">
        <v>2.4</v>
      </c>
      <c r="AD120" s="1">
        <v>1</v>
      </c>
      <c r="AE120" s="1">
        <v>1.8</v>
      </c>
      <c r="AF120" s="1">
        <v>3.2</v>
      </c>
      <c r="AG120" s="1">
        <v>3.4</v>
      </c>
      <c r="AH120" s="1">
        <v>5.6</v>
      </c>
      <c r="AI120" s="1">
        <v>9.4</v>
      </c>
      <c r="AJ120" s="1">
        <v>8.1999999999999993</v>
      </c>
      <c r="AK120" s="1">
        <v>8.1999999999999993</v>
      </c>
      <c r="AL120" s="14" t="s">
        <v>123</v>
      </c>
      <c r="AM120" s="1">
        <f t="shared" si="46"/>
        <v>0</v>
      </c>
      <c r="AN120" s="1">
        <f t="shared" si="47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 t="s">
        <v>167</v>
      </c>
      <c r="B121" s="1" t="s">
        <v>42</v>
      </c>
      <c r="C121" s="1">
        <v>109</v>
      </c>
      <c r="D121" s="1">
        <v>204</v>
      </c>
      <c r="E121" s="1">
        <v>11</v>
      </c>
      <c r="F121" s="1">
        <v>302</v>
      </c>
      <c r="G121" s="7">
        <v>0.25</v>
      </c>
      <c r="H121" s="1">
        <v>1096</v>
      </c>
      <c r="I121" s="9" t="s">
        <v>75</v>
      </c>
      <c r="J121" s="1"/>
      <c r="K121" s="1">
        <v>11</v>
      </c>
      <c r="L121" s="1">
        <f t="shared" si="55"/>
        <v>0</v>
      </c>
      <c r="M121" s="1"/>
      <c r="N121" s="1"/>
      <c r="O121" s="1">
        <v>0</v>
      </c>
      <c r="P121" s="1"/>
      <c r="Q121" s="1">
        <v>0</v>
      </c>
      <c r="R121" s="1">
        <f t="shared" si="56"/>
        <v>2.2000000000000002</v>
      </c>
      <c r="S121" s="5"/>
      <c r="T121" s="5">
        <f t="shared" si="43"/>
        <v>0</v>
      </c>
      <c r="U121" s="5">
        <f t="shared" si="44"/>
        <v>0</v>
      </c>
      <c r="V121" s="5"/>
      <c r="W121" s="5"/>
      <c r="X121" s="17"/>
      <c r="Y121" s="17"/>
      <c r="Z121" s="1">
        <f t="shared" si="45"/>
        <v>137.27272727272725</v>
      </c>
      <c r="AA121" s="1">
        <f t="shared" si="58"/>
        <v>137.27272727272725</v>
      </c>
      <c r="AB121" s="1">
        <v>3.4</v>
      </c>
      <c r="AC121" s="1">
        <v>4.8</v>
      </c>
      <c r="AD121" s="1">
        <v>4</v>
      </c>
      <c r="AE121" s="1">
        <v>4</v>
      </c>
      <c r="AF121" s="1">
        <v>4.4000000000000004</v>
      </c>
      <c r="AG121" s="1">
        <v>8.1999999999999993</v>
      </c>
      <c r="AH121" s="1">
        <v>14</v>
      </c>
      <c r="AI121" s="1">
        <v>11.4</v>
      </c>
      <c r="AJ121" s="1">
        <v>11.2</v>
      </c>
      <c r="AK121" s="1">
        <v>12.4</v>
      </c>
      <c r="AL121" s="14" t="s">
        <v>168</v>
      </c>
      <c r="AM121" s="1">
        <f t="shared" si="46"/>
        <v>0</v>
      </c>
      <c r="AN121" s="1">
        <f t="shared" si="47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0" t="s">
        <v>169</v>
      </c>
      <c r="B122" s="10" t="s">
        <v>36</v>
      </c>
      <c r="C122" s="10">
        <v>56.713999999999999</v>
      </c>
      <c r="D122" s="10"/>
      <c r="E122" s="10">
        <v>22.954000000000001</v>
      </c>
      <c r="F122" s="10">
        <v>31.117999999999999</v>
      </c>
      <c r="G122" s="11">
        <v>0</v>
      </c>
      <c r="H122" s="10"/>
      <c r="I122" s="10" t="s">
        <v>170</v>
      </c>
      <c r="J122" s="10"/>
      <c r="K122" s="10">
        <v>22.7</v>
      </c>
      <c r="L122" s="10">
        <f t="shared" si="55"/>
        <v>0.25400000000000134</v>
      </c>
      <c r="M122" s="10"/>
      <c r="N122" s="10"/>
      <c r="O122" s="10">
        <v>0</v>
      </c>
      <c r="P122" s="10"/>
      <c r="Q122" s="10">
        <v>0</v>
      </c>
      <c r="R122" s="10">
        <f t="shared" si="56"/>
        <v>4.5907999999999998</v>
      </c>
      <c r="S122" s="12"/>
      <c r="T122" s="5">
        <f t="shared" si="43"/>
        <v>0</v>
      </c>
      <c r="U122" s="5">
        <f t="shared" si="44"/>
        <v>0</v>
      </c>
      <c r="V122" s="5"/>
      <c r="W122" s="5"/>
      <c r="X122" s="17"/>
      <c r="Y122" s="17"/>
      <c r="Z122" s="1">
        <f t="shared" si="45"/>
        <v>6.7783392872701924</v>
      </c>
      <c r="AA122" s="10">
        <f t="shared" si="58"/>
        <v>6.7783392872701924</v>
      </c>
      <c r="AB122" s="10">
        <v>11.111599999999999</v>
      </c>
      <c r="AC122" s="10">
        <v>7.0571999999999999</v>
      </c>
      <c r="AD122" s="10">
        <v>0.27200000000000002</v>
      </c>
      <c r="AE122" s="10">
        <v>0.26840000000000003</v>
      </c>
      <c r="AF122" s="10">
        <v>0.26840000000000003</v>
      </c>
      <c r="AG122" s="10">
        <v>0</v>
      </c>
      <c r="AH122" s="10">
        <v>0.26960000000000001</v>
      </c>
      <c r="AI122" s="10">
        <v>0.54359999999999997</v>
      </c>
      <c r="AJ122" s="10">
        <v>0.27400000000000002</v>
      </c>
      <c r="AK122" s="10">
        <v>0</v>
      </c>
      <c r="AL122" s="10" t="s">
        <v>171</v>
      </c>
      <c r="AM122" s="1">
        <f t="shared" si="46"/>
        <v>0</v>
      </c>
      <c r="AN122" s="1">
        <f t="shared" si="47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0" t="s">
        <v>172</v>
      </c>
      <c r="B123" s="10" t="s">
        <v>36</v>
      </c>
      <c r="C123" s="10">
        <v>63.290999999999997</v>
      </c>
      <c r="D123" s="10">
        <v>54.078000000000003</v>
      </c>
      <c r="E123" s="13">
        <v>17.997</v>
      </c>
      <c r="F123" s="13">
        <v>79.427999999999997</v>
      </c>
      <c r="G123" s="11">
        <v>0</v>
      </c>
      <c r="H123" s="10"/>
      <c r="I123" s="10" t="s">
        <v>173</v>
      </c>
      <c r="J123" s="10" t="s">
        <v>137</v>
      </c>
      <c r="K123" s="10">
        <v>20.9</v>
      </c>
      <c r="L123" s="10">
        <f t="shared" si="55"/>
        <v>-2.9029999999999987</v>
      </c>
      <c r="M123" s="10"/>
      <c r="N123" s="10"/>
      <c r="O123" s="10">
        <v>0</v>
      </c>
      <c r="P123" s="10"/>
      <c r="Q123" s="10">
        <v>0</v>
      </c>
      <c r="R123" s="10">
        <f t="shared" si="56"/>
        <v>3.5994000000000002</v>
      </c>
      <c r="S123" s="12"/>
      <c r="T123" s="5">
        <f t="shared" si="43"/>
        <v>0</v>
      </c>
      <c r="U123" s="5">
        <f t="shared" si="44"/>
        <v>0</v>
      </c>
      <c r="V123" s="5"/>
      <c r="W123" s="5"/>
      <c r="X123" s="17"/>
      <c r="Y123" s="17"/>
      <c r="Z123" s="1">
        <f t="shared" si="45"/>
        <v>22.067011168528087</v>
      </c>
      <c r="AA123" s="10">
        <f t="shared" si="58"/>
        <v>22.067011168528087</v>
      </c>
      <c r="AB123" s="10">
        <v>1.7998000000000001</v>
      </c>
      <c r="AC123" s="10">
        <v>0.60199999999999998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/>
      <c r="AM123" s="1">
        <f t="shared" si="46"/>
        <v>0</v>
      </c>
      <c r="AN123" s="1">
        <f t="shared" si="47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0" t="s">
        <v>174</v>
      </c>
      <c r="B124" s="10" t="s">
        <v>36</v>
      </c>
      <c r="C124" s="10"/>
      <c r="D124" s="10">
        <v>62.085000000000001</v>
      </c>
      <c r="E124" s="10"/>
      <c r="F124" s="13">
        <v>62.085000000000001</v>
      </c>
      <c r="G124" s="11">
        <v>0</v>
      </c>
      <c r="H124" s="10"/>
      <c r="I124" s="10" t="s">
        <v>173</v>
      </c>
      <c r="J124" s="10" t="s">
        <v>85</v>
      </c>
      <c r="K124" s="10"/>
      <c r="L124" s="10">
        <f t="shared" si="55"/>
        <v>0</v>
      </c>
      <c r="M124" s="10"/>
      <c r="N124" s="10"/>
      <c r="O124" s="10"/>
      <c r="P124" s="10"/>
      <c r="Q124" s="10">
        <v>0</v>
      </c>
      <c r="R124" s="10">
        <f t="shared" si="56"/>
        <v>0</v>
      </c>
      <c r="S124" s="12"/>
      <c r="T124" s="5">
        <f t="shared" si="43"/>
        <v>0</v>
      </c>
      <c r="U124" s="5">
        <f t="shared" si="44"/>
        <v>0</v>
      </c>
      <c r="V124" s="5"/>
      <c r="W124" s="5"/>
      <c r="X124" s="17"/>
      <c r="Y124" s="17"/>
      <c r="Z124" s="1" t="e">
        <f t="shared" si="45"/>
        <v>#DIV/0!</v>
      </c>
      <c r="AA124" s="10" t="e">
        <f t="shared" si="58"/>
        <v>#DIV/0!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/>
      <c r="AM124" s="1">
        <f t="shared" si="46"/>
        <v>0</v>
      </c>
      <c r="AN124" s="1">
        <f t="shared" si="47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 t="s">
        <v>175</v>
      </c>
      <c r="B125" s="1" t="s">
        <v>42</v>
      </c>
      <c r="C125" s="1"/>
      <c r="D125" s="1">
        <v>36</v>
      </c>
      <c r="E125" s="1">
        <v>30</v>
      </c>
      <c r="F125" s="1">
        <v>1</v>
      </c>
      <c r="G125" s="7">
        <v>0.3</v>
      </c>
      <c r="H125" s="1">
        <v>40</v>
      </c>
      <c r="I125" s="9" t="s">
        <v>40</v>
      </c>
      <c r="J125" s="1"/>
      <c r="K125" s="1">
        <v>73</v>
      </c>
      <c r="L125" s="1">
        <f t="shared" si="55"/>
        <v>-43</v>
      </c>
      <c r="M125" s="1"/>
      <c r="N125" s="1"/>
      <c r="O125" s="1">
        <v>0</v>
      </c>
      <c r="P125" s="1"/>
      <c r="Q125" s="1">
        <v>44.4</v>
      </c>
      <c r="R125" s="1">
        <f t="shared" si="56"/>
        <v>6</v>
      </c>
      <c r="S125" s="5">
        <f t="shared" ref="S125:S129" si="62">11.5*R125-Q125-P125-O125-F125</f>
        <v>23.6</v>
      </c>
      <c r="T125" s="5">
        <f t="shared" si="43"/>
        <v>23.6</v>
      </c>
      <c r="U125" s="5">
        <f t="shared" si="44"/>
        <v>23.6</v>
      </c>
      <c r="V125" s="5"/>
      <c r="W125" s="5"/>
      <c r="X125" s="17"/>
      <c r="Y125" s="17"/>
      <c r="Z125" s="1">
        <f t="shared" si="45"/>
        <v>11.5</v>
      </c>
      <c r="AA125" s="1">
        <f t="shared" si="58"/>
        <v>7.5666666666666664</v>
      </c>
      <c r="AB125" s="1">
        <v>4.8</v>
      </c>
      <c r="AC125" s="1">
        <v>-0.4</v>
      </c>
      <c r="AD125" s="1">
        <v>-0.2</v>
      </c>
      <c r="AE125" s="1">
        <v>-0.8</v>
      </c>
      <c r="AF125" s="1">
        <v>-2.6</v>
      </c>
      <c r="AG125" s="1">
        <v>18</v>
      </c>
      <c r="AH125" s="1">
        <v>19</v>
      </c>
      <c r="AI125" s="1">
        <v>-2</v>
      </c>
      <c r="AJ125" s="1">
        <v>6.2</v>
      </c>
      <c r="AK125" s="1">
        <v>26</v>
      </c>
      <c r="AL125" s="1"/>
      <c r="AM125" s="1">
        <f t="shared" si="46"/>
        <v>7</v>
      </c>
      <c r="AN125" s="1">
        <f t="shared" si="47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 t="s">
        <v>176</v>
      </c>
      <c r="B126" s="1" t="s">
        <v>42</v>
      </c>
      <c r="C126" s="1"/>
      <c r="D126" s="1">
        <v>72</v>
      </c>
      <c r="E126" s="1">
        <v>68</v>
      </c>
      <c r="F126" s="1"/>
      <c r="G126" s="7">
        <v>0.3</v>
      </c>
      <c r="H126" s="1">
        <v>40</v>
      </c>
      <c r="I126" s="9" t="s">
        <v>40</v>
      </c>
      <c r="J126" s="1"/>
      <c r="K126" s="1">
        <v>110</v>
      </c>
      <c r="L126" s="1">
        <f t="shared" si="55"/>
        <v>-42</v>
      </c>
      <c r="M126" s="1"/>
      <c r="N126" s="1"/>
      <c r="O126" s="1">
        <v>0</v>
      </c>
      <c r="P126" s="1"/>
      <c r="Q126" s="1">
        <v>103.6</v>
      </c>
      <c r="R126" s="1">
        <f t="shared" si="56"/>
        <v>13.6</v>
      </c>
      <c r="S126" s="5">
        <f t="shared" si="62"/>
        <v>52.800000000000011</v>
      </c>
      <c r="T126" s="5">
        <f t="shared" si="43"/>
        <v>52.800000000000011</v>
      </c>
      <c r="U126" s="5">
        <f t="shared" si="44"/>
        <v>52.800000000000011</v>
      </c>
      <c r="V126" s="5"/>
      <c r="W126" s="5"/>
      <c r="X126" s="17"/>
      <c r="Y126" s="17"/>
      <c r="Z126" s="1">
        <f t="shared" si="45"/>
        <v>11.5</v>
      </c>
      <c r="AA126" s="1">
        <f t="shared" si="58"/>
        <v>7.617647058823529</v>
      </c>
      <c r="AB126" s="1">
        <v>11.2</v>
      </c>
      <c r="AC126" s="1">
        <v>0</v>
      </c>
      <c r="AD126" s="1">
        <v>2.2000000000000002</v>
      </c>
      <c r="AE126" s="1">
        <v>4.5999999999999996</v>
      </c>
      <c r="AF126" s="1">
        <v>1.2</v>
      </c>
      <c r="AG126" s="1">
        <v>-1.8</v>
      </c>
      <c r="AH126" s="1">
        <v>-0.6</v>
      </c>
      <c r="AI126" s="1">
        <v>-1.4</v>
      </c>
      <c r="AJ126" s="1">
        <v>-2.8</v>
      </c>
      <c r="AK126" s="1">
        <v>-3.4</v>
      </c>
      <c r="AL126" s="1"/>
      <c r="AM126" s="1">
        <f t="shared" si="46"/>
        <v>16</v>
      </c>
      <c r="AN126" s="1">
        <f t="shared" si="47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 t="s">
        <v>177</v>
      </c>
      <c r="B127" s="1" t="s">
        <v>36</v>
      </c>
      <c r="C127" s="1">
        <v>476.29700000000003</v>
      </c>
      <c r="D127" s="1">
        <v>100.462</v>
      </c>
      <c r="E127" s="1">
        <v>281.90499999999997</v>
      </c>
      <c r="F127" s="1">
        <v>234.49700000000001</v>
      </c>
      <c r="G127" s="7">
        <v>1</v>
      </c>
      <c r="H127" s="1">
        <v>50</v>
      </c>
      <c r="I127" s="1" t="s">
        <v>37</v>
      </c>
      <c r="J127" s="1"/>
      <c r="K127" s="1">
        <v>283.60000000000002</v>
      </c>
      <c r="L127" s="1">
        <f t="shared" si="55"/>
        <v>-1.69500000000005</v>
      </c>
      <c r="M127" s="1"/>
      <c r="N127" s="1"/>
      <c r="O127" s="1">
        <v>46.152704999999912</v>
      </c>
      <c r="P127" s="1"/>
      <c r="Q127" s="1">
        <v>104.1514050000001</v>
      </c>
      <c r="R127" s="1">
        <f t="shared" si="56"/>
        <v>56.380999999999993</v>
      </c>
      <c r="S127" s="5">
        <f t="shared" si="62"/>
        <v>263.58038999999997</v>
      </c>
      <c r="T127" s="5">
        <f>S127+R127*$T$1</f>
        <v>239.90036999999998</v>
      </c>
      <c r="U127" s="5">
        <f t="shared" si="44"/>
        <v>95.720247629999989</v>
      </c>
      <c r="V127" s="5">
        <f>T127*$V$1</f>
        <v>144.18012236999999</v>
      </c>
      <c r="W127" s="5"/>
      <c r="X127" s="17"/>
      <c r="Y127" s="17"/>
      <c r="Z127" s="1">
        <f t="shared" si="45"/>
        <v>11.08</v>
      </c>
      <c r="AA127" s="1">
        <f t="shared" si="58"/>
        <v>6.8250139231301334</v>
      </c>
      <c r="AB127" s="1">
        <v>47.3718</v>
      </c>
      <c r="AC127" s="1">
        <v>45.901799999999987</v>
      </c>
      <c r="AD127" s="1">
        <v>47.190600000000003</v>
      </c>
      <c r="AE127" s="1">
        <v>48.5548</v>
      </c>
      <c r="AF127" s="1">
        <v>73.612200000000001</v>
      </c>
      <c r="AG127" s="1">
        <v>75.552800000000005</v>
      </c>
      <c r="AH127" s="1">
        <v>57.231399999999987</v>
      </c>
      <c r="AI127" s="1">
        <v>55.252400000000002</v>
      </c>
      <c r="AJ127" s="1">
        <v>52.905799999999999</v>
      </c>
      <c r="AK127" s="1">
        <v>54.902999999999999</v>
      </c>
      <c r="AL127" s="1"/>
      <c r="AM127" s="1">
        <f t="shared" si="46"/>
        <v>96</v>
      </c>
      <c r="AN127" s="1">
        <f t="shared" si="47"/>
        <v>144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 t="s">
        <v>178</v>
      </c>
      <c r="B128" s="1" t="s">
        <v>42</v>
      </c>
      <c r="C128" s="1"/>
      <c r="D128" s="1">
        <v>24</v>
      </c>
      <c r="E128" s="1">
        <v>22</v>
      </c>
      <c r="F128" s="1"/>
      <c r="G128" s="7">
        <v>0.3</v>
      </c>
      <c r="H128" s="1">
        <v>40</v>
      </c>
      <c r="I128" s="9" t="s">
        <v>40</v>
      </c>
      <c r="J128" s="1"/>
      <c r="K128" s="1">
        <v>33</v>
      </c>
      <c r="L128" s="1">
        <f t="shared" si="55"/>
        <v>-11</v>
      </c>
      <c r="M128" s="1"/>
      <c r="N128" s="1"/>
      <c r="O128" s="1">
        <v>0</v>
      </c>
      <c r="P128" s="1"/>
      <c r="Q128" s="1">
        <v>24.5</v>
      </c>
      <c r="R128" s="1">
        <f t="shared" si="56"/>
        <v>4.4000000000000004</v>
      </c>
      <c r="S128" s="5">
        <f t="shared" si="62"/>
        <v>26.1</v>
      </c>
      <c r="T128" s="5">
        <v>60</v>
      </c>
      <c r="U128" s="5">
        <f t="shared" si="44"/>
        <v>60</v>
      </c>
      <c r="V128" s="5"/>
      <c r="W128" s="5"/>
      <c r="X128" s="17">
        <f>VLOOKUP(A128,[1]Sheet!$A:$U,20,0)</f>
        <v>130</v>
      </c>
      <c r="Y128" s="17"/>
      <c r="Z128" s="1">
        <f t="shared" si="45"/>
        <v>19.204545454545453</v>
      </c>
      <c r="AA128" s="1">
        <f t="shared" si="58"/>
        <v>5.5681818181818175</v>
      </c>
      <c r="AB128" s="1">
        <v>3</v>
      </c>
      <c r="AC128" s="1">
        <v>-0.2</v>
      </c>
      <c r="AD128" s="1">
        <v>0</v>
      </c>
      <c r="AE128" s="1">
        <v>0</v>
      </c>
      <c r="AF128" s="1">
        <v>1</v>
      </c>
      <c r="AG128" s="1">
        <v>1</v>
      </c>
      <c r="AH128" s="1">
        <v>-0.2</v>
      </c>
      <c r="AI128" s="1">
        <v>-0.2</v>
      </c>
      <c r="AJ128" s="1">
        <v>-1</v>
      </c>
      <c r="AK128" s="1">
        <v>-0.6</v>
      </c>
      <c r="AL128" s="1"/>
      <c r="AM128" s="1">
        <f t="shared" si="46"/>
        <v>18</v>
      </c>
      <c r="AN128" s="1">
        <f t="shared" si="47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 t="s">
        <v>179</v>
      </c>
      <c r="B129" s="1" t="s">
        <v>42</v>
      </c>
      <c r="C129" s="1">
        <v>55</v>
      </c>
      <c r="D129" s="1">
        <v>120</v>
      </c>
      <c r="E129" s="1">
        <v>74</v>
      </c>
      <c r="F129" s="1">
        <v>80</v>
      </c>
      <c r="G129" s="7">
        <v>0.12</v>
      </c>
      <c r="H129" s="1">
        <v>45</v>
      </c>
      <c r="I129" s="9" t="s">
        <v>40</v>
      </c>
      <c r="J129" s="1"/>
      <c r="K129" s="1">
        <v>84</v>
      </c>
      <c r="L129" s="1">
        <f t="shared" si="55"/>
        <v>-10</v>
      </c>
      <c r="M129" s="1"/>
      <c r="N129" s="1"/>
      <c r="O129" s="1">
        <v>16.56999999999999</v>
      </c>
      <c r="P129" s="1"/>
      <c r="Q129" s="1">
        <v>27.890000000000011</v>
      </c>
      <c r="R129" s="1">
        <f t="shared" si="56"/>
        <v>14.8</v>
      </c>
      <c r="S129" s="5">
        <f t="shared" si="62"/>
        <v>45.740000000000009</v>
      </c>
      <c r="T129" s="5">
        <f t="shared" si="43"/>
        <v>45.740000000000009</v>
      </c>
      <c r="U129" s="5">
        <f t="shared" si="44"/>
        <v>45.740000000000009</v>
      </c>
      <c r="V129" s="5"/>
      <c r="W129" s="5"/>
      <c r="X129" s="17"/>
      <c r="Y129" s="17"/>
      <c r="Z129" s="1">
        <f t="shared" si="45"/>
        <v>11.5</v>
      </c>
      <c r="AA129" s="1">
        <f t="shared" si="58"/>
        <v>8.4094594594594589</v>
      </c>
      <c r="AB129" s="1">
        <v>14.8</v>
      </c>
      <c r="AC129" s="1">
        <v>13.4</v>
      </c>
      <c r="AD129" s="1">
        <v>13.6</v>
      </c>
      <c r="AE129" s="1">
        <v>16.8</v>
      </c>
      <c r="AF129" s="1">
        <v>16.2</v>
      </c>
      <c r="AG129" s="1">
        <v>14.2</v>
      </c>
      <c r="AH129" s="1">
        <v>13.8</v>
      </c>
      <c r="AI129" s="1">
        <v>10</v>
      </c>
      <c r="AJ129" s="1">
        <v>9.6</v>
      </c>
      <c r="AK129" s="1">
        <v>11.6</v>
      </c>
      <c r="AL129" s="1"/>
      <c r="AM129" s="1">
        <f t="shared" si="46"/>
        <v>5</v>
      </c>
      <c r="AN129" s="1">
        <f t="shared" si="47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0" t="s">
        <v>180</v>
      </c>
      <c r="B130" s="10" t="s">
        <v>42</v>
      </c>
      <c r="C130" s="10">
        <v>87</v>
      </c>
      <c r="D130" s="10">
        <v>67</v>
      </c>
      <c r="E130" s="13">
        <v>138</v>
      </c>
      <c r="F130" s="13">
        <v>-5</v>
      </c>
      <c r="G130" s="11">
        <v>0</v>
      </c>
      <c r="H130" s="10"/>
      <c r="I130" s="10" t="s">
        <v>181</v>
      </c>
      <c r="J130" s="10" t="s">
        <v>92</v>
      </c>
      <c r="K130" s="10">
        <v>145</v>
      </c>
      <c r="L130" s="10">
        <f t="shared" si="55"/>
        <v>-7</v>
      </c>
      <c r="M130" s="10"/>
      <c r="N130" s="10"/>
      <c r="O130" s="10">
        <v>0</v>
      </c>
      <c r="P130" s="10"/>
      <c r="Q130" s="10">
        <v>0</v>
      </c>
      <c r="R130" s="10">
        <f t="shared" si="56"/>
        <v>27.6</v>
      </c>
      <c r="S130" s="12"/>
      <c r="T130" s="5">
        <f t="shared" si="43"/>
        <v>0</v>
      </c>
      <c r="U130" s="5">
        <f t="shared" si="44"/>
        <v>0</v>
      </c>
      <c r="V130" s="5"/>
      <c r="W130" s="5"/>
      <c r="X130" s="17"/>
      <c r="Y130" s="17"/>
      <c r="Z130" s="1">
        <f t="shared" si="45"/>
        <v>-0.18115942028985507</v>
      </c>
      <c r="AA130" s="10">
        <f t="shared" si="58"/>
        <v>-0.18115942028985507</v>
      </c>
      <c r="AB130" s="10">
        <v>24.6</v>
      </c>
      <c r="AC130" s="10">
        <v>23.8</v>
      </c>
      <c r="AD130" s="10">
        <v>19</v>
      </c>
      <c r="AE130" s="10">
        <v>19.399999999999999</v>
      </c>
      <c r="AF130" s="10">
        <v>19.2</v>
      </c>
      <c r="AG130" s="10">
        <v>21.6</v>
      </c>
      <c r="AH130" s="10">
        <v>26</v>
      </c>
      <c r="AI130" s="10">
        <v>31</v>
      </c>
      <c r="AJ130" s="10">
        <v>28.6</v>
      </c>
      <c r="AK130" s="10">
        <v>14.4</v>
      </c>
      <c r="AL130" s="10"/>
      <c r="AM130" s="1">
        <f t="shared" si="46"/>
        <v>0</v>
      </c>
      <c r="AN130" s="1">
        <f t="shared" si="47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 t="s">
        <v>182</v>
      </c>
      <c r="B131" s="1" t="s">
        <v>36</v>
      </c>
      <c r="C131" s="1"/>
      <c r="D131" s="1"/>
      <c r="E131" s="1"/>
      <c r="F131" s="1"/>
      <c r="G131" s="7">
        <v>1</v>
      </c>
      <c r="H131" s="1"/>
      <c r="I131" s="1" t="s">
        <v>37</v>
      </c>
      <c r="J131" s="1"/>
      <c r="K131" s="1"/>
      <c r="L131" s="1">
        <f t="shared" si="55"/>
        <v>0</v>
      </c>
      <c r="M131" s="1"/>
      <c r="N131" s="1"/>
      <c r="O131" s="1"/>
      <c r="P131" s="1"/>
      <c r="Q131" s="1">
        <v>0</v>
      </c>
      <c r="R131" s="1">
        <f t="shared" si="56"/>
        <v>0</v>
      </c>
      <c r="S131" s="5"/>
      <c r="T131" s="5">
        <f t="shared" si="43"/>
        <v>0</v>
      </c>
      <c r="U131" s="5">
        <f t="shared" si="44"/>
        <v>0</v>
      </c>
      <c r="V131" s="5"/>
      <c r="W131" s="5"/>
      <c r="X131" s="17"/>
      <c r="Y131" s="17"/>
      <c r="Z131" s="1" t="e">
        <f t="shared" si="45"/>
        <v>#DIV/0!</v>
      </c>
      <c r="AA131" s="1" t="e">
        <f t="shared" si="58"/>
        <v>#DIV/0!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 t="s">
        <v>183</v>
      </c>
      <c r="AM131" s="1">
        <f t="shared" si="46"/>
        <v>0</v>
      </c>
      <c r="AN131" s="1">
        <f t="shared" si="47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 t="s">
        <v>184</v>
      </c>
      <c r="B132" s="1" t="s">
        <v>36</v>
      </c>
      <c r="C132" s="1"/>
      <c r="D132" s="1"/>
      <c r="E132" s="1"/>
      <c r="F132" s="1"/>
      <c r="G132" s="7">
        <v>1</v>
      </c>
      <c r="H132" s="1"/>
      <c r="I132" s="1" t="s">
        <v>37</v>
      </c>
      <c r="J132" s="1"/>
      <c r="K132" s="1"/>
      <c r="L132" s="1">
        <f t="shared" si="55"/>
        <v>0</v>
      </c>
      <c r="M132" s="1"/>
      <c r="N132" s="1"/>
      <c r="O132" s="1"/>
      <c r="P132" s="1"/>
      <c r="Q132" s="1">
        <v>100</v>
      </c>
      <c r="R132" s="1">
        <f t="shared" si="56"/>
        <v>0</v>
      </c>
      <c r="S132" s="5"/>
      <c r="T132" s="5">
        <f t="shared" si="43"/>
        <v>0</v>
      </c>
      <c r="U132" s="5">
        <f t="shared" si="44"/>
        <v>0</v>
      </c>
      <c r="V132" s="5"/>
      <c r="W132" s="5"/>
      <c r="X132" s="17"/>
      <c r="Y132" s="17"/>
      <c r="Z132" s="1" t="e">
        <f t="shared" si="45"/>
        <v>#DIV/0!</v>
      </c>
      <c r="AA132" s="1" t="e">
        <f t="shared" si="58"/>
        <v>#DIV/0!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 t="s">
        <v>185</v>
      </c>
      <c r="AM132" s="1">
        <f t="shared" si="46"/>
        <v>0</v>
      </c>
      <c r="AN132" s="1">
        <f t="shared" si="47"/>
        <v>0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 t="s">
        <v>186</v>
      </c>
      <c r="B133" s="1" t="s">
        <v>36</v>
      </c>
      <c r="C133" s="1"/>
      <c r="D133" s="1"/>
      <c r="E133" s="1"/>
      <c r="F133" s="1"/>
      <c r="G133" s="7">
        <v>1</v>
      </c>
      <c r="H133" s="1"/>
      <c r="I133" s="1" t="s">
        <v>37</v>
      </c>
      <c r="J133" s="1"/>
      <c r="K133" s="1"/>
      <c r="L133" s="1">
        <f t="shared" si="55"/>
        <v>0</v>
      </c>
      <c r="M133" s="1"/>
      <c r="N133" s="1"/>
      <c r="O133" s="1"/>
      <c r="P133" s="1"/>
      <c r="Q133" s="1">
        <v>100</v>
      </c>
      <c r="R133" s="1">
        <f t="shared" si="56"/>
        <v>0</v>
      </c>
      <c r="S133" s="5"/>
      <c r="T133" s="5">
        <f t="shared" si="43"/>
        <v>0</v>
      </c>
      <c r="U133" s="5">
        <f t="shared" si="44"/>
        <v>0</v>
      </c>
      <c r="V133" s="5"/>
      <c r="W133" s="5"/>
      <c r="X133" s="17"/>
      <c r="Y133" s="17"/>
      <c r="Z133" s="1" t="e">
        <f t="shared" si="45"/>
        <v>#DIV/0!</v>
      </c>
      <c r="AA133" s="1" t="e">
        <f t="shared" si="58"/>
        <v>#DIV/0!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 t="s">
        <v>185</v>
      </c>
      <c r="AM133" s="1">
        <f t="shared" si="46"/>
        <v>0</v>
      </c>
      <c r="AN133" s="1">
        <f t="shared" si="47"/>
        <v>0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</sheetData>
  <autoFilter ref="A3:AM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2026-10-15T16:04:40Z</dcterms:created>
  <dcterms:modified xsi:type="dcterms:W3CDTF">2026-10-19T08:07:13Z</dcterms:modified>
</cp:coreProperties>
</file>