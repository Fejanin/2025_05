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6155DD1-CD7D-4B7B-AD0B-E104CB5ED29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Y552" i="1"/>
  <c r="X552" i="1"/>
  <c r="BP551" i="1"/>
  <c r="BO551" i="1"/>
  <c r="BN551" i="1"/>
  <c r="BM551" i="1"/>
  <c r="Z551" i="1"/>
  <c r="Z552" i="1" s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Y544" i="1"/>
  <c r="X544" i="1"/>
  <c r="BP543" i="1"/>
  <c r="BO543" i="1"/>
  <c r="BN543" i="1"/>
  <c r="BM543" i="1"/>
  <c r="Z543" i="1"/>
  <c r="Z544" i="1" s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Y418" i="1" s="1"/>
  <c r="P416" i="1"/>
  <c r="BP415" i="1"/>
  <c r="BO415" i="1"/>
  <c r="BN415" i="1"/>
  <c r="BM415" i="1"/>
  <c r="Z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Y386" i="1" s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X365" i="1"/>
  <c r="BO364" i="1"/>
  <c r="BM364" i="1"/>
  <c r="Y364" i="1"/>
  <c r="P364" i="1"/>
  <c r="BO363" i="1"/>
  <c r="BM363" i="1"/>
  <c r="Y363" i="1"/>
  <c r="Y365" i="1" s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Z326" i="1"/>
  <c r="Y326" i="1"/>
  <c r="P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Y318" i="1" s="1"/>
  <c r="P314" i="1"/>
  <c r="BP313" i="1"/>
  <c r="BO313" i="1"/>
  <c r="BN313" i="1"/>
  <c r="BM313" i="1"/>
  <c r="Z313" i="1"/>
  <c r="Y313" i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X292" i="1"/>
  <c r="X291" i="1"/>
  <c r="BO290" i="1"/>
  <c r="BM290" i="1"/>
  <c r="Y290" i="1"/>
  <c r="BP290" i="1" s="1"/>
  <c r="P290" i="1"/>
  <c r="BO289" i="1"/>
  <c r="BM289" i="1"/>
  <c r="Y289" i="1"/>
  <c r="Y291" i="1" s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Y261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BP188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Y172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O146" i="1"/>
  <c r="BM146" i="1"/>
  <c r="Y146" i="1"/>
  <c r="BP146" i="1" s="1"/>
  <c r="P146" i="1"/>
  <c r="BO145" i="1"/>
  <c r="BM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P136" i="1"/>
  <c r="BO135" i="1"/>
  <c r="BM135" i="1"/>
  <c r="Y135" i="1"/>
  <c r="BP135" i="1" s="1"/>
  <c r="P135" i="1"/>
  <c r="X132" i="1"/>
  <c r="X131" i="1"/>
  <c r="BO130" i="1"/>
  <c r="BM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Y127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Y96" i="1" s="1"/>
  <c r="P90" i="1"/>
  <c r="BP89" i="1"/>
  <c r="BO89" i="1"/>
  <c r="BN89" i="1"/>
  <c r="BM89" i="1"/>
  <c r="Z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Y85" i="1" s="1"/>
  <c r="P83" i="1"/>
  <c r="BP82" i="1"/>
  <c r="BO82" i="1"/>
  <c r="BN82" i="1"/>
  <c r="BM82" i="1"/>
  <c r="Z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BO70" i="1"/>
  <c r="BM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E574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23" i="1"/>
  <c r="BO22" i="1"/>
  <c r="X566" i="1" s="1"/>
  <c r="BM22" i="1"/>
  <c r="Y22" i="1"/>
  <c r="B574" i="1" s="1"/>
  <c r="P22" i="1"/>
  <c r="H10" i="1"/>
  <c r="A9" i="1"/>
  <c r="A10" i="1" s="1"/>
  <c r="D7" i="1"/>
  <c r="Q6" i="1"/>
  <c r="P2" i="1"/>
  <c r="Y350" i="1" l="1"/>
  <c r="BP346" i="1"/>
  <c r="BN346" i="1"/>
  <c r="Z346" i="1"/>
  <c r="Z349" i="1" s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Z524" i="1" s="1"/>
  <c r="BP533" i="1"/>
  <c r="BN533" i="1"/>
  <c r="Z533" i="1"/>
  <c r="X565" i="1"/>
  <c r="X567" i="1" s="1"/>
  <c r="X568" i="1"/>
  <c r="Z27" i="1"/>
  <c r="BN27" i="1"/>
  <c r="Z35" i="1"/>
  <c r="BN35" i="1"/>
  <c r="Z43" i="1"/>
  <c r="BN43" i="1"/>
  <c r="Z51" i="1"/>
  <c r="BN51" i="1"/>
  <c r="Y56" i="1"/>
  <c r="Z60" i="1"/>
  <c r="BN60" i="1"/>
  <c r="Z64" i="1"/>
  <c r="BN64" i="1"/>
  <c r="Z70" i="1"/>
  <c r="BN70" i="1"/>
  <c r="BP70" i="1"/>
  <c r="Y75" i="1"/>
  <c r="Z78" i="1"/>
  <c r="BN78" i="1"/>
  <c r="Y86" i="1"/>
  <c r="Z84" i="1"/>
  <c r="BN84" i="1"/>
  <c r="Z91" i="1"/>
  <c r="BN91" i="1"/>
  <c r="Z99" i="1"/>
  <c r="BN99" i="1"/>
  <c r="Z106" i="1"/>
  <c r="BN106" i="1"/>
  <c r="Y113" i="1"/>
  <c r="Z110" i="1"/>
  <c r="BN110" i="1"/>
  <c r="Z116" i="1"/>
  <c r="BN116" i="1"/>
  <c r="BP116" i="1"/>
  <c r="Y121" i="1"/>
  <c r="Z124" i="1"/>
  <c r="BN124" i="1"/>
  <c r="Z130" i="1"/>
  <c r="Z131" i="1" s="1"/>
  <c r="BN130" i="1"/>
  <c r="BP130" i="1"/>
  <c r="Y131" i="1"/>
  <c r="Z135" i="1"/>
  <c r="BN135" i="1"/>
  <c r="Y138" i="1"/>
  <c r="Z145" i="1"/>
  <c r="BN145" i="1"/>
  <c r="Z146" i="1"/>
  <c r="BN146" i="1"/>
  <c r="Z151" i="1"/>
  <c r="BN151" i="1"/>
  <c r="Y156" i="1"/>
  <c r="Z164" i="1"/>
  <c r="BN164" i="1"/>
  <c r="Z170" i="1"/>
  <c r="BN170" i="1"/>
  <c r="BP170" i="1"/>
  <c r="Z178" i="1"/>
  <c r="BN178" i="1"/>
  <c r="Z182" i="1"/>
  <c r="BN182" i="1"/>
  <c r="Z188" i="1"/>
  <c r="BN188" i="1"/>
  <c r="Y211" i="1"/>
  <c r="Z206" i="1"/>
  <c r="BN206" i="1"/>
  <c r="Z219" i="1"/>
  <c r="BN219" i="1"/>
  <c r="Z223" i="1"/>
  <c r="BN223" i="1"/>
  <c r="Z227" i="1"/>
  <c r="BN227" i="1"/>
  <c r="Z231" i="1"/>
  <c r="BN231" i="1"/>
  <c r="Z237" i="1"/>
  <c r="BN237" i="1"/>
  <c r="Z243" i="1"/>
  <c r="BN243" i="1"/>
  <c r="BP243" i="1"/>
  <c r="Y246" i="1"/>
  <c r="Z249" i="1"/>
  <c r="Z250" i="1" s="1"/>
  <c r="BN249" i="1"/>
  <c r="BP249" i="1"/>
  <c r="Y250" i="1"/>
  <c r="Z254" i="1"/>
  <c r="BN254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Z324" i="1"/>
  <c r="BN324" i="1"/>
  <c r="BP326" i="1"/>
  <c r="BN326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Y574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Y336" i="1"/>
  <c r="U574" i="1"/>
  <c r="Y393" i="1"/>
  <c r="Y400" i="1"/>
  <c r="Y480" i="1"/>
  <c r="Y479" i="1"/>
  <c r="Y557" i="1"/>
  <c r="AC574" i="1"/>
  <c r="F9" i="1"/>
  <c r="J9" i="1"/>
  <c r="F10" i="1"/>
  <c r="Z22" i="1"/>
  <c r="Z23" i="1" s="1"/>
  <c r="BN22" i="1"/>
  <c r="BP22" i="1"/>
  <c r="Y23" i="1"/>
  <c r="X564" i="1"/>
  <c r="Z26" i="1"/>
  <c r="BN26" i="1"/>
  <c r="BP26" i="1"/>
  <c r="Z28" i="1"/>
  <c r="BN28" i="1"/>
  <c r="Z30" i="1"/>
  <c r="BN30" i="1"/>
  <c r="Y31" i="1"/>
  <c r="Z34" i="1"/>
  <c r="Z36" i="1" s="1"/>
  <c r="BN34" i="1"/>
  <c r="BP34" i="1"/>
  <c r="Y37" i="1"/>
  <c r="C574" i="1"/>
  <c r="Z42" i="1"/>
  <c r="BN42" i="1"/>
  <c r="BP42" i="1"/>
  <c r="Z44" i="1"/>
  <c r="BN44" i="1"/>
  <c r="Y47" i="1"/>
  <c r="D574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BN83" i="1"/>
  <c r="BP83" i="1"/>
  <c r="F574" i="1"/>
  <c r="Z90" i="1"/>
  <c r="BN90" i="1"/>
  <c r="BP90" i="1"/>
  <c r="Z92" i="1"/>
  <c r="BN92" i="1"/>
  <c r="Z94" i="1"/>
  <c r="BN94" i="1"/>
  <c r="Y95" i="1"/>
  <c r="Z98" i="1"/>
  <c r="BN98" i="1"/>
  <c r="BP98" i="1"/>
  <c r="Z100" i="1"/>
  <c r="BN100" i="1"/>
  <c r="Y103" i="1"/>
  <c r="G574" i="1"/>
  <c r="Z107" i="1"/>
  <c r="Z113" i="1" s="1"/>
  <c r="BN107" i="1"/>
  <c r="BP107" i="1"/>
  <c r="Z109" i="1"/>
  <c r="BN109" i="1"/>
  <c r="Z111" i="1"/>
  <c r="BN111" i="1"/>
  <c r="Y114" i="1"/>
  <c r="Z117" i="1"/>
  <c r="Z120" i="1" s="1"/>
  <c r="BN117" i="1"/>
  <c r="BP117" i="1"/>
  <c r="Z119" i="1"/>
  <c r="BN119" i="1"/>
  <c r="Z123" i="1"/>
  <c r="BN123" i="1"/>
  <c r="BP123" i="1"/>
  <c r="Z125" i="1"/>
  <c r="BN125" i="1"/>
  <c r="Y128" i="1"/>
  <c r="H574" i="1"/>
  <c r="Z136" i="1"/>
  <c r="Z137" i="1" s="1"/>
  <c r="BN136" i="1"/>
  <c r="BP136" i="1"/>
  <c r="Y137" i="1"/>
  <c r="Z140" i="1"/>
  <c r="Z142" i="1" s="1"/>
  <c r="BN140" i="1"/>
  <c r="BP140" i="1"/>
  <c r="Y143" i="1"/>
  <c r="Y148" i="1"/>
  <c r="BP145" i="1"/>
  <c r="BP154" i="1"/>
  <c r="BN154" i="1"/>
  <c r="Z154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Y190" i="1"/>
  <c r="BP205" i="1"/>
  <c r="BN205" i="1"/>
  <c r="Z205" i="1"/>
  <c r="BP209" i="1"/>
  <c r="BN209" i="1"/>
  <c r="Z209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Y241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Z261" i="1" s="1"/>
  <c r="BP267" i="1"/>
  <c r="BN267" i="1"/>
  <c r="Z267" i="1"/>
  <c r="H9" i="1"/>
  <c r="Y24" i="1"/>
  <c r="Y67" i="1"/>
  <c r="BP152" i="1"/>
  <c r="BN152" i="1"/>
  <c r="Z152" i="1"/>
  <c r="Z155" i="1" s="1"/>
  <c r="BP165" i="1"/>
  <c r="BN165" i="1"/>
  <c r="Z165" i="1"/>
  <c r="BP177" i="1"/>
  <c r="BN177" i="1"/>
  <c r="Z177" i="1"/>
  <c r="BP181" i="1"/>
  <c r="BN181" i="1"/>
  <c r="Z181" i="1"/>
  <c r="Y185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BP265" i="1"/>
  <c r="BN265" i="1"/>
  <c r="Z265" i="1"/>
  <c r="BP269" i="1"/>
  <c r="BN269" i="1"/>
  <c r="Z269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BP398" i="1"/>
  <c r="BN398" i="1"/>
  <c r="Z398" i="1"/>
  <c r="Y407" i="1"/>
  <c r="BP402" i="1"/>
  <c r="BN402" i="1"/>
  <c r="Z402" i="1"/>
  <c r="Y406" i="1"/>
  <c r="Z412" i="1"/>
  <c r="BP410" i="1"/>
  <c r="BN410" i="1"/>
  <c r="Z410" i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Z291" i="1" s="1"/>
  <c r="BP298" i="1"/>
  <c r="BN298" i="1"/>
  <c r="Z298" i="1"/>
  <c r="Z302" i="1" s="1"/>
  <c r="Y302" i="1"/>
  <c r="BP314" i="1"/>
  <c r="BN314" i="1"/>
  <c r="Z314" i="1"/>
  <c r="Z317" i="1" s="1"/>
  <c r="BP323" i="1"/>
  <c r="BN323" i="1"/>
  <c r="Z323" i="1"/>
  <c r="BP327" i="1"/>
  <c r="BN327" i="1"/>
  <c r="Z327" i="1"/>
  <c r="Y329" i="1"/>
  <c r="Y335" i="1"/>
  <c r="BP332" i="1"/>
  <c r="BN332" i="1"/>
  <c r="Z332" i="1"/>
  <c r="BP341" i="1"/>
  <c r="BN341" i="1"/>
  <c r="Z341" i="1"/>
  <c r="BP363" i="1"/>
  <c r="BN363" i="1"/>
  <c r="Z363" i="1"/>
  <c r="Z365" i="1" s="1"/>
  <c r="BP372" i="1"/>
  <c r="BN372" i="1"/>
  <c r="Z372" i="1"/>
  <c r="Y376" i="1"/>
  <c r="BP380" i="1"/>
  <c r="BN380" i="1"/>
  <c r="Z380" i="1"/>
  <c r="BP384" i="1"/>
  <c r="BN384" i="1"/>
  <c r="Z384" i="1"/>
  <c r="Z386" i="1" s="1"/>
  <c r="BP392" i="1"/>
  <c r="BN392" i="1"/>
  <c r="Z392" i="1"/>
  <c r="Y394" i="1"/>
  <c r="Y399" i="1"/>
  <c r="BP396" i="1"/>
  <c r="BN396" i="1"/>
  <c r="Z396" i="1"/>
  <c r="Z399" i="1" s="1"/>
  <c r="BP404" i="1"/>
  <c r="BN404" i="1"/>
  <c r="Z404" i="1"/>
  <c r="Z418" i="1"/>
  <c r="BP416" i="1"/>
  <c r="BN416" i="1"/>
  <c r="Z416" i="1"/>
  <c r="BP462" i="1"/>
  <c r="BN462" i="1"/>
  <c r="Z462" i="1"/>
  <c r="Z463" i="1" s="1"/>
  <c r="Y464" i="1"/>
  <c r="Y470" i="1"/>
  <c r="BP467" i="1"/>
  <c r="BN467" i="1"/>
  <c r="Z467" i="1"/>
  <c r="Z469" i="1" s="1"/>
  <c r="Y469" i="1"/>
  <c r="Q574" i="1"/>
  <c r="O574" i="1"/>
  <c r="Y303" i="1"/>
  <c r="Y355" i="1"/>
  <c r="T574" i="1"/>
  <c r="Y366" i="1"/>
  <c r="Y377" i="1"/>
  <c r="V574" i="1"/>
  <c r="Y426" i="1"/>
  <c r="BP422" i="1"/>
  <c r="BN422" i="1"/>
  <c r="Z422" i="1"/>
  <c r="Z426" i="1" s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534" i="1" l="1"/>
  <c r="Z272" i="1"/>
  <c r="Z147" i="1"/>
  <c r="Z433" i="1"/>
  <c r="Z376" i="1"/>
  <c r="Z335" i="1"/>
  <c r="Z490" i="1"/>
  <c r="Z452" i="1"/>
  <c r="Z190" i="1"/>
  <c r="Z127" i="1"/>
  <c r="Z102" i="1"/>
  <c r="Z95" i="1"/>
  <c r="Z85" i="1"/>
  <c r="Z46" i="1"/>
  <c r="Z446" i="1"/>
  <c r="Z406" i="1"/>
  <c r="Z343" i="1"/>
  <c r="Y564" i="1"/>
  <c r="Z185" i="1"/>
  <c r="Y566" i="1"/>
  <c r="Z518" i="1"/>
  <c r="Z505" i="1"/>
  <c r="Z393" i="1"/>
  <c r="Z328" i="1"/>
  <c r="Z286" i="1"/>
  <c r="Z210" i="1"/>
  <c r="Z232" i="1"/>
  <c r="Z167" i="1"/>
  <c r="Z67" i="1"/>
  <c r="Z31" i="1"/>
  <c r="Z569" i="1" s="1"/>
  <c r="Y568" i="1"/>
  <c r="Y565" i="1"/>
  <c r="Y567" i="1" s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<sst xmlns="http://schemas.openxmlformats.org/spreadsheetml/2006/main" count="2536" uniqueCount="916">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</sst>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10</v>
      </c>
      <c r="Y51" s="634">
        <f>IFERROR(IF(X51="",0,CEILING((X51/$H51),1)*$H51),"")</f>
        <v>10.8</v>
      </c>
      <c r="Z51" s="36">
        <f>IFERROR(IF(Y51=0,"",ROUNDUP(Y51/H51,0)*0.01898),"")</f>
        <v>1.898E-2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10.37962962962963</v>
      </c>
      <c r="BN51" s="64">
        <f>IFERROR(Y51*I51/H51,"0")</f>
        <v>11.21</v>
      </c>
      <c r="BO51" s="64">
        <f>IFERROR(1/J51*(X51/H51),"0")</f>
        <v>1.4467592592592591E-2</v>
      </c>
      <c r="BP51" s="64">
        <f>IFERROR(1/J51*(Y51/H51),"0")</f>
        <v>1.5625E-2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0.92592592592592582</v>
      </c>
      <c r="Y55" s="635">
        <f>IFERROR(Y51/H51,"0")+IFERROR(Y52/H52,"0")+IFERROR(Y53/H53,"0")+IFERROR(Y54/H54,"0")</f>
        <v>1</v>
      </c>
      <c r="Z55" s="635">
        <f>IFERROR(IF(Z51="",0,Z51),"0")+IFERROR(IF(Z52="",0,Z52),"0")+IFERROR(IF(Z53="",0,Z53),"0")+IFERROR(IF(Z54="",0,Z54),"0")</f>
        <v>1.898E-2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10</v>
      </c>
      <c r="Y56" s="635">
        <f>IFERROR(SUM(Y51:Y54),"0")</f>
        <v>10.8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4</v>
      </c>
      <c r="Y59" s="634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4.1464285714285714</v>
      </c>
      <c r="BN59" s="64">
        <f t="shared" ref="BN59:BN66" si="2">IFERROR(Y59*I59/H59,"0")</f>
        <v>11.61</v>
      </c>
      <c r="BO59" s="64">
        <f t="shared" ref="BO59:BO66" si="3">IFERROR(1/J59*(X59/H59),"0")</f>
        <v>5.580357142857143E-3</v>
      </c>
      <c r="BP59" s="64">
        <f t="shared" ref="BP59:BP66" si="4">IFERROR(1/J59*(Y59/H59),"0")</f>
        <v>1.5625E-2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0</v>
      </c>
      <c r="Y66" s="634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0.35714285714285715</v>
      </c>
      <c r="Y67" s="635">
        <f>IFERROR(Y59/H59,"0")+IFERROR(Y60/H60,"0")+IFERROR(Y61/H61,"0")+IFERROR(Y62/H62,"0")+IFERROR(Y63/H63,"0")+IFERROR(Y64/H64,"0")+IFERROR(Y65/H65,"0")+IFERROR(Y66/H66,"0")</f>
        <v>1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1.898E-2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4</v>
      </c>
      <c r="Y68" s="635">
        <f>IFERROR(SUM(Y59:Y66),"0")</f>
        <v>11.2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26</v>
      </c>
      <c r="Y70" s="634">
        <f>IFERROR(IF(X70="",0,CEILING((X70/$H70),1)*$H70),"")</f>
        <v>32.400000000000006</v>
      </c>
      <c r="Z70" s="36">
        <f>IFERROR(IF(Y70=0,"",ROUNDUP(Y70/H70,0)*0.01898),"")</f>
        <v>5.6940000000000004E-2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26.987037037037037</v>
      </c>
      <c r="BN70" s="64">
        <f>IFERROR(Y70*I70/H70,"0")</f>
        <v>33.630000000000003</v>
      </c>
      <c r="BO70" s="64">
        <f>IFERROR(1/J70*(X70/H70),"0")</f>
        <v>3.7615740740740741E-2</v>
      </c>
      <c r="BP70" s="64">
        <f>IFERROR(1/J70*(Y70/H70),"0")</f>
        <v>4.6875000000000007E-2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2.4074074074074074</v>
      </c>
      <c r="Y74" s="635">
        <f>IFERROR(Y70/H70,"0")+IFERROR(Y71/H71,"0")+IFERROR(Y72/H72,"0")+IFERROR(Y73/H73,"0")</f>
        <v>3.0000000000000004</v>
      </c>
      <c r="Z74" s="635">
        <f>IFERROR(IF(Z70="",0,Z70),"0")+IFERROR(IF(Z71="",0,Z71),"0")+IFERROR(IF(Z72="",0,Z72),"0")+IFERROR(IF(Z73="",0,Z73),"0")</f>
        <v>5.6940000000000004E-2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26</v>
      </c>
      <c r="Y75" s="635">
        <f>IFERROR(SUM(Y70:Y73),"0")</f>
        <v>32.400000000000006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hidden="1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0</v>
      </c>
      <c r="Y89" s="634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0</v>
      </c>
      <c r="Y95" s="635">
        <f>IFERROR(Y89/H89,"0")+IFERROR(Y90/H90,"0")+IFERROR(Y91/H91,"0")+IFERROR(Y92/H92,"0")+IFERROR(Y93/H93,"0")+IFERROR(Y94/H94,"0")</f>
        <v>0</v>
      </c>
      <c r="Z95" s="635">
        <f>IFERROR(IF(Z89="",0,Z89),"0")+IFERROR(IF(Z90="",0,Z90),"0")+IFERROR(IF(Z91="",0,Z91),"0")+IFERROR(IF(Z92="",0,Z92),"0")+IFERROR(IF(Z93="",0,Z93),"0")+IFERROR(IF(Z94="",0,Z94),"0")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0</v>
      </c>
      <c r="Y96" s="635">
        <f>IFERROR(SUM(Y89:Y94),"0")</f>
        <v>0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hidden="1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0</v>
      </c>
      <c r="Y98" s="634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0</v>
      </c>
      <c r="Y102" s="635">
        <f>IFERROR(Y98/H98,"0")+IFERROR(Y99/H99,"0")+IFERROR(Y100/H100,"0")+IFERROR(Y101/H101,"0")</f>
        <v>0</v>
      </c>
      <c r="Z102" s="635">
        <f>IFERROR(IF(Z98="",0,Z98),"0")+IFERROR(IF(Z99="",0,Z99),"0")+IFERROR(IF(Z100="",0,Z100),"0")+IFERROR(IF(Z101="",0,Z101),"0")</f>
        <v>0</v>
      </c>
      <c r="AA102" s="636"/>
      <c r="AB102" s="636"/>
      <c r="AC102" s="636"/>
    </row>
    <row r="103" spans="1:68" hidden="1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0</v>
      </c>
      <c r="Y103" s="635">
        <f>IFERROR(SUM(Y98:Y101),"0")</f>
        <v>0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hidden="1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0</v>
      </c>
      <c r="Y106" s="634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12</v>
      </c>
      <c r="Y110" s="634">
        <f t="shared" si="10"/>
        <v>13.5</v>
      </c>
      <c r="Z110" s="36">
        <f>IFERROR(IF(Y110=0,"",ROUNDUP(Y110/H110,0)*0.00902),"")</f>
        <v>2.7060000000000001E-2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12.506666666666668</v>
      </c>
      <c r="BN110" s="64">
        <f t="shared" si="12"/>
        <v>14.07</v>
      </c>
      <c r="BO110" s="64">
        <f t="shared" si="13"/>
        <v>2.02020202020202E-2</v>
      </c>
      <c r="BP110" s="64">
        <f t="shared" si="14"/>
        <v>2.2727272727272728E-2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2.6666666666666665</v>
      </c>
      <c r="Y113" s="635">
        <f>IFERROR(Y106/H106,"0")+IFERROR(Y107/H107,"0")+IFERROR(Y108/H108,"0")+IFERROR(Y109/H109,"0")+IFERROR(Y110/H110,"0")+IFERROR(Y111/H111,"0")+IFERROR(Y112/H112,"0")</f>
        <v>3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2.7060000000000001E-2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12</v>
      </c>
      <c r="Y114" s="635">
        <f>IFERROR(SUM(Y106:Y112),"0")</f>
        <v>13.5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18</v>
      </c>
      <c r="Y116" s="634">
        <f>IFERROR(IF(X116="",0,CEILING((X116/$H116),1)*$H116),"")</f>
        <v>21.6</v>
      </c>
      <c r="Z116" s="36">
        <f>IFERROR(IF(Y116=0,"",ROUNDUP(Y116/H116,0)*0.01898),"")</f>
        <v>3.7960000000000001E-2</v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18.683333333333334</v>
      </c>
      <c r="BN116" s="64">
        <f>IFERROR(Y116*I116/H116,"0")</f>
        <v>22.42</v>
      </c>
      <c r="BO116" s="64">
        <f>IFERROR(1/J116*(X116/H116),"0")</f>
        <v>2.6041666666666664E-2</v>
      </c>
      <c r="BP116" s="64">
        <f>IFERROR(1/J116*(Y116/H116),"0")</f>
        <v>3.125E-2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1.6666666666666665</v>
      </c>
      <c r="Y120" s="635">
        <f>IFERROR(Y116/H116,"0")+IFERROR(Y117/H117,"0")+IFERROR(Y118/H118,"0")+IFERROR(Y119/H119,"0")</f>
        <v>2</v>
      </c>
      <c r="Z120" s="635">
        <f>IFERROR(IF(Z116="",0,Z116),"0")+IFERROR(IF(Z117="",0,Z117),"0")+IFERROR(IF(Z118="",0,Z118),"0")+IFERROR(IF(Z119="",0,Z119),"0")</f>
        <v>3.7960000000000001E-2</v>
      </c>
      <c r="AA120" s="636"/>
      <c r="AB120" s="636"/>
      <c r="AC120" s="636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18</v>
      </c>
      <c r="Y121" s="635">
        <f>IFERROR(SUM(Y116:Y119),"0")</f>
        <v>21.6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14</v>
      </c>
      <c r="Y123" s="634">
        <f>IFERROR(IF(X123="",0,CEILING((X123/$H123),1)*$H123),"")</f>
        <v>16.2</v>
      </c>
      <c r="Z123" s="36">
        <f>IFERROR(IF(Y123=0,"",ROUNDUP(Y123/H123,0)*0.01898),"")</f>
        <v>3.7960000000000001E-2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14.843456790123456</v>
      </c>
      <c r="BN123" s="64">
        <f>IFERROR(Y123*I123/H123,"0")</f>
        <v>17.175999999999998</v>
      </c>
      <c r="BO123" s="64">
        <f>IFERROR(1/J123*(X123/H123),"0")</f>
        <v>2.7006172839506175E-2</v>
      </c>
      <c r="BP123" s="64">
        <f>IFERROR(1/J123*(Y123/H123),"0")</f>
        <v>3.125E-2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0</v>
      </c>
      <c r="Y125" s="63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1.7283950617283952</v>
      </c>
      <c r="Y127" s="635">
        <f>IFERROR(Y123/H123,"0")+IFERROR(Y124/H124,"0")+IFERROR(Y125/H125,"0")+IFERROR(Y126/H126,"0")</f>
        <v>2</v>
      </c>
      <c r="Z127" s="635">
        <f>IFERROR(IF(Z123="",0,Z123),"0")+IFERROR(IF(Z124="",0,Z124),"0")+IFERROR(IF(Z125="",0,Z125),"0")+IFERROR(IF(Z126="",0,Z126),"0")</f>
        <v>3.7960000000000001E-2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14</v>
      </c>
      <c r="Y128" s="635">
        <f>IFERROR(SUM(Y123:Y126),"0")</f>
        <v>16.2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hidden="1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</v>
      </c>
      <c r="Y137" s="635">
        <f>IFERROR(Y135/H135,"0")+IFERROR(Y136/H136,"0")</f>
        <v>0</v>
      </c>
      <c r="Z137" s="635">
        <f>IFERROR(IF(Z135="",0,Z135),"0")+IFERROR(IF(Z136="",0,Z136),"0")</f>
        <v>0</v>
      </c>
      <c r="AA137" s="636"/>
      <c r="AB137" s="636"/>
      <c r="AC137" s="636"/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0</v>
      </c>
      <c r="Y138" s="635">
        <f>IFERROR(SUM(Y135:Y136),"0")</f>
        <v>0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hidden="1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0</v>
      </c>
      <c r="Y140" s="63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</v>
      </c>
      <c r="Y142" s="635">
        <f>IFERROR(Y140/H140,"0")+IFERROR(Y141/H141,"0")</f>
        <v>0</v>
      </c>
      <c r="Z142" s="635">
        <f>IFERROR(IF(Z140="",0,Z140),"0")+IFERROR(IF(Z141="",0,Z141),"0")</f>
        <v>0</v>
      </c>
      <c r="AA142" s="636"/>
      <c r="AB142" s="636"/>
      <c r="AC142" s="636"/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0</v>
      </c>
      <c r="Y143" s="635">
        <f>IFERROR(SUM(Y140:Y141),"0")</f>
        <v>0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5</v>
      </c>
      <c r="Y145" s="634">
        <f>IFERROR(IF(X145="",0,CEILING((X145/$H145),1)*$H145),"")</f>
        <v>5.28</v>
      </c>
      <c r="Z145" s="36">
        <f>IFERROR(IF(Y145=0,"",ROUNDUP(Y145/H145,0)*0.00651),"")</f>
        <v>1.302E-2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5.5075757575757569</v>
      </c>
      <c r="BN145" s="64">
        <f>IFERROR(Y145*I145/H145,"0")</f>
        <v>5.8159999999999998</v>
      </c>
      <c r="BO145" s="64">
        <f>IFERROR(1/J145*(X145/H145),"0")</f>
        <v>1.0406260406260406E-2</v>
      </c>
      <c r="BP145" s="64">
        <f>IFERROR(1/J145*(Y145/H145),"0")</f>
        <v>1.098901098901099E-2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1.8939393939393938</v>
      </c>
      <c r="Y147" s="635">
        <f>IFERROR(Y145/H145,"0")+IFERROR(Y146/H146,"0")</f>
        <v>2</v>
      </c>
      <c r="Z147" s="635">
        <f>IFERROR(IF(Z145="",0,Z145),"0")+IFERROR(IF(Z146="",0,Z146),"0")</f>
        <v>1.302E-2</v>
      </c>
      <c r="AA147" s="636"/>
      <c r="AB147" s="636"/>
      <c r="AC147" s="636"/>
    </row>
    <row r="148" spans="1:68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5</v>
      </c>
      <c r="Y148" s="635">
        <f>IFERROR(SUM(Y145:Y146),"0")</f>
        <v>5.28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50</v>
      </c>
      <c r="Y175" s="634">
        <f t="shared" ref="Y175:Y184" si="15">IFERROR(IF(X175="",0,CEILING((X175/$H175),1)*$H175),"")</f>
        <v>52.5</v>
      </c>
      <c r="Z175" s="36">
        <f>IFERROR(IF(Y175=0,"",ROUNDUP(Y175/H175,0)*0.00902),"")</f>
        <v>0.1353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52.714285714285715</v>
      </c>
      <c r="BN175" s="64">
        <f t="shared" ref="BN175:BN184" si="17">IFERROR(Y175*I175/H175,"0")</f>
        <v>55.35</v>
      </c>
      <c r="BO175" s="64">
        <f t="shared" ref="BO175:BO184" si="18">IFERROR(1/J175*(X175/H175),"0")</f>
        <v>0.10822510822510824</v>
      </c>
      <c r="BP175" s="64">
        <f t="shared" ref="BP175:BP184" si="19">IFERROR(1/J175*(Y175/H175),"0")</f>
        <v>0.11363636363636365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50</v>
      </c>
      <c r="Y177" s="634">
        <f t="shared" si="15"/>
        <v>52.5</v>
      </c>
      <c r="Z177" s="36">
        <f>IFERROR(IF(Y177=0,"",ROUNDUP(Y177/H177,0)*0.00902),"")</f>
        <v>0.1353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52.714285714285715</v>
      </c>
      <c r="BN177" s="64">
        <f t="shared" si="17"/>
        <v>55.35</v>
      </c>
      <c r="BO177" s="64">
        <f t="shared" si="18"/>
        <v>0.10822510822510824</v>
      </c>
      <c r="BP177" s="64">
        <f t="shared" si="19"/>
        <v>0.11363636363636365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5"/>
        <v>0</v>
      </c>
      <c r="Z180" s="36" t="str">
        <f>IFERROR(IF(Y180=0,"",ROUNDUP(Y180/H180,0)*0.00502),"")</f>
        <v/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28.571428571428573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30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0.27060000000000001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100</v>
      </c>
      <c r="Y186" s="635">
        <f>IFERROR(SUM(Y175:Y184),"0")</f>
        <v>105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20</v>
      </c>
      <c r="Y218" s="634">
        <f t="shared" ref="Y218:Y231" si="26">IFERROR(IF(X218="",0,CEILING((X218/$H218),1)*$H218),"")</f>
        <v>21</v>
      </c>
      <c r="Z218" s="36">
        <f>IFERROR(IF(Y218=0,"",ROUNDUP(Y218/H218,0)*0.00902),"")</f>
        <v>4.5100000000000001E-2</v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21.19047619047619</v>
      </c>
      <c r="BN218" s="64">
        <f t="shared" ref="BN218:BN231" si="28">IFERROR(Y218*I218/H218,"0")</f>
        <v>22.25</v>
      </c>
      <c r="BO218" s="64">
        <f t="shared" ref="BO218:BO231" si="29">IFERROR(1/J218*(X218/H218),"0")</f>
        <v>3.6075036075036072E-2</v>
      </c>
      <c r="BP218" s="64">
        <f t="shared" ref="BP218:BP231" si="30">IFERROR(1/J218*(Y218/H218),"0")</f>
        <v>3.787878787878788E-2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70</v>
      </c>
      <c r="Y220" s="634">
        <f t="shared" si="26"/>
        <v>71.400000000000006</v>
      </c>
      <c r="Z220" s="36">
        <f>IFERROR(IF(Y220=0,"",ROUNDUP(Y220/H220,0)*0.00902),"")</f>
        <v>0.15334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73.166666666666657</v>
      </c>
      <c r="BN220" s="64">
        <f t="shared" si="28"/>
        <v>74.63000000000001</v>
      </c>
      <c r="BO220" s="64">
        <f t="shared" si="29"/>
        <v>0.12626262626262624</v>
      </c>
      <c r="BP220" s="64">
        <f t="shared" si="30"/>
        <v>0.12878787878787878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0</v>
      </c>
      <c r="Y223" s="634">
        <f t="shared" si="26"/>
        <v>0</v>
      </c>
      <c r="Z223" s="36" t="str">
        <f>IFERROR(IF(Y223=0,"",ROUNDUP(Y223/H223,0)*0.00502),"")</f>
        <v/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hidden="1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0</v>
      </c>
      <c r="Y229" s="634">
        <f t="shared" si="26"/>
        <v>0</v>
      </c>
      <c r="Z229" s="36" t="str">
        <f>IFERROR(IF(Y229=0,"",ROUNDUP(Y229/H229,0)*0.00502),"")</f>
        <v/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21.428571428571427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22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0.19844000000000001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90</v>
      </c>
      <c r="Y233" s="635">
        <f>IFERROR(SUM(Y218:Y231),"0")</f>
        <v>92.4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150</v>
      </c>
      <c r="Y264" s="634">
        <f t="shared" ref="Y264:Y271" si="31">IFERROR(IF(X264="",0,CEILING((X264/$H264),1)*$H264),"")</f>
        <v>151.20000000000002</v>
      </c>
      <c r="Z264" s="36">
        <f>IFERROR(IF(Y264=0,"",ROUNDUP(Y264/H264,0)*0.00902),"")</f>
        <v>0.25256000000000001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155.27777777777777</v>
      </c>
      <c r="BN264" s="64">
        <f t="shared" ref="BN264:BN271" si="33">IFERROR(Y264*I264/H264,"0")</f>
        <v>156.52000000000001</v>
      </c>
      <c r="BO264" s="64">
        <f t="shared" ref="BO264:BO271" si="34">IFERROR(1/J264*(X264/H264),"0")</f>
        <v>0.21043771043771042</v>
      </c>
      <c r="BP264" s="64">
        <f t="shared" ref="BP264:BP271" si="35">IFERROR(1/J264*(Y264/H264),"0")</f>
        <v>0.21212121212121213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0</v>
      </c>
      <c r="Y265" s="634">
        <f t="shared" si="31"/>
        <v>0</v>
      </c>
      <c r="Z265" s="36" t="str">
        <f>IFERROR(IF(Y265=0,"",ROUNDUP(Y265/H265,0)*0.00902),"")</f>
        <v/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150</v>
      </c>
      <c r="Y266" s="634">
        <f t="shared" si="31"/>
        <v>151.20000000000002</v>
      </c>
      <c r="Z266" s="36">
        <f>IFERROR(IF(Y266=0,"",ROUNDUP(Y266/H266,0)*0.00902),"")</f>
        <v>0.25256000000000001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155.27777777777777</v>
      </c>
      <c r="BN266" s="64">
        <f t="shared" si="33"/>
        <v>156.52000000000001</v>
      </c>
      <c r="BO266" s="64">
        <f t="shared" si="34"/>
        <v>0.21043771043771042</v>
      </c>
      <c r="BP266" s="64">
        <f t="shared" si="35"/>
        <v>0.21212121212121213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30</v>
      </c>
      <c r="Y267" s="634">
        <f t="shared" si="31"/>
        <v>32.400000000000006</v>
      </c>
      <c r="Z267" s="36">
        <f>IFERROR(IF(Y267=0,"",ROUNDUP(Y267/H267,0)*0.00902),"")</f>
        <v>5.4120000000000001E-2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31.05555555555555</v>
      </c>
      <c r="BN267" s="64">
        <f t="shared" si="33"/>
        <v>33.54</v>
      </c>
      <c r="BO267" s="64">
        <f t="shared" si="34"/>
        <v>4.208754208754209E-2</v>
      </c>
      <c r="BP267" s="64">
        <f t="shared" si="35"/>
        <v>4.5454545454545463E-2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9</v>
      </c>
      <c r="Y268" s="634">
        <f t="shared" si="31"/>
        <v>9</v>
      </c>
      <c r="Z268" s="36">
        <f>IFERROR(IF(Y268=0,"",ROUNDUP(Y268/H268,0)*0.00502),"")</f>
        <v>2.5100000000000001E-2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9.65</v>
      </c>
      <c r="BN268" s="64">
        <f t="shared" si="33"/>
        <v>9.65</v>
      </c>
      <c r="BO268" s="64">
        <f t="shared" si="34"/>
        <v>2.1367521367521368E-2</v>
      </c>
      <c r="BP268" s="64">
        <f t="shared" si="35"/>
        <v>2.1367521367521368E-2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9</v>
      </c>
      <c r="Y269" s="634">
        <f t="shared" si="31"/>
        <v>9</v>
      </c>
      <c r="Z269" s="36">
        <f>IFERROR(IF(Y269=0,"",ROUNDUP(Y269/H269,0)*0.00502),"")</f>
        <v>2.5100000000000001E-2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9.4999999999999982</v>
      </c>
      <c r="BN269" s="64">
        <f t="shared" si="33"/>
        <v>9.4999999999999982</v>
      </c>
      <c r="BO269" s="64">
        <f t="shared" si="34"/>
        <v>2.1367521367521368E-2</v>
      </c>
      <c r="BP269" s="64">
        <f t="shared" si="35"/>
        <v>2.1367521367521368E-2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71.111111111111114</v>
      </c>
      <c r="Y272" s="635">
        <f>IFERROR(Y264/H264,"0")+IFERROR(Y265/H265,"0")+IFERROR(Y266/H266,"0")+IFERROR(Y267/H267,"0")+IFERROR(Y268/H268,"0")+IFERROR(Y269/H269,"0")+IFERROR(Y270/H270,"0")+IFERROR(Y271/H271,"0")</f>
        <v>72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0.60943999999999998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348</v>
      </c>
      <c r="Y273" s="635">
        <f>IFERROR(SUM(Y264:Y271),"0")</f>
        <v>352.80000000000007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hidden="1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0</v>
      </c>
      <c r="Y275" s="634">
        <f t="shared" ref="Y275:Y285" si="36"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0</v>
      </c>
      <c r="BN275" s="64">
        <f t="shared" ref="BN275:BN285" si="38">IFERROR(Y275*I275/H275,"0")</f>
        <v>0</v>
      </c>
      <c r="BO275" s="64">
        <f t="shared" ref="BO275:BO285" si="39">IFERROR(1/J275*(X275/H275),"0")</f>
        <v>0</v>
      </c>
      <c r="BP275" s="64">
        <f t="shared" ref="BP275:BP285" si="40">IFERROR(1/J275*(Y275/H275),"0")</f>
        <v>0</v>
      </c>
    </row>
    <row r="276" spans="1:68" ht="27" hidden="1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0</v>
      </c>
      <c r="Y276" s="634">
        <f t="shared" si="36"/>
        <v>0</v>
      </c>
      <c r="Z276" s="36" t="str">
        <f>IFERROR(IF(Y276=0,"",ROUNDUP(Y276/H276,0)*0.01898),"")</f>
        <v/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80</v>
      </c>
      <c r="Y278" s="634">
        <f t="shared" si="36"/>
        <v>81.599999999999994</v>
      </c>
      <c r="Z278" s="36">
        <f>IFERROR(IF(Y278=0,"",ROUNDUP(Y278/H278,0)*0.00651),"")</f>
        <v>0.22134000000000001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89</v>
      </c>
      <c r="BN278" s="64">
        <f t="shared" si="38"/>
        <v>90.78</v>
      </c>
      <c r="BO278" s="64">
        <f t="shared" si="39"/>
        <v>0.18315018315018317</v>
      </c>
      <c r="BP278" s="64">
        <f t="shared" si="40"/>
        <v>0.18681318681318682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344</v>
      </c>
      <c r="Y280" s="634">
        <f t="shared" si="36"/>
        <v>345.59999999999997</v>
      </c>
      <c r="Z280" s="36">
        <f>IFERROR(IF(Y280=0,"",ROUNDUP(Y280/H280,0)*0.00651),"")</f>
        <v>0.93744000000000005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380.12</v>
      </c>
      <c r="BN280" s="64">
        <f t="shared" si="38"/>
        <v>381.88800000000003</v>
      </c>
      <c r="BO280" s="64">
        <f t="shared" si="39"/>
        <v>0.78754578754578763</v>
      </c>
      <c r="BP280" s="64">
        <f t="shared" si="40"/>
        <v>0.79120879120879128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144</v>
      </c>
      <c r="Y282" s="634">
        <f t="shared" si="36"/>
        <v>144</v>
      </c>
      <c r="Z282" s="36">
        <f>IFERROR(IF(Y282=0,"",ROUNDUP(Y282/H282,0)*0.00651),"")</f>
        <v>0.3906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159.12000000000003</v>
      </c>
      <c r="BN282" s="64">
        <f t="shared" si="38"/>
        <v>159.12000000000003</v>
      </c>
      <c r="BO282" s="64">
        <f t="shared" si="39"/>
        <v>0.32967032967032972</v>
      </c>
      <c r="BP282" s="64">
        <f t="shared" si="40"/>
        <v>0.32967032967032972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60</v>
      </c>
      <c r="Y283" s="634">
        <f t="shared" si="36"/>
        <v>60</v>
      </c>
      <c r="Z283" s="36">
        <f>IFERROR(IF(Y283=0,"",ROUNDUP(Y283/H283,0)*0.00651),"")</f>
        <v>0.16275000000000001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66.300000000000011</v>
      </c>
      <c r="BN283" s="64">
        <f t="shared" si="38"/>
        <v>66.300000000000011</v>
      </c>
      <c r="BO283" s="64">
        <f t="shared" si="39"/>
        <v>0.13736263736263737</v>
      </c>
      <c r="BP283" s="64">
        <f t="shared" si="40"/>
        <v>0.13736263736263737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60</v>
      </c>
      <c r="Y284" s="634">
        <f t="shared" si="36"/>
        <v>60</v>
      </c>
      <c r="Z284" s="36">
        <f>IFERROR(IF(Y284=0,"",ROUNDUP(Y284/H284,0)*0.00651),"")</f>
        <v>0.16275000000000001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66.45</v>
      </c>
      <c r="BN284" s="64">
        <f t="shared" si="38"/>
        <v>66.45</v>
      </c>
      <c r="BO284" s="64">
        <f t="shared" si="39"/>
        <v>0.13736263736263737</v>
      </c>
      <c r="BP284" s="64">
        <f t="shared" si="40"/>
        <v>0.13736263736263737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286.66666666666669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288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1.8748800000000001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688</v>
      </c>
      <c r="Y287" s="635">
        <f>IFERROR(SUM(Y275:Y285),"0")</f>
        <v>691.19999999999993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9</v>
      </c>
      <c r="Y333" s="634">
        <f>IFERROR(IF(X333="",0,CEILING((X333/$H333),1)*$H333),"")</f>
        <v>9.6</v>
      </c>
      <c r="Z333" s="36">
        <f>IFERROR(IF(Y333=0,"",ROUNDUP(Y333/H333,0)*0.00651),"")</f>
        <v>2.6040000000000001E-2</v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9.9450000000000021</v>
      </c>
      <c r="BN333" s="64">
        <f>IFERROR(Y333*I333/H333,"0")</f>
        <v>10.608000000000001</v>
      </c>
      <c r="BO333" s="64">
        <f>IFERROR(1/J333*(X333/H333),"0")</f>
        <v>2.0604395604395608E-2</v>
      </c>
      <c r="BP333" s="64">
        <f>IFERROR(1/J333*(Y333/H333),"0")</f>
        <v>2.197802197802198E-2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3.75</v>
      </c>
      <c r="Y335" s="635">
        <f>IFERROR(Y332/H332,"0")+IFERROR(Y333/H333,"0")+IFERROR(Y334/H334,"0")</f>
        <v>4</v>
      </c>
      <c r="Z335" s="635">
        <f>IFERROR(IF(Z332="",0,Z332),"0")+IFERROR(IF(Z333="",0,Z333),"0")+IFERROR(IF(Z334="",0,Z334),"0")</f>
        <v>2.6040000000000001E-2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9</v>
      </c>
      <c r="Y336" s="635">
        <f>IFERROR(SUM(Y332:Y334),"0")</f>
        <v>9.6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15</v>
      </c>
      <c r="Y362" s="634">
        <f>IFERROR(IF(X362="",0,CEILING((X362/$H362),1)*$H362),"")</f>
        <v>15.6</v>
      </c>
      <c r="Z362" s="36">
        <f>IFERROR(IF(Y362=0,"",ROUNDUP(Y362/H362,0)*0.01898),"")</f>
        <v>3.7960000000000001E-2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15.78846153846154</v>
      </c>
      <c r="BN362" s="64">
        <f>IFERROR(Y362*I362/H362,"0")</f>
        <v>16.420000000000002</v>
      </c>
      <c r="BO362" s="64">
        <f>IFERROR(1/J362*(X362/H362),"0")</f>
        <v>3.0048076923076924E-2</v>
      </c>
      <c r="BP362" s="64">
        <f>IFERROR(1/J362*(Y362/H362),"0")</f>
        <v>3.125E-2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60</v>
      </c>
      <c r="Y363" s="634">
        <f>IFERROR(IF(X363="",0,CEILING((X363/$H363),1)*$H363),"")</f>
        <v>62.4</v>
      </c>
      <c r="Z363" s="36">
        <f>IFERROR(IF(Y363=0,"",ROUNDUP(Y363/H363,0)*0.01898),"")</f>
        <v>0.15184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63.15384615384616</v>
      </c>
      <c r="BN363" s="64">
        <f>IFERROR(Y363*I363/H363,"0")</f>
        <v>65.680000000000007</v>
      </c>
      <c r="BO363" s="64">
        <f>IFERROR(1/J363*(X363/H363),"0")</f>
        <v>0.1201923076923077</v>
      </c>
      <c r="BP363" s="64">
        <f>IFERROR(1/J363*(Y363/H363),"0")</f>
        <v>0.125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9.615384615384615</v>
      </c>
      <c r="Y365" s="635">
        <f>IFERROR(Y362/H362,"0")+IFERROR(Y363/H363,"0")+IFERROR(Y364/H364,"0")</f>
        <v>10</v>
      </c>
      <c r="Z365" s="635">
        <f>IFERROR(IF(Z362="",0,Z362),"0")+IFERROR(IF(Z363="",0,Z363),"0")+IFERROR(IF(Z364="",0,Z364),"0")</f>
        <v>0.1898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75</v>
      </c>
      <c r="Y366" s="635">
        <f>IFERROR(SUM(Y362:Y364),"0")</f>
        <v>78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6</v>
      </c>
      <c r="Y385" s="634">
        <f t="shared" si="56"/>
        <v>7.2</v>
      </c>
      <c r="Z385" s="36">
        <f>IFERROR(IF(Y385=0,"",ROUNDUP(Y385/H385,0)*0.00651),"")</f>
        <v>2.6040000000000001E-2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6.76</v>
      </c>
      <c r="BN385" s="64">
        <f t="shared" si="58"/>
        <v>8.1120000000000001</v>
      </c>
      <c r="BO385" s="64">
        <f t="shared" si="59"/>
        <v>1.8315018315018316E-2</v>
      </c>
      <c r="BP385" s="64">
        <f t="shared" si="60"/>
        <v>2.197802197802198E-2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3.333333333333333</v>
      </c>
      <c r="Y386" s="635">
        <f>IFERROR(Y379/H379,"0")+IFERROR(Y380/H380,"0")+IFERROR(Y381/H381,"0")+IFERROR(Y382/H382,"0")+IFERROR(Y383/H383,"0")+IFERROR(Y384/H384,"0")+IFERROR(Y385/H385,"0")</f>
        <v>4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2.6040000000000001E-2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6</v>
      </c>
      <c r="Y387" s="635">
        <f>IFERROR(SUM(Y379:Y385),"0")</f>
        <v>7.2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0</v>
      </c>
      <c r="Y397" s="634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0</v>
      </c>
      <c r="Y399" s="635">
        <f>IFERROR(Y396/H396,"0")+IFERROR(Y397/H397,"0")+IFERROR(Y398/H398,"0")</f>
        <v>0</v>
      </c>
      <c r="Z399" s="635">
        <f>IFERROR(IF(Z396="",0,Z396),"0")+IFERROR(IF(Z397="",0,Z397),"0")+IFERROR(IF(Z398="",0,Z398),"0")</f>
        <v>0</v>
      </c>
      <c r="AA399" s="636"/>
      <c r="AB399" s="636"/>
      <c r="AC399" s="636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0</v>
      </c>
      <c r="Y400" s="635">
        <f>IFERROR(SUM(Y396:Y398),"0")</f>
        <v>0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hidden="1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0</v>
      </c>
      <c r="Y409" s="634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0</v>
      </c>
      <c r="Y410" s="634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0</v>
      </c>
      <c r="Y411" s="634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0</v>
      </c>
      <c r="Y412" s="635">
        <f>IFERROR(Y409/H409,"0")+IFERROR(Y410/H410,"0")+IFERROR(Y411/H411,"0")</f>
        <v>0</v>
      </c>
      <c r="Z412" s="635">
        <f>IFERROR(IF(Z409="",0,Z409),"0")+IFERROR(IF(Z410="",0,Z410),"0")+IFERROR(IF(Z411="",0,Z411),"0")</f>
        <v>0</v>
      </c>
      <c r="AA412" s="636"/>
      <c r="AB412" s="636"/>
      <c r="AC412" s="636"/>
    </row>
    <row r="413" spans="1:68" hidden="1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0</v>
      </c>
      <c r="Y413" s="635">
        <f>IFERROR(SUM(Y409:Y411),"0")</f>
        <v>0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7</v>
      </c>
      <c r="Y431" s="634">
        <f>IFERROR(IF(X431="",0,CEILING((X431/$H431),1)*$H431),"")</f>
        <v>8.4</v>
      </c>
      <c r="Z431" s="36">
        <f>IFERROR(IF(Y431=0,"",ROUNDUP(Y431/H431,0)*0.00651),"")</f>
        <v>2.6040000000000001E-2</v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7.839999999999999</v>
      </c>
      <c r="BN431" s="64">
        <f>IFERROR(Y431*I431/H431,"0")</f>
        <v>9.4079999999999995</v>
      </c>
      <c r="BO431" s="64">
        <f>IFERROR(1/J431*(X431/H431),"0")</f>
        <v>1.8315018315018316E-2</v>
      </c>
      <c r="BP431" s="64">
        <f>IFERROR(1/J431*(Y431/H431),"0")</f>
        <v>2.197802197802198E-2</v>
      </c>
    </row>
    <row r="432" spans="1:68" ht="27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11</v>
      </c>
      <c r="Y432" s="634">
        <f>IFERROR(IF(X432="",0,CEILING((X432/$H432),1)*$H432),"")</f>
        <v>12.600000000000001</v>
      </c>
      <c r="Z432" s="36">
        <f>IFERROR(IF(Y432=0,"",ROUNDUP(Y432/H432,0)*0.00651),"")</f>
        <v>3.9059999999999997E-2</v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12.257142857142856</v>
      </c>
      <c r="BN432" s="64">
        <f>IFERROR(Y432*I432/H432,"0")</f>
        <v>14.040000000000001</v>
      </c>
      <c r="BO432" s="64">
        <f>IFERROR(1/J432*(X432/H432),"0")</f>
        <v>2.8780743066457355E-2</v>
      </c>
      <c r="BP432" s="64">
        <f>IFERROR(1/J432*(Y432/H432),"0")</f>
        <v>3.2967032967032968E-2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8.5714285714285712</v>
      </c>
      <c r="Y433" s="635">
        <f>IFERROR(Y430/H430,"0")+IFERROR(Y431/H431,"0")+IFERROR(Y432/H432,"0")</f>
        <v>10</v>
      </c>
      <c r="Z433" s="635">
        <f>IFERROR(IF(Z430="",0,Z430),"0")+IFERROR(IF(Z431="",0,Z431),"0")+IFERROR(IF(Z432="",0,Z432),"0")</f>
        <v>6.5099999999999991E-2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18</v>
      </c>
      <c r="Y434" s="635">
        <f>IFERROR(SUM(Y430:Y432),"0")</f>
        <v>21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300</v>
      </c>
      <c r="Y439" s="634">
        <f t="shared" si="61"/>
        <v>300</v>
      </c>
      <c r="Z439" s="36">
        <f>IFERROR(IF(Y439=0,"",ROUNDUP(Y439/H439,0)*0.02175),"")</f>
        <v>0.43499999999999994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309.39999999999998</v>
      </c>
      <c r="BN439" s="64">
        <f t="shared" si="63"/>
        <v>309.39999999999998</v>
      </c>
      <c r="BO439" s="64">
        <f t="shared" si="64"/>
        <v>0.41666666666666663</v>
      </c>
      <c r="BP439" s="64">
        <f t="shared" si="65"/>
        <v>0.41666666666666663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618</v>
      </c>
      <c r="Y440" s="634">
        <f t="shared" si="61"/>
        <v>630</v>
      </c>
      <c r="Z440" s="36">
        <f>IFERROR(IF(Y440=0,"",ROUNDUP(Y440/H440,0)*0.02175),"")</f>
        <v>0.91349999999999998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637.36400000000003</v>
      </c>
      <c r="BN440" s="64">
        <f t="shared" si="63"/>
        <v>649.74</v>
      </c>
      <c r="BO440" s="64">
        <f t="shared" si="64"/>
        <v>0.85833333333333339</v>
      </c>
      <c r="BP440" s="64">
        <f t="shared" si="65"/>
        <v>0.875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451</v>
      </c>
      <c r="Y441" s="634">
        <f t="shared" si="61"/>
        <v>465</v>
      </c>
      <c r="Z441" s="36">
        <f>IFERROR(IF(Y441=0,"",ROUNDUP(Y441/H441,0)*0.02175),"")</f>
        <v>0.6742499999999999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465.13133333333337</v>
      </c>
      <c r="BN441" s="64">
        <f t="shared" si="63"/>
        <v>479.57</v>
      </c>
      <c r="BO441" s="64">
        <f t="shared" si="64"/>
        <v>0.62638888888888888</v>
      </c>
      <c r="BP441" s="64">
        <f t="shared" si="65"/>
        <v>0.64583333333333326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330</v>
      </c>
      <c r="Y442" s="634">
        <f t="shared" si="61"/>
        <v>330</v>
      </c>
      <c r="Z442" s="36">
        <f>IFERROR(IF(Y442=0,"",ROUNDUP(Y442/H442,0)*0.02175),"")</f>
        <v>0.47849999999999998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340.34000000000003</v>
      </c>
      <c r="BN442" s="64">
        <f t="shared" si="63"/>
        <v>340.34000000000003</v>
      </c>
      <c r="BO442" s="64">
        <f t="shared" si="64"/>
        <v>0.45833333333333331</v>
      </c>
      <c r="BP442" s="64">
        <f t="shared" si="65"/>
        <v>0.45833333333333331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113.26666666666667</v>
      </c>
      <c r="Y446" s="635">
        <f>IFERROR(Y438/H438,"0")+IFERROR(Y439/H439,"0")+IFERROR(Y440/H440,"0")+IFERROR(Y441/H441,"0")+IFERROR(Y442/H442,"0")+IFERROR(Y443/H443,"0")+IFERROR(Y444/H444,"0")+IFERROR(Y445/H445,"0")</f>
        <v>115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2.5012499999999998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1699</v>
      </c>
      <c r="Y447" s="635">
        <f>IFERROR(SUM(Y438:Y445),"0")</f>
        <v>1725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757</v>
      </c>
      <c r="Y449" s="634">
        <f>IFERROR(IF(X449="",0,CEILING((X449/$H449),1)*$H449),"")</f>
        <v>765</v>
      </c>
      <c r="Z449" s="36">
        <f>IFERROR(IF(Y449=0,"",ROUNDUP(Y449/H449,0)*0.02175),"")</f>
        <v>1.1092499999999998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780.71933333333334</v>
      </c>
      <c r="BN449" s="64">
        <f>IFERROR(Y449*I449/H449,"0")</f>
        <v>788.97</v>
      </c>
      <c r="BO449" s="64">
        <f>IFERROR(1/J449*(X449/H449),"0")</f>
        <v>1.0513888888888889</v>
      </c>
      <c r="BP449" s="64">
        <f>IFERROR(1/J449*(Y449/H449),"0")</f>
        <v>1.0625</v>
      </c>
    </row>
    <row r="450" spans="1:68" ht="27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23</v>
      </c>
      <c r="Y450" s="634">
        <f>IFERROR(IF(X450="",0,CEILING((X450/$H450),1)*$H450),"")</f>
        <v>30</v>
      </c>
      <c r="Z450" s="36">
        <f>IFERROR(IF(Y450=0,"",ROUNDUP(Y450/H450,0)*0.02175),"")</f>
        <v>4.3499999999999997E-2</v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23.720666666666666</v>
      </c>
      <c r="BN450" s="64">
        <f>IFERROR(Y450*I450/H450,"0")</f>
        <v>30.94</v>
      </c>
      <c r="BO450" s="64">
        <f>IFERROR(1/J450*(X450/H450),"0")</f>
        <v>3.1944444444444442E-2</v>
      </c>
      <c r="BP450" s="64">
        <f>IFERROR(1/J450*(Y450/H450),"0")</f>
        <v>4.1666666666666664E-2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52</v>
      </c>
      <c r="Y452" s="635">
        <f>IFERROR(Y449/H449,"0")+IFERROR(Y450/H450,"0")+IFERROR(Y451/H451,"0")</f>
        <v>53</v>
      </c>
      <c r="Z452" s="635">
        <f>IFERROR(IF(Z449="",0,Z449),"0")+IFERROR(IF(Z450="",0,Z450),"0")+IFERROR(IF(Z451="",0,Z451),"0")</f>
        <v>1.1527499999999999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780</v>
      </c>
      <c r="Y453" s="635">
        <f>IFERROR(SUM(Y449:Y451),"0")</f>
        <v>795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hidden="1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0</v>
      </c>
      <c r="Y476" s="634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0</v>
      </c>
      <c r="Y479" s="635">
        <f>IFERROR(Y476/H476,"0")+IFERROR(Y477/H477,"0")+IFERROR(Y478/H478,"0")</f>
        <v>0</v>
      </c>
      <c r="Z479" s="635">
        <f>IFERROR(IF(Z476="",0,Z476),"0")+IFERROR(IF(Z477="",0,Z477),"0")+IFERROR(IF(Z478="",0,Z478),"0")</f>
        <v>0</v>
      </c>
      <c r="AA479" s="636"/>
      <c r="AB479" s="636"/>
      <c r="AC479" s="636"/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0</v>
      </c>
      <c r="Y480" s="635">
        <f>IFERROR(SUM(Y476:Y478),"0")</f>
        <v>0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6</v>
      </c>
      <c r="Y512" s="634">
        <f t="shared" si="71"/>
        <v>10.56</v>
      </c>
      <c r="Z512" s="36">
        <f>IFERROR(IF(Y512=0,"",ROUNDUP(Y512/H512,0)*0.01196),"")</f>
        <v>2.392E-2</v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6.3977272727272725</v>
      </c>
      <c r="BN512" s="64">
        <f t="shared" si="73"/>
        <v>11.26</v>
      </c>
      <c r="BO512" s="64">
        <f t="shared" si="74"/>
        <v>1.0926573426573426E-2</v>
      </c>
      <c r="BP512" s="64">
        <f t="shared" si="75"/>
        <v>1.9230769230769232E-2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100</v>
      </c>
      <c r="Y513" s="634">
        <f t="shared" si="71"/>
        <v>100.32000000000001</v>
      </c>
      <c r="Z513" s="36">
        <f>IFERROR(IF(Y513=0,"",ROUNDUP(Y513/H513,0)*0.01196),"")</f>
        <v>0.22724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106.62878787878788</v>
      </c>
      <c r="BN513" s="64">
        <f t="shared" si="73"/>
        <v>106.97</v>
      </c>
      <c r="BO513" s="64">
        <f t="shared" si="74"/>
        <v>0.18210955710955709</v>
      </c>
      <c r="BP513" s="64">
        <f t="shared" si="75"/>
        <v>0.18269230769230771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200</v>
      </c>
      <c r="Y514" s="634">
        <f t="shared" si="71"/>
        <v>200.64000000000001</v>
      </c>
      <c r="Z514" s="36">
        <f>IFERROR(IF(Y514=0,"",ROUNDUP(Y514/H514,0)*0.01196),"")</f>
        <v>0.45448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213.25757575757575</v>
      </c>
      <c r="BN514" s="64">
        <f t="shared" si="73"/>
        <v>213.94</v>
      </c>
      <c r="BO514" s="64">
        <f t="shared" si="74"/>
        <v>0.36421911421911418</v>
      </c>
      <c r="BP514" s="64">
        <f t="shared" si="75"/>
        <v>0.36538461538461542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57.954545454545453</v>
      </c>
      <c r="Y518" s="635">
        <f>IFERROR(Y510/H510,"0")+IFERROR(Y511/H511,"0")+IFERROR(Y512/H512,"0")+IFERROR(Y513/H513,"0")+IFERROR(Y514/H514,"0")+IFERROR(Y515/H515,"0")+IFERROR(Y516/H516,"0")+IFERROR(Y517/H517,"0")</f>
        <v>59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0.70564000000000004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306</v>
      </c>
      <c r="Y519" s="635">
        <f>IFERROR(SUM(Y510:Y517),"0")</f>
        <v>311.52000000000004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200</v>
      </c>
      <c r="Y521" s="634">
        <f>IFERROR(IF(X521="",0,CEILING((X521/$H521),1)*$H521),"")</f>
        <v>200.64000000000001</v>
      </c>
      <c r="Z521" s="36">
        <f>IFERROR(IF(Y521=0,"",ROUNDUP(Y521/H521,0)*0.01196),"")</f>
        <v>0.45448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213.25757575757575</v>
      </c>
      <c r="BN521" s="64">
        <f>IFERROR(Y521*I521/H521,"0")</f>
        <v>213.94</v>
      </c>
      <c r="BO521" s="64">
        <f>IFERROR(1/J521*(X521/H521),"0")</f>
        <v>0.36421911421911418</v>
      </c>
      <c r="BP521" s="64">
        <f>IFERROR(1/J521*(Y521/H521),"0")</f>
        <v>0.36538461538461542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37.878787878787875</v>
      </c>
      <c r="Y524" s="635">
        <f>IFERROR(Y521/H521,"0")+IFERROR(Y522/H522,"0")+IFERROR(Y523/H523,"0")</f>
        <v>38</v>
      </c>
      <c r="Z524" s="635">
        <f>IFERROR(IF(Z521="",0,Z521),"0")+IFERROR(IF(Z522="",0,Z522),"0")+IFERROR(IF(Z523="",0,Z523),"0")</f>
        <v>0.45448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200</v>
      </c>
      <c r="Y525" s="635">
        <f>IFERROR(SUM(Y521:Y523),"0")</f>
        <v>200.64000000000001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300</v>
      </c>
      <c r="Y528" s="634">
        <f t="shared" si="76"/>
        <v>300.96000000000004</v>
      </c>
      <c r="Z528" s="36">
        <f>IFERROR(IF(Y528=0,"",ROUNDUP(Y528/H528,0)*0.01196),"")</f>
        <v>0.68171999999999999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319.88636363636363</v>
      </c>
      <c r="BN528" s="64">
        <f t="shared" si="78"/>
        <v>320.91000000000003</v>
      </c>
      <c r="BO528" s="64">
        <f t="shared" si="79"/>
        <v>0.54632867132867136</v>
      </c>
      <c r="BP528" s="64">
        <f t="shared" si="80"/>
        <v>0.54807692307692313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250</v>
      </c>
      <c r="Y529" s="634">
        <f t="shared" si="76"/>
        <v>253.44</v>
      </c>
      <c r="Z529" s="36">
        <f>IFERROR(IF(Y529=0,"",ROUNDUP(Y529/H529,0)*0.01196),"")</f>
        <v>0.57408000000000003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266.57196969696969</v>
      </c>
      <c r="BN529" s="64">
        <f t="shared" si="78"/>
        <v>270.23999999999995</v>
      </c>
      <c r="BO529" s="64">
        <f t="shared" si="79"/>
        <v>0.45527389277389274</v>
      </c>
      <c r="BP529" s="64">
        <f t="shared" si="80"/>
        <v>0.46153846153846156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104.16666666666666</v>
      </c>
      <c r="Y534" s="635">
        <f>IFERROR(Y527/H527,"0")+IFERROR(Y528/H528,"0")+IFERROR(Y529/H529,"0")+IFERROR(Y530/H530,"0")+IFERROR(Y531/H531,"0")+IFERROR(Y532/H532,"0")+IFERROR(Y533/H533,"0")</f>
        <v>105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1.2558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550</v>
      </c>
      <c r="Y535" s="635">
        <f>IFERROR(SUM(Y527:Y533),"0")</f>
        <v>554.40000000000009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4958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5054.7400000000016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5213.010737065405</v>
      </c>
      <c r="Y565" s="635">
        <f>IFERROR(SUM(BN22:BN561),"0")</f>
        <v>5314.2679999999991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9</v>
      </c>
      <c r="Y566" s="38">
        <f>ROUNDUP(SUM(BP22:BP561),0)</f>
        <v>9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5438.010737065405</v>
      </c>
      <c r="Y567" s="635">
        <f>GrossWeightTotalR+PalletQtyTotalR*25</f>
        <v>5539.2679999999991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809.96073494406835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824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9.5411600000000014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10.8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43.600000000000009</v>
      </c>
      <c r="F574" s="46">
        <f>IFERROR(Y89*1,"0")+IFERROR(Y90*1,"0")+IFERROR(Y91*1,"0")+IFERROR(Y92*1,"0")+IFERROR(Y93*1,"0")+IFERROR(Y94*1,"0")+IFERROR(Y98*1,"0")+IFERROR(Y99*1,"0")+IFERROR(Y100*1,"0")+IFERROR(Y101*1,"0")</f>
        <v>0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51.3</v>
      </c>
      <c r="H574" s="46">
        <f>IFERROR(Y135*1,"0")+IFERROR(Y136*1,"0")+IFERROR(Y140*1,"0")+IFERROR(Y141*1,"0")+IFERROR(Y145*1,"0")+IFERROR(Y146*1,"0")</f>
        <v>5.28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105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92.4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1044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9.6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78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7.2</v>
      </c>
      <c r="V574" s="46">
        <f>IFERROR(Y422*1,"0")+IFERROR(Y423*1,"0")+IFERROR(Y424*1,"0")+IFERROR(Y425*1,"0")</f>
        <v>0</v>
      </c>
      <c r="W574" s="46">
        <f>IFERROR(Y430*1,"0")+IFERROR(Y431*1,"0")+IFERROR(Y432*1,"0")</f>
        <v>21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2520</v>
      </c>
      <c r="Y574" s="46">
        <f>IFERROR(Y467*1,"0")+IFERROR(Y468*1,"0")+IFERROR(Y472*1,"0")+IFERROR(Y476*1,"0")+IFERROR(Y477*1,"0")+IFERROR(Y478*1,"0")</f>
        <v>0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1066.5600000000002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6"/>
        <filter val="0,93"/>
        <filter val="1 699,00"/>
        <filter val="1,67"/>
        <filter val="1,73"/>
        <filter val="1,89"/>
        <filter val="10,00"/>
        <filter val="100,00"/>
        <filter val="104,17"/>
        <filter val="11,00"/>
        <filter val="113,27"/>
        <filter val="12,00"/>
        <filter val="14,00"/>
        <filter val="144,00"/>
        <filter val="15,00"/>
        <filter val="150,00"/>
        <filter val="18,00"/>
        <filter val="2,41"/>
        <filter val="2,67"/>
        <filter val="20,00"/>
        <filter val="200,00"/>
        <filter val="21,43"/>
        <filter val="23,00"/>
        <filter val="250,00"/>
        <filter val="26,00"/>
        <filter val="28,57"/>
        <filter val="286,67"/>
        <filter val="3,33"/>
        <filter val="3,75"/>
        <filter val="30,00"/>
        <filter val="300,00"/>
        <filter val="306,00"/>
        <filter val="330,00"/>
        <filter val="344,00"/>
        <filter val="348,00"/>
        <filter val="37,88"/>
        <filter val="4 958,00"/>
        <filter val="4,00"/>
        <filter val="451,00"/>
        <filter val="5 213,01"/>
        <filter val="5 438,01"/>
        <filter val="5,00"/>
        <filter val="50,00"/>
        <filter val="52,00"/>
        <filter val="550,00"/>
        <filter val="57,95"/>
        <filter val="6,00"/>
        <filter val="60,00"/>
        <filter val="618,00"/>
        <filter val="688,00"/>
        <filter val="7,00"/>
        <filter val="70,00"/>
        <filter val="71,11"/>
        <filter val="75,00"/>
        <filter val="757,00"/>
        <filter val="780,00"/>
        <filter val="8,57"/>
        <filter val="80,00"/>
        <filter val="809,96"/>
        <filter val="9"/>
        <filter val="9,00"/>
        <filter val="9,62"/>
        <filter val="90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2026-10-21T10:28:49Z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