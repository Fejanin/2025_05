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0,10 Патяка КИ КСК+НВ с филиалами 24,10\"/>
    </mc:Choice>
  </mc:AlternateContent>
  <xr:revisionPtr revIDLastSave="0" documentId="13_ncr:1_{277B3890-36CB-41DE-BA45-51012DD1B30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P547" i="2"/>
  <c r="BO547" i="2"/>
  <c r="BN547" i="2"/>
  <c r="BM547" i="2"/>
  <c r="Z547" i="2"/>
  <c r="Z548" i="2" s="1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N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Y469" i="2" s="1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N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N339" i="2" s="1"/>
  <c r="P339" i="2"/>
  <c r="X336" i="2"/>
  <c r="X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P313" i="2"/>
  <c r="X311" i="2"/>
  <c r="X310" i="2"/>
  <c r="BO309" i="2"/>
  <c r="BM309" i="2"/>
  <c r="Y309" i="2"/>
  <c r="Y310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Y261" i="2" s="1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Z130" i="2" s="1"/>
  <c r="Z131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Y458" i="2" l="1"/>
  <c r="Z175" i="2"/>
  <c r="BN175" i="2"/>
  <c r="Y311" i="2"/>
  <c r="Z27" i="2"/>
  <c r="BN27" i="2"/>
  <c r="Z91" i="2"/>
  <c r="BN91" i="2"/>
  <c r="Z152" i="2"/>
  <c r="Z236" i="2"/>
  <c r="BN236" i="2"/>
  <c r="Z334" i="2"/>
  <c r="BN334" i="2"/>
  <c r="Z339" i="2"/>
  <c r="Z402" i="2"/>
  <c r="BN402" i="2"/>
  <c r="Z443" i="2"/>
  <c r="Y131" i="2"/>
  <c r="Y194" i="2"/>
  <c r="Z45" i="2"/>
  <c r="Z63" i="2"/>
  <c r="BP106" i="2"/>
  <c r="Z158" i="2"/>
  <c r="Z159" i="2" s="1"/>
  <c r="Z259" i="2"/>
  <c r="Z326" i="2"/>
  <c r="Z370" i="2"/>
  <c r="BN26" i="2"/>
  <c r="BP26" i="2"/>
  <c r="BP78" i="2"/>
  <c r="Z78" i="2"/>
  <c r="BP84" i="2"/>
  <c r="BN84" i="2"/>
  <c r="Z84" i="2"/>
  <c r="BN112" i="2"/>
  <c r="BN124" i="2"/>
  <c r="Z124" i="2"/>
  <c r="BN154" i="2"/>
  <c r="BN176" i="2"/>
  <c r="BP176" i="2"/>
  <c r="BN181" i="2"/>
  <c r="BN207" i="2"/>
  <c r="BN230" i="2"/>
  <c r="BN237" i="2"/>
  <c r="BN269" i="2"/>
  <c r="BN296" i="2"/>
  <c r="BP314" i="2"/>
  <c r="BN314" i="2"/>
  <c r="Z314" i="2"/>
  <c r="BN316" i="2"/>
  <c r="Z316" i="2"/>
  <c r="BN372" i="2"/>
  <c r="BP384" i="2"/>
  <c r="BN384" i="2"/>
  <c r="Z384" i="2"/>
  <c r="BN392" i="2"/>
  <c r="Z392" i="2"/>
  <c r="BN29" i="2"/>
  <c r="Y68" i="2"/>
  <c r="BN60" i="2"/>
  <c r="Z60" i="2"/>
  <c r="BN92" i="2"/>
  <c r="BN108" i="2"/>
  <c r="BP124" i="2"/>
  <c r="BN126" i="2"/>
  <c r="BP141" i="2"/>
  <c r="Z141" i="2"/>
  <c r="BP151" i="2"/>
  <c r="Z151" i="2"/>
  <c r="BN188" i="2"/>
  <c r="BP188" i="2"/>
  <c r="BN220" i="2"/>
  <c r="BN276" i="2"/>
  <c r="BP276" i="2"/>
  <c r="BN281" i="2"/>
  <c r="BP305" i="2"/>
  <c r="Y307" i="2"/>
  <c r="BP316" i="2"/>
  <c r="BN323" i="2"/>
  <c r="BN327" i="2"/>
  <c r="BP346" i="2"/>
  <c r="BN346" i="2"/>
  <c r="Z346" i="2"/>
  <c r="BN364" i="2"/>
  <c r="BN382" i="2"/>
  <c r="Z382" i="2"/>
  <c r="BP392" i="2"/>
  <c r="BP396" i="2"/>
  <c r="BN396" i="2"/>
  <c r="BN404" i="2"/>
  <c r="BN441" i="2"/>
  <c r="BP451" i="2"/>
  <c r="BN484" i="2"/>
  <c r="AA574" i="2"/>
  <c r="BN516" i="2"/>
  <c r="BN533" i="2"/>
  <c r="BP45" i="2"/>
  <c r="BN52" i="2"/>
  <c r="BN82" i="2"/>
  <c r="BN93" i="2"/>
  <c r="BN109" i="2"/>
  <c r="BN116" i="2"/>
  <c r="BN130" i="2"/>
  <c r="BN146" i="2"/>
  <c r="BN177" i="2"/>
  <c r="BN184" i="2"/>
  <c r="BN193" i="2"/>
  <c r="BN205" i="2"/>
  <c r="BN227" i="2"/>
  <c r="BN238" i="2"/>
  <c r="BP259" i="2"/>
  <c r="BN260" i="2"/>
  <c r="Y262" i="2"/>
  <c r="BN265" i="2"/>
  <c r="BN275" i="2"/>
  <c r="BN279" i="2"/>
  <c r="BN300" i="2"/>
  <c r="BN315" i="2"/>
  <c r="BP339" i="2"/>
  <c r="BN341" i="2"/>
  <c r="BN347" i="2"/>
  <c r="BP370" i="2"/>
  <c r="BN380" i="2"/>
  <c r="BN390" i="2"/>
  <c r="BN416" i="2"/>
  <c r="BN430" i="2"/>
  <c r="BP443" i="2"/>
  <c r="BN445" i="2"/>
  <c r="Z451" i="2"/>
  <c r="Z456" i="2"/>
  <c r="BN457" i="2"/>
  <c r="BN468" i="2"/>
  <c r="BN488" i="2"/>
  <c r="Z504" i="2"/>
  <c r="BN504" i="2"/>
  <c r="Z513" i="2"/>
  <c r="BN513" i="2"/>
  <c r="BN515" i="2"/>
  <c r="BN529" i="2"/>
  <c r="X565" i="2"/>
  <c r="Z29" i="2"/>
  <c r="BN42" i="2"/>
  <c r="Z52" i="2"/>
  <c r="Z77" i="2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BP410" i="2"/>
  <c r="BN410" i="2"/>
  <c r="Y413" i="2"/>
  <c r="Y453" i="2"/>
  <c r="BP449" i="2"/>
  <c r="Y452" i="2"/>
  <c r="BN449" i="2"/>
  <c r="Z449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301" i="2"/>
  <c r="Z313" i="2"/>
  <c r="Z324" i="2"/>
  <c r="Y376" i="2"/>
  <c r="Y386" i="2"/>
  <c r="Y394" i="2"/>
  <c r="Z403" i="2"/>
  <c r="BP405" i="2"/>
  <c r="BP456" i="2"/>
  <c r="Z477" i="2"/>
  <c r="Z489" i="2"/>
  <c r="Z502" i="2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399" i="2" l="1"/>
  <c r="Z469" i="2"/>
  <c r="Z393" i="2"/>
  <c r="Z376" i="2"/>
  <c r="Z505" i="2"/>
  <c r="Z479" i="2"/>
  <c r="Z317" i="2"/>
  <c r="Z291" i="2"/>
  <c r="Z433" i="2"/>
  <c r="Z79" i="2"/>
  <c r="X567" i="2"/>
  <c r="Z190" i="2"/>
  <c r="Z55" i="2"/>
  <c r="Z102" i="2"/>
  <c r="Z412" i="2"/>
  <c r="Z406" i="2"/>
  <c r="Z120" i="2"/>
  <c r="Z95" i="2"/>
  <c r="Z142" i="2"/>
  <c r="Z418" i="2"/>
  <c r="Z155" i="2"/>
  <c r="Z127" i="2"/>
  <c r="Z349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<sst xmlns="http://schemas.openxmlformats.org/spreadsheetml/2006/main" count="4287" uniqueCount="917">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</sst>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46314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Понедельник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20</v>
      </c>
      <c r="Y51" s="55">
        <f>IFERROR(IF(X51="",0,CEILING((X51/$H51),1)*$H51),"")</f>
        <v>21.6</v>
      </c>
      <c r="Z51" s="41">
        <f>IFERROR(IF(Y51=0,"",ROUNDUP(Y51/H51,0)*0.01898),"")</f>
        <v>3.7960000000000001E-2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20.75925925925926</v>
      </c>
      <c r="BN51" s="78">
        <f>IFERROR(Y51*I51/H51,"0")</f>
        <v>22.42</v>
      </c>
      <c r="BO51" s="78">
        <f>IFERROR(1/J51*(X51/H51),"0")</f>
        <v>2.8935185185185182E-2</v>
      </c>
      <c r="BP51" s="78">
        <f>IFERROR(1/J51*(Y51/H51),"0")</f>
        <v>3.125E-2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19.2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20.112000000000002</v>
      </c>
      <c r="BN53" s="78">
        <f>IFERROR(Y53*I53/H53,"0")</f>
        <v>20.950000000000003</v>
      </c>
      <c r="BO53" s="78">
        <f>IFERROR(1/J53*(X53/H53),"0")</f>
        <v>3.6363636363636362E-2</v>
      </c>
      <c r="BP53" s="78">
        <f>IFERROR(1/J53*(Y53/H53),"0")</f>
        <v>3.787878787878788E-2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6.6518518518518519</v>
      </c>
      <c r="Y55" s="43">
        <f>IFERROR(Y51/H51,"0")+IFERROR(Y52/H52,"0")+IFERROR(Y53/H53,"0")+IFERROR(Y54/H54,"0")</f>
        <v>7</v>
      </c>
      <c r="Z55" s="43">
        <f>IFERROR(IF(Z51="",0,Z51),"0")+IFERROR(IF(Z52="",0,Z52),"0")+IFERROR(IF(Z53="",0,Z53),"0")+IFERROR(IF(Z54="",0,Z54),"0")</f>
        <v>8.3059999999999995E-2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39.200000000000003</v>
      </c>
      <c r="Y56" s="43">
        <f>IFERROR(SUM(Y51:Y54),"0")</f>
        <v>41.6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2.7777777777777777</v>
      </c>
      <c r="Y74" s="43">
        <f>IFERROR(Y70/H70,"0")+IFERROR(Y71/H71,"0")+IFERROR(Y72/H72,"0")+IFERROR(Y73/H73,"0")</f>
        <v>3.0000000000000004</v>
      </c>
      <c r="Z74" s="43">
        <f>IFERROR(IF(Z70="",0,Z70),"0")+IFERROR(IF(Z71="",0,Z71),"0")+IFERROR(IF(Z72="",0,Z72),"0")+IFERROR(IF(Z73="",0,Z73),"0")</f>
        <v>5.6940000000000004E-2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30</v>
      </c>
      <c r="Y75" s="43">
        <f>IFERROR(SUM(Y70:Y73),"0")</f>
        <v>32.400000000000006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50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51.898148148148145</v>
      </c>
      <c r="BN89" s="78">
        <f t="shared" ref="BN89:BN94" si="7">IFERROR(Y89*I89/H89,"0")</f>
        <v>56.05</v>
      </c>
      <c r="BO89" s="78">
        <f t="shared" ref="BO89:BO94" si="8">IFERROR(1/J89*(X89/H89),"0")</f>
        <v>7.2337962962962965E-2</v>
      </c>
      <c r="BP89" s="78">
        <f t="shared" ref="BP89:BP94" si="9">IFERROR(1/J89*(Y89/H89),"0")</f>
        <v>7.8125E-2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21.6</v>
      </c>
      <c r="Y94" s="55">
        <f t="shared" si="5"/>
        <v>22.5</v>
      </c>
      <c r="Z94" s="41">
        <f>IFERROR(IF(Y94=0,"",ROUNDUP(Y94/H94,0)*0.00902),"")</f>
        <v>4.5100000000000001E-2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22.512000000000004</v>
      </c>
      <c r="BN94" s="78">
        <f t="shared" si="7"/>
        <v>23.450000000000003</v>
      </c>
      <c r="BO94" s="78">
        <f t="shared" si="8"/>
        <v>3.6363636363636369E-2</v>
      </c>
      <c r="BP94" s="78">
        <f t="shared" si="9"/>
        <v>3.787878787878788E-2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9.4296296296296305</v>
      </c>
      <c r="Y95" s="43">
        <f>IFERROR(Y89/H89,"0")+IFERROR(Y90/H90,"0")+IFERROR(Y91/H91,"0")+IFERROR(Y92/H92,"0")+IFERROR(Y93/H93,"0")+IFERROR(Y94/H94,"0")</f>
        <v>10</v>
      </c>
      <c r="Z95" s="43">
        <f>IFERROR(IF(Z89="",0,Z89),"0")+IFERROR(IF(Z90="",0,Z90),"0")+IFERROR(IF(Z91="",0,Z91),"0")+IFERROR(IF(Z92="",0,Z92),"0")+IFERROR(IF(Z93="",0,Z93),"0")+IFERROR(IF(Z94="",0,Z94),"0")</f>
        <v>0.14000000000000001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71.599999999999994</v>
      </c>
      <c r="Y96" s="43">
        <f>IFERROR(SUM(Y89:Y94),"0")</f>
        <v>76.5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27</v>
      </c>
      <c r="Y100" s="55">
        <f>IFERROR(IF(X100="",0,CEILING((X100/$H100),1)*$H100),"")</f>
        <v>27</v>
      </c>
      <c r="Z100" s="41">
        <f>IFERROR(IF(Y100=0,"",ROUNDUP(Y100/H100,0)*0.00651),"")</f>
        <v>6.5100000000000005E-2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29.519999999999996</v>
      </c>
      <c r="BN100" s="78">
        <f>IFERROR(Y100*I100/H100,"0")</f>
        <v>29.519999999999996</v>
      </c>
      <c r="BO100" s="78">
        <f>IFERROR(1/J100*(X100/H100),"0")</f>
        <v>5.4945054945054951E-2</v>
      </c>
      <c r="BP100" s="78">
        <f>IFERROR(1/J100*(Y100/H100),"0")</f>
        <v>5.4945054945054951E-2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10</v>
      </c>
      <c r="Y102" s="43">
        <f>IFERROR(Y98/H98,"0")+IFERROR(Y99/H99,"0")+IFERROR(Y100/H100,"0")+IFERROR(Y101/H101,"0")</f>
        <v>10</v>
      </c>
      <c r="Z102" s="43">
        <f>IFERROR(IF(Z98="",0,Z98),"0")+IFERROR(IF(Z99="",0,Z99),"0")+IFERROR(IF(Z100="",0,Z100),"0")+IFERROR(IF(Z101="",0,Z101),"0")</f>
        <v>6.5100000000000005E-2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27</v>
      </c>
      <c r="Y103" s="43">
        <f>IFERROR(SUM(Y98:Y101),"0")</f>
        <v>27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50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51.898148148148145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7.2337962962962965E-2</v>
      </c>
      <c r="BP106" s="78">
        <f t="shared" ref="BP106:BP112" si="14">IFERROR(1/J106*(Y106/H106),"0")</f>
        <v>7.8125E-2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21.6</v>
      </c>
      <c r="Y110" s="55">
        <f t="shared" si="10"/>
        <v>22.5</v>
      </c>
      <c r="Z110" s="41">
        <f>IFERROR(IF(Y110=0,"",ROUNDUP(Y110/H110,0)*0.00902),"")</f>
        <v>4.5100000000000001E-2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22.512000000000004</v>
      </c>
      <c r="BN110" s="78">
        <f t="shared" si="12"/>
        <v>23.450000000000003</v>
      </c>
      <c r="BO110" s="78">
        <f t="shared" si="13"/>
        <v>3.6363636363636369E-2</v>
      </c>
      <c r="BP110" s="78">
        <f t="shared" si="14"/>
        <v>3.787878787878788E-2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9.4296296296296305</v>
      </c>
      <c r="Y113" s="43">
        <f>IFERROR(Y106/H106,"0")+IFERROR(Y107/H107,"0")+IFERROR(Y108/H108,"0")+IFERROR(Y109/H109,"0")+IFERROR(Y110/H110,"0")+IFERROR(Y111/H111,"0")+IFERROR(Y112/H112,"0")</f>
        <v>10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0.14000000000000001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71.599999999999994</v>
      </c>
      <c r="Y114" s="43">
        <f>IFERROR(SUM(Y106:Y112),"0")</f>
        <v>76.5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27</v>
      </c>
      <c r="Y125" s="55">
        <f>IFERROR(IF(X125="",0,CEILING((X125/$H125),1)*$H125),"")</f>
        <v>27</v>
      </c>
      <c r="Z125" s="41">
        <f>IFERROR(IF(Y125=0,"",ROUNDUP(Y125/H125,0)*0.00651),"")</f>
        <v>6.5100000000000005E-2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29.519999999999996</v>
      </c>
      <c r="BN125" s="78">
        <f>IFERROR(Y125*I125/H125,"0")</f>
        <v>29.519999999999996</v>
      </c>
      <c r="BO125" s="78">
        <f>IFERROR(1/J125*(X125/H125),"0")</f>
        <v>5.4945054945054951E-2</v>
      </c>
      <c r="BP125" s="78">
        <f>IFERROR(1/J125*(Y125/H125),"0")</f>
        <v>5.4945054945054951E-2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10</v>
      </c>
      <c r="Y127" s="43">
        <f>IFERROR(Y123/H123,"0")+IFERROR(Y124/H124,"0")+IFERROR(Y125/H125,"0")+IFERROR(Y126/H126,"0")</f>
        <v>10</v>
      </c>
      <c r="Z127" s="43">
        <f>IFERROR(IF(Z123="",0,Z123),"0")+IFERROR(IF(Z124="",0,Z124),"0")+IFERROR(IF(Z125="",0,Z125),"0")+IFERROR(IF(Z126="",0,Z126),"0")</f>
        <v>6.5100000000000005E-2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27</v>
      </c>
      <c r="Y128" s="43">
        <f>IFERROR(SUM(Y123:Y126),"0")</f>
        <v>27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15</v>
      </c>
      <c r="Y218" s="55">
        <f t="shared" ref="Y218:Y231" si="26">IFERROR(IF(X218="",0,CEILING((X218/$H218),1)*$H218),"")</f>
        <v>16.8</v>
      </c>
      <c r="Z218" s="41">
        <f>IFERROR(IF(Y218=0,"",ROUNDUP(Y218/H218,0)*0.00902),"")</f>
        <v>3.6080000000000001E-2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15.892857142857142</v>
      </c>
      <c r="BN218" s="78">
        <f t="shared" ref="BN218:BN231" si="28">IFERROR(Y218*I218/H218,"0")</f>
        <v>17.8</v>
      </c>
      <c r="BO218" s="78">
        <f t="shared" ref="BO218:BO231" si="29">IFERROR(1/J218*(X218/H218),"0")</f>
        <v>2.7056277056277056E-2</v>
      </c>
      <c r="BP218" s="78">
        <f t="shared" ref="BP218:BP231" si="30">IFERROR(1/J218*(Y218/H218),"0")</f>
        <v>3.0303030303030304E-2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3.5714285714285712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4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3.6080000000000001E-2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15</v>
      </c>
      <c r="Y233" s="43">
        <f>IFERROR(SUM(Y218:Y231),"0")</f>
        <v>16.8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si="31"/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51.759259259259252</v>
      </c>
      <c r="BN265" s="78">
        <f t="shared" si="33"/>
        <v>55.9</v>
      </c>
      <c r="BO265" s="78">
        <f t="shared" si="34"/>
        <v>7.0145903479236812E-2</v>
      </c>
      <c r="BP265" s="78">
        <f t="shared" si="35"/>
        <v>7.575757575757576E-2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1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51.759259259259252</v>
      </c>
      <c r="BN267" s="78">
        <f t="shared" si="33"/>
        <v>55.9</v>
      </c>
      <c r="BO267" s="78">
        <f t="shared" si="34"/>
        <v>7.0145903479236812E-2</v>
      </c>
      <c r="BP267" s="78">
        <f t="shared" si="35"/>
        <v>7.575757575757576E-2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18.518518518518519</v>
      </c>
      <c r="Y272" s="43">
        <f>IFERROR(Y264/H264,"0")+IFERROR(Y265/H265,"0")+IFERROR(Y266/H266,"0")+IFERROR(Y267/H267,"0")+IFERROR(Y268/H268,"0")+IFERROR(Y269/H269,"0")+IFERROR(Y270/H270,"0")+IFERROR(Y271/H271,"0")</f>
        <v>20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0.1804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100</v>
      </c>
      <c r="Y273" s="43">
        <f>IFERROR(SUM(Y264:Y271),"0")</f>
        <v>108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25</v>
      </c>
      <c r="Y275" s="55">
        <f t="shared" ref="Y275:Y285" si="36">IFERROR(IF(X275="",0,CEILING((X275/$H275),1)*$H275),"")</f>
        <v>32.4</v>
      </c>
      <c r="Z275" s="41">
        <f>IFERROR(IF(Y275=0,"",ROUNDUP(Y275/H275,0)*0.01898),"")</f>
        <v>7.5920000000000001E-2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26.524691358024693</v>
      </c>
      <c r="BN275" s="78">
        <f t="shared" ref="BN275:BN285" si="38">IFERROR(Y275*I275/H275,"0")</f>
        <v>34.375999999999998</v>
      </c>
      <c r="BO275" s="78">
        <f t="shared" ref="BO275:BO285" si="39">IFERROR(1/J275*(X275/H275),"0")</f>
        <v>4.8225308641975308E-2</v>
      </c>
      <c r="BP275" s="78">
        <f t="shared" ref="BP275:BP285" si="40">IFERROR(1/J275*(Y275/H275),"0")</f>
        <v>6.25E-2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72</v>
      </c>
      <c r="Y278" s="55">
        <f t="shared" si="36"/>
        <v>72</v>
      </c>
      <c r="Z278" s="41">
        <f>IFERROR(IF(Y278=0,"",ROUNDUP(Y278/H278,0)*0.00651),"")</f>
        <v>0.1953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80.100000000000009</v>
      </c>
      <c r="BN278" s="78">
        <f t="shared" si="38"/>
        <v>80.100000000000009</v>
      </c>
      <c r="BO278" s="78">
        <f t="shared" si="39"/>
        <v>0.16483516483516486</v>
      </c>
      <c r="BP278" s="78">
        <f t="shared" si="40"/>
        <v>0.16483516483516486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48</v>
      </c>
      <c r="Y280" s="55">
        <f t="shared" si="36"/>
        <v>48</v>
      </c>
      <c r="Z280" s="41">
        <f>IFERROR(IF(Y280=0,"",ROUNDUP(Y280/H280,0)*0.00651),"")</f>
        <v>0.13020000000000001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53.040000000000006</v>
      </c>
      <c r="BN280" s="78">
        <f t="shared" si="38"/>
        <v>53.040000000000006</v>
      </c>
      <c r="BO280" s="78">
        <f t="shared" si="39"/>
        <v>0.1098901098901099</v>
      </c>
      <c r="BP280" s="78">
        <f t="shared" si="40"/>
        <v>0.1098901098901099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48</v>
      </c>
      <c r="Y282" s="55">
        <f t="shared" si="36"/>
        <v>48</v>
      </c>
      <c r="Z282" s="41">
        <f>IFERROR(IF(Y282=0,"",ROUNDUP(Y282/H282,0)*0.00651),"")</f>
        <v>0.13020000000000001</v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53.040000000000006</v>
      </c>
      <c r="BN282" s="78">
        <f t="shared" si="38"/>
        <v>53.040000000000006</v>
      </c>
      <c r="BO282" s="78">
        <f t="shared" si="39"/>
        <v>0.1098901098901099</v>
      </c>
      <c r="BP282" s="78">
        <f t="shared" si="40"/>
        <v>0.1098901098901099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72</v>
      </c>
      <c r="Y283" s="55">
        <f t="shared" si="36"/>
        <v>72</v>
      </c>
      <c r="Z283" s="41">
        <f>IFERROR(IF(Y283=0,"",ROUNDUP(Y283/H283,0)*0.00651),"")</f>
        <v>0.1953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79.560000000000016</v>
      </c>
      <c r="BN283" s="78">
        <f t="shared" si="38"/>
        <v>79.560000000000016</v>
      </c>
      <c r="BO283" s="78">
        <f t="shared" si="39"/>
        <v>0.16483516483516486</v>
      </c>
      <c r="BP283" s="78">
        <f t="shared" si="40"/>
        <v>0.16483516483516486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72</v>
      </c>
      <c r="Y284" s="55">
        <f t="shared" si="36"/>
        <v>72</v>
      </c>
      <c r="Z284" s="41">
        <f>IFERROR(IF(Y284=0,"",ROUNDUP(Y284/H284,0)*0.00651),"")</f>
        <v>0.1953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79.740000000000009</v>
      </c>
      <c r="BN284" s="78">
        <f t="shared" si="38"/>
        <v>79.740000000000009</v>
      </c>
      <c r="BO284" s="78">
        <f t="shared" si="39"/>
        <v>0.16483516483516486</v>
      </c>
      <c r="BP284" s="78">
        <f t="shared" si="40"/>
        <v>0.16483516483516486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133.08641975308643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134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0.92222000000000004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337</v>
      </c>
      <c r="Y287" s="43">
        <f>IFERROR(SUM(Y275:Y285),"0")</f>
        <v>344.4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56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31.785714285714285</v>
      </c>
      <c r="BN379" s="78">
        <f t="shared" ref="BN379:BN385" si="58">IFERROR(Y379*I379/H379,"0")</f>
        <v>35.6</v>
      </c>
      <c r="BO379" s="78">
        <f t="shared" ref="BO379:BO385" si="59">IFERROR(1/J379*(X379/H379),"0")</f>
        <v>5.4112554112554112E-2</v>
      </c>
      <c r="BP379" s="78">
        <f t="shared" ref="BP379:BP385" si="60">IFERROR(1/J379*(Y379/H379),"0")</f>
        <v>6.0606060606060608E-2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7.1428571428571423</v>
      </c>
      <c r="Y386" s="43">
        <f>IFERROR(Y379/H379,"0")+IFERROR(Y380/H380,"0")+IFERROR(Y381/H381,"0")+IFERROR(Y382/H382,"0")+IFERROR(Y383/H383,"0")+IFERROR(Y384/H384,"0")+IFERROR(Y385/H385,"0")</f>
        <v>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7.2160000000000002E-2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30</v>
      </c>
      <c r="Y387" s="43">
        <f>IFERROR(SUM(Y379:Y385),"0")</f>
        <v>33.6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1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1031.3333333333333</v>
      </c>
      <c r="BN439" s="78">
        <f t="shared" si="63"/>
        <v>1036.49</v>
      </c>
      <c r="BO439" s="78">
        <f t="shared" si="64"/>
        <v>1.3888888888888888</v>
      </c>
      <c r="BP439" s="78">
        <f t="shared" si="65"/>
        <v>1.3958333333333333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61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515.66666666666663</v>
      </c>
      <c r="BN440" s="78">
        <f t="shared" si="63"/>
        <v>525.98</v>
      </c>
      <c r="BO440" s="78">
        <f t="shared" si="64"/>
        <v>0.69444444444444442</v>
      </c>
      <c r="BP440" s="78">
        <f t="shared" si="65"/>
        <v>0.70833333333333326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500</v>
      </c>
      <c r="Y441" s="55">
        <f t="shared" si="61"/>
        <v>510</v>
      </c>
      <c r="Z441" s="41">
        <f>IFERROR(IF(Y441=0,"",ROUNDUP(Y441/H441,0)*0.02175),"")</f>
        <v>0.73949999999999994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515.66666666666663</v>
      </c>
      <c r="BN441" s="78">
        <f t="shared" si="63"/>
        <v>525.98</v>
      </c>
      <c r="BO441" s="78">
        <f t="shared" si="64"/>
        <v>0.69444444444444442</v>
      </c>
      <c r="BP441" s="78">
        <f t="shared" si="65"/>
        <v>0.70833333333333326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133.33333333333334</v>
      </c>
      <c r="Y446" s="43">
        <f>IFERROR(Y438/H438,"0")+IFERROR(Y439/H439,"0")+IFERROR(Y440/H440,"0")+IFERROR(Y441/H441,"0")+IFERROR(Y442/H442,"0")+IFERROR(Y443/H443,"0")+IFERROR(Y444/H444,"0")+IFERROR(Y445/H445,"0")</f>
        <v>135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2.9362499999999998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2000</v>
      </c>
      <c r="Y447" s="43">
        <f>IFERROR(SUM(Y438:Y445),"0")</f>
        <v>2025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510</v>
      </c>
      <c r="Z449" s="41">
        <f>IFERROR(IF(Y449=0,"",ROUNDUP(Y449/H449,0)*0.02175),"")</f>
        <v>0.73949999999999994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515.66666666666663</v>
      </c>
      <c r="BN449" s="78">
        <f>IFERROR(Y449*I449/H449,"0")</f>
        <v>525.98</v>
      </c>
      <c r="BO449" s="78">
        <f>IFERROR(1/J449*(X449/H449),"0")</f>
        <v>0.69444444444444442</v>
      </c>
      <c r="BP449" s="78">
        <f>IFERROR(1/J449*(Y449/H449),"0")</f>
        <v>0.70833333333333326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33.333333333333336</v>
      </c>
      <c r="Y452" s="43">
        <f>IFERROR(Y449/H449,"0")+IFERROR(Y450/H450,"0")+IFERROR(Y451/H451,"0")</f>
        <v>34</v>
      </c>
      <c r="Z452" s="43">
        <f>IFERROR(IF(Z449="",0,Z449),"0")+IFERROR(IF(Z450="",0,Z450),"0")+IFERROR(IF(Z451="",0,Z451),"0")</f>
        <v>0.73949999999999994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500</v>
      </c>
      <c r="Y453" s="43">
        <f>IFERROR(SUM(Y449:Y451),"0")</f>
        <v>510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54</v>
      </c>
      <c r="Z456" s="41">
        <f>IFERROR(IF(Y456=0,"",ROUNDUP(Y456/H456,0)*0.01898),"")</f>
        <v>0.11388000000000001</v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52.74444444444444</v>
      </c>
      <c r="BN456" s="78">
        <f>IFERROR(Y456*I456/H456,"0")</f>
        <v>56.963999999999992</v>
      </c>
      <c r="BO456" s="78">
        <f>IFERROR(1/J456*(X456/H456),"0")</f>
        <v>8.6805555555555552E-2</v>
      </c>
      <c r="BP456" s="78">
        <f>IFERROR(1/J456*(Y456/H456),"0")</f>
        <v>9.375E-2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5.5555555555555554</v>
      </c>
      <c r="Y458" s="43">
        <f>IFERROR(Y455/H455,"0")+IFERROR(Y456/H456,"0")+IFERROR(Y457/H457,"0")</f>
        <v>6</v>
      </c>
      <c r="Z458" s="43">
        <f>IFERROR(IF(Z455="",0,Z455),"0")+IFERROR(IF(Z456="",0,Z456),"0")+IFERROR(IF(Z457="",0,Z457),"0")</f>
        <v>0.11388000000000001</v>
      </c>
      <c r="AA458" s="67"/>
      <c r="AB458" s="67"/>
      <c r="AC458" s="67"/>
    </row>
    <row r="459" spans="1:68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50</v>
      </c>
      <c r="Y459" s="43">
        <f>IFERROR(SUM(Y455:Y457),"0")</f>
        <v>54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50</v>
      </c>
      <c r="Y476" s="55">
        <f>IFERROR(IF(X476="",0,CEILING((X476/$H476),1)*$H476),"")</f>
        <v>54</v>
      </c>
      <c r="Z476" s="41">
        <f>IFERROR(IF(Y476=0,"",ROUNDUP(Y476/H476,0)*0.01898),"")</f>
        <v>0.11388000000000001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52.74444444444444</v>
      </c>
      <c r="BN476" s="78">
        <f>IFERROR(Y476*I476/H476,"0")</f>
        <v>56.963999999999992</v>
      </c>
      <c r="BO476" s="78">
        <f>IFERROR(1/J476*(X476/H476),"0")</f>
        <v>8.6805555555555552E-2</v>
      </c>
      <c r="BP476" s="78">
        <f>IFERROR(1/J476*(Y476/H476),"0")</f>
        <v>9.375E-2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5.5555555555555554</v>
      </c>
      <c r="Y479" s="43">
        <f>IFERROR(Y476/H476,"0")+IFERROR(Y477/H477,"0")+IFERROR(Y478/H478,"0")</f>
        <v>6</v>
      </c>
      <c r="Z479" s="43">
        <f>IFERROR(IF(Z476="",0,Z476),"0")+IFERROR(IF(Z477="",0,Z477),"0")+IFERROR(IF(Z478="",0,Z478),"0")</f>
        <v>0.11388000000000001</v>
      </c>
      <c r="AA479" s="67"/>
      <c r="AB479" s="67"/>
      <c r="AC479" s="67"/>
    </row>
    <row r="480" spans="1:68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50</v>
      </c>
      <c r="Y480" s="43">
        <f>IFERROR(SUM(Y476:Y478),"0")</f>
        <v>54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si="66"/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31.05555555555555</v>
      </c>
      <c r="BN485" s="78">
        <f t="shared" si="68"/>
        <v>33.54</v>
      </c>
      <c r="BO485" s="78">
        <f t="shared" si="69"/>
        <v>4.208754208754209E-2</v>
      </c>
      <c r="BP485" s="78">
        <f t="shared" si="70"/>
        <v>4.5454545454545463E-2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8.4</v>
      </c>
      <c r="Y488" s="55">
        <f t="shared" si="66"/>
        <v>8.4</v>
      </c>
      <c r="Z488" s="41">
        <f>IFERROR(IF(Y488=0,"",ROUNDUP(Y488/H488,0)*0.00502),"")</f>
        <v>2.0080000000000001E-2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8.92</v>
      </c>
      <c r="BN488" s="78">
        <f t="shared" si="68"/>
        <v>8.92</v>
      </c>
      <c r="BO488" s="78">
        <f t="shared" si="69"/>
        <v>1.7094017094017096E-2</v>
      </c>
      <c r="BP488" s="78">
        <f t="shared" si="70"/>
        <v>1.7094017094017096E-2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4.2</v>
      </c>
      <c r="Y489" s="55">
        <f t="shared" si="66"/>
        <v>4.2</v>
      </c>
      <c r="Z489" s="41">
        <f>IFERROR(IF(Y489=0,"",ROUNDUP(Y489/H489,0)*0.00502),"")</f>
        <v>1.004E-2</v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4.46</v>
      </c>
      <c r="BN489" s="78">
        <f t="shared" si="68"/>
        <v>4.46</v>
      </c>
      <c r="BO489" s="78">
        <f t="shared" si="69"/>
        <v>8.5470085470085479E-3</v>
      </c>
      <c r="BP489" s="78">
        <f t="shared" si="70"/>
        <v>8.5470085470085479E-3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11.555555555555555</v>
      </c>
      <c r="Y490" s="43">
        <f>IFERROR(Y484/H484,"0")+IFERROR(Y485/H485,"0")+IFERROR(Y486/H486,"0")+IFERROR(Y487/H487,"0")+IFERROR(Y488/H488,"0")+IFERROR(Y489/H489,"0")</f>
        <v>12</v>
      </c>
      <c r="Z490" s="43">
        <f>IFERROR(IF(Z484="",0,Z484),"0")+IFERROR(IF(Z485="",0,Z485),"0")+IFERROR(IF(Z486="",0,Z486),"0")+IFERROR(IF(Z487="",0,Z487),"0")+IFERROR(IF(Z488="",0,Z488),"0")+IFERROR(IF(Z489="",0,Z489),"0")</f>
        <v>8.4240000000000009E-2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42.6</v>
      </c>
      <c r="Y491" s="43">
        <f>IFERROR(SUM(Y484:Y489),"0")</f>
        <v>45.000000000000007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18.939393939393938</v>
      </c>
      <c r="Y518" s="43">
        <f>IFERROR(Y510/H510,"0")+IFERROR(Y511/H511,"0")+IFERROR(Y512/H512,"0")+IFERROR(Y513/H513,"0")+IFERROR(Y514/H514,"0")+IFERROR(Y515/H515,"0")+IFERROR(Y516/H516,"0")+IFERROR(Y517/H517,"0")</f>
        <v>20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0.2392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100</v>
      </c>
      <c r="Y519" s="43">
        <f>IFERROR(SUM(Y510:Y517),"0")</f>
        <v>105.60000000000001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7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53.314393939393938</v>
      </c>
      <c r="BN527" s="78">
        <f t="shared" ref="BN527:BN533" si="78">IFERROR(Y527*I527/H527,"0")</f>
        <v>56.3</v>
      </c>
      <c r="BO527" s="78">
        <f t="shared" ref="BO527:BO533" si="79">IFERROR(1/J527*(X527/H527),"0")</f>
        <v>9.1054778554778545E-2</v>
      </c>
      <c r="BP527" s="78">
        <f t="shared" ref="BP527:BP533" si="80">IFERROR(1/J527*(Y527/H527),"0")</f>
        <v>9.6153846153846159E-2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7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53.314393939393938</v>
      </c>
      <c r="BN528" s="78">
        <f t="shared" si="78"/>
        <v>56.3</v>
      </c>
      <c r="BO528" s="78">
        <f t="shared" si="79"/>
        <v>9.1054778554778545E-2</v>
      </c>
      <c r="BP528" s="78">
        <f t="shared" si="80"/>
        <v>9.6153846153846159E-2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40</v>
      </c>
      <c r="Y529" s="55">
        <f t="shared" si="76"/>
        <v>42.24</v>
      </c>
      <c r="Z529" s="41">
        <f>IFERROR(IF(Y529=0,"",ROUNDUP(Y529/H529,0)*0.01196),"")</f>
        <v>9.5680000000000001E-2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42.651515151515149</v>
      </c>
      <c r="BN529" s="78">
        <f t="shared" si="78"/>
        <v>45.04</v>
      </c>
      <c r="BO529" s="78">
        <f t="shared" si="79"/>
        <v>7.2843822843822847E-2</v>
      </c>
      <c r="BP529" s="78">
        <f t="shared" si="80"/>
        <v>7.6923076923076927E-2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26.515151515151512</v>
      </c>
      <c r="Y534" s="43">
        <f>IFERROR(Y527/H527,"0")+IFERROR(Y528/H528,"0")+IFERROR(Y529/H529,"0")+IFERROR(Y530/H530,"0")+IFERROR(Y531/H531,"0")+IFERROR(Y532/H532,"0")+IFERROR(Y533/H533,"0")</f>
        <v>28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0.33488000000000001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140</v>
      </c>
      <c r="Y535" s="43">
        <f>IFERROR(SUM(Y527:Y533),"0")</f>
        <v>147.84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3631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3725.2400000000002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3787.2390944364279</v>
      </c>
      <c r="Y565" s="43">
        <f>IFERROR(SUM(BN22:BN561),"0")</f>
        <v>3885.6140000000005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6</v>
      </c>
      <c r="Y566" s="44">
        <f>ROUNDUP(SUM(BP22:BP561),0)</f>
        <v>6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3937.2390944364279</v>
      </c>
      <c r="Y567" s="43">
        <f>GrossWeightTotalR+PalletQtyTotalR*25</f>
        <v>4035.6140000000005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445.39599166265828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457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6.3228900000000001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41.6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32.400000000000006</v>
      </c>
      <c r="F574" s="52">
        <f>IFERROR(Y89*1,"0")+IFERROR(Y90*1,"0")+IFERROR(Y91*1,"0")+IFERROR(Y92*1,"0")+IFERROR(Y93*1,"0")+IFERROR(Y94*1,"0")+IFERROR(Y98*1,"0")+IFERROR(Y99*1,"0")+IFERROR(Y100*1,"0")+IFERROR(Y101*1,"0")</f>
        <v>103.5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103.5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16.8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452.4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33.6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2589</v>
      </c>
      <c r="Y574" s="52">
        <f>IFERROR(Y467*1,"0")+IFERROR(Y468*1,"0")+IFERROR(Y472*1,"0")+IFERROR(Y476*1,"0")+IFERROR(Y477*1,"0")+IFERROR(Y478*1,"0")</f>
        <v>54</v>
      </c>
      <c r="Z574" s="52">
        <f>IFERROR(Y484*1,"0")+IFERROR(Y485*1,"0")+IFERROR(Y486*1,"0")+IFERROR(Y487*1,"0")+IFERROR(Y488*1,"0")+IFERROR(Y489*1,"0")+IFERROR(Y493*1,"0")</f>
        <v>45.000000000000007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253.44000000000003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,00"/>
        <filter val="100,00"/>
        <filter val="11,56"/>
        <filter val="133,09"/>
        <filter val="133,33"/>
        <filter val="140,00"/>
        <filter val="15,00"/>
        <filter val="18,52"/>
        <filter val="18,94"/>
        <filter val="19,20"/>
        <filter val="2 000,00"/>
        <filter val="2,78"/>
        <filter val="20,00"/>
        <filter val="21,60"/>
        <filter val="25,00"/>
        <filter val="26,52"/>
        <filter val="27,00"/>
        <filter val="3 631,00"/>
        <filter val="3 787,24"/>
        <filter val="3 937,24"/>
        <filter val="3,57"/>
        <filter val="30,00"/>
        <filter val="33,33"/>
        <filter val="337,00"/>
        <filter val="39,20"/>
        <filter val="4,20"/>
        <filter val="40,00"/>
        <filter val="42,60"/>
        <filter val="445,40"/>
        <filter val="48,00"/>
        <filter val="5,56"/>
        <filter val="50,00"/>
        <filter val="500,00"/>
        <filter val="6"/>
        <filter val="6,65"/>
        <filter val="7,14"/>
        <filter val="71,60"/>
        <filter val="72,00"/>
        <filter val="8,40"/>
        <filter val="9,43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2026-10-21T09:36:22Z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