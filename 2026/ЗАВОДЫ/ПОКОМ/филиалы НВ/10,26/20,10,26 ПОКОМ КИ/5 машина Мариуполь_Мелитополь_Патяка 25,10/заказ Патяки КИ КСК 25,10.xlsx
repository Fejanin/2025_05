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B4A33B5-2C13-4C34-B3B0-EAB732F8204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P529" i="2"/>
  <c r="BO528" i="2"/>
  <c r="BM528" i="2"/>
  <c r="Y528" i="2"/>
  <c r="Z528" i="2" s="1"/>
  <c r="P528" i="2"/>
  <c r="BO527" i="2"/>
  <c r="BM527" i="2"/>
  <c r="Y527" i="2"/>
  <c r="BN527" i="2" s="1"/>
  <c r="P527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N484" i="2" s="1"/>
  <c r="P484" i="2"/>
  <c r="X480" i="2"/>
  <c r="X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Y480" i="2" s="1"/>
  <c r="P476" i="2"/>
  <c r="X474" i="2"/>
  <c r="X473" i="2"/>
  <c r="BO472" i="2"/>
  <c r="BM472" i="2"/>
  <c r="Y472" i="2"/>
  <c r="P472" i="2"/>
  <c r="X470" i="2"/>
  <c r="X469" i="2"/>
  <c r="BO468" i="2"/>
  <c r="BM468" i="2"/>
  <c r="Y468" i="2"/>
  <c r="BP468" i="2" s="1"/>
  <c r="P468" i="2"/>
  <c r="BO467" i="2"/>
  <c r="BM467" i="2"/>
  <c r="Y467" i="2"/>
  <c r="BN467" i="2" s="1"/>
  <c r="P467" i="2"/>
  <c r="X464" i="2"/>
  <c r="X463" i="2"/>
  <c r="BO462" i="2"/>
  <c r="BM462" i="2"/>
  <c r="Y462" i="2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BP456" i="2" s="1"/>
  <c r="P456" i="2"/>
  <c r="BO455" i="2"/>
  <c r="BM455" i="2"/>
  <c r="Y455" i="2"/>
  <c r="Z455" i="2" s="1"/>
  <c r="P455" i="2"/>
  <c r="X453" i="2"/>
  <c r="X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Y453" i="2" s="1"/>
  <c r="P449" i="2"/>
  <c r="X447" i="2"/>
  <c r="X446" i="2"/>
  <c r="BO445" i="2"/>
  <c r="BM445" i="2"/>
  <c r="Y445" i="2"/>
  <c r="P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P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BN438" i="2" s="1"/>
  <c r="P438" i="2"/>
  <c r="X434" i="2"/>
  <c r="X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N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N424" i="2" s="1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P402" i="2"/>
  <c r="X400" i="2"/>
  <c r="X399" i="2"/>
  <c r="BO398" i="2"/>
  <c r="BM398" i="2"/>
  <c r="Y398" i="2"/>
  <c r="BN398" i="2" s="1"/>
  <c r="P398" i="2"/>
  <c r="BO397" i="2"/>
  <c r="BM397" i="2"/>
  <c r="Y397" i="2"/>
  <c r="BN397" i="2" s="1"/>
  <c r="P397" i="2"/>
  <c r="BO396" i="2"/>
  <c r="BM396" i="2"/>
  <c r="Y396" i="2"/>
  <c r="P396" i="2"/>
  <c r="X394" i="2"/>
  <c r="X393" i="2"/>
  <c r="BO392" i="2"/>
  <c r="BM392" i="2"/>
  <c r="Y392" i="2"/>
  <c r="BN392" i="2" s="1"/>
  <c r="P392" i="2"/>
  <c r="BO391" i="2"/>
  <c r="BM391" i="2"/>
  <c r="Y391" i="2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P382" i="2"/>
  <c r="BO381" i="2"/>
  <c r="BM381" i="2"/>
  <c r="Y381" i="2"/>
  <c r="P381" i="2"/>
  <c r="BO380" i="2"/>
  <c r="BM380" i="2"/>
  <c r="Y380" i="2"/>
  <c r="BN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BN363" i="2" s="1"/>
  <c r="P363" i="2"/>
  <c r="BO362" i="2"/>
  <c r="BM362" i="2"/>
  <c r="Y362" i="2"/>
  <c r="P362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BN353" i="2" s="1"/>
  <c r="P353" i="2"/>
  <c r="X350" i="2"/>
  <c r="X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Z340" i="2" s="1"/>
  <c r="P340" i="2"/>
  <c r="BO339" i="2"/>
  <c r="BM339" i="2"/>
  <c r="Y339" i="2"/>
  <c r="P339" i="2"/>
  <c r="X336" i="2"/>
  <c r="X335" i="2"/>
  <c r="BO334" i="2"/>
  <c r="BM334" i="2"/>
  <c r="Y334" i="2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BP326" i="2" s="1"/>
  <c r="P326" i="2"/>
  <c r="BO325" i="2"/>
  <c r="BM325" i="2"/>
  <c r="Y325" i="2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BO321" i="2"/>
  <c r="BM321" i="2"/>
  <c r="Y321" i="2"/>
  <c r="P321" i="2"/>
  <c r="X318" i="2"/>
  <c r="X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P314" i="2"/>
  <c r="BO313" i="2"/>
  <c r="BM313" i="2"/>
  <c r="Y313" i="2"/>
  <c r="Z313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P289" i="2"/>
  <c r="X287" i="2"/>
  <c r="X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P277" i="2"/>
  <c r="BP276" i="2"/>
  <c r="BO276" i="2"/>
  <c r="BM276" i="2"/>
  <c r="Y276" i="2"/>
  <c r="BN276" i="2" s="1"/>
  <c r="P276" i="2"/>
  <c r="BO275" i="2"/>
  <c r="BM275" i="2"/>
  <c r="Y275" i="2"/>
  <c r="P275" i="2"/>
  <c r="X273" i="2"/>
  <c r="X272" i="2"/>
  <c r="BO271" i="2"/>
  <c r="BM271" i="2"/>
  <c r="Y271" i="2"/>
  <c r="BN271" i="2" s="1"/>
  <c r="P271" i="2"/>
  <c r="BO270" i="2"/>
  <c r="BM270" i="2"/>
  <c r="Y270" i="2"/>
  <c r="Z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7" i="2"/>
  <c r="X256" i="2"/>
  <c r="BO255" i="2"/>
  <c r="BM255" i="2"/>
  <c r="Y255" i="2"/>
  <c r="BN255" i="2" s="1"/>
  <c r="P255" i="2"/>
  <c r="BO254" i="2"/>
  <c r="BM254" i="2"/>
  <c r="Y254" i="2"/>
  <c r="Z254" i="2" s="1"/>
  <c r="P254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P245" i="2"/>
  <c r="BO244" i="2"/>
  <c r="BM244" i="2"/>
  <c r="Y244" i="2"/>
  <c r="BP244" i="2" s="1"/>
  <c r="P244" i="2"/>
  <c r="BO243" i="2"/>
  <c r="BM243" i="2"/>
  <c r="Y243" i="2"/>
  <c r="BP243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X233" i="2"/>
  <c r="X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Z205" i="2" s="1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P197" i="2"/>
  <c r="X195" i="2"/>
  <c r="X194" i="2"/>
  <c r="BO193" i="2"/>
  <c r="BM193" i="2"/>
  <c r="Y193" i="2"/>
  <c r="Z193" i="2" s="1"/>
  <c r="Z194" i="2" s="1"/>
  <c r="P193" i="2"/>
  <c r="X191" i="2"/>
  <c r="X190" i="2"/>
  <c r="BO189" i="2"/>
  <c r="BM189" i="2"/>
  <c r="Y189" i="2"/>
  <c r="BP189" i="2" s="1"/>
  <c r="P189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Z177" i="2" s="1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P151" i="2"/>
  <c r="X148" i="2"/>
  <c r="X147" i="2"/>
  <c r="BO146" i="2"/>
  <c r="BM146" i="2"/>
  <c r="Y146" i="2"/>
  <c r="BP146" i="2" s="1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BP140" i="2" s="1"/>
  <c r="P140" i="2"/>
  <c r="X138" i="2"/>
  <c r="X137" i="2"/>
  <c r="BO136" i="2"/>
  <c r="BM136" i="2"/>
  <c r="Y136" i="2"/>
  <c r="BP136" i="2" s="1"/>
  <c r="P136" i="2"/>
  <c r="BO135" i="2"/>
  <c r="BM135" i="2"/>
  <c r="Y135" i="2"/>
  <c r="Y138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P126" i="2"/>
  <c r="BO125" i="2"/>
  <c r="BM125" i="2"/>
  <c r="Y125" i="2"/>
  <c r="Z125" i="2" s="1"/>
  <c r="P125" i="2"/>
  <c r="BO124" i="2"/>
  <c r="BM124" i="2"/>
  <c r="Y124" i="2"/>
  <c r="P124" i="2"/>
  <c r="BO123" i="2"/>
  <c r="BM123" i="2"/>
  <c r="Y123" i="2"/>
  <c r="BP123" i="2" s="1"/>
  <c r="P123" i="2"/>
  <c r="X121" i="2"/>
  <c r="X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Y121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N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P98" i="2"/>
  <c r="X96" i="2"/>
  <c r="X95" i="2"/>
  <c r="BO94" i="2"/>
  <c r="BM94" i="2"/>
  <c r="Y94" i="2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N84" i="2" s="1"/>
  <c r="P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BO34" i="2"/>
  <c r="BM34" i="2"/>
  <c r="Y34" i="2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BP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BP178" i="2" l="1"/>
  <c r="Z392" i="2"/>
  <c r="Z432" i="2"/>
  <c r="Z106" i="2"/>
  <c r="Y359" i="2"/>
  <c r="Z468" i="2"/>
  <c r="BN468" i="2"/>
  <c r="Z83" i="2"/>
  <c r="Y143" i="2"/>
  <c r="Y195" i="2"/>
  <c r="Z268" i="2"/>
  <c r="Z315" i="2"/>
  <c r="Z373" i="2"/>
  <c r="BN373" i="2"/>
  <c r="Z478" i="2"/>
  <c r="BN478" i="2"/>
  <c r="Y156" i="2"/>
  <c r="Y250" i="2"/>
  <c r="Y251" i="2"/>
  <c r="Y469" i="2"/>
  <c r="Z62" i="2"/>
  <c r="BN62" i="2"/>
  <c r="Z92" i="2"/>
  <c r="BN92" i="2"/>
  <c r="BP110" i="2"/>
  <c r="Z204" i="2"/>
  <c r="Z255" i="2"/>
  <c r="Z256" i="2" s="1"/>
  <c r="Z271" i="2"/>
  <c r="Z285" i="2"/>
  <c r="Z346" i="2"/>
  <c r="BN346" i="2"/>
  <c r="Z372" i="2"/>
  <c r="Z380" i="2"/>
  <c r="Z398" i="2"/>
  <c r="BP424" i="2"/>
  <c r="Z439" i="2"/>
  <c r="Y459" i="2"/>
  <c r="Z457" i="2"/>
  <c r="BN457" i="2"/>
  <c r="Y458" i="2"/>
  <c r="Z467" i="2"/>
  <c r="Z488" i="2"/>
  <c r="Y37" i="2"/>
  <c r="Y36" i="2"/>
  <c r="BP34" i="2"/>
  <c r="BN51" i="2"/>
  <c r="Z51" i="2"/>
  <c r="Y147" i="2"/>
  <c r="Y148" i="2"/>
  <c r="BN154" i="2"/>
  <c r="BP176" i="2"/>
  <c r="Z176" i="2"/>
  <c r="BN183" i="2"/>
  <c r="Z183" i="2"/>
  <c r="BP197" i="2"/>
  <c r="Y199" i="2"/>
  <c r="BN231" i="2"/>
  <c r="BP245" i="2"/>
  <c r="Z245" i="2"/>
  <c r="BN254" i="2"/>
  <c r="BN259" i="2"/>
  <c r="Z259" i="2"/>
  <c r="BP269" i="2"/>
  <c r="Z269" i="2"/>
  <c r="BP278" i="2"/>
  <c r="Z278" i="2"/>
  <c r="BP282" i="2"/>
  <c r="Z282" i="2"/>
  <c r="BN347" i="2"/>
  <c r="BP362" i="2"/>
  <c r="BN362" i="2"/>
  <c r="Z362" i="2"/>
  <c r="BN370" i="2"/>
  <c r="Z370" i="2"/>
  <c r="BN374" i="2"/>
  <c r="BN382" i="2"/>
  <c r="Z382" i="2"/>
  <c r="BN442" i="2"/>
  <c r="Z442" i="2"/>
  <c r="BN451" i="2"/>
  <c r="Z451" i="2"/>
  <c r="BN515" i="2"/>
  <c r="X568" i="2"/>
  <c r="Y24" i="2"/>
  <c r="BN29" i="2"/>
  <c r="Z34" i="2"/>
  <c r="Z35" i="2"/>
  <c r="BN35" i="2"/>
  <c r="BP51" i="2"/>
  <c r="BN52" i="2"/>
  <c r="BN70" i="2"/>
  <c r="Z70" i="2"/>
  <c r="Y85" i="2"/>
  <c r="BN94" i="2"/>
  <c r="Z94" i="2"/>
  <c r="BP124" i="2"/>
  <c r="BN124" i="2"/>
  <c r="Z124" i="2"/>
  <c r="BP126" i="2"/>
  <c r="BN126" i="2"/>
  <c r="Z126" i="2"/>
  <c r="BP180" i="2"/>
  <c r="Z180" i="2"/>
  <c r="BP183" i="2"/>
  <c r="BN220" i="2"/>
  <c r="BP220" i="2"/>
  <c r="BN226" i="2"/>
  <c r="Y262" i="2"/>
  <c r="BN266" i="2"/>
  <c r="BP266" i="2"/>
  <c r="BN289" i="2"/>
  <c r="Z289" i="2"/>
  <c r="BP300" i="2"/>
  <c r="BN300" i="2"/>
  <c r="Z300" i="2"/>
  <c r="BN313" i="2"/>
  <c r="BP323" i="2"/>
  <c r="BN323" i="2"/>
  <c r="Z323" i="2"/>
  <c r="BP325" i="2"/>
  <c r="BN325" i="2"/>
  <c r="Z325" i="2"/>
  <c r="BP333" i="2"/>
  <c r="Z333" i="2"/>
  <c r="BP382" i="2"/>
  <c r="BP383" i="2"/>
  <c r="BN383" i="2"/>
  <c r="Z383" i="2"/>
  <c r="BN390" i="2"/>
  <c r="Z390" i="2"/>
  <c r="BP402" i="2"/>
  <c r="Z402" i="2"/>
  <c r="BP415" i="2"/>
  <c r="BN415" i="2"/>
  <c r="Z415" i="2"/>
  <c r="BP442" i="2"/>
  <c r="BN443" i="2"/>
  <c r="BN503" i="2"/>
  <c r="Y86" i="2"/>
  <c r="BP82" i="2"/>
  <c r="BP106" i="2"/>
  <c r="I574" i="2"/>
  <c r="BN151" i="2"/>
  <c r="BN171" i="2"/>
  <c r="Y173" i="2"/>
  <c r="BN206" i="2"/>
  <c r="BN222" i="2"/>
  <c r="BN228" i="2"/>
  <c r="BN236" i="2"/>
  <c r="BN238" i="2"/>
  <c r="Y241" i="2"/>
  <c r="Y246" i="2"/>
  <c r="BN249" i="2"/>
  <c r="BN265" i="2"/>
  <c r="BP271" i="2"/>
  <c r="BN280" i="2"/>
  <c r="BN296" i="2"/>
  <c r="BN327" i="2"/>
  <c r="Y349" i="2"/>
  <c r="BP372" i="2"/>
  <c r="BN384" i="2"/>
  <c r="BP392" i="2"/>
  <c r="BN404" i="2"/>
  <c r="BN416" i="2"/>
  <c r="BP432" i="2"/>
  <c r="BN444" i="2"/>
  <c r="BP455" i="2"/>
  <c r="BP467" i="2"/>
  <c r="BN511" i="2"/>
  <c r="X566" i="2"/>
  <c r="BN26" i="2"/>
  <c r="BN60" i="2"/>
  <c r="BP61" i="2"/>
  <c r="BP66" i="2"/>
  <c r="BN72" i="2"/>
  <c r="Y74" i="2"/>
  <c r="Y79" i="2"/>
  <c r="BN93" i="2"/>
  <c r="BP94" i="2"/>
  <c r="BN116" i="2"/>
  <c r="Y120" i="2"/>
  <c r="BP125" i="2"/>
  <c r="BP130" i="2"/>
  <c r="BN136" i="2"/>
  <c r="BP177" i="2"/>
  <c r="Y211" i="2"/>
  <c r="BP218" i="2"/>
  <c r="Z218" i="2"/>
  <c r="BP221" i="2"/>
  <c r="BN221" i="2"/>
  <c r="Y287" i="2"/>
  <c r="BN275" i="2"/>
  <c r="BN281" i="2"/>
  <c r="BP281" i="2"/>
  <c r="Z281" i="2"/>
  <c r="Z301" i="2"/>
  <c r="BN301" i="2"/>
  <c r="BN314" i="2"/>
  <c r="Y317" i="2"/>
  <c r="BP314" i="2"/>
  <c r="Z314" i="2"/>
  <c r="R574" i="2"/>
  <c r="BN339" i="2"/>
  <c r="BP339" i="2"/>
  <c r="Z339" i="2"/>
  <c r="BN371" i="2"/>
  <c r="BP371" i="2"/>
  <c r="Z371" i="2"/>
  <c r="BN431" i="2"/>
  <c r="BP431" i="2"/>
  <c r="Z431" i="2"/>
  <c r="Y474" i="2"/>
  <c r="Y473" i="2"/>
  <c r="Z472" i="2"/>
  <c r="Z473" i="2" s="1"/>
  <c r="BP513" i="2"/>
  <c r="Z513" i="2"/>
  <c r="BP521" i="2"/>
  <c r="Y524" i="2"/>
  <c r="BN521" i="2"/>
  <c r="Y127" i="2"/>
  <c r="Z163" i="2"/>
  <c r="BP163" i="2"/>
  <c r="Z181" i="2"/>
  <c r="BP207" i="2"/>
  <c r="Y233" i="2"/>
  <c r="BN219" i="2"/>
  <c r="BP219" i="2"/>
  <c r="Z221" i="2"/>
  <c r="Z237" i="2"/>
  <c r="BN237" i="2"/>
  <c r="BP283" i="2"/>
  <c r="BN283" i="2"/>
  <c r="BP316" i="2"/>
  <c r="BN316" i="2"/>
  <c r="Z324" i="2"/>
  <c r="BN324" i="2"/>
  <c r="BN381" i="2"/>
  <c r="BP381" i="2"/>
  <c r="Z381" i="2"/>
  <c r="BP410" i="2"/>
  <c r="BN410" i="2"/>
  <c r="BN445" i="2"/>
  <c r="BP445" i="2"/>
  <c r="Z445" i="2"/>
  <c r="Z517" i="2"/>
  <c r="BN517" i="2"/>
  <c r="AC574" i="2"/>
  <c r="BN539" i="2"/>
  <c r="BP539" i="2"/>
  <c r="Z539" i="2"/>
  <c r="Z540" i="2" s="1"/>
  <c r="Y557" i="2"/>
  <c r="Z555" i="2"/>
  <c r="X564" i="2"/>
  <c r="Z26" i="2"/>
  <c r="Z28" i="2"/>
  <c r="BP29" i="2"/>
  <c r="BN34" i="2"/>
  <c r="Z60" i="2"/>
  <c r="BN61" i="2"/>
  <c r="Z72" i="2"/>
  <c r="BP77" i="2"/>
  <c r="BN82" i="2"/>
  <c r="BP83" i="2"/>
  <c r="Z93" i="2"/>
  <c r="Z116" i="2"/>
  <c r="BP116" i="2"/>
  <c r="BN125" i="2"/>
  <c r="BN130" i="2"/>
  <c r="Y131" i="2"/>
  <c r="Z136" i="2"/>
  <c r="Y142" i="2"/>
  <c r="Z151" i="2"/>
  <c r="BP151" i="2"/>
  <c r="Z153" i="2"/>
  <c r="BP154" i="2"/>
  <c r="Z171" i="2"/>
  <c r="BN175" i="2"/>
  <c r="Y185" i="2"/>
  <c r="BN177" i="2"/>
  <c r="Z182" i="2"/>
  <c r="BN182" i="2"/>
  <c r="BP188" i="2"/>
  <c r="Y194" i="2"/>
  <c r="BN193" i="2"/>
  <c r="BP193" i="2"/>
  <c r="Z207" i="2"/>
  <c r="BN218" i="2"/>
  <c r="Z219" i="2"/>
  <c r="BN223" i="2"/>
  <c r="BP223" i="2"/>
  <c r="Z290" i="2"/>
  <c r="Y292" i="2"/>
  <c r="BN290" i="2"/>
  <c r="BN297" i="2"/>
  <c r="BP297" i="2"/>
  <c r="Y328" i="2"/>
  <c r="BP334" i="2"/>
  <c r="BN334" i="2"/>
  <c r="Z334" i="2"/>
  <c r="BN348" i="2"/>
  <c r="BP348" i="2"/>
  <c r="Z348" i="2"/>
  <c r="BN391" i="2"/>
  <c r="BP391" i="2"/>
  <c r="Z391" i="2"/>
  <c r="Y400" i="2"/>
  <c r="BN396" i="2"/>
  <c r="BP396" i="2"/>
  <c r="Z396" i="2"/>
  <c r="BP461" i="2"/>
  <c r="BN461" i="2"/>
  <c r="BP27" i="2"/>
  <c r="BP30" i="2"/>
  <c r="Y75" i="2"/>
  <c r="BP71" i="2"/>
  <c r="BP84" i="2"/>
  <c r="BP99" i="2"/>
  <c r="BP152" i="2"/>
  <c r="BN181" i="2"/>
  <c r="BP205" i="2"/>
  <c r="BN205" i="2"/>
  <c r="Z227" i="2"/>
  <c r="BN227" i="2"/>
  <c r="BP275" i="2"/>
  <c r="BP279" i="2"/>
  <c r="BN279" i="2"/>
  <c r="Z279" i="2"/>
  <c r="BP301" i="2"/>
  <c r="Y307" i="2"/>
  <c r="Z305" i="2"/>
  <c r="Z306" i="2" s="1"/>
  <c r="BN405" i="2"/>
  <c r="BP405" i="2"/>
  <c r="BP472" i="2"/>
  <c r="BN529" i="2"/>
  <c r="BP529" i="2"/>
  <c r="Y552" i="2"/>
  <c r="BN551" i="2"/>
  <c r="Z551" i="2"/>
  <c r="Z552" i="2" s="1"/>
  <c r="BP260" i="2"/>
  <c r="BP270" i="2"/>
  <c r="Y303" i="2"/>
  <c r="Y329" i="2"/>
  <c r="Y350" i="2"/>
  <c r="Y366" i="2"/>
  <c r="W574" i="2"/>
  <c r="Y434" i="2"/>
  <c r="BP441" i="2"/>
  <c r="BP449" i="2"/>
  <c r="Y463" i="2"/>
  <c r="Y506" i="2"/>
  <c r="Y535" i="2"/>
  <c r="Y548" i="2"/>
  <c r="BP206" i="2"/>
  <c r="BP222" i="2"/>
  <c r="Z225" i="2"/>
  <c r="Z229" i="2"/>
  <c r="Z235" i="2"/>
  <c r="Z239" i="2"/>
  <c r="Y240" i="2"/>
  <c r="Y273" i="2"/>
  <c r="BN269" i="2"/>
  <c r="BP280" i="2"/>
  <c r="BP285" i="2"/>
  <c r="Y291" i="2"/>
  <c r="Z295" i="2"/>
  <c r="BP296" i="2"/>
  <c r="Z299" i="2"/>
  <c r="BP313" i="2"/>
  <c r="Z322" i="2"/>
  <c r="Z326" i="2"/>
  <c r="BP327" i="2"/>
  <c r="BP341" i="2"/>
  <c r="Z347" i="2"/>
  <c r="Z357" i="2"/>
  <c r="Z358" i="2" s="1"/>
  <c r="T574" i="2"/>
  <c r="Z363" i="2"/>
  <c r="BP363" i="2"/>
  <c r="BP370" i="2"/>
  <c r="Z374" i="2"/>
  <c r="BP380" i="2"/>
  <c r="Z384" i="2"/>
  <c r="BP390" i="2"/>
  <c r="BN402" i="2"/>
  <c r="Z404" i="2"/>
  <c r="Y407" i="2"/>
  <c r="Z430" i="2"/>
  <c r="BP430" i="2"/>
  <c r="Y433" i="2"/>
  <c r="Z441" i="2"/>
  <c r="Z444" i="2"/>
  <c r="Z449" i="2"/>
  <c r="BN455" i="2"/>
  <c r="Y470" i="2"/>
  <c r="Z476" i="2"/>
  <c r="Z503" i="2"/>
  <c r="Z515" i="2"/>
  <c r="Z522" i="2"/>
  <c r="Z527" i="2"/>
  <c r="BP527" i="2"/>
  <c r="Z543" i="2"/>
  <c r="Z544" i="2" s="1"/>
  <c r="Y544" i="2"/>
  <c r="Y198" i="2"/>
  <c r="K574" i="2"/>
  <c r="Y210" i="2"/>
  <c r="Z226" i="2"/>
  <c r="Z228" i="2"/>
  <c r="Z236" i="2"/>
  <c r="Z238" i="2"/>
  <c r="Z249" i="2"/>
  <c r="Z250" i="2" s="1"/>
  <c r="BP255" i="2"/>
  <c r="Y261" i="2"/>
  <c r="BN260" i="2"/>
  <c r="BP265" i="2"/>
  <c r="BN270" i="2"/>
  <c r="Y286" i="2"/>
  <c r="BN284" i="2"/>
  <c r="Y310" i="2"/>
  <c r="Y318" i="2"/>
  <c r="Y336" i="2"/>
  <c r="BP398" i="2"/>
  <c r="Z416" i="2"/>
  <c r="BP439" i="2"/>
  <c r="Z443" i="2"/>
  <c r="BP451" i="2"/>
  <c r="Y574" i="2"/>
  <c r="Z574" i="2"/>
  <c r="BP484" i="2"/>
  <c r="BN486" i="2"/>
  <c r="Y519" i="2"/>
  <c r="BN531" i="2"/>
  <c r="Z109" i="2"/>
  <c r="BN109" i="2"/>
  <c r="BP109" i="2"/>
  <c r="Z54" i="2"/>
  <c r="Y55" i="2"/>
  <c r="BN54" i="2"/>
  <c r="BP54" i="2"/>
  <c r="F574" i="2"/>
  <c r="Y68" i="2"/>
  <c r="G574" i="2"/>
  <c r="Z98" i="2"/>
  <c r="Y103" i="2"/>
  <c r="BN98" i="2"/>
  <c r="Y102" i="2"/>
  <c r="BP98" i="2"/>
  <c r="Y114" i="2"/>
  <c r="Z42" i="2"/>
  <c r="BN42" i="2"/>
  <c r="BP42" i="2"/>
  <c r="D574" i="2"/>
  <c r="Z166" i="2"/>
  <c r="BN166" i="2"/>
  <c r="BP166" i="2"/>
  <c r="Z261" i="2"/>
  <c r="Z65" i="2"/>
  <c r="BP65" i="2"/>
  <c r="BN65" i="2"/>
  <c r="Z119" i="2"/>
  <c r="BP119" i="2"/>
  <c r="BN119" i="2"/>
  <c r="X565" i="2"/>
  <c r="J574" i="2"/>
  <c r="Z45" i="2"/>
  <c r="Z91" i="2"/>
  <c r="Z101" i="2"/>
  <c r="Z112" i="2"/>
  <c r="Z158" i="2"/>
  <c r="Z159" i="2" s="1"/>
  <c r="Y247" i="2"/>
  <c r="Y272" i="2"/>
  <c r="Y413" i="2"/>
  <c r="Y464" i="2"/>
  <c r="BN476" i="2"/>
  <c r="Y479" i="2"/>
  <c r="BN488" i="2"/>
  <c r="BN513" i="2"/>
  <c r="BN523" i="2"/>
  <c r="BN533" i="2"/>
  <c r="BN547" i="2"/>
  <c r="L574" i="2"/>
  <c r="BP254" i="2"/>
  <c r="BN264" i="2"/>
  <c r="BP284" i="2"/>
  <c r="BN295" i="2"/>
  <c r="BN305" i="2"/>
  <c r="BN340" i="2"/>
  <c r="Y343" i="2"/>
  <c r="BP353" i="2"/>
  <c r="BN364" i="2"/>
  <c r="BN375" i="2"/>
  <c r="BN385" i="2"/>
  <c r="BP397" i="2"/>
  <c r="Z405" i="2"/>
  <c r="BN417" i="2"/>
  <c r="BN423" i="2"/>
  <c r="Y426" i="2"/>
  <c r="BP438" i="2"/>
  <c r="Y447" i="2"/>
  <c r="Z456" i="2"/>
  <c r="Z458" i="2" s="1"/>
  <c r="BN493" i="2"/>
  <c r="Z504" i="2"/>
  <c r="Z516" i="2"/>
  <c r="BN528" i="2"/>
  <c r="Y541" i="2"/>
  <c r="Y553" i="2"/>
  <c r="M574" i="2"/>
  <c r="Z135" i="2"/>
  <c r="Z137" i="2" s="1"/>
  <c r="F9" i="2"/>
  <c r="BN28" i="2"/>
  <c r="Y31" i="2"/>
  <c r="Z52" i="2"/>
  <c r="Z63" i="2"/>
  <c r="Z73" i="2"/>
  <c r="Z107" i="2"/>
  <c r="Z117" i="2"/>
  <c r="Z140" i="2"/>
  <c r="BN153" i="2"/>
  <c r="Z164" i="2"/>
  <c r="BN176" i="2"/>
  <c r="Z184" i="2"/>
  <c r="Z208" i="2"/>
  <c r="BP231" i="2"/>
  <c r="H9" i="2"/>
  <c r="BN45" i="2"/>
  <c r="Z78" i="2"/>
  <c r="BN91" i="2"/>
  <c r="BN101" i="2"/>
  <c r="BN112" i="2"/>
  <c r="BN135" i="2"/>
  <c r="Z145" i="2"/>
  <c r="BN158" i="2"/>
  <c r="Z179" i="2"/>
  <c r="Z189" i="2"/>
  <c r="Z203" i="2"/>
  <c r="Z214" i="2"/>
  <c r="Z215" i="2" s="1"/>
  <c r="Z224" i="2"/>
  <c r="Z244" i="2"/>
  <c r="BP259" i="2"/>
  <c r="Z267" i="2"/>
  <c r="Z277" i="2"/>
  <c r="BP289" i="2"/>
  <c r="Z298" i="2"/>
  <c r="Y311" i="2"/>
  <c r="Z321" i="2"/>
  <c r="Z332" i="2"/>
  <c r="Y393" i="2"/>
  <c r="Z410" i="2"/>
  <c r="Z461" i="2"/>
  <c r="BP476" i="2"/>
  <c r="Z486" i="2"/>
  <c r="Y500" i="2"/>
  <c r="Z511" i="2"/>
  <c r="Z521" i="2"/>
  <c r="Z524" i="2" s="1"/>
  <c r="BP523" i="2"/>
  <c r="Z531" i="2"/>
  <c r="BP533" i="2"/>
  <c r="BP547" i="2"/>
  <c r="Y558" i="2"/>
  <c r="O574" i="2"/>
  <c r="Y128" i="2"/>
  <c r="BN140" i="2"/>
  <c r="BN164" i="2"/>
  <c r="Y167" i="2"/>
  <c r="BN184" i="2"/>
  <c r="BN208" i="2"/>
  <c r="BN229" i="2"/>
  <c r="Y232" i="2"/>
  <c r="BN239" i="2"/>
  <c r="BP264" i="2"/>
  <c r="BN282" i="2"/>
  <c r="BP295" i="2"/>
  <c r="BP305" i="2"/>
  <c r="BN315" i="2"/>
  <c r="BN326" i="2"/>
  <c r="BP340" i="2"/>
  <c r="Y354" i="2"/>
  <c r="BP364" i="2"/>
  <c r="BP375" i="2"/>
  <c r="BP385" i="2"/>
  <c r="BP417" i="2"/>
  <c r="BP423" i="2"/>
  <c r="BN456" i="2"/>
  <c r="BP493" i="2"/>
  <c r="BN504" i="2"/>
  <c r="BN516" i="2"/>
  <c r="BP528" i="2"/>
  <c r="P574" i="2"/>
  <c r="BN73" i="2"/>
  <c r="BN117" i="2"/>
  <c r="BN78" i="2"/>
  <c r="Z89" i="2"/>
  <c r="BP135" i="2"/>
  <c r="BN145" i="2"/>
  <c r="BP158" i="2"/>
  <c r="BN179" i="2"/>
  <c r="BN189" i="2"/>
  <c r="BN203" i="2"/>
  <c r="BN214" i="2"/>
  <c r="BN224" i="2"/>
  <c r="BN244" i="2"/>
  <c r="BN267" i="2"/>
  <c r="BN277" i="2"/>
  <c r="BN298" i="2"/>
  <c r="BN321" i="2"/>
  <c r="BN332" i="2"/>
  <c r="Y335" i="2"/>
  <c r="Y344" i="2"/>
  <c r="Y427" i="2"/>
  <c r="Y534" i="2"/>
  <c r="Q574" i="2"/>
  <c r="BP107" i="2"/>
  <c r="BP117" i="2"/>
  <c r="Y306" i="2"/>
  <c r="Y365" i="2"/>
  <c r="Y376" i="2"/>
  <c r="Y386" i="2"/>
  <c r="Y394" i="2"/>
  <c r="Z403" i="2"/>
  <c r="Y418" i="2"/>
  <c r="Z477" i="2"/>
  <c r="Z489" i="2"/>
  <c r="Y494" i="2"/>
  <c r="Z502" i="2"/>
  <c r="Z505" i="2" s="1"/>
  <c r="Z514" i="2"/>
  <c r="Z561" i="2"/>
  <c r="Z562" i="2" s="1"/>
  <c r="BN63" i="2"/>
  <c r="BN107" i="2"/>
  <c r="A10" i="2"/>
  <c r="Y32" i="2"/>
  <c r="Z43" i="2"/>
  <c r="Z66" i="2"/>
  <c r="Z99" i="2"/>
  <c r="Z110" i="2"/>
  <c r="Y172" i="2"/>
  <c r="F10" i="2"/>
  <c r="Z71" i="2"/>
  <c r="BN43" i="2"/>
  <c r="Y46" i="2"/>
  <c r="Y56" i="2"/>
  <c r="BN89" i="2"/>
  <c r="Y113" i="2"/>
  <c r="Z130" i="2"/>
  <c r="Z131" i="2" s="1"/>
  <c r="BP145" i="2"/>
  <c r="Y159" i="2"/>
  <c r="Y168" i="2"/>
  <c r="BP203" i="2"/>
  <c r="BP214" i="2"/>
  <c r="Z275" i="2"/>
  <c r="BP277" i="2"/>
  <c r="BP321" i="2"/>
  <c r="BP332" i="2"/>
  <c r="Z341" i="2"/>
  <c r="Y355" i="2"/>
  <c r="Z424" i="2"/>
  <c r="BN449" i="2"/>
  <c r="Y452" i="2"/>
  <c r="BN472" i="2"/>
  <c r="Z484" i="2"/>
  <c r="Z529" i="2"/>
  <c r="BN543" i="2"/>
  <c r="BN555" i="2"/>
  <c r="S574" i="2"/>
  <c r="BN403" i="2"/>
  <c r="Y406" i="2"/>
  <c r="BN477" i="2"/>
  <c r="BN489" i="2"/>
  <c r="BN502" i="2"/>
  <c r="Y505" i="2"/>
  <c r="BN514" i="2"/>
  <c r="Y525" i="2"/>
  <c r="Y549" i="2"/>
  <c r="BN561" i="2"/>
  <c r="Z41" i="2"/>
  <c r="Y190" i="2"/>
  <c r="Z197" i="2"/>
  <c r="Z198" i="2" s="1"/>
  <c r="Z209" i="2"/>
  <c r="Y215" i="2"/>
  <c r="Z230" i="2"/>
  <c r="Z283" i="2"/>
  <c r="Z316" i="2"/>
  <c r="Y377" i="2"/>
  <c r="Y387" i="2"/>
  <c r="Y419" i="2"/>
  <c r="Y495" i="2"/>
  <c r="BP543" i="2"/>
  <c r="BP555" i="2"/>
  <c r="B574" i="2"/>
  <c r="U574" i="2"/>
  <c r="Z64" i="2"/>
  <c r="Z59" i="2"/>
  <c r="Y95" i="2"/>
  <c r="Z123" i="2"/>
  <c r="Z146" i="2"/>
  <c r="Z170" i="2"/>
  <c r="Z411" i="2"/>
  <c r="Z462" i="2"/>
  <c r="Z487" i="2"/>
  <c r="Z512" i="2"/>
  <c r="Z532" i="2"/>
  <c r="BP561" i="2"/>
  <c r="C574" i="2"/>
  <c r="V574" i="2"/>
  <c r="Z118" i="2"/>
  <c r="Z22" i="2"/>
  <c r="Z23" i="2" s="1"/>
  <c r="Y47" i="2"/>
  <c r="Z27" i="2"/>
  <c r="BN41" i="2"/>
  <c r="BN53" i="2"/>
  <c r="BN64" i="2"/>
  <c r="Y67" i="2"/>
  <c r="Z84" i="2"/>
  <c r="Z85" i="2" s="1"/>
  <c r="BN108" i="2"/>
  <c r="BN118" i="2"/>
  <c r="BN141" i="2"/>
  <c r="Z152" i="2"/>
  <c r="Z155" i="2" s="1"/>
  <c r="BN165" i="2"/>
  <c r="Z175" i="2"/>
  <c r="BN230" i="2"/>
  <c r="Y399" i="2"/>
  <c r="Z53" i="2"/>
  <c r="Y186" i="2"/>
  <c r="BN197" i="2"/>
  <c r="BN209" i="2"/>
  <c r="Z220" i="2"/>
  <c r="Y256" i="2"/>
  <c r="BN22" i="2"/>
  <c r="Z44" i="2"/>
  <c r="BN59" i="2"/>
  <c r="Y80" i="2"/>
  <c r="Z90" i="2"/>
  <c r="Z100" i="2"/>
  <c r="Z111" i="2"/>
  <c r="BN123" i="2"/>
  <c r="BN146" i="2"/>
  <c r="BN170" i="2"/>
  <c r="BN180" i="2"/>
  <c r="Y191" i="2"/>
  <c r="BN204" i="2"/>
  <c r="BN225" i="2"/>
  <c r="BN235" i="2"/>
  <c r="BN245" i="2"/>
  <c r="BN268" i="2"/>
  <c r="BN278" i="2"/>
  <c r="BN299" i="2"/>
  <c r="Y302" i="2"/>
  <c r="Z309" i="2"/>
  <c r="Z310" i="2" s="1"/>
  <c r="BN322" i="2"/>
  <c r="BN333" i="2"/>
  <c r="BN357" i="2"/>
  <c r="Z369" i="2"/>
  <c r="Z379" i="2"/>
  <c r="Z389" i="2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Y562" i="2"/>
  <c r="E574" i="2"/>
  <c r="X574" i="2"/>
  <c r="Z108" i="2"/>
  <c r="Z141" i="2"/>
  <c r="Z165" i="2"/>
  <c r="Y96" i="2"/>
  <c r="BN152" i="2"/>
  <c r="Y155" i="2"/>
  <c r="BP22" i="2"/>
  <c r="Z30" i="2"/>
  <c r="BN44" i="2"/>
  <c r="BP59" i="2"/>
  <c r="Z77" i="2"/>
  <c r="BN90" i="2"/>
  <c r="BN100" i="2"/>
  <c r="BN111" i="2"/>
  <c r="Y137" i="2"/>
  <c r="Z178" i="2"/>
  <c r="Z188" i="2"/>
  <c r="Z223" i="2"/>
  <c r="Z243" i="2"/>
  <c r="Y257" i="2"/>
  <c r="Z266" i="2"/>
  <c r="Z276" i="2"/>
  <c r="Z297" i="2"/>
  <c r="BN309" i="2"/>
  <c r="Z342" i="2"/>
  <c r="BP357" i="2"/>
  <c r="BN369" i="2"/>
  <c r="BN379" i="2"/>
  <c r="BN389" i="2"/>
  <c r="Z409" i="2"/>
  <c r="BN422" i="2"/>
  <c r="Z425" i="2"/>
  <c r="BN440" i="2"/>
  <c r="BN450" i="2"/>
  <c r="BP462" i="2"/>
  <c r="Z485" i="2"/>
  <c r="BN498" i="2"/>
  <c r="Z510" i="2"/>
  <c r="Z530" i="2"/>
  <c r="BN556" i="2"/>
  <c r="Y491" i="2"/>
  <c r="Y518" i="2"/>
  <c r="BP551" i="2"/>
  <c r="Y563" i="2"/>
  <c r="H574" i="2"/>
  <c r="AA574" i="2"/>
  <c r="BN243" i="2"/>
  <c r="BN342" i="2"/>
  <c r="Z353" i="2"/>
  <c r="Z354" i="2" s="1"/>
  <c r="Z397" i="2"/>
  <c r="BN409" i="2"/>
  <c r="Y412" i="2"/>
  <c r="BN425" i="2"/>
  <c r="Z438" i="2"/>
  <c r="BN485" i="2"/>
  <c r="BP498" i="2"/>
  <c r="BN510" i="2"/>
  <c r="BN530" i="2"/>
  <c r="AB574" i="2"/>
  <c r="Y446" i="2"/>
  <c r="Y540" i="2"/>
  <c r="BP510" i="2"/>
  <c r="Z418" i="2" l="1"/>
  <c r="Z36" i="2"/>
  <c r="Z469" i="2"/>
  <c r="Z446" i="2"/>
  <c r="Z399" i="2"/>
  <c r="Z518" i="2"/>
  <c r="Z386" i="2"/>
  <c r="Z335" i="2"/>
  <c r="Z55" i="2"/>
  <c r="Z452" i="2"/>
  <c r="Z317" i="2"/>
  <c r="Z433" i="2"/>
  <c r="Z291" i="2"/>
  <c r="Z365" i="2"/>
  <c r="Z240" i="2"/>
  <c r="Z302" i="2"/>
  <c r="Z272" i="2"/>
  <c r="Z246" i="2"/>
  <c r="Z190" i="2"/>
  <c r="Z79" i="2"/>
  <c r="Z557" i="2"/>
  <c r="Z393" i="2"/>
  <c r="Z376" i="2"/>
  <c r="Z172" i="2"/>
  <c r="Z127" i="2"/>
  <c r="Z67" i="2"/>
  <c r="Z74" i="2"/>
  <c r="Z479" i="2"/>
  <c r="Z406" i="2"/>
  <c r="Z328" i="2"/>
  <c r="X567" i="2"/>
  <c r="Z232" i="2"/>
  <c r="Z343" i="2"/>
  <c r="Z534" i="2"/>
  <c r="Z120" i="2"/>
  <c r="Z31" i="2"/>
  <c r="Z210" i="2"/>
  <c r="Y568" i="2"/>
  <c r="Z349" i="2"/>
  <c r="Y564" i="2"/>
  <c r="Z46" i="2"/>
  <c r="Z113" i="2"/>
  <c r="Z463" i="2"/>
  <c r="Z147" i="2"/>
  <c r="Y565" i="2"/>
  <c r="Z490" i="2"/>
  <c r="Z412" i="2"/>
  <c r="Z286" i="2"/>
  <c r="Z102" i="2"/>
  <c r="Z142" i="2"/>
  <c r="Z426" i="2"/>
  <c r="Y566" i="2"/>
  <c r="Z185" i="2"/>
  <c r="Z95" i="2"/>
  <c r="Z167" i="2"/>
  <c r="Z569" i="2" l="1"/>
  <c r="Y567" i="2"/>
</calcChain>
</file>

<file path=xl/sharedStrings.xml><?xml version="1.0" encoding="utf-8"?>
<sst xmlns="http://schemas.openxmlformats.org/spreadsheetml/2006/main" count="4240" uniqueCount="893">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</sst>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8" t="s">
        <v>26</v>
      </c>
      <c r="E1" s="978"/>
      <c r="F1" s="978"/>
      <c r="G1" s="14" t="s">
        <v>67</v>
      </c>
      <c r="H1" s="978" t="s">
        <v>47</v>
      </c>
      <c r="I1" s="978"/>
      <c r="J1" s="978"/>
      <c r="K1" s="978"/>
      <c r="L1" s="978"/>
      <c r="M1" s="978"/>
      <c r="N1" s="978"/>
      <c r="O1" s="978"/>
      <c r="P1" s="978"/>
      <c r="Q1" s="978"/>
      <c r="R1" s="979" t="s">
        <v>68</v>
      </c>
      <c r="S1" s="980"/>
      <c r="T1" s="98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1"/>
      <c r="R2" s="981"/>
      <c r="S2" s="981"/>
      <c r="T2" s="981"/>
      <c r="U2" s="981"/>
      <c r="V2" s="981"/>
      <c r="W2" s="98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1"/>
      <c r="Q3" s="981"/>
      <c r="R3" s="981"/>
      <c r="S3" s="981"/>
      <c r="T3" s="981"/>
      <c r="U3" s="981"/>
      <c r="V3" s="981"/>
      <c r="W3" s="98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2" t="s">
        <v>8</v>
      </c>
      <c r="B5" s="982"/>
      <c r="C5" s="982"/>
      <c r="D5" s="983"/>
      <c r="E5" s="983"/>
      <c r="F5" s="984" t="s">
        <v>14</v>
      </c>
      <c r="G5" s="984"/>
      <c r="H5" s="983"/>
      <c r="I5" s="983"/>
      <c r="J5" s="983"/>
      <c r="K5" s="983"/>
      <c r="L5" s="983"/>
      <c r="M5" s="983"/>
      <c r="N5" s="72"/>
      <c r="P5" s="27" t="s">
        <v>4</v>
      </c>
      <c r="Q5" s="985">
        <v>46313</v>
      </c>
      <c r="R5" s="985"/>
      <c r="T5" s="986" t="s">
        <v>3</v>
      </c>
      <c r="U5" s="987"/>
      <c r="V5" s="988" t="s">
        <v>874</v>
      </c>
      <c r="W5" s="989"/>
      <c r="AB5" s="59"/>
      <c r="AC5" s="59"/>
      <c r="AD5" s="59"/>
      <c r="AE5" s="59"/>
    </row>
    <row r="6" spans="1:32" s="17" customFormat="1" ht="24" customHeight="1" x14ac:dyDescent="0.2">
      <c r="A6" s="982" t="s">
        <v>1</v>
      </c>
      <c r="B6" s="982"/>
      <c r="C6" s="982"/>
      <c r="D6" s="990" t="s">
        <v>875</v>
      </c>
      <c r="E6" s="990"/>
      <c r="F6" s="990"/>
      <c r="G6" s="990"/>
      <c r="H6" s="990"/>
      <c r="I6" s="990"/>
      <c r="J6" s="990"/>
      <c r="K6" s="990"/>
      <c r="L6" s="990"/>
      <c r="M6" s="990"/>
      <c r="N6" s="73"/>
      <c r="P6" s="27" t="s">
        <v>27</v>
      </c>
      <c r="Q6" s="991" t="str">
        <f>IF(Q5=0," ",CHOOSE(WEEKDAY(Q5,2),"Понедельник","Вторник","Среда","Четверг","Пятница","Суббота","Воскресенье"))</f>
        <v>Воскресенье</v>
      </c>
      <c r="R6" s="991"/>
      <c r="T6" s="992" t="s">
        <v>5</v>
      </c>
      <c r="U6" s="993"/>
      <c r="V6" s="994" t="s">
        <v>70</v>
      </c>
      <c r="W6" s="99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0" t="str">
        <f>IFERROR(VLOOKUP(DeliveryAddress,Table,3,0),1)</f>
        <v>1</v>
      </c>
      <c r="E7" s="1001"/>
      <c r="F7" s="1001"/>
      <c r="G7" s="1001"/>
      <c r="H7" s="1001"/>
      <c r="I7" s="1001"/>
      <c r="J7" s="1001"/>
      <c r="K7" s="1001"/>
      <c r="L7" s="1001"/>
      <c r="M7" s="1002"/>
      <c r="N7" s="74"/>
      <c r="P7" s="29"/>
      <c r="Q7" s="48"/>
      <c r="R7" s="48"/>
      <c r="T7" s="992"/>
      <c r="U7" s="993"/>
      <c r="V7" s="996"/>
      <c r="W7" s="997"/>
      <c r="AB7" s="59"/>
      <c r="AC7" s="59"/>
      <c r="AD7" s="59"/>
      <c r="AE7" s="59"/>
    </row>
    <row r="8" spans="1:32" s="17" customFormat="1" ht="25.5" customHeight="1" x14ac:dyDescent="0.2">
      <c r="A8" s="1003" t="s">
        <v>58</v>
      </c>
      <c r="B8" s="1003"/>
      <c r="C8" s="1003"/>
      <c r="D8" s="1004"/>
      <c r="E8" s="1004"/>
      <c r="F8" s="1004"/>
      <c r="G8" s="1004"/>
      <c r="H8" s="1004"/>
      <c r="I8" s="1004"/>
      <c r="J8" s="1004"/>
      <c r="K8" s="1004"/>
      <c r="L8" s="1004"/>
      <c r="M8" s="1004"/>
      <c r="N8" s="75"/>
      <c r="P8" s="27" t="s">
        <v>11</v>
      </c>
      <c r="Q8" s="963">
        <v>4.1666666666666664E-2</v>
      </c>
      <c r="R8" s="963"/>
      <c r="T8" s="992"/>
      <c r="U8" s="993"/>
      <c r="V8" s="996"/>
      <c r="W8" s="997"/>
      <c r="AB8" s="59"/>
      <c r="AC8" s="59"/>
      <c r="AD8" s="59"/>
      <c r="AE8" s="59"/>
    </row>
    <row r="9" spans="1:32" s="17" customFormat="1" ht="39.950000000000003" customHeight="1" x14ac:dyDescent="0.2">
      <c r="A9" s="9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3"/>
      <c r="C9" s="953"/>
      <c r="D9" s="954" t="s">
        <v>46</v>
      </c>
      <c r="E9" s="955"/>
      <c r="F9" s="9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3"/>
      <c r="H9" s="1005" t="str">
        <f>IF(AND($A$9="Тип доверенности/получателя при получении в адресе перегруза:",$D$9="Разовая доверенность"),"Введите ФИО","")</f>
        <v/>
      </c>
      <c r="I9" s="1005"/>
      <c r="J9" s="10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5"/>
      <c r="L9" s="1005"/>
      <c r="M9" s="1005"/>
      <c r="N9" s="70"/>
      <c r="P9" s="31" t="s">
        <v>15</v>
      </c>
      <c r="Q9" s="1006"/>
      <c r="R9" s="1006"/>
      <c r="T9" s="992"/>
      <c r="U9" s="993"/>
      <c r="V9" s="998"/>
      <c r="W9" s="99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3"/>
      <c r="C10" s="953"/>
      <c r="D10" s="954"/>
      <c r="E10" s="955"/>
      <c r="F10" s="9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3"/>
      <c r="H10" s="956" t="str">
        <f>IFERROR(VLOOKUP($D$10,Proxy,2,FALSE),"")</f>
        <v/>
      </c>
      <c r="I10" s="956"/>
      <c r="J10" s="956"/>
      <c r="K10" s="956"/>
      <c r="L10" s="956"/>
      <c r="M10" s="956"/>
      <c r="N10" s="71"/>
      <c r="P10" s="31" t="s">
        <v>32</v>
      </c>
      <c r="Q10" s="957"/>
      <c r="R10" s="957"/>
      <c r="U10" s="29" t="s">
        <v>12</v>
      </c>
      <c r="V10" s="958" t="s">
        <v>71</v>
      </c>
      <c r="W10" s="95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0"/>
      <c r="R11" s="960"/>
      <c r="U11" s="29" t="s">
        <v>28</v>
      </c>
      <c r="V11" s="961" t="s">
        <v>55</v>
      </c>
      <c r="W11" s="96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63"/>
      <c r="R12" s="963"/>
      <c r="S12" s="28"/>
      <c r="T12"/>
      <c r="U12" s="29" t="s">
        <v>46</v>
      </c>
      <c r="V12" s="964"/>
      <c r="W12" s="964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1"/>
      <c r="R13" s="96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7"/>
      <c r="O15"/>
      <c r="P15" s="966" t="s">
        <v>61</v>
      </c>
      <c r="Q15" s="966"/>
      <c r="R15" s="966"/>
      <c r="S15" s="966"/>
      <c r="T15" s="9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8" t="s">
        <v>59</v>
      </c>
      <c r="B17" s="938" t="s">
        <v>49</v>
      </c>
      <c r="C17" s="970" t="s">
        <v>48</v>
      </c>
      <c r="D17" s="972" t="s">
        <v>50</v>
      </c>
      <c r="E17" s="973"/>
      <c r="F17" s="938" t="s">
        <v>21</v>
      </c>
      <c r="G17" s="938" t="s">
        <v>24</v>
      </c>
      <c r="H17" s="938" t="s">
        <v>22</v>
      </c>
      <c r="I17" s="938" t="s">
        <v>23</v>
      </c>
      <c r="J17" s="938" t="s">
        <v>16</v>
      </c>
      <c r="K17" s="938" t="s">
        <v>66</v>
      </c>
      <c r="L17" s="938" t="s">
        <v>64</v>
      </c>
      <c r="M17" s="938" t="s">
        <v>2</v>
      </c>
      <c r="N17" s="938" t="s">
        <v>63</v>
      </c>
      <c r="O17" s="938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38" t="s">
        <v>6</v>
      </c>
      <c r="X17" s="938" t="s">
        <v>41</v>
      </c>
      <c r="Y17" s="940" t="s">
        <v>54</v>
      </c>
      <c r="Z17" s="942" t="s">
        <v>18</v>
      </c>
      <c r="AA17" s="944" t="s">
        <v>60</v>
      </c>
      <c r="AB17" s="944" t="s">
        <v>19</v>
      </c>
      <c r="AC17" s="944" t="s">
        <v>65</v>
      </c>
      <c r="AD17" s="946" t="s">
        <v>57</v>
      </c>
      <c r="AE17" s="947"/>
      <c r="AF17" s="948"/>
      <c r="AG17" s="82"/>
      <c r="BD17" s="81" t="s">
        <v>62</v>
      </c>
    </row>
    <row r="18" spans="1:68" ht="14.25" customHeight="1" x14ac:dyDescent="0.2">
      <c r="A18" s="939"/>
      <c r="B18" s="939"/>
      <c r="C18" s="971"/>
      <c r="D18" s="974"/>
      <c r="E18" s="975"/>
      <c r="F18" s="939"/>
      <c r="G18" s="939"/>
      <c r="H18" s="939"/>
      <c r="I18" s="939"/>
      <c r="J18" s="939"/>
      <c r="K18" s="939"/>
      <c r="L18" s="939"/>
      <c r="M18" s="939"/>
      <c r="N18" s="939"/>
      <c r="O18" s="939"/>
      <c r="P18" s="974"/>
      <c r="Q18" s="977"/>
      <c r="R18" s="977"/>
      <c r="S18" s="977"/>
      <c r="T18" s="975"/>
      <c r="U18" s="83" t="s">
        <v>44</v>
      </c>
      <c r="V18" s="83" t="s">
        <v>43</v>
      </c>
      <c r="W18" s="939"/>
      <c r="X18" s="939"/>
      <c r="Y18" s="941"/>
      <c r="Z18" s="943"/>
      <c r="AA18" s="945"/>
      <c r="AB18" s="945"/>
      <c r="AC18" s="945"/>
      <c r="AD18" s="949"/>
      <c r="AE18" s="950"/>
      <c r="AF18" s="951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1" t="s">
        <v>76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5"/>
      <c r="AB20" s="65"/>
      <c r="AC20" s="79"/>
    </row>
    <row r="21" spans="1:68" ht="14.25" hidden="1" customHeight="1" x14ac:dyDescent="0.25">
      <c r="A21" s="652" t="s">
        <v>77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3">
        <v>4680115889071</v>
      </c>
      <c r="E22" s="65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9"/>
      <c r="B23" s="649"/>
      <c r="C23" s="649"/>
      <c r="D23" s="649"/>
      <c r="E23" s="649"/>
      <c r="F23" s="649"/>
      <c r="G23" s="649"/>
      <c r="H23" s="649"/>
      <c r="I23" s="649"/>
      <c r="J23" s="649"/>
      <c r="K23" s="649"/>
      <c r="L23" s="649"/>
      <c r="M23" s="649"/>
      <c r="N23" s="649"/>
      <c r="O23" s="650"/>
      <c r="P23" s="646" t="s">
        <v>40</v>
      </c>
      <c r="Q23" s="647"/>
      <c r="R23" s="647"/>
      <c r="S23" s="647"/>
      <c r="T23" s="647"/>
      <c r="U23" s="647"/>
      <c r="V23" s="64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2" t="s">
        <v>83</v>
      </c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2"/>
      <c r="P25" s="652"/>
      <c r="Q25" s="652"/>
      <c r="R25" s="652"/>
      <c r="S25" s="652"/>
      <c r="T25" s="652"/>
      <c r="U25" s="652"/>
      <c r="V25" s="652"/>
      <c r="W25" s="652"/>
      <c r="X25" s="652"/>
      <c r="Y25" s="652"/>
      <c r="Z25" s="652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3">
        <v>4680115885912</v>
      </c>
      <c r="E26" s="65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5"/>
      <c r="R26" s="655"/>
      <c r="S26" s="655"/>
      <c r="T26" s="65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3">
        <v>4607091388237</v>
      </c>
      <c r="E27" s="65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3">
        <v>4680115887350</v>
      </c>
      <c r="E28" s="65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3">
        <v>4680115885905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3">
        <v>4680115887619</v>
      </c>
      <c r="E30" s="65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9"/>
      <c r="B31" s="649"/>
      <c r="C31" s="649"/>
      <c r="D31" s="649"/>
      <c r="E31" s="649"/>
      <c r="F31" s="649"/>
      <c r="G31" s="649"/>
      <c r="H31" s="649"/>
      <c r="I31" s="649"/>
      <c r="J31" s="649"/>
      <c r="K31" s="649"/>
      <c r="L31" s="649"/>
      <c r="M31" s="649"/>
      <c r="N31" s="649"/>
      <c r="O31" s="650"/>
      <c r="P31" s="646" t="s">
        <v>40</v>
      </c>
      <c r="Q31" s="647"/>
      <c r="R31" s="647"/>
      <c r="S31" s="647"/>
      <c r="T31" s="647"/>
      <c r="U31" s="647"/>
      <c r="V31" s="648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2" t="s">
        <v>101</v>
      </c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2"/>
      <c r="P33" s="652"/>
      <c r="Q33" s="652"/>
      <c r="R33" s="652"/>
      <c r="S33" s="652"/>
      <c r="T33" s="652"/>
      <c r="U33" s="652"/>
      <c r="V33" s="652"/>
      <c r="W33" s="652"/>
      <c r="X33" s="652"/>
      <c r="Y33" s="652"/>
      <c r="Z33" s="652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3">
        <v>4680115889262</v>
      </c>
      <c r="E34" s="65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5"/>
      <c r="R34" s="655"/>
      <c r="S34" s="655"/>
      <c r="T34" s="65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3">
        <v>4680115889040</v>
      </c>
      <c r="E35" s="65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3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5"/>
      <c r="R35" s="655"/>
      <c r="S35" s="655"/>
      <c r="T35" s="65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9"/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50"/>
      <c r="P36" s="646" t="s">
        <v>40</v>
      </c>
      <c r="Q36" s="647"/>
      <c r="R36" s="647"/>
      <c r="S36" s="647"/>
      <c r="T36" s="647"/>
      <c r="U36" s="647"/>
      <c r="V36" s="648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9"/>
      <c r="B37" s="649"/>
      <c r="C37" s="649"/>
      <c r="D37" s="649"/>
      <c r="E37" s="649"/>
      <c r="F37" s="649"/>
      <c r="G37" s="649"/>
      <c r="H37" s="649"/>
      <c r="I37" s="649"/>
      <c r="J37" s="649"/>
      <c r="K37" s="649"/>
      <c r="L37" s="649"/>
      <c r="M37" s="649"/>
      <c r="N37" s="649"/>
      <c r="O37" s="650"/>
      <c r="P37" s="646" t="s">
        <v>40</v>
      </c>
      <c r="Q37" s="647"/>
      <c r="R37" s="647"/>
      <c r="S37" s="647"/>
      <c r="T37" s="647"/>
      <c r="U37" s="647"/>
      <c r="V37" s="648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66" t="s">
        <v>45</v>
      </c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54"/>
      <c r="AB38" s="54"/>
      <c r="AC38" s="54"/>
    </row>
    <row r="39" spans="1:68" ht="16.5" hidden="1" customHeight="1" x14ac:dyDescent="0.25">
      <c r="A39" s="651" t="s">
        <v>112</v>
      </c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1"/>
      <c r="P39" s="651"/>
      <c r="Q39" s="651"/>
      <c r="R39" s="651"/>
      <c r="S39" s="651"/>
      <c r="T39" s="651"/>
      <c r="U39" s="651"/>
      <c r="V39" s="651"/>
      <c r="W39" s="651"/>
      <c r="X39" s="651"/>
      <c r="Y39" s="651"/>
      <c r="Z39" s="651"/>
      <c r="AA39" s="65"/>
      <c r="AB39" s="65"/>
      <c r="AC39" s="79"/>
    </row>
    <row r="40" spans="1:68" ht="14.25" hidden="1" customHeight="1" x14ac:dyDescent="0.25">
      <c r="A40" s="652" t="s">
        <v>83</v>
      </c>
      <c r="B40" s="652"/>
      <c r="C40" s="652"/>
      <c r="D40" s="652"/>
      <c r="E40" s="652"/>
      <c r="F40" s="652"/>
      <c r="G40" s="652"/>
      <c r="H40" s="652"/>
      <c r="I40" s="652"/>
      <c r="J40" s="652"/>
      <c r="K40" s="652"/>
      <c r="L40" s="652"/>
      <c r="M40" s="652"/>
      <c r="N40" s="652"/>
      <c r="O40" s="652"/>
      <c r="P40" s="652"/>
      <c r="Q40" s="652"/>
      <c r="R40" s="652"/>
      <c r="S40" s="652"/>
      <c r="T40" s="652"/>
      <c r="U40" s="652"/>
      <c r="V40" s="652"/>
      <c r="W40" s="652"/>
      <c r="X40" s="652"/>
      <c r="Y40" s="652"/>
      <c r="Z40" s="652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3">
        <v>4680115889354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3">
        <v>4680115888463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3">
        <v>4680115889590</v>
      </c>
      <c r="E43" s="65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5"/>
      <c r="R43" s="655"/>
      <c r="S43" s="655"/>
      <c r="T43" s="65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3">
        <v>4680115888272</v>
      </c>
      <c r="E44" s="65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5"/>
      <c r="R44" s="655"/>
      <c r="S44" s="655"/>
      <c r="T44" s="65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3">
        <v>4680115888364</v>
      </c>
      <c r="E45" s="65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5"/>
      <c r="R45" s="655"/>
      <c r="S45" s="655"/>
      <c r="T45" s="65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9"/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50"/>
      <c r="P46" s="646" t="s">
        <v>40</v>
      </c>
      <c r="Q46" s="647"/>
      <c r="R46" s="647"/>
      <c r="S46" s="647"/>
      <c r="T46" s="647"/>
      <c r="U46" s="647"/>
      <c r="V46" s="648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9"/>
      <c r="B47" s="649"/>
      <c r="C47" s="649"/>
      <c r="D47" s="649"/>
      <c r="E47" s="649"/>
      <c r="F47" s="649"/>
      <c r="G47" s="649"/>
      <c r="H47" s="649"/>
      <c r="I47" s="649"/>
      <c r="J47" s="649"/>
      <c r="K47" s="649"/>
      <c r="L47" s="649"/>
      <c r="M47" s="649"/>
      <c r="N47" s="649"/>
      <c r="O47" s="650"/>
      <c r="P47" s="646" t="s">
        <v>40</v>
      </c>
      <c r="Q47" s="647"/>
      <c r="R47" s="647"/>
      <c r="S47" s="647"/>
      <c r="T47" s="647"/>
      <c r="U47" s="647"/>
      <c r="V47" s="648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6" t="s">
        <v>128</v>
      </c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54"/>
      <c r="AB48" s="54"/>
      <c r="AC48" s="54"/>
    </row>
    <row r="49" spans="1:68" ht="16.5" hidden="1" customHeight="1" x14ac:dyDescent="0.25">
      <c r="A49" s="651" t="s">
        <v>129</v>
      </c>
      <c r="B49" s="651"/>
      <c r="C49" s="651"/>
      <c r="D49" s="651"/>
      <c r="E49" s="651"/>
      <c r="F49" s="651"/>
      <c r="G49" s="651"/>
      <c r="H49" s="651"/>
      <c r="I49" s="651"/>
      <c r="J49" s="651"/>
      <c r="K49" s="651"/>
      <c r="L49" s="651"/>
      <c r="M49" s="651"/>
      <c r="N49" s="651"/>
      <c r="O49" s="651"/>
      <c r="P49" s="651"/>
      <c r="Q49" s="651"/>
      <c r="R49" s="651"/>
      <c r="S49" s="651"/>
      <c r="T49" s="651"/>
      <c r="U49" s="651"/>
      <c r="V49" s="651"/>
      <c r="W49" s="651"/>
      <c r="X49" s="651"/>
      <c r="Y49" s="651"/>
      <c r="Z49" s="651"/>
      <c r="AA49" s="65"/>
      <c r="AB49" s="65"/>
      <c r="AC49" s="79"/>
    </row>
    <row r="50" spans="1:68" ht="14.25" hidden="1" customHeight="1" x14ac:dyDescent="0.25">
      <c r="A50" s="652" t="s">
        <v>130</v>
      </c>
      <c r="B50" s="652"/>
      <c r="C50" s="652"/>
      <c r="D50" s="652"/>
      <c r="E50" s="652"/>
      <c r="F50" s="652"/>
      <c r="G50" s="652"/>
      <c r="H50" s="652"/>
      <c r="I50" s="652"/>
      <c r="J50" s="652"/>
      <c r="K50" s="652"/>
      <c r="L50" s="652"/>
      <c r="M50" s="652"/>
      <c r="N50" s="652"/>
      <c r="O50" s="652"/>
      <c r="P50" s="652"/>
      <c r="Q50" s="652"/>
      <c r="R50" s="652"/>
      <c r="S50" s="652"/>
      <c r="T50" s="652"/>
      <c r="U50" s="652"/>
      <c r="V50" s="652"/>
      <c r="W50" s="652"/>
      <c r="X50" s="652"/>
      <c r="Y50" s="652"/>
      <c r="Z50" s="652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653">
        <v>4607091385670</v>
      </c>
      <c r="E51" s="65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3">
        <v>4680115887725</v>
      </c>
      <c r="E52" s="65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5"/>
      <c r="R52" s="655"/>
      <c r="S52" s="655"/>
      <c r="T52" s="65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653">
        <v>4607091385687</v>
      </c>
      <c r="E53" s="65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5"/>
      <c r="R53" s="655"/>
      <c r="S53" s="655"/>
      <c r="T53" s="656"/>
      <c r="U53" s="39" t="s">
        <v>46</v>
      </c>
      <c r="V53" s="39" t="s">
        <v>46</v>
      </c>
      <c r="W53" s="40" t="s">
        <v>0</v>
      </c>
      <c r="X53" s="58">
        <v>24</v>
      </c>
      <c r="Y53" s="55">
        <f>IFERROR(IF(X53="",0,CEILING((X53/$H53),1)*$H53),"")</f>
        <v>24</v>
      </c>
      <c r="Z53" s="41">
        <f>IFERROR(IF(Y53=0,"",ROUNDUP(Y53/H53,0)*0.00902),"")</f>
        <v>5.4120000000000001E-2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25.14</v>
      </c>
      <c r="BN53" s="78">
        <f>IFERROR(Y53*I53/H53,"0")</f>
        <v>25.14</v>
      </c>
      <c r="BO53" s="78">
        <f>IFERROR(1/J53*(X53/H53),"0")</f>
        <v>4.5454545454545456E-2</v>
      </c>
      <c r="BP53" s="78">
        <f>IFERROR(1/J53*(Y53/H53),"0")</f>
        <v>4.5454545454545456E-2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3">
        <v>4680115882539</v>
      </c>
      <c r="E54" s="65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5"/>
      <c r="R54" s="655"/>
      <c r="S54" s="655"/>
      <c r="T54" s="65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9"/>
      <c r="B55" s="649"/>
      <c r="C55" s="649"/>
      <c r="D55" s="649"/>
      <c r="E55" s="649"/>
      <c r="F55" s="649"/>
      <c r="G55" s="649"/>
      <c r="H55" s="649"/>
      <c r="I55" s="649"/>
      <c r="J55" s="649"/>
      <c r="K55" s="649"/>
      <c r="L55" s="649"/>
      <c r="M55" s="649"/>
      <c r="N55" s="649"/>
      <c r="O55" s="650"/>
      <c r="P55" s="646" t="s">
        <v>40</v>
      </c>
      <c r="Q55" s="647"/>
      <c r="R55" s="647"/>
      <c r="S55" s="647"/>
      <c r="T55" s="647"/>
      <c r="U55" s="647"/>
      <c r="V55" s="648"/>
      <c r="W55" s="42" t="s">
        <v>39</v>
      </c>
      <c r="X55" s="43">
        <f>IFERROR(X51/H51,"0")+IFERROR(X52/H52,"0")+IFERROR(X53/H53,"0")+IFERROR(X54/H54,"0")</f>
        <v>6</v>
      </c>
      <c r="Y55" s="43">
        <f>IFERROR(Y51/H51,"0")+IFERROR(Y52/H52,"0")+IFERROR(Y53/H53,"0")+IFERROR(Y54/H54,"0")</f>
        <v>6</v>
      </c>
      <c r="Z55" s="43">
        <f>IFERROR(IF(Z51="",0,Z51),"0")+IFERROR(IF(Z52="",0,Z52),"0")+IFERROR(IF(Z53="",0,Z53),"0")+IFERROR(IF(Z54="",0,Z54),"0")</f>
        <v>5.4120000000000001E-2</v>
      </c>
      <c r="AA55" s="67"/>
      <c r="AB55" s="67"/>
      <c r="AC55" s="67"/>
    </row>
    <row r="56" spans="1:68" x14ac:dyDescent="0.2">
      <c r="A56" s="649"/>
      <c r="B56" s="649"/>
      <c r="C56" s="649"/>
      <c r="D56" s="649"/>
      <c r="E56" s="649"/>
      <c r="F56" s="649"/>
      <c r="G56" s="649"/>
      <c r="H56" s="649"/>
      <c r="I56" s="649"/>
      <c r="J56" s="649"/>
      <c r="K56" s="649"/>
      <c r="L56" s="649"/>
      <c r="M56" s="649"/>
      <c r="N56" s="649"/>
      <c r="O56" s="650"/>
      <c r="P56" s="646" t="s">
        <v>40</v>
      </c>
      <c r="Q56" s="647"/>
      <c r="R56" s="647"/>
      <c r="S56" s="647"/>
      <c r="T56" s="647"/>
      <c r="U56" s="647"/>
      <c r="V56" s="648"/>
      <c r="W56" s="42" t="s">
        <v>0</v>
      </c>
      <c r="X56" s="43">
        <f>IFERROR(SUM(X51:X54),"0")</f>
        <v>24</v>
      </c>
      <c r="Y56" s="43">
        <f>IFERROR(SUM(Y51:Y54),"0")</f>
        <v>24</v>
      </c>
      <c r="Z56" s="42"/>
      <c r="AA56" s="67"/>
      <c r="AB56" s="67"/>
      <c r="AC56" s="67"/>
    </row>
    <row r="57" spans="1:68" ht="16.5" hidden="1" customHeight="1" x14ac:dyDescent="0.25">
      <c r="A57" s="651" t="s">
        <v>145</v>
      </c>
      <c r="B57" s="651"/>
      <c r="C57" s="651"/>
      <c r="D57" s="651"/>
      <c r="E57" s="651"/>
      <c r="F57" s="651"/>
      <c r="G57" s="651"/>
      <c r="H57" s="651"/>
      <c r="I57" s="651"/>
      <c r="J57" s="651"/>
      <c r="K57" s="651"/>
      <c r="L57" s="651"/>
      <c r="M57" s="651"/>
      <c r="N57" s="651"/>
      <c r="O57" s="651"/>
      <c r="P57" s="651"/>
      <c r="Q57" s="651"/>
      <c r="R57" s="651"/>
      <c r="S57" s="651"/>
      <c r="T57" s="651"/>
      <c r="U57" s="651"/>
      <c r="V57" s="651"/>
      <c r="W57" s="651"/>
      <c r="X57" s="651"/>
      <c r="Y57" s="651"/>
      <c r="Z57" s="651"/>
      <c r="AA57" s="65"/>
      <c r="AB57" s="65"/>
      <c r="AC57" s="79"/>
    </row>
    <row r="58" spans="1:68" ht="14.25" hidden="1" customHeight="1" x14ac:dyDescent="0.25">
      <c r="A58" s="652" t="s">
        <v>130</v>
      </c>
      <c r="B58" s="652"/>
      <c r="C58" s="652"/>
      <c r="D58" s="652"/>
      <c r="E58" s="652"/>
      <c r="F58" s="652"/>
      <c r="G58" s="652"/>
      <c r="H58" s="652"/>
      <c r="I58" s="652"/>
      <c r="J58" s="652"/>
      <c r="K58" s="652"/>
      <c r="L58" s="652"/>
      <c r="M58" s="652"/>
      <c r="N58" s="652"/>
      <c r="O58" s="652"/>
      <c r="P58" s="652"/>
      <c r="Q58" s="652"/>
      <c r="R58" s="652"/>
      <c r="S58" s="652"/>
      <c r="T58" s="652"/>
      <c r="U58" s="652"/>
      <c r="V58" s="652"/>
      <c r="W58" s="652"/>
      <c r="X58" s="652"/>
      <c r="Y58" s="652"/>
      <c r="Z58" s="652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653">
        <v>4680115885882</v>
      </c>
      <c r="E59" s="65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653">
        <v>4680115881426</v>
      </c>
      <c r="E60" s="65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653">
        <v>4680115881426</v>
      </c>
      <c r="E61" s="65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3">
        <v>4680115880283</v>
      </c>
      <c r="E62" s="65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5"/>
      <c r="R62" s="655"/>
      <c r="S62" s="655"/>
      <c r="T62" s="65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3">
        <v>4680115881525</v>
      </c>
      <c r="E63" s="65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5"/>
      <c r="R63" s="655"/>
      <c r="S63" s="655"/>
      <c r="T63" s="65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3">
        <v>4680115881525</v>
      </c>
      <c r="E64" s="65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1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5"/>
      <c r="R64" s="655"/>
      <c r="S64" s="655"/>
      <c r="T64" s="65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53">
        <v>4680115885899</v>
      </c>
      <c r="E65" s="65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653">
        <v>4680115881419</v>
      </c>
      <c r="E66" s="65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9"/>
      <c r="B67" s="649"/>
      <c r="C67" s="649"/>
      <c r="D67" s="649"/>
      <c r="E67" s="649"/>
      <c r="F67" s="649"/>
      <c r="G67" s="649"/>
      <c r="H67" s="649"/>
      <c r="I67" s="649"/>
      <c r="J67" s="649"/>
      <c r="K67" s="649"/>
      <c r="L67" s="649"/>
      <c r="M67" s="649"/>
      <c r="N67" s="649"/>
      <c r="O67" s="650"/>
      <c r="P67" s="646" t="s">
        <v>40</v>
      </c>
      <c r="Q67" s="647"/>
      <c r="R67" s="647"/>
      <c r="S67" s="647"/>
      <c r="T67" s="647"/>
      <c r="U67" s="647"/>
      <c r="V67" s="648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9"/>
      <c r="B68" s="649"/>
      <c r="C68" s="649"/>
      <c r="D68" s="649"/>
      <c r="E68" s="649"/>
      <c r="F68" s="649"/>
      <c r="G68" s="649"/>
      <c r="H68" s="649"/>
      <c r="I68" s="649"/>
      <c r="J68" s="649"/>
      <c r="K68" s="649"/>
      <c r="L68" s="649"/>
      <c r="M68" s="649"/>
      <c r="N68" s="649"/>
      <c r="O68" s="650"/>
      <c r="P68" s="646" t="s">
        <v>40</v>
      </c>
      <c r="Q68" s="647"/>
      <c r="R68" s="647"/>
      <c r="S68" s="647"/>
      <c r="T68" s="647"/>
      <c r="U68" s="647"/>
      <c r="V68" s="648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2" t="s">
        <v>165</v>
      </c>
      <c r="B69" s="652"/>
      <c r="C69" s="652"/>
      <c r="D69" s="652"/>
      <c r="E69" s="652"/>
      <c r="F69" s="652"/>
      <c r="G69" s="652"/>
      <c r="H69" s="652"/>
      <c r="I69" s="652"/>
      <c r="J69" s="652"/>
      <c r="K69" s="652"/>
      <c r="L69" s="652"/>
      <c r="M69" s="652"/>
      <c r="N69" s="652"/>
      <c r="O69" s="652"/>
      <c r="P69" s="652"/>
      <c r="Q69" s="652"/>
      <c r="R69" s="652"/>
      <c r="S69" s="652"/>
      <c r="T69" s="652"/>
      <c r="U69" s="652"/>
      <c r="V69" s="652"/>
      <c r="W69" s="652"/>
      <c r="X69" s="652"/>
      <c r="Y69" s="652"/>
      <c r="Z69" s="652"/>
      <c r="AA69" s="66"/>
      <c r="AB69" s="66"/>
      <c r="AC69" s="80"/>
    </row>
    <row r="70" spans="1:68" ht="27" hidden="1" customHeight="1" x14ac:dyDescent="0.25">
      <c r="A70" s="63" t="s">
        <v>166</v>
      </c>
      <c r="B70" s="63" t="s">
        <v>167</v>
      </c>
      <c r="C70" s="36">
        <v>4301020390</v>
      </c>
      <c r="D70" s="653">
        <v>4680115881440</v>
      </c>
      <c r="E70" s="65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0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5"/>
      <c r="R70" s="655"/>
      <c r="S70" s="655"/>
      <c r="T70" s="65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653">
        <v>4680115885950</v>
      </c>
      <c r="E71" s="65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5"/>
      <c r="R71" s="655"/>
      <c r="S71" s="655"/>
      <c r="T71" s="65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53">
        <v>4680115887688</v>
      </c>
      <c r="E72" s="65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653">
        <v>4680115881433</v>
      </c>
      <c r="E73" s="65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9"/>
      <c r="B74" s="649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50"/>
      <c r="P74" s="646" t="s">
        <v>40</v>
      </c>
      <c r="Q74" s="647"/>
      <c r="R74" s="647"/>
      <c r="S74" s="647"/>
      <c r="T74" s="647"/>
      <c r="U74" s="647"/>
      <c r="V74" s="648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2" t="s">
        <v>83</v>
      </c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2"/>
      <c r="P76" s="652"/>
      <c r="Q76" s="652"/>
      <c r="R76" s="652"/>
      <c r="S76" s="652"/>
      <c r="T76" s="652"/>
      <c r="U76" s="652"/>
      <c r="V76" s="652"/>
      <c r="W76" s="652"/>
      <c r="X76" s="652"/>
      <c r="Y76" s="652"/>
      <c r="Z76" s="652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53">
        <v>4680115884311</v>
      </c>
      <c r="E77" s="65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653">
        <v>4680115884403</v>
      </c>
      <c r="E78" s="65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9"/>
      <c r="B79" s="649"/>
      <c r="C79" s="649"/>
      <c r="D79" s="649"/>
      <c r="E79" s="649"/>
      <c r="F79" s="649"/>
      <c r="G79" s="649"/>
      <c r="H79" s="649"/>
      <c r="I79" s="649"/>
      <c r="J79" s="649"/>
      <c r="K79" s="649"/>
      <c r="L79" s="649"/>
      <c r="M79" s="649"/>
      <c r="N79" s="649"/>
      <c r="O79" s="650"/>
      <c r="P79" s="646" t="s">
        <v>40</v>
      </c>
      <c r="Q79" s="647"/>
      <c r="R79" s="647"/>
      <c r="S79" s="647"/>
      <c r="T79" s="647"/>
      <c r="U79" s="647"/>
      <c r="V79" s="64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2" t="s">
        <v>183</v>
      </c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2"/>
      <c r="P81" s="652"/>
      <c r="Q81" s="652"/>
      <c r="R81" s="652"/>
      <c r="S81" s="652"/>
      <c r="T81" s="652"/>
      <c r="U81" s="652"/>
      <c r="V81" s="652"/>
      <c r="W81" s="652"/>
      <c r="X81" s="652"/>
      <c r="Y81" s="652"/>
      <c r="Z81" s="652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53">
        <v>4680115881532</v>
      </c>
      <c r="E82" s="65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5"/>
      <c r="R82" s="655"/>
      <c r="S82" s="655"/>
      <c r="T82" s="65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653">
        <v>4680115881532</v>
      </c>
      <c r="E83" s="65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653">
        <v>4680115881464</v>
      </c>
      <c r="E84" s="65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9"/>
      <c r="B85" s="649"/>
      <c r="C85" s="649"/>
      <c r="D85" s="649"/>
      <c r="E85" s="649"/>
      <c r="F85" s="649"/>
      <c r="G85" s="649"/>
      <c r="H85" s="649"/>
      <c r="I85" s="649"/>
      <c r="J85" s="649"/>
      <c r="K85" s="649"/>
      <c r="L85" s="649"/>
      <c r="M85" s="649"/>
      <c r="N85" s="649"/>
      <c r="O85" s="650"/>
      <c r="P85" s="646" t="s">
        <v>40</v>
      </c>
      <c r="Q85" s="647"/>
      <c r="R85" s="647"/>
      <c r="S85" s="647"/>
      <c r="T85" s="647"/>
      <c r="U85" s="647"/>
      <c r="V85" s="648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9"/>
      <c r="B86" s="649"/>
      <c r="C86" s="649"/>
      <c r="D86" s="649"/>
      <c r="E86" s="649"/>
      <c r="F86" s="649"/>
      <c r="G86" s="649"/>
      <c r="H86" s="649"/>
      <c r="I86" s="649"/>
      <c r="J86" s="649"/>
      <c r="K86" s="649"/>
      <c r="L86" s="649"/>
      <c r="M86" s="649"/>
      <c r="N86" s="649"/>
      <c r="O86" s="650"/>
      <c r="P86" s="646" t="s">
        <v>40</v>
      </c>
      <c r="Q86" s="647"/>
      <c r="R86" s="647"/>
      <c r="S86" s="647"/>
      <c r="T86" s="647"/>
      <c r="U86" s="647"/>
      <c r="V86" s="648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51" t="s">
        <v>191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5"/>
      <c r="AB87" s="65"/>
      <c r="AC87" s="79"/>
    </row>
    <row r="88" spans="1:68" ht="14.25" hidden="1" customHeight="1" x14ac:dyDescent="0.25">
      <c r="A88" s="652" t="s">
        <v>130</v>
      </c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2"/>
      <c r="P88" s="652"/>
      <c r="Q88" s="652"/>
      <c r="R88" s="652"/>
      <c r="S88" s="652"/>
      <c r="T88" s="652"/>
      <c r="U88" s="652"/>
      <c r="V88" s="652"/>
      <c r="W88" s="652"/>
      <c r="X88" s="652"/>
      <c r="Y88" s="652"/>
      <c r="Z88" s="652"/>
      <c r="AA88" s="66"/>
      <c r="AB88" s="66"/>
      <c r="AC88" s="80"/>
    </row>
    <row r="89" spans="1:68" ht="27" hidden="1" customHeight="1" x14ac:dyDescent="0.25">
      <c r="A89" s="63" t="s">
        <v>192</v>
      </c>
      <c r="B89" s="63" t="s">
        <v>193</v>
      </c>
      <c r="C89" s="36">
        <v>4301011468</v>
      </c>
      <c r="D89" s="653">
        <v>4680115881327</v>
      </c>
      <c r="E89" s="65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0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653">
        <v>4680115881327</v>
      </c>
      <c r="E90" s="65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89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653">
        <v>4680115887732</v>
      </c>
      <c r="E91" s="65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89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653">
        <v>4680115881518</v>
      </c>
      <c r="E92" s="65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653">
        <v>4680115881518</v>
      </c>
      <c r="E93" s="65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202</v>
      </c>
      <c r="B94" s="63" t="s">
        <v>203</v>
      </c>
      <c r="C94" s="36">
        <v>4301012250</v>
      </c>
      <c r="D94" s="653">
        <v>4680115881303</v>
      </c>
      <c r="E94" s="65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652" t="s">
        <v>83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653">
        <v>4607091386967</v>
      </c>
      <c r="E98" s="65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653">
        <v>4680115884953</v>
      </c>
      <c r="E99" s="65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210</v>
      </c>
      <c r="B100" s="63" t="s">
        <v>211</v>
      </c>
      <c r="C100" s="36">
        <v>4301052094</v>
      </c>
      <c r="D100" s="653">
        <v>4607091385731</v>
      </c>
      <c r="E100" s="65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653">
        <v>4680115880894</v>
      </c>
      <c r="E101" s="65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649"/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50"/>
      <c r="P102" s="646" t="s">
        <v>40</v>
      </c>
      <c r="Q102" s="647"/>
      <c r="R102" s="647"/>
      <c r="S102" s="647"/>
      <c r="T102" s="647"/>
      <c r="U102" s="647"/>
      <c r="V102" s="648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649"/>
      <c r="B103" s="649"/>
      <c r="C103" s="649"/>
      <c r="D103" s="649"/>
      <c r="E103" s="649"/>
      <c r="F103" s="649"/>
      <c r="G103" s="649"/>
      <c r="H103" s="649"/>
      <c r="I103" s="649"/>
      <c r="J103" s="649"/>
      <c r="K103" s="649"/>
      <c r="L103" s="649"/>
      <c r="M103" s="649"/>
      <c r="N103" s="649"/>
      <c r="O103" s="650"/>
      <c r="P103" s="646" t="s">
        <v>40</v>
      </c>
      <c r="Q103" s="647"/>
      <c r="R103" s="647"/>
      <c r="S103" s="647"/>
      <c r="T103" s="647"/>
      <c r="U103" s="647"/>
      <c r="V103" s="648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651" t="s">
        <v>215</v>
      </c>
      <c r="B104" s="651"/>
      <c r="C104" s="651"/>
      <c r="D104" s="651"/>
      <c r="E104" s="651"/>
      <c r="F104" s="651"/>
      <c r="G104" s="651"/>
      <c r="H104" s="651"/>
      <c r="I104" s="651"/>
      <c r="J104" s="651"/>
      <c r="K104" s="651"/>
      <c r="L104" s="651"/>
      <c r="M104" s="651"/>
      <c r="N104" s="651"/>
      <c r="O104" s="651"/>
      <c r="P104" s="651"/>
      <c r="Q104" s="651"/>
      <c r="R104" s="651"/>
      <c r="S104" s="651"/>
      <c r="T104" s="651"/>
      <c r="U104" s="651"/>
      <c r="V104" s="651"/>
      <c r="W104" s="651"/>
      <c r="X104" s="651"/>
      <c r="Y104" s="651"/>
      <c r="Z104" s="651"/>
      <c r="AA104" s="65"/>
      <c r="AB104" s="65"/>
      <c r="AC104" s="79"/>
    </row>
    <row r="105" spans="1:68" ht="14.25" hidden="1" customHeight="1" x14ac:dyDescent="0.25">
      <c r="A105" s="652" t="s">
        <v>130</v>
      </c>
      <c r="B105" s="652"/>
      <c r="C105" s="652"/>
      <c r="D105" s="652"/>
      <c r="E105" s="652"/>
      <c r="F105" s="652"/>
      <c r="G105" s="652"/>
      <c r="H105" s="652"/>
      <c r="I105" s="652"/>
      <c r="J105" s="652"/>
      <c r="K105" s="652"/>
      <c r="L105" s="652"/>
      <c r="M105" s="652"/>
      <c r="N105" s="652"/>
      <c r="O105" s="652"/>
      <c r="P105" s="652"/>
      <c r="Q105" s="652"/>
      <c r="R105" s="652"/>
      <c r="S105" s="652"/>
      <c r="T105" s="652"/>
      <c r="U105" s="652"/>
      <c r="V105" s="652"/>
      <c r="W105" s="652"/>
      <c r="X105" s="652"/>
      <c r="Y105" s="652"/>
      <c r="Z105" s="652"/>
      <c r="AA105" s="66"/>
      <c r="AB105" s="66"/>
      <c r="AC105" s="80"/>
    </row>
    <row r="106" spans="1:68" ht="37.5" customHeight="1" x14ac:dyDescent="0.25">
      <c r="A106" s="63" t="s">
        <v>216</v>
      </c>
      <c r="B106" s="63" t="s">
        <v>217</v>
      </c>
      <c r="C106" s="36">
        <v>4301011514</v>
      </c>
      <c r="D106" s="653">
        <v>4680115882133</v>
      </c>
      <c r="E106" s="65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50</v>
      </c>
      <c r="Y106" s="55">
        <f t="shared" ref="Y106:Y112" si="10">IFERROR(IF(X106="",0,CEILING((X106/$H106),1)*$H106),"")</f>
        <v>54</v>
      </c>
      <c r="Z106" s="41">
        <f>IFERROR(IF(Y106=0,"",ROUNDUP(Y106/H106,0)*0.01898),"")</f>
        <v>9.4899999999999998E-2</v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51.898148148148145</v>
      </c>
      <c r="BN106" s="78">
        <f t="shared" ref="BN106:BN112" si="12">IFERROR(Y106*I106/H106,"0")</f>
        <v>56.05</v>
      </c>
      <c r="BO106" s="78">
        <f t="shared" ref="BO106:BO112" si="13">IFERROR(1/J106*(X106/H106),"0")</f>
        <v>7.2337962962962965E-2</v>
      </c>
      <c r="BP106" s="78">
        <f t="shared" ref="BP106:BP112" si="14">IFERROR(1/J106*(Y106/H106),"0")</f>
        <v>7.8125E-2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653">
        <v>4680115882133</v>
      </c>
      <c r="E107" s="65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653">
        <v>4680115887718</v>
      </c>
      <c r="E108" s="65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653">
        <v>4680115880269</v>
      </c>
      <c r="E109" s="65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226</v>
      </c>
      <c r="B110" s="63" t="s">
        <v>227</v>
      </c>
      <c r="C110" s="36">
        <v>4301012254</v>
      </c>
      <c r="D110" s="653">
        <v>4680115880429</v>
      </c>
      <c r="E110" s="65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653">
        <v>4680115881457</v>
      </c>
      <c r="E111" s="65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653">
        <v>4680115889477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49"/>
      <c r="B113" s="649"/>
      <c r="C113" s="649"/>
      <c r="D113" s="649"/>
      <c r="E113" s="649"/>
      <c r="F113" s="649"/>
      <c r="G113" s="649"/>
      <c r="H113" s="649"/>
      <c r="I113" s="649"/>
      <c r="J113" s="649"/>
      <c r="K113" s="649"/>
      <c r="L113" s="649"/>
      <c r="M113" s="649"/>
      <c r="N113" s="649"/>
      <c r="O113" s="650"/>
      <c r="P113" s="646" t="s">
        <v>40</v>
      </c>
      <c r="Q113" s="647"/>
      <c r="R113" s="647"/>
      <c r="S113" s="647"/>
      <c r="T113" s="647"/>
      <c r="U113" s="647"/>
      <c r="V113" s="648"/>
      <c r="W113" s="42" t="s">
        <v>39</v>
      </c>
      <c r="X113" s="43">
        <f>IFERROR(X106/H106,"0")+IFERROR(X107/H107,"0")+IFERROR(X108/H108,"0")+IFERROR(X109/H109,"0")+IFERROR(X110/H110,"0")+IFERROR(X111/H111,"0")+IFERROR(X112/H112,"0")</f>
        <v>4.6296296296296298</v>
      </c>
      <c r="Y113" s="43">
        <f>IFERROR(Y106/H106,"0")+IFERROR(Y107/H107,"0")+IFERROR(Y108/H108,"0")+IFERROR(Y109/H109,"0")+IFERROR(Y110/H110,"0")+IFERROR(Y111/H111,"0")+IFERROR(Y112/H112,"0")</f>
        <v>5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9.4899999999999998E-2</v>
      </c>
      <c r="AA113" s="67"/>
      <c r="AB113" s="67"/>
      <c r="AC113" s="67"/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0</v>
      </c>
      <c r="X114" s="43">
        <f>IFERROR(SUM(X106:X112),"0")</f>
        <v>50</v>
      </c>
      <c r="Y114" s="43">
        <f>IFERROR(SUM(Y106:Y112),"0")</f>
        <v>54</v>
      </c>
      <c r="Z114" s="42"/>
      <c r="AA114" s="67"/>
      <c r="AB114" s="67"/>
      <c r="AC114" s="67"/>
    </row>
    <row r="115" spans="1:68" ht="14.25" hidden="1" customHeight="1" x14ac:dyDescent="0.25">
      <c r="A115" s="652" t="s">
        <v>165</v>
      </c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2"/>
      <c r="P115" s="652"/>
      <c r="Q115" s="652"/>
      <c r="R115" s="652"/>
      <c r="S115" s="652"/>
      <c r="T115" s="652"/>
      <c r="U115" s="652"/>
      <c r="V115" s="652"/>
      <c r="W115" s="652"/>
      <c r="X115" s="652"/>
      <c r="Y115" s="652"/>
      <c r="Z115" s="652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653">
        <v>4680115881488</v>
      </c>
      <c r="E116" s="65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653">
        <v>4680115887664</v>
      </c>
      <c r="E117" s="65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653">
        <v>4680115882775</v>
      </c>
      <c r="E118" s="65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653">
        <v>4680115880658</v>
      </c>
      <c r="E119" s="65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49"/>
      <c r="B120" s="649"/>
      <c r="C120" s="649"/>
      <c r="D120" s="649"/>
      <c r="E120" s="649"/>
      <c r="F120" s="649"/>
      <c r="G120" s="649"/>
      <c r="H120" s="649"/>
      <c r="I120" s="649"/>
      <c r="J120" s="649"/>
      <c r="K120" s="649"/>
      <c r="L120" s="649"/>
      <c r="M120" s="649"/>
      <c r="N120" s="649"/>
      <c r="O120" s="650"/>
      <c r="P120" s="646" t="s">
        <v>40</v>
      </c>
      <c r="Q120" s="647"/>
      <c r="R120" s="647"/>
      <c r="S120" s="647"/>
      <c r="T120" s="647"/>
      <c r="U120" s="647"/>
      <c r="V120" s="64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52" t="s">
        <v>83</v>
      </c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2"/>
      <c r="P122" s="652"/>
      <c r="Q122" s="652"/>
      <c r="R122" s="652"/>
      <c r="S122" s="652"/>
      <c r="T122" s="652"/>
      <c r="U122" s="652"/>
      <c r="V122" s="652"/>
      <c r="W122" s="652"/>
      <c r="X122" s="652"/>
      <c r="Y122" s="652"/>
      <c r="Z122" s="652"/>
      <c r="AA122" s="66"/>
      <c r="AB122" s="66"/>
      <c r="AC122" s="80"/>
    </row>
    <row r="123" spans="1:68" ht="27" hidden="1" customHeight="1" x14ac:dyDescent="0.25">
      <c r="A123" s="63" t="s">
        <v>244</v>
      </c>
      <c r="B123" s="63" t="s">
        <v>245</v>
      </c>
      <c r="C123" s="36">
        <v>4301052088</v>
      </c>
      <c r="D123" s="653">
        <v>4607091385168</v>
      </c>
      <c r="E123" s="65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8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653">
        <v>4607091383256</v>
      </c>
      <c r="E124" s="65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8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5"/>
      <c r="R124" s="655"/>
      <c r="S124" s="655"/>
      <c r="T124" s="65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4301052086</v>
      </c>
      <c r="D125" s="653">
        <v>4607091385748</v>
      </c>
      <c r="E125" s="65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5"/>
      <c r="R125" s="655"/>
      <c r="S125" s="655"/>
      <c r="T125" s="65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251</v>
      </c>
      <c r="B126" s="63" t="s">
        <v>252</v>
      </c>
      <c r="C126" s="36">
        <v>4301052085</v>
      </c>
      <c r="D126" s="653">
        <v>4680115884533</v>
      </c>
      <c r="E126" s="65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49"/>
      <c r="B127" s="649"/>
      <c r="C127" s="649"/>
      <c r="D127" s="649"/>
      <c r="E127" s="649"/>
      <c r="F127" s="649"/>
      <c r="G127" s="649"/>
      <c r="H127" s="649"/>
      <c r="I127" s="649"/>
      <c r="J127" s="649"/>
      <c r="K127" s="649"/>
      <c r="L127" s="649"/>
      <c r="M127" s="649"/>
      <c r="N127" s="649"/>
      <c r="O127" s="650"/>
      <c r="P127" s="646" t="s">
        <v>40</v>
      </c>
      <c r="Q127" s="647"/>
      <c r="R127" s="647"/>
      <c r="S127" s="647"/>
      <c r="T127" s="647"/>
      <c r="U127" s="647"/>
      <c r="V127" s="648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649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0"/>
      <c r="P128" s="646" t="s">
        <v>40</v>
      </c>
      <c r="Q128" s="647"/>
      <c r="R128" s="647"/>
      <c r="S128" s="647"/>
      <c r="T128" s="647"/>
      <c r="U128" s="647"/>
      <c r="V128" s="648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652" t="s">
        <v>183</v>
      </c>
      <c r="B129" s="652"/>
      <c r="C129" s="652"/>
      <c r="D129" s="652"/>
      <c r="E129" s="652"/>
      <c r="F129" s="652"/>
      <c r="G129" s="652"/>
      <c r="H129" s="652"/>
      <c r="I129" s="652"/>
      <c r="J129" s="652"/>
      <c r="K129" s="652"/>
      <c r="L129" s="652"/>
      <c r="M129" s="652"/>
      <c r="N129" s="652"/>
      <c r="O129" s="652"/>
      <c r="P129" s="652"/>
      <c r="Q129" s="652"/>
      <c r="R129" s="652"/>
      <c r="S129" s="652"/>
      <c r="T129" s="652"/>
      <c r="U129" s="652"/>
      <c r="V129" s="652"/>
      <c r="W129" s="652"/>
      <c r="X129" s="652"/>
      <c r="Y129" s="652"/>
      <c r="Z129" s="652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653">
        <v>4680115880238</v>
      </c>
      <c r="E130" s="65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9"/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50"/>
      <c r="P131" s="646" t="s">
        <v>40</v>
      </c>
      <c r="Q131" s="647"/>
      <c r="R131" s="647"/>
      <c r="S131" s="647"/>
      <c r="T131" s="647"/>
      <c r="U131" s="647"/>
      <c r="V131" s="648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51" t="s">
        <v>257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5"/>
      <c r="AB133" s="65"/>
      <c r="AC133" s="79"/>
    </row>
    <row r="134" spans="1:68" ht="14.25" hidden="1" customHeight="1" x14ac:dyDescent="0.25">
      <c r="A134" s="652" t="s">
        <v>130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653">
        <v>4680115882577</v>
      </c>
      <c r="E135" s="65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653">
        <v>4680115882577</v>
      </c>
      <c r="E136" s="65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49"/>
      <c r="B137" s="649"/>
      <c r="C137" s="649"/>
      <c r="D137" s="649"/>
      <c r="E137" s="649"/>
      <c r="F137" s="649"/>
      <c r="G137" s="649"/>
      <c r="H137" s="649"/>
      <c r="I137" s="649"/>
      <c r="J137" s="649"/>
      <c r="K137" s="649"/>
      <c r="L137" s="649"/>
      <c r="M137" s="649"/>
      <c r="N137" s="649"/>
      <c r="O137" s="650"/>
      <c r="P137" s="646" t="s">
        <v>40</v>
      </c>
      <c r="Q137" s="647"/>
      <c r="R137" s="647"/>
      <c r="S137" s="647"/>
      <c r="T137" s="647"/>
      <c r="U137" s="647"/>
      <c r="V137" s="64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49"/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50"/>
      <c r="P138" s="646" t="s">
        <v>40</v>
      </c>
      <c r="Q138" s="647"/>
      <c r="R138" s="647"/>
      <c r="S138" s="647"/>
      <c r="T138" s="647"/>
      <c r="U138" s="647"/>
      <c r="V138" s="64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52" t="s">
        <v>77</v>
      </c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2"/>
      <c r="P139" s="652"/>
      <c r="Q139" s="652"/>
      <c r="R139" s="652"/>
      <c r="S139" s="652"/>
      <c r="T139" s="652"/>
      <c r="U139" s="652"/>
      <c r="V139" s="652"/>
      <c r="W139" s="652"/>
      <c r="X139" s="652"/>
      <c r="Y139" s="652"/>
      <c r="Z139" s="652"/>
      <c r="AA139" s="66"/>
      <c r="AB139" s="66"/>
      <c r="AC139" s="80"/>
    </row>
    <row r="140" spans="1:68" ht="27" hidden="1" customHeight="1" x14ac:dyDescent="0.25">
      <c r="A140" s="63" t="s">
        <v>263</v>
      </c>
      <c r="B140" s="63" t="s">
        <v>264</v>
      </c>
      <c r="C140" s="36">
        <v>4301031234</v>
      </c>
      <c r="D140" s="653">
        <v>4680115883444</v>
      </c>
      <c r="E140" s="65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5"/>
      <c r="R140" s="655"/>
      <c r="S140" s="655"/>
      <c r="T140" s="65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653">
        <v>4680115883444</v>
      </c>
      <c r="E141" s="65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49"/>
      <c r="B142" s="649"/>
      <c r="C142" s="649"/>
      <c r="D142" s="649"/>
      <c r="E142" s="649"/>
      <c r="F142" s="649"/>
      <c r="G142" s="649"/>
      <c r="H142" s="649"/>
      <c r="I142" s="649"/>
      <c r="J142" s="649"/>
      <c r="K142" s="649"/>
      <c r="L142" s="649"/>
      <c r="M142" s="649"/>
      <c r="N142" s="649"/>
      <c r="O142" s="650"/>
      <c r="P142" s="646" t="s">
        <v>40</v>
      </c>
      <c r="Q142" s="647"/>
      <c r="R142" s="647"/>
      <c r="S142" s="647"/>
      <c r="T142" s="647"/>
      <c r="U142" s="647"/>
      <c r="V142" s="64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49"/>
      <c r="B143" s="649"/>
      <c r="C143" s="649"/>
      <c r="D143" s="649"/>
      <c r="E143" s="649"/>
      <c r="F143" s="649"/>
      <c r="G143" s="649"/>
      <c r="H143" s="649"/>
      <c r="I143" s="649"/>
      <c r="J143" s="649"/>
      <c r="K143" s="649"/>
      <c r="L143" s="649"/>
      <c r="M143" s="649"/>
      <c r="N143" s="649"/>
      <c r="O143" s="650"/>
      <c r="P143" s="646" t="s">
        <v>40</v>
      </c>
      <c r="Q143" s="647"/>
      <c r="R143" s="647"/>
      <c r="S143" s="647"/>
      <c r="T143" s="647"/>
      <c r="U143" s="647"/>
      <c r="V143" s="64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52" t="s">
        <v>83</v>
      </c>
      <c r="B144" s="652"/>
      <c r="C144" s="652"/>
      <c r="D144" s="652"/>
      <c r="E144" s="652"/>
      <c r="F144" s="652"/>
      <c r="G144" s="652"/>
      <c r="H144" s="652"/>
      <c r="I144" s="652"/>
      <c r="J144" s="652"/>
      <c r="K144" s="652"/>
      <c r="L144" s="652"/>
      <c r="M144" s="652"/>
      <c r="N144" s="652"/>
      <c r="O144" s="652"/>
      <c r="P144" s="652"/>
      <c r="Q144" s="652"/>
      <c r="R144" s="652"/>
      <c r="S144" s="652"/>
      <c r="T144" s="652"/>
      <c r="U144" s="652"/>
      <c r="V144" s="652"/>
      <c r="W144" s="652"/>
      <c r="X144" s="652"/>
      <c r="Y144" s="652"/>
      <c r="Z144" s="652"/>
      <c r="AA144" s="66"/>
      <c r="AB144" s="66"/>
      <c r="AC144" s="80"/>
    </row>
    <row r="145" spans="1:68" ht="16.5" hidden="1" customHeight="1" x14ac:dyDescent="0.25">
      <c r="A145" s="63" t="s">
        <v>267</v>
      </c>
      <c r="B145" s="63" t="s">
        <v>268</v>
      </c>
      <c r="C145" s="36">
        <v>4301051476</v>
      </c>
      <c r="D145" s="653">
        <v>4680115882584</v>
      </c>
      <c r="E145" s="65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5"/>
      <c r="R145" s="655"/>
      <c r="S145" s="655"/>
      <c r="T145" s="65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653">
        <v>4680115882584</v>
      </c>
      <c r="E146" s="65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5"/>
      <c r="R146" s="655"/>
      <c r="S146" s="655"/>
      <c r="T146" s="65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49"/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50"/>
      <c r="P147" s="646" t="s">
        <v>40</v>
      </c>
      <c r="Q147" s="647"/>
      <c r="R147" s="647"/>
      <c r="S147" s="647"/>
      <c r="T147" s="647"/>
      <c r="U147" s="647"/>
      <c r="V147" s="64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49"/>
      <c r="B148" s="649"/>
      <c r="C148" s="649"/>
      <c r="D148" s="649"/>
      <c r="E148" s="649"/>
      <c r="F148" s="649"/>
      <c r="G148" s="649"/>
      <c r="H148" s="649"/>
      <c r="I148" s="649"/>
      <c r="J148" s="649"/>
      <c r="K148" s="649"/>
      <c r="L148" s="649"/>
      <c r="M148" s="649"/>
      <c r="N148" s="649"/>
      <c r="O148" s="650"/>
      <c r="P148" s="646" t="s">
        <v>40</v>
      </c>
      <c r="Q148" s="647"/>
      <c r="R148" s="647"/>
      <c r="S148" s="647"/>
      <c r="T148" s="647"/>
      <c r="U148" s="647"/>
      <c r="V148" s="64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51" t="s">
        <v>270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5"/>
      <c r="AB149" s="65"/>
      <c r="AC149" s="79"/>
    </row>
    <row r="150" spans="1:68" ht="14.25" hidden="1" customHeight="1" x14ac:dyDescent="0.25">
      <c r="A150" s="652" t="s">
        <v>83</v>
      </c>
      <c r="B150" s="652"/>
      <c r="C150" s="652"/>
      <c r="D150" s="652"/>
      <c r="E150" s="652"/>
      <c r="F150" s="652"/>
      <c r="G150" s="652"/>
      <c r="H150" s="652"/>
      <c r="I150" s="652"/>
      <c r="J150" s="652"/>
      <c r="K150" s="652"/>
      <c r="L150" s="652"/>
      <c r="M150" s="652"/>
      <c r="N150" s="652"/>
      <c r="O150" s="652"/>
      <c r="P150" s="652"/>
      <c r="Q150" s="652"/>
      <c r="R150" s="652"/>
      <c r="S150" s="652"/>
      <c r="T150" s="652"/>
      <c r="U150" s="652"/>
      <c r="V150" s="652"/>
      <c r="W150" s="652"/>
      <c r="X150" s="652"/>
      <c r="Y150" s="652"/>
      <c r="Z150" s="652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653">
        <v>4680115888203</v>
      </c>
      <c r="E151" s="65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653">
        <v>4680115888180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653">
        <v>4680115888197</v>
      </c>
      <c r="E153" s="65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0"/>
      <c r="P155" s="646" t="s">
        <v>40</v>
      </c>
      <c r="Q155" s="647"/>
      <c r="R155" s="647"/>
      <c r="S155" s="647"/>
      <c r="T155" s="647"/>
      <c r="U155" s="647"/>
      <c r="V155" s="648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2" t="s">
        <v>101</v>
      </c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2"/>
      <c r="P157" s="652"/>
      <c r="Q157" s="652"/>
      <c r="R157" s="652"/>
      <c r="S157" s="652"/>
      <c r="T157" s="652"/>
      <c r="U157" s="652"/>
      <c r="V157" s="652"/>
      <c r="W157" s="652"/>
      <c r="X157" s="652"/>
      <c r="Y157" s="652"/>
      <c r="Z157" s="652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0"/>
      <c r="P159" s="646" t="s">
        <v>40</v>
      </c>
      <c r="Q159" s="647"/>
      <c r="R159" s="647"/>
      <c r="S159" s="647"/>
      <c r="T159" s="647"/>
      <c r="U159" s="647"/>
      <c r="V159" s="64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1" t="s">
        <v>128</v>
      </c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1"/>
      <c r="P161" s="651"/>
      <c r="Q161" s="651"/>
      <c r="R161" s="651"/>
      <c r="S161" s="651"/>
      <c r="T161" s="651"/>
      <c r="U161" s="651"/>
      <c r="V161" s="651"/>
      <c r="W161" s="651"/>
      <c r="X161" s="651"/>
      <c r="Y161" s="651"/>
      <c r="Z161" s="651"/>
      <c r="AA161" s="65"/>
      <c r="AB161" s="65"/>
      <c r="AC161" s="79"/>
    </row>
    <row r="162" spans="1:68" ht="14.25" hidden="1" customHeight="1" x14ac:dyDescent="0.25">
      <c r="A162" s="652" t="s">
        <v>130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86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653">
        <v>4607091384604</v>
      </c>
      <c r="E165" s="65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3">
        <v>4680115888876</v>
      </c>
      <c r="E166" s="65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5"/>
      <c r="R166" s="655"/>
      <c r="S166" s="655"/>
      <c r="T166" s="65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52" t="s">
        <v>165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653">
        <v>4680115887695</v>
      </c>
      <c r="E170" s="65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653">
        <v>4680115889491</v>
      </c>
      <c r="E171" s="65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5"/>
      <c r="R171" s="655"/>
      <c r="S171" s="655"/>
      <c r="T171" s="65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52" t="s">
        <v>77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6"/>
      <c r="AB174" s="66"/>
      <c r="AC174" s="80"/>
    </row>
    <row r="175" spans="1:68" ht="27" hidden="1" customHeight="1" x14ac:dyDescent="0.25">
      <c r="A175" s="63" t="s">
        <v>302</v>
      </c>
      <c r="B175" s="63" t="s">
        <v>303</v>
      </c>
      <c r="C175" s="36">
        <v>4301031496</v>
      </c>
      <c r="D175" s="653">
        <v>4680115887428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4301031509</v>
      </c>
      <c r="D176" s="653">
        <v>4680115889170</v>
      </c>
      <c r="E176" s="65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308</v>
      </c>
      <c r="B177" s="63" t="s">
        <v>309</v>
      </c>
      <c r="C177" s="36">
        <v>4301031522</v>
      </c>
      <c r="D177" s="653">
        <v>4680115887398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5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311</v>
      </c>
      <c r="B178" s="63" t="s">
        <v>312</v>
      </c>
      <c r="C178" s="36">
        <v>4301031520</v>
      </c>
      <c r="D178" s="653">
        <v>4680115887336</v>
      </c>
      <c r="E178" s="65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653">
        <v>4680115887787</v>
      </c>
      <c r="E179" s="65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5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653">
        <v>4680115887503</v>
      </c>
      <c r="E180" s="65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653">
        <v>4680115887763</v>
      </c>
      <c r="E181" s="65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4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idden="1" x14ac:dyDescent="0.2">
      <c r="A185" s="649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0"/>
      <c r="P185" s="646" t="s">
        <v>40</v>
      </c>
      <c r="Q185" s="647"/>
      <c r="R185" s="647"/>
      <c r="S185" s="647"/>
      <c r="T185" s="647"/>
      <c r="U185" s="647"/>
      <c r="V185" s="648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0</v>
      </c>
      <c r="X186" s="43">
        <f>IFERROR(SUM(X175:X184),"0")</f>
        <v>0</v>
      </c>
      <c r="Y186" s="43">
        <f>IFERROR(SUM(Y175:Y184),"0")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2" t="s">
        <v>83</v>
      </c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2"/>
      <c r="P187" s="652"/>
      <c r="Q187" s="652"/>
      <c r="R187" s="652"/>
      <c r="S187" s="652"/>
      <c r="T187" s="652"/>
      <c r="U187" s="652"/>
      <c r="V187" s="652"/>
      <c r="W187" s="652"/>
      <c r="X187" s="652"/>
      <c r="Y187" s="652"/>
      <c r="Z187" s="652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49"/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50"/>
      <c r="P190" s="646" t="s">
        <v>40</v>
      </c>
      <c r="Q190" s="647"/>
      <c r="R190" s="647"/>
      <c r="S190" s="647"/>
      <c r="T190" s="647"/>
      <c r="U190" s="647"/>
      <c r="V190" s="648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49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0"/>
      <c r="P191" s="646" t="s">
        <v>40</v>
      </c>
      <c r="Q191" s="647"/>
      <c r="R191" s="647"/>
      <c r="S191" s="647"/>
      <c r="T191" s="647"/>
      <c r="U191" s="647"/>
      <c r="V191" s="648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52" t="s">
        <v>101</v>
      </c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2"/>
      <c r="P192" s="652"/>
      <c r="Q192" s="652"/>
      <c r="R192" s="652"/>
      <c r="S192" s="652"/>
      <c r="T192" s="652"/>
      <c r="U192" s="652"/>
      <c r="V192" s="652"/>
      <c r="W192" s="652"/>
      <c r="X192" s="652"/>
      <c r="Y192" s="652"/>
      <c r="Z192" s="652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9"/>
      <c r="B194" s="649"/>
      <c r="C194" s="649"/>
      <c r="D194" s="649"/>
      <c r="E194" s="649"/>
      <c r="F194" s="649"/>
      <c r="G194" s="649"/>
      <c r="H194" s="649"/>
      <c r="I194" s="649"/>
      <c r="J194" s="649"/>
      <c r="K194" s="649"/>
      <c r="L194" s="649"/>
      <c r="M194" s="649"/>
      <c r="N194" s="649"/>
      <c r="O194" s="650"/>
      <c r="P194" s="646" t="s">
        <v>40</v>
      </c>
      <c r="Q194" s="647"/>
      <c r="R194" s="647"/>
      <c r="S194" s="647"/>
      <c r="T194" s="647"/>
      <c r="U194" s="647"/>
      <c r="V194" s="64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49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0"/>
      <c r="P195" s="646" t="s">
        <v>40</v>
      </c>
      <c r="Q195" s="647"/>
      <c r="R195" s="647"/>
      <c r="S195" s="647"/>
      <c r="T195" s="647"/>
      <c r="U195" s="647"/>
      <c r="V195" s="64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2" t="s">
        <v>339</v>
      </c>
      <c r="B196" s="652"/>
      <c r="C196" s="652"/>
      <c r="D196" s="652"/>
      <c r="E196" s="652"/>
      <c r="F196" s="652"/>
      <c r="G196" s="652"/>
      <c r="H196" s="652"/>
      <c r="I196" s="652"/>
      <c r="J196" s="652"/>
      <c r="K196" s="652"/>
      <c r="L196" s="652"/>
      <c r="M196" s="652"/>
      <c r="N196" s="652"/>
      <c r="O196" s="652"/>
      <c r="P196" s="652"/>
      <c r="Q196" s="652"/>
      <c r="R196" s="652"/>
      <c r="S196" s="652"/>
      <c r="T196" s="652"/>
      <c r="U196" s="652"/>
      <c r="V196" s="652"/>
      <c r="W196" s="652"/>
      <c r="X196" s="652"/>
      <c r="Y196" s="652"/>
      <c r="Z196" s="652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49"/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50"/>
      <c r="P199" s="646" t="s">
        <v>40</v>
      </c>
      <c r="Q199" s="647"/>
      <c r="R199" s="647"/>
      <c r="S199" s="647"/>
      <c r="T199" s="647"/>
      <c r="U199" s="647"/>
      <c r="V199" s="64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66" t="s">
        <v>343</v>
      </c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54"/>
      <c r="AB200" s="54"/>
      <c r="AC200" s="54"/>
    </row>
    <row r="201" spans="1:68" ht="16.5" hidden="1" customHeight="1" x14ac:dyDescent="0.25">
      <c r="A201" s="651" t="s">
        <v>344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5"/>
      <c r="AB201" s="65"/>
      <c r="AC201" s="79"/>
    </row>
    <row r="202" spans="1:68" ht="14.25" hidden="1" customHeight="1" x14ac:dyDescent="0.25">
      <c r="A202" s="652" t="s">
        <v>130</v>
      </c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2"/>
      <c r="P202" s="652"/>
      <c r="Q202" s="652"/>
      <c r="R202" s="652"/>
      <c r="S202" s="652"/>
      <c r="T202" s="652"/>
      <c r="U202" s="652"/>
      <c r="V202" s="652"/>
      <c r="W202" s="652"/>
      <c r="X202" s="652"/>
      <c r="Y202" s="652"/>
      <c r="Z202" s="652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649"/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50"/>
      <c r="P210" s="646" t="s">
        <v>40</v>
      </c>
      <c r="Q210" s="647"/>
      <c r="R210" s="647"/>
      <c r="S210" s="647"/>
      <c r="T210" s="647"/>
      <c r="U210" s="647"/>
      <c r="V210" s="64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649"/>
      <c r="B211" s="649"/>
      <c r="C211" s="649"/>
      <c r="D211" s="649"/>
      <c r="E211" s="649"/>
      <c r="F211" s="649"/>
      <c r="G211" s="649"/>
      <c r="H211" s="649"/>
      <c r="I211" s="649"/>
      <c r="J211" s="649"/>
      <c r="K211" s="649"/>
      <c r="L211" s="649"/>
      <c r="M211" s="649"/>
      <c r="N211" s="649"/>
      <c r="O211" s="650"/>
      <c r="P211" s="646" t="s">
        <v>40</v>
      </c>
      <c r="Q211" s="647"/>
      <c r="R211" s="647"/>
      <c r="S211" s="647"/>
      <c r="T211" s="647"/>
      <c r="U211" s="647"/>
      <c r="V211" s="64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651" t="s">
        <v>365</v>
      </c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1"/>
      <c r="P212" s="651"/>
      <c r="Q212" s="651"/>
      <c r="R212" s="651"/>
      <c r="S212" s="651"/>
      <c r="T212" s="651"/>
      <c r="U212" s="651"/>
      <c r="V212" s="651"/>
      <c r="W212" s="651"/>
      <c r="X212" s="651"/>
      <c r="Y212" s="651"/>
      <c r="Z212" s="651"/>
      <c r="AA212" s="65"/>
      <c r="AB212" s="65"/>
      <c r="AC212" s="79"/>
    </row>
    <row r="213" spans="1:68" ht="14.25" hidden="1" customHeight="1" x14ac:dyDescent="0.25">
      <c r="A213" s="652" t="s">
        <v>165</v>
      </c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2"/>
      <c r="P213" s="652"/>
      <c r="Q213" s="652"/>
      <c r="R213" s="652"/>
      <c r="S213" s="652"/>
      <c r="T213" s="652"/>
      <c r="U213" s="652"/>
      <c r="V213" s="652"/>
      <c r="W213" s="652"/>
      <c r="X213" s="652"/>
      <c r="Y213" s="652"/>
      <c r="Z213" s="652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49"/>
      <c r="B215" s="649"/>
      <c r="C215" s="649"/>
      <c r="D215" s="649"/>
      <c r="E215" s="649"/>
      <c r="F215" s="649"/>
      <c r="G215" s="649"/>
      <c r="H215" s="649"/>
      <c r="I215" s="649"/>
      <c r="J215" s="649"/>
      <c r="K215" s="649"/>
      <c r="L215" s="649"/>
      <c r="M215" s="649"/>
      <c r="N215" s="649"/>
      <c r="O215" s="650"/>
      <c r="P215" s="646" t="s">
        <v>40</v>
      </c>
      <c r="Q215" s="647"/>
      <c r="R215" s="647"/>
      <c r="S215" s="647"/>
      <c r="T215" s="647"/>
      <c r="U215" s="647"/>
      <c r="V215" s="64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49"/>
      <c r="B216" s="649"/>
      <c r="C216" s="649"/>
      <c r="D216" s="649"/>
      <c r="E216" s="649"/>
      <c r="F216" s="649"/>
      <c r="G216" s="649"/>
      <c r="H216" s="649"/>
      <c r="I216" s="649"/>
      <c r="J216" s="649"/>
      <c r="K216" s="649"/>
      <c r="L216" s="649"/>
      <c r="M216" s="649"/>
      <c r="N216" s="649"/>
      <c r="O216" s="650"/>
      <c r="P216" s="646" t="s">
        <v>40</v>
      </c>
      <c r="Q216" s="647"/>
      <c r="R216" s="647"/>
      <c r="S216" s="647"/>
      <c r="T216" s="647"/>
      <c r="U216" s="647"/>
      <c r="V216" s="64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52" t="s">
        <v>77</v>
      </c>
      <c r="B217" s="652"/>
      <c r="C217" s="652"/>
      <c r="D217" s="652"/>
      <c r="E217" s="652"/>
      <c r="F217" s="652"/>
      <c r="G217" s="652"/>
      <c r="H217" s="652"/>
      <c r="I217" s="652"/>
      <c r="J217" s="652"/>
      <c r="K217" s="652"/>
      <c r="L217" s="652"/>
      <c r="M217" s="652"/>
      <c r="N217" s="652"/>
      <c r="O217" s="652"/>
      <c r="P217" s="652"/>
      <c r="Q217" s="652"/>
      <c r="R217" s="652"/>
      <c r="S217" s="652"/>
      <c r="T217" s="652"/>
      <c r="U217" s="652"/>
      <c r="V217" s="652"/>
      <c r="W217" s="652"/>
      <c r="X217" s="652"/>
      <c r="Y217" s="652"/>
      <c r="Z217" s="652"/>
      <c r="AA217" s="66"/>
      <c r="AB217" s="66"/>
      <c r="AC217" s="80"/>
    </row>
    <row r="218" spans="1:68" ht="27" hidden="1" customHeight="1" x14ac:dyDescent="0.25">
      <c r="A218" s="63" t="s">
        <v>369</v>
      </c>
      <c r="B218" s="63" t="s">
        <v>370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1" si="26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0</v>
      </c>
      <c r="BN218" s="78">
        <f t="shared" ref="BN218:BN231" si="28">IFERROR(Y218*I218/H218,"0")</f>
        <v>0</v>
      </c>
      <c r="BO218" s="78">
        <f t="shared" ref="BO218:BO231" si="29">IFERROR(1/J218*(X218/H218),"0")</f>
        <v>0</v>
      </c>
      <c r="BP218" s="78">
        <f t="shared" ref="BP218:BP231" si="30">IFERROR(1/J218*(Y218/H218),"0")</f>
        <v>0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375</v>
      </c>
      <c r="B220" s="63" t="s">
        <v>376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100</v>
      </c>
      <c r="Y220" s="55">
        <f t="shared" si="26"/>
        <v>100.80000000000001</v>
      </c>
      <c r="Z220" s="41">
        <f>IFERROR(IF(Y220=0,"",ROUNDUP(Y220/H220,0)*0.00902),"")</f>
        <v>0.21648000000000001</v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104.5238095238095</v>
      </c>
      <c r="BN220" s="78">
        <f t="shared" si="28"/>
        <v>105.36</v>
      </c>
      <c r="BO220" s="78">
        <f t="shared" si="29"/>
        <v>0.18037518037518038</v>
      </c>
      <c r="BP220" s="78">
        <f t="shared" si="30"/>
        <v>0.18181818181818182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35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382</v>
      </c>
      <c r="B223" s="63" t="s">
        <v>383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2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653">
        <v>4680115883963</v>
      </c>
      <c r="E231" s="65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649"/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50"/>
      <c r="P232" s="646" t="s">
        <v>40</v>
      </c>
      <c r="Q232" s="647"/>
      <c r="R232" s="647"/>
      <c r="S232" s="647"/>
      <c r="T232" s="647"/>
      <c r="U232" s="647"/>
      <c r="V232" s="648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23.80952380952381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24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0.21648000000000001</v>
      </c>
      <c r="AA232" s="67"/>
      <c r="AB232" s="67"/>
      <c r="AC232" s="67"/>
    </row>
    <row r="233" spans="1:68" x14ac:dyDescent="0.2">
      <c r="A233" s="649"/>
      <c r="B233" s="649"/>
      <c r="C233" s="649"/>
      <c r="D233" s="649"/>
      <c r="E233" s="649"/>
      <c r="F233" s="649"/>
      <c r="G233" s="649"/>
      <c r="H233" s="649"/>
      <c r="I233" s="649"/>
      <c r="J233" s="649"/>
      <c r="K233" s="649"/>
      <c r="L233" s="649"/>
      <c r="M233" s="649"/>
      <c r="N233" s="649"/>
      <c r="O233" s="650"/>
      <c r="P233" s="646" t="s">
        <v>40</v>
      </c>
      <c r="Q233" s="647"/>
      <c r="R233" s="647"/>
      <c r="S233" s="647"/>
      <c r="T233" s="647"/>
      <c r="U233" s="647"/>
      <c r="V233" s="648"/>
      <c r="W233" s="42" t="s">
        <v>0</v>
      </c>
      <c r="X233" s="43">
        <f>IFERROR(SUM(X218:X231),"0")</f>
        <v>100</v>
      </c>
      <c r="Y233" s="43">
        <f>IFERROR(SUM(Y218:Y231),"0")</f>
        <v>100.80000000000001</v>
      </c>
      <c r="Z233" s="42"/>
      <c r="AA233" s="67"/>
      <c r="AB233" s="67"/>
      <c r="AC233" s="67"/>
    </row>
    <row r="234" spans="1:68" ht="14.25" hidden="1" customHeight="1" x14ac:dyDescent="0.25">
      <c r="A234" s="652" t="s">
        <v>83</v>
      </c>
      <c r="B234" s="652"/>
      <c r="C234" s="652"/>
      <c r="D234" s="652"/>
      <c r="E234" s="652"/>
      <c r="F234" s="652"/>
      <c r="G234" s="652"/>
      <c r="H234" s="652"/>
      <c r="I234" s="652"/>
      <c r="J234" s="652"/>
      <c r="K234" s="652"/>
      <c r="L234" s="652"/>
      <c r="M234" s="652"/>
      <c r="N234" s="652"/>
      <c r="O234" s="652"/>
      <c r="P234" s="652"/>
      <c r="Q234" s="652"/>
      <c r="R234" s="652"/>
      <c r="S234" s="652"/>
      <c r="T234" s="652"/>
      <c r="U234" s="652"/>
      <c r="V234" s="652"/>
      <c r="W234" s="652"/>
      <c r="X234" s="652"/>
      <c r="Y234" s="652"/>
      <c r="Z234" s="652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653">
        <v>4680115888692</v>
      </c>
      <c r="E235" s="65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55"/>
      <c r="R235" s="655"/>
      <c r="S235" s="655"/>
      <c r="T235" s="65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653">
        <v>4680115888722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1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653">
        <v>4680115888951</v>
      </c>
      <c r="E237" s="65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1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653">
        <v>4680115888975</v>
      </c>
      <c r="E238" s="65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653">
        <v>4680115888982</v>
      </c>
      <c r="E239" s="65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649"/>
      <c r="B240" s="649"/>
      <c r="C240" s="649"/>
      <c r="D240" s="649"/>
      <c r="E240" s="649"/>
      <c r="F240" s="649"/>
      <c r="G240" s="649"/>
      <c r="H240" s="649"/>
      <c r="I240" s="649"/>
      <c r="J240" s="649"/>
      <c r="K240" s="649"/>
      <c r="L240" s="649"/>
      <c r="M240" s="649"/>
      <c r="N240" s="649"/>
      <c r="O240" s="650"/>
      <c r="P240" s="646" t="s">
        <v>40</v>
      </c>
      <c r="Q240" s="647"/>
      <c r="R240" s="647"/>
      <c r="S240" s="647"/>
      <c r="T240" s="647"/>
      <c r="U240" s="647"/>
      <c r="V240" s="648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49"/>
      <c r="B241" s="649"/>
      <c r="C241" s="649"/>
      <c r="D241" s="649"/>
      <c r="E241" s="649"/>
      <c r="F241" s="649"/>
      <c r="G241" s="649"/>
      <c r="H241" s="649"/>
      <c r="I241" s="649"/>
      <c r="J241" s="649"/>
      <c r="K241" s="649"/>
      <c r="L241" s="649"/>
      <c r="M241" s="649"/>
      <c r="N241" s="649"/>
      <c r="O241" s="650"/>
      <c r="P241" s="646" t="s">
        <v>40</v>
      </c>
      <c r="Q241" s="647"/>
      <c r="R241" s="647"/>
      <c r="S241" s="647"/>
      <c r="T241" s="647"/>
      <c r="U241" s="647"/>
      <c r="V241" s="648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52" t="s">
        <v>101</v>
      </c>
      <c r="B242" s="652"/>
      <c r="C242" s="652"/>
      <c r="D242" s="652"/>
      <c r="E242" s="652"/>
      <c r="F242" s="652"/>
      <c r="G242" s="652"/>
      <c r="H242" s="652"/>
      <c r="I242" s="652"/>
      <c r="J242" s="652"/>
      <c r="K242" s="652"/>
      <c r="L242" s="652"/>
      <c r="M242" s="652"/>
      <c r="N242" s="652"/>
      <c r="O242" s="652"/>
      <c r="P242" s="652"/>
      <c r="Q242" s="652"/>
      <c r="R242" s="652"/>
      <c r="S242" s="652"/>
      <c r="T242" s="652"/>
      <c r="U242" s="652"/>
      <c r="V242" s="652"/>
      <c r="W242" s="652"/>
      <c r="X242" s="652"/>
      <c r="Y242" s="652"/>
      <c r="Z242" s="652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653">
        <v>4680115886780</v>
      </c>
      <c r="E243" s="65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653">
        <v>4680115886742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653">
        <v>4680115886766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649"/>
      <c r="B246" s="649"/>
      <c r="C246" s="649"/>
      <c r="D246" s="649"/>
      <c r="E246" s="649"/>
      <c r="F246" s="649"/>
      <c r="G246" s="649"/>
      <c r="H246" s="649"/>
      <c r="I246" s="649"/>
      <c r="J246" s="649"/>
      <c r="K246" s="649"/>
      <c r="L246" s="649"/>
      <c r="M246" s="649"/>
      <c r="N246" s="649"/>
      <c r="O246" s="650"/>
      <c r="P246" s="646" t="s">
        <v>40</v>
      </c>
      <c r="Q246" s="647"/>
      <c r="R246" s="647"/>
      <c r="S246" s="647"/>
      <c r="T246" s="647"/>
      <c r="U246" s="647"/>
      <c r="V246" s="648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649"/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50"/>
      <c r="P247" s="646" t="s">
        <v>40</v>
      </c>
      <c r="Q247" s="647"/>
      <c r="R247" s="647"/>
      <c r="S247" s="647"/>
      <c r="T247" s="647"/>
      <c r="U247" s="647"/>
      <c r="V247" s="648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652" t="s">
        <v>426</v>
      </c>
      <c r="B248" s="652"/>
      <c r="C248" s="652"/>
      <c r="D248" s="652"/>
      <c r="E248" s="652"/>
      <c r="F248" s="652"/>
      <c r="G248" s="652"/>
      <c r="H248" s="652"/>
      <c r="I248" s="652"/>
      <c r="J248" s="652"/>
      <c r="K248" s="652"/>
      <c r="L248" s="652"/>
      <c r="M248" s="652"/>
      <c r="N248" s="652"/>
      <c r="O248" s="652"/>
      <c r="P248" s="652"/>
      <c r="Q248" s="652"/>
      <c r="R248" s="652"/>
      <c r="S248" s="652"/>
      <c r="T248" s="652"/>
      <c r="U248" s="652"/>
      <c r="V248" s="652"/>
      <c r="W248" s="652"/>
      <c r="X248" s="652"/>
      <c r="Y248" s="652"/>
      <c r="Z248" s="652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653">
        <v>4680115886797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649"/>
      <c r="B251" s="649"/>
      <c r="C251" s="649"/>
      <c r="D251" s="649"/>
      <c r="E251" s="649"/>
      <c r="F251" s="649"/>
      <c r="G251" s="649"/>
      <c r="H251" s="649"/>
      <c r="I251" s="649"/>
      <c r="J251" s="649"/>
      <c r="K251" s="649"/>
      <c r="L251" s="649"/>
      <c r="M251" s="649"/>
      <c r="N251" s="649"/>
      <c r="O251" s="650"/>
      <c r="P251" s="646" t="s">
        <v>40</v>
      </c>
      <c r="Q251" s="647"/>
      <c r="R251" s="647"/>
      <c r="S251" s="647"/>
      <c r="T251" s="647"/>
      <c r="U251" s="647"/>
      <c r="V251" s="648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651" t="s">
        <v>429</v>
      </c>
      <c r="B252" s="651"/>
      <c r="C252" s="651"/>
      <c r="D252" s="651"/>
      <c r="E252" s="651"/>
      <c r="F252" s="651"/>
      <c r="G252" s="651"/>
      <c r="H252" s="651"/>
      <c r="I252" s="651"/>
      <c r="J252" s="651"/>
      <c r="K252" s="651"/>
      <c r="L252" s="651"/>
      <c r="M252" s="651"/>
      <c r="N252" s="651"/>
      <c r="O252" s="651"/>
      <c r="P252" s="651"/>
      <c r="Q252" s="651"/>
      <c r="R252" s="651"/>
      <c r="S252" s="651"/>
      <c r="T252" s="651"/>
      <c r="U252" s="651"/>
      <c r="V252" s="651"/>
      <c r="W252" s="651"/>
      <c r="X252" s="651"/>
      <c r="Y252" s="651"/>
      <c r="Z252" s="651"/>
      <c r="AA252" s="65"/>
      <c r="AB252" s="65"/>
      <c r="AC252" s="79"/>
    </row>
    <row r="253" spans="1:68" ht="14.25" hidden="1" customHeight="1" x14ac:dyDescent="0.25">
      <c r="A253" s="652" t="s">
        <v>130</v>
      </c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2"/>
      <c r="P253" s="652"/>
      <c r="Q253" s="652"/>
      <c r="R253" s="652"/>
      <c r="S253" s="652"/>
      <c r="T253" s="652"/>
      <c r="U253" s="652"/>
      <c r="V253" s="652"/>
      <c r="W253" s="652"/>
      <c r="X253" s="652"/>
      <c r="Y253" s="652"/>
      <c r="Z253" s="652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653">
        <v>4680115881402</v>
      </c>
      <c r="E254" s="65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653">
        <v>4680115881396</v>
      </c>
      <c r="E255" s="65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49"/>
      <c r="B256" s="649"/>
      <c r="C256" s="649"/>
      <c r="D256" s="649"/>
      <c r="E256" s="649"/>
      <c r="F256" s="649"/>
      <c r="G256" s="649"/>
      <c r="H256" s="649"/>
      <c r="I256" s="649"/>
      <c r="J256" s="649"/>
      <c r="K256" s="649"/>
      <c r="L256" s="649"/>
      <c r="M256" s="649"/>
      <c r="N256" s="649"/>
      <c r="O256" s="650"/>
      <c r="P256" s="646" t="s">
        <v>40</v>
      </c>
      <c r="Q256" s="647"/>
      <c r="R256" s="647"/>
      <c r="S256" s="647"/>
      <c r="T256" s="647"/>
      <c r="U256" s="647"/>
      <c r="V256" s="648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49"/>
      <c r="B257" s="649"/>
      <c r="C257" s="649"/>
      <c r="D257" s="649"/>
      <c r="E257" s="649"/>
      <c r="F257" s="649"/>
      <c r="G257" s="649"/>
      <c r="H257" s="649"/>
      <c r="I257" s="649"/>
      <c r="J257" s="649"/>
      <c r="K257" s="649"/>
      <c r="L257" s="649"/>
      <c r="M257" s="649"/>
      <c r="N257" s="649"/>
      <c r="O257" s="650"/>
      <c r="P257" s="646" t="s">
        <v>40</v>
      </c>
      <c r="Q257" s="647"/>
      <c r="R257" s="647"/>
      <c r="S257" s="647"/>
      <c r="T257" s="647"/>
      <c r="U257" s="647"/>
      <c r="V257" s="648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52" t="s">
        <v>165</v>
      </c>
      <c r="B258" s="652"/>
      <c r="C258" s="652"/>
      <c r="D258" s="652"/>
      <c r="E258" s="652"/>
      <c r="F258" s="652"/>
      <c r="G258" s="652"/>
      <c r="H258" s="652"/>
      <c r="I258" s="652"/>
      <c r="J258" s="652"/>
      <c r="K258" s="652"/>
      <c r="L258" s="652"/>
      <c r="M258" s="652"/>
      <c r="N258" s="652"/>
      <c r="O258" s="652"/>
      <c r="P258" s="652"/>
      <c r="Q258" s="652"/>
      <c r="R258" s="652"/>
      <c r="S258" s="652"/>
      <c r="T258" s="652"/>
      <c r="U258" s="652"/>
      <c r="V258" s="652"/>
      <c r="W258" s="652"/>
      <c r="X258" s="652"/>
      <c r="Y258" s="652"/>
      <c r="Z258" s="652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653">
        <v>4680115882935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653">
        <v>4680115880764</v>
      </c>
      <c r="E260" s="65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9"/>
      <c r="B261" s="649"/>
      <c r="C261" s="649"/>
      <c r="D261" s="649"/>
      <c r="E261" s="649"/>
      <c r="F261" s="649"/>
      <c r="G261" s="649"/>
      <c r="H261" s="649"/>
      <c r="I261" s="649"/>
      <c r="J261" s="649"/>
      <c r="K261" s="649"/>
      <c r="L261" s="649"/>
      <c r="M261" s="649"/>
      <c r="N261" s="649"/>
      <c r="O261" s="650"/>
      <c r="P261" s="646" t="s">
        <v>40</v>
      </c>
      <c r="Q261" s="647"/>
      <c r="R261" s="647"/>
      <c r="S261" s="647"/>
      <c r="T261" s="647"/>
      <c r="U261" s="647"/>
      <c r="V261" s="64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9"/>
      <c r="B262" s="649"/>
      <c r="C262" s="649"/>
      <c r="D262" s="649"/>
      <c r="E262" s="649"/>
      <c r="F262" s="649"/>
      <c r="G262" s="649"/>
      <c r="H262" s="649"/>
      <c r="I262" s="649"/>
      <c r="J262" s="649"/>
      <c r="K262" s="649"/>
      <c r="L262" s="649"/>
      <c r="M262" s="649"/>
      <c r="N262" s="649"/>
      <c r="O262" s="650"/>
      <c r="P262" s="646" t="s">
        <v>40</v>
      </c>
      <c r="Q262" s="647"/>
      <c r="R262" s="647"/>
      <c r="S262" s="647"/>
      <c r="T262" s="647"/>
      <c r="U262" s="647"/>
      <c r="V262" s="64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2" t="s">
        <v>77</v>
      </c>
      <c r="B263" s="652"/>
      <c r="C263" s="652"/>
      <c r="D263" s="652"/>
      <c r="E263" s="652"/>
      <c r="F263" s="652"/>
      <c r="G263" s="652"/>
      <c r="H263" s="652"/>
      <c r="I263" s="652"/>
      <c r="J263" s="652"/>
      <c r="K263" s="652"/>
      <c r="L263" s="652"/>
      <c r="M263" s="652"/>
      <c r="N263" s="652"/>
      <c r="O263" s="652"/>
      <c r="P263" s="652"/>
      <c r="Q263" s="652"/>
      <c r="R263" s="652"/>
      <c r="S263" s="652"/>
      <c r="T263" s="652"/>
      <c r="U263" s="652"/>
      <c r="V263" s="652"/>
      <c r="W263" s="652"/>
      <c r="X263" s="652"/>
      <c r="Y263" s="652"/>
      <c r="Z263" s="652"/>
      <c r="AA263" s="66"/>
      <c r="AB263" s="66"/>
      <c r="AC263" s="80"/>
    </row>
    <row r="264" spans="1:68" ht="27" hidden="1" customHeight="1" x14ac:dyDescent="0.25">
      <c r="A264" s="63" t="s">
        <v>440</v>
      </c>
      <c r="B264" s="63" t="s">
        <v>441</v>
      </c>
      <c r="C264" s="36">
        <v>4301031224</v>
      </c>
      <c r="D264" s="653">
        <v>4680115882683</v>
      </c>
      <c r="E264" s="65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ref="Y264:Y271" si="31">IFERROR(IF(X264="",0,CEILING((X264/$H264),1)*$H264),"")</f>
        <v>0</v>
      </c>
      <c r="Z264" s="41" t="str">
        <f>IFERROR(IF(Y264=0,"",ROUNDUP(Y264/H264,0)*0.00902),"")</f>
        <v/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0</v>
      </c>
      <c r="BN264" s="78">
        <f t="shared" ref="BN264:BN271" si="33">IFERROR(Y264*I264/H264,"0")</f>
        <v>0</v>
      </c>
      <c r="BO264" s="78">
        <f t="shared" ref="BO264:BO271" si="34">IFERROR(1/J264*(X264/H264),"0")</f>
        <v>0</v>
      </c>
      <c r="BP264" s="78">
        <f t="shared" ref="BP264:BP271" si="35">IFERROR(1/J264*(Y264/H264),"0")</f>
        <v>0</v>
      </c>
    </row>
    <row r="265" spans="1:68" ht="27" hidden="1" customHeight="1" x14ac:dyDescent="0.25">
      <c r="A265" s="63" t="s">
        <v>443</v>
      </c>
      <c r="B265" s="63" t="s">
        <v>444</v>
      </c>
      <c r="C265" s="36">
        <v>4301031230</v>
      </c>
      <c r="D265" s="653">
        <v>4680115882690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446</v>
      </c>
      <c r="B266" s="63" t="s">
        <v>447</v>
      </c>
      <c r="C266" s="36">
        <v>4301031220</v>
      </c>
      <c r="D266" s="653">
        <v>4680115882669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4301031221</v>
      </c>
      <c r="D267" s="653">
        <v>4680115882676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4301031223</v>
      </c>
      <c r="D268" s="653">
        <v>4680115884014</v>
      </c>
      <c r="E268" s="65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653">
        <v>4680115884007</v>
      </c>
      <c r="E269" s="65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456</v>
      </c>
      <c r="B270" s="63" t="s">
        <v>457</v>
      </c>
      <c r="C270" s="36">
        <v>4301031229</v>
      </c>
      <c r="D270" s="653">
        <v>4680115884038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4301031225</v>
      </c>
      <c r="D271" s="653">
        <v>4680115884021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idden="1" x14ac:dyDescent="0.2">
      <c r="A272" s="649"/>
      <c r="B272" s="649"/>
      <c r="C272" s="649"/>
      <c r="D272" s="649"/>
      <c r="E272" s="649"/>
      <c r="F272" s="649"/>
      <c r="G272" s="649"/>
      <c r="H272" s="649"/>
      <c r="I272" s="649"/>
      <c r="J272" s="649"/>
      <c r="K272" s="649"/>
      <c r="L272" s="649"/>
      <c r="M272" s="649"/>
      <c r="N272" s="649"/>
      <c r="O272" s="650"/>
      <c r="P272" s="646" t="s">
        <v>40</v>
      </c>
      <c r="Q272" s="647"/>
      <c r="R272" s="647"/>
      <c r="S272" s="647"/>
      <c r="T272" s="647"/>
      <c r="U272" s="647"/>
      <c r="V272" s="648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0</v>
      </c>
      <c r="Y272" s="43">
        <f>IFERROR(Y264/H264,"0")+IFERROR(Y265/H265,"0")+IFERROR(Y266/H266,"0")+IFERROR(Y267/H267,"0")+IFERROR(Y268/H268,"0")+IFERROR(Y269/H269,"0")+IFERROR(Y270/H270,"0")+IFERROR(Y271/H271,"0")</f>
        <v>0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hidden="1" x14ac:dyDescent="0.2">
      <c r="A273" s="649"/>
      <c r="B273" s="649"/>
      <c r="C273" s="649"/>
      <c r="D273" s="649"/>
      <c r="E273" s="649"/>
      <c r="F273" s="649"/>
      <c r="G273" s="649"/>
      <c r="H273" s="649"/>
      <c r="I273" s="649"/>
      <c r="J273" s="649"/>
      <c r="K273" s="649"/>
      <c r="L273" s="649"/>
      <c r="M273" s="649"/>
      <c r="N273" s="649"/>
      <c r="O273" s="650"/>
      <c r="P273" s="646" t="s">
        <v>40</v>
      </c>
      <c r="Q273" s="647"/>
      <c r="R273" s="647"/>
      <c r="S273" s="647"/>
      <c r="T273" s="647"/>
      <c r="U273" s="647"/>
      <c r="V273" s="648"/>
      <c r="W273" s="42" t="s">
        <v>0</v>
      </c>
      <c r="X273" s="43">
        <f>IFERROR(SUM(X264:X271),"0")</f>
        <v>0</v>
      </c>
      <c r="Y273" s="43">
        <f>IFERROR(SUM(Y264:Y271),"0")</f>
        <v>0</v>
      </c>
      <c r="Z273" s="42"/>
      <c r="AA273" s="67"/>
      <c r="AB273" s="67"/>
      <c r="AC273" s="67"/>
    </row>
    <row r="274" spans="1:68" ht="14.25" hidden="1" customHeight="1" x14ac:dyDescent="0.25">
      <c r="A274" s="652" t="s">
        <v>83</v>
      </c>
      <c r="B274" s="652"/>
      <c r="C274" s="652"/>
      <c r="D274" s="652"/>
      <c r="E274" s="652"/>
      <c r="F274" s="652"/>
      <c r="G274" s="652"/>
      <c r="H274" s="652"/>
      <c r="I274" s="652"/>
      <c r="J274" s="652"/>
      <c r="K274" s="652"/>
      <c r="L274" s="652"/>
      <c r="M274" s="652"/>
      <c r="N274" s="652"/>
      <c r="O274" s="652"/>
      <c r="P274" s="652"/>
      <c r="Q274" s="652"/>
      <c r="R274" s="652"/>
      <c r="S274" s="652"/>
      <c r="T274" s="652"/>
      <c r="U274" s="652"/>
      <c r="V274" s="652"/>
      <c r="W274" s="652"/>
      <c r="X274" s="652"/>
      <c r="Y274" s="652"/>
      <c r="Z274" s="652"/>
      <c r="AA274" s="66"/>
      <c r="AB274" s="66"/>
      <c r="AC274" s="80"/>
    </row>
    <row r="275" spans="1:68" ht="27" customHeight="1" x14ac:dyDescent="0.25">
      <c r="A275" s="63" t="s">
        <v>460</v>
      </c>
      <c r="B275" s="63" t="s">
        <v>461</v>
      </c>
      <c r="C275" s="36">
        <v>4301051408</v>
      </c>
      <c r="D275" s="653">
        <v>4680115881594</v>
      </c>
      <c r="E275" s="65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30</v>
      </c>
      <c r="Y275" s="55">
        <f t="shared" ref="Y275:Y285" si="36">IFERROR(IF(X275="",0,CEILING((X275/$H275),1)*$H275),"")</f>
        <v>32.4</v>
      </c>
      <c r="Z275" s="41">
        <f>IFERROR(IF(Y275=0,"",ROUNDUP(Y275/H275,0)*0.01898),"")</f>
        <v>7.5920000000000001E-2</v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31.829629629629629</v>
      </c>
      <c r="BN275" s="78">
        <f t="shared" ref="BN275:BN285" si="38">IFERROR(Y275*I275/H275,"0")</f>
        <v>34.375999999999998</v>
      </c>
      <c r="BO275" s="78">
        <f t="shared" ref="BO275:BO285" si="39">IFERROR(1/J275*(X275/H275),"0")</f>
        <v>5.7870370370370371E-2</v>
      </c>
      <c r="BP275" s="78">
        <f t="shared" ref="BP275:BP285" si="40">IFERROR(1/J275*(Y275/H275),"0")</f>
        <v>6.25E-2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653">
        <v>4680115881617</v>
      </c>
      <c r="E276" s="65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4301051656</v>
      </c>
      <c r="D277" s="653">
        <v>4680115880573</v>
      </c>
      <c r="E277" s="65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4301051407</v>
      </c>
      <c r="D278" s="653">
        <v>4680115882195</v>
      </c>
      <c r="E278" s="65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653">
        <v>4680115882607</v>
      </c>
      <c r="E279" s="65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473</v>
      </c>
      <c r="B280" s="63" t="s">
        <v>474</v>
      </c>
      <c r="C280" s="36">
        <v>4301051666</v>
      </c>
      <c r="D280" s="653">
        <v>4680115880092</v>
      </c>
      <c r="E280" s="65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653">
        <v>4680115889064</v>
      </c>
      <c r="E281" s="65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478</v>
      </c>
      <c r="B282" s="63" t="s">
        <v>479</v>
      </c>
      <c r="C282" s="36">
        <v>4301051668</v>
      </c>
      <c r="D282" s="653">
        <v>4680115880221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4301051945</v>
      </c>
      <c r="D283" s="653">
        <v>4680115880504</v>
      </c>
      <c r="E283" s="65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4301051410</v>
      </c>
      <c r="D284" s="653">
        <v>4680115882164</v>
      </c>
      <c r="E284" s="65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653">
        <v>4680115888340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649"/>
      <c r="B286" s="649"/>
      <c r="C286" s="649"/>
      <c r="D286" s="649"/>
      <c r="E286" s="649"/>
      <c r="F286" s="649"/>
      <c r="G286" s="649"/>
      <c r="H286" s="649"/>
      <c r="I286" s="649"/>
      <c r="J286" s="649"/>
      <c r="K286" s="649"/>
      <c r="L286" s="649"/>
      <c r="M286" s="649"/>
      <c r="N286" s="649"/>
      <c r="O286" s="650"/>
      <c r="P286" s="646" t="s">
        <v>40</v>
      </c>
      <c r="Q286" s="647"/>
      <c r="R286" s="647"/>
      <c r="S286" s="647"/>
      <c r="T286" s="647"/>
      <c r="U286" s="647"/>
      <c r="V286" s="648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3.7037037037037037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4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7.5920000000000001E-2</v>
      </c>
      <c r="AA286" s="67"/>
      <c r="AB286" s="67"/>
      <c r="AC286" s="67"/>
    </row>
    <row r="287" spans="1:68" x14ac:dyDescent="0.2">
      <c r="A287" s="649"/>
      <c r="B287" s="649"/>
      <c r="C287" s="649"/>
      <c r="D287" s="649"/>
      <c r="E287" s="649"/>
      <c r="F287" s="649"/>
      <c r="G287" s="649"/>
      <c r="H287" s="649"/>
      <c r="I287" s="649"/>
      <c r="J287" s="649"/>
      <c r="K287" s="649"/>
      <c r="L287" s="649"/>
      <c r="M287" s="649"/>
      <c r="N287" s="649"/>
      <c r="O287" s="650"/>
      <c r="P287" s="646" t="s">
        <v>40</v>
      </c>
      <c r="Q287" s="647"/>
      <c r="R287" s="647"/>
      <c r="S287" s="647"/>
      <c r="T287" s="647"/>
      <c r="U287" s="647"/>
      <c r="V287" s="648"/>
      <c r="W287" s="42" t="s">
        <v>0</v>
      </c>
      <c r="X287" s="43">
        <f>IFERROR(SUM(X275:X285),"0")</f>
        <v>30</v>
      </c>
      <c r="Y287" s="43">
        <f>IFERROR(SUM(Y275:Y285),"0")</f>
        <v>32.4</v>
      </c>
      <c r="Z287" s="42"/>
      <c r="AA287" s="67"/>
      <c r="AB287" s="67"/>
      <c r="AC287" s="67"/>
    </row>
    <row r="288" spans="1:68" ht="14.25" hidden="1" customHeight="1" x14ac:dyDescent="0.25">
      <c r="A288" s="652" t="s">
        <v>183</v>
      </c>
      <c r="B288" s="652"/>
      <c r="C288" s="652"/>
      <c r="D288" s="652"/>
      <c r="E288" s="652"/>
      <c r="F288" s="652"/>
      <c r="G288" s="652"/>
      <c r="H288" s="652"/>
      <c r="I288" s="652"/>
      <c r="J288" s="652"/>
      <c r="K288" s="652"/>
      <c r="L288" s="652"/>
      <c r="M288" s="652"/>
      <c r="N288" s="652"/>
      <c r="O288" s="652"/>
      <c r="P288" s="652"/>
      <c r="Q288" s="652"/>
      <c r="R288" s="652"/>
      <c r="S288" s="652"/>
      <c r="T288" s="652"/>
      <c r="U288" s="652"/>
      <c r="V288" s="652"/>
      <c r="W288" s="652"/>
      <c r="X288" s="652"/>
      <c r="Y288" s="652"/>
      <c r="Z288" s="652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653">
        <v>4680115880818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4301060389</v>
      </c>
      <c r="D290" s="653">
        <v>4680115880801</v>
      </c>
      <c r="E290" s="65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649"/>
      <c r="B292" s="649"/>
      <c r="C292" s="649"/>
      <c r="D292" s="649"/>
      <c r="E292" s="649"/>
      <c r="F292" s="649"/>
      <c r="G292" s="649"/>
      <c r="H292" s="649"/>
      <c r="I292" s="649"/>
      <c r="J292" s="649"/>
      <c r="K292" s="649"/>
      <c r="L292" s="649"/>
      <c r="M292" s="649"/>
      <c r="N292" s="649"/>
      <c r="O292" s="650"/>
      <c r="P292" s="646" t="s">
        <v>40</v>
      </c>
      <c r="Q292" s="647"/>
      <c r="R292" s="647"/>
      <c r="S292" s="647"/>
      <c r="T292" s="647"/>
      <c r="U292" s="647"/>
      <c r="V292" s="648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651" t="s">
        <v>495</v>
      </c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1"/>
      <c r="P293" s="651"/>
      <c r="Q293" s="651"/>
      <c r="R293" s="651"/>
      <c r="S293" s="651"/>
      <c r="T293" s="651"/>
      <c r="U293" s="651"/>
      <c r="V293" s="651"/>
      <c r="W293" s="651"/>
      <c r="X293" s="651"/>
      <c r="Y293" s="651"/>
      <c r="Z293" s="651"/>
      <c r="AA293" s="65"/>
      <c r="AB293" s="65"/>
      <c r="AC293" s="79"/>
    </row>
    <row r="294" spans="1:68" ht="14.25" hidden="1" customHeight="1" x14ac:dyDescent="0.25">
      <c r="A294" s="652" t="s">
        <v>130</v>
      </c>
      <c r="B294" s="652"/>
      <c r="C294" s="652"/>
      <c r="D294" s="652"/>
      <c r="E294" s="652"/>
      <c r="F294" s="652"/>
      <c r="G294" s="652"/>
      <c r="H294" s="652"/>
      <c r="I294" s="652"/>
      <c r="J294" s="652"/>
      <c r="K294" s="652"/>
      <c r="L294" s="652"/>
      <c r="M294" s="652"/>
      <c r="N294" s="652"/>
      <c r="O294" s="652"/>
      <c r="P294" s="652"/>
      <c r="Q294" s="652"/>
      <c r="R294" s="652"/>
      <c r="S294" s="652"/>
      <c r="T294" s="652"/>
      <c r="U294" s="652"/>
      <c r="V294" s="652"/>
      <c r="W294" s="652"/>
      <c r="X294" s="652"/>
      <c r="Y294" s="652"/>
      <c r="Z294" s="652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653">
        <v>4680115884137</v>
      </c>
      <c r="E295" s="65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7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653">
        <v>4680115884236</v>
      </c>
      <c r="E296" s="65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653">
        <v>4680115884175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653">
        <v>4680115884144</v>
      </c>
      <c r="E298" s="65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7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653">
        <v>4680115886551</v>
      </c>
      <c r="E299" s="65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653">
        <v>4680115887282</v>
      </c>
      <c r="E300" s="65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653">
        <v>4680115884205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649"/>
      <c r="B302" s="649"/>
      <c r="C302" s="649"/>
      <c r="D302" s="649"/>
      <c r="E302" s="649"/>
      <c r="F302" s="649"/>
      <c r="G302" s="649"/>
      <c r="H302" s="649"/>
      <c r="I302" s="649"/>
      <c r="J302" s="649"/>
      <c r="K302" s="649"/>
      <c r="L302" s="649"/>
      <c r="M302" s="649"/>
      <c r="N302" s="649"/>
      <c r="O302" s="650"/>
      <c r="P302" s="646" t="s">
        <v>40</v>
      </c>
      <c r="Q302" s="647"/>
      <c r="R302" s="647"/>
      <c r="S302" s="647"/>
      <c r="T302" s="647"/>
      <c r="U302" s="647"/>
      <c r="V302" s="648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649"/>
      <c r="B303" s="649"/>
      <c r="C303" s="649"/>
      <c r="D303" s="649"/>
      <c r="E303" s="649"/>
      <c r="F303" s="649"/>
      <c r="G303" s="649"/>
      <c r="H303" s="649"/>
      <c r="I303" s="649"/>
      <c r="J303" s="649"/>
      <c r="K303" s="649"/>
      <c r="L303" s="649"/>
      <c r="M303" s="649"/>
      <c r="N303" s="649"/>
      <c r="O303" s="650"/>
      <c r="P303" s="646" t="s">
        <v>40</v>
      </c>
      <c r="Q303" s="647"/>
      <c r="R303" s="647"/>
      <c r="S303" s="647"/>
      <c r="T303" s="647"/>
      <c r="U303" s="647"/>
      <c r="V303" s="648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52" t="s">
        <v>165</v>
      </c>
      <c r="B304" s="652"/>
      <c r="C304" s="652"/>
      <c r="D304" s="652"/>
      <c r="E304" s="652"/>
      <c r="F304" s="652"/>
      <c r="G304" s="652"/>
      <c r="H304" s="652"/>
      <c r="I304" s="652"/>
      <c r="J304" s="652"/>
      <c r="K304" s="652"/>
      <c r="L304" s="652"/>
      <c r="M304" s="652"/>
      <c r="N304" s="652"/>
      <c r="O304" s="652"/>
      <c r="P304" s="652"/>
      <c r="Q304" s="652"/>
      <c r="R304" s="652"/>
      <c r="S304" s="652"/>
      <c r="T304" s="652"/>
      <c r="U304" s="652"/>
      <c r="V304" s="652"/>
      <c r="W304" s="652"/>
      <c r="X304" s="652"/>
      <c r="Y304" s="652"/>
      <c r="Z304" s="652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653">
        <v>4680115885981</v>
      </c>
      <c r="E305" s="65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52" t="s">
        <v>517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653">
        <v>4680115886803</v>
      </c>
      <c r="E309" s="65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55"/>
      <c r="R309" s="655"/>
      <c r="S309" s="655"/>
      <c r="T309" s="65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52" t="s">
        <v>339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653">
        <v>4680115886681</v>
      </c>
      <c r="E313" s="65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7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55"/>
      <c r="R313" s="655"/>
      <c r="S313" s="655"/>
      <c r="T313" s="65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653">
        <v>4680115886735</v>
      </c>
      <c r="E314" s="65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55"/>
      <c r="R314" s="655"/>
      <c r="S314" s="655"/>
      <c r="T314" s="65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653">
        <v>4680115886728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7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653">
        <v>4680115886711</v>
      </c>
      <c r="E316" s="65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49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0"/>
      <c r="P317" s="646" t="s">
        <v>40</v>
      </c>
      <c r="Q317" s="647"/>
      <c r="R317" s="647"/>
      <c r="S317" s="647"/>
      <c r="T317" s="647"/>
      <c r="U317" s="647"/>
      <c r="V317" s="648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0"/>
      <c r="P318" s="646" t="s">
        <v>40</v>
      </c>
      <c r="Q318" s="647"/>
      <c r="R318" s="647"/>
      <c r="S318" s="647"/>
      <c r="T318" s="647"/>
      <c r="U318" s="647"/>
      <c r="V318" s="648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1" t="s">
        <v>530</v>
      </c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1"/>
      <c r="P319" s="651"/>
      <c r="Q319" s="651"/>
      <c r="R319" s="651"/>
      <c r="S319" s="651"/>
      <c r="T319" s="651"/>
      <c r="U319" s="651"/>
      <c r="V319" s="651"/>
      <c r="W319" s="651"/>
      <c r="X319" s="651"/>
      <c r="Y319" s="651"/>
      <c r="Z319" s="651"/>
      <c r="AA319" s="65"/>
      <c r="AB319" s="65"/>
      <c r="AC319" s="79"/>
    </row>
    <row r="320" spans="1:68" ht="14.25" hidden="1" customHeight="1" x14ac:dyDescent="0.25">
      <c r="A320" s="652" t="s">
        <v>130</v>
      </c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2"/>
      <c r="P320" s="652"/>
      <c r="Q320" s="652"/>
      <c r="R320" s="652"/>
      <c r="S320" s="652"/>
      <c r="T320" s="652"/>
      <c r="U320" s="652"/>
      <c r="V320" s="652"/>
      <c r="W320" s="652"/>
      <c r="X320" s="652"/>
      <c r="Y320" s="652"/>
      <c r="Z320" s="652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653">
        <v>4680115885837</v>
      </c>
      <c r="E321" s="65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77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653">
        <v>4680115887077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77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653">
        <v>4680115889637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653">
        <v>4680115887237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4301011850</v>
      </c>
      <c r="D325" s="653">
        <v>4680115885806</v>
      </c>
      <c r="E325" s="65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653">
        <v>4680115885844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653">
        <v>4680115885820</v>
      </c>
      <c r="E327" s="65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7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idden="1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0"/>
      <c r="P328" s="646" t="s">
        <v>40</v>
      </c>
      <c r="Q328" s="647"/>
      <c r="R328" s="647"/>
      <c r="S328" s="647"/>
      <c r="T328" s="647"/>
      <c r="U328" s="647"/>
      <c r="V328" s="648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51" t="s">
        <v>552</v>
      </c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1"/>
      <c r="P330" s="651"/>
      <c r="Q330" s="651"/>
      <c r="R330" s="651"/>
      <c r="S330" s="651"/>
      <c r="T330" s="651"/>
      <c r="U330" s="651"/>
      <c r="V330" s="651"/>
      <c r="W330" s="651"/>
      <c r="X330" s="651"/>
      <c r="Y330" s="651"/>
      <c r="Z330" s="651"/>
      <c r="AA330" s="65"/>
      <c r="AB330" s="65"/>
      <c r="AC330" s="79"/>
    </row>
    <row r="331" spans="1:68" ht="14.25" hidden="1" customHeight="1" x14ac:dyDescent="0.25">
      <c r="A331" s="652" t="s">
        <v>83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653">
        <v>4680115886186</v>
      </c>
      <c r="E332" s="65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653">
        <v>4680115881228</v>
      </c>
      <c r="E333" s="65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4301051388</v>
      </c>
      <c r="D334" s="653">
        <v>4680115881211</v>
      </c>
      <c r="E334" s="65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55"/>
      <c r="R334" s="655"/>
      <c r="S334" s="655"/>
      <c r="T334" s="65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0"/>
      <c r="P335" s="646" t="s">
        <v>40</v>
      </c>
      <c r="Q335" s="647"/>
      <c r="R335" s="647"/>
      <c r="S335" s="647"/>
      <c r="T335" s="647"/>
      <c r="U335" s="647"/>
      <c r="V335" s="648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651" t="s">
        <v>561</v>
      </c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5"/>
      <c r="AB337" s="65"/>
      <c r="AC337" s="79"/>
    </row>
    <row r="338" spans="1:68" ht="14.25" hidden="1" customHeight="1" x14ac:dyDescent="0.25">
      <c r="A338" s="652" t="s">
        <v>77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653">
        <v>4680115888319</v>
      </c>
      <c r="E339" s="65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7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653">
        <v>4680115884700</v>
      </c>
      <c r="E340" s="65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653">
        <v>4680115880344</v>
      </c>
      <c r="E341" s="65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653">
        <v>4680115886919</v>
      </c>
      <c r="E342" s="65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9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0"/>
      <c r="P343" s="646" t="s">
        <v>40</v>
      </c>
      <c r="Q343" s="647"/>
      <c r="R343" s="647"/>
      <c r="S343" s="647"/>
      <c r="T343" s="647"/>
      <c r="U343" s="647"/>
      <c r="V343" s="648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0"/>
      <c r="P344" s="646" t="s">
        <v>40</v>
      </c>
      <c r="Q344" s="647"/>
      <c r="R344" s="647"/>
      <c r="S344" s="647"/>
      <c r="T344" s="647"/>
      <c r="U344" s="647"/>
      <c r="V344" s="648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2" t="s">
        <v>83</v>
      </c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2"/>
      <c r="P345" s="652"/>
      <c r="Q345" s="652"/>
      <c r="R345" s="652"/>
      <c r="S345" s="652"/>
      <c r="T345" s="652"/>
      <c r="U345" s="652"/>
      <c r="V345" s="652"/>
      <c r="W345" s="652"/>
      <c r="X345" s="652"/>
      <c r="Y345" s="652"/>
      <c r="Z345" s="652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653">
        <v>4680115887466</v>
      </c>
      <c r="E348" s="65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76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55"/>
      <c r="R348" s="655"/>
      <c r="S348" s="655"/>
      <c r="T348" s="65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0"/>
      <c r="P349" s="646" t="s">
        <v>40</v>
      </c>
      <c r="Q349" s="647"/>
      <c r="R349" s="647"/>
      <c r="S349" s="647"/>
      <c r="T349" s="647"/>
      <c r="U349" s="647"/>
      <c r="V349" s="648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51" t="s">
        <v>583</v>
      </c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1"/>
      <c r="P351" s="651"/>
      <c r="Q351" s="651"/>
      <c r="R351" s="651"/>
      <c r="S351" s="651"/>
      <c r="T351" s="651"/>
      <c r="U351" s="651"/>
      <c r="V351" s="651"/>
      <c r="W351" s="651"/>
      <c r="X351" s="651"/>
      <c r="Y351" s="651"/>
      <c r="Z351" s="651"/>
      <c r="AA351" s="65"/>
      <c r="AB351" s="65"/>
      <c r="AC351" s="79"/>
    </row>
    <row r="352" spans="1:68" ht="14.25" hidden="1" customHeight="1" x14ac:dyDescent="0.25">
      <c r="A352" s="652" t="s">
        <v>77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653">
        <v>4680115886001</v>
      </c>
      <c r="E353" s="65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75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49"/>
      <c r="B354" s="649"/>
      <c r="C354" s="649"/>
      <c r="D354" s="649"/>
      <c r="E354" s="649"/>
      <c r="F354" s="649"/>
      <c r="G354" s="649"/>
      <c r="H354" s="649"/>
      <c r="I354" s="649"/>
      <c r="J354" s="649"/>
      <c r="K354" s="649"/>
      <c r="L354" s="649"/>
      <c r="M354" s="649"/>
      <c r="N354" s="649"/>
      <c r="O354" s="650"/>
      <c r="P354" s="646" t="s">
        <v>40</v>
      </c>
      <c r="Q354" s="647"/>
      <c r="R354" s="647"/>
      <c r="S354" s="647"/>
      <c r="T354" s="647"/>
      <c r="U354" s="647"/>
      <c r="V354" s="648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649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0"/>
      <c r="P355" s="646" t="s">
        <v>40</v>
      </c>
      <c r="Q355" s="647"/>
      <c r="R355" s="647"/>
      <c r="S355" s="647"/>
      <c r="T355" s="647"/>
      <c r="U355" s="647"/>
      <c r="V355" s="648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52" t="s">
        <v>83</v>
      </c>
      <c r="B356" s="652"/>
      <c r="C356" s="652"/>
      <c r="D356" s="652"/>
      <c r="E356" s="652"/>
      <c r="F356" s="652"/>
      <c r="G356" s="652"/>
      <c r="H356" s="652"/>
      <c r="I356" s="652"/>
      <c r="J356" s="652"/>
      <c r="K356" s="652"/>
      <c r="L356" s="652"/>
      <c r="M356" s="652"/>
      <c r="N356" s="652"/>
      <c r="O356" s="652"/>
      <c r="P356" s="652"/>
      <c r="Q356" s="652"/>
      <c r="R356" s="652"/>
      <c r="S356" s="652"/>
      <c r="T356" s="652"/>
      <c r="U356" s="652"/>
      <c r="V356" s="652"/>
      <c r="W356" s="652"/>
      <c r="X356" s="652"/>
      <c r="Y356" s="652"/>
      <c r="Z356" s="652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653">
        <v>4680115886087</v>
      </c>
      <c r="E357" s="65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76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649"/>
      <c r="B359" s="649"/>
      <c r="C359" s="649"/>
      <c r="D359" s="649"/>
      <c r="E359" s="649"/>
      <c r="F359" s="649"/>
      <c r="G359" s="649"/>
      <c r="H359" s="649"/>
      <c r="I359" s="649"/>
      <c r="J359" s="649"/>
      <c r="K359" s="649"/>
      <c r="L359" s="649"/>
      <c r="M359" s="649"/>
      <c r="N359" s="649"/>
      <c r="O359" s="650"/>
      <c r="P359" s="646" t="s">
        <v>40</v>
      </c>
      <c r="Q359" s="647"/>
      <c r="R359" s="647"/>
      <c r="S359" s="647"/>
      <c r="T359" s="647"/>
      <c r="U359" s="647"/>
      <c r="V359" s="648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651" t="s">
        <v>590</v>
      </c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1"/>
      <c r="P360" s="651"/>
      <c r="Q360" s="651"/>
      <c r="R360" s="651"/>
      <c r="S360" s="651"/>
      <c r="T360" s="651"/>
      <c r="U360" s="651"/>
      <c r="V360" s="651"/>
      <c r="W360" s="651"/>
      <c r="X360" s="651"/>
      <c r="Y360" s="651"/>
      <c r="Z360" s="651"/>
      <c r="AA360" s="65"/>
      <c r="AB360" s="65"/>
      <c r="AC360" s="79"/>
    </row>
    <row r="361" spans="1:68" ht="14.25" hidden="1" customHeight="1" x14ac:dyDescent="0.25">
      <c r="A361" s="652" t="s">
        <v>130</v>
      </c>
      <c r="B361" s="652"/>
      <c r="C361" s="652"/>
      <c r="D361" s="652"/>
      <c r="E361" s="652"/>
      <c r="F361" s="652"/>
      <c r="G361" s="652"/>
      <c r="H361" s="652"/>
      <c r="I361" s="652"/>
      <c r="J361" s="652"/>
      <c r="K361" s="652"/>
      <c r="L361" s="652"/>
      <c r="M361" s="652"/>
      <c r="N361" s="652"/>
      <c r="O361" s="652"/>
      <c r="P361" s="652"/>
      <c r="Q361" s="652"/>
      <c r="R361" s="652"/>
      <c r="S361" s="652"/>
      <c r="T361" s="652"/>
      <c r="U361" s="652"/>
      <c r="V361" s="652"/>
      <c r="W361" s="652"/>
      <c r="X361" s="652"/>
      <c r="Y361" s="652"/>
      <c r="Z361" s="652"/>
      <c r="AA361" s="66"/>
      <c r="AB361" s="66"/>
      <c r="AC361" s="80"/>
    </row>
    <row r="362" spans="1:68" ht="27" hidden="1" customHeight="1" x14ac:dyDescent="0.25">
      <c r="A362" s="63" t="s">
        <v>591</v>
      </c>
      <c r="B362" s="63" t="s">
        <v>592</v>
      </c>
      <c r="C362" s="36">
        <v>4301012324</v>
      </c>
      <c r="D362" s="653">
        <v>4680115887947</v>
      </c>
      <c r="E362" s="65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593</v>
      </c>
      <c r="B363" s="63" t="s">
        <v>594</v>
      </c>
      <c r="C363" s="36">
        <v>4301012325</v>
      </c>
      <c r="D363" s="653">
        <v>4680115887978</v>
      </c>
      <c r="E363" s="65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596</v>
      </c>
      <c r="B364" s="63" t="s">
        <v>597</v>
      </c>
      <c r="C364" s="36">
        <v>4301012327</v>
      </c>
      <c r="D364" s="653">
        <v>4680115887992</v>
      </c>
      <c r="E364" s="65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idden="1" x14ac:dyDescent="0.2">
      <c r="A365" s="649"/>
      <c r="B365" s="649"/>
      <c r="C365" s="649"/>
      <c r="D365" s="649"/>
      <c r="E365" s="649"/>
      <c r="F365" s="649"/>
      <c r="G365" s="649"/>
      <c r="H365" s="649"/>
      <c r="I365" s="649"/>
      <c r="J365" s="649"/>
      <c r="K365" s="649"/>
      <c r="L365" s="649"/>
      <c r="M365" s="649"/>
      <c r="N365" s="649"/>
      <c r="O365" s="650"/>
      <c r="P365" s="646" t="s">
        <v>40</v>
      </c>
      <c r="Q365" s="647"/>
      <c r="R365" s="647"/>
      <c r="S365" s="647"/>
      <c r="T365" s="647"/>
      <c r="U365" s="647"/>
      <c r="V365" s="648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hidden="1" customHeight="1" x14ac:dyDescent="0.25">
      <c r="A367" s="651" t="s">
        <v>599</v>
      </c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1"/>
      <c r="P367" s="651"/>
      <c r="Q367" s="651"/>
      <c r="R367" s="651"/>
      <c r="S367" s="651"/>
      <c r="T367" s="651"/>
      <c r="U367" s="651"/>
      <c r="V367" s="651"/>
      <c r="W367" s="651"/>
      <c r="X367" s="651"/>
      <c r="Y367" s="651"/>
      <c r="Z367" s="651"/>
      <c r="AA367" s="65"/>
      <c r="AB367" s="65"/>
      <c r="AC367" s="79"/>
    </row>
    <row r="368" spans="1:68" ht="14.25" hidden="1" customHeight="1" x14ac:dyDescent="0.25">
      <c r="A368" s="652" t="s">
        <v>130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653">
        <v>4680115889293</v>
      </c>
      <c r="E369" s="65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hidden="1" customHeight="1" x14ac:dyDescent="0.25">
      <c r="A370" s="63" t="s">
        <v>603</v>
      </c>
      <c r="B370" s="63" t="s">
        <v>604</v>
      </c>
      <c r="C370" s="36">
        <v>4301012235</v>
      </c>
      <c r="D370" s="653">
        <v>4680115887190</v>
      </c>
      <c r="E370" s="65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653">
        <v>4680115889880</v>
      </c>
      <c r="E371" s="65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608</v>
      </c>
      <c r="B372" s="63" t="s">
        <v>609</v>
      </c>
      <c r="C372" s="36">
        <v>4301012233</v>
      </c>
      <c r="D372" s="653">
        <v>4680115887138</v>
      </c>
      <c r="E372" s="65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653">
        <v>4680115885554</v>
      </c>
      <c r="E373" s="65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653">
        <v>4680115887220</v>
      </c>
      <c r="E374" s="65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653">
        <v>4680115885608</v>
      </c>
      <c r="E375" s="65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52" t="s">
        <v>77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6"/>
      <c r="AB378" s="66"/>
      <c r="AC378" s="80"/>
    </row>
    <row r="379" spans="1:68" ht="27" customHeight="1" x14ac:dyDescent="0.25">
      <c r="A379" s="63" t="s">
        <v>619</v>
      </c>
      <c r="B379" s="63" t="s">
        <v>620</v>
      </c>
      <c r="C379" s="36">
        <v>4301030878</v>
      </c>
      <c r="D379" s="653">
        <v>4607091387193</v>
      </c>
      <c r="E379" s="65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50</v>
      </c>
      <c r="Y379" s="55">
        <f t="shared" ref="Y379:Y385" si="56">IFERROR(IF(X379="",0,CEILING((X379/$H379),1)*$H379),"")</f>
        <v>50.400000000000006</v>
      </c>
      <c r="Z379" s="41">
        <f>IFERROR(IF(Y379=0,"",ROUNDUP(Y379/H379,0)*0.00902),"")</f>
        <v>0.10824</v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52.976190476190474</v>
      </c>
      <c r="BN379" s="78">
        <f t="shared" ref="BN379:BN385" si="58">IFERROR(Y379*I379/H379,"0")</f>
        <v>53.400000000000006</v>
      </c>
      <c r="BO379" s="78">
        <f t="shared" ref="BO379:BO385" si="59">IFERROR(1/J379*(X379/H379),"0")</f>
        <v>9.0187590187590191E-2</v>
      </c>
      <c r="BP379" s="78">
        <f t="shared" ref="BP379:BP385" si="60">IFERROR(1/J379*(Y379/H379),"0")</f>
        <v>9.0909090909090912E-2</v>
      </c>
    </row>
    <row r="380" spans="1:68" ht="27" hidden="1" customHeight="1" x14ac:dyDescent="0.25">
      <c r="A380" s="63" t="s">
        <v>622</v>
      </c>
      <c r="B380" s="63" t="s">
        <v>623</v>
      </c>
      <c r="C380" s="36">
        <v>4301031153</v>
      </c>
      <c r="D380" s="653">
        <v>4607091387230</v>
      </c>
      <c r="E380" s="65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6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0</v>
      </c>
      <c r="BN380" s="78">
        <f t="shared" si="58"/>
        <v>0</v>
      </c>
      <c r="BO380" s="78">
        <f t="shared" si="59"/>
        <v>0</v>
      </c>
      <c r="BP380" s="78">
        <f t="shared" si="60"/>
        <v>0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653">
        <v>4607091387292</v>
      </c>
      <c r="E381" s="65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4301031152</v>
      </c>
      <c r="D382" s="653">
        <v>4607091387285</v>
      </c>
      <c r="E382" s="65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630</v>
      </c>
      <c r="B383" s="63" t="s">
        <v>631</v>
      </c>
      <c r="C383" s="36">
        <v>4301031305</v>
      </c>
      <c r="D383" s="653">
        <v>4607091389845</v>
      </c>
      <c r="E383" s="65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653">
        <v>4680115887442</v>
      </c>
      <c r="E384" s="65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653">
        <v>4607091383836</v>
      </c>
      <c r="E385" s="65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649"/>
      <c r="B386" s="649"/>
      <c r="C386" s="649"/>
      <c r="D386" s="649"/>
      <c r="E386" s="649"/>
      <c r="F386" s="649"/>
      <c r="G386" s="649"/>
      <c r="H386" s="649"/>
      <c r="I386" s="649"/>
      <c r="J386" s="649"/>
      <c r="K386" s="649"/>
      <c r="L386" s="649"/>
      <c r="M386" s="649"/>
      <c r="N386" s="649"/>
      <c r="O386" s="650"/>
      <c r="P386" s="646" t="s">
        <v>40</v>
      </c>
      <c r="Q386" s="647"/>
      <c r="R386" s="647"/>
      <c r="S386" s="647"/>
      <c r="T386" s="647"/>
      <c r="U386" s="647"/>
      <c r="V386" s="648"/>
      <c r="W386" s="42" t="s">
        <v>39</v>
      </c>
      <c r="X386" s="43">
        <f>IFERROR(X379/H379,"0")+IFERROR(X380/H380,"0")+IFERROR(X381/H381,"0")+IFERROR(X382/H382,"0")+IFERROR(X383/H383,"0")+IFERROR(X384/H384,"0")+IFERROR(X385/H385,"0")</f>
        <v>11.904761904761905</v>
      </c>
      <c r="Y386" s="43">
        <f>IFERROR(Y379/H379,"0")+IFERROR(Y380/H380,"0")+IFERROR(Y381/H381,"0")+IFERROR(Y382/H382,"0")+IFERROR(Y383/H383,"0")+IFERROR(Y384/H384,"0")+IFERROR(Y385/H385,"0")</f>
        <v>12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0.10824</v>
      </c>
      <c r="AA386" s="67"/>
      <c r="AB386" s="67"/>
      <c r="AC386" s="67"/>
    </row>
    <row r="387" spans="1:68" x14ac:dyDescent="0.2">
      <c r="A387" s="649"/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50"/>
      <c r="P387" s="646" t="s">
        <v>40</v>
      </c>
      <c r="Q387" s="647"/>
      <c r="R387" s="647"/>
      <c r="S387" s="647"/>
      <c r="T387" s="647"/>
      <c r="U387" s="647"/>
      <c r="V387" s="648"/>
      <c r="W387" s="42" t="s">
        <v>0</v>
      </c>
      <c r="X387" s="43">
        <f>IFERROR(SUM(X379:X385),"0")</f>
        <v>50</v>
      </c>
      <c r="Y387" s="43">
        <f>IFERROR(SUM(Y379:Y385),"0")</f>
        <v>50.400000000000006</v>
      </c>
      <c r="Z387" s="42"/>
      <c r="AA387" s="67"/>
      <c r="AB387" s="67"/>
      <c r="AC387" s="67"/>
    </row>
    <row r="388" spans="1:68" ht="14.25" hidden="1" customHeight="1" x14ac:dyDescent="0.25">
      <c r="A388" s="652" t="s">
        <v>83</v>
      </c>
      <c r="B388" s="652"/>
      <c r="C388" s="652"/>
      <c r="D388" s="652"/>
      <c r="E388" s="652"/>
      <c r="F388" s="652"/>
      <c r="G388" s="652"/>
      <c r="H388" s="652"/>
      <c r="I388" s="652"/>
      <c r="J388" s="652"/>
      <c r="K388" s="652"/>
      <c r="L388" s="652"/>
      <c r="M388" s="652"/>
      <c r="N388" s="652"/>
      <c r="O388" s="652"/>
      <c r="P388" s="652"/>
      <c r="Q388" s="652"/>
      <c r="R388" s="652"/>
      <c r="S388" s="652"/>
      <c r="T388" s="652"/>
      <c r="U388" s="652"/>
      <c r="V388" s="652"/>
      <c r="W388" s="652"/>
      <c r="X388" s="652"/>
      <c r="Y388" s="652"/>
      <c r="Z388" s="652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653">
        <v>4607091387766</v>
      </c>
      <c r="E389" s="65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653">
        <v>4607091387957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653">
        <v>4607091387964</v>
      </c>
      <c r="E391" s="65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653">
        <v>4680115884588</v>
      </c>
      <c r="E392" s="65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49"/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50"/>
      <c r="P393" s="646" t="s">
        <v>40</v>
      </c>
      <c r="Q393" s="647"/>
      <c r="R393" s="647"/>
      <c r="S393" s="647"/>
      <c r="T393" s="647"/>
      <c r="U393" s="647"/>
      <c r="V393" s="64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49"/>
      <c r="B394" s="649"/>
      <c r="C394" s="649"/>
      <c r="D394" s="649"/>
      <c r="E394" s="649"/>
      <c r="F394" s="649"/>
      <c r="G394" s="649"/>
      <c r="H394" s="649"/>
      <c r="I394" s="649"/>
      <c r="J394" s="649"/>
      <c r="K394" s="649"/>
      <c r="L394" s="649"/>
      <c r="M394" s="649"/>
      <c r="N394" s="649"/>
      <c r="O394" s="650"/>
      <c r="P394" s="646" t="s">
        <v>40</v>
      </c>
      <c r="Q394" s="647"/>
      <c r="R394" s="647"/>
      <c r="S394" s="647"/>
      <c r="T394" s="647"/>
      <c r="U394" s="647"/>
      <c r="V394" s="64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52" t="s">
        <v>183</v>
      </c>
      <c r="B395" s="652"/>
      <c r="C395" s="652"/>
      <c r="D395" s="652"/>
      <c r="E395" s="652"/>
      <c r="F395" s="652"/>
      <c r="G395" s="652"/>
      <c r="H395" s="652"/>
      <c r="I395" s="652"/>
      <c r="J395" s="652"/>
      <c r="K395" s="652"/>
      <c r="L395" s="652"/>
      <c r="M395" s="652"/>
      <c r="N395" s="652"/>
      <c r="O395" s="652"/>
      <c r="P395" s="652"/>
      <c r="Q395" s="652"/>
      <c r="R395" s="652"/>
      <c r="S395" s="652"/>
      <c r="T395" s="652"/>
      <c r="U395" s="652"/>
      <c r="V395" s="652"/>
      <c r="W395" s="652"/>
      <c r="X395" s="652"/>
      <c r="Y395" s="652"/>
      <c r="Z395" s="652"/>
      <c r="AA395" s="66"/>
      <c r="AB395" s="66"/>
      <c r="AC395" s="80"/>
    </row>
    <row r="396" spans="1:68" ht="27" hidden="1" customHeight="1" x14ac:dyDescent="0.25">
      <c r="A396" s="63" t="s">
        <v>649</v>
      </c>
      <c r="B396" s="63" t="s">
        <v>650</v>
      </c>
      <c r="C396" s="36">
        <v>4301060387</v>
      </c>
      <c r="D396" s="653">
        <v>4607091380880</v>
      </c>
      <c r="E396" s="65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652</v>
      </c>
      <c r="B397" s="63" t="s">
        <v>653</v>
      </c>
      <c r="C397" s="36">
        <v>4301060406</v>
      </c>
      <c r="D397" s="653">
        <v>4607091384482</v>
      </c>
      <c r="E397" s="65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655</v>
      </c>
      <c r="B398" s="63" t="s">
        <v>656</v>
      </c>
      <c r="C398" s="36">
        <v>4301060484</v>
      </c>
      <c r="D398" s="653">
        <v>4607091380897</v>
      </c>
      <c r="E398" s="65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9"/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50"/>
      <c r="P399" s="646" t="s">
        <v>40</v>
      </c>
      <c r="Q399" s="647"/>
      <c r="R399" s="647"/>
      <c r="S399" s="647"/>
      <c r="T399" s="647"/>
      <c r="U399" s="647"/>
      <c r="V399" s="64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9"/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50"/>
      <c r="P400" s="646" t="s">
        <v>40</v>
      </c>
      <c r="Q400" s="647"/>
      <c r="R400" s="647"/>
      <c r="S400" s="647"/>
      <c r="T400" s="647"/>
      <c r="U400" s="647"/>
      <c r="V400" s="64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2" t="s">
        <v>101</v>
      </c>
      <c r="B401" s="652"/>
      <c r="C401" s="652"/>
      <c r="D401" s="652"/>
      <c r="E401" s="652"/>
      <c r="F401" s="652"/>
      <c r="G401" s="652"/>
      <c r="H401" s="652"/>
      <c r="I401" s="652"/>
      <c r="J401" s="652"/>
      <c r="K401" s="652"/>
      <c r="L401" s="652"/>
      <c r="M401" s="652"/>
      <c r="N401" s="652"/>
      <c r="O401" s="652"/>
      <c r="P401" s="652"/>
      <c r="Q401" s="652"/>
      <c r="R401" s="652"/>
      <c r="S401" s="652"/>
      <c r="T401" s="652"/>
      <c r="U401" s="652"/>
      <c r="V401" s="652"/>
      <c r="W401" s="652"/>
      <c r="X401" s="652"/>
      <c r="Y401" s="652"/>
      <c r="Z401" s="652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653">
        <v>4607091388381</v>
      </c>
      <c r="E402" s="65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653">
        <v>4607091388374</v>
      </c>
      <c r="E403" s="65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653">
        <v>4607091383102</v>
      </c>
      <c r="E404" s="65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665</v>
      </c>
      <c r="B405" s="63" t="s">
        <v>666</v>
      </c>
      <c r="C405" s="36">
        <v>4301030233</v>
      </c>
      <c r="D405" s="653">
        <v>4607091388404</v>
      </c>
      <c r="E405" s="65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49"/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50"/>
      <c r="P406" s="646" t="s">
        <v>40</v>
      </c>
      <c r="Q406" s="647"/>
      <c r="R406" s="647"/>
      <c r="S406" s="647"/>
      <c r="T406" s="647"/>
      <c r="U406" s="647"/>
      <c r="V406" s="64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49"/>
      <c r="B407" s="649"/>
      <c r="C407" s="649"/>
      <c r="D407" s="649"/>
      <c r="E407" s="649"/>
      <c r="F407" s="649"/>
      <c r="G407" s="649"/>
      <c r="H407" s="649"/>
      <c r="I407" s="649"/>
      <c r="J407" s="649"/>
      <c r="K407" s="649"/>
      <c r="L407" s="649"/>
      <c r="M407" s="649"/>
      <c r="N407" s="649"/>
      <c r="O407" s="650"/>
      <c r="P407" s="646" t="s">
        <v>40</v>
      </c>
      <c r="Q407" s="647"/>
      <c r="R407" s="647"/>
      <c r="S407" s="647"/>
      <c r="T407" s="647"/>
      <c r="U407" s="647"/>
      <c r="V407" s="64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52" t="s">
        <v>667</v>
      </c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2"/>
      <c r="P408" s="652"/>
      <c r="Q408" s="652"/>
      <c r="R408" s="652"/>
      <c r="S408" s="652"/>
      <c r="T408" s="652"/>
      <c r="U408" s="652"/>
      <c r="V408" s="652"/>
      <c r="W408" s="652"/>
      <c r="X408" s="652"/>
      <c r="Y408" s="652"/>
      <c r="Z408" s="652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653">
        <v>4680115881808</v>
      </c>
      <c r="E409" s="65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653">
        <v>4680115881822</v>
      </c>
      <c r="E410" s="65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653">
        <v>4680115880016</v>
      </c>
      <c r="E411" s="65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49"/>
      <c r="B412" s="649"/>
      <c r="C412" s="649"/>
      <c r="D412" s="649"/>
      <c r="E412" s="649"/>
      <c r="F412" s="649"/>
      <c r="G412" s="649"/>
      <c r="H412" s="649"/>
      <c r="I412" s="649"/>
      <c r="J412" s="649"/>
      <c r="K412" s="649"/>
      <c r="L412" s="649"/>
      <c r="M412" s="649"/>
      <c r="N412" s="649"/>
      <c r="O412" s="650"/>
      <c r="P412" s="646" t="s">
        <v>40</v>
      </c>
      <c r="Q412" s="647"/>
      <c r="R412" s="647"/>
      <c r="S412" s="647"/>
      <c r="T412" s="647"/>
      <c r="U412" s="647"/>
      <c r="V412" s="64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49"/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50"/>
      <c r="P413" s="646" t="s">
        <v>40</v>
      </c>
      <c r="Q413" s="647"/>
      <c r="R413" s="647"/>
      <c r="S413" s="647"/>
      <c r="T413" s="647"/>
      <c r="U413" s="647"/>
      <c r="V413" s="64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52" t="s">
        <v>676</v>
      </c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2"/>
      <c r="P414" s="652"/>
      <c r="Q414" s="652"/>
      <c r="R414" s="652"/>
      <c r="S414" s="652"/>
      <c r="T414" s="652"/>
      <c r="U414" s="652"/>
      <c r="V414" s="652"/>
      <c r="W414" s="652"/>
      <c r="X414" s="652"/>
      <c r="Y414" s="652"/>
      <c r="Z414" s="652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653">
        <v>4680115888678</v>
      </c>
      <c r="E415" s="65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653">
        <v>4680115888654</v>
      </c>
      <c r="E416" s="65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653">
        <v>4680115888753</v>
      </c>
      <c r="E417" s="65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9"/>
      <c r="B418" s="649"/>
      <c r="C418" s="649"/>
      <c r="D418" s="649"/>
      <c r="E418" s="649"/>
      <c r="F418" s="649"/>
      <c r="G418" s="649"/>
      <c r="H418" s="649"/>
      <c r="I418" s="649"/>
      <c r="J418" s="649"/>
      <c r="K418" s="649"/>
      <c r="L418" s="649"/>
      <c r="M418" s="649"/>
      <c r="N418" s="649"/>
      <c r="O418" s="650"/>
      <c r="P418" s="646" t="s">
        <v>40</v>
      </c>
      <c r="Q418" s="647"/>
      <c r="R418" s="647"/>
      <c r="S418" s="647"/>
      <c r="T418" s="647"/>
      <c r="U418" s="647"/>
      <c r="V418" s="64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9"/>
      <c r="B419" s="649"/>
      <c r="C419" s="649"/>
      <c r="D419" s="649"/>
      <c r="E419" s="649"/>
      <c r="F419" s="649"/>
      <c r="G419" s="649"/>
      <c r="H419" s="649"/>
      <c r="I419" s="649"/>
      <c r="J419" s="649"/>
      <c r="K419" s="649"/>
      <c r="L419" s="649"/>
      <c r="M419" s="649"/>
      <c r="N419" s="649"/>
      <c r="O419" s="650"/>
      <c r="P419" s="646" t="s">
        <v>40</v>
      </c>
      <c r="Q419" s="647"/>
      <c r="R419" s="647"/>
      <c r="S419" s="647"/>
      <c r="T419" s="647"/>
      <c r="U419" s="647"/>
      <c r="V419" s="64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51" t="s">
        <v>685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5"/>
      <c r="AB420" s="65"/>
      <c r="AC420" s="79"/>
    </row>
    <row r="421" spans="1:68" ht="14.25" hidden="1" customHeight="1" x14ac:dyDescent="0.25">
      <c r="A421" s="652" t="s">
        <v>83</v>
      </c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52"/>
      <c r="Q421" s="652"/>
      <c r="R421" s="652"/>
      <c r="S421" s="652"/>
      <c r="T421" s="652"/>
      <c r="U421" s="652"/>
      <c r="V421" s="652"/>
      <c r="W421" s="652"/>
      <c r="X421" s="652"/>
      <c r="Y421" s="652"/>
      <c r="Z421" s="652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653">
        <v>4680115889415</v>
      </c>
      <c r="E422" s="65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653">
        <v>4660663720026</v>
      </c>
      <c r="E423" s="65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727" t="s">
        <v>690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653">
        <v>4680115889422</v>
      </c>
      <c r="E424" s="65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55"/>
      <c r="R424" s="655"/>
      <c r="S424" s="655"/>
      <c r="T424" s="65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653">
        <v>4680115889972</v>
      </c>
      <c r="E425" s="65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1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49"/>
      <c r="B426" s="649"/>
      <c r="C426" s="649"/>
      <c r="D426" s="649"/>
      <c r="E426" s="649"/>
      <c r="F426" s="649"/>
      <c r="G426" s="649"/>
      <c r="H426" s="649"/>
      <c r="I426" s="649"/>
      <c r="J426" s="649"/>
      <c r="K426" s="649"/>
      <c r="L426" s="649"/>
      <c r="M426" s="649"/>
      <c r="N426" s="649"/>
      <c r="O426" s="650"/>
      <c r="P426" s="646" t="s">
        <v>40</v>
      </c>
      <c r="Q426" s="647"/>
      <c r="R426" s="647"/>
      <c r="S426" s="647"/>
      <c r="T426" s="647"/>
      <c r="U426" s="647"/>
      <c r="V426" s="648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49"/>
      <c r="B427" s="649"/>
      <c r="C427" s="649"/>
      <c r="D427" s="649"/>
      <c r="E427" s="649"/>
      <c r="F427" s="649"/>
      <c r="G427" s="649"/>
      <c r="H427" s="649"/>
      <c r="I427" s="649"/>
      <c r="J427" s="649"/>
      <c r="K427" s="649"/>
      <c r="L427" s="649"/>
      <c r="M427" s="649"/>
      <c r="N427" s="649"/>
      <c r="O427" s="650"/>
      <c r="P427" s="646" t="s">
        <v>40</v>
      </c>
      <c r="Q427" s="647"/>
      <c r="R427" s="647"/>
      <c r="S427" s="647"/>
      <c r="T427" s="647"/>
      <c r="U427" s="647"/>
      <c r="V427" s="648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651" t="s">
        <v>697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5"/>
      <c r="AB428" s="65"/>
      <c r="AC428" s="79"/>
    </row>
    <row r="429" spans="1:68" ht="14.25" hidden="1" customHeight="1" x14ac:dyDescent="0.25">
      <c r="A429" s="652" t="s">
        <v>83</v>
      </c>
      <c r="B429" s="652"/>
      <c r="C429" s="652"/>
      <c r="D429" s="652"/>
      <c r="E429" s="652"/>
      <c r="F429" s="652"/>
      <c r="G429" s="652"/>
      <c r="H429" s="652"/>
      <c r="I429" s="652"/>
      <c r="J429" s="652"/>
      <c r="K429" s="652"/>
      <c r="L429" s="652"/>
      <c r="M429" s="652"/>
      <c r="N429" s="652"/>
      <c r="O429" s="652"/>
      <c r="P429" s="652"/>
      <c r="Q429" s="652"/>
      <c r="R429" s="652"/>
      <c r="S429" s="652"/>
      <c r="T429" s="652"/>
      <c r="U429" s="652"/>
      <c r="V429" s="652"/>
      <c r="W429" s="652"/>
      <c r="X429" s="652"/>
      <c r="Y429" s="652"/>
      <c r="Z429" s="652"/>
      <c r="AA429" s="66"/>
      <c r="AB429" s="66"/>
      <c r="AC429" s="80"/>
    </row>
    <row r="430" spans="1:68" ht="27" hidden="1" customHeight="1" x14ac:dyDescent="0.25">
      <c r="A430" s="63" t="s">
        <v>698</v>
      </c>
      <c r="B430" s="63" t="s">
        <v>699</v>
      </c>
      <c r="C430" s="36">
        <v>4301051489</v>
      </c>
      <c r="D430" s="653">
        <v>4607091387919</v>
      </c>
      <c r="E430" s="65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701</v>
      </c>
      <c r="B431" s="63" t="s">
        <v>702</v>
      </c>
      <c r="C431" s="36">
        <v>4301051461</v>
      </c>
      <c r="D431" s="653">
        <v>4680115883604</v>
      </c>
      <c r="E431" s="65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IFERROR(IF(Y431=0,"",ROUNDUP(Y431/H431,0)*0.00651),"")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704</v>
      </c>
      <c r="B432" s="63" t="s">
        <v>705</v>
      </c>
      <c r="C432" s="36">
        <v>4301051864</v>
      </c>
      <c r="D432" s="653">
        <v>4680115883567</v>
      </c>
      <c r="E432" s="65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649"/>
      <c r="B433" s="649"/>
      <c r="C433" s="649"/>
      <c r="D433" s="649"/>
      <c r="E433" s="649"/>
      <c r="F433" s="649"/>
      <c r="G433" s="649"/>
      <c r="H433" s="649"/>
      <c r="I433" s="649"/>
      <c r="J433" s="649"/>
      <c r="K433" s="649"/>
      <c r="L433" s="649"/>
      <c r="M433" s="649"/>
      <c r="N433" s="649"/>
      <c r="O433" s="650"/>
      <c r="P433" s="646" t="s">
        <v>40</v>
      </c>
      <c r="Q433" s="647"/>
      <c r="R433" s="647"/>
      <c r="S433" s="647"/>
      <c r="T433" s="647"/>
      <c r="U433" s="647"/>
      <c r="V433" s="648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27.75" hidden="1" customHeight="1" x14ac:dyDescent="0.2">
      <c r="A435" s="666" t="s">
        <v>707</v>
      </c>
      <c r="B435" s="666"/>
      <c r="C435" s="666"/>
      <c r="D435" s="666"/>
      <c r="E435" s="666"/>
      <c r="F435" s="666"/>
      <c r="G435" s="666"/>
      <c r="H435" s="666"/>
      <c r="I435" s="666"/>
      <c r="J435" s="666"/>
      <c r="K435" s="666"/>
      <c r="L435" s="666"/>
      <c r="M435" s="666"/>
      <c r="N435" s="666"/>
      <c r="O435" s="666"/>
      <c r="P435" s="666"/>
      <c r="Q435" s="666"/>
      <c r="R435" s="666"/>
      <c r="S435" s="666"/>
      <c r="T435" s="666"/>
      <c r="U435" s="666"/>
      <c r="V435" s="666"/>
      <c r="W435" s="666"/>
      <c r="X435" s="666"/>
      <c r="Y435" s="666"/>
      <c r="Z435" s="666"/>
      <c r="AA435" s="54"/>
      <c r="AB435" s="54"/>
      <c r="AC435" s="54"/>
    </row>
    <row r="436" spans="1:68" ht="16.5" hidden="1" customHeight="1" x14ac:dyDescent="0.25">
      <c r="A436" s="651" t="s">
        <v>708</v>
      </c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1"/>
      <c r="P436" s="651"/>
      <c r="Q436" s="651"/>
      <c r="R436" s="651"/>
      <c r="S436" s="651"/>
      <c r="T436" s="651"/>
      <c r="U436" s="651"/>
      <c r="V436" s="651"/>
      <c r="W436" s="651"/>
      <c r="X436" s="651"/>
      <c r="Y436" s="651"/>
      <c r="Z436" s="651"/>
      <c r="AA436" s="65"/>
      <c r="AB436" s="65"/>
      <c r="AC436" s="79"/>
    </row>
    <row r="437" spans="1:68" ht="14.25" hidden="1" customHeight="1" x14ac:dyDescent="0.25">
      <c r="A437" s="652" t="s">
        <v>130</v>
      </c>
      <c r="B437" s="652"/>
      <c r="C437" s="652"/>
      <c r="D437" s="652"/>
      <c r="E437" s="652"/>
      <c r="F437" s="652"/>
      <c r="G437" s="652"/>
      <c r="H437" s="652"/>
      <c r="I437" s="652"/>
      <c r="J437" s="652"/>
      <c r="K437" s="652"/>
      <c r="L437" s="652"/>
      <c r="M437" s="652"/>
      <c r="N437" s="652"/>
      <c r="O437" s="652"/>
      <c r="P437" s="652"/>
      <c r="Q437" s="652"/>
      <c r="R437" s="652"/>
      <c r="S437" s="652"/>
      <c r="T437" s="652"/>
      <c r="U437" s="652"/>
      <c r="V437" s="652"/>
      <c r="W437" s="652"/>
      <c r="X437" s="652"/>
      <c r="Y437" s="652"/>
      <c r="Z437" s="652"/>
      <c r="AA437" s="66"/>
      <c r="AB437" s="66"/>
      <c r="AC437" s="80"/>
    </row>
    <row r="438" spans="1:68" ht="27" hidden="1" customHeight="1" x14ac:dyDescent="0.25">
      <c r="A438" s="63" t="s">
        <v>709</v>
      </c>
      <c r="B438" s="63" t="s">
        <v>710</v>
      </c>
      <c r="C438" s="36">
        <v>4301012332</v>
      </c>
      <c r="D438" s="653">
        <v>4680115888401</v>
      </c>
      <c r="E438" s="65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653">
        <v>4680115884847</v>
      </c>
      <c r="E439" s="65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55"/>
      <c r="R439" s="655"/>
      <c r="S439" s="655"/>
      <c r="T439" s="656"/>
      <c r="U439" s="39" t="s">
        <v>46</v>
      </c>
      <c r="V439" s="39" t="s">
        <v>46</v>
      </c>
      <c r="W439" s="40" t="s">
        <v>0</v>
      </c>
      <c r="X439" s="58">
        <v>1000</v>
      </c>
      <c r="Y439" s="55">
        <f t="shared" si="61"/>
        <v>1005</v>
      </c>
      <c r="Z439" s="41">
        <f>IFERROR(IF(Y439=0,"",ROUNDUP(Y439/H439,0)*0.02175),"")</f>
        <v>1.4572499999999999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1031.3333333333333</v>
      </c>
      <c r="BN439" s="78">
        <f t="shared" si="63"/>
        <v>1036.49</v>
      </c>
      <c r="BO439" s="78">
        <f t="shared" si="64"/>
        <v>1.3888888888888888</v>
      </c>
      <c r="BP439" s="78">
        <f t="shared" si="65"/>
        <v>1.3958333333333333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653">
        <v>4680115884854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1000</v>
      </c>
      <c r="Y440" s="55">
        <f t="shared" si="61"/>
        <v>1005</v>
      </c>
      <c r="Z440" s="41">
        <f>IFERROR(IF(Y440=0,"",ROUNDUP(Y440/H440,0)*0.02175),"")</f>
        <v>1.4572499999999999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1031.3333333333333</v>
      </c>
      <c r="BN440" s="78">
        <f t="shared" si="63"/>
        <v>1036.49</v>
      </c>
      <c r="BO440" s="78">
        <f t="shared" si="64"/>
        <v>1.3888888888888888</v>
      </c>
      <c r="BP440" s="78">
        <f t="shared" si="65"/>
        <v>1.3958333333333333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653">
        <v>4680115884830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1500</v>
      </c>
      <c r="Y441" s="55">
        <f t="shared" si="61"/>
        <v>1500</v>
      </c>
      <c r="Z441" s="41">
        <f>IFERROR(IF(Y441=0,"",ROUNDUP(Y441/H441,0)*0.02175),"")</f>
        <v>2.1749999999999998</v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1547</v>
      </c>
      <c r="BN441" s="78">
        <f t="shared" si="63"/>
        <v>1547</v>
      </c>
      <c r="BO441" s="78">
        <f t="shared" si="64"/>
        <v>2.083333333333333</v>
      </c>
      <c r="BP441" s="78">
        <f t="shared" si="65"/>
        <v>2.083333333333333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4301012356</v>
      </c>
      <c r="D442" s="653">
        <v>4680115889231</v>
      </c>
      <c r="E442" s="65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653">
        <v>4680115882638</v>
      </c>
      <c r="E443" s="65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653">
        <v>4680115884922</v>
      </c>
      <c r="E444" s="65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653">
        <v>4680115884861</v>
      </c>
      <c r="E445" s="65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55"/>
      <c r="R445" s="655"/>
      <c r="S445" s="655"/>
      <c r="T445" s="65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233.33333333333334</v>
      </c>
      <c r="Y446" s="43">
        <f>IFERROR(Y438/H438,"0")+IFERROR(Y439/H439,"0")+IFERROR(Y440/H440,"0")+IFERROR(Y441/H441,"0")+IFERROR(Y442/H442,"0")+IFERROR(Y443/H443,"0")+IFERROR(Y444/H444,"0")+IFERROR(Y445/H445,"0")</f>
        <v>234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5.0894999999999992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IFERROR(SUM(X438:X445),"0")</f>
        <v>3500</v>
      </c>
      <c r="Y447" s="43">
        <f>IFERROR(SUM(Y438:Y445),"0")</f>
        <v>3510</v>
      </c>
      <c r="Z447" s="42"/>
      <c r="AA447" s="67"/>
      <c r="AB447" s="67"/>
      <c r="AC447" s="67"/>
    </row>
    <row r="448" spans="1:68" ht="14.25" hidden="1" customHeight="1" x14ac:dyDescent="0.25">
      <c r="A448" s="652" t="s">
        <v>165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6"/>
      <c r="AB448" s="66"/>
      <c r="AC448" s="80"/>
    </row>
    <row r="449" spans="1:68" ht="27" hidden="1" customHeight="1" x14ac:dyDescent="0.25">
      <c r="A449" s="63" t="s">
        <v>733</v>
      </c>
      <c r="B449" s="63" t="s">
        <v>734</v>
      </c>
      <c r="C449" s="36">
        <v>4301020178</v>
      </c>
      <c r="D449" s="653">
        <v>4607091383980</v>
      </c>
      <c r="E449" s="65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IFERROR(IF(Y449=0,"",ROUNDUP(Y449/H449,0)*0.02175),"")</f>
        <v/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736</v>
      </c>
      <c r="B450" s="63" t="s">
        <v>737</v>
      </c>
      <c r="C450" s="36">
        <v>4301020355</v>
      </c>
      <c r="D450" s="653">
        <v>4680115888425</v>
      </c>
      <c r="E450" s="65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55"/>
      <c r="R450" s="655"/>
      <c r="S450" s="655"/>
      <c r="T450" s="65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653">
        <v>4607091384178</v>
      </c>
      <c r="E451" s="65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55"/>
      <c r="R451" s="655"/>
      <c r="S451" s="655"/>
      <c r="T451" s="65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49"/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50"/>
      <c r="P453" s="646" t="s">
        <v>40</v>
      </c>
      <c r="Q453" s="647"/>
      <c r="R453" s="647"/>
      <c r="S453" s="647"/>
      <c r="T453" s="647"/>
      <c r="U453" s="647"/>
      <c r="V453" s="648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52" t="s">
        <v>83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653">
        <v>4607091383928</v>
      </c>
      <c r="E455" s="65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745</v>
      </c>
      <c r="B456" s="63" t="s">
        <v>746</v>
      </c>
      <c r="C456" s="36">
        <v>4301051897</v>
      </c>
      <c r="D456" s="653">
        <v>4607091384260</v>
      </c>
      <c r="E456" s="65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55"/>
      <c r="R456" s="655"/>
      <c r="S456" s="655"/>
      <c r="T456" s="65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653">
        <v>4680115889538</v>
      </c>
      <c r="E457" s="65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70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55"/>
      <c r="R457" s="655"/>
      <c r="S457" s="655"/>
      <c r="T457" s="65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hidden="1" x14ac:dyDescent="0.2">
      <c r="A459" s="649"/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50"/>
      <c r="P459" s="646" t="s">
        <v>40</v>
      </c>
      <c r="Q459" s="647"/>
      <c r="R459" s="647"/>
      <c r="S459" s="647"/>
      <c r="T459" s="647"/>
      <c r="U459" s="647"/>
      <c r="V459" s="648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2" t="s">
        <v>183</v>
      </c>
      <c r="B460" s="652"/>
      <c r="C460" s="652"/>
      <c r="D460" s="652"/>
      <c r="E460" s="652"/>
      <c r="F460" s="652"/>
      <c r="G460" s="652"/>
      <c r="H460" s="652"/>
      <c r="I460" s="652"/>
      <c r="J460" s="652"/>
      <c r="K460" s="652"/>
      <c r="L460" s="652"/>
      <c r="M460" s="652"/>
      <c r="N460" s="652"/>
      <c r="O460" s="652"/>
      <c r="P460" s="652"/>
      <c r="Q460" s="652"/>
      <c r="R460" s="652"/>
      <c r="S460" s="652"/>
      <c r="T460" s="652"/>
      <c r="U460" s="652"/>
      <c r="V460" s="652"/>
      <c r="W460" s="652"/>
      <c r="X460" s="652"/>
      <c r="Y460" s="652"/>
      <c r="Z460" s="652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653">
        <v>4680115889545</v>
      </c>
      <c r="E461" s="65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55"/>
      <c r="R461" s="655"/>
      <c r="S461" s="655"/>
      <c r="T461" s="65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653">
        <v>4607091384673</v>
      </c>
      <c r="E462" s="65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55"/>
      <c r="R462" s="655"/>
      <c r="S462" s="655"/>
      <c r="T462" s="65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49"/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50"/>
      <c r="P463" s="646" t="s">
        <v>40</v>
      </c>
      <c r="Q463" s="647"/>
      <c r="R463" s="647"/>
      <c r="S463" s="647"/>
      <c r="T463" s="647"/>
      <c r="U463" s="647"/>
      <c r="V463" s="648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49"/>
      <c r="B464" s="649"/>
      <c r="C464" s="649"/>
      <c r="D464" s="649"/>
      <c r="E464" s="649"/>
      <c r="F464" s="649"/>
      <c r="G464" s="649"/>
      <c r="H464" s="649"/>
      <c r="I464" s="649"/>
      <c r="J464" s="649"/>
      <c r="K464" s="649"/>
      <c r="L464" s="649"/>
      <c r="M464" s="649"/>
      <c r="N464" s="649"/>
      <c r="O464" s="650"/>
      <c r="P464" s="646" t="s">
        <v>40</v>
      </c>
      <c r="Q464" s="647"/>
      <c r="R464" s="647"/>
      <c r="S464" s="647"/>
      <c r="T464" s="647"/>
      <c r="U464" s="647"/>
      <c r="V464" s="648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651" t="s">
        <v>757</v>
      </c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51"/>
      <c r="P465" s="651"/>
      <c r="Q465" s="651"/>
      <c r="R465" s="651"/>
      <c r="S465" s="651"/>
      <c r="T465" s="651"/>
      <c r="U465" s="651"/>
      <c r="V465" s="651"/>
      <c r="W465" s="651"/>
      <c r="X465" s="651"/>
      <c r="Y465" s="651"/>
      <c r="Z465" s="651"/>
      <c r="AA465" s="65"/>
      <c r="AB465" s="65"/>
      <c r="AC465" s="79"/>
    </row>
    <row r="466" spans="1:68" ht="14.25" hidden="1" customHeight="1" x14ac:dyDescent="0.25">
      <c r="A466" s="652" t="s">
        <v>130</v>
      </c>
      <c r="B466" s="652"/>
      <c r="C466" s="652"/>
      <c r="D466" s="652"/>
      <c r="E466" s="652"/>
      <c r="F466" s="652"/>
      <c r="G466" s="652"/>
      <c r="H466" s="652"/>
      <c r="I466" s="652"/>
      <c r="J466" s="652"/>
      <c r="K466" s="652"/>
      <c r="L466" s="652"/>
      <c r="M466" s="652"/>
      <c r="N466" s="652"/>
      <c r="O466" s="652"/>
      <c r="P466" s="652"/>
      <c r="Q466" s="652"/>
      <c r="R466" s="652"/>
      <c r="S466" s="652"/>
      <c r="T466" s="652"/>
      <c r="U466" s="652"/>
      <c r="V466" s="652"/>
      <c r="W466" s="652"/>
      <c r="X466" s="652"/>
      <c r="Y466" s="652"/>
      <c r="Z466" s="652"/>
      <c r="AA466" s="66"/>
      <c r="AB466" s="66"/>
      <c r="AC466" s="80"/>
    </row>
    <row r="467" spans="1:68" ht="27" hidden="1" customHeight="1" x14ac:dyDescent="0.25">
      <c r="A467" s="63" t="s">
        <v>758</v>
      </c>
      <c r="B467" s="63" t="s">
        <v>759</v>
      </c>
      <c r="C467" s="36">
        <v>4301011875</v>
      </c>
      <c r="D467" s="653">
        <v>4680115884885</v>
      </c>
      <c r="E467" s="65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653">
        <v>4680115884908</v>
      </c>
      <c r="E468" s="65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649"/>
      <c r="B469" s="649"/>
      <c r="C469" s="649"/>
      <c r="D469" s="649"/>
      <c r="E469" s="649"/>
      <c r="F469" s="649"/>
      <c r="G469" s="649"/>
      <c r="H469" s="649"/>
      <c r="I469" s="649"/>
      <c r="J469" s="649"/>
      <c r="K469" s="649"/>
      <c r="L469" s="649"/>
      <c r="M469" s="649"/>
      <c r="N469" s="649"/>
      <c r="O469" s="650"/>
      <c r="P469" s="646" t="s">
        <v>40</v>
      </c>
      <c r="Q469" s="647"/>
      <c r="R469" s="647"/>
      <c r="S469" s="647"/>
      <c r="T469" s="647"/>
      <c r="U469" s="647"/>
      <c r="V469" s="648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649"/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50"/>
      <c r="P470" s="646" t="s">
        <v>40</v>
      </c>
      <c r="Q470" s="647"/>
      <c r="R470" s="647"/>
      <c r="S470" s="647"/>
      <c r="T470" s="647"/>
      <c r="U470" s="647"/>
      <c r="V470" s="648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652" t="s">
        <v>77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653">
        <v>4607091384802</v>
      </c>
      <c r="E472" s="65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49"/>
      <c r="B473" s="649"/>
      <c r="C473" s="649"/>
      <c r="D473" s="649"/>
      <c r="E473" s="649"/>
      <c r="F473" s="649"/>
      <c r="G473" s="649"/>
      <c r="H473" s="649"/>
      <c r="I473" s="649"/>
      <c r="J473" s="649"/>
      <c r="K473" s="649"/>
      <c r="L473" s="649"/>
      <c r="M473" s="649"/>
      <c r="N473" s="649"/>
      <c r="O473" s="650"/>
      <c r="P473" s="646" t="s">
        <v>40</v>
      </c>
      <c r="Q473" s="647"/>
      <c r="R473" s="647"/>
      <c r="S473" s="647"/>
      <c r="T473" s="647"/>
      <c r="U473" s="647"/>
      <c r="V473" s="648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649"/>
      <c r="B474" s="649"/>
      <c r="C474" s="649"/>
      <c r="D474" s="649"/>
      <c r="E474" s="649"/>
      <c r="F474" s="649"/>
      <c r="G474" s="649"/>
      <c r="H474" s="649"/>
      <c r="I474" s="649"/>
      <c r="J474" s="649"/>
      <c r="K474" s="649"/>
      <c r="L474" s="649"/>
      <c r="M474" s="649"/>
      <c r="N474" s="649"/>
      <c r="O474" s="650"/>
      <c r="P474" s="646" t="s">
        <v>40</v>
      </c>
      <c r="Q474" s="647"/>
      <c r="R474" s="647"/>
      <c r="S474" s="647"/>
      <c r="T474" s="647"/>
      <c r="U474" s="647"/>
      <c r="V474" s="648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652" t="s">
        <v>83</v>
      </c>
      <c r="B475" s="652"/>
      <c r="C475" s="652"/>
      <c r="D475" s="652"/>
      <c r="E475" s="652"/>
      <c r="F475" s="652"/>
      <c r="G475" s="652"/>
      <c r="H475" s="652"/>
      <c r="I475" s="652"/>
      <c r="J475" s="652"/>
      <c r="K475" s="652"/>
      <c r="L475" s="652"/>
      <c r="M475" s="652"/>
      <c r="N475" s="652"/>
      <c r="O475" s="652"/>
      <c r="P475" s="652"/>
      <c r="Q475" s="652"/>
      <c r="R475" s="652"/>
      <c r="S475" s="652"/>
      <c r="T475" s="652"/>
      <c r="U475" s="652"/>
      <c r="V475" s="652"/>
      <c r="W475" s="652"/>
      <c r="X475" s="652"/>
      <c r="Y475" s="652"/>
      <c r="Z475" s="652"/>
      <c r="AA475" s="66"/>
      <c r="AB475" s="66"/>
      <c r="AC475" s="80"/>
    </row>
    <row r="476" spans="1:68" ht="27" hidden="1" customHeight="1" x14ac:dyDescent="0.25">
      <c r="A476" s="63" t="s">
        <v>766</v>
      </c>
      <c r="B476" s="63" t="s">
        <v>767</v>
      </c>
      <c r="C476" s="36">
        <v>4301051899</v>
      </c>
      <c r="D476" s="653">
        <v>4607091384246</v>
      </c>
      <c r="E476" s="65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653">
        <v>4607091384253</v>
      </c>
      <c r="E477" s="65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653">
        <v>4607091384253</v>
      </c>
      <c r="E478" s="65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49"/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50"/>
      <c r="P480" s="646" t="s">
        <v>40</v>
      </c>
      <c r="Q480" s="647"/>
      <c r="R480" s="647"/>
      <c r="S480" s="647"/>
      <c r="T480" s="647"/>
      <c r="U480" s="647"/>
      <c r="V480" s="648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hidden="1" customHeight="1" x14ac:dyDescent="0.2">
      <c r="A481" s="666" t="s">
        <v>773</v>
      </c>
      <c r="B481" s="666"/>
      <c r="C481" s="666"/>
      <c r="D481" s="666"/>
      <c r="E481" s="666"/>
      <c r="F481" s="666"/>
      <c r="G481" s="666"/>
      <c r="H481" s="666"/>
      <c r="I481" s="666"/>
      <c r="J481" s="666"/>
      <c r="K481" s="666"/>
      <c r="L481" s="666"/>
      <c r="M481" s="666"/>
      <c r="N481" s="666"/>
      <c r="O481" s="666"/>
      <c r="P481" s="666"/>
      <c r="Q481" s="666"/>
      <c r="R481" s="666"/>
      <c r="S481" s="666"/>
      <c r="T481" s="666"/>
      <c r="U481" s="666"/>
      <c r="V481" s="666"/>
      <c r="W481" s="666"/>
      <c r="X481" s="666"/>
      <c r="Y481" s="666"/>
      <c r="Z481" s="666"/>
      <c r="AA481" s="54"/>
      <c r="AB481" s="54"/>
      <c r="AC481" s="54"/>
    </row>
    <row r="482" spans="1:68" ht="16.5" hidden="1" customHeight="1" x14ac:dyDescent="0.25">
      <c r="A482" s="651" t="s">
        <v>774</v>
      </c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1"/>
      <c r="P482" s="651"/>
      <c r="Q482" s="651"/>
      <c r="R482" s="651"/>
      <c r="S482" s="651"/>
      <c r="T482" s="651"/>
      <c r="U482" s="651"/>
      <c r="V482" s="651"/>
      <c r="W482" s="651"/>
      <c r="X482" s="651"/>
      <c r="Y482" s="651"/>
      <c r="Z482" s="651"/>
      <c r="AA482" s="65"/>
      <c r="AB482" s="65"/>
      <c r="AC482" s="79"/>
    </row>
    <row r="483" spans="1:68" ht="14.25" hidden="1" customHeight="1" x14ac:dyDescent="0.25">
      <c r="A483" s="652" t="s">
        <v>77</v>
      </c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2"/>
      <c r="P483" s="652"/>
      <c r="Q483" s="652"/>
      <c r="R483" s="652"/>
      <c r="S483" s="652"/>
      <c r="T483" s="652"/>
      <c r="U483" s="652"/>
      <c r="V483" s="652"/>
      <c r="W483" s="652"/>
      <c r="X483" s="652"/>
      <c r="Y483" s="652"/>
      <c r="Z483" s="652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4301031405</v>
      </c>
      <c r="D484" s="653">
        <v>4680115886100</v>
      </c>
      <c r="E484" s="65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6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4301031402</v>
      </c>
      <c r="D485" s="653">
        <v>4680115886124</v>
      </c>
      <c r="E485" s="65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6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6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0</v>
      </c>
      <c r="BN485" s="78">
        <f t="shared" si="68"/>
        <v>0</v>
      </c>
      <c r="BO485" s="78">
        <f t="shared" si="69"/>
        <v>0</v>
      </c>
      <c r="BP485" s="78">
        <f t="shared" si="70"/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653">
        <v>4607091384338</v>
      </c>
      <c r="E486" s="65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653">
        <v>4680115883161</v>
      </c>
      <c r="E487" s="65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55"/>
      <c r="R487" s="655"/>
      <c r="S487" s="655"/>
      <c r="T487" s="65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customHeight="1" x14ac:dyDescent="0.25">
      <c r="A488" s="63" t="s">
        <v>786</v>
      </c>
      <c r="B488" s="63" t="s">
        <v>787</v>
      </c>
      <c r="C488" s="36">
        <v>4301031358</v>
      </c>
      <c r="D488" s="653">
        <v>4607091389531</v>
      </c>
      <c r="E488" s="65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55"/>
      <c r="R488" s="655"/>
      <c r="S488" s="655"/>
      <c r="T488" s="656"/>
      <c r="U488" s="39" t="s">
        <v>46</v>
      </c>
      <c r="V488" s="39" t="s">
        <v>46</v>
      </c>
      <c r="W488" s="40" t="s">
        <v>0</v>
      </c>
      <c r="X488" s="58">
        <v>21</v>
      </c>
      <c r="Y488" s="55">
        <f t="shared" si="66"/>
        <v>21</v>
      </c>
      <c r="Z488" s="41">
        <f>IFERROR(IF(Y488=0,"",ROUNDUP(Y488/H488,0)*0.00502),"")</f>
        <v>5.0200000000000002E-2</v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22.299999999999997</v>
      </c>
      <c r="BN488" s="78">
        <f t="shared" si="68"/>
        <v>22.299999999999997</v>
      </c>
      <c r="BO488" s="78">
        <f t="shared" si="69"/>
        <v>4.2735042735042736E-2</v>
      </c>
      <c r="BP488" s="78">
        <f t="shared" si="70"/>
        <v>4.2735042735042736E-2</v>
      </c>
    </row>
    <row r="489" spans="1:68" ht="37.5" hidden="1" customHeight="1" x14ac:dyDescent="0.25">
      <c r="A489" s="63" t="s">
        <v>789</v>
      </c>
      <c r="B489" s="63" t="s">
        <v>790</v>
      </c>
      <c r="C489" s="36">
        <v>4301031360</v>
      </c>
      <c r="D489" s="653">
        <v>4607091384345</v>
      </c>
      <c r="E489" s="65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55"/>
      <c r="R489" s="655"/>
      <c r="S489" s="655"/>
      <c r="T489" s="656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x14ac:dyDescent="0.2">
      <c r="A490" s="649"/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50"/>
      <c r="P490" s="646" t="s">
        <v>40</v>
      </c>
      <c r="Q490" s="647"/>
      <c r="R490" s="647"/>
      <c r="S490" s="647"/>
      <c r="T490" s="647"/>
      <c r="U490" s="647"/>
      <c r="V490" s="648"/>
      <c r="W490" s="42" t="s">
        <v>39</v>
      </c>
      <c r="X490" s="43">
        <f>IFERROR(X484/H484,"0")+IFERROR(X485/H485,"0")+IFERROR(X486/H486,"0")+IFERROR(X487/H487,"0")+IFERROR(X488/H488,"0")+IFERROR(X489/H489,"0")</f>
        <v>10</v>
      </c>
      <c r="Y490" s="43">
        <f>IFERROR(Y484/H484,"0")+IFERROR(Y485/H485,"0")+IFERROR(Y486/H486,"0")+IFERROR(Y487/H487,"0")+IFERROR(Y488/H488,"0")+IFERROR(Y489/H489,"0")</f>
        <v>10</v>
      </c>
      <c r="Z490" s="43">
        <f>IFERROR(IF(Z484="",0,Z484),"0")+IFERROR(IF(Z485="",0,Z485),"0")+IFERROR(IF(Z486="",0,Z486),"0")+IFERROR(IF(Z487="",0,Z487),"0")+IFERROR(IF(Z488="",0,Z488),"0")+IFERROR(IF(Z489="",0,Z489),"0")</f>
        <v>5.0200000000000002E-2</v>
      </c>
      <c r="AA490" s="67"/>
      <c r="AB490" s="67"/>
      <c r="AC490" s="67"/>
    </row>
    <row r="491" spans="1:68" x14ac:dyDescent="0.2">
      <c r="A491" s="649"/>
      <c r="B491" s="649"/>
      <c r="C491" s="649"/>
      <c r="D491" s="649"/>
      <c r="E491" s="649"/>
      <c r="F491" s="649"/>
      <c r="G491" s="649"/>
      <c r="H491" s="649"/>
      <c r="I491" s="649"/>
      <c r="J491" s="649"/>
      <c r="K491" s="649"/>
      <c r="L491" s="649"/>
      <c r="M491" s="649"/>
      <c r="N491" s="649"/>
      <c r="O491" s="650"/>
      <c r="P491" s="646" t="s">
        <v>40</v>
      </c>
      <c r="Q491" s="647"/>
      <c r="R491" s="647"/>
      <c r="S491" s="647"/>
      <c r="T491" s="647"/>
      <c r="U491" s="647"/>
      <c r="V491" s="648"/>
      <c r="W491" s="42" t="s">
        <v>0</v>
      </c>
      <c r="X491" s="43">
        <f>IFERROR(SUM(X484:X489),"0")</f>
        <v>21</v>
      </c>
      <c r="Y491" s="43">
        <f>IFERROR(SUM(Y484:Y489),"0")</f>
        <v>21</v>
      </c>
      <c r="Z491" s="42"/>
      <c r="AA491" s="67"/>
      <c r="AB491" s="67"/>
      <c r="AC491" s="67"/>
    </row>
    <row r="492" spans="1:68" ht="14.25" hidden="1" customHeight="1" x14ac:dyDescent="0.25">
      <c r="A492" s="652" t="s">
        <v>83</v>
      </c>
      <c r="B492" s="652"/>
      <c r="C492" s="652"/>
      <c r="D492" s="652"/>
      <c r="E492" s="652"/>
      <c r="F492" s="652"/>
      <c r="G492" s="652"/>
      <c r="H492" s="652"/>
      <c r="I492" s="652"/>
      <c r="J492" s="652"/>
      <c r="K492" s="652"/>
      <c r="L492" s="652"/>
      <c r="M492" s="652"/>
      <c r="N492" s="652"/>
      <c r="O492" s="652"/>
      <c r="P492" s="652"/>
      <c r="Q492" s="652"/>
      <c r="R492" s="652"/>
      <c r="S492" s="652"/>
      <c r="T492" s="652"/>
      <c r="U492" s="652"/>
      <c r="V492" s="652"/>
      <c r="W492" s="652"/>
      <c r="X492" s="652"/>
      <c r="Y492" s="652"/>
      <c r="Z492" s="652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653">
        <v>4607091384352</v>
      </c>
      <c r="E493" s="65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55"/>
      <c r="R493" s="655"/>
      <c r="S493" s="655"/>
      <c r="T493" s="65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651" t="s">
        <v>794</v>
      </c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1"/>
      <c r="P496" s="651"/>
      <c r="Q496" s="651"/>
      <c r="R496" s="651"/>
      <c r="S496" s="651"/>
      <c r="T496" s="651"/>
      <c r="U496" s="651"/>
      <c r="V496" s="651"/>
      <c r="W496" s="651"/>
      <c r="X496" s="651"/>
      <c r="Y496" s="651"/>
      <c r="Z496" s="651"/>
      <c r="AA496" s="65"/>
      <c r="AB496" s="65"/>
      <c r="AC496" s="79"/>
    </row>
    <row r="497" spans="1:68" ht="14.25" hidden="1" customHeight="1" x14ac:dyDescent="0.25">
      <c r="A497" s="652" t="s">
        <v>165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653">
        <v>4680115885240</v>
      </c>
      <c r="E498" s="65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49"/>
      <c r="B499" s="649"/>
      <c r="C499" s="649"/>
      <c r="D499" s="649"/>
      <c r="E499" s="649"/>
      <c r="F499" s="649"/>
      <c r="G499" s="649"/>
      <c r="H499" s="649"/>
      <c r="I499" s="649"/>
      <c r="J499" s="649"/>
      <c r="K499" s="649"/>
      <c r="L499" s="649"/>
      <c r="M499" s="649"/>
      <c r="N499" s="649"/>
      <c r="O499" s="650"/>
      <c r="P499" s="646" t="s">
        <v>40</v>
      </c>
      <c r="Q499" s="647"/>
      <c r="R499" s="647"/>
      <c r="S499" s="647"/>
      <c r="T499" s="647"/>
      <c r="U499" s="647"/>
      <c r="V499" s="648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649"/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50"/>
      <c r="P500" s="646" t="s">
        <v>40</v>
      </c>
      <c r="Q500" s="647"/>
      <c r="R500" s="647"/>
      <c r="S500" s="647"/>
      <c r="T500" s="647"/>
      <c r="U500" s="647"/>
      <c r="V500" s="648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652" t="s">
        <v>77</v>
      </c>
      <c r="B501" s="652"/>
      <c r="C501" s="652"/>
      <c r="D501" s="652"/>
      <c r="E501" s="652"/>
      <c r="F501" s="652"/>
      <c r="G501" s="652"/>
      <c r="H501" s="652"/>
      <c r="I501" s="652"/>
      <c r="J501" s="652"/>
      <c r="K501" s="652"/>
      <c r="L501" s="652"/>
      <c r="M501" s="652"/>
      <c r="N501" s="652"/>
      <c r="O501" s="652"/>
      <c r="P501" s="652"/>
      <c r="Q501" s="652"/>
      <c r="R501" s="652"/>
      <c r="S501" s="652"/>
      <c r="T501" s="652"/>
      <c r="U501" s="652"/>
      <c r="V501" s="652"/>
      <c r="W501" s="652"/>
      <c r="X501" s="652"/>
      <c r="Y501" s="652"/>
      <c r="Z501" s="652"/>
      <c r="AA501" s="66"/>
      <c r="AB501" s="66"/>
      <c r="AC501" s="80"/>
    </row>
    <row r="502" spans="1:68" ht="27" hidden="1" customHeight="1" x14ac:dyDescent="0.25">
      <c r="A502" s="63" t="s">
        <v>798</v>
      </c>
      <c r="B502" s="63" t="s">
        <v>799</v>
      </c>
      <c r="C502" s="36">
        <v>4301031407</v>
      </c>
      <c r="D502" s="653">
        <v>4680115886094</v>
      </c>
      <c r="E502" s="65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653">
        <v>4680115880771</v>
      </c>
      <c r="E503" s="65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customHeight="1" x14ac:dyDescent="0.25">
      <c r="A504" s="63" t="s">
        <v>804</v>
      </c>
      <c r="B504" s="63" t="s">
        <v>805</v>
      </c>
      <c r="C504" s="36">
        <v>4301031359</v>
      </c>
      <c r="D504" s="653">
        <v>4607091389500</v>
      </c>
      <c r="E504" s="65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21</v>
      </c>
      <c r="Y504" s="55">
        <f>IFERROR(IF(X504="",0,CEILING((X504/$H504),1)*$H504),"")</f>
        <v>21</v>
      </c>
      <c r="Z504" s="41">
        <f>IFERROR(IF(Y504=0,"",ROUNDUP(Y504/H504,0)*0.00502),"")</f>
        <v>5.0200000000000002E-2</v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22.299999999999997</v>
      </c>
      <c r="BN504" s="78">
        <f>IFERROR(Y504*I504/H504,"0")</f>
        <v>22.299999999999997</v>
      </c>
      <c r="BO504" s="78">
        <f>IFERROR(1/J504*(X504/H504),"0")</f>
        <v>4.2735042735042736E-2</v>
      </c>
      <c r="BP504" s="78">
        <f>IFERROR(1/J504*(Y504/H504),"0")</f>
        <v>4.2735042735042736E-2</v>
      </c>
    </row>
    <row r="505" spans="1:68" x14ac:dyDescent="0.2">
      <c r="A505" s="649"/>
      <c r="B505" s="649"/>
      <c r="C505" s="649"/>
      <c r="D505" s="649"/>
      <c r="E505" s="649"/>
      <c r="F505" s="649"/>
      <c r="G505" s="649"/>
      <c r="H505" s="649"/>
      <c r="I505" s="649"/>
      <c r="J505" s="649"/>
      <c r="K505" s="649"/>
      <c r="L505" s="649"/>
      <c r="M505" s="649"/>
      <c r="N505" s="649"/>
      <c r="O505" s="650"/>
      <c r="P505" s="646" t="s">
        <v>40</v>
      </c>
      <c r="Q505" s="647"/>
      <c r="R505" s="647"/>
      <c r="S505" s="647"/>
      <c r="T505" s="647"/>
      <c r="U505" s="647"/>
      <c r="V505" s="648"/>
      <c r="W505" s="42" t="s">
        <v>39</v>
      </c>
      <c r="X505" s="43">
        <f>IFERROR(X502/H502,"0")+IFERROR(X503/H503,"0")+IFERROR(X504/H504,"0")</f>
        <v>10</v>
      </c>
      <c r="Y505" s="43">
        <f>IFERROR(Y502/H502,"0")+IFERROR(Y503/H503,"0")+IFERROR(Y504/H504,"0")</f>
        <v>10</v>
      </c>
      <c r="Z505" s="43">
        <f>IFERROR(IF(Z502="",0,Z502),"0")+IFERROR(IF(Z503="",0,Z503),"0")+IFERROR(IF(Z504="",0,Z504),"0")</f>
        <v>5.0200000000000002E-2</v>
      </c>
      <c r="AA505" s="67"/>
      <c r="AB505" s="67"/>
      <c r="AC505" s="67"/>
    </row>
    <row r="506" spans="1:68" x14ac:dyDescent="0.2">
      <c r="A506" s="649"/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50"/>
      <c r="P506" s="646" t="s">
        <v>40</v>
      </c>
      <c r="Q506" s="647"/>
      <c r="R506" s="647"/>
      <c r="S506" s="647"/>
      <c r="T506" s="647"/>
      <c r="U506" s="647"/>
      <c r="V506" s="648"/>
      <c r="W506" s="42" t="s">
        <v>0</v>
      </c>
      <c r="X506" s="43">
        <f>IFERROR(SUM(X502:X504),"0")</f>
        <v>21</v>
      </c>
      <c r="Y506" s="43">
        <f>IFERROR(SUM(Y502:Y504),"0")</f>
        <v>21</v>
      </c>
      <c r="Z506" s="42"/>
      <c r="AA506" s="67"/>
      <c r="AB506" s="67"/>
      <c r="AC506" s="67"/>
    </row>
    <row r="507" spans="1:68" ht="27.75" hidden="1" customHeight="1" x14ac:dyDescent="0.2">
      <c r="A507" s="666" t="s">
        <v>806</v>
      </c>
      <c r="B507" s="666"/>
      <c r="C507" s="666"/>
      <c r="D507" s="666"/>
      <c r="E507" s="666"/>
      <c r="F507" s="666"/>
      <c r="G507" s="666"/>
      <c r="H507" s="666"/>
      <c r="I507" s="666"/>
      <c r="J507" s="666"/>
      <c r="K507" s="666"/>
      <c r="L507" s="666"/>
      <c r="M507" s="666"/>
      <c r="N507" s="666"/>
      <c r="O507" s="666"/>
      <c r="P507" s="666"/>
      <c r="Q507" s="666"/>
      <c r="R507" s="666"/>
      <c r="S507" s="666"/>
      <c r="T507" s="666"/>
      <c r="U507" s="666"/>
      <c r="V507" s="666"/>
      <c r="W507" s="666"/>
      <c r="X507" s="666"/>
      <c r="Y507" s="666"/>
      <c r="Z507" s="666"/>
      <c r="AA507" s="54"/>
      <c r="AB507" s="54"/>
      <c r="AC507" s="54"/>
    </row>
    <row r="508" spans="1:68" ht="16.5" hidden="1" customHeight="1" x14ac:dyDescent="0.25">
      <c r="A508" s="651" t="s">
        <v>806</v>
      </c>
      <c r="B508" s="651"/>
      <c r="C508" s="651"/>
      <c r="D508" s="651"/>
      <c r="E508" s="651"/>
      <c r="F508" s="651"/>
      <c r="G508" s="651"/>
      <c r="H508" s="651"/>
      <c r="I508" s="651"/>
      <c r="J508" s="651"/>
      <c r="K508" s="651"/>
      <c r="L508" s="651"/>
      <c r="M508" s="651"/>
      <c r="N508" s="651"/>
      <c r="O508" s="651"/>
      <c r="P508" s="651"/>
      <c r="Q508" s="651"/>
      <c r="R508" s="651"/>
      <c r="S508" s="651"/>
      <c r="T508" s="651"/>
      <c r="U508" s="651"/>
      <c r="V508" s="651"/>
      <c r="W508" s="651"/>
      <c r="X508" s="651"/>
      <c r="Y508" s="651"/>
      <c r="Z508" s="651"/>
      <c r="AA508" s="65"/>
      <c r="AB508" s="65"/>
      <c r="AC508" s="79"/>
    </row>
    <row r="509" spans="1:68" ht="14.25" hidden="1" customHeight="1" x14ac:dyDescent="0.25">
      <c r="A509" s="652" t="s">
        <v>130</v>
      </c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2"/>
      <c r="P509" s="652"/>
      <c r="Q509" s="652"/>
      <c r="R509" s="652"/>
      <c r="S509" s="652"/>
      <c r="T509" s="652"/>
      <c r="U509" s="652"/>
      <c r="V509" s="652"/>
      <c r="W509" s="652"/>
      <c r="X509" s="652"/>
      <c r="Y509" s="652"/>
      <c r="Z509" s="652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653">
        <v>4607091389067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653">
        <v>4680115889576</v>
      </c>
      <c r="E511" s="65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653">
        <v>4680115885271</v>
      </c>
      <c r="E512" s="65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653">
        <v>4680115885226</v>
      </c>
      <c r="E513" s="65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55"/>
      <c r="R513" s="655"/>
      <c r="S513" s="655"/>
      <c r="T513" s="656"/>
      <c r="U513" s="39" t="s">
        <v>46</v>
      </c>
      <c r="V513" s="39" t="s">
        <v>46</v>
      </c>
      <c r="W513" s="40" t="s">
        <v>0</v>
      </c>
      <c r="X513" s="58">
        <v>50</v>
      </c>
      <c r="Y513" s="55">
        <f t="shared" si="71"/>
        <v>52.800000000000004</v>
      </c>
      <c r="Z513" s="41">
        <f>IFERROR(IF(Y513=0,"",ROUNDUP(Y513/H513,0)*0.01196),"")</f>
        <v>0.1196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53.314393939393938</v>
      </c>
      <c r="BN513" s="78">
        <f t="shared" si="73"/>
        <v>56.3</v>
      </c>
      <c r="BO513" s="78">
        <f t="shared" si="74"/>
        <v>9.1054778554778545E-2</v>
      </c>
      <c r="BP513" s="78">
        <f t="shared" si="75"/>
        <v>9.6153846153846159E-2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653">
        <v>4607091389104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200</v>
      </c>
      <c r="Y514" s="55">
        <f t="shared" si="71"/>
        <v>200.64000000000001</v>
      </c>
      <c r="Z514" s="41">
        <f>IFERROR(IF(Y514=0,"",ROUNDUP(Y514/H514,0)*0.01196),"")</f>
        <v>0.45448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213.25757575757575</v>
      </c>
      <c r="BN514" s="78">
        <f t="shared" si="73"/>
        <v>213.94</v>
      </c>
      <c r="BO514" s="78">
        <f t="shared" si="74"/>
        <v>0.36421911421911418</v>
      </c>
      <c r="BP514" s="78">
        <f t="shared" si="75"/>
        <v>0.36538461538461542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653">
        <v>4680115886391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823</v>
      </c>
      <c r="B516" s="63" t="s">
        <v>824</v>
      </c>
      <c r="C516" s="36">
        <v>4301012048</v>
      </c>
      <c r="D516" s="653">
        <v>4680115880603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825</v>
      </c>
      <c r="B517" s="63" t="s">
        <v>826</v>
      </c>
      <c r="C517" s="36">
        <v>4301012034</v>
      </c>
      <c r="D517" s="653">
        <v>4607091389982</v>
      </c>
      <c r="E517" s="65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649"/>
      <c r="B518" s="649"/>
      <c r="C518" s="649"/>
      <c r="D518" s="649"/>
      <c r="E518" s="649"/>
      <c r="F518" s="649"/>
      <c r="G518" s="649"/>
      <c r="H518" s="649"/>
      <c r="I518" s="649"/>
      <c r="J518" s="649"/>
      <c r="K518" s="649"/>
      <c r="L518" s="649"/>
      <c r="M518" s="649"/>
      <c r="N518" s="649"/>
      <c r="O518" s="650"/>
      <c r="P518" s="646" t="s">
        <v>40</v>
      </c>
      <c r="Q518" s="647"/>
      <c r="R518" s="647"/>
      <c r="S518" s="647"/>
      <c r="T518" s="647"/>
      <c r="U518" s="647"/>
      <c r="V518" s="648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47.348484848484844</v>
      </c>
      <c r="Y518" s="43">
        <f>IFERROR(Y510/H510,"0")+IFERROR(Y511/H511,"0")+IFERROR(Y512/H512,"0")+IFERROR(Y513/H513,"0")+IFERROR(Y514/H514,"0")+IFERROR(Y515/H515,"0")+IFERROR(Y516/H516,"0")+IFERROR(Y517/H517,"0")</f>
        <v>48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0.57408000000000003</v>
      </c>
      <c r="AA518" s="67"/>
      <c r="AB518" s="67"/>
      <c r="AC518" s="67"/>
    </row>
    <row r="519" spans="1:68" x14ac:dyDescent="0.2">
      <c r="A519" s="649"/>
      <c r="B519" s="649"/>
      <c r="C519" s="649"/>
      <c r="D519" s="649"/>
      <c r="E519" s="649"/>
      <c r="F519" s="649"/>
      <c r="G519" s="649"/>
      <c r="H519" s="649"/>
      <c r="I519" s="649"/>
      <c r="J519" s="649"/>
      <c r="K519" s="649"/>
      <c r="L519" s="649"/>
      <c r="M519" s="649"/>
      <c r="N519" s="649"/>
      <c r="O519" s="650"/>
      <c r="P519" s="646" t="s">
        <v>40</v>
      </c>
      <c r="Q519" s="647"/>
      <c r="R519" s="647"/>
      <c r="S519" s="647"/>
      <c r="T519" s="647"/>
      <c r="U519" s="647"/>
      <c r="V519" s="648"/>
      <c r="W519" s="42" t="s">
        <v>0</v>
      </c>
      <c r="X519" s="43">
        <f>IFERROR(SUM(X510:X517),"0")</f>
        <v>250</v>
      </c>
      <c r="Y519" s="43">
        <f>IFERROR(SUM(Y510:Y517),"0")</f>
        <v>253.44000000000003</v>
      </c>
      <c r="Z519" s="42"/>
      <c r="AA519" s="67"/>
      <c r="AB519" s="67"/>
      <c r="AC519" s="67"/>
    </row>
    <row r="520" spans="1:68" ht="14.25" hidden="1" customHeight="1" x14ac:dyDescent="0.25">
      <c r="A520" s="652" t="s">
        <v>165</v>
      </c>
      <c r="B520" s="652"/>
      <c r="C520" s="652"/>
      <c r="D520" s="652"/>
      <c r="E520" s="652"/>
      <c r="F520" s="652"/>
      <c r="G520" s="652"/>
      <c r="H520" s="652"/>
      <c r="I520" s="652"/>
      <c r="J520" s="652"/>
      <c r="K520" s="652"/>
      <c r="L520" s="652"/>
      <c r="M520" s="652"/>
      <c r="N520" s="652"/>
      <c r="O520" s="652"/>
      <c r="P520" s="652"/>
      <c r="Q520" s="652"/>
      <c r="R520" s="652"/>
      <c r="S520" s="652"/>
      <c r="T520" s="652"/>
      <c r="U520" s="652"/>
      <c r="V520" s="652"/>
      <c r="W520" s="652"/>
      <c r="X520" s="652"/>
      <c r="Y520" s="652"/>
      <c r="Z520" s="652"/>
      <c r="AA520" s="66"/>
      <c r="AB520" s="66"/>
      <c r="AC520" s="80"/>
    </row>
    <row r="521" spans="1:68" ht="16.5" hidden="1" customHeight="1" x14ac:dyDescent="0.25">
      <c r="A521" s="63" t="s">
        <v>827</v>
      </c>
      <c r="B521" s="63" t="s">
        <v>828</v>
      </c>
      <c r="C521" s="36">
        <v>4301020334</v>
      </c>
      <c r="D521" s="653">
        <v>4607091388930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68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653">
        <v>4680115886407</v>
      </c>
      <c r="E522" s="65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68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832</v>
      </c>
      <c r="B523" s="63" t="s">
        <v>833</v>
      </c>
      <c r="C523" s="36">
        <v>4301020385</v>
      </c>
      <c r="D523" s="653">
        <v>4680115880054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66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52" t="s">
        <v>77</v>
      </c>
      <c r="B526" s="652"/>
      <c r="C526" s="652"/>
      <c r="D526" s="652"/>
      <c r="E526" s="652"/>
      <c r="F526" s="652"/>
      <c r="G526" s="652"/>
      <c r="H526" s="652"/>
      <c r="I526" s="652"/>
      <c r="J526" s="652"/>
      <c r="K526" s="652"/>
      <c r="L526" s="652"/>
      <c r="M526" s="652"/>
      <c r="N526" s="652"/>
      <c r="O526" s="652"/>
      <c r="P526" s="652"/>
      <c r="Q526" s="652"/>
      <c r="R526" s="652"/>
      <c r="S526" s="652"/>
      <c r="T526" s="652"/>
      <c r="U526" s="652"/>
      <c r="V526" s="652"/>
      <c r="W526" s="652"/>
      <c r="X526" s="652"/>
      <c r="Y526" s="652"/>
      <c r="Z526" s="652"/>
      <c r="AA526" s="66"/>
      <c r="AB526" s="66"/>
      <c r="AC526" s="80"/>
    </row>
    <row r="527" spans="1:68" ht="27" hidden="1" customHeight="1" x14ac:dyDescent="0.25">
      <c r="A527" s="63" t="s">
        <v>834</v>
      </c>
      <c r="B527" s="63" t="s">
        <v>835</v>
      </c>
      <c r="C527" s="36">
        <v>4301031349</v>
      </c>
      <c r="D527" s="653">
        <v>4680115883116</v>
      </c>
      <c r="E527" s="65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55"/>
      <c r="R527" s="655"/>
      <c r="S527" s="655"/>
      <c r="T527" s="65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7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0</v>
      </c>
      <c r="BN527" s="78">
        <f t="shared" ref="BN527:BN533" si="78">IFERROR(Y527*I527/H527,"0")</f>
        <v>0</v>
      </c>
      <c r="BO527" s="78">
        <f t="shared" ref="BO527:BO533" si="79">IFERROR(1/J527*(X527/H527),"0")</f>
        <v>0</v>
      </c>
      <c r="BP527" s="78">
        <f t="shared" ref="BP527:BP533" si="80">IFERROR(1/J527*(Y527/H527),"0")</f>
        <v>0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653">
        <v>4680115883093</v>
      </c>
      <c r="E528" s="65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150</v>
      </c>
      <c r="Y528" s="55">
        <f t="shared" si="76"/>
        <v>153.12</v>
      </c>
      <c r="Z528" s="41">
        <f>IFERROR(IF(Y528=0,"",ROUNDUP(Y528/H528,0)*0.01196),"")</f>
        <v>0.34683999999999998</v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159.94318181818181</v>
      </c>
      <c r="BN528" s="78">
        <f t="shared" si="78"/>
        <v>163.26999999999998</v>
      </c>
      <c r="BO528" s="78">
        <f t="shared" si="79"/>
        <v>0.27316433566433568</v>
      </c>
      <c r="BP528" s="78">
        <f t="shared" si="80"/>
        <v>0.27884615384615385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653">
        <v>4680115883109</v>
      </c>
      <c r="E529" s="65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55"/>
      <c r="R529" s="655"/>
      <c r="S529" s="655"/>
      <c r="T529" s="656"/>
      <c r="U529" s="39" t="s">
        <v>46</v>
      </c>
      <c r="V529" s="39" t="s">
        <v>46</v>
      </c>
      <c r="W529" s="40" t="s">
        <v>0</v>
      </c>
      <c r="X529" s="58">
        <v>100</v>
      </c>
      <c r="Y529" s="55">
        <f t="shared" si="76"/>
        <v>100.32000000000001</v>
      </c>
      <c r="Z529" s="41">
        <f>IFERROR(IF(Y529=0,"",ROUNDUP(Y529/H529,0)*0.01196),"")</f>
        <v>0.22724</v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106.62878787878788</v>
      </c>
      <c r="BN529" s="78">
        <f t="shared" si="78"/>
        <v>106.97</v>
      </c>
      <c r="BO529" s="78">
        <f t="shared" si="79"/>
        <v>0.18210955710955709</v>
      </c>
      <c r="BP529" s="78">
        <f t="shared" si="80"/>
        <v>0.18269230769230771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653">
        <v>4680115882072</v>
      </c>
      <c r="E530" s="65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55"/>
      <c r="R530" s="655"/>
      <c r="S530" s="655"/>
      <c r="T530" s="65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653">
        <v>4680115882102</v>
      </c>
      <c r="E531" s="65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55"/>
      <c r="R531" s="655"/>
      <c r="S531" s="655"/>
      <c r="T531" s="65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653">
        <v>4680115882102</v>
      </c>
      <c r="E532" s="65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653">
        <v>4680115882096</v>
      </c>
      <c r="E533" s="65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55"/>
      <c r="R533" s="655"/>
      <c r="S533" s="655"/>
      <c r="T533" s="65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IFERROR(X527/H527,"0")+IFERROR(X528/H528,"0")+IFERROR(X529/H529,"0")+IFERROR(X530/H530,"0")+IFERROR(X531/H531,"0")+IFERROR(X532/H532,"0")+IFERROR(X533/H533,"0")</f>
        <v>47.348484848484844</v>
      </c>
      <c r="Y534" s="43">
        <f>IFERROR(Y527/H527,"0")+IFERROR(Y528/H528,"0")+IFERROR(Y529/H529,"0")+IFERROR(Y530/H530,"0")+IFERROR(Y531/H531,"0")+IFERROR(Y532/H532,"0")+IFERROR(Y533/H533,"0")</f>
        <v>48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0.57407999999999992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IFERROR(SUM(X527:X533),"0")</f>
        <v>250</v>
      </c>
      <c r="Y535" s="43">
        <f>IFERROR(SUM(Y527:Y533),"0")</f>
        <v>253.44</v>
      </c>
      <c r="Z535" s="42"/>
      <c r="AA535" s="67"/>
      <c r="AB535" s="67"/>
      <c r="AC535" s="67"/>
    </row>
    <row r="536" spans="1:68" ht="27.75" hidden="1" customHeight="1" x14ac:dyDescent="0.2">
      <c r="A536" s="666" t="s">
        <v>850</v>
      </c>
      <c r="B536" s="666"/>
      <c r="C536" s="666"/>
      <c r="D536" s="666"/>
      <c r="E536" s="666"/>
      <c r="F536" s="666"/>
      <c r="G536" s="666"/>
      <c r="H536" s="666"/>
      <c r="I536" s="666"/>
      <c r="J536" s="666"/>
      <c r="K536" s="666"/>
      <c r="L536" s="666"/>
      <c r="M536" s="666"/>
      <c r="N536" s="666"/>
      <c r="O536" s="666"/>
      <c r="P536" s="666"/>
      <c r="Q536" s="666"/>
      <c r="R536" s="666"/>
      <c r="S536" s="666"/>
      <c r="T536" s="666"/>
      <c r="U536" s="666"/>
      <c r="V536" s="666"/>
      <c r="W536" s="666"/>
      <c r="X536" s="666"/>
      <c r="Y536" s="666"/>
      <c r="Z536" s="666"/>
      <c r="AA536" s="54"/>
      <c r="AB536" s="54"/>
      <c r="AC536" s="54"/>
    </row>
    <row r="537" spans="1:68" ht="16.5" hidden="1" customHeight="1" x14ac:dyDescent="0.25">
      <c r="A537" s="651" t="s">
        <v>850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5"/>
      <c r="AB537" s="65"/>
      <c r="AC537" s="79"/>
    </row>
    <row r="538" spans="1:68" ht="14.25" hidden="1" customHeight="1" x14ac:dyDescent="0.25">
      <c r="A538" s="652" t="s">
        <v>130</v>
      </c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2"/>
      <c r="P538" s="652"/>
      <c r="Q538" s="652"/>
      <c r="R538" s="652"/>
      <c r="S538" s="652"/>
      <c r="T538" s="652"/>
      <c r="U538" s="652"/>
      <c r="V538" s="652"/>
      <c r="W538" s="652"/>
      <c r="X538" s="652"/>
      <c r="Y538" s="652"/>
      <c r="Z538" s="652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653">
        <v>4680115889736</v>
      </c>
      <c r="E539" s="65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55"/>
      <c r="R539" s="655"/>
      <c r="S539" s="655"/>
      <c r="T539" s="65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49"/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50"/>
      <c r="P540" s="646" t="s">
        <v>40</v>
      </c>
      <c r="Q540" s="647"/>
      <c r="R540" s="647"/>
      <c r="S540" s="647"/>
      <c r="T540" s="647"/>
      <c r="U540" s="647"/>
      <c r="V540" s="64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49"/>
      <c r="B541" s="649"/>
      <c r="C541" s="649"/>
      <c r="D541" s="649"/>
      <c r="E541" s="649"/>
      <c r="F541" s="649"/>
      <c r="G541" s="649"/>
      <c r="H541" s="649"/>
      <c r="I541" s="649"/>
      <c r="J541" s="649"/>
      <c r="K541" s="649"/>
      <c r="L541" s="649"/>
      <c r="M541" s="649"/>
      <c r="N541" s="649"/>
      <c r="O541" s="650"/>
      <c r="P541" s="646" t="s">
        <v>40</v>
      </c>
      <c r="Q541" s="647"/>
      <c r="R541" s="647"/>
      <c r="S541" s="647"/>
      <c r="T541" s="647"/>
      <c r="U541" s="647"/>
      <c r="V541" s="64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52" t="s">
        <v>165</v>
      </c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2"/>
      <c r="P542" s="652"/>
      <c r="Q542" s="652"/>
      <c r="R542" s="652"/>
      <c r="S542" s="652"/>
      <c r="T542" s="652"/>
      <c r="U542" s="652"/>
      <c r="V542" s="652"/>
      <c r="W542" s="652"/>
      <c r="X542" s="652"/>
      <c r="Y542" s="652"/>
      <c r="Z542" s="652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653">
        <v>4680115889781</v>
      </c>
      <c r="E543" s="65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55"/>
      <c r="R543" s="655"/>
      <c r="S543" s="655"/>
      <c r="T543" s="65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9"/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50"/>
      <c r="P544" s="646" t="s">
        <v>40</v>
      </c>
      <c r="Q544" s="647"/>
      <c r="R544" s="647"/>
      <c r="S544" s="647"/>
      <c r="T544" s="647"/>
      <c r="U544" s="647"/>
      <c r="V544" s="64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49"/>
      <c r="B545" s="649"/>
      <c r="C545" s="649"/>
      <c r="D545" s="649"/>
      <c r="E545" s="649"/>
      <c r="F545" s="649"/>
      <c r="G545" s="649"/>
      <c r="H545" s="649"/>
      <c r="I545" s="649"/>
      <c r="J545" s="649"/>
      <c r="K545" s="649"/>
      <c r="L545" s="649"/>
      <c r="M545" s="649"/>
      <c r="N545" s="649"/>
      <c r="O545" s="650"/>
      <c r="P545" s="646" t="s">
        <v>40</v>
      </c>
      <c r="Q545" s="647"/>
      <c r="R545" s="647"/>
      <c r="S545" s="647"/>
      <c r="T545" s="647"/>
      <c r="U545" s="647"/>
      <c r="V545" s="64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52" t="s">
        <v>77</v>
      </c>
      <c r="B546" s="652"/>
      <c r="C546" s="652"/>
      <c r="D546" s="652"/>
      <c r="E546" s="652"/>
      <c r="F546" s="652"/>
      <c r="G546" s="652"/>
      <c r="H546" s="652"/>
      <c r="I546" s="652"/>
      <c r="J546" s="652"/>
      <c r="K546" s="652"/>
      <c r="L546" s="652"/>
      <c r="M546" s="652"/>
      <c r="N546" s="652"/>
      <c r="O546" s="652"/>
      <c r="P546" s="652"/>
      <c r="Q546" s="652"/>
      <c r="R546" s="652"/>
      <c r="S546" s="652"/>
      <c r="T546" s="652"/>
      <c r="U546" s="652"/>
      <c r="V546" s="652"/>
      <c r="W546" s="652"/>
      <c r="X546" s="652"/>
      <c r="Y546" s="652"/>
      <c r="Z546" s="652"/>
      <c r="AA546" s="66"/>
      <c r="AB546" s="66"/>
      <c r="AC546" s="80"/>
    </row>
    <row r="547" spans="1:68" ht="27" hidden="1" customHeight="1" x14ac:dyDescent="0.25">
      <c r="A547" s="63" t="s">
        <v>856</v>
      </c>
      <c r="B547" s="63" t="s">
        <v>857</v>
      </c>
      <c r="C547" s="36">
        <v>4301031523</v>
      </c>
      <c r="D547" s="653">
        <v>4680115889774</v>
      </c>
      <c r="E547" s="65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6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55"/>
      <c r="R547" s="655"/>
      <c r="S547" s="655"/>
      <c r="T547" s="65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49"/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50"/>
      <c r="P549" s="646" t="s">
        <v>40</v>
      </c>
      <c r="Q549" s="647"/>
      <c r="R549" s="647"/>
      <c r="S549" s="647"/>
      <c r="T549" s="647"/>
      <c r="U549" s="647"/>
      <c r="V549" s="64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52" t="s">
        <v>83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6"/>
      <c r="AB550" s="66"/>
      <c r="AC550" s="80"/>
    </row>
    <row r="551" spans="1:68" ht="27" hidden="1" customHeight="1" x14ac:dyDescent="0.25">
      <c r="A551" s="63" t="s">
        <v>859</v>
      </c>
      <c r="B551" s="63" t="s">
        <v>860</v>
      </c>
      <c r="C551" s="36">
        <v>4301052282</v>
      </c>
      <c r="D551" s="653">
        <v>4680115889811</v>
      </c>
      <c r="E551" s="65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66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55"/>
      <c r="R551" s="655"/>
      <c r="S551" s="655"/>
      <c r="T551" s="65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52" t="s">
        <v>183</v>
      </c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652"/>
      <c r="P554" s="652"/>
      <c r="Q554" s="652"/>
      <c r="R554" s="652"/>
      <c r="S554" s="652"/>
      <c r="T554" s="652"/>
      <c r="U554" s="652"/>
      <c r="V554" s="652"/>
      <c r="W554" s="652"/>
      <c r="X554" s="652"/>
      <c r="Y554" s="652"/>
      <c r="Z554" s="652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653">
        <v>4680115889804</v>
      </c>
      <c r="E555" s="65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66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653">
        <v>4680115889828</v>
      </c>
      <c r="E556" s="65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55"/>
      <c r="R556" s="655"/>
      <c r="S556" s="655"/>
      <c r="T556" s="65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0"/>
      <c r="P557" s="646" t="s">
        <v>40</v>
      </c>
      <c r="Q557" s="647"/>
      <c r="R557" s="647"/>
      <c r="S557" s="647"/>
      <c r="T557" s="647"/>
      <c r="U557" s="647"/>
      <c r="V557" s="64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0"/>
      <c r="P558" s="646" t="s">
        <v>40</v>
      </c>
      <c r="Q558" s="647"/>
      <c r="R558" s="647"/>
      <c r="S558" s="647"/>
      <c r="T558" s="647"/>
      <c r="U558" s="647"/>
      <c r="V558" s="64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51" t="s">
        <v>868</v>
      </c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1"/>
      <c r="P559" s="651"/>
      <c r="Q559" s="651"/>
      <c r="R559" s="651"/>
      <c r="S559" s="651"/>
      <c r="T559" s="651"/>
      <c r="U559" s="651"/>
      <c r="V559" s="651"/>
      <c r="W559" s="651"/>
      <c r="X559" s="651"/>
      <c r="Y559" s="651"/>
      <c r="Z559" s="651"/>
      <c r="AA559" s="65"/>
      <c r="AB559" s="65"/>
      <c r="AC559" s="79"/>
    </row>
    <row r="560" spans="1:68" ht="14.25" hidden="1" customHeight="1" x14ac:dyDescent="0.25">
      <c r="A560" s="652" t="s">
        <v>165</v>
      </c>
      <c r="B560" s="652"/>
      <c r="C560" s="652"/>
      <c r="D560" s="652"/>
      <c r="E560" s="652"/>
      <c r="F560" s="652"/>
      <c r="G560" s="652"/>
      <c r="H560" s="652"/>
      <c r="I560" s="652"/>
      <c r="J560" s="652"/>
      <c r="K560" s="652"/>
      <c r="L560" s="652"/>
      <c r="M560" s="652"/>
      <c r="N560" s="652"/>
      <c r="O560" s="652"/>
      <c r="P560" s="652"/>
      <c r="Q560" s="652"/>
      <c r="R560" s="652"/>
      <c r="S560" s="652"/>
      <c r="T560" s="652"/>
      <c r="U560" s="652"/>
      <c r="V560" s="652"/>
      <c r="W560" s="652"/>
      <c r="X560" s="652"/>
      <c r="Y560" s="652"/>
      <c r="Z560" s="652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653">
        <v>4680115889798</v>
      </c>
      <c r="E561" s="65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6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55"/>
      <c r="R561" s="655"/>
      <c r="S561" s="655"/>
      <c r="T561" s="65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49"/>
      <c r="B562" s="649"/>
      <c r="C562" s="649"/>
      <c r="D562" s="649"/>
      <c r="E562" s="649"/>
      <c r="F562" s="649"/>
      <c r="G562" s="649"/>
      <c r="H562" s="649"/>
      <c r="I562" s="649"/>
      <c r="J562" s="649"/>
      <c r="K562" s="649"/>
      <c r="L562" s="649"/>
      <c r="M562" s="649"/>
      <c r="N562" s="649"/>
      <c r="O562" s="650"/>
      <c r="P562" s="646" t="s">
        <v>40</v>
      </c>
      <c r="Q562" s="647"/>
      <c r="R562" s="647"/>
      <c r="S562" s="647"/>
      <c r="T562" s="647"/>
      <c r="U562" s="647"/>
      <c r="V562" s="64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49"/>
      <c r="B563" s="649"/>
      <c r="C563" s="649"/>
      <c r="D563" s="649"/>
      <c r="E563" s="649"/>
      <c r="F563" s="649"/>
      <c r="G563" s="649"/>
      <c r="H563" s="649"/>
      <c r="I563" s="649"/>
      <c r="J563" s="649"/>
      <c r="K563" s="649"/>
      <c r="L563" s="649"/>
      <c r="M563" s="649"/>
      <c r="N563" s="649"/>
      <c r="O563" s="650"/>
      <c r="P563" s="646" t="s">
        <v>40</v>
      </c>
      <c r="Q563" s="647"/>
      <c r="R563" s="647"/>
      <c r="S563" s="647"/>
      <c r="T563" s="647"/>
      <c r="U563" s="647"/>
      <c r="V563" s="64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49"/>
      <c r="B564" s="649"/>
      <c r="C564" s="649"/>
      <c r="D564" s="649"/>
      <c r="E564" s="649"/>
      <c r="F564" s="649"/>
      <c r="G564" s="649"/>
      <c r="H564" s="649"/>
      <c r="I564" s="649"/>
      <c r="J564" s="649"/>
      <c r="K564" s="649"/>
      <c r="L564" s="649"/>
      <c r="M564" s="649"/>
      <c r="N564" s="649"/>
      <c r="O564" s="660"/>
      <c r="P564" s="657" t="s">
        <v>33</v>
      </c>
      <c r="Q564" s="658"/>
      <c r="R564" s="658"/>
      <c r="S564" s="658"/>
      <c r="T564" s="658"/>
      <c r="U564" s="658"/>
      <c r="V564" s="659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4296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4320.4799999999996</v>
      </c>
      <c r="Z564" s="42"/>
      <c r="AA564" s="67"/>
      <c r="AB564" s="67"/>
      <c r="AC564" s="67"/>
    </row>
    <row r="565" spans="1:68" x14ac:dyDescent="0.2">
      <c r="A565" s="649"/>
      <c r="B565" s="649"/>
      <c r="C565" s="649"/>
      <c r="D565" s="649"/>
      <c r="E565" s="649"/>
      <c r="F565" s="649"/>
      <c r="G565" s="649"/>
      <c r="H565" s="649"/>
      <c r="I565" s="649"/>
      <c r="J565" s="649"/>
      <c r="K565" s="649"/>
      <c r="L565" s="649"/>
      <c r="M565" s="649"/>
      <c r="N565" s="649"/>
      <c r="O565" s="660"/>
      <c r="P565" s="657" t="s">
        <v>34</v>
      </c>
      <c r="Q565" s="658"/>
      <c r="R565" s="658"/>
      <c r="S565" s="658"/>
      <c r="T565" s="658"/>
      <c r="U565" s="658"/>
      <c r="V565" s="659"/>
      <c r="W565" s="42" t="s">
        <v>0</v>
      </c>
      <c r="X565" s="43">
        <f>IFERROR(SUM(BM22:BM561),"0")</f>
        <v>4453.7783838383848</v>
      </c>
      <c r="Y565" s="43">
        <f>IFERROR(SUM(BN22:BN561),"0")</f>
        <v>4479.3860000000013</v>
      </c>
      <c r="Z565" s="42"/>
      <c r="AA565" s="67"/>
      <c r="AB565" s="67"/>
      <c r="AC565" s="67"/>
    </row>
    <row r="566" spans="1:68" x14ac:dyDescent="0.2">
      <c r="A566" s="649"/>
      <c r="B566" s="649"/>
      <c r="C566" s="649"/>
      <c r="D566" s="649"/>
      <c r="E566" s="649"/>
      <c r="F566" s="649"/>
      <c r="G566" s="649"/>
      <c r="H566" s="649"/>
      <c r="I566" s="649"/>
      <c r="J566" s="649"/>
      <c r="K566" s="649"/>
      <c r="L566" s="649"/>
      <c r="M566" s="649"/>
      <c r="N566" s="649"/>
      <c r="O566" s="660"/>
      <c r="P566" s="657" t="s">
        <v>35</v>
      </c>
      <c r="Q566" s="658"/>
      <c r="R566" s="658"/>
      <c r="S566" s="658"/>
      <c r="T566" s="658"/>
      <c r="U566" s="658"/>
      <c r="V566" s="659"/>
      <c r="W566" s="42" t="s">
        <v>20</v>
      </c>
      <c r="X566" s="44">
        <f>ROUNDUP(SUM(BO22:BO561),0)</f>
        <v>7</v>
      </c>
      <c r="Y566" s="44">
        <f>ROUNDUP(SUM(BP22:BP561),0)</f>
        <v>7</v>
      </c>
      <c r="Z566" s="42"/>
      <c r="AA566" s="67"/>
      <c r="AB566" s="67"/>
      <c r="AC566" s="67"/>
    </row>
    <row r="567" spans="1:68" x14ac:dyDescent="0.2">
      <c r="A567" s="649"/>
      <c r="B567" s="649"/>
      <c r="C567" s="649"/>
      <c r="D567" s="649"/>
      <c r="E567" s="649"/>
      <c r="F567" s="649"/>
      <c r="G567" s="649"/>
      <c r="H567" s="649"/>
      <c r="I567" s="649"/>
      <c r="J567" s="649"/>
      <c r="K567" s="649"/>
      <c r="L567" s="649"/>
      <c r="M567" s="649"/>
      <c r="N567" s="649"/>
      <c r="O567" s="660"/>
      <c r="P567" s="657" t="s">
        <v>36</v>
      </c>
      <c r="Q567" s="658"/>
      <c r="R567" s="658"/>
      <c r="S567" s="658"/>
      <c r="T567" s="658"/>
      <c r="U567" s="658"/>
      <c r="V567" s="659"/>
      <c r="W567" s="42" t="s">
        <v>0</v>
      </c>
      <c r="X567" s="43">
        <f>GrossWeightTotal+PalletQtyTotal*25</f>
        <v>4628.7783838383848</v>
      </c>
      <c r="Y567" s="43">
        <f>GrossWeightTotalR+PalletQtyTotalR*25</f>
        <v>4654.3860000000013</v>
      </c>
      <c r="Z567" s="42"/>
      <c r="AA567" s="67"/>
      <c r="AB567" s="67"/>
      <c r="AC567" s="67"/>
    </row>
    <row r="568" spans="1:68" x14ac:dyDescent="0.2">
      <c r="A568" s="649"/>
      <c r="B568" s="649"/>
      <c r="C568" s="649"/>
      <c r="D568" s="649"/>
      <c r="E568" s="649"/>
      <c r="F568" s="649"/>
      <c r="G568" s="649"/>
      <c r="H568" s="649"/>
      <c r="I568" s="649"/>
      <c r="J568" s="649"/>
      <c r="K568" s="649"/>
      <c r="L568" s="649"/>
      <c r="M568" s="649"/>
      <c r="N568" s="649"/>
      <c r="O568" s="660"/>
      <c r="P568" s="657" t="s">
        <v>37</v>
      </c>
      <c r="Q568" s="658"/>
      <c r="R568" s="658"/>
      <c r="S568" s="658"/>
      <c r="T568" s="658"/>
      <c r="U568" s="658"/>
      <c r="V568" s="659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398.07792207792215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401</v>
      </c>
      <c r="Z568" s="42"/>
      <c r="AA568" s="67"/>
      <c r="AB568" s="67"/>
      <c r="AC568" s="67"/>
    </row>
    <row r="569" spans="1:68" ht="14.25" hidden="1" x14ac:dyDescent="0.2">
      <c r="A569" s="649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649"/>
      <c r="O569" s="660"/>
      <c r="P569" s="657" t="s">
        <v>38</v>
      </c>
      <c r="Q569" s="658"/>
      <c r="R569" s="658"/>
      <c r="S569" s="658"/>
      <c r="T569" s="658"/>
      <c r="U569" s="658"/>
      <c r="V569" s="659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6.8877199999999998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42" t="s">
        <v>128</v>
      </c>
      <c r="E571" s="642" t="s">
        <v>128</v>
      </c>
      <c r="F571" s="642" t="s">
        <v>128</v>
      </c>
      <c r="G571" s="642" t="s">
        <v>128</v>
      </c>
      <c r="H571" s="642" t="s">
        <v>128</v>
      </c>
      <c r="I571" s="642" t="s">
        <v>128</v>
      </c>
      <c r="J571" s="642" t="s">
        <v>128</v>
      </c>
      <c r="K571" s="642" t="s">
        <v>343</v>
      </c>
      <c r="L571" s="642" t="s">
        <v>343</v>
      </c>
      <c r="M571" s="642" t="s">
        <v>343</v>
      </c>
      <c r="N571" s="643"/>
      <c r="O571" s="642" t="s">
        <v>343</v>
      </c>
      <c r="P571" s="642" t="s">
        <v>343</v>
      </c>
      <c r="Q571" s="642" t="s">
        <v>343</v>
      </c>
      <c r="R571" s="642" t="s">
        <v>343</v>
      </c>
      <c r="S571" s="642" t="s">
        <v>343</v>
      </c>
      <c r="T571" s="642" t="s">
        <v>343</v>
      </c>
      <c r="U571" s="642" t="s">
        <v>343</v>
      </c>
      <c r="V571" s="642" t="s">
        <v>343</v>
      </c>
      <c r="W571" s="642" t="s">
        <v>343</v>
      </c>
      <c r="X571" s="642" t="s">
        <v>707</v>
      </c>
      <c r="Y571" s="642" t="s">
        <v>707</v>
      </c>
      <c r="Z571" s="642" t="s">
        <v>773</v>
      </c>
      <c r="AA571" s="642" t="s">
        <v>773</v>
      </c>
      <c r="AB571" s="85" t="s">
        <v>806</v>
      </c>
      <c r="AC571" s="642" t="s">
        <v>850</v>
      </c>
      <c r="AD571" s="642" t="s">
        <v>850</v>
      </c>
      <c r="AF571" s="1"/>
    </row>
    <row r="572" spans="1:68" ht="14.25" customHeight="1" thickTop="1" x14ac:dyDescent="0.2">
      <c r="A572" s="644" t="s">
        <v>10</v>
      </c>
      <c r="B572" s="642" t="s">
        <v>76</v>
      </c>
      <c r="C572" s="642" t="s">
        <v>112</v>
      </c>
      <c r="D572" s="642" t="s">
        <v>129</v>
      </c>
      <c r="E572" s="642" t="s">
        <v>145</v>
      </c>
      <c r="F572" s="642" t="s">
        <v>191</v>
      </c>
      <c r="G572" s="642" t="s">
        <v>215</v>
      </c>
      <c r="H572" s="642" t="s">
        <v>257</v>
      </c>
      <c r="I572" s="642" t="s">
        <v>270</v>
      </c>
      <c r="J572" s="642" t="s">
        <v>128</v>
      </c>
      <c r="K572" s="642" t="s">
        <v>344</v>
      </c>
      <c r="L572" s="642" t="s">
        <v>365</v>
      </c>
      <c r="M572" s="642" t="s">
        <v>429</v>
      </c>
      <c r="N572" s="1"/>
      <c r="O572" s="642" t="s">
        <v>495</v>
      </c>
      <c r="P572" s="642" t="s">
        <v>530</v>
      </c>
      <c r="Q572" s="642" t="s">
        <v>552</v>
      </c>
      <c r="R572" s="642" t="s">
        <v>561</v>
      </c>
      <c r="S572" s="642" t="s">
        <v>583</v>
      </c>
      <c r="T572" s="642" t="s">
        <v>590</v>
      </c>
      <c r="U572" s="642" t="s">
        <v>599</v>
      </c>
      <c r="V572" s="642" t="s">
        <v>685</v>
      </c>
      <c r="W572" s="642" t="s">
        <v>697</v>
      </c>
      <c r="X572" s="642" t="s">
        <v>708</v>
      </c>
      <c r="Y572" s="642" t="s">
        <v>757</v>
      </c>
      <c r="Z572" s="642" t="s">
        <v>774</v>
      </c>
      <c r="AA572" s="642" t="s">
        <v>794</v>
      </c>
      <c r="AB572" s="642" t="s">
        <v>806</v>
      </c>
      <c r="AC572" s="642" t="s">
        <v>850</v>
      </c>
      <c r="AD572" s="642" t="s">
        <v>868</v>
      </c>
      <c r="AF572" s="1"/>
    </row>
    <row r="573" spans="1:68" ht="13.5" thickBot="1" x14ac:dyDescent="0.25">
      <c r="A573" s="645"/>
      <c r="B573" s="642"/>
      <c r="C573" s="642"/>
      <c r="D573" s="642"/>
      <c r="E573" s="642"/>
      <c r="F573" s="642"/>
      <c r="G573" s="642"/>
      <c r="H573" s="642"/>
      <c r="I573" s="642"/>
      <c r="J573" s="642"/>
      <c r="K573" s="642"/>
      <c r="L573" s="642"/>
      <c r="M573" s="642"/>
      <c r="N573" s="1"/>
      <c r="O573" s="642"/>
      <c r="P573" s="642"/>
      <c r="Q573" s="642"/>
      <c r="R573" s="642"/>
      <c r="S573" s="642"/>
      <c r="T573" s="642"/>
      <c r="U573" s="642"/>
      <c r="V573" s="642"/>
      <c r="W573" s="642"/>
      <c r="X573" s="642"/>
      <c r="Y573" s="642"/>
      <c r="Z573" s="642"/>
      <c r="AA573" s="642"/>
      <c r="AB573" s="642"/>
      <c r="AC573" s="642"/>
      <c r="AD573" s="642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24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4" s="52">
        <f>IFERROR(Y89*1,"0")+IFERROR(Y90*1,"0")+IFERROR(Y91*1,"0")+IFERROR(Y92*1,"0")+IFERROR(Y93*1,"0")+IFERROR(Y94*1,"0")+IFERROR(Y98*1,"0")+IFERROR(Y99*1,"0")+IFERROR(Y100*1,"0")+IFERROR(Y101*1,"0")</f>
        <v>0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54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0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100.80000000000001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32.4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50.400000000000006</v>
      </c>
      <c r="V574" s="52">
        <f>IFERROR(Y422*1,"0")+IFERROR(Y423*1,"0")+IFERROR(Y424*1,"0")+IFERROR(Y425*1,"0")</f>
        <v>0</v>
      </c>
      <c r="W574" s="52">
        <f>IFERROR(Y430*1,"0")+IFERROR(Y431*1,"0")+IFERROR(Y432*1,"0")</f>
        <v>0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3510</v>
      </c>
      <c r="Y574" s="52">
        <f>IFERROR(Y467*1,"0")+IFERROR(Y468*1,"0")+IFERROR(Y472*1,"0")+IFERROR(Y476*1,"0")+IFERROR(Y477*1,"0")+IFERROR(Y478*1,"0")</f>
        <v>0</v>
      </c>
      <c r="Z574" s="52">
        <f>IFERROR(Y484*1,"0")+IFERROR(Y485*1,"0")+IFERROR(Y486*1,"0")+IFERROR(Y487*1,"0")+IFERROR(Y488*1,"0")+IFERROR(Y489*1,"0")+IFERROR(Y493*1,"0")</f>
        <v>21</v>
      </c>
      <c r="AA574" s="52">
        <f>IFERROR(Y498*1,"0")+IFERROR(Y502*1,"0")+IFERROR(Y503*1,"0")+IFERROR(Y504*1,"0")</f>
        <v>21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506.88000000000005</v>
      </c>
      <c r="AC574" s="52">
        <f>IFERROR(Y539*1,"0")+IFERROR(Y543*1,"0")+IFERROR(Y547*1,"0")+IFERROR(Y551*1,"0")+IFERROR(Y555*1,"0")+IFERROR(Y556*1,"0")</f>
        <v>0</v>
      </c>
      <c r="AD574" s="52">
        <f>IFERROR(Y561*1,"0")</f>
        <v>0</v>
      </c>
      <c r="AF574" s="1"/>
    </row>
  </sheetData>
  <sheetProtection algorithmName="SHA-512" hashValue="zvKUUEHE2epl7VGg+gJaqls0s9pgrDU/TLbQit9G7PDnaWwS/uHymQgUE2bAHa/1IjuASmoQ4Fjyqblg0rMzOg==" saltValue="dTCyeGYkpUVcHpc0eREO4w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0,00"/>
        <filter val="100,00"/>
        <filter val="11,90"/>
        <filter val="150,00"/>
        <filter val="200,00"/>
        <filter val="21,00"/>
        <filter val="23,81"/>
        <filter val="233,33"/>
        <filter val="24,00"/>
        <filter val="250,00"/>
        <filter val="3 500,00"/>
        <filter val="3,70"/>
        <filter val="30,00"/>
        <filter val="398,08"/>
        <filter val="4 296,00"/>
        <filter val="4 453,78"/>
        <filter val="4 628,78"/>
        <filter val="4,63"/>
        <filter val="47,35"/>
        <filter val="50,00"/>
        <filter val="6,00"/>
        <filter val="7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9" spans="2:8" x14ac:dyDescent="0.2">
      <c r="B9" s="53" t="s">
        <v>881</v>
      </c>
      <c r="C9" s="53" t="s">
        <v>876</v>
      </c>
      <c r="D9" s="53" t="s">
        <v>46</v>
      </c>
      <c r="E9" s="53" t="s">
        <v>46</v>
      </c>
    </row>
    <row r="11" spans="2:8" x14ac:dyDescent="0.2">
      <c r="B11" s="53" t="s">
        <v>881</v>
      </c>
      <c r="C11" s="53" t="s">
        <v>879</v>
      </c>
      <c r="D11" s="53" t="s">
        <v>46</v>
      </c>
      <c r="E11" s="53" t="s">
        <v>46</v>
      </c>
    </row>
    <row r="13" spans="2:8" x14ac:dyDescent="0.2">
      <c r="B13" s="53" t="s">
        <v>882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883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884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892</v>
      </c>
      <c r="C23" s="53" t="s">
        <v>46</v>
      </c>
      <c r="D23" s="53" t="s">
        <v>46</v>
      </c>
      <c r="E23" s="53" t="s">
        <v>46</v>
      </c>
    </row>
  </sheetData>
  <sheetProtection algorithmName="SHA-512" hashValue="5wCV3X4BCIT4sAh/ctPQbd89w8lNHG+V857pldeEQADYJnVQBaUc6Ihm444Tj+OxeF4CWuya6mj/GtOwGYR5mg==" saltValue="mPeoctbfoVhL1K5IbDJo4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1155</vt:i4>
      </vt:variant>
    </vt:vector>
  </HeadingPairs>
  <TitlesOfParts>
    <vt:vector size="115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2026-10-20T06:33:34Z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