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999B289-813B-46C6-B0E6-3C4000AE2D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Y216" i="1" s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47" i="1"/>
  <c r="Y74" i="1"/>
  <c r="Y80" i="1"/>
  <c r="Y86" i="1"/>
  <c r="Y143" i="1"/>
  <c r="Y159" i="1"/>
  <c r="BP158" i="1"/>
  <c r="BN158" i="1"/>
  <c r="Z158" i="1"/>
  <c r="Z159" i="1" s="1"/>
  <c r="J574" i="1"/>
  <c r="Y168" i="1"/>
  <c r="BP163" i="1"/>
  <c r="BN163" i="1"/>
  <c r="Z163" i="1"/>
  <c r="BP171" i="1"/>
  <c r="BN171" i="1"/>
  <c r="Z171" i="1"/>
  <c r="Z172" i="1" s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BP222" i="1"/>
  <c r="BN222" i="1"/>
  <c r="Z222" i="1"/>
  <c r="BP226" i="1"/>
  <c r="BN226" i="1"/>
  <c r="Z226" i="1"/>
  <c r="BP230" i="1"/>
  <c r="BN230" i="1"/>
  <c r="Z230" i="1"/>
  <c r="BP323" i="1"/>
  <c r="BN323" i="1"/>
  <c r="Z323" i="1"/>
  <c r="Y335" i="1"/>
  <c r="BP332" i="1"/>
  <c r="BN332" i="1"/>
  <c r="Z332" i="1"/>
  <c r="Y336" i="1"/>
  <c r="BP372" i="1"/>
  <c r="BN372" i="1"/>
  <c r="Z372" i="1"/>
  <c r="BP380" i="1"/>
  <c r="BN380" i="1"/>
  <c r="Z380" i="1"/>
  <c r="Y386" i="1"/>
  <c r="BP416" i="1"/>
  <c r="BN416" i="1"/>
  <c r="Z416" i="1"/>
  <c r="Z418" i="1" s="1"/>
  <c r="Y418" i="1"/>
  <c r="BP462" i="1"/>
  <c r="BN462" i="1"/>
  <c r="Z462" i="1"/>
  <c r="Z463" i="1" s="1"/>
  <c r="Y464" i="1"/>
  <c r="Y31" i="1"/>
  <c r="Y37" i="1"/>
  <c r="Y55" i="1"/>
  <c r="Y68" i="1"/>
  <c r="Y95" i="1"/>
  <c r="Y103" i="1"/>
  <c r="Y114" i="1"/>
  <c r="Y120" i="1"/>
  <c r="Y128" i="1"/>
  <c r="Y132" i="1"/>
  <c r="Y137" i="1"/>
  <c r="Y148" i="1"/>
  <c r="BP145" i="1"/>
  <c r="BP154" i="1"/>
  <c r="BN154" i="1"/>
  <c r="Z154" i="1"/>
  <c r="Y156" i="1"/>
  <c r="Y160" i="1"/>
  <c r="Y167" i="1"/>
  <c r="Y173" i="1"/>
  <c r="L574" i="1"/>
  <c r="Y215" i="1"/>
  <c r="BP214" i="1"/>
  <c r="BN214" i="1"/>
  <c r="Z214" i="1"/>
  <c r="Z215" i="1" s="1"/>
  <c r="Y233" i="1"/>
  <c r="BP218" i="1"/>
  <c r="BN218" i="1"/>
  <c r="Z218" i="1"/>
  <c r="BP238" i="1"/>
  <c r="BN238" i="1"/>
  <c r="Z238" i="1"/>
  <c r="BP255" i="1"/>
  <c r="BN255" i="1"/>
  <c r="Z255" i="1"/>
  <c r="Z256" i="1" s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7" i="1"/>
  <c r="BN327" i="1"/>
  <c r="Z327" i="1"/>
  <c r="Y329" i="1"/>
  <c r="BP341" i="1"/>
  <c r="BN341" i="1"/>
  <c r="Z341" i="1"/>
  <c r="Y376" i="1"/>
  <c r="BP384" i="1"/>
  <c r="BN384" i="1"/>
  <c r="Z38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72" i="1" l="1"/>
  <c r="Z102" i="1"/>
  <c r="Y566" i="1"/>
  <c r="Z31" i="1"/>
  <c r="Y568" i="1"/>
  <c r="Z386" i="1"/>
  <c r="Z518" i="1"/>
  <c r="Z433" i="1"/>
  <c r="Z490" i="1"/>
  <c r="Z343" i="1"/>
  <c r="Z317" i="1"/>
  <c r="Z302" i="1"/>
  <c r="Z365" i="1"/>
  <c r="Z291" i="1"/>
  <c r="Z127" i="1"/>
  <c r="Z67" i="1"/>
  <c r="Y565" i="1"/>
  <c r="Y567" i="1"/>
  <c r="Z426" i="1"/>
  <c r="Z505" i="1"/>
  <c r="Z328" i="1"/>
  <c r="Z286" i="1"/>
  <c r="Z399" i="1"/>
  <c r="Z210" i="1"/>
  <c r="Z85" i="1"/>
  <c r="Y564" i="1"/>
  <c r="Z232" i="1"/>
  <c r="Z185" i="1"/>
  <c r="Z446" i="1"/>
  <c r="X567" i="1"/>
  <c r="Z335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<sst xmlns="http://schemas.openxmlformats.org/spreadsheetml/2006/main" count="2536" uniqueCount="916">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</sst>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0</v>
      </c>
      <c r="Y51" s="634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0</v>
      </c>
      <c r="Y55" s="635">
        <f>IFERROR(Y51/H51,"0")+IFERROR(Y52/H52,"0")+IFERROR(Y53/H53,"0")+IFERROR(Y54/H54,"0")</f>
        <v>0</v>
      </c>
      <c r="Z55" s="635">
        <f>IFERROR(IF(Z51="",0,Z51),"0")+IFERROR(IF(Z52="",0,Z52),"0")+IFERROR(IF(Z53="",0,Z53),"0")+IFERROR(IF(Z54="",0,Z54),"0")</f>
        <v>0</v>
      </c>
      <c r="AA55" s="636"/>
      <c r="AB55" s="636"/>
      <c r="AC55" s="636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0</v>
      </c>
      <c r="Y56" s="635">
        <f>IFERROR(SUM(Y51:Y54),"0")</f>
        <v>0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24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25.013333333333335</v>
      </c>
      <c r="BN66" s="64">
        <f t="shared" si="2"/>
        <v>28.14</v>
      </c>
      <c r="BO66" s="64">
        <f t="shared" si="3"/>
        <v>4.0404040404040401E-2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5.333333333333333</v>
      </c>
      <c r="Y67" s="635">
        <f>IFERROR(Y59/H59,"0")+IFERROR(Y60/H60,"0")+IFERROR(Y61/H61,"0")+IFERROR(Y62/H62,"0")+IFERROR(Y63/H63,"0")+IFERROR(Y64/H64,"0")+IFERROR(Y65/H65,"0")+IFERROR(Y66/H66,"0")</f>
        <v>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24</v>
      </c>
      <c r="Y68" s="635">
        <f>IFERROR(SUM(Y59:Y66),"0")</f>
        <v>27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364</v>
      </c>
      <c r="Y98" s="634">
        <f>IFERROR(IF(X98="",0,CEILING((X98/$H98),1)*$H98),"")</f>
        <v>364.5</v>
      </c>
      <c r="Z98" s="36">
        <f>IFERROR(IF(Y98=0,"",ROUNDUP(Y98/H98,0)*0.01898),"")</f>
        <v>0.85409999999999997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386.19950617283951</v>
      </c>
      <c r="BN98" s="64">
        <f>IFERROR(Y98*I98/H98,"0")</f>
        <v>386.73</v>
      </c>
      <c r="BO98" s="64">
        <f>IFERROR(1/J98*(X98/H98),"0")</f>
        <v>0.7021604938271605</v>
      </c>
      <c r="BP98" s="64">
        <f>IFERROR(1/J98*(Y98/H98),"0")</f>
        <v>0.703125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88</v>
      </c>
      <c r="Y100" s="634">
        <f>IFERROR(IF(X100="",0,CEILING((X100/$H100),1)*$H100),"")</f>
        <v>89.100000000000009</v>
      </c>
      <c r="Z100" s="36">
        <f>IFERROR(IF(Y100=0,"",ROUNDUP(Y100/H100,0)*0.00651),"")</f>
        <v>0.21482999999999999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96.213333333333324</v>
      </c>
      <c r="BN100" s="64">
        <f>IFERROR(Y100*I100/H100,"0")</f>
        <v>97.416000000000011</v>
      </c>
      <c r="BO100" s="64">
        <f>IFERROR(1/J100*(X100/H100),"0")</f>
        <v>0.17908017908017906</v>
      </c>
      <c r="BP100" s="64">
        <f>IFERROR(1/J100*(Y100/H100),"0")</f>
        <v>0.18131868131868134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77.53086419753086</v>
      </c>
      <c r="Y102" s="635">
        <f>IFERROR(Y98/H98,"0")+IFERROR(Y99/H99,"0")+IFERROR(Y100/H100,"0")+IFERROR(Y101/H101,"0")</f>
        <v>78</v>
      </c>
      <c r="Z102" s="635">
        <f>IFERROR(IF(Z98="",0,Z98),"0")+IFERROR(IF(Z99="",0,Z99),"0")+IFERROR(IF(Z100="",0,Z100),"0")+IFERROR(IF(Z101="",0,Z101),"0")</f>
        <v>1.0689299999999999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452</v>
      </c>
      <c r="Y103" s="635">
        <f>IFERROR(SUM(Y98:Y101),"0")</f>
        <v>453.6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0</v>
      </c>
      <c r="Y113" s="635">
        <f>IFERROR(Y106/H106,"0")+IFERROR(Y107/H107,"0")+IFERROR(Y108/H108,"0")+IFERROR(Y109/H109,"0")+IFERROR(Y110/H110,"0")+IFERROR(Y111/H111,"0")+IFERROR(Y112/H112,"0")</f>
        <v>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6"/>
      <c r="AB113" s="636"/>
      <c r="AC113" s="636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0</v>
      </c>
      <c r="Y114" s="635">
        <f>IFERROR(SUM(Y106:Y112),"0")</f>
        <v>0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hidden="1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0</v>
      </c>
      <c r="Y123" s="634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85</v>
      </c>
      <c r="Y125" s="634">
        <f>IFERROR(IF(X125="",0,CEILING((X125/$H125),1)*$H125),"")</f>
        <v>86.4</v>
      </c>
      <c r="Z125" s="36">
        <f>IFERROR(IF(Y125=0,"",ROUNDUP(Y125/H125,0)*0.00651),"")</f>
        <v>0.20832000000000001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92.933333333333323</v>
      </c>
      <c r="BN125" s="64">
        <f>IFERROR(Y125*I125/H125,"0")</f>
        <v>94.463999999999999</v>
      </c>
      <c r="BO125" s="64">
        <f>IFERROR(1/J125*(X125/H125),"0")</f>
        <v>0.17297517297517298</v>
      </c>
      <c r="BP125" s="64">
        <f>IFERROR(1/J125*(Y125/H125),"0")</f>
        <v>0.17582417582417584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31.481481481481481</v>
      </c>
      <c r="Y127" s="635">
        <f>IFERROR(Y123/H123,"0")+IFERROR(Y124/H124,"0")+IFERROR(Y125/H125,"0")+IFERROR(Y126/H126,"0")</f>
        <v>32</v>
      </c>
      <c r="Z127" s="635">
        <f>IFERROR(IF(Z123="",0,Z123),"0")+IFERROR(IF(Z124="",0,Z124),"0")+IFERROR(IF(Z125="",0,Z125),"0")+IFERROR(IF(Z126="",0,Z126),"0")</f>
        <v>0.20832000000000001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85</v>
      </c>
      <c r="Y128" s="635">
        <f>IFERROR(SUM(Y123:Y126),"0")</f>
        <v>86.4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64</v>
      </c>
      <c r="Y175" s="634">
        <f t="shared" ref="Y175:Y184" si="15">IFERROR(IF(X175="",0,CEILING((X175/$H175),1)*$H175),"")</f>
        <v>66.5</v>
      </c>
      <c r="Z175" s="36">
        <f>IFERROR(IF(Y175=0,"",ROUNDUP(Y175/H175,0)*0.00902),"")</f>
        <v>0.17138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67.474285714285713</v>
      </c>
      <c r="BN175" s="64">
        <f t="shared" ref="BN175:BN184" si="17">IFERROR(Y175*I175/H175,"0")</f>
        <v>70.11</v>
      </c>
      <c r="BO175" s="64">
        <f t="shared" ref="BO175:BO184" si="18">IFERROR(1/J175*(X175/H175),"0")</f>
        <v>0.13852813852813853</v>
      </c>
      <c r="BP175" s="64">
        <f t="shared" ref="BP175:BP184" si="19">IFERROR(1/J175*(Y175/H175),"0")</f>
        <v>0.14393939393939395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24</v>
      </c>
      <c r="Y184" s="634">
        <f t="shared" si="15"/>
        <v>25.2</v>
      </c>
      <c r="Z184" s="36">
        <f>IFERROR(IF(Y184=0,"",ROUNDUP(Y184/H184,0)*0.00502),"")</f>
        <v>7.5300000000000006E-2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25.428571428571431</v>
      </c>
      <c r="BN184" s="64">
        <f t="shared" si="17"/>
        <v>26.700000000000003</v>
      </c>
      <c r="BO184" s="64">
        <f t="shared" si="18"/>
        <v>6.1050061050061062E-2</v>
      </c>
      <c r="BP184" s="64">
        <f t="shared" si="19"/>
        <v>6.4102564102564111E-2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32.571428571428569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34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0.24668000000000001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88</v>
      </c>
      <c r="Y186" s="635">
        <f>IFERROR(SUM(Y175:Y184),"0")</f>
        <v>91.7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21</v>
      </c>
      <c r="Y223" s="634">
        <f t="shared" si="26"/>
        <v>21</v>
      </c>
      <c r="Z223" s="36">
        <f>IFERROR(IF(Y223=0,"",ROUNDUP(Y223/H223,0)*0.00502),"")</f>
        <v>5.0200000000000002E-2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22.299999999999997</v>
      </c>
      <c r="BN223" s="64">
        <f t="shared" si="28"/>
        <v>22.299999999999997</v>
      </c>
      <c r="BO223" s="64">
        <f t="shared" si="29"/>
        <v>4.2735042735042736E-2</v>
      </c>
      <c r="BP223" s="64">
        <f t="shared" si="30"/>
        <v>4.2735042735042736E-2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21</v>
      </c>
      <c r="Y227" s="634">
        <f t="shared" si="26"/>
        <v>21.6</v>
      </c>
      <c r="Z227" s="36">
        <f>IFERROR(IF(Y227=0,"",ROUNDUP(Y227/H227,0)*0.00502),"")</f>
        <v>6.0240000000000002E-2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22.516666666666666</v>
      </c>
      <c r="BN227" s="64">
        <f t="shared" si="28"/>
        <v>23.16</v>
      </c>
      <c r="BO227" s="64">
        <f t="shared" si="29"/>
        <v>4.9857549857549859E-2</v>
      </c>
      <c r="BP227" s="64">
        <f t="shared" si="30"/>
        <v>5.1282051282051287E-2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17</v>
      </c>
      <c r="Y229" s="634">
        <f t="shared" si="26"/>
        <v>18.900000000000002</v>
      </c>
      <c r="Z229" s="36">
        <f>IFERROR(IF(Y229=0,"",ROUNDUP(Y229/H229,0)*0.00502),"")</f>
        <v>4.5179999999999998E-2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17.80952380952381</v>
      </c>
      <c r="BN229" s="64">
        <f t="shared" si="28"/>
        <v>19.8</v>
      </c>
      <c r="BO229" s="64">
        <f t="shared" si="29"/>
        <v>3.4595034595034595E-2</v>
      </c>
      <c r="BP229" s="64">
        <f t="shared" si="30"/>
        <v>3.8461538461538464E-2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29.761904761904759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31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0.15562000000000001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59</v>
      </c>
      <c r="Y233" s="635">
        <f>IFERROR(SUM(Y218:Y231),"0")</f>
        <v>61.5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42</v>
      </c>
      <c r="Y265" s="634">
        <f t="shared" si="31"/>
        <v>43.2</v>
      </c>
      <c r="Z265" s="36">
        <f>IFERROR(IF(Y265=0,"",ROUNDUP(Y265/H265,0)*0.00902),"")</f>
        <v>7.2160000000000002E-2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43.477777777777774</v>
      </c>
      <c r="BN265" s="64">
        <f t="shared" si="33"/>
        <v>44.72</v>
      </c>
      <c r="BO265" s="64">
        <f t="shared" si="34"/>
        <v>5.8922558922558925E-2</v>
      </c>
      <c r="BP265" s="64">
        <f t="shared" si="35"/>
        <v>6.0606060606060608E-2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53</v>
      </c>
      <c r="Y266" s="634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54.864814814814807</v>
      </c>
      <c r="BN266" s="64">
        <f t="shared" si="33"/>
        <v>55.9</v>
      </c>
      <c r="BO266" s="64">
        <f t="shared" si="34"/>
        <v>7.435465768799103E-2</v>
      </c>
      <c r="BP266" s="64">
        <f t="shared" si="35"/>
        <v>7.575757575757576E-2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16</v>
      </c>
      <c r="Y268" s="634">
        <f t="shared" si="31"/>
        <v>16.2</v>
      </c>
      <c r="Z268" s="36">
        <f>IFERROR(IF(Y268=0,"",ROUNDUP(Y268/H268,0)*0.00502),"")</f>
        <v>4.5179999999999998E-2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17.155555555555555</v>
      </c>
      <c r="BN268" s="64">
        <f t="shared" si="33"/>
        <v>17.369999999999997</v>
      </c>
      <c r="BO268" s="64">
        <f t="shared" si="34"/>
        <v>3.7986704653371325E-2</v>
      </c>
      <c r="BP268" s="64">
        <f t="shared" si="35"/>
        <v>3.8461538461538464E-2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16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16.888888888888889</v>
      </c>
      <c r="BN269" s="64">
        <f t="shared" si="33"/>
        <v>17.099999999999998</v>
      </c>
      <c r="BO269" s="64">
        <f t="shared" si="34"/>
        <v>3.7986704653371325E-2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16</v>
      </c>
      <c r="Y271" s="634">
        <f t="shared" si="31"/>
        <v>16.2</v>
      </c>
      <c r="Z271" s="36">
        <f>IFERROR(IF(Y271=0,"",ROUNDUP(Y271/H271,0)*0.00502),"")</f>
        <v>4.5179999999999998E-2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16.888888888888889</v>
      </c>
      <c r="BN271" s="64">
        <f t="shared" si="33"/>
        <v>17.099999999999998</v>
      </c>
      <c r="BO271" s="64">
        <f t="shared" si="34"/>
        <v>3.7986704653371325E-2</v>
      </c>
      <c r="BP271" s="64">
        <f t="shared" si="35"/>
        <v>3.8461538461538464E-2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44.259259259259252</v>
      </c>
      <c r="Y272" s="635">
        <f>IFERROR(Y264/H264,"0")+IFERROR(Y265/H265,"0")+IFERROR(Y266/H266,"0")+IFERROR(Y267/H267,"0")+IFERROR(Y268/H268,"0")+IFERROR(Y269/H269,"0")+IFERROR(Y270/H270,"0")+IFERROR(Y271/H271,"0")</f>
        <v>45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0.2979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143</v>
      </c>
      <c r="Y273" s="635">
        <f>IFERROR(SUM(Y264:Y271),"0")</f>
        <v>145.79999999999998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51</v>
      </c>
      <c r="Y275" s="634">
        <f t="shared" ref="Y275:Y285" si="36">IFERROR(IF(X275="",0,CEILING((X275/$H275),1)*$H275),"")</f>
        <v>56.699999999999996</v>
      </c>
      <c r="Z275" s="36">
        <f>IFERROR(IF(Y275=0,"",ROUNDUP(Y275/H275,0)*0.01898),"")</f>
        <v>0.13286000000000001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54.110370370370369</v>
      </c>
      <c r="BN275" s="64">
        <f t="shared" ref="BN275:BN285" si="38">IFERROR(Y275*I275/H275,"0")</f>
        <v>60.157999999999994</v>
      </c>
      <c r="BO275" s="64">
        <f t="shared" ref="BO275:BO285" si="39">IFERROR(1/J275*(X275/H275),"0")</f>
        <v>9.8379629629629636E-2</v>
      </c>
      <c r="BP275" s="64">
        <f t="shared" ref="BP275:BP285" si="40">IFERROR(1/J275*(Y275/H275),"0")</f>
        <v>0.109375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69</v>
      </c>
      <c r="Y276" s="634">
        <f t="shared" si="36"/>
        <v>72.899999999999991</v>
      </c>
      <c r="Z276" s="36">
        <f>IFERROR(IF(Y276=0,"",ROUNDUP(Y276/H276,0)*0.01898),"")</f>
        <v>0.17082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73.054814814814819</v>
      </c>
      <c r="BN276" s="64">
        <f t="shared" si="38"/>
        <v>77.183999999999997</v>
      </c>
      <c r="BO276" s="64">
        <f t="shared" si="39"/>
        <v>0.13310185185185186</v>
      </c>
      <c r="BP276" s="64">
        <f t="shared" si="40"/>
        <v>0.140625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71</v>
      </c>
      <c r="Y278" s="634">
        <f t="shared" si="36"/>
        <v>72</v>
      </c>
      <c r="Z278" s="36">
        <f>IFERROR(IF(Y278=0,"",ROUNDUP(Y278/H278,0)*0.00651),"")</f>
        <v>0.1953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78.987499999999997</v>
      </c>
      <c r="BN278" s="64">
        <f t="shared" si="38"/>
        <v>80.100000000000009</v>
      </c>
      <c r="BO278" s="64">
        <f t="shared" si="39"/>
        <v>0.16254578754578758</v>
      </c>
      <c r="BP278" s="64">
        <f t="shared" si="40"/>
        <v>0.16483516483516486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74</v>
      </c>
      <c r="Y283" s="634">
        <f t="shared" si="36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81.77000000000001</v>
      </c>
      <c r="BN283" s="64">
        <f t="shared" si="38"/>
        <v>82.212000000000003</v>
      </c>
      <c r="BO283" s="64">
        <f t="shared" si="39"/>
        <v>0.16941391941391945</v>
      </c>
      <c r="BP283" s="64">
        <f t="shared" si="40"/>
        <v>0.17032967032967034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75.231481481481495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77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0.70079000000000002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265</v>
      </c>
      <c r="Y287" s="635">
        <f>IFERROR(SUM(Y275:Y285),"0")</f>
        <v>276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19</v>
      </c>
      <c r="Y289" s="634">
        <f>IFERROR(IF(X289="",0,CEILING((X289/$H289),1)*$H289),"")</f>
        <v>19.2</v>
      </c>
      <c r="Z289" s="36">
        <f>IFERROR(IF(Y289=0,"",ROUNDUP(Y289/H289,0)*0.00651),"")</f>
        <v>5.2080000000000001E-2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20.995000000000005</v>
      </c>
      <c r="BN289" s="64">
        <f>IFERROR(Y289*I289/H289,"0")</f>
        <v>21.216000000000001</v>
      </c>
      <c r="BO289" s="64">
        <f>IFERROR(1/J289*(X289/H289),"0")</f>
        <v>4.3498168498168503E-2</v>
      </c>
      <c r="BP289" s="64">
        <f>IFERROR(1/J289*(Y289/H289),"0")</f>
        <v>4.3956043956043959E-2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7.916666666666667</v>
      </c>
      <c r="Y291" s="635">
        <f>IFERROR(Y289/H289,"0")+IFERROR(Y290/H290,"0")</f>
        <v>8</v>
      </c>
      <c r="Z291" s="635">
        <f>IFERROR(IF(Z289="",0,Z289),"0")+IFERROR(IF(Z290="",0,Z290),"0")</f>
        <v>5.2080000000000001E-2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19</v>
      </c>
      <c r="Y292" s="635">
        <f>IFERROR(SUM(Y289:Y290),"0")</f>
        <v>19.2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67</v>
      </c>
      <c r="Y396" s="634">
        <f>IFERROR(IF(X396="",0,CEILING((X396/$H396),1)*$H396),"")</f>
        <v>67.2</v>
      </c>
      <c r="Z396" s="36">
        <f>IFERROR(IF(Y396=0,"",ROUNDUP(Y396/H396,0)*0.01898),"")</f>
        <v>0.15184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70.940238095238101</v>
      </c>
      <c r="BN396" s="64">
        <f>IFERROR(Y396*I396/H396,"0")</f>
        <v>71.152000000000001</v>
      </c>
      <c r="BO396" s="64">
        <f>IFERROR(1/J396*(X396/H396),"0")</f>
        <v>0.12462797619047619</v>
      </c>
      <c r="BP396" s="64">
        <f>IFERROR(1/J396*(Y396/H396),"0")</f>
        <v>0.125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7.9761904761904763</v>
      </c>
      <c r="Y399" s="635">
        <f>IFERROR(Y396/H396,"0")+IFERROR(Y397/H397,"0")+IFERROR(Y398/H398,"0")</f>
        <v>8</v>
      </c>
      <c r="Z399" s="635">
        <f>IFERROR(IF(Z396="",0,Z396),"0")+IFERROR(IF(Z397="",0,Z397),"0")+IFERROR(IF(Z398="",0,Z398),"0")</f>
        <v>0.15184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67</v>
      </c>
      <c r="Y400" s="635">
        <f>IFERROR(SUM(Y396:Y398),"0")</f>
        <v>67.2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35</v>
      </c>
      <c r="Y409" s="634">
        <f>IFERROR(IF(X409="",0,CEILING((X409/$H409),1)*$H409),"")</f>
        <v>36</v>
      </c>
      <c r="Z409" s="36">
        <f>IFERROR(IF(Y409=0,"",ROUNDUP(Y409/H409,0)*0.00474),"")</f>
        <v>8.5320000000000007E-2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39.200000000000003</v>
      </c>
      <c r="BN409" s="64">
        <f>IFERROR(Y409*I409/H409,"0")</f>
        <v>40.320000000000007</v>
      </c>
      <c r="BO409" s="64">
        <f>IFERROR(1/J409*(X409/H409),"0")</f>
        <v>7.3529411764705885E-2</v>
      </c>
      <c r="BP409" s="64">
        <f>IFERROR(1/J409*(Y409/H409),"0")</f>
        <v>7.5630252100840331E-2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21</v>
      </c>
      <c r="Y410" s="634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23.520000000000003</v>
      </c>
      <c r="BN410" s="64">
        <f>IFERROR(Y410*I410/H410,"0")</f>
        <v>24.64</v>
      </c>
      <c r="BO410" s="64">
        <f>IFERROR(1/J410*(X410/H410),"0")</f>
        <v>4.4117647058823525E-2</v>
      </c>
      <c r="BP410" s="64">
        <f>IFERROR(1/J410*(Y410/H410),"0")</f>
        <v>4.6218487394957979E-2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53</v>
      </c>
      <c r="Y411" s="634">
        <f>IFERROR(IF(X411="",0,CEILING((X411/$H411),1)*$H411),"")</f>
        <v>54</v>
      </c>
      <c r="Z411" s="36">
        <f>IFERROR(IF(Y411=0,"",ROUNDUP(Y411/H411,0)*0.00474),"")</f>
        <v>0.12798000000000001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59.360000000000007</v>
      </c>
      <c r="BN411" s="64">
        <f>IFERROR(Y411*I411/H411,"0")</f>
        <v>60.480000000000004</v>
      </c>
      <c r="BO411" s="64">
        <f>IFERROR(1/J411*(X411/H411),"0")</f>
        <v>0.11134453781512604</v>
      </c>
      <c r="BP411" s="64">
        <f>IFERROR(1/J411*(Y411/H411),"0")</f>
        <v>0.1134453781512605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54.5</v>
      </c>
      <c r="Y412" s="635">
        <f>IFERROR(Y409/H409,"0")+IFERROR(Y410/H410,"0")+IFERROR(Y411/H411,"0")</f>
        <v>56</v>
      </c>
      <c r="Z412" s="635">
        <f>IFERROR(IF(Z409="",0,Z409),"0")+IFERROR(IF(Z410="",0,Z410),"0")+IFERROR(IF(Z411="",0,Z411),"0")</f>
        <v>0.26544000000000001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109</v>
      </c>
      <c r="Y413" s="635">
        <f>IFERROR(SUM(Y409:Y411),"0")</f>
        <v>112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925</v>
      </c>
      <c r="Y439" s="634">
        <f t="shared" si="61"/>
        <v>930</v>
      </c>
      <c r="Z439" s="36">
        <f>IFERROR(IF(Y439=0,"",ROUNDUP(Y439/H439,0)*0.02175),"")</f>
        <v>1.3484999999999998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953.98333333333335</v>
      </c>
      <c r="BN439" s="64">
        <f t="shared" si="63"/>
        <v>959.14</v>
      </c>
      <c r="BO439" s="64">
        <f t="shared" si="64"/>
        <v>1.2847222222222221</v>
      </c>
      <c r="BP439" s="64">
        <f t="shared" si="65"/>
        <v>1.2916666666666665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538</v>
      </c>
      <c r="Y440" s="634">
        <f t="shared" si="61"/>
        <v>540</v>
      </c>
      <c r="Z440" s="36">
        <f>IFERROR(IF(Y440=0,"",ROUNDUP(Y440/H440,0)*0.02175),"")</f>
        <v>0.78299999999999992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554.85733333333337</v>
      </c>
      <c r="BN440" s="64">
        <f t="shared" si="63"/>
        <v>556.92000000000007</v>
      </c>
      <c r="BO440" s="64">
        <f t="shared" si="64"/>
        <v>0.74722222222222223</v>
      </c>
      <c r="BP440" s="64">
        <f t="shared" si="65"/>
        <v>0.75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481</v>
      </c>
      <c r="Y441" s="634">
        <f t="shared" si="61"/>
        <v>495</v>
      </c>
      <c r="Z441" s="36">
        <f>IFERROR(IF(Y441=0,"",ROUNDUP(Y441/H441,0)*0.02175),"")</f>
        <v>0.71775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496.07133333333337</v>
      </c>
      <c r="BN441" s="64">
        <f t="shared" si="63"/>
        <v>510.51000000000005</v>
      </c>
      <c r="BO441" s="64">
        <f t="shared" si="64"/>
        <v>0.66805555555555562</v>
      </c>
      <c r="BP441" s="64">
        <f t="shared" si="65"/>
        <v>0.6875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597</v>
      </c>
      <c r="Y442" s="634">
        <f t="shared" si="61"/>
        <v>600</v>
      </c>
      <c r="Z442" s="36">
        <f>IFERROR(IF(Y442=0,"",ROUNDUP(Y442/H442,0)*0.02175),"")</f>
        <v>0.86999999999999988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615.70600000000002</v>
      </c>
      <c r="BN442" s="64">
        <f t="shared" si="63"/>
        <v>618.79999999999995</v>
      </c>
      <c r="BO442" s="64">
        <f t="shared" si="64"/>
        <v>0.82916666666666661</v>
      </c>
      <c r="BP442" s="64">
        <f t="shared" si="65"/>
        <v>0.83333333333333326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169.39999999999998</v>
      </c>
      <c r="Y446" s="635">
        <f>IFERROR(Y438/H438,"0")+IFERROR(Y439/H439,"0")+IFERROR(Y440/H440,"0")+IFERROR(Y441/H441,"0")+IFERROR(Y442/H442,"0")+IFERROR(Y443/H443,"0")+IFERROR(Y444/H444,"0")+IFERROR(Y445/H445,"0")</f>
        <v>171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3.7192499999999997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2541</v>
      </c>
      <c r="Y447" s="635">
        <f>IFERROR(SUM(Y438:Y445),"0")</f>
        <v>2565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166</v>
      </c>
      <c r="Y476" s="634">
        <f>IFERROR(IF(X476="",0,CEILING((X476/$H476),1)*$H476),"")</f>
        <v>171</v>
      </c>
      <c r="Z476" s="36">
        <f>IFERROR(IF(Y476=0,"",ROUNDUP(Y476/H476,0)*0.01898),"")</f>
        <v>0.36062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175.11155555555555</v>
      </c>
      <c r="BN476" s="64">
        <f>IFERROR(Y476*I476/H476,"0")</f>
        <v>180.386</v>
      </c>
      <c r="BO476" s="64">
        <f>IFERROR(1/J476*(X476/H476),"0")</f>
        <v>0.28819444444444442</v>
      </c>
      <c r="BP476" s="64">
        <f>IFERROR(1/J476*(Y476/H476),"0")</f>
        <v>0.296875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18.444444444444443</v>
      </c>
      <c r="Y479" s="635">
        <f>IFERROR(Y476/H476,"0")+IFERROR(Y477/H477,"0")+IFERROR(Y478/H478,"0")</f>
        <v>19</v>
      </c>
      <c r="Z479" s="635">
        <f>IFERROR(IF(Z476="",0,Z476),"0")+IFERROR(IF(Z477="",0,Z477),"0")+IFERROR(IF(Z478="",0,Z478),"0")</f>
        <v>0.36062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166</v>
      </c>
      <c r="Y480" s="635">
        <f>IFERROR(SUM(Y476:Y478),"0")</f>
        <v>171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88</v>
      </c>
      <c r="Y513" s="634">
        <f t="shared" si="71"/>
        <v>89.76</v>
      </c>
      <c r="Z513" s="36">
        <f>IFERROR(IF(Y513=0,"",ROUNDUP(Y513/H513,0)*0.01196),"")</f>
        <v>0.20332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93.833333333333329</v>
      </c>
      <c r="BN513" s="64">
        <f t="shared" si="73"/>
        <v>95.710000000000008</v>
      </c>
      <c r="BO513" s="64">
        <f t="shared" si="74"/>
        <v>0.16025641025641024</v>
      </c>
      <c r="BP513" s="64">
        <f t="shared" si="75"/>
        <v>0.16346153846153846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141</v>
      </c>
      <c r="Y514" s="634">
        <f t="shared" si="71"/>
        <v>142.56</v>
      </c>
      <c r="Z514" s="36">
        <f>IFERROR(IF(Y514=0,"",ROUNDUP(Y514/H514,0)*0.01196),"")</f>
        <v>0.32291999999999998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150.34659090909091</v>
      </c>
      <c r="BN514" s="64">
        <f t="shared" si="73"/>
        <v>152.01</v>
      </c>
      <c r="BO514" s="64">
        <f t="shared" si="74"/>
        <v>0.25677447552447552</v>
      </c>
      <c r="BP514" s="64">
        <f t="shared" si="75"/>
        <v>0.25961538461538464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23</v>
      </c>
      <c r="Y517" s="634">
        <f t="shared" si="71"/>
        <v>24</v>
      </c>
      <c r="Z517" s="36">
        <f>IFERROR(IF(Y517=0,"",ROUNDUP(Y517/H517,0)*0.00902),"")</f>
        <v>4.5100000000000001E-2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33.110416666666673</v>
      </c>
      <c r="BN517" s="64">
        <f t="shared" si="73"/>
        <v>34.550000000000004</v>
      </c>
      <c r="BO517" s="64">
        <f t="shared" si="74"/>
        <v>3.6300505050505055E-2</v>
      </c>
      <c r="BP517" s="64">
        <f t="shared" si="75"/>
        <v>3.787878787878788E-2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48.162878787878782</v>
      </c>
      <c r="Y518" s="635">
        <f>IFERROR(Y510/H510,"0")+IFERROR(Y511/H511,"0")+IFERROR(Y512/H512,"0")+IFERROR(Y513/H513,"0")+IFERROR(Y514/H514,"0")+IFERROR(Y515/H515,"0")+IFERROR(Y516/H516,"0")+IFERROR(Y517/H517,"0")</f>
        <v>49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0.57134000000000007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252</v>
      </c>
      <c r="Y519" s="635">
        <f>IFERROR(SUM(Y510:Y517),"0")</f>
        <v>256.32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53</v>
      </c>
      <c r="Y528" s="634">
        <f t="shared" si="76"/>
        <v>58.080000000000005</v>
      </c>
      <c r="Z528" s="36">
        <f>IFERROR(IF(Y528=0,"",ROUNDUP(Y528/H528,0)*0.01196),"")</f>
        <v>0.13156000000000001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56.513257575757571</v>
      </c>
      <c r="BN528" s="64">
        <f t="shared" si="78"/>
        <v>61.93</v>
      </c>
      <c r="BO528" s="64">
        <f t="shared" si="79"/>
        <v>9.6518065268065265E-2</v>
      </c>
      <c r="BP528" s="64">
        <f t="shared" si="80"/>
        <v>0.10576923076923078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10.037878787878787</v>
      </c>
      <c r="Y534" s="635">
        <f>IFERROR(Y527/H527,"0")+IFERROR(Y528/H528,"0")+IFERROR(Y529/H529,"0")+IFERROR(Y530/H530,"0")+IFERROR(Y531/H531,"0")+IFERROR(Y532/H532,"0")+IFERROR(Y533/H533,"0")</f>
        <v>11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0.13156000000000001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53</v>
      </c>
      <c r="Y535" s="635">
        <f>IFERROR(SUM(Y527:Y533),"0")</f>
        <v>58.080000000000005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4328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4396.2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4542.1216681497508</v>
      </c>
      <c r="Y565" s="635">
        <f>IFERROR(SUM(BN22:BN561),"0")</f>
        <v>4614.353000000001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8</v>
      </c>
      <c r="Y566" s="38">
        <f>ROUNDUP(SUM(BP22:BP561),0)</f>
        <v>8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4742.1216681497508</v>
      </c>
      <c r="Y567" s="635">
        <f>GrossWeightTotalR+PalletQtyTotalR*25</f>
        <v>4814.353000000001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615.38559002725663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628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8.0021900000000006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0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27</v>
      </c>
      <c r="F574" s="46">
        <f>IFERROR(Y89*1,"0")+IFERROR(Y90*1,"0")+IFERROR(Y91*1,"0")+IFERROR(Y92*1,"0")+IFERROR(Y93*1,"0")+IFERROR(Y94*1,"0")+IFERROR(Y98*1,"0")+IFERROR(Y99*1,"0")+IFERROR(Y100*1,"0")+IFERROR(Y101*1,"0")</f>
        <v>453.6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86.4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91.7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61.5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440.99999999999994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179.2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2565</v>
      </c>
      <c r="Y574" s="46">
        <f>IFERROR(Y467*1,"0")+IFERROR(Y468*1,"0")+IFERROR(Y472*1,"0")+IFERROR(Y476*1,"0")+IFERROR(Y477*1,"0")+IFERROR(Y478*1,"0")</f>
        <v>171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314.39999999999998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4"/>
        <filter val="109,00"/>
        <filter val="141,00"/>
        <filter val="143,00"/>
        <filter val="16,00"/>
        <filter val="166,00"/>
        <filter val="169,40"/>
        <filter val="17,00"/>
        <filter val="18,44"/>
        <filter val="19,00"/>
        <filter val="2 541,00"/>
        <filter val="2,78"/>
        <filter val="21,00"/>
        <filter val="23,00"/>
        <filter val="24,00"/>
        <filter val="252,00"/>
        <filter val="265,00"/>
        <filter val="29,76"/>
        <filter val="31,48"/>
        <filter val="32,57"/>
        <filter val="35,00"/>
        <filter val="364,00"/>
        <filter val="4 328,00"/>
        <filter val="4 542,12"/>
        <filter val="4 742,12"/>
        <filter val="42,00"/>
        <filter val="44,26"/>
        <filter val="452,00"/>
        <filter val="48,16"/>
        <filter val="481,00"/>
        <filter val="5,00"/>
        <filter val="5,33"/>
        <filter val="51,00"/>
        <filter val="53,00"/>
        <filter val="538,00"/>
        <filter val="54,50"/>
        <filter val="59,00"/>
        <filter val="597,00"/>
        <filter val="615,39"/>
        <filter val="64,00"/>
        <filter val="67,00"/>
        <filter val="69,00"/>
        <filter val="7,92"/>
        <filter val="7,98"/>
        <filter val="71,00"/>
        <filter val="74,00"/>
        <filter val="75,23"/>
        <filter val="77,53"/>
        <filter val="8"/>
        <filter val="85,00"/>
        <filter val="88,00"/>
        <filter val="92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