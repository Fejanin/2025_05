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59BA389-3CDB-4DD5-B71F-4D1E86D502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Z261" i="1" s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BN141" i="1"/>
  <c r="Z145" i="1"/>
  <c r="Z147" i="1" s="1"/>
  <c r="BN145" i="1"/>
  <c r="Y147" i="1"/>
  <c r="BP152" i="1"/>
  <c r="BN152" i="1"/>
  <c r="Z152" i="1"/>
  <c r="Z155" i="1" s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Z246" i="1"/>
  <c r="BP244" i="1"/>
  <c r="BN244" i="1"/>
  <c r="Z244" i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Z302" i="1" s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Z349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Z406" i="1" s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Z458" i="1"/>
  <c r="BP456" i="1"/>
  <c r="BN456" i="1"/>
  <c r="Z456" i="1"/>
  <c r="Y463" i="1"/>
  <c r="BP477" i="1"/>
  <c r="BN477" i="1"/>
  <c r="Z477" i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Z518" i="1" s="1"/>
  <c r="BP514" i="1"/>
  <c r="BN514" i="1"/>
  <c r="Z514" i="1"/>
  <c r="Y518" i="1"/>
  <c r="BP522" i="1"/>
  <c r="BN522" i="1"/>
  <c r="Z522" i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90" i="1" l="1"/>
  <c r="Z127" i="1"/>
  <c r="Z67" i="1"/>
  <c r="Y565" i="1"/>
  <c r="Y567" i="1" s="1"/>
  <c r="Z317" i="1"/>
  <c r="Z524" i="1"/>
  <c r="Z479" i="1"/>
  <c r="Z376" i="1"/>
  <c r="Z272" i="1"/>
  <c r="Z142" i="1"/>
  <c r="Z120" i="1"/>
  <c r="Z113" i="1"/>
  <c r="Z102" i="1"/>
  <c r="Z95" i="1"/>
  <c r="Z74" i="1"/>
  <c r="Z55" i="1"/>
  <c r="Y566" i="1"/>
  <c r="Z46" i="1"/>
  <c r="Z36" i="1"/>
  <c r="Z31" i="1"/>
  <c r="Z386" i="1"/>
  <c r="Y568" i="1"/>
  <c r="Z446" i="1"/>
  <c r="X567" i="1"/>
  <c r="Z232" i="1"/>
  <c r="Z167" i="1"/>
  <c r="Z426" i="1"/>
  <c r="Z505" i="1"/>
  <c r="Z328" i="1"/>
  <c r="Z286" i="1"/>
  <c r="Z399" i="1"/>
  <c r="Z210" i="1"/>
  <c r="Z85" i="1"/>
  <c r="Y564" i="1"/>
  <c r="Z335" i="1"/>
  <c r="Z185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<sst xmlns="http://schemas.openxmlformats.org/spreadsheetml/2006/main" count="2536" uniqueCount="916">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</sst>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21</v>
      </c>
      <c r="Y28" s="634">
        <f>IFERROR(IF(X28="",0,CEILING((X28/$H28),1)*$H28),"")</f>
        <v>21.6</v>
      </c>
      <c r="Z28" s="36">
        <f>IFERROR(IF(Y28=0,"",ROUNDUP(Y28/H28,0)*0.00651),"")</f>
        <v>7.8119999999999995E-2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37.1</v>
      </c>
      <c r="BN28" s="64">
        <f>IFERROR(Y28*I28/H28,"0")</f>
        <v>38.160000000000004</v>
      </c>
      <c r="BO28" s="64">
        <f>IFERROR(1/J28*(X28/H28),"0")</f>
        <v>6.4102564102564111E-2</v>
      </c>
      <c r="BP28" s="64">
        <f>IFERROR(1/J28*(Y28/H28),"0")</f>
        <v>6.5934065934065936E-2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10</v>
      </c>
      <c r="Y29" s="634">
        <f>IFERROR(IF(X29="",0,CEILING((X29/$H29),1)*$H29),"")</f>
        <v>10.8</v>
      </c>
      <c r="Z29" s="36">
        <f>IFERROR(IF(Y29=0,"",ROUNDUP(Y29/H29,0)*0.00651),"")</f>
        <v>3.9059999999999997E-2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17.666666666666668</v>
      </c>
      <c r="BN29" s="64">
        <f>IFERROR(Y29*I29/H29,"0")</f>
        <v>19.080000000000002</v>
      </c>
      <c r="BO29" s="64">
        <f>IFERROR(1/J29*(X29/H29),"0")</f>
        <v>3.0525030525030528E-2</v>
      </c>
      <c r="BP29" s="64">
        <f>IFERROR(1/J29*(Y29/H29),"0")</f>
        <v>3.2967032967032968E-2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17.222222222222221</v>
      </c>
      <c r="Y31" s="635">
        <f>IFERROR(Y26/H26,"0")+IFERROR(Y27/H27,"0")+IFERROR(Y28/H28,"0")+IFERROR(Y29/H29,"0")+IFERROR(Y30/H30,"0")</f>
        <v>18</v>
      </c>
      <c r="Z31" s="635">
        <f>IFERROR(IF(Z26="",0,Z26),"0")+IFERROR(IF(Z27="",0,Z27),"0")+IFERROR(IF(Z28="",0,Z28),"0")+IFERROR(IF(Z29="",0,Z29),"0")+IFERROR(IF(Z30="",0,Z30),"0")</f>
        <v>0.11717999999999999</v>
      </c>
      <c r="AA31" s="636"/>
      <c r="AB31" s="636"/>
      <c r="AC31" s="636"/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31</v>
      </c>
      <c r="Y32" s="635">
        <f>IFERROR(SUM(Y26:Y30),"0")</f>
        <v>32.400000000000006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294</v>
      </c>
      <c r="Y51" s="634">
        <f>IFERROR(IF(X51="",0,CEILING((X51/$H51),1)*$H51),"")</f>
        <v>302.40000000000003</v>
      </c>
      <c r="Z51" s="36">
        <f>IFERROR(IF(Y51=0,"",ROUNDUP(Y51/H51,0)*0.01898),"")</f>
        <v>0.53144000000000002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305.1611111111111</v>
      </c>
      <c r="BN51" s="64">
        <f>IFERROR(Y51*I51/H51,"0")</f>
        <v>313.88</v>
      </c>
      <c r="BO51" s="64">
        <f>IFERROR(1/J51*(X51/H51),"0")</f>
        <v>0.42534722222222221</v>
      </c>
      <c r="BP51" s="64">
        <f>IFERROR(1/J51*(Y51/H51),"0")</f>
        <v>0.4375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29</v>
      </c>
      <c r="Y54" s="634">
        <f>IFERROR(IF(X54="",0,CEILING((X54/$H54),1)*$H54),"")</f>
        <v>29.6</v>
      </c>
      <c r="Z54" s="36">
        <f>IFERROR(IF(Y54=0,"",ROUNDUP(Y54/H54,0)*0.00902),"")</f>
        <v>7.2160000000000002E-2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30.489189189189187</v>
      </c>
      <c r="BN54" s="64">
        <f>IFERROR(Y54*I54/H54,"0")</f>
        <v>31.12</v>
      </c>
      <c r="BO54" s="64">
        <f>IFERROR(1/J54*(X54/H54),"0")</f>
        <v>5.9377559377559376E-2</v>
      </c>
      <c r="BP54" s="64">
        <f>IFERROR(1/J54*(Y54/H54),"0")</f>
        <v>6.0606060606060608E-2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35.06006006006006</v>
      </c>
      <c r="Y55" s="635">
        <f>IFERROR(Y51/H51,"0")+IFERROR(Y52/H52,"0")+IFERROR(Y53/H53,"0")+IFERROR(Y54/H54,"0")</f>
        <v>36</v>
      </c>
      <c r="Z55" s="635">
        <f>IFERROR(IF(Z51="",0,Z51),"0")+IFERROR(IF(Z52="",0,Z52),"0")+IFERROR(IF(Z53="",0,Z53),"0")+IFERROR(IF(Z54="",0,Z54),"0")</f>
        <v>0.60360000000000003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323</v>
      </c>
      <c r="Y56" s="635">
        <f>IFERROR(SUM(Y51:Y54),"0")</f>
        <v>332.00000000000006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28</v>
      </c>
      <c r="Y59" s="634">
        <f t="shared" ref="Y59:Y66" si="0">IFERROR(IF(X59="",0,CEILING((X59/$H59),1)*$H59),"")</f>
        <v>33.599999999999994</v>
      </c>
      <c r="Z59" s="36">
        <f>IFERROR(IF(Y59=0,"",ROUNDUP(Y59/H59,0)*0.01898),"")</f>
        <v>5.6940000000000004E-2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29.025000000000002</v>
      </c>
      <c r="BN59" s="64">
        <f t="shared" ref="BN59:BN66" si="2">IFERROR(Y59*I59/H59,"0")</f>
        <v>34.829999999999991</v>
      </c>
      <c r="BO59" s="64">
        <f t="shared" ref="BO59:BO66" si="3">IFERROR(1/J59*(X59/H59),"0")</f>
        <v>3.90625E-2</v>
      </c>
      <c r="BP59" s="64">
        <f t="shared" ref="BP59:BP66" si="4">IFERROR(1/J59*(Y59/H59),"0")</f>
        <v>4.6874999999999993E-2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450</v>
      </c>
      <c r="Y60" s="634">
        <f t="shared" si="0"/>
        <v>453.6</v>
      </c>
      <c r="Z60" s="36">
        <f>IFERROR(IF(Y60=0,"",ROUNDUP(Y60/H60,0)*0.01898),"")</f>
        <v>0.79715999999999998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467.08333333333331</v>
      </c>
      <c r="BN60" s="64">
        <f t="shared" si="2"/>
        <v>470.82000000000005</v>
      </c>
      <c r="BO60" s="64">
        <f t="shared" si="3"/>
        <v>0.65104166666666663</v>
      </c>
      <c r="BP60" s="64">
        <f t="shared" si="4"/>
        <v>0.65625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196</v>
      </c>
      <c r="Y63" s="634">
        <f t="shared" si="0"/>
        <v>196</v>
      </c>
      <c r="Z63" s="36">
        <f>IFERROR(IF(Y63=0,"",ROUNDUP(Y63/H63,0)*0.00902),"")</f>
        <v>0.44198000000000004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205.31000000000003</v>
      </c>
      <c r="BN63" s="64">
        <f t="shared" si="2"/>
        <v>205.31000000000003</v>
      </c>
      <c r="BO63" s="64">
        <f t="shared" si="3"/>
        <v>0.37121212121212122</v>
      </c>
      <c r="BP63" s="64">
        <f t="shared" si="4"/>
        <v>0.37121212121212122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35</v>
      </c>
      <c r="Y66" s="634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36.477777777777781</v>
      </c>
      <c r="BN66" s="64">
        <f t="shared" si="2"/>
        <v>37.520000000000003</v>
      </c>
      <c r="BO66" s="64">
        <f t="shared" si="3"/>
        <v>5.8922558922558925E-2</v>
      </c>
      <c r="BP66" s="64">
        <f t="shared" si="4"/>
        <v>6.0606060606060608E-2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100.94444444444443</v>
      </c>
      <c r="Y67" s="635">
        <f>IFERROR(Y59/H59,"0")+IFERROR(Y60/H60,"0")+IFERROR(Y61/H61,"0")+IFERROR(Y62/H62,"0")+IFERROR(Y63/H63,"0")+IFERROR(Y64/H64,"0")+IFERROR(Y65/H65,"0")+IFERROR(Y66/H66,"0")</f>
        <v>102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1.3682399999999999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709</v>
      </c>
      <c r="Y68" s="635">
        <f>IFERROR(SUM(Y59:Y66),"0")</f>
        <v>719.2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609</v>
      </c>
      <c r="Y70" s="634">
        <f>IFERROR(IF(X70="",0,CEILING((X70/$H70),1)*$H70),"")</f>
        <v>615.6</v>
      </c>
      <c r="Z70" s="36">
        <f>IFERROR(IF(Y70=0,"",ROUNDUP(Y70/H70,0)*0.01898),"")</f>
        <v>1.08186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632.11944444444441</v>
      </c>
      <c r="BN70" s="64">
        <f>IFERROR(Y70*I70/H70,"0")</f>
        <v>638.97</v>
      </c>
      <c r="BO70" s="64">
        <f>IFERROR(1/J70*(X70/H70),"0")</f>
        <v>0.88107638888888884</v>
      </c>
      <c r="BP70" s="64">
        <f>IFERROR(1/J70*(Y70/H70),"0")</f>
        <v>0.890625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56.388888888888886</v>
      </c>
      <c r="Y74" s="635">
        <f>IFERROR(Y70/H70,"0")+IFERROR(Y71/H71,"0")+IFERROR(Y72/H72,"0")+IFERROR(Y73/H73,"0")</f>
        <v>57</v>
      </c>
      <c r="Z74" s="635">
        <f>IFERROR(IF(Z70="",0,Z70),"0")+IFERROR(IF(Z71="",0,Z71),"0")+IFERROR(IF(Z72="",0,Z72),"0")+IFERROR(IF(Z73="",0,Z73),"0")</f>
        <v>1.08186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609</v>
      </c>
      <c r="Y75" s="635">
        <f>IFERROR(SUM(Y70:Y73),"0")</f>
        <v>615.6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62</v>
      </c>
      <c r="Y82" s="634">
        <f>IFERROR(IF(X82="",0,CEILING((X82/$H82),1)*$H82),"")</f>
        <v>62.4</v>
      </c>
      <c r="Z82" s="36">
        <f>IFERROR(IF(Y82=0,"",ROUNDUP(Y82/H82,0)*0.01898),"")</f>
        <v>0.15184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65.25897435897437</v>
      </c>
      <c r="BN82" s="64">
        <f>IFERROR(Y82*I82/H82,"0")</f>
        <v>65.680000000000007</v>
      </c>
      <c r="BO82" s="64">
        <f>IFERROR(1/J82*(X82/H82),"0")</f>
        <v>0.12419871794871795</v>
      </c>
      <c r="BP82" s="64">
        <f>IFERROR(1/J82*(Y82/H82),"0")</f>
        <v>0.125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7.9487179487179489</v>
      </c>
      <c r="Y85" s="635">
        <f>IFERROR(Y82/H82,"0")+IFERROR(Y83/H83,"0")+IFERROR(Y84/H84,"0")</f>
        <v>8</v>
      </c>
      <c r="Z85" s="635">
        <f>IFERROR(IF(Z82="",0,Z82),"0")+IFERROR(IF(Z83="",0,Z83),"0")+IFERROR(IF(Z84="",0,Z84),"0")</f>
        <v>0.15184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62</v>
      </c>
      <c r="Y86" s="635">
        <f>IFERROR(SUM(Y82:Y84),"0")</f>
        <v>62.4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208</v>
      </c>
      <c r="Y89" s="634">
        <f t="shared" ref="Y89:Y94" si="5">IFERROR(IF(X89="",0,CEILING((X89/$H89),1)*$H89),"")</f>
        <v>216</v>
      </c>
      <c r="Z89" s="36">
        <f>IFERROR(IF(Y89=0,"",ROUNDUP(Y89/H89,0)*0.01898),"")</f>
        <v>0.37959999999999999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215.8962962962963</v>
      </c>
      <c r="BN89" s="64">
        <f t="shared" ref="BN89:BN94" si="7">IFERROR(Y89*I89/H89,"0")</f>
        <v>224.2</v>
      </c>
      <c r="BO89" s="64">
        <f t="shared" ref="BO89:BO94" si="8">IFERROR(1/J89*(X89/H89),"0")</f>
        <v>0.30092592592592593</v>
      </c>
      <c r="BP89" s="64">
        <f t="shared" ref="BP89:BP94" si="9">IFERROR(1/J89*(Y89/H89),"0")</f>
        <v>0.3125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138</v>
      </c>
      <c r="Y94" s="634">
        <f t="shared" si="5"/>
        <v>139.5</v>
      </c>
      <c r="Z94" s="36">
        <f>IFERROR(IF(Y94=0,"",ROUNDUP(Y94/H94,0)*0.00902),"")</f>
        <v>0.27961999999999998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143.82666666666668</v>
      </c>
      <c r="BN94" s="64">
        <f t="shared" si="7"/>
        <v>145.39000000000001</v>
      </c>
      <c r="BO94" s="64">
        <f t="shared" si="8"/>
        <v>0.23232323232323235</v>
      </c>
      <c r="BP94" s="64">
        <f t="shared" si="9"/>
        <v>0.23484848484848486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49.925925925925924</v>
      </c>
      <c r="Y95" s="635">
        <f>IFERROR(Y89/H89,"0")+IFERROR(Y90/H90,"0")+IFERROR(Y91/H91,"0")+IFERROR(Y92/H92,"0")+IFERROR(Y93/H93,"0")+IFERROR(Y94/H94,"0")</f>
        <v>51</v>
      </c>
      <c r="Z95" s="635">
        <f>IFERROR(IF(Z89="",0,Z89),"0")+IFERROR(IF(Z90="",0,Z90),"0")+IFERROR(IF(Z91="",0,Z91),"0")+IFERROR(IF(Z92="",0,Z92),"0")+IFERROR(IF(Z93="",0,Z93),"0")+IFERROR(IF(Z94="",0,Z94),"0")</f>
        <v>0.65921999999999992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346</v>
      </c>
      <c r="Y96" s="635">
        <f>IFERROR(SUM(Y89:Y94),"0")</f>
        <v>355.5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833</v>
      </c>
      <c r="Y98" s="634">
        <f>IFERROR(IF(X98="",0,CEILING((X98/$H98),1)*$H98),"")</f>
        <v>834.3</v>
      </c>
      <c r="Z98" s="36">
        <f>IFERROR(IF(Y98=0,"",ROUNDUP(Y98/H98,0)*0.01898),"")</f>
        <v>1.9549400000000001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883.80271604938275</v>
      </c>
      <c r="BN98" s="64">
        <f>IFERROR(Y98*I98/H98,"0")</f>
        <v>885.1819999999999</v>
      </c>
      <c r="BO98" s="64">
        <f>IFERROR(1/J98*(X98/H98),"0")</f>
        <v>1.6068672839506173</v>
      </c>
      <c r="BP98" s="64">
        <f>IFERROR(1/J98*(Y98/H98),"0")</f>
        <v>1.609375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173</v>
      </c>
      <c r="Y100" s="634">
        <f>IFERROR(IF(X100="",0,CEILING((X100/$H100),1)*$H100),"")</f>
        <v>175.5</v>
      </c>
      <c r="Z100" s="36">
        <f>IFERROR(IF(Y100=0,"",ROUNDUP(Y100/H100,0)*0.00651),"")</f>
        <v>0.42315000000000003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189.14666666666665</v>
      </c>
      <c r="BN100" s="64">
        <f>IFERROR(Y100*I100/H100,"0")</f>
        <v>191.88</v>
      </c>
      <c r="BO100" s="64">
        <f>IFERROR(1/J100*(X100/H100),"0")</f>
        <v>0.3520553520553521</v>
      </c>
      <c r="BP100" s="64">
        <f>IFERROR(1/J100*(Y100/H100),"0")</f>
        <v>0.35714285714285715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166.91358024691357</v>
      </c>
      <c r="Y102" s="635">
        <f>IFERROR(Y98/H98,"0")+IFERROR(Y99/H99,"0")+IFERROR(Y100/H100,"0")+IFERROR(Y101/H101,"0")</f>
        <v>168</v>
      </c>
      <c r="Z102" s="635">
        <f>IFERROR(IF(Z98="",0,Z98),"0")+IFERROR(IF(Z99="",0,Z99),"0")+IFERROR(IF(Z100="",0,Z100),"0")+IFERROR(IF(Z101="",0,Z101),"0")</f>
        <v>2.3780900000000003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1006</v>
      </c>
      <c r="Y103" s="635">
        <f>IFERROR(SUM(Y98:Y101),"0")</f>
        <v>1009.8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517</v>
      </c>
      <c r="Y106" s="634">
        <f t="shared" ref="Y106:Y112" si="10">IFERROR(IF(X106="",0,CEILING((X106/$H106),1)*$H106),"")</f>
        <v>518.40000000000009</v>
      </c>
      <c r="Z106" s="36">
        <f>IFERROR(IF(Y106=0,"",ROUNDUP(Y106/H106,0)*0.01898),"")</f>
        <v>0.91104000000000007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536.62685185185182</v>
      </c>
      <c r="BN106" s="64">
        <f t="shared" ref="BN106:BN112" si="12">IFERROR(Y106*I106/H106,"0")</f>
        <v>538.08000000000004</v>
      </c>
      <c r="BO106" s="64">
        <f t="shared" ref="BO106:BO112" si="13">IFERROR(1/J106*(X106/H106),"0")</f>
        <v>0.74797453703703698</v>
      </c>
      <c r="BP106" s="64">
        <f t="shared" ref="BP106:BP112" si="14">IFERROR(1/J106*(Y106/H106),"0")</f>
        <v>0.75000000000000011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100</v>
      </c>
      <c r="Y110" s="634">
        <f t="shared" si="10"/>
        <v>103.5</v>
      </c>
      <c r="Z110" s="36">
        <f>IFERROR(IF(Y110=0,"",ROUNDUP(Y110/H110,0)*0.00902),"")</f>
        <v>0.20746000000000001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104.22222222222223</v>
      </c>
      <c r="BN110" s="64">
        <f t="shared" si="12"/>
        <v>107.87</v>
      </c>
      <c r="BO110" s="64">
        <f t="shared" si="13"/>
        <v>0.16835016835016836</v>
      </c>
      <c r="BP110" s="64">
        <f t="shared" si="14"/>
        <v>0.17424242424242425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70.092592592592581</v>
      </c>
      <c r="Y113" s="635">
        <f>IFERROR(Y106/H106,"0")+IFERROR(Y107/H107,"0")+IFERROR(Y108/H108,"0")+IFERROR(Y109/H109,"0")+IFERROR(Y110/H110,"0")+IFERROR(Y111/H111,"0")+IFERROR(Y112/H112,"0")</f>
        <v>71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1.1185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617</v>
      </c>
      <c r="Y114" s="635">
        <f>IFERROR(SUM(Y106:Y112),"0")</f>
        <v>621.90000000000009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100</v>
      </c>
      <c r="Y119" s="634">
        <f>IFERROR(IF(X119="",0,CEILING((X119/$H119),1)*$H119),"")</f>
        <v>100.8</v>
      </c>
      <c r="Z119" s="36">
        <f>IFERROR(IF(Y119=0,"",ROUNDUP(Y119/H119,0)*0.00651),"")</f>
        <v>0.27342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107.5</v>
      </c>
      <c r="BN119" s="64">
        <f>IFERROR(Y119*I119/H119,"0")</f>
        <v>108.36000000000001</v>
      </c>
      <c r="BO119" s="64">
        <f>IFERROR(1/J119*(X119/H119),"0")</f>
        <v>0.22893772893772898</v>
      </c>
      <c r="BP119" s="64">
        <f>IFERROR(1/J119*(Y119/H119),"0")</f>
        <v>0.23076923076923078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41.666666666666671</v>
      </c>
      <c r="Y120" s="635">
        <f>IFERROR(Y116/H116,"0")+IFERROR(Y117/H117,"0")+IFERROR(Y118/H118,"0")+IFERROR(Y119/H119,"0")</f>
        <v>42</v>
      </c>
      <c r="Z120" s="635">
        <f>IFERROR(IF(Z116="",0,Z116),"0")+IFERROR(IF(Z117="",0,Z117),"0")+IFERROR(IF(Z118="",0,Z118),"0")+IFERROR(IF(Z119="",0,Z119),"0")</f>
        <v>0.27342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100</v>
      </c>
      <c r="Y121" s="635">
        <f>IFERROR(SUM(Y116:Y119),"0")</f>
        <v>100.8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297</v>
      </c>
      <c r="Y123" s="634">
        <f>IFERROR(IF(X123="",0,CEILING((X123/$H123),1)*$H123),"")</f>
        <v>299.7</v>
      </c>
      <c r="Z123" s="36">
        <f>IFERROR(IF(Y123=0,"",ROUNDUP(Y123/H123,0)*0.01898),"")</f>
        <v>0.70226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314.89333333333332</v>
      </c>
      <c r="BN123" s="64">
        <f>IFERROR(Y123*I123/H123,"0")</f>
        <v>317.75599999999997</v>
      </c>
      <c r="BO123" s="64">
        <f>IFERROR(1/J123*(X123/H123),"0")</f>
        <v>0.57291666666666674</v>
      </c>
      <c r="BP123" s="64">
        <f>IFERROR(1/J123*(Y123/H123),"0")</f>
        <v>0.578125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350</v>
      </c>
      <c r="Y125" s="634">
        <f>IFERROR(IF(X125="",0,CEILING((X125/$H125),1)*$H125),"")</f>
        <v>351</v>
      </c>
      <c r="Z125" s="36">
        <f>IFERROR(IF(Y125=0,"",ROUNDUP(Y125/H125,0)*0.00651),"")</f>
        <v>0.84630000000000005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382.66666666666669</v>
      </c>
      <c r="BN125" s="64">
        <f>IFERROR(Y125*I125/H125,"0")</f>
        <v>383.76</v>
      </c>
      <c r="BO125" s="64">
        <f>IFERROR(1/J125*(X125/H125),"0")</f>
        <v>0.71225071225071224</v>
      </c>
      <c r="BP125" s="64">
        <f>IFERROR(1/J125*(Y125/H125),"0")</f>
        <v>0.7142857142857143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166.2962962962963</v>
      </c>
      <c r="Y127" s="635">
        <f>IFERROR(Y123/H123,"0")+IFERROR(Y124/H124,"0")+IFERROR(Y125/H125,"0")+IFERROR(Y126/H126,"0")</f>
        <v>167</v>
      </c>
      <c r="Z127" s="635">
        <f>IFERROR(IF(Z123="",0,Z123),"0")+IFERROR(IF(Z124="",0,Z124),"0")+IFERROR(IF(Z125="",0,Z125),"0")+IFERROR(IF(Z126="",0,Z126),"0")</f>
        <v>1.5485600000000002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647</v>
      </c>
      <c r="Y128" s="635">
        <f>IFERROR(SUM(Y123:Y126),"0")</f>
        <v>650.70000000000005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2</v>
      </c>
      <c r="Y130" s="634">
        <f>IFERROR(IF(X130="",0,CEILING((X130/$H130),1)*$H130),"")</f>
        <v>3.96</v>
      </c>
      <c r="Z130" s="36">
        <f>IFERROR(IF(Y130=0,"",ROUNDUP(Y130/H130,0)*0.00651),"")</f>
        <v>1.302E-2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2.2606060606060607</v>
      </c>
      <c r="BN130" s="64">
        <f>IFERROR(Y130*I130/H130,"0")</f>
        <v>4.476</v>
      </c>
      <c r="BO130" s="64">
        <f>IFERROR(1/J130*(X130/H130),"0")</f>
        <v>5.5500055500055509E-3</v>
      </c>
      <c r="BP130" s="64">
        <f>IFERROR(1/J130*(Y130/H130),"0")</f>
        <v>1.098901098901099E-2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1.0101010101010102</v>
      </c>
      <c r="Y131" s="635">
        <f>IFERROR(Y130/H130,"0")</f>
        <v>2</v>
      </c>
      <c r="Z131" s="635">
        <f>IFERROR(IF(Z130="",0,Z130),"0")</f>
        <v>1.302E-2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2</v>
      </c>
      <c r="Y132" s="635">
        <f>IFERROR(SUM(Y130:Y130),"0")</f>
        <v>3.96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4</v>
      </c>
      <c r="Y135" s="634">
        <f>IFERROR(IF(X135="",0,CEILING((X135/$H135),1)*$H135),"")</f>
        <v>6.4</v>
      </c>
      <c r="Z135" s="36">
        <f>IFERROR(IF(Y135=0,"",ROUNDUP(Y135/H135,0)*0.00651),"")</f>
        <v>1.302E-2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4.2249999999999996</v>
      </c>
      <c r="BN135" s="64">
        <f>IFERROR(Y135*I135/H135,"0")</f>
        <v>6.76</v>
      </c>
      <c r="BO135" s="64">
        <f>IFERROR(1/J135*(X135/H135),"0")</f>
        <v>6.8681318681318689E-3</v>
      </c>
      <c r="BP135" s="64">
        <f>IFERROR(1/J135*(Y135/H135),"0")</f>
        <v>1.098901098901099E-2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1.25</v>
      </c>
      <c r="Y137" s="635">
        <f>IFERROR(Y135/H135,"0")+IFERROR(Y136/H136,"0")</f>
        <v>2</v>
      </c>
      <c r="Z137" s="635">
        <f>IFERROR(IF(Z135="",0,Z135),"0")+IFERROR(IF(Z136="",0,Z136),"0")</f>
        <v>1.302E-2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4</v>
      </c>
      <c r="Y138" s="635">
        <f>IFERROR(SUM(Y135:Y136),"0")</f>
        <v>6.4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3</v>
      </c>
      <c r="Y140" s="634">
        <f>IFERROR(IF(X140="",0,CEILING((X140/$H140),1)*$H140),"")</f>
        <v>5.6</v>
      </c>
      <c r="Z140" s="36">
        <f>IFERROR(IF(Y140=0,"",ROUNDUP(Y140/H140,0)*0.00651),"")</f>
        <v>1.302E-2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3.2871428571428574</v>
      </c>
      <c r="BN140" s="64">
        <f>IFERROR(Y140*I140/H140,"0")</f>
        <v>6.1359999999999992</v>
      </c>
      <c r="BO140" s="64">
        <f>IFERROR(1/J140*(X140/H140),"0")</f>
        <v>5.8869701726844588E-3</v>
      </c>
      <c r="BP140" s="64">
        <f>IFERROR(1/J140*(Y140/H140),"0")</f>
        <v>1.098901098901099E-2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1.0714285714285714</v>
      </c>
      <c r="Y142" s="635">
        <f>IFERROR(Y140/H140,"0")+IFERROR(Y141/H141,"0")</f>
        <v>2</v>
      </c>
      <c r="Z142" s="635">
        <f>IFERROR(IF(Z140="",0,Z140),"0")+IFERROR(IF(Z141="",0,Z141),"0")</f>
        <v>1.302E-2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3</v>
      </c>
      <c r="Y143" s="635">
        <f>IFERROR(SUM(Y140:Y141),"0")</f>
        <v>5.6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39</v>
      </c>
      <c r="Y145" s="634">
        <f>IFERROR(IF(X145="",0,CEILING((X145/$H145),1)*$H145),"")</f>
        <v>39.6</v>
      </c>
      <c r="Z145" s="36">
        <f>IFERROR(IF(Y145=0,"",ROUNDUP(Y145/H145,0)*0.00651),"")</f>
        <v>9.7650000000000001E-2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42.959090909090904</v>
      </c>
      <c r="BN145" s="64">
        <f>IFERROR(Y145*I145/H145,"0")</f>
        <v>43.62</v>
      </c>
      <c r="BO145" s="64">
        <f>IFERROR(1/J145*(X145/H145),"0")</f>
        <v>8.1168831168831168E-2</v>
      </c>
      <c r="BP145" s="64">
        <f>IFERROR(1/J145*(Y145/H145),"0")</f>
        <v>8.241758241758243E-2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14.772727272727272</v>
      </c>
      <c r="Y147" s="635">
        <f>IFERROR(Y145/H145,"0")+IFERROR(Y146/H146,"0")</f>
        <v>15</v>
      </c>
      <c r="Z147" s="635">
        <f>IFERROR(IF(Z145="",0,Z145),"0")+IFERROR(IF(Z146="",0,Z146),"0")</f>
        <v>9.7650000000000001E-2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39</v>
      </c>
      <c r="Y148" s="635">
        <f>IFERROR(SUM(Y145:Y146),"0")</f>
        <v>39.6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270</v>
      </c>
      <c r="Y175" s="634">
        <f t="shared" ref="Y175:Y184" si="15">IFERROR(IF(X175="",0,CEILING((X175/$H175),1)*$H175),"")</f>
        <v>273</v>
      </c>
      <c r="Z175" s="36">
        <f>IFERROR(IF(Y175=0,"",ROUNDUP(Y175/H175,0)*0.00902),"")</f>
        <v>0.70355999999999996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284.65714285714284</v>
      </c>
      <c r="BN175" s="64">
        <f t="shared" ref="BN175:BN184" si="17">IFERROR(Y175*I175/H175,"0")</f>
        <v>287.82</v>
      </c>
      <c r="BO175" s="64">
        <f t="shared" ref="BO175:BO184" si="18">IFERROR(1/J175*(X175/H175),"0")</f>
        <v>0.58441558441558439</v>
      </c>
      <c r="BP175" s="64">
        <f t="shared" ref="BP175:BP184" si="19">IFERROR(1/J175*(Y175/H175),"0")</f>
        <v>0.59090909090909094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827</v>
      </c>
      <c r="Y177" s="634">
        <f t="shared" si="15"/>
        <v>829.5</v>
      </c>
      <c r="Z177" s="36">
        <f>IFERROR(IF(Y177=0,"",ROUNDUP(Y177/H177,0)*0.00902),"")</f>
        <v>2.13774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871.89428571428573</v>
      </c>
      <c r="BN177" s="64">
        <f t="shared" si="17"/>
        <v>874.53</v>
      </c>
      <c r="BO177" s="64">
        <f t="shared" si="18"/>
        <v>1.7900432900432901</v>
      </c>
      <c r="BP177" s="64">
        <f t="shared" si="19"/>
        <v>1.7954545454545454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606</v>
      </c>
      <c r="Y178" s="634">
        <f t="shared" si="15"/>
        <v>609</v>
      </c>
      <c r="Z178" s="36">
        <f>IFERROR(IF(Y178=0,"",ROUNDUP(Y178/H178,0)*0.00902),"")</f>
        <v>1.56948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638.89714285714285</v>
      </c>
      <c r="BN178" s="64">
        <f t="shared" si="17"/>
        <v>642.06000000000006</v>
      </c>
      <c r="BO178" s="64">
        <f t="shared" si="18"/>
        <v>1.3116883116883118</v>
      </c>
      <c r="BP178" s="64">
        <f t="shared" si="19"/>
        <v>1.3181818181818181</v>
      </c>
    </row>
    <row r="179" spans="1:68" ht="16.5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2</v>
      </c>
      <c r="Y179" s="634">
        <f t="shared" si="15"/>
        <v>2.7</v>
      </c>
      <c r="Z179" s="36">
        <f>IFERROR(IF(Y179=0,"",ROUNDUP(Y179/H179,0)*0.00726),"")</f>
        <v>2.1780000000000001E-2</v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2.4666666666666668</v>
      </c>
      <c r="BN179" s="64">
        <f t="shared" si="17"/>
        <v>3.33</v>
      </c>
      <c r="BO179" s="64">
        <f t="shared" si="18"/>
        <v>1.1574074074074073E-2</v>
      </c>
      <c r="BP179" s="64">
        <f t="shared" si="19"/>
        <v>1.5625E-2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68</v>
      </c>
      <c r="Y180" s="634">
        <f t="shared" si="15"/>
        <v>68.88</v>
      </c>
      <c r="Z180" s="36">
        <f>IFERROR(IF(Y180=0,"",ROUNDUP(Y180/H180,0)*0.00502),"")</f>
        <v>0.20582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72.047619047619051</v>
      </c>
      <c r="BN180" s="64">
        <f t="shared" si="17"/>
        <v>72.98</v>
      </c>
      <c r="BO180" s="64">
        <f t="shared" si="18"/>
        <v>0.17297517297517298</v>
      </c>
      <c r="BP180" s="64">
        <f t="shared" si="19"/>
        <v>0.17521367521367523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28</v>
      </c>
      <c r="Y184" s="634">
        <f t="shared" si="15"/>
        <v>28.56</v>
      </c>
      <c r="Z184" s="36">
        <f>IFERROR(IF(Y184=0,"",ROUNDUP(Y184/H184,0)*0.00502),"")</f>
        <v>8.5339999999999999E-2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29.666666666666671</v>
      </c>
      <c r="BN184" s="64">
        <f t="shared" si="17"/>
        <v>30.259999999999998</v>
      </c>
      <c r="BO184" s="64">
        <f t="shared" si="18"/>
        <v>7.122507122507124E-2</v>
      </c>
      <c r="BP184" s="64">
        <f t="shared" si="19"/>
        <v>7.2649572649572655E-2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545.93650793650784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550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4.7237200000000001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1801</v>
      </c>
      <c r="Y186" s="635">
        <f>IFERROR(SUM(Y175:Y184),"0")</f>
        <v>1811.6399999999999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100</v>
      </c>
      <c r="Y218" s="634">
        <f t="shared" ref="Y218:Y231" si="26">IFERROR(IF(X218="",0,CEILING((X218/$H218),1)*$H218),"")</f>
        <v>100.80000000000001</v>
      </c>
      <c r="Z218" s="36">
        <f>IFERROR(IF(Y218=0,"",ROUNDUP(Y218/H218,0)*0.00902),"")</f>
        <v>0.21648000000000001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105.95238095238095</v>
      </c>
      <c r="BN218" s="64">
        <f t="shared" ref="BN218:BN231" si="28">IFERROR(Y218*I218/H218,"0")</f>
        <v>106.80000000000001</v>
      </c>
      <c r="BO218" s="64">
        <f t="shared" ref="BO218:BO231" si="29">IFERROR(1/J218*(X218/H218),"0")</f>
        <v>0.18037518037518038</v>
      </c>
      <c r="BP218" s="64">
        <f t="shared" ref="BP218:BP231" si="30">IFERROR(1/J218*(Y218/H218),"0")</f>
        <v>0.18181818181818182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116</v>
      </c>
      <c r="Y220" s="634">
        <f t="shared" si="26"/>
        <v>117.60000000000001</v>
      </c>
      <c r="Z220" s="36">
        <f>IFERROR(IF(Y220=0,"",ROUNDUP(Y220/H220,0)*0.00902),"")</f>
        <v>0.25256000000000001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121.24761904761903</v>
      </c>
      <c r="BN220" s="64">
        <f t="shared" si="28"/>
        <v>122.92</v>
      </c>
      <c r="BO220" s="64">
        <f t="shared" si="29"/>
        <v>0.20923520923520922</v>
      </c>
      <c r="BP220" s="64">
        <f t="shared" si="30"/>
        <v>0.21212121212121213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155</v>
      </c>
      <c r="Y223" s="634">
        <f t="shared" si="26"/>
        <v>155.4</v>
      </c>
      <c r="Z223" s="36">
        <f>IFERROR(IF(Y223=0,"",ROUNDUP(Y223/H223,0)*0.00502),"")</f>
        <v>0.37148000000000003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164.59523809523807</v>
      </c>
      <c r="BN223" s="64">
        <f t="shared" si="28"/>
        <v>165.02</v>
      </c>
      <c r="BO223" s="64">
        <f t="shared" si="29"/>
        <v>0.31542531542531543</v>
      </c>
      <c r="BP223" s="64">
        <f t="shared" si="30"/>
        <v>0.31623931623931628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15</v>
      </c>
      <c r="Y227" s="634">
        <f t="shared" si="26"/>
        <v>16.2</v>
      </c>
      <c r="Z227" s="36">
        <f>IFERROR(IF(Y227=0,"",ROUNDUP(Y227/H227,0)*0.00502),"")</f>
        <v>4.5179999999999998E-2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16.083333333333332</v>
      </c>
      <c r="BN227" s="64">
        <f t="shared" si="28"/>
        <v>17.369999999999997</v>
      </c>
      <c r="BO227" s="64">
        <f t="shared" si="29"/>
        <v>3.561253561253562E-2</v>
      </c>
      <c r="BP227" s="64">
        <f t="shared" si="30"/>
        <v>3.8461538461538464E-2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6</v>
      </c>
      <c r="Y228" s="634">
        <f t="shared" si="26"/>
        <v>6.4</v>
      </c>
      <c r="Z228" s="36">
        <f>IFERROR(IF(Y228=0,"",ROUNDUP(Y228/H228,0)*0.00417),"")</f>
        <v>3.3360000000000001E-2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7.5750000000000002</v>
      </c>
      <c r="BN228" s="64">
        <f t="shared" si="28"/>
        <v>8.08</v>
      </c>
      <c r="BO228" s="64">
        <f t="shared" si="29"/>
        <v>2.4038461538461536E-2</v>
      </c>
      <c r="BP228" s="64">
        <f t="shared" si="30"/>
        <v>2.564102564102564E-2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141.07142857142858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143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0.91905999999999999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392</v>
      </c>
      <c r="Y233" s="635">
        <f>IFERROR(SUM(Y218:Y231),"0")</f>
        <v>396.40000000000003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14</v>
      </c>
      <c r="Y245" s="634">
        <f>IFERROR(IF(X245="",0,CEILING((X245/$H245),1)*$H245),"")</f>
        <v>15.120000000000001</v>
      </c>
      <c r="Z245" s="36">
        <f>IFERROR(IF(Y245=0,"",ROUNDUP(Y245/H245,0)*0.0059),"")</f>
        <v>7.0800000000000002E-2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16.111111111111111</v>
      </c>
      <c r="BN245" s="64">
        <f>IFERROR(Y245*I245/H245,"0")</f>
        <v>17.399999999999999</v>
      </c>
      <c r="BO245" s="64">
        <f>IFERROR(1/J245*(X245/H245),"0")</f>
        <v>5.1440329218106991E-2</v>
      </c>
      <c r="BP245" s="64">
        <f>IFERROR(1/J245*(Y245/H245),"0")</f>
        <v>5.5555555555555552E-2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11.111111111111111</v>
      </c>
      <c r="Y246" s="635">
        <f>IFERROR(Y243/H243,"0")+IFERROR(Y244/H244,"0")+IFERROR(Y245/H245,"0")</f>
        <v>12</v>
      </c>
      <c r="Z246" s="635">
        <f>IFERROR(IF(Z243="",0,Z243),"0")+IFERROR(IF(Z244="",0,Z244),"0")+IFERROR(IF(Z245="",0,Z245),"0")</f>
        <v>7.0800000000000002E-2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14</v>
      </c>
      <c r="Y247" s="635">
        <f>IFERROR(SUM(Y243:Y245),"0")</f>
        <v>15.120000000000001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3</v>
      </c>
      <c r="Y249" s="634">
        <f>IFERROR(IF(X249="",0,CEILING((X249/$H249),1)*$H249),"")</f>
        <v>3.7800000000000002</v>
      </c>
      <c r="Z249" s="36">
        <f>IFERROR(IF(Y249=0,"",ROUNDUP(Y249/H249,0)*0.0059),"")</f>
        <v>1.77E-2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3.4523809523809521</v>
      </c>
      <c r="BN249" s="64">
        <f>IFERROR(Y249*I249/H249,"0")</f>
        <v>4.3499999999999996</v>
      </c>
      <c r="BO249" s="64">
        <f>IFERROR(1/J249*(X249/H249),"0")</f>
        <v>1.1022927689594356E-2</v>
      </c>
      <c r="BP249" s="64">
        <f>IFERROR(1/J249*(Y249/H249),"0")</f>
        <v>1.3888888888888888E-2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2.3809523809523809</v>
      </c>
      <c r="Y250" s="635">
        <f>IFERROR(Y249/H249,"0")</f>
        <v>3</v>
      </c>
      <c r="Z250" s="635">
        <f>IFERROR(IF(Z249="",0,Z249),"0")</f>
        <v>1.77E-2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3</v>
      </c>
      <c r="Y251" s="635">
        <f>IFERROR(SUM(Y249:Y249),"0")</f>
        <v>3.7800000000000002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370</v>
      </c>
      <c r="Y264" s="634">
        <f t="shared" ref="Y264:Y271" si="31">IFERROR(IF(X264="",0,CEILING((X264/$H264),1)*$H264),"")</f>
        <v>372.6</v>
      </c>
      <c r="Z264" s="36">
        <f>IFERROR(IF(Y264=0,"",ROUNDUP(Y264/H264,0)*0.00902),"")</f>
        <v>0.62238000000000004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383.01851851851842</v>
      </c>
      <c r="BN264" s="64">
        <f t="shared" ref="BN264:BN271" si="33">IFERROR(Y264*I264/H264,"0")</f>
        <v>385.71000000000004</v>
      </c>
      <c r="BO264" s="64">
        <f t="shared" ref="BO264:BO271" si="34">IFERROR(1/J264*(X264/H264),"0")</f>
        <v>0.51907968574635244</v>
      </c>
      <c r="BP264" s="64">
        <f t="shared" ref="BP264:BP271" si="35">IFERROR(1/J264*(Y264/H264),"0")</f>
        <v>0.52272727272727271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100</v>
      </c>
      <c r="Y265" s="634">
        <f t="shared" si="31"/>
        <v>102.60000000000001</v>
      </c>
      <c r="Z265" s="36">
        <f>IFERROR(IF(Y265=0,"",ROUNDUP(Y265/H265,0)*0.00902),"")</f>
        <v>0.17138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103.5185185185185</v>
      </c>
      <c r="BN265" s="64">
        <f t="shared" si="33"/>
        <v>106.21</v>
      </c>
      <c r="BO265" s="64">
        <f t="shared" si="34"/>
        <v>0.14029180695847362</v>
      </c>
      <c r="BP265" s="64">
        <f t="shared" si="35"/>
        <v>0.14393939393939395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150</v>
      </c>
      <c r="Y266" s="634">
        <f t="shared" si="31"/>
        <v>151.20000000000002</v>
      </c>
      <c r="Z266" s="36">
        <f>IFERROR(IF(Y266=0,"",ROUNDUP(Y266/H266,0)*0.00902),"")</f>
        <v>0.25256000000000001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155.27777777777777</v>
      </c>
      <c r="BN266" s="64">
        <f t="shared" si="33"/>
        <v>156.52000000000001</v>
      </c>
      <c r="BO266" s="64">
        <f t="shared" si="34"/>
        <v>0.21043771043771042</v>
      </c>
      <c r="BP266" s="64">
        <f t="shared" si="35"/>
        <v>0.21212121212121213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100</v>
      </c>
      <c r="Y267" s="634">
        <f t="shared" si="31"/>
        <v>102.60000000000001</v>
      </c>
      <c r="Z267" s="36">
        <f>IFERROR(IF(Y267=0,"",ROUNDUP(Y267/H267,0)*0.00902),"")</f>
        <v>0.17138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103.5185185185185</v>
      </c>
      <c r="BN267" s="64">
        <f t="shared" si="33"/>
        <v>106.21</v>
      </c>
      <c r="BO267" s="64">
        <f t="shared" si="34"/>
        <v>0.14029180695847362</v>
      </c>
      <c r="BP267" s="64">
        <f t="shared" si="35"/>
        <v>0.14393939393939395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133.33333333333331</v>
      </c>
      <c r="Y272" s="635">
        <f>IFERROR(Y264/H264,"0")+IFERROR(Y265/H265,"0")+IFERROR(Y266/H266,"0")+IFERROR(Y267/H267,"0")+IFERROR(Y268/H268,"0")+IFERROR(Y269/H269,"0")+IFERROR(Y270/H270,"0")+IFERROR(Y271/H271,"0")</f>
        <v>135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1.2177000000000002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720</v>
      </c>
      <c r="Y273" s="635">
        <f>IFERROR(SUM(Y264:Y271),"0")</f>
        <v>729.00000000000011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20</v>
      </c>
      <c r="Y275" s="634">
        <f t="shared" ref="Y275:Y285" si="36">IFERROR(IF(X275="",0,CEILING((X275/$H275),1)*$H275),"")</f>
        <v>24.299999999999997</v>
      </c>
      <c r="Z275" s="36">
        <f>IFERROR(IF(Y275=0,"",ROUNDUP(Y275/H275,0)*0.01898),"")</f>
        <v>5.6940000000000004E-2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21.219753086419754</v>
      </c>
      <c r="BN275" s="64">
        <f t="shared" ref="BN275:BN285" si="38">IFERROR(Y275*I275/H275,"0")</f>
        <v>25.781999999999996</v>
      </c>
      <c r="BO275" s="64">
        <f t="shared" ref="BO275:BO285" si="39">IFERROR(1/J275*(X275/H275),"0")</f>
        <v>3.8580246913580252E-2</v>
      </c>
      <c r="BP275" s="64">
        <f t="shared" ref="BP275:BP285" si="40">IFERROR(1/J275*(Y275/H275),"0")</f>
        <v>4.6875E-2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450</v>
      </c>
      <c r="Y276" s="634">
        <f t="shared" si="36"/>
        <v>453.59999999999997</v>
      </c>
      <c r="Z276" s="36">
        <f>IFERROR(IF(Y276=0,"",ROUNDUP(Y276/H276,0)*0.01898),"")</f>
        <v>1.06288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476.44444444444451</v>
      </c>
      <c r="BN276" s="64">
        <f t="shared" si="38"/>
        <v>480.25599999999997</v>
      </c>
      <c r="BO276" s="64">
        <f t="shared" si="39"/>
        <v>0.86805555555555558</v>
      </c>
      <c r="BP276" s="64">
        <f t="shared" si="40"/>
        <v>0.875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73</v>
      </c>
      <c r="Y277" s="634">
        <f t="shared" si="36"/>
        <v>78.3</v>
      </c>
      <c r="Z277" s="36">
        <f>IFERROR(IF(Y277=0,"",ROUNDUP(Y277/H277,0)*0.01898),"")</f>
        <v>0.17082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77.14505747126438</v>
      </c>
      <c r="BN277" s="64">
        <f t="shared" si="38"/>
        <v>82.746000000000009</v>
      </c>
      <c r="BO277" s="64">
        <f t="shared" si="39"/>
        <v>0.13110632183908047</v>
      </c>
      <c r="BP277" s="64">
        <f t="shared" si="40"/>
        <v>0.140625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114</v>
      </c>
      <c r="Y278" s="634">
        <f t="shared" si="36"/>
        <v>115.19999999999999</v>
      </c>
      <c r="Z278" s="36">
        <f>IFERROR(IF(Y278=0,"",ROUNDUP(Y278/H278,0)*0.00651),"")</f>
        <v>0.31247999999999998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126.825</v>
      </c>
      <c r="BN278" s="64">
        <f t="shared" si="38"/>
        <v>128.15999999999997</v>
      </c>
      <c r="BO278" s="64">
        <f t="shared" si="39"/>
        <v>0.26098901098901101</v>
      </c>
      <c r="BP278" s="64">
        <f t="shared" si="40"/>
        <v>0.26373626373626374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620</v>
      </c>
      <c r="Y280" s="634">
        <f t="shared" si="36"/>
        <v>621.6</v>
      </c>
      <c r="Z280" s="36">
        <f>IFERROR(IF(Y280=0,"",ROUNDUP(Y280/H280,0)*0.00651),"")</f>
        <v>1.6860900000000001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685.1</v>
      </c>
      <c r="BN280" s="64">
        <f t="shared" si="38"/>
        <v>686.86800000000005</v>
      </c>
      <c r="BO280" s="64">
        <f t="shared" si="39"/>
        <v>1.4194139194139197</v>
      </c>
      <c r="BP280" s="64">
        <f t="shared" si="40"/>
        <v>1.4230769230769231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160</v>
      </c>
      <c r="Y282" s="634">
        <f t="shared" si="36"/>
        <v>160.79999999999998</v>
      </c>
      <c r="Z282" s="36">
        <f>IFERROR(IF(Y282=0,"",ROUNDUP(Y282/H282,0)*0.00651),"")</f>
        <v>0.43617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176.80000000000004</v>
      </c>
      <c r="BN282" s="64">
        <f t="shared" si="38"/>
        <v>177.684</v>
      </c>
      <c r="BO282" s="64">
        <f t="shared" si="39"/>
        <v>0.36630036630036633</v>
      </c>
      <c r="BP282" s="64">
        <f t="shared" si="40"/>
        <v>0.36813186813186816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148</v>
      </c>
      <c r="Y284" s="634">
        <f t="shared" si="36"/>
        <v>148.79999999999998</v>
      </c>
      <c r="Z284" s="36">
        <f>IFERROR(IF(Y284=0,"",ROUNDUP(Y284/H284,0)*0.00651),"")</f>
        <v>0.40362000000000003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163.91000000000003</v>
      </c>
      <c r="BN284" s="64">
        <f t="shared" si="38"/>
        <v>164.79599999999999</v>
      </c>
      <c r="BO284" s="64">
        <f t="shared" si="39"/>
        <v>0.3388278388278389</v>
      </c>
      <c r="BP284" s="64">
        <f t="shared" si="40"/>
        <v>0.34065934065934067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500.58216262239262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504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4.1290000000000004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1585</v>
      </c>
      <c r="Y287" s="635">
        <f>IFERROR(SUM(Y275:Y285),"0")</f>
        <v>1602.6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24</v>
      </c>
      <c r="Y289" s="634">
        <f>IFERROR(IF(X289="",0,CEILING((X289/$H289),1)*$H289),"")</f>
        <v>24</v>
      </c>
      <c r="Z289" s="36">
        <f>IFERROR(IF(Y289=0,"",ROUNDUP(Y289/H289,0)*0.00651),"")</f>
        <v>6.5100000000000005E-2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26.520000000000003</v>
      </c>
      <c r="BN289" s="64">
        <f>IFERROR(Y289*I289/H289,"0")</f>
        <v>26.520000000000003</v>
      </c>
      <c r="BO289" s="64">
        <f>IFERROR(1/J289*(X289/H289),"0")</f>
        <v>5.4945054945054951E-2</v>
      </c>
      <c r="BP289" s="64">
        <f>IFERROR(1/J289*(Y289/H289),"0")</f>
        <v>5.4945054945054951E-2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6</v>
      </c>
      <c r="Y290" s="634">
        <f>IFERROR(IF(X290="",0,CEILING((X290/$H290),1)*$H290),"")</f>
        <v>7.1999999999999993</v>
      </c>
      <c r="Z290" s="36">
        <f>IFERROR(IF(Y290=0,"",ROUNDUP(Y290/H290,0)*0.00651),"")</f>
        <v>1.9529999999999999E-2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6.6300000000000008</v>
      </c>
      <c r="BN290" s="64">
        <f>IFERROR(Y290*I290/H290,"0")</f>
        <v>7.9560000000000004</v>
      </c>
      <c r="BO290" s="64">
        <f>IFERROR(1/J290*(X290/H290),"0")</f>
        <v>1.3736263736263738E-2</v>
      </c>
      <c r="BP290" s="64">
        <f>IFERROR(1/J290*(Y290/H290),"0")</f>
        <v>1.6483516483516484E-2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12.5</v>
      </c>
      <c r="Y291" s="635">
        <f>IFERROR(Y289/H289,"0")+IFERROR(Y290/H290,"0")</f>
        <v>13</v>
      </c>
      <c r="Z291" s="635">
        <f>IFERROR(IF(Z289="",0,Z289),"0")+IFERROR(IF(Z290="",0,Z290),"0")</f>
        <v>8.4630000000000011E-2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30</v>
      </c>
      <c r="Y292" s="635">
        <f>IFERROR(SUM(Y289:Y290),"0")</f>
        <v>31.2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44</v>
      </c>
      <c r="Y295" s="634">
        <f t="shared" ref="Y295:Y301" si="41">IFERROR(IF(X295="",0,CEILING((X295/$H295),1)*$H295),"")</f>
        <v>46.4</v>
      </c>
      <c r="Z295" s="36">
        <f>IFERROR(IF(Y295=0,"",ROUNDUP(Y295/H295,0)*0.01898),"")</f>
        <v>7.5920000000000001E-2</v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45.555172413793102</v>
      </c>
      <c r="BN295" s="64">
        <f t="shared" ref="BN295:BN301" si="43">IFERROR(Y295*I295/H295,"0")</f>
        <v>48.04</v>
      </c>
      <c r="BO295" s="64">
        <f t="shared" ref="BO295:BO301" si="44">IFERROR(1/J295*(X295/H295),"0")</f>
        <v>5.9267241379310345E-2</v>
      </c>
      <c r="BP295" s="64">
        <f t="shared" ref="BP295:BP301" si="45">IFERROR(1/J295*(Y295/H295),"0")</f>
        <v>6.25E-2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81</v>
      </c>
      <c r="Y301" s="634">
        <f t="shared" si="41"/>
        <v>84</v>
      </c>
      <c r="Z301" s="36">
        <f>IFERROR(IF(Y301=0,"",ROUNDUP(Y301/H301,0)*0.00902),"")</f>
        <v>0.18942000000000001</v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84.847500000000011</v>
      </c>
      <c r="BN301" s="64">
        <f t="shared" si="43"/>
        <v>87.990000000000009</v>
      </c>
      <c r="BO301" s="64">
        <f t="shared" si="44"/>
        <v>0.15340909090909091</v>
      </c>
      <c r="BP301" s="64">
        <f t="shared" si="45"/>
        <v>0.15909090909090909</v>
      </c>
    </row>
    <row r="302" spans="1:68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24.043103448275861</v>
      </c>
      <c r="Y302" s="635">
        <f>IFERROR(Y295/H295,"0")+IFERROR(Y296/H296,"0")+IFERROR(Y297/H297,"0")+IFERROR(Y298/H298,"0")+IFERROR(Y299/H299,"0")+IFERROR(Y300/H300,"0")+IFERROR(Y301/H301,"0")</f>
        <v>25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0.26534000000000002</v>
      </c>
      <c r="AA302" s="636"/>
      <c r="AB302" s="636"/>
      <c r="AC302" s="636"/>
    </row>
    <row r="303" spans="1:68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125</v>
      </c>
      <c r="Y303" s="635">
        <f>IFERROR(SUM(Y295:Y301),"0")</f>
        <v>130.4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1</v>
      </c>
      <c r="Y309" s="634">
        <f>IFERROR(IF(X309="",0,CEILING((X309/$H309),1)*$H309),"")</f>
        <v>1.8</v>
      </c>
      <c r="Z309" s="36">
        <f>IFERROR(IF(Y309=0,"",ROUNDUP(Y309/H309,0)*0.0059),"")</f>
        <v>5.8999999999999999E-3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1.0972222222222223</v>
      </c>
      <c r="BN309" s="64">
        <f>IFERROR(Y309*I309/H309,"0")</f>
        <v>1.9750000000000001</v>
      </c>
      <c r="BO309" s="64">
        <f>IFERROR(1/J309*(X309/H309),"0")</f>
        <v>2.5720164609053498E-3</v>
      </c>
      <c r="BP309" s="64">
        <f>IFERROR(1/J309*(Y309/H309),"0")</f>
        <v>4.6296296296296294E-3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0.55555555555555558</v>
      </c>
      <c r="Y310" s="635">
        <f>IFERROR(Y309/H309,"0")</f>
        <v>1</v>
      </c>
      <c r="Z310" s="635">
        <f>IFERROR(IF(Z309="",0,Z309),"0")</f>
        <v>5.8999999999999999E-3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1</v>
      </c>
      <c r="Y311" s="635">
        <f>IFERROR(SUM(Y309:Y309),"0")</f>
        <v>1.8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237</v>
      </c>
      <c r="Y333" s="634">
        <f>IFERROR(IF(X333="",0,CEILING((X333/$H333),1)*$H333),"")</f>
        <v>237.6</v>
      </c>
      <c r="Z333" s="36">
        <f>IFERROR(IF(Y333=0,"",ROUNDUP(Y333/H333,0)*0.00651),"")</f>
        <v>0.64449000000000001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261.88499999999999</v>
      </c>
      <c r="BN333" s="64">
        <f>IFERROR(Y333*I333/H333,"0")</f>
        <v>262.54800000000006</v>
      </c>
      <c r="BO333" s="64">
        <f>IFERROR(1/J333*(X333/H333),"0")</f>
        <v>0.54258241758241765</v>
      </c>
      <c r="BP333" s="64">
        <f>IFERROR(1/J333*(Y333/H333),"0")</f>
        <v>0.54395604395604402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92</v>
      </c>
      <c r="Y334" s="634">
        <f>IFERROR(IF(X334="",0,CEILING((X334/$H334),1)*$H334),"")</f>
        <v>93.6</v>
      </c>
      <c r="Z334" s="36">
        <f>IFERROR(IF(Y334=0,"",ROUNDUP(Y334/H334,0)*0.00651),"")</f>
        <v>0.25389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98.9</v>
      </c>
      <c r="BN334" s="64">
        <f>IFERROR(Y334*I334/H334,"0")</f>
        <v>100.62</v>
      </c>
      <c r="BO334" s="64">
        <f>IFERROR(1/J334*(X334/H334),"0")</f>
        <v>0.21062271062271065</v>
      </c>
      <c r="BP334" s="64">
        <f>IFERROR(1/J334*(Y334/H334),"0")</f>
        <v>0.2142857142857143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137.08333333333334</v>
      </c>
      <c r="Y335" s="635">
        <f>IFERROR(Y332/H332,"0")+IFERROR(Y333/H333,"0")+IFERROR(Y334/H334,"0")</f>
        <v>138</v>
      </c>
      <c r="Z335" s="635">
        <f>IFERROR(IF(Z332="",0,Z332),"0")+IFERROR(IF(Z333="",0,Z333),"0")+IFERROR(IF(Z334="",0,Z334),"0")</f>
        <v>0.89837999999999996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329</v>
      </c>
      <c r="Y336" s="635">
        <f>IFERROR(SUM(Y332:Y334),"0")</f>
        <v>331.2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107</v>
      </c>
      <c r="Y362" s="634">
        <f>IFERROR(IF(X362="",0,CEILING((X362/$H362),1)*$H362),"")</f>
        <v>109.2</v>
      </c>
      <c r="Z362" s="36">
        <f>IFERROR(IF(Y362=0,"",ROUNDUP(Y362/H362,0)*0.01898),"")</f>
        <v>0.26572000000000001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112.624358974359</v>
      </c>
      <c r="BN362" s="64">
        <f>IFERROR(Y362*I362/H362,"0")</f>
        <v>114.94000000000003</v>
      </c>
      <c r="BO362" s="64">
        <f>IFERROR(1/J362*(X362/H362),"0")</f>
        <v>0.21434294871794873</v>
      </c>
      <c r="BP362" s="64">
        <f>IFERROR(1/J362*(Y362/H362),"0")</f>
        <v>0.21875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332</v>
      </c>
      <c r="Y363" s="634">
        <f>IFERROR(IF(X363="",0,CEILING((X363/$H363),1)*$H363),"")</f>
        <v>335.4</v>
      </c>
      <c r="Z363" s="36">
        <f>IFERROR(IF(Y363=0,"",ROUNDUP(Y363/H363,0)*0.01898),"")</f>
        <v>0.81613999999999998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349.45128205128208</v>
      </c>
      <c r="BN363" s="64">
        <f>IFERROR(Y363*I363/H363,"0")</f>
        <v>353.03000000000003</v>
      </c>
      <c r="BO363" s="64">
        <f>IFERROR(1/J363*(X363/H363),"0")</f>
        <v>0.66506410256410253</v>
      </c>
      <c r="BP363" s="64">
        <f>IFERROR(1/J363*(Y363/H363),"0")</f>
        <v>0.671875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68</v>
      </c>
      <c r="Y364" s="634">
        <f>IFERROR(IF(X364="",0,CEILING((X364/$H364),1)*$H364),"")</f>
        <v>70.2</v>
      </c>
      <c r="Z364" s="36">
        <f>IFERROR(IF(Y364=0,"",ROUNDUP(Y364/H364,0)*0.01898),"")</f>
        <v>0.17082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71.574358974358987</v>
      </c>
      <c r="BN364" s="64">
        <f>IFERROR(Y364*I364/H364,"0")</f>
        <v>73.890000000000015</v>
      </c>
      <c r="BO364" s="64">
        <f>IFERROR(1/J364*(X364/H364),"0")</f>
        <v>0.13621794871794873</v>
      </c>
      <c r="BP364" s="64">
        <f>IFERROR(1/J364*(Y364/H364),"0")</f>
        <v>0.140625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65</v>
      </c>
      <c r="Y365" s="635">
        <f>IFERROR(Y362/H362,"0")+IFERROR(Y363/H363,"0")+IFERROR(Y364/H364,"0")</f>
        <v>66</v>
      </c>
      <c r="Z365" s="635">
        <f>IFERROR(IF(Z362="",0,Z362),"0")+IFERROR(IF(Z363="",0,Z363),"0")+IFERROR(IF(Z364="",0,Z364),"0")</f>
        <v>1.25268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507</v>
      </c>
      <c r="Y366" s="635">
        <f>IFERROR(SUM(Y362:Y364),"0")</f>
        <v>514.79999999999995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95</v>
      </c>
      <c r="Y373" s="634">
        <f t="shared" si="51"/>
        <v>97.2</v>
      </c>
      <c r="Z373" s="36">
        <f>IFERROR(IF(Y373=0,"",ROUNDUP(Y373/H373,0)*0.01898),"")</f>
        <v>0.17082</v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98.606481481481481</v>
      </c>
      <c r="BN373" s="64">
        <f t="shared" si="53"/>
        <v>100.89</v>
      </c>
      <c r="BO373" s="64">
        <f t="shared" si="54"/>
        <v>0.13744212962962962</v>
      </c>
      <c r="BP373" s="64">
        <f t="shared" si="55"/>
        <v>0.140625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8.7962962962962958</v>
      </c>
      <c r="Y376" s="635">
        <f>IFERROR(Y369/H369,"0")+IFERROR(Y370/H370,"0")+IFERROR(Y371/H371,"0")+IFERROR(Y372/H372,"0")+IFERROR(Y373/H373,"0")+IFERROR(Y374/H374,"0")+IFERROR(Y375/H375,"0")</f>
        <v>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0.17082</v>
      </c>
      <c r="AA376" s="636"/>
      <c r="AB376" s="636"/>
      <c r="AC376" s="636"/>
    </row>
    <row r="377" spans="1:68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95</v>
      </c>
      <c r="Y377" s="635">
        <f>IFERROR(SUM(Y369:Y375),"0")</f>
        <v>97.2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18</v>
      </c>
      <c r="Y385" s="634">
        <f t="shared" si="56"/>
        <v>18</v>
      </c>
      <c r="Z385" s="36">
        <f>IFERROR(IF(Y385=0,"",ROUNDUP(Y385/H385,0)*0.00651),"")</f>
        <v>6.5100000000000005E-2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20.279999999999998</v>
      </c>
      <c r="BN385" s="64">
        <f t="shared" si="58"/>
        <v>20.279999999999998</v>
      </c>
      <c r="BO385" s="64">
        <f t="shared" si="59"/>
        <v>5.4945054945054951E-2</v>
      </c>
      <c r="BP385" s="64">
        <f t="shared" si="60"/>
        <v>5.4945054945054951E-2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10</v>
      </c>
      <c r="Y386" s="635">
        <f>IFERROR(Y379/H379,"0")+IFERROR(Y380/H380,"0")+IFERROR(Y381/H381,"0")+IFERROR(Y382/H382,"0")+IFERROR(Y383/H383,"0")+IFERROR(Y384/H384,"0")+IFERROR(Y385/H385,"0")</f>
        <v>10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6.5100000000000005E-2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18</v>
      </c>
      <c r="Y387" s="635">
        <f>IFERROR(SUM(Y379:Y385),"0")</f>
        <v>18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50</v>
      </c>
      <c r="Y389" s="634">
        <f>IFERROR(IF(X389="",0,CEILING((X389/$H389),1)*$H389),"")</f>
        <v>54.6</v>
      </c>
      <c r="Z389" s="36">
        <f>IFERROR(IF(Y389=0,"",ROUNDUP(Y389/H389,0)*0.01898),"")</f>
        <v>0.13286000000000001</v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53.128205128205131</v>
      </c>
      <c r="BN389" s="64">
        <f>IFERROR(Y389*I389/H389,"0")</f>
        <v>58.016000000000005</v>
      </c>
      <c r="BO389" s="64">
        <f>IFERROR(1/J389*(X389/H389),"0")</f>
        <v>0.10016025641025642</v>
      </c>
      <c r="BP389" s="64">
        <f>IFERROR(1/J389*(Y389/H389),"0")</f>
        <v>0.109375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6.4102564102564106</v>
      </c>
      <c r="Y393" s="635">
        <f>IFERROR(Y389/H389,"0")+IFERROR(Y390/H390,"0")+IFERROR(Y391/H391,"0")+IFERROR(Y392/H392,"0")</f>
        <v>7</v>
      </c>
      <c r="Z393" s="635">
        <f>IFERROR(IF(Z389="",0,Z389),"0")+IFERROR(IF(Z390="",0,Z390),"0")+IFERROR(IF(Z391="",0,Z391),"0")+IFERROR(IF(Z392="",0,Z392),"0")</f>
        <v>0.13286000000000001</v>
      </c>
      <c r="AA393" s="636"/>
      <c r="AB393" s="636"/>
      <c r="AC393" s="636"/>
    </row>
    <row r="394" spans="1:68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50</v>
      </c>
      <c r="Y394" s="635">
        <f>IFERROR(SUM(Y389:Y392),"0")</f>
        <v>54.6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165</v>
      </c>
      <c r="Y396" s="634">
        <f>IFERROR(IF(X396="",0,CEILING((X396/$H396),1)*$H396),"")</f>
        <v>168</v>
      </c>
      <c r="Z396" s="36">
        <f>IFERROR(IF(Y396=0,"",ROUNDUP(Y396/H396,0)*0.01898),"")</f>
        <v>0.37959999999999999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174.70357142857142</v>
      </c>
      <c r="BN396" s="64">
        <f>IFERROR(Y396*I396/H396,"0")</f>
        <v>177.88</v>
      </c>
      <c r="BO396" s="64">
        <f>IFERROR(1/J396*(X396/H396),"0")</f>
        <v>0.30691964285714285</v>
      </c>
      <c r="BP396" s="64">
        <f>IFERROR(1/J396*(Y396/H396),"0")</f>
        <v>0.3125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250</v>
      </c>
      <c r="Y397" s="634">
        <f>IFERROR(IF(X397="",0,CEILING((X397/$H397),1)*$H397),"")</f>
        <v>257.39999999999998</v>
      </c>
      <c r="Z397" s="36">
        <f>IFERROR(IF(Y397=0,"",ROUNDUP(Y397/H397,0)*0.01898),"")</f>
        <v>0.62634000000000001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265.83333333333331</v>
      </c>
      <c r="BN397" s="64">
        <f>IFERROR(Y397*I397/H397,"0")</f>
        <v>273.702</v>
      </c>
      <c r="BO397" s="64">
        <f>IFERROR(1/J397*(X397/H397),"0")</f>
        <v>0.50080128205128205</v>
      </c>
      <c r="BP397" s="64">
        <f>IFERROR(1/J397*(Y397/H397),"0")</f>
        <v>0.515625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51.694139194139197</v>
      </c>
      <c r="Y399" s="635">
        <f>IFERROR(Y396/H396,"0")+IFERROR(Y397/H397,"0")+IFERROR(Y398/H398,"0")</f>
        <v>53</v>
      </c>
      <c r="Z399" s="635">
        <f>IFERROR(IF(Z396="",0,Z396),"0")+IFERROR(IF(Z397="",0,Z397),"0")+IFERROR(IF(Z398="",0,Z398),"0")</f>
        <v>1.0059400000000001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415</v>
      </c>
      <c r="Y400" s="635">
        <f>IFERROR(SUM(Y396:Y398),"0")</f>
        <v>425.4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6</v>
      </c>
      <c r="Y404" s="634">
        <f>IFERROR(IF(X404="",0,CEILING((X404/$H404),1)*$H404),"")</f>
        <v>7.6499999999999995</v>
      </c>
      <c r="Z404" s="36">
        <f>IFERROR(IF(Y404=0,"",ROUNDUP(Y404/H404,0)*0.00651),"")</f>
        <v>1.9529999999999999E-2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6.9529411764705893</v>
      </c>
      <c r="BN404" s="64">
        <f>IFERROR(Y404*I404/H404,"0")</f>
        <v>8.8650000000000002</v>
      </c>
      <c r="BO404" s="64">
        <f>IFERROR(1/J404*(X404/H404),"0")</f>
        <v>1.292824822236587E-2</v>
      </c>
      <c r="BP404" s="64">
        <f>IFERROR(1/J404*(Y404/H404),"0")</f>
        <v>1.6483516483516484E-2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25</v>
      </c>
      <c r="Y405" s="634">
        <f>IFERROR(IF(X405="",0,CEILING((X405/$H405),1)*$H405),"")</f>
        <v>25.5</v>
      </c>
      <c r="Z405" s="36">
        <f>IFERROR(IF(Y405=0,"",ROUNDUP(Y405/H405,0)*0.00651),"")</f>
        <v>6.5100000000000005E-2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28.235294117647062</v>
      </c>
      <c r="BN405" s="64">
        <f>IFERROR(Y405*I405/H405,"0")</f>
        <v>28.8</v>
      </c>
      <c r="BO405" s="64">
        <f>IFERROR(1/J405*(X405/H405),"0")</f>
        <v>5.3867700926524466E-2</v>
      </c>
      <c r="BP405" s="64">
        <f>IFERROR(1/J405*(Y405/H405),"0")</f>
        <v>5.4945054945054951E-2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12.15686274509804</v>
      </c>
      <c r="Y406" s="635">
        <f>IFERROR(Y402/H402,"0")+IFERROR(Y403/H403,"0")+IFERROR(Y404/H404,"0")+IFERROR(Y405/H405,"0")</f>
        <v>13</v>
      </c>
      <c r="Z406" s="635">
        <f>IFERROR(IF(Z402="",0,Z402),"0")+IFERROR(IF(Z403="",0,Z403),"0")+IFERROR(IF(Z404="",0,Z404),"0")+IFERROR(IF(Z405="",0,Z405),"0")</f>
        <v>8.4630000000000011E-2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31</v>
      </c>
      <c r="Y407" s="635">
        <f>IFERROR(SUM(Y402:Y405),"0")</f>
        <v>33.15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14</v>
      </c>
      <c r="Y409" s="634">
        <f>IFERROR(IF(X409="",0,CEILING((X409/$H409),1)*$H409),"")</f>
        <v>14</v>
      </c>
      <c r="Z409" s="36">
        <f>IFERROR(IF(Y409=0,"",ROUNDUP(Y409/H409,0)*0.00474),"")</f>
        <v>3.3180000000000001E-2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15.680000000000001</v>
      </c>
      <c r="BN409" s="64">
        <f>IFERROR(Y409*I409/H409,"0")</f>
        <v>15.680000000000001</v>
      </c>
      <c r="BO409" s="64">
        <f>IFERROR(1/J409*(X409/H409),"0")</f>
        <v>2.9411764705882353E-2</v>
      </c>
      <c r="BP409" s="64">
        <f>IFERROR(1/J409*(Y409/H409),"0")</f>
        <v>2.9411764705882353E-2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8</v>
      </c>
      <c r="Y410" s="634">
        <f>IFERROR(IF(X410="",0,CEILING((X410/$H410),1)*$H410),"")</f>
        <v>8</v>
      </c>
      <c r="Z410" s="36">
        <f>IFERROR(IF(Y410=0,"",ROUNDUP(Y410/H410,0)*0.00474),"")</f>
        <v>1.8960000000000001E-2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8.9600000000000009</v>
      </c>
      <c r="BN410" s="64">
        <f>IFERROR(Y410*I410/H410,"0")</f>
        <v>8.9600000000000009</v>
      </c>
      <c r="BO410" s="64">
        <f>IFERROR(1/J410*(X410/H410),"0")</f>
        <v>1.680672268907563E-2</v>
      </c>
      <c r="BP410" s="64">
        <f>IFERROR(1/J410*(Y410/H410),"0")</f>
        <v>1.680672268907563E-2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12</v>
      </c>
      <c r="Y411" s="634">
        <f>IFERROR(IF(X411="",0,CEILING((X411/$H411),1)*$H411),"")</f>
        <v>12</v>
      </c>
      <c r="Z411" s="36">
        <f>IFERROR(IF(Y411=0,"",ROUNDUP(Y411/H411,0)*0.00474),"")</f>
        <v>2.844E-2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13.440000000000001</v>
      </c>
      <c r="BN411" s="64">
        <f>IFERROR(Y411*I411/H411,"0")</f>
        <v>13.440000000000001</v>
      </c>
      <c r="BO411" s="64">
        <f>IFERROR(1/J411*(X411/H411),"0")</f>
        <v>2.5210084033613446E-2</v>
      </c>
      <c r="BP411" s="64">
        <f>IFERROR(1/J411*(Y411/H411),"0")</f>
        <v>2.5210084033613446E-2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17</v>
      </c>
      <c r="Y412" s="635">
        <f>IFERROR(Y409/H409,"0")+IFERROR(Y410/H410,"0")+IFERROR(Y411/H411,"0")</f>
        <v>17</v>
      </c>
      <c r="Z412" s="635">
        <f>IFERROR(IF(Z409="",0,Z409),"0")+IFERROR(IF(Z410="",0,Z410),"0")+IFERROR(IF(Z411="",0,Z411),"0")</f>
        <v>8.0580000000000013E-2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34</v>
      </c>
      <c r="Y413" s="635">
        <f>IFERROR(SUM(Y409:Y411),"0")</f>
        <v>34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205</v>
      </c>
      <c r="Y438" s="634">
        <f t="shared" ref="Y438:Y445" si="61">IFERROR(IF(X438="",0,CEILING((X438/$H438),1)*$H438),"")</f>
        <v>210</v>
      </c>
      <c r="Z438" s="36">
        <f>IFERROR(IF(Y438=0,"",ROUNDUP(Y438/H438,0)*0.02175),"")</f>
        <v>0.30449999999999999</v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211.42333333333332</v>
      </c>
      <c r="BN438" s="64">
        <f t="shared" ref="BN438:BN445" si="63">IFERROR(Y438*I438/H438,"0")</f>
        <v>216.58</v>
      </c>
      <c r="BO438" s="64">
        <f t="shared" ref="BO438:BO445" si="64">IFERROR(1/J438*(X438/H438),"0")</f>
        <v>0.28472222222222221</v>
      </c>
      <c r="BP438" s="64">
        <f t="shared" ref="BP438:BP445" si="65">IFERROR(1/J438*(Y438/H438),"0")</f>
        <v>0.29166666666666663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967</v>
      </c>
      <c r="Y439" s="634">
        <f t="shared" si="61"/>
        <v>975</v>
      </c>
      <c r="Z439" s="36">
        <f>IFERROR(IF(Y439=0,"",ROUNDUP(Y439/H439,0)*0.02175),"")</f>
        <v>1.4137499999999998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997.29933333333327</v>
      </c>
      <c r="BN439" s="64">
        <f t="shared" si="63"/>
        <v>1005.55</v>
      </c>
      <c r="BO439" s="64">
        <f t="shared" si="64"/>
        <v>1.3430555555555554</v>
      </c>
      <c r="BP439" s="64">
        <f t="shared" si="65"/>
        <v>1.3541666666666665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450</v>
      </c>
      <c r="Y440" s="634">
        <f t="shared" si="61"/>
        <v>450</v>
      </c>
      <c r="Z440" s="36">
        <f>IFERROR(IF(Y440=0,"",ROUNDUP(Y440/H440,0)*0.02175),"")</f>
        <v>0.65249999999999997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464.1</v>
      </c>
      <c r="BN440" s="64">
        <f t="shared" si="63"/>
        <v>464.1</v>
      </c>
      <c r="BO440" s="64">
        <f t="shared" si="64"/>
        <v>0.625</v>
      </c>
      <c r="BP440" s="64">
        <f t="shared" si="65"/>
        <v>0.625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380</v>
      </c>
      <c r="Y441" s="634">
        <f t="shared" si="61"/>
        <v>390</v>
      </c>
      <c r="Z441" s="36">
        <f>IFERROR(IF(Y441=0,"",ROUNDUP(Y441/H441,0)*0.02175),"")</f>
        <v>0.5655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391.90666666666669</v>
      </c>
      <c r="BN441" s="64">
        <f t="shared" si="63"/>
        <v>402.22</v>
      </c>
      <c r="BO441" s="64">
        <f t="shared" si="64"/>
        <v>0.52777777777777768</v>
      </c>
      <c r="BP441" s="64">
        <f t="shared" si="65"/>
        <v>0.54166666666666663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1087</v>
      </c>
      <c r="Y442" s="634">
        <f t="shared" si="61"/>
        <v>1095</v>
      </c>
      <c r="Z442" s="36">
        <f>IFERROR(IF(Y442=0,"",ROUNDUP(Y442/H442,0)*0.02175),"")</f>
        <v>1.58775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1121.0593333333334</v>
      </c>
      <c r="BN442" s="64">
        <f t="shared" si="63"/>
        <v>1129.3100000000002</v>
      </c>
      <c r="BO442" s="64">
        <f t="shared" si="64"/>
        <v>1.5097222222222222</v>
      </c>
      <c r="BP442" s="64">
        <f t="shared" si="65"/>
        <v>1.5208333333333333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205.93333333333334</v>
      </c>
      <c r="Y446" s="635">
        <f>IFERROR(Y438/H438,"0")+IFERROR(Y439/H439,"0")+IFERROR(Y440/H440,"0")+IFERROR(Y441/H441,"0")+IFERROR(Y442/H442,"0")+IFERROR(Y443/H443,"0")+IFERROR(Y444/H444,"0")+IFERROR(Y445/H445,"0")</f>
        <v>208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4.524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3089</v>
      </c>
      <c r="Y447" s="635">
        <f>IFERROR(SUM(Y438:Y445),"0")</f>
        <v>3120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1025</v>
      </c>
      <c r="Y449" s="634">
        <f>IFERROR(IF(X449="",0,CEILING((X449/$H449),1)*$H449),"")</f>
        <v>1035</v>
      </c>
      <c r="Z449" s="36">
        <f>IFERROR(IF(Y449=0,"",ROUNDUP(Y449/H449,0)*0.02175),"")</f>
        <v>1.5007499999999998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1057.1166666666666</v>
      </c>
      <c r="BN449" s="64">
        <f>IFERROR(Y449*I449/H449,"0")</f>
        <v>1067.43</v>
      </c>
      <c r="BO449" s="64">
        <f>IFERROR(1/J449*(X449/H449),"0")</f>
        <v>1.4236111111111109</v>
      </c>
      <c r="BP449" s="64">
        <f>IFERROR(1/J449*(Y449/H449),"0")</f>
        <v>1.4375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68.333333333333329</v>
      </c>
      <c r="Y452" s="635">
        <f>IFERROR(Y449/H449,"0")+IFERROR(Y450/H450,"0")+IFERROR(Y451/H451,"0")</f>
        <v>69</v>
      </c>
      <c r="Z452" s="635">
        <f>IFERROR(IF(Z449="",0,Z449),"0")+IFERROR(IF(Z450="",0,Z450),"0")+IFERROR(IF(Z451="",0,Z451),"0")</f>
        <v>1.5007499999999998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1025</v>
      </c>
      <c r="Y453" s="635">
        <f>IFERROR(SUM(Y449:Y451),"0")</f>
        <v>1035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29</v>
      </c>
      <c r="Y462" s="634">
        <f>IFERROR(IF(X462="",0,CEILING((X462/$H462),1)*$H462),"")</f>
        <v>36</v>
      </c>
      <c r="Z462" s="36">
        <f>IFERROR(IF(Y462=0,"",ROUNDUP(Y462/H462,0)*0.01898),"")</f>
        <v>7.5920000000000001E-2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30.591777777777779</v>
      </c>
      <c r="BN462" s="64">
        <f>IFERROR(Y462*I462/H462,"0")</f>
        <v>37.975999999999999</v>
      </c>
      <c r="BO462" s="64">
        <f>IFERROR(1/J462*(X462/H462),"0")</f>
        <v>5.0347222222222224E-2</v>
      </c>
      <c r="BP462" s="64">
        <f>IFERROR(1/J462*(Y462/H462),"0")</f>
        <v>6.25E-2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3.2222222222222223</v>
      </c>
      <c r="Y463" s="635">
        <f>IFERROR(Y461/H461,"0")+IFERROR(Y462/H462,"0")</f>
        <v>4</v>
      </c>
      <c r="Z463" s="635">
        <f>IFERROR(IF(Z461="",0,Z461),"0")+IFERROR(IF(Z462="",0,Z462),"0")</f>
        <v>7.5920000000000001E-2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29</v>
      </c>
      <c r="Y464" s="635">
        <f>IFERROR(SUM(Y461:Y462),"0")</f>
        <v>36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632</v>
      </c>
      <c r="Y476" s="634">
        <f>IFERROR(IF(X476="",0,CEILING((X476/$H476),1)*$H476),"")</f>
        <v>639</v>
      </c>
      <c r="Z476" s="36">
        <f>IFERROR(IF(Y476=0,"",ROUNDUP(Y476/H476,0)*0.01898),"")</f>
        <v>1.34758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666.68977777777775</v>
      </c>
      <c r="BN476" s="64">
        <f>IFERROR(Y476*I476/H476,"0")</f>
        <v>674.07400000000007</v>
      </c>
      <c r="BO476" s="64">
        <f>IFERROR(1/J476*(X476/H476),"0")</f>
        <v>1.0972222222222223</v>
      </c>
      <c r="BP476" s="64">
        <f>IFERROR(1/J476*(Y476/H476),"0")</f>
        <v>1.109375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2</v>
      </c>
      <c r="Y477" s="634">
        <f>IFERROR(IF(X477="",0,CEILING((X477/$H477),1)*$H477),"")</f>
        <v>2.4</v>
      </c>
      <c r="Z477" s="36">
        <f>IFERROR(IF(Y477=0,"",ROUNDUP(Y477/H477,0)*0.00651),"")</f>
        <v>6.5100000000000002E-3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2.2200000000000002</v>
      </c>
      <c r="BN477" s="64">
        <f>IFERROR(Y477*I477/H477,"0")</f>
        <v>2.6640000000000001</v>
      </c>
      <c r="BO477" s="64">
        <f>IFERROR(1/J477*(X477/H477),"0")</f>
        <v>4.578754578754579E-3</v>
      </c>
      <c r="BP477" s="64">
        <f>IFERROR(1/J477*(Y477/H477),"0")</f>
        <v>5.4945054945054949E-3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71.055555555555557</v>
      </c>
      <c r="Y479" s="635">
        <f>IFERROR(Y476/H476,"0")+IFERROR(Y477/H477,"0")+IFERROR(Y478/H478,"0")</f>
        <v>72</v>
      </c>
      <c r="Z479" s="635">
        <f>IFERROR(IF(Z476="",0,Z476),"0")+IFERROR(IF(Z477="",0,Z477),"0")+IFERROR(IF(Z478="",0,Z478),"0")</f>
        <v>1.35409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634</v>
      </c>
      <c r="Y480" s="635">
        <f>IFERROR(SUM(Y476:Y478),"0")</f>
        <v>641.4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83</v>
      </c>
      <c r="Y512" s="634">
        <f t="shared" si="71"/>
        <v>84.48</v>
      </c>
      <c r="Z512" s="36">
        <f>IFERROR(IF(Y512=0,"",ROUNDUP(Y512/H512,0)*0.01196),"")</f>
        <v>0.19136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88.501893939393923</v>
      </c>
      <c r="BN512" s="64">
        <f t="shared" si="73"/>
        <v>90.08</v>
      </c>
      <c r="BO512" s="64">
        <f t="shared" si="74"/>
        <v>0.15115093240093241</v>
      </c>
      <c r="BP512" s="64">
        <f t="shared" si="75"/>
        <v>0.15384615384615385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264</v>
      </c>
      <c r="Y513" s="634">
        <f t="shared" si="71"/>
        <v>264</v>
      </c>
      <c r="Z513" s="36">
        <f>IFERROR(IF(Y513=0,"",ROUNDUP(Y513/H513,0)*0.01196),"")</f>
        <v>0.59799999999999998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281.5</v>
      </c>
      <c r="BN513" s="64">
        <f t="shared" si="73"/>
        <v>281.5</v>
      </c>
      <c r="BO513" s="64">
        <f t="shared" si="74"/>
        <v>0.48076923076923078</v>
      </c>
      <c r="BP513" s="64">
        <f t="shared" si="75"/>
        <v>0.48076923076923078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400</v>
      </c>
      <c r="Y514" s="634">
        <f t="shared" si="71"/>
        <v>401.28000000000003</v>
      </c>
      <c r="Z514" s="36">
        <f>IFERROR(IF(Y514=0,"",ROUNDUP(Y514/H514,0)*0.01196),"")</f>
        <v>0.90895999999999999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426.5151515151515</v>
      </c>
      <c r="BN514" s="64">
        <f t="shared" si="73"/>
        <v>427.88</v>
      </c>
      <c r="BO514" s="64">
        <f t="shared" si="74"/>
        <v>0.72843822843822836</v>
      </c>
      <c r="BP514" s="64">
        <f t="shared" si="75"/>
        <v>0.73076923076923084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50</v>
      </c>
      <c r="Y516" s="634">
        <f t="shared" si="71"/>
        <v>52.8</v>
      </c>
      <c r="Z516" s="36">
        <f>IFERROR(IF(Y516=0,"",ROUNDUP(Y516/H516,0)*0.00902),"")</f>
        <v>9.9220000000000003E-2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71.979166666666671</v>
      </c>
      <c r="BN516" s="64">
        <f t="shared" si="73"/>
        <v>76.010000000000005</v>
      </c>
      <c r="BO516" s="64">
        <f t="shared" si="74"/>
        <v>7.8914141414141423E-2</v>
      </c>
      <c r="BP516" s="64">
        <f t="shared" si="75"/>
        <v>8.3333333333333343E-2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151.89393939393938</v>
      </c>
      <c r="Y518" s="635">
        <f>IFERROR(Y510/H510,"0")+IFERROR(Y511/H511,"0")+IFERROR(Y512/H512,"0")+IFERROR(Y513/H513,"0")+IFERROR(Y514/H514,"0")+IFERROR(Y515/H515,"0")+IFERROR(Y516/H516,"0")+IFERROR(Y517/H517,"0")</f>
        <v>153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1.7975399999999999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797</v>
      </c>
      <c r="Y519" s="635">
        <f>IFERROR(SUM(Y510:Y517),"0")</f>
        <v>802.56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800</v>
      </c>
      <c r="Y521" s="634">
        <f>IFERROR(IF(X521="",0,CEILING((X521/$H521),1)*$H521),"")</f>
        <v>802.56000000000006</v>
      </c>
      <c r="Z521" s="36">
        <f>IFERROR(IF(Y521=0,"",ROUNDUP(Y521/H521,0)*0.01196),"")</f>
        <v>1.81792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853.030303030303</v>
      </c>
      <c r="BN521" s="64">
        <f>IFERROR(Y521*I521/H521,"0")</f>
        <v>855.76</v>
      </c>
      <c r="BO521" s="64">
        <f>IFERROR(1/J521*(X521/H521),"0")</f>
        <v>1.4568764568764567</v>
      </c>
      <c r="BP521" s="64">
        <f>IFERROR(1/J521*(Y521/H521),"0")</f>
        <v>1.4615384615384617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151.5151515151515</v>
      </c>
      <c r="Y524" s="635">
        <f>IFERROR(Y521/H521,"0")+IFERROR(Y522/H522,"0")+IFERROR(Y523/H523,"0")</f>
        <v>152</v>
      </c>
      <c r="Z524" s="635">
        <f>IFERROR(IF(Z521="",0,Z521),"0")+IFERROR(IF(Z522="",0,Z522),"0")+IFERROR(IF(Z523="",0,Z523),"0")</f>
        <v>1.81792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800</v>
      </c>
      <c r="Y525" s="635">
        <f>IFERROR(SUM(Y521:Y523),"0")</f>
        <v>802.56000000000006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298</v>
      </c>
      <c r="Y527" s="634">
        <f t="shared" ref="Y527:Y533" si="76">IFERROR(IF(X527="",0,CEILING((X527/$H527),1)*$H527),"")</f>
        <v>300.96000000000004</v>
      </c>
      <c r="Z527" s="36">
        <f>IFERROR(IF(Y527=0,"",ROUNDUP(Y527/H527,0)*0.01196),"")</f>
        <v>0.68171999999999999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317.75378787878788</v>
      </c>
      <c r="BN527" s="64">
        <f t="shared" ref="BN527:BN533" si="78">IFERROR(Y527*I527/H527,"0")</f>
        <v>320.91000000000003</v>
      </c>
      <c r="BO527" s="64">
        <f t="shared" ref="BO527:BO533" si="79">IFERROR(1/J527*(X527/H527),"0")</f>
        <v>0.54268648018648025</v>
      </c>
      <c r="BP527" s="64">
        <f t="shared" ref="BP527:BP533" si="80">IFERROR(1/J527*(Y527/H527),"0")</f>
        <v>0.54807692307692313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28</v>
      </c>
      <c r="Y528" s="634">
        <f t="shared" si="76"/>
        <v>31.68</v>
      </c>
      <c r="Z528" s="36">
        <f>IFERROR(IF(Y528=0,"",ROUNDUP(Y528/H528,0)*0.01196),"")</f>
        <v>7.1760000000000004E-2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29.856060606060602</v>
      </c>
      <c r="BN528" s="64">
        <f t="shared" si="78"/>
        <v>33.779999999999994</v>
      </c>
      <c r="BO528" s="64">
        <f t="shared" si="79"/>
        <v>5.0990675990675992E-2</v>
      </c>
      <c r="BP528" s="64">
        <f t="shared" si="80"/>
        <v>5.7692307692307696E-2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211</v>
      </c>
      <c r="Y529" s="634">
        <f t="shared" si="76"/>
        <v>211.20000000000002</v>
      </c>
      <c r="Z529" s="36">
        <f>IFERROR(IF(Y529=0,"",ROUNDUP(Y529/H529,0)*0.01196),"")</f>
        <v>0.47839999999999999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224.98674242424244</v>
      </c>
      <c r="BN529" s="64">
        <f t="shared" si="78"/>
        <v>225.2</v>
      </c>
      <c r="BO529" s="64">
        <f t="shared" si="79"/>
        <v>0.3842511655011655</v>
      </c>
      <c r="BP529" s="64">
        <f t="shared" si="80"/>
        <v>0.38461538461538464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2</v>
      </c>
      <c r="Y533" s="634">
        <f t="shared" si="76"/>
        <v>4.8</v>
      </c>
      <c r="Z533" s="36">
        <f>IFERROR(IF(Y533=0,"",ROUNDUP(Y533/H533,0)*0.00902),"")</f>
        <v>9.0200000000000002E-3</v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2.7791666666666668</v>
      </c>
      <c r="BN533" s="64">
        <f t="shared" si="78"/>
        <v>6.67</v>
      </c>
      <c r="BO533" s="64">
        <f t="shared" si="79"/>
        <v>3.1565656565656569E-3</v>
      </c>
      <c r="BP533" s="64">
        <f t="shared" si="80"/>
        <v>7.575757575757576E-3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102.12121212121212</v>
      </c>
      <c r="Y534" s="635">
        <f>IFERROR(Y527/H527,"0")+IFERROR(Y528/H528,"0")+IFERROR(Y529/H529,"0")+IFERROR(Y530/H530,"0")+IFERROR(Y531/H531,"0")+IFERROR(Y532/H532,"0")+IFERROR(Y533/H533,"0")</f>
        <v>104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1.2409000000000001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539</v>
      </c>
      <c r="Y535" s="635">
        <f>IFERROR(SUM(Y527:Y533),"0")</f>
        <v>548.64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50</v>
      </c>
      <c r="Y556" s="634">
        <f>IFERROR(IF(X556="",0,CEILING((X556/$H556),1)*$H556),"")</f>
        <v>54</v>
      </c>
      <c r="Z556" s="36">
        <f>IFERROR(IF(Y556=0,"",ROUNDUP(Y556/H556,0)*0.01898),"")</f>
        <v>0.11388000000000001</v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52.277777777777779</v>
      </c>
      <c r="BN556" s="64">
        <f>IFERROR(Y556*I556/H556,"0")</f>
        <v>56.46</v>
      </c>
      <c r="BO556" s="64">
        <f>IFERROR(1/J556*(X556/H556),"0")</f>
        <v>8.6805555555555552E-2</v>
      </c>
      <c r="BP556" s="64">
        <f>IFERROR(1/J556*(Y556/H556),"0")</f>
        <v>9.375E-2</v>
      </c>
    </row>
    <row r="557" spans="1:68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5.5555555555555554</v>
      </c>
      <c r="Y557" s="635">
        <f>IFERROR(Y555/H555,"0")+IFERROR(Y556/H556,"0")</f>
        <v>6</v>
      </c>
      <c r="Z557" s="635">
        <f>IFERROR(IF(Z555="",0,Z555),"0")+IFERROR(IF(Z556="",0,Z556),"0")</f>
        <v>0.11388000000000001</v>
      </c>
      <c r="AA557" s="636"/>
      <c r="AB557" s="636"/>
      <c r="AC557" s="636"/>
    </row>
    <row r="558" spans="1:68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50</v>
      </c>
      <c r="Y558" s="635">
        <f>IFERROR(SUM(Y555:Y556),"0")</f>
        <v>54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17611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17826.310000000001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18600.92059279414</v>
      </c>
      <c r="Y565" s="635">
        <f>IFERROR(SUM(BN22:BN561),"0")</f>
        <v>18830.877999999997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32</v>
      </c>
      <c r="Y566" s="38">
        <f>ROUNDUP(SUM(BP22:BP561),0)</f>
        <v>32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19400.92059279414</v>
      </c>
      <c r="Y567" s="635">
        <f>GrossWeightTotalR+PalletQtyTotalR*25</f>
        <v>19630.877999999997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3169.8489981159692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3208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36.987060000000007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32.400000000000006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332.00000000000006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1397.2000000000003</v>
      </c>
      <c r="F574" s="46">
        <f>IFERROR(Y89*1,"0")+IFERROR(Y90*1,"0")+IFERROR(Y91*1,"0")+IFERROR(Y92*1,"0")+IFERROR(Y93*1,"0")+IFERROR(Y94*1,"0")+IFERROR(Y98*1,"0")+IFERROR(Y99*1,"0")+IFERROR(Y100*1,"0")+IFERROR(Y101*1,"0")</f>
        <v>1365.3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1377.3600000000001</v>
      </c>
      <c r="H574" s="46">
        <f>IFERROR(Y135*1,"0")+IFERROR(Y136*1,"0")+IFERROR(Y140*1,"0")+IFERROR(Y141*1,"0")+IFERROR(Y145*1,"0")+IFERROR(Y146*1,"0")</f>
        <v>51.6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1811.6399999999999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415.3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2362.8000000000002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132.20000000000002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331.2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514.79999999999995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662.35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4191</v>
      </c>
      <c r="Y574" s="46">
        <f>IFERROR(Y467*1,"0")+IFERROR(Y468*1,"0")+IFERROR(Y472*1,"0")+IFERROR(Y476*1,"0")+IFERROR(Y477*1,"0")+IFERROR(Y478*1,"0")</f>
        <v>641.4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2153.7600000000002</v>
      </c>
      <c r="AC574" s="46">
        <f>IFERROR(Y539*1,"0")+IFERROR(Y543*1,"0")+IFERROR(Y547*1,"0")+IFERROR(Y551*1,"0")+IFERROR(Y555*1,"0")+IFERROR(Y556*1,"0")</f>
        <v>54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06,00"/>
        <filter val="1 025,00"/>
        <filter val="1 087,00"/>
        <filter val="1 585,00"/>
        <filter val="1 801,00"/>
        <filter val="1,00"/>
        <filter val="1,01"/>
        <filter val="1,07"/>
        <filter val="1,25"/>
        <filter val="10,00"/>
        <filter val="100,00"/>
        <filter val="100,94"/>
        <filter val="102,12"/>
        <filter val="107,00"/>
        <filter val="11,11"/>
        <filter val="114,00"/>
        <filter val="116,00"/>
        <filter val="12,00"/>
        <filter val="12,16"/>
        <filter val="12,50"/>
        <filter val="125,00"/>
        <filter val="133,33"/>
        <filter val="137,08"/>
        <filter val="138,00"/>
        <filter val="14,00"/>
        <filter val="14,77"/>
        <filter val="141,07"/>
        <filter val="148,00"/>
        <filter val="15,00"/>
        <filter val="150,00"/>
        <filter val="151,52"/>
        <filter val="151,89"/>
        <filter val="155,00"/>
        <filter val="160,00"/>
        <filter val="165,00"/>
        <filter val="166,30"/>
        <filter val="166,91"/>
        <filter val="17 611,00"/>
        <filter val="17,00"/>
        <filter val="17,22"/>
        <filter val="173,00"/>
        <filter val="18 600,92"/>
        <filter val="18,00"/>
        <filter val="19 400,92"/>
        <filter val="196,00"/>
        <filter val="2,00"/>
        <filter val="2,38"/>
        <filter val="20,00"/>
        <filter val="205,00"/>
        <filter val="205,93"/>
        <filter val="208,00"/>
        <filter val="21,00"/>
        <filter val="211,00"/>
        <filter val="237,00"/>
        <filter val="24,00"/>
        <filter val="24,04"/>
        <filter val="25,00"/>
        <filter val="250,00"/>
        <filter val="264,00"/>
        <filter val="270,00"/>
        <filter val="28,00"/>
        <filter val="29,00"/>
        <filter val="294,00"/>
        <filter val="297,00"/>
        <filter val="298,00"/>
        <filter val="3 089,00"/>
        <filter val="3 169,85"/>
        <filter val="3,00"/>
        <filter val="3,22"/>
        <filter val="30,00"/>
        <filter val="31,00"/>
        <filter val="32"/>
        <filter val="323,00"/>
        <filter val="329,00"/>
        <filter val="332,00"/>
        <filter val="34,00"/>
        <filter val="346,00"/>
        <filter val="35,00"/>
        <filter val="35,06"/>
        <filter val="350,00"/>
        <filter val="370,00"/>
        <filter val="380,00"/>
        <filter val="39,00"/>
        <filter val="392,00"/>
        <filter val="4,00"/>
        <filter val="400,00"/>
        <filter val="41,67"/>
        <filter val="415,00"/>
        <filter val="44,00"/>
        <filter val="450,00"/>
        <filter val="49,93"/>
        <filter val="5,56"/>
        <filter val="50,00"/>
        <filter val="500,58"/>
        <filter val="507,00"/>
        <filter val="51,69"/>
        <filter val="517,00"/>
        <filter val="539,00"/>
        <filter val="545,94"/>
        <filter val="56,39"/>
        <filter val="6,00"/>
        <filter val="6,41"/>
        <filter val="606,00"/>
        <filter val="609,00"/>
        <filter val="617,00"/>
        <filter val="62,00"/>
        <filter val="620,00"/>
        <filter val="632,00"/>
        <filter val="634,00"/>
        <filter val="647,00"/>
        <filter val="65,00"/>
        <filter val="68,00"/>
        <filter val="68,33"/>
        <filter val="7,95"/>
        <filter val="70,09"/>
        <filter val="709,00"/>
        <filter val="71,06"/>
        <filter val="720,00"/>
        <filter val="73,00"/>
        <filter val="797,00"/>
        <filter val="8,00"/>
        <filter val="8,80"/>
        <filter val="800,00"/>
        <filter val="81,00"/>
        <filter val="827,00"/>
        <filter val="83,00"/>
        <filter val="833,00"/>
        <filter val="92,00"/>
        <filter val="95,00"/>
        <filter val="96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