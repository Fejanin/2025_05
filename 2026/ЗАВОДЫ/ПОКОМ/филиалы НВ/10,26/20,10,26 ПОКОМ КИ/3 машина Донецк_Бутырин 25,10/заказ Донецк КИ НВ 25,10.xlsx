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6307FE3-388A-42C4-AF00-A42ACB5E992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M555" i="1"/>
  <c r="Y555" i="1"/>
  <c r="P555" i="1"/>
  <c r="X553" i="1"/>
  <c r="X552" i="1"/>
  <c r="BO551" i="1"/>
  <c r="BM551" i="1"/>
  <c r="Y551" i="1"/>
  <c r="P551" i="1"/>
  <c r="X549" i="1"/>
  <c r="X548" i="1"/>
  <c r="BO547" i="1"/>
  <c r="BM547" i="1"/>
  <c r="Y547" i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5" i="1"/>
  <c r="X534" i="1"/>
  <c r="BP533" i="1"/>
  <c r="BO533" i="1"/>
  <c r="BN533" i="1"/>
  <c r="BM533" i="1"/>
  <c r="Z533" i="1"/>
  <c r="Y533" i="1"/>
  <c r="P533" i="1"/>
  <c r="BO532" i="1"/>
  <c r="BM532" i="1"/>
  <c r="Y532" i="1"/>
  <c r="P532" i="1"/>
  <c r="BO531" i="1"/>
  <c r="BM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O461" i="1"/>
  <c r="BM461" i="1"/>
  <c r="Y461" i="1"/>
  <c r="P461" i="1"/>
  <c r="X459" i="1"/>
  <c r="X458" i="1"/>
  <c r="BO457" i="1"/>
  <c r="BM457" i="1"/>
  <c r="Y457" i="1"/>
  <c r="P457" i="1"/>
  <c r="BO456" i="1"/>
  <c r="BM456" i="1"/>
  <c r="Y456" i="1"/>
  <c r="P456" i="1"/>
  <c r="BP455" i="1"/>
  <c r="BO455" i="1"/>
  <c r="BN455" i="1"/>
  <c r="BM455" i="1"/>
  <c r="Z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BP417" i="1" s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BP411" i="1" s="1"/>
  <c r="P411" i="1"/>
  <c r="BO410" i="1"/>
  <c r="BM410" i="1"/>
  <c r="Y410" i="1"/>
  <c r="P410" i="1"/>
  <c r="BO409" i="1"/>
  <c r="BM409" i="1"/>
  <c r="Y409" i="1"/>
  <c r="Y412" i="1" s="1"/>
  <c r="P409" i="1"/>
  <c r="X407" i="1"/>
  <c r="X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BO403" i="1"/>
  <c r="BM403" i="1"/>
  <c r="Y403" i="1"/>
  <c r="BP403" i="1" s="1"/>
  <c r="P403" i="1"/>
  <c r="BO402" i="1"/>
  <c r="BM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O396" i="1"/>
  <c r="BM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Y394" i="1" s="1"/>
  <c r="P389" i="1"/>
  <c r="X387" i="1"/>
  <c r="X386" i="1"/>
  <c r="BO385" i="1"/>
  <c r="BM385" i="1"/>
  <c r="Y385" i="1"/>
  <c r="BP385" i="1" s="1"/>
  <c r="P385" i="1"/>
  <c r="BP384" i="1"/>
  <c r="BO384" i="1"/>
  <c r="BN384" i="1"/>
  <c r="BM384" i="1"/>
  <c r="Z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BP375" i="1" s="1"/>
  <c r="P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BP372" i="1" s="1"/>
  <c r="P372" i="1"/>
  <c r="BO371" i="1"/>
  <c r="BM371" i="1"/>
  <c r="Y371" i="1"/>
  <c r="BP371" i="1" s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6" i="1"/>
  <c r="X365" i="1"/>
  <c r="BO364" i="1"/>
  <c r="BM364" i="1"/>
  <c r="Y364" i="1"/>
  <c r="BP364" i="1" s="1"/>
  <c r="P364" i="1"/>
  <c r="BO363" i="1"/>
  <c r="BM363" i="1"/>
  <c r="Y363" i="1"/>
  <c r="BP363" i="1" s="1"/>
  <c r="P363" i="1"/>
  <c r="BO362" i="1"/>
  <c r="BM362" i="1"/>
  <c r="Y362" i="1"/>
  <c r="T574" i="1" s="1"/>
  <c r="P362" i="1"/>
  <c r="X359" i="1"/>
  <c r="X358" i="1"/>
  <c r="BO357" i="1"/>
  <c r="BM357" i="1"/>
  <c r="Y357" i="1"/>
  <c r="Y358" i="1" s="1"/>
  <c r="P357" i="1"/>
  <c r="X355" i="1"/>
  <c r="X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4" i="1"/>
  <c r="X343" i="1"/>
  <c r="BO342" i="1"/>
  <c r="BM342" i="1"/>
  <c r="Y342" i="1"/>
  <c r="P342" i="1"/>
  <c r="BO341" i="1"/>
  <c r="BM341" i="1"/>
  <c r="Y341" i="1"/>
  <c r="BP341" i="1" s="1"/>
  <c r="P341" i="1"/>
  <c r="BO340" i="1"/>
  <c r="BM340" i="1"/>
  <c r="Y340" i="1"/>
  <c r="Y344" i="1" s="1"/>
  <c r="P340" i="1"/>
  <c r="BP339" i="1"/>
  <c r="BO339" i="1"/>
  <c r="BN339" i="1"/>
  <c r="BM339" i="1"/>
  <c r="Z339" i="1"/>
  <c r="Y339" i="1"/>
  <c r="P339" i="1"/>
  <c r="X336" i="1"/>
  <c r="X335" i="1"/>
  <c r="BP334" i="1"/>
  <c r="BO334" i="1"/>
  <c r="BN334" i="1"/>
  <c r="BM334" i="1"/>
  <c r="Z334" i="1"/>
  <c r="Y334" i="1"/>
  <c r="P334" i="1"/>
  <c r="BO333" i="1"/>
  <c r="BM333" i="1"/>
  <c r="Y333" i="1"/>
  <c r="P333" i="1"/>
  <c r="BO332" i="1"/>
  <c r="BM332" i="1"/>
  <c r="Y332" i="1"/>
  <c r="BP332" i="1" s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BP325" i="1" s="1"/>
  <c r="P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P321" i="1" s="1"/>
  <c r="P321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BP314" i="1" s="1"/>
  <c r="P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BP298" i="1" s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X292" i="1"/>
  <c r="X291" i="1"/>
  <c r="BO290" i="1"/>
  <c r="BM290" i="1"/>
  <c r="Y290" i="1"/>
  <c r="P290" i="1"/>
  <c r="BO289" i="1"/>
  <c r="BM289" i="1"/>
  <c r="Y289" i="1"/>
  <c r="BP289" i="1" s="1"/>
  <c r="P289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O275" i="1"/>
  <c r="BM275" i="1"/>
  <c r="Y275" i="1"/>
  <c r="P275" i="1"/>
  <c r="X273" i="1"/>
  <c r="X272" i="1"/>
  <c r="BO271" i="1"/>
  <c r="BM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BP269" i="1" s="1"/>
  <c r="P269" i="1"/>
  <c r="BP268" i="1"/>
  <c r="BO268" i="1"/>
  <c r="BN268" i="1"/>
  <c r="BM268" i="1"/>
  <c r="Z268" i="1"/>
  <c r="Y268" i="1"/>
  <c r="P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Y262" i="1" s="1"/>
  <c r="P259" i="1"/>
  <c r="X257" i="1"/>
  <c r="X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X246" i="1"/>
  <c r="BO245" i="1"/>
  <c r="BM245" i="1"/>
  <c r="Y245" i="1"/>
  <c r="BP245" i="1" s="1"/>
  <c r="P245" i="1"/>
  <c r="BO244" i="1"/>
  <c r="BM244" i="1"/>
  <c r="Y244" i="1"/>
  <c r="BP244" i="1" s="1"/>
  <c r="P244" i="1"/>
  <c r="BP243" i="1"/>
  <c r="BO243" i="1"/>
  <c r="BN243" i="1"/>
  <c r="BM243" i="1"/>
  <c r="Z243" i="1"/>
  <c r="Y243" i="1"/>
  <c r="P243" i="1"/>
  <c r="X241" i="1"/>
  <c r="X240" i="1"/>
  <c r="BO239" i="1"/>
  <c r="BM239" i="1"/>
  <c r="Y239" i="1"/>
  <c r="BP239" i="1" s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O235" i="1"/>
  <c r="BM235" i="1"/>
  <c r="Y235" i="1"/>
  <c r="Y241" i="1" s="1"/>
  <c r="P235" i="1"/>
  <c r="X233" i="1"/>
  <c r="X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K574" i="1" s="1"/>
  <c r="P203" i="1"/>
  <c r="X199" i="1"/>
  <c r="X198" i="1"/>
  <c r="BO197" i="1"/>
  <c r="BM197" i="1"/>
  <c r="Y197" i="1"/>
  <c r="Y198" i="1" s="1"/>
  <c r="P197" i="1"/>
  <c r="X195" i="1"/>
  <c r="X194" i="1"/>
  <c r="BO193" i="1"/>
  <c r="BM193" i="1"/>
  <c r="Y193" i="1"/>
  <c r="Y194" i="1" s="1"/>
  <c r="P193" i="1"/>
  <c r="X191" i="1"/>
  <c r="X190" i="1"/>
  <c r="BO189" i="1"/>
  <c r="BM189" i="1"/>
  <c r="Y189" i="1"/>
  <c r="BP189" i="1" s="1"/>
  <c r="P189" i="1"/>
  <c r="BP188" i="1"/>
  <c r="BO188" i="1"/>
  <c r="BN188" i="1"/>
  <c r="BM188" i="1"/>
  <c r="Z188" i="1"/>
  <c r="Y188" i="1"/>
  <c r="P188" i="1"/>
  <c r="X186" i="1"/>
  <c r="X185" i="1"/>
  <c r="BO184" i="1"/>
  <c r="BM184" i="1"/>
  <c r="Y184" i="1"/>
  <c r="BP184" i="1" s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Y186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X168" i="1"/>
  <c r="X167" i="1"/>
  <c r="BO166" i="1"/>
  <c r="BM166" i="1"/>
  <c r="Y166" i="1"/>
  <c r="BP166" i="1" s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X148" i="1"/>
  <c r="X147" i="1"/>
  <c r="BO146" i="1"/>
  <c r="BM146" i="1"/>
  <c r="Y146" i="1"/>
  <c r="BP146" i="1" s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8" i="1"/>
  <c r="X137" i="1"/>
  <c r="BO136" i="1"/>
  <c r="BM136" i="1"/>
  <c r="Y136" i="1"/>
  <c r="BP136" i="1" s="1"/>
  <c r="P136" i="1"/>
  <c r="BO135" i="1"/>
  <c r="BM135" i="1"/>
  <c r="Y135" i="1"/>
  <c r="H574" i="1" s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O123" i="1"/>
  <c r="BM123" i="1"/>
  <c r="Y123" i="1"/>
  <c r="Y127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F574" i="1" s="1"/>
  <c r="P89" i="1"/>
  <c r="X86" i="1"/>
  <c r="X85" i="1"/>
  <c r="BO84" i="1"/>
  <c r="BM84" i="1"/>
  <c r="Y84" i="1"/>
  <c r="BP84" i="1" s="1"/>
  <c r="P84" i="1"/>
  <c r="BP83" i="1"/>
  <c r="BO83" i="1"/>
  <c r="BN83" i="1"/>
  <c r="BM83" i="1"/>
  <c r="Z83" i="1"/>
  <c r="Y83" i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D574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74" i="1" s="1"/>
  <c r="P41" i="1"/>
  <c r="X37" i="1"/>
  <c r="X36" i="1"/>
  <c r="BO35" i="1"/>
  <c r="BM35" i="1"/>
  <c r="Y35" i="1"/>
  <c r="BP35" i="1" s="1"/>
  <c r="P35" i="1"/>
  <c r="BP34" i="1"/>
  <c r="BO34" i="1"/>
  <c r="BN34" i="1"/>
  <c r="BM34" i="1"/>
  <c r="Z34" i="1"/>
  <c r="Y34" i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564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Y335" i="1" l="1"/>
  <c r="BP382" i="1"/>
  <c r="BN382" i="1"/>
  <c r="Z382" i="1"/>
  <c r="Y400" i="1"/>
  <c r="BP396" i="1"/>
  <c r="BN396" i="1"/>
  <c r="Z396" i="1"/>
  <c r="BP410" i="1"/>
  <c r="BN410" i="1"/>
  <c r="Z410" i="1"/>
  <c r="BP441" i="1"/>
  <c r="BN441" i="1"/>
  <c r="Z441" i="1"/>
  <c r="BP451" i="1"/>
  <c r="BN451" i="1"/>
  <c r="Z451" i="1"/>
  <c r="Y474" i="1"/>
  <c r="Y473" i="1"/>
  <c r="BP472" i="1"/>
  <c r="BN472" i="1"/>
  <c r="Z472" i="1"/>
  <c r="Z473" i="1" s="1"/>
  <c r="Y480" i="1"/>
  <c r="BP476" i="1"/>
  <c r="BN476" i="1"/>
  <c r="Z476" i="1"/>
  <c r="Z479" i="1" s="1"/>
  <c r="BP511" i="1"/>
  <c r="BN511" i="1"/>
  <c r="Z511" i="1"/>
  <c r="BP521" i="1"/>
  <c r="BN521" i="1"/>
  <c r="Z521" i="1"/>
  <c r="BP531" i="1"/>
  <c r="BN531" i="1"/>
  <c r="Z531" i="1"/>
  <c r="Z22" i="1"/>
  <c r="Z23" i="1" s="1"/>
  <c r="BN22" i="1"/>
  <c r="BP22" i="1"/>
  <c r="Z26" i="1"/>
  <c r="BN26" i="1"/>
  <c r="BP26" i="1"/>
  <c r="Z30" i="1"/>
  <c r="BN30" i="1"/>
  <c r="Y36" i="1"/>
  <c r="Z42" i="1"/>
  <c r="BN42" i="1"/>
  <c r="Z52" i="1"/>
  <c r="BN52" i="1"/>
  <c r="Z59" i="1"/>
  <c r="BN59" i="1"/>
  <c r="Z63" i="1"/>
  <c r="BN63" i="1"/>
  <c r="Z71" i="1"/>
  <c r="BN71" i="1"/>
  <c r="Z77" i="1"/>
  <c r="BN77" i="1"/>
  <c r="BP77" i="1"/>
  <c r="Y85" i="1"/>
  <c r="Z90" i="1"/>
  <c r="BN90" i="1"/>
  <c r="Z94" i="1"/>
  <c r="BN94" i="1"/>
  <c r="Y102" i="1"/>
  <c r="Z100" i="1"/>
  <c r="BN100" i="1"/>
  <c r="G574" i="1"/>
  <c r="Z109" i="1"/>
  <c r="BN109" i="1"/>
  <c r="Z117" i="1"/>
  <c r="BN117" i="1"/>
  <c r="Z123" i="1"/>
  <c r="BN123" i="1"/>
  <c r="BP123" i="1"/>
  <c r="Z136" i="1"/>
  <c r="BN136" i="1"/>
  <c r="Y142" i="1"/>
  <c r="Z146" i="1"/>
  <c r="BN146" i="1"/>
  <c r="Z153" i="1"/>
  <c r="BN153" i="1"/>
  <c r="J574" i="1"/>
  <c r="Z166" i="1"/>
  <c r="BN166" i="1"/>
  <c r="Y172" i="1"/>
  <c r="Z176" i="1"/>
  <c r="BN176" i="1"/>
  <c r="Z180" i="1"/>
  <c r="BN180" i="1"/>
  <c r="Z184" i="1"/>
  <c r="BN184" i="1"/>
  <c r="Y190" i="1"/>
  <c r="Z204" i="1"/>
  <c r="BN204" i="1"/>
  <c r="Z208" i="1"/>
  <c r="BN208" i="1"/>
  <c r="L574" i="1"/>
  <c r="Y233" i="1"/>
  <c r="Z221" i="1"/>
  <c r="BN221" i="1"/>
  <c r="Z225" i="1"/>
  <c r="BN225" i="1"/>
  <c r="Z229" i="1"/>
  <c r="BN229" i="1"/>
  <c r="Z235" i="1"/>
  <c r="BN235" i="1"/>
  <c r="BP235" i="1"/>
  <c r="Z239" i="1"/>
  <c r="BN239" i="1"/>
  <c r="Y247" i="1"/>
  <c r="Z245" i="1"/>
  <c r="BN245" i="1"/>
  <c r="Z260" i="1"/>
  <c r="BN260" i="1"/>
  <c r="Y272" i="1"/>
  <c r="Z266" i="1"/>
  <c r="BN266" i="1"/>
  <c r="Z270" i="1"/>
  <c r="BN270" i="1"/>
  <c r="Y287" i="1"/>
  <c r="Z279" i="1"/>
  <c r="BN279" i="1"/>
  <c r="Z283" i="1"/>
  <c r="BN283" i="1"/>
  <c r="Z289" i="1"/>
  <c r="BN289" i="1"/>
  <c r="Z298" i="1"/>
  <c r="BN298" i="1"/>
  <c r="Z314" i="1"/>
  <c r="BN314" i="1"/>
  <c r="Z321" i="1"/>
  <c r="BN321" i="1"/>
  <c r="Y328" i="1"/>
  <c r="Z325" i="1"/>
  <c r="BN325" i="1"/>
  <c r="Z332" i="1"/>
  <c r="BN332" i="1"/>
  <c r="Z341" i="1"/>
  <c r="BN341" i="1"/>
  <c r="Z363" i="1"/>
  <c r="BN363" i="1"/>
  <c r="U574" i="1"/>
  <c r="Z372" i="1"/>
  <c r="BN372" i="1"/>
  <c r="BP374" i="1"/>
  <c r="BN374" i="1"/>
  <c r="Z374" i="1"/>
  <c r="BP390" i="1"/>
  <c r="BN390" i="1"/>
  <c r="Z390" i="1"/>
  <c r="Y406" i="1"/>
  <c r="BP402" i="1"/>
  <c r="BN402" i="1"/>
  <c r="Z402" i="1"/>
  <c r="BP431" i="1"/>
  <c r="BN431" i="1"/>
  <c r="Z431" i="1"/>
  <c r="BP445" i="1"/>
  <c r="BN445" i="1"/>
  <c r="Z445" i="1"/>
  <c r="BP457" i="1"/>
  <c r="BN457" i="1"/>
  <c r="Z457" i="1"/>
  <c r="BP461" i="1"/>
  <c r="BN461" i="1"/>
  <c r="Z461" i="1"/>
  <c r="Y479" i="1"/>
  <c r="BP486" i="1"/>
  <c r="BN486" i="1"/>
  <c r="Z486" i="1"/>
  <c r="BP515" i="1"/>
  <c r="BN515" i="1"/>
  <c r="Z515" i="1"/>
  <c r="Y535" i="1"/>
  <c r="BP527" i="1"/>
  <c r="BN527" i="1"/>
  <c r="Z527" i="1"/>
  <c r="Y541" i="1"/>
  <c r="Y540" i="1"/>
  <c r="BP539" i="1"/>
  <c r="BN539" i="1"/>
  <c r="Z539" i="1"/>
  <c r="Z540" i="1" s="1"/>
  <c r="Y545" i="1"/>
  <c r="Y544" i="1"/>
  <c r="BP543" i="1"/>
  <c r="BN543" i="1"/>
  <c r="Z543" i="1"/>
  <c r="Z544" i="1" s="1"/>
  <c r="Y549" i="1"/>
  <c r="Y548" i="1"/>
  <c r="BP547" i="1"/>
  <c r="BN547" i="1"/>
  <c r="Z547" i="1"/>
  <c r="Z548" i="1" s="1"/>
  <c r="Y553" i="1"/>
  <c r="Y552" i="1"/>
  <c r="BP551" i="1"/>
  <c r="BN551" i="1"/>
  <c r="Z551" i="1"/>
  <c r="Z552" i="1" s="1"/>
  <c r="BP555" i="1"/>
  <c r="BN555" i="1"/>
  <c r="Z555" i="1"/>
  <c r="Y386" i="1"/>
  <c r="Y418" i="1"/>
  <c r="Y459" i="1"/>
  <c r="Y458" i="1"/>
  <c r="AA574" i="1"/>
  <c r="F9" i="1"/>
  <c r="J9" i="1"/>
  <c r="F10" i="1"/>
  <c r="Y31" i="1"/>
  <c r="Y37" i="1"/>
  <c r="Y47" i="1"/>
  <c r="Y55" i="1"/>
  <c r="Y68" i="1"/>
  <c r="Y74" i="1"/>
  <c r="Y80" i="1"/>
  <c r="Y86" i="1"/>
  <c r="Y95" i="1"/>
  <c r="Y103" i="1"/>
  <c r="Y114" i="1"/>
  <c r="Y120" i="1"/>
  <c r="Y128" i="1"/>
  <c r="Y132" i="1"/>
  <c r="Y137" i="1"/>
  <c r="Y143" i="1"/>
  <c r="Y147" i="1"/>
  <c r="Y156" i="1"/>
  <c r="Y160" i="1"/>
  <c r="Y167" i="1"/>
  <c r="Y173" i="1"/>
  <c r="Y185" i="1"/>
  <c r="Y191" i="1"/>
  <c r="Y195" i="1"/>
  <c r="Y199" i="1"/>
  <c r="Y211" i="1"/>
  <c r="Y216" i="1"/>
  <c r="Y232" i="1"/>
  <c r="Y240" i="1"/>
  <c r="Y246" i="1"/>
  <c r="Y257" i="1"/>
  <c r="Y261" i="1"/>
  <c r="Y273" i="1"/>
  <c r="BP278" i="1"/>
  <c r="BN278" i="1"/>
  <c r="Z278" i="1"/>
  <c r="BP282" i="1"/>
  <c r="BN282" i="1"/>
  <c r="Z282" i="1"/>
  <c r="Y286" i="1"/>
  <c r="BP290" i="1"/>
  <c r="BN290" i="1"/>
  <c r="Z290" i="1"/>
  <c r="Z291" i="1" s="1"/>
  <c r="Y292" i="1"/>
  <c r="O574" i="1"/>
  <c r="Y302" i="1"/>
  <c r="BP295" i="1"/>
  <c r="BN295" i="1"/>
  <c r="Z295" i="1"/>
  <c r="BP299" i="1"/>
  <c r="BN299" i="1"/>
  <c r="Z299" i="1"/>
  <c r="BP315" i="1"/>
  <c r="BN315" i="1"/>
  <c r="Z315" i="1"/>
  <c r="BP324" i="1"/>
  <c r="BN324" i="1"/>
  <c r="Z324" i="1"/>
  <c r="Z335" i="1"/>
  <c r="BP333" i="1"/>
  <c r="BN333" i="1"/>
  <c r="Z333" i="1"/>
  <c r="BP342" i="1"/>
  <c r="BN342" i="1"/>
  <c r="Z342" i="1"/>
  <c r="Y349" i="1"/>
  <c r="BP346" i="1"/>
  <c r="BN346" i="1"/>
  <c r="Z346" i="1"/>
  <c r="H9" i="1"/>
  <c r="B574" i="1"/>
  <c r="X565" i="1"/>
  <c r="X566" i="1"/>
  <c r="X568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BN135" i="1"/>
  <c r="BP135" i="1"/>
  <c r="Y138" i="1"/>
  <c r="Z141" i="1"/>
  <c r="Z142" i="1" s="1"/>
  <c r="BN141" i="1"/>
  <c r="Z145" i="1"/>
  <c r="Z147" i="1" s="1"/>
  <c r="BN145" i="1"/>
  <c r="BP145" i="1"/>
  <c r="I574" i="1"/>
  <c r="Z152" i="1"/>
  <c r="BN152" i="1"/>
  <c r="Z154" i="1"/>
  <c r="BN154" i="1"/>
  <c r="Y155" i="1"/>
  <c r="Z158" i="1"/>
  <c r="Z159" i="1" s="1"/>
  <c r="BN158" i="1"/>
  <c r="BP158" i="1"/>
  <c r="Z163" i="1"/>
  <c r="BN163" i="1"/>
  <c r="BP163" i="1"/>
  <c r="Z165" i="1"/>
  <c r="BN165" i="1"/>
  <c r="Y168" i="1"/>
  <c r="Z171" i="1"/>
  <c r="Z172" i="1" s="1"/>
  <c r="BN171" i="1"/>
  <c r="Z175" i="1"/>
  <c r="BN175" i="1"/>
  <c r="BP175" i="1"/>
  <c r="Z177" i="1"/>
  <c r="BN177" i="1"/>
  <c r="Z179" i="1"/>
  <c r="BN179" i="1"/>
  <c r="Z181" i="1"/>
  <c r="BN181" i="1"/>
  <c r="Z183" i="1"/>
  <c r="BN183" i="1"/>
  <c r="Z189" i="1"/>
  <c r="Z190" i="1" s="1"/>
  <c r="BN189" i="1"/>
  <c r="Z193" i="1"/>
  <c r="Z194" i="1" s="1"/>
  <c r="BN193" i="1"/>
  <c r="BP193" i="1"/>
  <c r="Z197" i="1"/>
  <c r="Z198" i="1" s="1"/>
  <c r="BN197" i="1"/>
  <c r="BP197" i="1"/>
  <c r="Z203" i="1"/>
  <c r="BN203" i="1"/>
  <c r="BP203" i="1"/>
  <c r="Z205" i="1"/>
  <c r="BN205" i="1"/>
  <c r="Z207" i="1"/>
  <c r="BN207" i="1"/>
  <c r="Z209" i="1"/>
  <c r="BN209" i="1"/>
  <c r="Y210" i="1"/>
  <c r="Z214" i="1"/>
  <c r="Z215" i="1" s="1"/>
  <c r="BN214" i="1"/>
  <c r="BP214" i="1"/>
  <c r="Y215" i="1"/>
  <c r="Z218" i="1"/>
  <c r="BN218" i="1"/>
  <c r="BP218" i="1"/>
  <c r="Z220" i="1"/>
  <c r="BN220" i="1"/>
  <c r="Z222" i="1"/>
  <c r="BN222" i="1"/>
  <c r="Z224" i="1"/>
  <c r="BN224" i="1"/>
  <c r="Z226" i="1"/>
  <c r="BN226" i="1"/>
  <c r="Z228" i="1"/>
  <c r="BN228" i="1"/>
  <c r="Z230" i="1"/>
  <c r="BN230" i="1"/>
  <c r="Z236" i="1"/>
  <c r="BN236" i="1"/>
  <c r="Z238" i="1"/>
  <c r="BN238" i="1"/>
  <c r="Z244" i="1"/>
  <c r="BN244" i="1"/>
  <c r="M574" i="1"/>
  <c r="Z255" i="1"/>
  <c r="Z256" i="1" s="1"/>
  <c r="BN255" i="1"/>
  <c r="Y256" i="1"/>
  <c r="Z259" i="1"/>
  <c r="BN259" i="1"/>
  <c r="BP259" i="1"/>
  <c r="Z265" i="1"/>
  <c r="BN265" i="1"/>
  <c r="Z267" i="1"/>
  <c r="BN267" i="1"/>
  <c r="Z269" i="1"/>
  <c r="BN269" i="1"/>
  <c r="Z271" i="1"/>
  <c r="BN271" i="1"/>
  <c r="Z275" i="1"/>
  <c r="BN275" i="1"/>
  <c r="BP275" i="1"/>
  <c r="BP276" i="1"/>
  <c r="BN276" i="1"/>
  <c r="Z276" i="1"/>
  <c r="BP280" i="1"/>
  <c r="BN280" i="1"/>
  <c r="Z280" i="1"/>
  <c r="BP284" i="1"/>
  <c r="BN284" i="1"/>
  <c r="Z284" i="1"/>
  <c r="Y291" i="1"/>
  <c r="BP297" i="1"/>
  <c r="BN297" i="1"/>
  <c r="Z297" i="1"/>
  <c r="BP301" i="1"/>
  <c r="BN301" i="1"/>
  <c r="Z301" i="1"/>
  <c r="Y303" i="1"/>
  <c r="Y306" i="1"/>
  <c r="BP305" i="1"/>
  <c r="BN305" i="1"/>
  <c r="Z305" i="1"/>
  <c r="Z306" i="1" s="1"/>
  <c r="Y307" i="1"/>
  <c r="Y310" i="1"/>
  <c r="BP309" i="1"/>
  <c r="BN309" i="1"/>
  <c r="Z309" i="1"/>
  <c r="Z310" i="1" s="1"/>
  <c r="Y311" i="1"/>
  <c r="Y318" i="1"/>
  <c r="BP313" i="1"/>
  <c r="BN313" i="1"/>
  <c r="Z313" i="1"/>
  <c r="Y317" i="1"/>
  <c r="BP322" i="1"/>
  <c r="BN322" i="1"/>
  <c r="Z322" i="1"/>
  <c r="BP326" i="1"/>
  <c r="BN326" i="1"/>
  <c r="Z326" i="1"/>
  <c r="Z328" i="1" s="1"/>
  <c r="BP340" i="1"/>
  <c r="BN340" i="1"/>
  <c r="Z340" i="1"/>
  <c r="BP348" i="1"/>
  <c r="BN348" i="1"/>
  <c r="Z348" i="1"/>
  <c r="Y350" i="1"/>
  <c r="S574" i="1"/>
  <c r="Y354" i="1"/>
  <c r="BP353" i="1"/>
  <c r="BN353" i="1"/>
  <c r="Z353" i="1"/>
  <c r="Z354" i="1" s="1"/>
  <c r="Y355" i="1"/>
  <c r="Y359" i="1"/>
  <c r="Y366" i="1"/>
  <c r="Y377" i="1"/>
  <c r="Y387" i="1"/>
  <c r="Y393" i="1"/>
  <c r="Y399" i="1"/>
  <c r="Y407" i="1"/>
  <c r="Y413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BP462" i="1"/>
  <c r="BN462" i="1"/>
  <c r="Z462" i="1"/>
  <c r="Z463" i="1" s="1"/>
  <c r="Y464" i="1"/>
  <c r="Y574" i="1"/>
  <c r="Y470" i="1"/>
  <c r="BP467" i="1"/>
  <c r="BN467" i="1"/>
  <c r="Z467" i="1"/>
  <c r="Z469" i="1" s="1"/>
  <c r="BP485" i="1"/>
  <c r="BN485" i="1"/>
  <c r="Z485" i="1"/>
  <c r="P574" i="1"/>
  <c r="Y329" i="1"/>
  <c r="Q574" i="1"/>
  <c r="Y336" i="1"/>
  <c r="R574" i="1"/>
  <c r="Y343" i="1"/>
  <c r="Z357" i="1"/>
  <c r="Z358" i="1" s="1"/>
  <c r="BN357" i="1"/>
  <c r="BP357" i="1"/>
  <c r="Z362" i="1"/>
  <c r="BN362" i="1"/>
  <c r="BP362" i="1"/>
  <c r="Z364" i="1"/>
  <c r="BN364" i="1"/>
  <c r="Y365" i="1"/>
  <c r="Z369" i="1"/>
  <c r="BN369" i="1"/>
  <c r="BP369" i="1"/>
  <c r="Z371" i="1"/>
  <c r="BN371" i="1"/>
  <c r="Z373" i="1"/>
  <c r="BN373" i="1"/>
  <c r="Z375" i="1"/>
  <c r="BN375" i="1"/>
  <c r="Y376" i="1"/>
  <c r="Z379" i="1"/>
  <c r="BN379" i="1"/>
  <c r="BP379" i="1"/>
  <c r="Z381" i="1"/>
  <c r="BN381" i="1"/>
  <c r="Z383" i="1"/>
  <c r="BN383" i="1"/>
  <c r="Z385" i="1"/>
  <c r="BN385" i="1"/>
  <c r="Z389" i="1"/>
  <c r="BN389" i="1"/>
  <c r="BP389" i="1"/>
  <c r="Z391" i="1"/>
  <c r="BN391" i="1"/>
  <c r="Z397" i="1"/>
  <c r="Z399" i="1" s="1"/>
  <c r="BN397" i="1"/>
  <c r="Z403" i="1"/>
  <c r="BN403" i="1"/>
  <c r="Z405" i="1"/>
  <c r="BN405" i="1"/>
  <c r="Z409" i="1"/>
  <c r="BN409" i="1"/>
  <c r="BP409" i="1"/>
  <c r="Z411" i="1"/>
  <c r="BN411" i="1"/>
  <c r="Z415" i="1"/>
  <c r="BN415" i="1"/>
  <c r="BP415" i="1"/>
  <c r="Z417" i="1"/>
  <c r="BN417" i="1"/>
  <c r="Y419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Z433" i="1" s="1"/>
  <c r="BP440" i="1"/>
  <c r="BN440" i="1"/>
  <c r="Z440" i="1"/>
  <c r="BP444" i="1"/>
  <c r="BN444" i="1"/>
  <c r="Z444" i="1"/>
  <c r="Y453" i="1"/>
  <c r="Y452" i="1"/>
  <c r="BP456" i="1"/>
  <c r="BN456" i="1"/>
  <c r="Z456" i="1"/>
  <c r="Z458" i="1" s="1"/>
  <c r="Y463" i="1"/>
  <c r="Y469" i="1"/>
  <c r="BP477" i="1"/>
  <c r="BN477" i="1"/>
  <c r="Z477" i="1"/>
  <c r="BP487" i="1"/>
  <c r="BN487" i="1"/>
  <c r="Z487" i="1"/>
  <c r="Z574" i="1"/>
  <c r="Y490" i="1"/>
  <c r="BP504" i="1"/>
  <c r="BN504" i="1"/>
  <c r="Z504" i="1"/>
  <c r="Y506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BP530" i="1"/>
  <c r="BN530" i="1"/>
  <c r="Z530" i="1"/>
  <c r="Y534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488" i="1"/>
  <c r="BN488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Y500" i="1"/>
  <c r="Y505" i="1"/>
  <c r="BP502" i="1"/>
  <c r="BN502" i="1"/>
  <c r="Z502" i="1"/>
  <c r="BP512" i="1"/>
  <c r="BN512" i="1"/>
  <c r="Z512" i="1"/>
  <c r="BP516" i="1"/>
  <c r="BN516" i="1"/>
  <c r="Z516" i="1"/>
  <c r="Y525" i="1"/>
  <c r="Y524" i="1"/>
  <c r="BP528" i="1"/>
  <c r="BN528" i="1"/>
  <c r="Z528" i="1"/>
  <c r="Z534" i="1" s="1"/>
  <c r="BP532" i="1"/>
  <c r="BN532" i="1"/>
  <c r="Z532" i="1"/>
  <c r="Y557" i="1"/>
  <c r="AC574" i="1"/>
  <c r="Z406" i="1" l="1"/>
  <c r="Z272" i="1"/>
  <c r="Z127" i="1"/>
  <c r="Z67" i="1"/>
  <c r="Y565" i="1"/>
  <c r="Y568" i="1"/>
  <c r="Z505" i="1"/>
  <c r="Z524" i="1"/>
  <c r="Z490" i="1"/>
  <c r="Z426" i="1"/>
  <c r="Z418" i="1"/>
  <c r="Z393" i="1"/>
  <c r="Z343" i="1"/>
  <c r="Z317" i="1"/>
  <c r="Z261" i="1"/>
  <c r="Z246" i="1"/>
  <c r="Z240" i="1"/>
  <c r="Z185" i="1"/>
  <c r="Z167" i="1"/>
  <c r="Z155" i="1"/>
  <c r="Z137" i="1"/>
  <c r="Z120" i="1"/>
  <c r="Z113" i="1"/>
  <c r="Z102" i="1"/>
  <c r="Z95" i="1"/>
  <c r="Z74" i="1"/>
  <c r="Z55" i="1"/>
  <c r="Y566" i="1"/>
  <c r="Z46" i="1"/>
  <c r="Z31" i="1"/>
  <c r="Z412" i="1"/>
  <c r="Z386" i="1"/>
  <c r="Z376" i="1"/>
  <c r="Z365" i="1"/>
  <c r="Z286" i="1"/>
  <c r="Z232" i="1"/>
  <c r="Z210" i="1"/>
  <c r="Z85" i="1"/>
  <c r="Y564" i="1"/>
  <c r="Z349" i="1"/>
  <c r="Z302" i="1"/>
  <c r="Z518" i="1"/>
  <c r="Z446" i="1"/>
  <c r="X567" i="1"/>
  <c r="Z569" i="1" l="1"/>
  <c r="Y567" i="1"/>
</calcChain>
</file>

<file path=xl/sharedStrings.xml><?xml version="1.0" encoding="utf-8"?>
<sst xmlns="http://schemas.openxmlformats.org/spreadsheetml/2006/main" count="2536" uniqueCount="916">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</sst>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21" t="s">
        <v>0</v>
      </c>
      <c r="E1" s="662"/>
      <c r="F1" s="662"/>
      <c r="G1" s="12" t="s">
        <v>1</v>
      </c>
      <c r="H1" s="721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1" t="s">
        <v>8</v>
      </c>
      <c r="B5" s="691"/>
      <c r="C5" s="692"/>
      <c r="D5" s="727"/>
      <c r="E5" s="728"/>
      <c r="F5" s="963" t="s">
        <v>9</v>
      </c>
      <c r="G5" s="692"/>
      <c r="H5" s="727"/>
      <c r="I5" s="893"/>
      <c r="J5" s="893"/>
      <c r="K5" s="893"/>
      <c r="L5" s="893"/>
      <c r="M5" s="728"/>
      <c r="N5" s="58"/>
      <c r="P5" s="24" t="s">
        <v>10</v>
      </c>
      <c r="Q5" s="976">
        <v>46314</v>
      </c>
      <c r="R5" s="759"/>
      <c r="T5" s="810" t="s">
        <v>11</v>
      </c>
      <c r="U5" s="799"/>
      <c r="V5" s="811" t="s">
        <v>12</v>
      </c>
      <c r="W5" s="759"/>
      <c r="AB5" s="51"/>
      <c r="AC5" s="51"/>
      <c r="AD5" s="51"/>
      <c r="AE5" s="51"/>
    </row>
    <row r="6" spans="1:32" s="627" customFormat="1" ht="24" customHeight="1" x14ac:dyDescent="0.2">
      <c r="A6" s="761" t="s">
        <v>13</v>
      </c>
      <c r="B6" s="691"/>
      <c r="C6" s="692"/>
      <c r="D6" s="898"/>
      <c r="E6" s="899"/>
      <c r="F6" s="899"/>
      <c r="G6" s="899"/>
      <c r="H6" s="899"/>
      <c r="I6" s="899"/>
      <c r="J6" s="899"/>
      <c r="K6" s="899"/>
      <c r="L6" s="899"/>
      <c r="M6" s="759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8" t="s">
        <v>15</v>
      </c>
      <c r="U6" s="799"/>
      <c r="V6" s="880" t="s">
        <v>16</v>
      </c>
      <c r="W6" s="68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9">
        <f>IFERROR(VLOOKUP(DeliveryAddress,Table,3,0),1)</f>
        <v>1</v>
      </c>
      <c r="E7" s="700"/>
      <c r="F7" s="700"/>
      <c r="G7" s="700"/>
      <c r="H7" s="700"/>
      <c r="I7" s="700"/>
      <c r="J7" s="700"/>
      <c r="K7" s="700"/>
      <c r="L7" s="700"/>
      <c r="M7" s="701"/>
      <c r="N7" s="60"/>
      <c r="P7" s="24"/>
      <c r="Q7" s="42"/>
      <c r="R7" s="42"/>
      <c r="T7" s="645"/>
      <c r="U7" s="799"/>
      <c r="V7" s="881"/>
      <c r="W7" s="882"/>
      <c r="AB7" s="51"/>
      <c r="AC7" s="51"/>
      <c r="AD7" s="51"/>
      <c r="AE7" s="51"/>
    </row>
    <row r="8" spans="1:32" s="627" customFormat="1" ht="25.5" customHeight="1" x14ac:dyDescent="0.2">
      <c r="A8" s="997" t="s">
        <v>17</v>
      </c>
      <c r="B8" s="652"/>
      <c r="C8" s="653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69">
        <v>0.41666666666666669</v>
      </c>
      <c r="R8" s="701"/>
      <c r="T8" s="645"/>
      <c r="U8" s="799"/>
      <c r="V8" s="881"/>
      <c r="W8" s="882"/>
      <c r="AB8" s="51"/>
      <c r="AC8" s="51"/>
      <c r="AD8" s="51"/>
      <c r="AE8" s="51"/>
    </row>
    <row r="9" spans="1:32" s="627" customFormat="1" ht="39.950000000000003" customHeight="1" x14ac:dyDescent="0.2">
      <c r="A9" s="7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82"/>
      <c r="E9" s="650"/>
      <c r="F9" s="7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755"/>
      <c r="R9" s="756"/>
      <c r="T9" s="645"/>
      <c r="U9" s="799"/>
      <c r="V9" s="883"/>
      <c r="W9" s="88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82"/>
      <c r="E10" s="650"/>
      <c r="F10" s="7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70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19"/>
      <c r="R10" s="820"/>
      <c r="U10" s="24" t="s">
        <v>21</v>
      </c>
      <c r="V10" s="684" t="s">
        <v>22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28" t="s">
        <v>26</v>
      </c>
      <c r="W11" s="7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05" t="s">
        <v>27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2"/>
      <c r="P12" s="24" t="s">
        <v>28</v>
      </c>
      <c r="Q12" s="769"/>
      <c r="R12" s="701"/>
      <c r="S12" s="23"/>
      <c r="U12" s="24"/>
      <c r="V12" s="662"/>
      <c r="W12" s="645"/>
      <c r="AB12" s="51"/>
      <c r="AC12" s="51"/>
      <c r="AD12" s="51"/>
      <c r="AE12" s="51"/>
    </row>
    <row r="13" spans="1:32" s="627" customFormat="1" ht="23.25" customHeight="1" x14ac:dyDescent="0.2">
      <c r="A13" s="805" t="s">
        <v>29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  <c r="N13" s="62"/>
      <c r="O13" s="26"/>
      <c r="P13" s="26" t="s">
        <v>30</v>
      </c>
      <c r="Q13" s="928"/>
      <c r="R13" s="7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05" t="s">
        <v>31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1" t="s">
        <v>32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63"/>
      <c r="P15" s="795" t="s">
        <v>33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6"/>
      <c r="Q16" s="796"/>
      <c r="R16" s="796"/>
      <c r="S16" s="796"/>
      <c r="T16" s="79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34</v>
      </c>
      <c r="B17" s="679" t="s">
        <v>35</v>
      </c>
      <c r="C17" s="779" t="s">
        <v>36</v>
      </c>
      <c r="D17" s="679" t="s">
        <v>37</v>
      </c>
      <c r="E17" s="741"/>
      <c r="F17" s="679" t="s">
        <v>38</v>
      </c>
      <c r="G17" s="679" t="s">
        <v>39</v>
      </c>
      <c r="H17" s="679" t="s">
        <v>40</v>
      </c>
      <c r="I17" s="679" t="s">
        <v>41</v>
      </c>
      <c r="J17" s="679" t="s">
        <v>42</v>
      </c>
      <c r="K17" s="679" t="s">
        <v>43</v>
      </c>
      <c r="L17" s="679" t="s">
        <v>44</v>
      </c>
      <c r="M17" s="679" t="s">
        <v>45</v>
      </c>
      <c r="N17" s="679" t="s">
        <v>46</v>
      </c>
      <c r="O17" s="679" t="s">
        <v>47</v>
      </c>
      <c r="P17" s="679" t="s">
        <v>48</v>
      </c>
      <c r="Q17" s="740"/>
      <c r="R17" s="740"/>
      <c r="S17" s="740"/>
      <c r="T17" s="741"/>
      <c r="U17" s="991" t="s">
        <v>49</v>
      </c>
      <c r="V17" s="692"/>
      <c r="W17" s="679" t="s">
        <v>50</v>
      </c>
      <c r="X17" s="679" t="s">
        <v>51</v>
      </c>
      <c r="Y17" s="994" t="s">
        <v>52</v>
      </c>
      <c r="Z17" s="891" t="s">
        <v>53</v>
      </c>
      <c r="AA17" s="868" t="s">
        <v>54</v>
      </c>
      <c r="AB17" s="868" t="s">
        <v>55</v>
      </c>
      <c r="AC17" s="868" t="s">
        <v>56</v>
      </c>
      <c r="AD17" s="868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0"/>
      <c r="B18" s="680"/>
      <c r="C18" s="680"/>
      <c r="D18" s="742"/>
      <c r="E18" s="744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2"/>
      <c r="Q18" s="743"/>
      <c r="R18" s="743"/>
      <c r="S18" s="743"/>
      <c r="T18" s="744"/>
      <c r="U18" s="67" t="s">
        <v>59</v>
      </c>
      <c r="V18" s="67" t="s">
        <v>60</v>
      </c>
      <c r="W18" s="680"/>
      <c r="X18" s="680"/>
      <c r="Y18" s="995"/>
      <c r="Z18" s="892"/>
      <c r="AA18" s="869"/>
      <c r="AB18" s="869"/>
      <c r="AC18" s="869"/>
      <c r="AD18" s="960"/>
      <c r="AE18" s="961"/>
      <c r="AF18" s="962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4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4" t="s">
        <v>100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4" t="s">
        <v>117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292</v>
      </c>
      <c r="Y51" s="634">
        <f>IFERROR(IF(X51="",0,CEILING((X51/$H51),1)*$H51),"")</f>
        <v>302.40000000000003</v>
      </c>
      <c r="Z51" s="36">
        <f>IFERROR(IF(Y51=0,"",ROUNDUP(Y51/H51,0)*0.01898),"")</f>
        <v>0.53144000000000002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303.0851851851852</v>
      </c>
      <c r="BN51" s="64">
        <f>IFERROR(Y51*I51/H51,"0")</f>
        <v>313.88</v>
      </c>
      <c r="BO51" s="64">
        <f>IFERROR(1/J51*(X51/H51),"0")</f>
        <v>0.42245370370370366</v>
      </c>
      <c r="BP51" s="64">
        <f>IFERROR(1/J51*(Y51/H51),"0")</f>
        <v>0.4375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27.037037037037035</v>
      </c>
      <c r="Y55" s="635">
        <f>IFERROR(Y51/H51,"0")+IFERROR(Y52/H52,"0")+IFERROR(Y53/H53,"0")+IFERROR(Y54/H54,"0")</f>
        <v>28</v>
      </c>
      <c r="Z55" s="635">
        <f>IFERROR(IF(Z51="",0,Z51),"0")+IFERROR(IF(Z52="",0,Z52),"0")+IFERROR(IF(Z53="",0,Z53),"0")+IFERROR(IF(Z54="",0,Z54),"0")</f>
        <v>0.53144000000000002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292</v>
      </c>
      <c r="Y56" s="635">
        <f>IFERROR(SUM(Y51:Y54),"0")</f>
        <v>302.40000000000003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0</v>
      </c>
      <c r="Y66" s="634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0</v>
      </c>
      <c r="Y67" s="635">
        <f>IFERROR(Y59/H59,"0")+IFERROR(Y60/H60,"0")+IFERROR(Y61/H61,"0")+IFERROR(Y62/H62,"0")+IFERROR(Y63/H63,"0")+IFERROR(Y64/H64,"0")+IFERROR(Y65/H65,"0")+IFERROR(Y66/H66,"0")</f>
        <v>0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6"/>
      <c r="AB67" s="636"/>
      <c r="AC67" s="636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0</v>
      </c>
      <c r="Y68" s="635">
        <f>IFERROR(SUM(Y59:Y66),"0")</f>
        <v>0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hidden="1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0</v>
      </c>
      <c r="Y70" s="63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0</v>
      </c>
      <c r="Y74" s="635">
        <f>IFERROR(Y70/H70,"0")+IFERROR(Y71/H71,"0")+IFERROR(Y72/H72,"0")+IFERROR(Y73/H73,"0")</f>
        <v>0</v>
      </c>
      <c r="Z74" s="635">
        <f>IFERROR(IF(Z70="",0,Z70),"0")+IFERROR(IF(Z71="",0,Z71),"0")+IFERROR(IF(Z72="",0,Z72),"0")+IFERROR(IF(Z73="",0,Z73),"0")</f>
        <v>0</v>
      </c>
      <c r="AA74" s="636"/>
      <c r="AB74" s="636"/>
      <c r="AC74" s="636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0</v>
      </c>
      <c r="Y75" s="635">
        <f>IFERROR(SUM(Y70:Y73),"0")</f>
        <v>0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77</v>
      </c>
      <c r="Y82" s="634">
        <f>IFERROR(IF(X82="",0,CEILING((X82/$H82),1)*$H82),"")</f>
        <v>78</v>
      </c>
      <c r="Z82" s="36">
        <f>IFERROR(IF(Y82=0,"",ROUNDUP(Y82/H82,0)*0.01898),"")</f>
        <v>0.1898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81.047435897435903</v>
      </c>
      <c r="BN82" s="64">
        <f>IFERROR(Y82*I82/H82,"0")</f>
        <v>82.100000000000023</v>
      </c>
      <c r="BO82" s="64">
        <f>IFERROR(1/J82*(X82/H82),"0")</f>
        <v>0.15424679487179488</v>
      </c>
      <c r="BP82" s="64">
        <f>IFERROR(1/J82*(Y82/H82),"0")</f>
        <v>0.15625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8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9.8717948717948723</v>
      </c>
      <c r="Y85" s="635">
        <f>IFERROR(Y82/H82,"0")+IFERROR(Y83/H83,"0")+IFERROR(Y84/H84,"0")</f>
        <v>10</v>
      </c>
      <c r="Z85" s="635">
        <f>IFERROR(IF(Z82="",0,Z82),"0")+IFERROR(IF(Z83="",0,Z83),"0")+IFERROR(IF(Z84="",0,Z84),"0")</f>
        <v>0.1898</v>
      </c>
      <c r="AA85" s="636"/>
      <c r="AB85" s="636"/>
      <c r="AC85" s="636"/>
    </row>
    <row r="86" spans="1:68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77</v>
      </c>
      <c r="Y86" s="635">
        <f>IFERROR(SUM(Y82:Y84),"0")</f>
        <v>78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hidden="1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0</v>
      </c>
      <c r="Y89" s="634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idden="1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0</v>
      </c>
      <c r="Y95" s="635">
        <f>IFERROR(Y89/H89,"0")+IFERROR(Y90/H90,"0")+IFERROR(Y91/H91,"0")+IFERROR(Y92/H92,"0")+IFERROR(Y93/H93,"0")+IFERROR(Y94/H94,"0")</f>
        <v>0</v>
      </c>
      <c r="Z95" s="635">
        <f>IFERROR(IF(Z89="",0,Z89),"0")+IFERROR(IF(Z90="",0,Z90),"0")+IFERROR(IF(Z91="",0,Z91),"0")+IFERROR(IF(Z92="",0,Z92),"0")+IFERROR(IF(Z93="",0,Z93),"0")+IFERROR(IF(Z94="",0,Z94),"0")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0</v>
      </c>
      <c r="Y96" s="635">
        <f>IFERROR(SUM(Y89:Y94),"0")</f>
        <v>0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hidden="1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0</v>
      </c>
      <c r="Y98" s="634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0</v>
      </c>
      <c r="Y102" s="635">
        <f>IFERROR(Y98/H98,"0")+IFERROR(Y99/H99,"0")+IFERROR(Y100/H100,"0")+IFERROR(Y101/H101,"0")</f>
        <v>0</v>
      </c>
      <c r="Z102" s="635">
        <f>IFERROR(IF(Z98="",0,Z98),"0")+IFERROR(IF(Z99="",0,Z99),"0")+IFERROR(IF(Z100="",0,Z100),"0")+IFERROR(IF(Z101="",0,Z101),"0")</f>
        <v>0</v>
      </c>
      <c r="AA102" s="636"/>
      <c r="AB102" s="636"/>
      <c r="AC102" s="636"/>
    </row>
    <row r="103" spans="1:68" hidden="1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0</v>
      </c>
      <c r="Y103" s="635">
        <f>IFERROR(SUM(Y98:Y101),"0")</f>
        <v>0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356</v>
      </c>
      <c r="Y106" s="634">
        <f t="shared" ref="Y106:Y112" si="10">IFERROR(IF(X106="",0,CEILING((X106/$H106),1)*$H106),"")</f>
        <v>356.40000000000003</v>
      </c>
      <c r="Z106" s="36">
        <f>IFERROR(IF(Y106=0,"",ROUNDUP(Y106/H106,0)*0.01898),"")</f>
        <v>0.62634000000000001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369.51481481481483</v>
      </c>
      <c r="BN106" s="64">
        <f t="shared" ref="BN106:BN112" si="12">IFERROR(Y106*I106/H106,"0")</f>
        <v>369.93</v>
      </c>
      <c r="BO106" s="64">
        <f t="shared" ref="BO106:BO112" si="13">IFERROR(1/J106*(X106/H106),"0")</f>
        <v>0.51504629629629628</v>
      </c>
      <c r="BP106" s="64">
        <f t="shared" ref="BP106:BP112" si="14">IFERROR(1/J106*(Y106/H106),"0")</f>
        <v>0.515625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114</v>
      </c>
      <c r="Y110" s="634">
        <f t="shared" si="10"/>
        <v>117</v>
      </c>
      <c r="Z110" s="36">
        <f>IFERROR(IF(Y110=0,"",ROUNDUP(Y110/H110,0)*0.00902),"")</f>
        <v>0.23452000000000001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118.81333333333335</v>
      </c>
      <c r="BN110" s="64">
        <f t="shared" si="12"/>
        <v>121.94</v>
      </c>
      <c r="BO110" s="64">
        <f t="shared" si="13"/>
        <v>0.19191919191919191</v>
      </c>
      <c r="BP110" s="64">
        <f t="shared" si="14"/>
        <v>0.19696969696969696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58.296296296296291</v>
      </c>
      <c r="Y113" s="635">
        <f>IFERROR(Y106/H106,"0")+IFERROR(Y107/H107,"0")+IFERROR(Y108/H108,"0")+IFERROR(Y109/H109,"0")+IFERROR(Y110/H110,"0")+IFERROR(Y111/H111,"0")+IFERROR(Y112/H112,"0")</f>
        <v>59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0.86085999999999996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470</v>
      </c>
      <c r="Y114" s="635">
        <f>IFERROR(SUM(Y106:Y112),"0")</f>
        <v>473.40000000000003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381</v>
      </c>
      <c r="Y123" s="634">
        <f>IFERROR(IF(X123="",0,CEILING((X123/$H123),1)*$H123),"")</f>
        <v>388.79999999999995</v>
      </c>
      <c r="Z123" s="36">
        <f>IFERROR(IF(Y123=0,"",ROUNDUP(Y123/H123,0)*0.01898),"")</f>
        <v>0.91104000000000007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403.95407407407407</v>
      </c>
      <c r="BN123" s="64">
        <f>IFERROR(Y123*I123/H123,"0")</f>
        <v>412.22399999999993</v>
      </c>
      <c r="BO123" s="64">
        <f>IFERROR(1/J123*(X123/H123),"0")</f>
        <v>0.73495370370370372</v>
      </c>
      <c r="BP123" s="64">
        <f>IFERROR(1/J123*(Y123/H123),"0")</f>
        <v>0.75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0</v>
      </c>
      <c r="Y125" s="63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47.037037037037038</v>
      </c>
      <c r="Y127" s="635">
        <f>IFERROR(Y123/H123,"0")+IFERROR(Y124/H124,"0")+IFERROR(Y125/H125,"0")+IFERROR(Y126/H126,"0")</f>
        <v>48</v>
      </c>
      <c r="Z127" s="635">
        <f>IFERROR(IF(Z123="",0,Z123),"0")+IFERROR(IF(Z124="",0,Z124),"0")+IFERROR(IF(Z125="",0,Z125),"0")+IFERROR(IF(Z126="",0,Z126),"0")</f>
        <v>0.91104000000000007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381</v>
      </c>
      <c r="Y128" s="635">
        <f>IFERROR(SUM(Y123:Y126),"0")</f>
        <v>388.79999999999995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hidden="1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0</v>
      </c>
      <c r="Y137" s="635">
        <f>IFERROR(Y135/H135,"0")+IFERROR(Y136/H136,"0")</f>
        <v>0</v>
      </c>
      <c r="Z137" s="635">
        <f>IFERROR(IF(Z135="",0,Z135),"0")+IFERROR(IF(Z136="",0,Z136),"0")</f>
        <v>0</v>
      </c>
      <c r="AA137" s="636"/>
      <c r="AB137" s="636"/>
      <c r="AC137" s="636"/>
    </row>
    <row r="138" spans="1:68" hidden="1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0</v>
      </c>
      <c r="Y138" s="635">
        <f>IFERROR(SUM(Y135:Y136),"0")</f>
        <v>0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hidden="1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0</v>
      </c>
      <c r="Y140" s="63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0</v>
      </c>
      <c r="Y142" s="635">
        <f>IFERROR(Y140/H140,"0")+IFERROR(Y141/H141,"0")</f>
        <v>0</v>
      </c>
      <c r="Z142" s="635">
        <f>IFERROR(IF(Z140="",0,Z140),"0")+IFERROR(IF(Z141="",0,Z141),"0")</f>
        <v>0</v>
      </c>
      <c r="AA142" s="636"/>
      <c r="AB142" s="636"/>
      <c r="AC142" s="636"/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0</v>
      </c>
      <c r="Y143" s="635">
        <f>IFERROR(SUM(Y140:Y141),"0")</f>
        <v>0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hidden="1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0</v>
      </c>
      <c r="Y175" s="634">
        <f t="shared" ref="Y175:Y184" si="15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0</v>
      </c>
      <c r="BN175" s="64">
        <f t="shared" ref="BN175:BN184" si="17">IFERROR(Y175*I175/H175,"0")</f>
        <v>0</v>
      </c>
      <c r="BO175" s="64">
        <f t="shared" ref="BO175:BO184" si="18">IFERROR(1/J175*(X175/H175),"0")</f>
        <v>0</v>
      </c>
      <c r="BP175" s="64">
        <f t="shared" ref="BP175:BP184" si="19">IFERROR(1/J175*(Y175/H175),"0")</f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58</v>
      </c>
      <c r="Y177" s="634">
        <f t="shared" si="15"/>
        <v>59.5</v>
      </c>
      <c r="Z177" s="36">
        <f>IFERROR(IF(Y177=0,"",ROUNDUP(Y177/H177,0)*0.00902),"")</f>
        <v>0.15334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61.148571428571429</v>
      </c>
      <c r="BN177" s="64">
        <f t="shared" si="17"/>
        <v>62.730000000000004</v>
      </c>
      <c r="BO177" s="64">
        <f t="shared" si="18"/>
        <v>0.12554112554112556</v>
      </c>
      <c r="BP177" s="64">
        <f t="shared" si="19"/>
        <v>0.12878787878787878</v>
      </c>
    </row>
    <row r="178" spans="1:68" ht="27" hidden="1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0</v>
      </c>
      <c r="Y178" s="634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4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0</v>
      </c>
      <c r="Y180" s="634">
        <f t="shared" si="15"/>
        <v>0</v>
      </c>
      <c r="Z180" s="36" t="str">
        <f>IFERROR(IF(Y180=0,"",ROUNDUP(Y180/H180,0)*0.00502),"")</f>
        <v/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6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16.571428571428573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17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0.15334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58</v>
      </c>
      <c r="Y186" s="635">
        <f>IFERROR(SUM(Y175:Y184),"0")</f>
        <v>59.5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4" t="s">
        <v>332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0</v>
      </c>
      <c r="Y220" s="634">
        <f t="shared" si="26"/>
        <v>0</v>
      </c>
      <c r="Z220" s="36" t="str">
        <f>IFERROR(IF(Y220=0,"",ROUNDUP(Y220/H220,0)*0.00902),"")</f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6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0</v>
      </c>
      <c r="Y223" s="634">
        <f t="shared" si="26"/>
        <v>0</v>
      </c>
      <c r="Z223" s="36" t="str">
        <f>IFERROR(IF(Y223=0,"",ROUNDUP(Y223/H223,0)*0.00502),"")</f>
        <v/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104</v>
      </c>
      <c r="Y229" s="634">
        <f t="shared" si="26"/>
        <v>105</v>
      </c>
      <c r="Z229" s="36">
        <f>IFERROR(IF(Y229=0,"",ROUNDUP(Y229/H229,0)*0.00502),"")</f>
        <v>0.251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108.95238095238095</v>
      </c>
      <c r="BN229" s="64">
        <f t="shared" si="28"/>
        <v>110.00000000000001</v>
      </c>
      <c r="BO229" s="64">
        <f t="shared" si="29"/>
        <v>0.21164021164021163</v>
      </c>
      <c r="BP229" s="64">
        <f t="shared" si="30"/>
        <v>0.21367521367521369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49.523809523809518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50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0.251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104</v>
      </c>
      <c r="Y233" s="635">
        <f>IFERROR(SUM(Y218:Y231),"0")</f>
        <v>105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3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hidden="1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0</v>
      </c>
      <c r="Y264" s="634">
        <f t="shared" ref="Y264:Y271" si="31"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0</v>
      </c>
      <c r="BN264" s="64">
        <f t="shared" ref="BN264:BN271" si="33">IFERROR(Y264*I264/H264,"0")</f>
        <v>0</v>
      </c>
      <c r="BO264" s="64">
        <f t="shared" ref="BO264:BO271" si="34">IFERROR(1/J264*(X264/H264),"0")</f>
        <v>0</v>
      </c>
      <c r="BP264" s="64">
        <f t="shared" ref="BP264:BP271" si="35">IFERROR(1/J264*(Y264/H264),"0")</f>
        <v>0</v>
      </c>
    </row>
    <row r="265" spans="1:68" ht="27" hidden="1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0</v>
      </c>
      <c r="Y265" s="634">
        <f t="shared" si="31"/>
        <v>0</v>
      </c>
      <c r="Z265" s="36" t="str">
        <f>IFERROR(IF(Y265=0,"",ROUNDUP(Y265/H265,0)*0.00902),"")</f>
        <v/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0</v>
      </c>
      <c r="Y266" s="634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65</v>
      </c>
      <c r="Y267" s="634">
        <f t="shared" si="31"/>
        <v>70.2</v>
      </c>
      <c r="Z267" s="36">
        <f>IFERROR(IF(Y267=0,"",ROUNDUP(Y267/H267,0)*0.00902),"")</f>
        <v>0.11726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67.287037037037024</v>
      </c>
      <c r="BN267" s="64">
        <f t="shared" si="33"/>
        <v>72.67</v>
      </c>
      <c r="BO267" s="64">
        <f t="shared" si="34"/>
        <v>9.1189674523007858E-2</v>
      </c>
      <c r="BP267" s="64">
        <f t="shared" si="35"/>
        <v>9.8484848484848481E-2</v>
      </c>
    </row>
    <row r="268" spans="1:68" ht="27" hidden="1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0</v>
      </c>
      <c r="Y268" s="634">
        <f t="shared" si="31"/>
        <v>0</v>
      </c>
      <c r="Z268" s="36" t="str">
        <f>IFERROR(IF(Y268=0,"",ROUNDUP(Y268/H268,0)*0.00502),"")</f>
        <v/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0</v>
      </c>
      <c r="Y269" s="634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0</v>
      </c>
      <c r="Y271" s="634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12.037037037037036</v>
      </c>
      <c r="Y272" s="635">
        <f>IFERROR(Y264/H264,"0")+IFERROR(Y265/H265,"0")+IFERROR(Y266/H266,"0")+IFERROR(Y267/H267,"0")+IFERROR(Y268/H268,"0")+IFERROR(Y269/H269,"0")+IFERROR(Y270/H270,"0")+IFERROR(Y271/H271,"0")</f>
        <v>13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0.11726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65</v>
      </c>
      <c r="Y273" s="635">
        <f>IFERROR(SUM(Y264:Y271),"0")</f>
        <v>70.2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hidden="1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0</v>
      </c>
      <c r="Y275" s="634">
        <f t="shared" ref="Y275:Y285" si="36"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0</v>
      </c>
      <c r="BN275" s="64">
        <f t="shared" ref="BN275:BN285" si="38">IFERROR(Y275*I275/H275,"0")</f>
        <v>0</v>
      </c>
      <c r="BO275" s="64">
        <f t="shared" ref="BO275:BO285" si="39">IFERROR(1/J275*(X275/H275),"0")</f>
        <v>0</v>
      </c>
      <c r="BP275" s="64">
        <f t="shared" ref="BP275:BP285" si="40">IFERROR(1/J275*(Y275/H275),"0")</f>
        <v>0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159</v>
      </c>
      <c r="Y276" s="634">
        <f t="shared" si="36"/>
        <v>162</v>
      </c>
      <c r="Z276" s="36">
        <f>IFERROR(IF(Y276=0,"",ROUNDUP(Y276/H276,0)*0.01898),"")</f>
        <v>0.37959999999999999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168.34370370370371</v>
      </c>
      <c r="BN276" s="64">
        <f t="shared" si="38"/>
        <v>171.52</v>
      </c>
      <c r="BO276" s="64">
        <f t="shared" si="39"/>
        <v>0.30671296296296297</v>
      </c>
      <c r="BP276" s="64">
        <f t="shared" si="40"/>
        <v>0.3125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131</v>
      </c>
      <c r="Y278" s="634">
        <f t="shared" si="36"/>
        <v>132</v>
      </c>
      <c r="Z278" s="36">
        <f>IFERROR(IF(Y278=0,"",ROUNDUP(Y278/H278,0)*0.00651),"")</f>
        <v>0.35805000000000003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145.73750000000001</v>
      </c>
      <c r="BN278" s="64">
        <f t="shared" si="38"/>
        <v>146.85</v>
      </c>
      <c r="BO278" s="64">
        <f t="shared" si="39"/>
        <v>0.29990842490842495</v>
      </c>
      <c r="BP278" s="64">
        <f t="shared" si="40"/>
        <v>0.30219780219780223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6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406</v>
      </c>
      <c r="Y280" s="634">
        <f t="shared" si="36"/>
        <v>408</v>
      </c>
      <c r="Z280" s="36">
        <f>IFERROR(IF(Y280=0,"",ROUNDUP(Y280/H280,0)*0.00651),"")</f>
        <v>1.1067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448.63</v>
      </c>
      <c r="BN280" s="64">
        <f t="shared" si="38"/>
        <v>450.84000000000003</v>
      </c>
      <c r="BO280" s="64">
        <f t="shared" si="39"/>
        <v>0.92948717948717963</v>
      </c>
      <c r="BP280" s="64">
        <f t="shared" si="40"/>
        <v>0.93406593406593419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119</v>
      </c>
      <c r="Y282" s="634">
        <f t="shared" si="36"/>
        <v>120</v>
      </c>
      <c r="Z282" s="36">
        <f>IFERROR(IF(Y282=0,"",ROUNDUP(Y282/H282,0)*0.00651),"")</f>
        <v>0.32550000000000001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131.495</v>
      </c>
      <c r="BN282" s="64">
        <f t="shared" si="38"/>
        <v>132.60000000000002</v>
      </c>
      <c r="BO282" s="64">
        <f t="shared" si="39"/>
        <v>0.27243589743589747</v>
      </c>
      <c r="BP282" s="64">
        <f t="shared" si="40"/>
        <v>0.27472527472527475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0</v>
      </c>
      <c r="Y283" s="634">
        <f t="shared" si="36"/>
        <v>0</v>
      </c>
      <c r="Z283" s="36" t="str">
        <f>IFERROR(IF(Y283=0,"",ROUNDUP(Y283/H283,0)*0.00651),"")</f>
        <v/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0</v>
      </c>
      <c r="Y284" s="634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292.96296296296299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295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2.1698499999999998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815</v>
      </c>
      <c r="Y287" s="635">
        <f>IFERROR(SUM(Y275:Y285),"0")</f>
        <v>822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2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9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0</v>
      </c>
      <c r="Y335" s="635">
        <f>IFERROR(Y332/H332,"0")+IFERROR(Y333/H333,"0")+IFERROR(Y334/H334,"0")</f>
        <v>0</v>
      </c>
      <c r="Z335" s="635">
        <f>IFERROR(IF(Z332="",0,Z332),"0")+IFERROR(IF(Z333="",0,Z333),"0")+IFERROR(IF(Z334="",0,Z334),"0")</f>
        <v>0</v>
      </c>
      <c r="AA335" s="636"/>
      <c r="AB335" s="636"/>
      <c r="AC335" s="636"/>
    </row>
    <row r="336" spans="1:68" hidden="1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0</v>
      </c>
      <c r="Y336" s="635">
        <f>IFERROR(SUM(Y332:Y334),"0")</f>
        <v>0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3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hidden="1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0</v>
      </c>
      <c r="Y365" s="635">
        <f>IFERROR(Y362/H362,"0")+IFERROR(Y363/H363,"0")+IFERROR(Y364/H364,"0")</f>
        <v>0</v>
      </c>
      <c r="Z365" s="635">
        <f>IFERROR(IF(Z362="",0,Z362),"0")+IFERROR(IF(Z363="",0,Z363),"0")+IFERROR(IF(Z364="",0,Z364),"0")</f>
        <v>0</v>
      </c>
      <c r="AA365" s="636"/>
      <c r="AB365" s="636"/>
      <c r="AC365" s="636"/>
    </row>
    <row r="366" spans="1:68" hidden="1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0</v>
      </c>
      <c r="Y366" s="635">
        <f>IFERROR(SUM(Y362:Y364),"0")</f>
        <v>0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0</v>
      </c>
      <c r="Y385" s="634">
        <f t="shared" si="56"/>
        <v>0</v>
      </c>
      <c r="Z385" s="36" t="str">
        <f>IFERROR(IF(Y385=0,"",ROUNDUP(Y385/H385,0)*0.00651),"")</f>
        <v/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idden="1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0</v>
      </c>
      <c r="Y386" s="635">
        <f>IFERROR(Y379/H379,"0")+IFERROR(Y380/H380,"0")+IFERROR(Y381/H381,"0")+IFERROR(Y382/H382,"0")+IFERROR(Y383/H383,"0")+IFERROR(Y384/H384,"0")+IFERROR(Y385/H385,"0")</f>
        <v>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36"/>
      <c r="AB386" s="636"/>
      <c r="AC386" s="636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0</v>
      </c>
      <c r="Y387" s="635">
        <f>IFERROR(SUM(Y379:Y385),"0")</f>
        <v>0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242</v>
      </c>
      <c r="Y397" s="634">
        <f>IFERROR(IF(X397="",0,CEILING((X397/$H397),1)*$H397),"")</f>
        <v>249.6</v>
      </c>
      <c r="Z397" s="36">
        <f>IFERROR(IF(Y397=0,"",ROUNDUP(Y397/H397,0)*0.01898),"")</f>
        <v>0.60736000000000001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257.32666666666671</v>
      </c>
      <c r="BN397" s="64">
        <f>IFERROR(Y397*I397/H397,"0")</f>
        <v>265.40800000000002</v>
      </c>
      <c r="BO397" s="64">
        <f>IFERROR(1/J397*(X397/H397),"0")</f>
        <v>0.48477564102564102</v>
      </c>
      <c r="BP397" s="64">
        <f>IFERROR(1/J397*(Y397/H397),"0")</f>
        <v>0.5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31.025641025641026</v>
      </c>
      <c r="Y399" s="635">
        <f>IFERROR(Y396/H396,"0")+IFERROR(Y397/H397,"0")+IFERROR(Y398/H398,"0")</f>
        <v>32</v>
      </c>
      <c r="Z399" s="635">
        <f>IFERROR(IF(Z396="",0,Z396),"0")+IFERROR(IF(Z397="",0,Z397),"0")+IFERROR(IF(Z398="",0,Z398),"0")</f>
        <v>0.60736000000000001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242</v>
      </c>
      <c r="Y400" s="635">
        <f>IFERROR(SUM(Y396:Y398),"0")</f>
        <v>249.6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0</v>
      </c>
      <c r="Y406" s="635">
        <f>IFERROR(Y402/H402,"0")+IFERROR(Y403/H403,"0")+IFERROR(Y404/H404,"0")+IFERROR(Y405/H405,"0")</f>
        <v>0</v>
      </c>
      <c r="Z406" s="635">
        <f>IFERROR(IF(Z402="",0,Z402),"0")+IFERROR(IF(Z403="",0,Z403),"0")+IFERROR(IF(Z404="",0,Z404),"0")+IFERROR(IF(Z405="",0,Z405),"0")</f>
        <v>0</v>
      </c>
      <c r="AA406" s="636"/>
      <c r="AB406" s="636"/>
      <c r="AC406" s="636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0</v>
      </c>
      <c r="Y407" s="635">
        <f>IFERROR(SUM(Y402:Y405),"0")</f>
        <v>0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hidden="1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0</v>
      </c>
      <c r="Y409" s="634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0</v>
      </c>
      <c r="Y410" s="634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4</v>
      </c>
      <c r="Y411" s="634">
        <f>IFERROR(IF(X411="",0,CEILING((X411/$H411),1)*$H411),"")</f>
        <v>4</v>
      </c>
      <c r="Z411" s="36">
        <f>IFERROR(IF(Y411=0,"",ROUNDUP(Y411/H411,0)*0.00474),"")</f>
        <v>9.4800000000000006E-3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4.4800000000000004</v>
      </c>
      <c r="BN411" s="64">
        <f>IFERROR(Y411*I411/H411,"0")</f>
        <v>4.4800000000000004</v>
      </c>
      <c r="BO411" s="64">
        <f>IFERROR(1/J411*(X411/H411),"0")</f>
        <v>8.4033613445378148E-3</v>
      </c>
      <c r="BP411" s="64">
        <f>IFERROR(1/J411*(Y411/H411),"0")</f>
        <v>8.4033613445378148E-3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2</v>
      </c>
      <c r="Y412" s="635">
        <f>IFERROR(Y409/H409,"0")+IFERROR(Y410/H410,"0")+IFERROR(Y411/H411,"0")</f>
        <v>2</v>
      </c>
      <c r="Z412" s="635">
        <f>IFERROR(IF(Z409="",0,Z409),"0")+IFERROR(IF(Z410="",0,Z410),"0")+IFERROR(IF(Z411="",0,Z411),"0")</f>
        <v>9.4800000000000006E-3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4</v>
      </c>
      <c r="Y413" s="635">
        <f>IFERROR(SUM(Y409:Y411),"0")</f>
        <v>4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7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1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28</v>
      </c>
      <c r="Y431" s="634">
        <f>IFERROR(IF(X431="",0,CEILING((X431/$H431),1)*$H431),"")</f>
        <v>29.400000000000002</v>
      </c>
      <c r="Z431" s="36">
        <f>IFERROR(IF(Y431=0,"",ROUNDUP(Y431/H431,0)*0.00651),"")</f>
        <v>9.1139999999999999E-2</v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31.359999999999996</v>
      </c>
      <c r="BN431" s="64">
        <f>IFERROR(Y431*I431/H431,"0")</f>
        <v>32.927999999999997</v>
      </c>
      <c r="BO431" s="64">
        <f>IFERROR(1/J431*(X431/H431),"0")</f>
        <v>7.3260073260073263E-2</v>
      </c>
      <c r="BP431" s="64">
        <f>IFERROR(1/J431*(Y431/H431),"0")</f>
        <v>7.6923076923076927E-2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13.333333333333332</v>
      </c>
      <c r="Y433" s="635">
        <f>IFERROR(Y430/H430,"0")+IFERROR(Y431/H431,"0")+IFERROR(Y432/H432,"0")</f>
        <v>14</v>
      </c>
      <c r="Z433" s="635">
        <f>IFERROR(IF(Z430="",0,Z430),"0")+IFERROR(IF(Z431="",0,Z431),"0")+IFERROR(IF(Z432="",0,Z432),"0")</f>
        <v>9.1139999999999999E-2</v>
      </c>
      <c r="AA433" s="636"/>
      <c r="AB433" s="636"/>
      <c r="AC433" s="636"/>
    </row>
    <row r="434" spans="1:68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28</v>
      </c>
      <c r="Y434" s="635">
        <f>IFERROR(SUM(Y430:Y432),"0")</f>
        <v>29.400000000000002</v>
      </c>
      <c r="Z434" s="37"/>
      <c r="AA434" s="636"/>
      <c r="AB434" s="636"/>
      <c r="AC434" s="636"/>
    </row>
    <row r="435" spans="1:68" ht="27.75" hidden="1" customHeight="1" x14ac:dyDescent="0.2">
      <c r="A435" s="674" t="s">
        <v>696</v>
      </c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925</v>
      </c>
      <c r="Y439" s="634">
        <f t="shared" si="61"/>
        <v>930</v>
      </c>
      <c r="Z439" s="36">
        <f>IFERROR(IF(Y439=0,"",ROUNDUP(Y439/H439,0)*0.02175),"")</f>
        <v>1.3484999999999998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953.98333333333335</v>
      </c>
      <c r="BN439" s="64">
        <f t="shared" si="63"/>
        <v>959.14</v>
      </c>
      <c r="BO439" s="64">
        <f t="shared" si="64"/>
        <v>1.2847222222222221</v>
      </c>
      <c r="BP439" s="64">
        <f t="shared" si="65"/>
        <v>1.2916666666666665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1453</v>
      </c>
      <c r="Y440" s="634">
        <f t="shared" si="61"/>
        <v>1455</v>
      </c>
      <c r="Z440" s="36">
        <f>IFERROR(IF(Y440=0,"",ROUNDUP(Y440/H440,0)*0.02175),"")</f>
        <v>2.10975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1498.5273333333332</v>
      </c>
      <c r="BN440" s="64">
        <f t="shared" si="63"/>
        <v>1500.5900000000001</v>
      </c>
      <c r="BO440" s="64">
        <f t="shared" si="64"/>
        <v>2.0180555555555553</v>
      </c>
      <c r="BP440" s="64">
        <f t="shared" si="65"/>
        <v>2.020833333333333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693</v>
      </c>
      <c r="Y441" s="634">
        <f t="shared" si="61"/>
        <v>705</v>
      </c>
      <c r="Z441" s="36">
        <f>IFERROR(IF(Y441=0,"",ROUNDUP(Y441/H441,0)*0.02175),"")</f>
        <v>1.0222499999999999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714.71400000000006</v>
      </c>
      <c r="BN441" s="64">
        <f t="shared" si="63"/>
        <v>727.09</v>
      </c>
      <c r="BO441" s="64">
        <f t="shared" si="64"/>
        <v>0.96250000000000002</v>
      </c>
      <c r="BP441" s="64">
        <f t="shared" si="65"/>
        <v>0.97916666666666663</v>
      </c>
    </row>
    <row r="442" spans="1:68" ht="27" hidden="1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0</v>
      </c>
      <c r="Y442" s="634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204.73333333333335</v>
      </c>
      <c r="Y446" s="635">
        <f>IFERROR(Y438/H438,"0")+IFERROR(Y439/H439,"0")+IFERROR(Y440/H440,"0")+IFERROR(Y441/H441,"0")+IFERROR(Y442/H442,"0")+IFERROR(Y443/H443,"0")+IFERROR(Y444/H444,"0")+IFERROR(Y445/H445,"0")</f>
        <v>206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4.4804999999999993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3071</v>
      </c>
      <c r="Y447" s="635">
        <f>IFERROR(SUM(Y438:Y445),"0")</f>
        <v>3090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1154</v>
      </c>
      <c r="Y449" s="634">
        <f>IFERROR(IF(X449="",0,CEILING((X449/$H449),1)*$H449),"")</f>
        <v>1155</v>
      </c>
      <c r="Z449" s="36">
        <f>IFERROR(IF(Y449=0,"",ROUNDUP(Y449/H449,0)*0.02175),"")</f>
        <v>1.67475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1190.1586666666667</v>
      </c>
      <c r="BN449" s="64">
        <f>IFERROR(Y449*I449/H449,"0")</f>
        <v>1191.19</v>
      </c>
      <c r="BO449" s="64">
        <f>IFERROR(1/J449*(X449/H449),"0")</f>
        <v>1.6027777777777779</v>
      </c>
      <c r="BP449" s="64">
        <f>IFERROR(1/J449*(Y449/H449),"0")</f>
        <v>1.6041666666666665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76.933333333333337</v>
      </c>
      <c r="Y452" s="635">
        <f>IFERROR(Y449/H449,"0")+IFERROR(Y450/H450,"0")+IFERROR(Y451/H451,"0")</f>
        <v>77</v>
      </c>
      <c r="Z452" s="635">
        <f>IFERROR(IF(Z449="",0,Z449),"0")+IFERROR(IF(Z450="",0,Z450),"0")+IFERROR(IF(Z451="",0,Z451),"0")</f>
        <v>1.67475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1154</v>
      </c>
      <c r="Y453" s="635">
        <f>IFERROR(SUM(Y449:Y451),"0")</f>
        <v>1155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6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809</v>
      </c>
      <c r="Y476" s="634">
        <f>IFERROR(IF(X476="",0,CEILING((X476/$H476),1)*$H476),"")</f>
        <v>810</v>
      </c>
      <c r="Z476" s="36">
        <f>IFERROR(IF(Y476=0,"",ROUNDUP(Y476/H476,0)*0.01898),"")</f>
        <v>1.7081999999999999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853.40511111111107</v>
      </c>
      <c r="BN476" s="64">
        <f>IFERROR(Y476*I476/H476,"0")</f>
        <v>854.45999999999992</v>
      </c>
      <c r="BO476" s="64">
        <f>IFERROR(1/J476*(X476/H476),"0")</f>
        <v>1.4045138888888888</v>
      </c>
      <c r="BP476" s="64">
        <f>IFERROR(1/J476*(Y476/H476),"0")</f>
        <v>1.40625</v>
      </c>
    </row>
    <row r="477" spans="1:68" ht="27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178</v>
      </c>
      <c r="Y477" s="634">
        <f>IFERROR(IF(X477="",0,CEILING((X477/$H477),1)*$H477),"")</f>
        <v>180</v>
      </c>
      <c r="Z477" s="36">
        <f>IFERROR(IF(Y477=0,"",ROUNDUP(Y477/H477,0)*0.00651),"")</f>
        <v>0.48825000000000002</v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197.58</v>
      </c>
      <c r="BN477" s="64">
        <f>IFERROR(Y477*I477/H477,"0")</f>
        <v>199.8</v>
      </c>
      <c r="BO477" s="64">
        <f>IFERROR(1/J477*(X477/H477),"0")</f>
        <v>0.40750915750915756</v>
      </c>
      <c r="BP477" s="64">
        <f>IFERROR(1/J477*(Y477/H477),"0")</f>
        <v>0.41208791208791212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164.05555555555554</v>
      </c>
      <c r="Y479" s="635">
        <f>IFERROR(Y476/H476,"0")+IFERROR(Y477/H477,"0")+IFERROR(Y478/H478,"0")</f>
        <v>165</v>
      </c>
      <c r="Z479" s="635">
        <f>IFERROR(IF(Z476="",0,Z476),"0")+IFERROR(IF(Z477="",0,Z477),"0")+IFERROR(IF(Z478="",0,Z478),"0")</f>
        <v>2.19645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987</v>
      </c>
      <c r="Y480" s="635">
        <f>IFERROR(SUM(Y476:Y478),"0")</f>
        <v>990</v>
      </c>
      <c r="Z480" s="37"/>
      <c r="AA480" s="636"/>
      <c r="AB480" s="636"/>
      <c r="AC480" s="636"/>
    </row>
    <row r="481" spans="1:68" ht="27.75" hidden="1" customHeight="1" x14ac:dyDescent="0.2">
      <c r="A481" s="674" t="s">
        <v>762</v>
      </c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5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74" t="s">
        <v>795</v>
      </c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8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75</v>
      </c>
      <c r="Y510" s="634">
        <f t="shared" ref="Y510:Y517" si="71">IFERROR(IF(X510="",0,CEILING((X510/$H510),1)*$H510),"")</f>
        <v>79.2</v>
      </c>
      <c r="Z510" s="36">
        <f>IFERROR(IF(Y510=0,"",ROUNDUP(Y510/H510,0)*0.01196),"")</f>
        <v>0.1794</v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79.971590909090907</v>
      </c>
      <c r="BN510" s="64">
        <f t="shared" ref="BN510:BN517" si="73">IFERROR(Y510*I510/H510,"0")</f>
        <v>84.45</v>
      </c>
      <c r="BO510" s="64">
        <f t="shared" ref="BO510:BO517" si="74">IFERROR(1/J510*(X510/H510),"0")</f>
        <v>0.13658216783216784</v>
      </c>
      <c r="BP510" s="64">
        <f t="shared" ref="BP510:BP517" si="75">IFERROR(1/J510*(Y510/H510),"0")</f>
        <v>0.14423076923076925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760</v>
      </c>
      <c r="Y513" s="634">
        <f t="shared" si="71"/>
        <v>760.32</v>
      </c>
      <c r="Z513" s="36">
        <f>IFERROR(IF(Y513=0,"",ROUNDUP(Y513/H513,0)*0.01196),"")</f>
        <v>1.72224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810.37878787878788</v>
      </c>
      <c r="BN513" s="64">
        <f t="shared" si="73"/>
        <v>810.71999999999991</v>
      </c>
      <c r="BO513" s="64">
        <f t="shared" si="74"/>
        <v>1.3840326340326341</v>
      </c>
      <c r="BP513" s="64">
        <f t="shared" si="75"/>
        <v>1.3846153846153846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1793</v>
      </c>
      <c r="Y514" s="634">
        <f t="shared" si="71"/>
        <v>1795.2</v>
      </c>
      <c r="Z514" s="36">
        <f>IFERROR(IF(Y514=0,"",ROUNDUP(Y514/H514,0)*0.01196),"")</f>
        <v>4.0663999999999998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1911.8541666666665</v>
      </c>
      <c r="BN514" s="64">
        <f t="shared" si="73"/>
        <v>1914.2</v>
      </c>
      <c r="BO514" s="64">
        <f t="shared" si="74"/>
        <v>3.265224358974359</v>
      </c>
      <c r="BP514" s="64">
        <f t="shared" si="75"/>
        <v>3.2692307692307696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497.72727272727269</v>
      </c>
      <c r="Y518" s="635">
        <f>IFERROR(Y510/H510,"0")+IFERROR(Y511/H511,"0")+IFERROR(Y512/H512,"0")+IFERROR(Y513/H513,"0")+IFERROR(Y514/H514,"0")+IFERROR(Y515/H515,"0")+IFERROR(Y516/H516,"0")+IFERROR(Y517/H517,"0")</f>
        <v>499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5.9680400000000002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2628</v>
      </c>
      <c r="Y519" s="635">
        <f>IFERROR(SUM(Y510:Y517),"0")</f>
        <v>2634.7200000000003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1016</v>
      </c>
      <c r="Y521" s="634">
        <f>IFERROR(IF(X521="",0,CEILING((X521/$H521),1)*$H521),"")</f>
        <v>1019.0400000000001</v>
      </c>
      <c r="Z521" s="36">
        <f>IFERROR(IF(Y521=0,"",ROUNDUP(Y521/H521,0)*0.01196),"")</f>
        <v>2.3082799999999999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1083.3484848484848</v>
      </c>
      <c r="BN521" s="64">
        <f>IFERROR(Y521*I521/H521,"0")</f>
        <v>1086.5899999999999</v>
      </c>
      <c r="BO521" s="64">
        <f>IFERROR(1/J521*(X521/H521),"0")</f>
        <v>1.8502331002331003</v>
      </c>
      <c r="BP521" s="64">
        <f>IFERROR(1/J521*(Y521/H521),"0")</f>
        <v>1.8557692307692308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0</v>
      </c>
      <c r="Y523" s="634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192.42424242424241</v>
      </c>
      <c r="Y524" s="635">
        <f>IFERROR(Y521/H521,"0")+IFERROR(Y522/H522,"0")+IFERROR(Y523/H523,"0")</f>
        <v>193</v>
      </c>
      <c r="Z524" s="635">
        <f>IFERROR(IF(Z521="",0,Z521),"0")+IFERROR(IF(Z522="",0,Z522),"0")+IFERROR(IF(Z523="",0,Z523),"0")</f>
        <v>2.3082799999999999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1016</v>
      </c>
      <c r="Y525" s="635">
        <f>IFERROR(SUM(Y521:Y523),"0")</f>
        <v>1019.0400000000001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hidden="1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0</v>
      </c>
      <c r="Y527" s="634">
        <f t="shared" ref="Y527:Y533" si="76"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0</v>
      </c>
      <c r="BN527" s="64">
        <f t="shared" ref="BN527:BN533" si="78">IFERROR(Y527*I527/H527,"0")</f>
        <v>0</v>
      </c>
      <c r="BO527" s="64">
        <f t="shared" ref="BO527:BO533" si="79">IFERROR(1/J527*(X527/H527),"0")</f>
        <v>0</v>
      </c>
      <c r="BP527" s="64">
        <f t="shared" ref="BP527:BP533" si="80">IFERROR(1/J527*(Y527/H527),"0")</f>
        <v>0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1115</v>
      </c>
      <c r="Y528" s="634">
        <f t="shared" si="76"/>
        <v>1119.3600000000001</v>
      </c>
      <c r="Z528" s="36">
        <f>IFERROR(IF(Y528=0,"",ROUNDUP(Y528/H528,0)*0.01196),"")</f>
        <v>2.53552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1188.9109848484848</v>
      </c>
      <c r="BN528" s="64">
        <f t="shared" si="78"/>
        <v>1193.5600000000002</v>
      </c>
      <c r="BO528" s="64">
        <f t="shared" si="79"/>
        <v>2.0305215617715615</v>
      </c>
      <c r="BP528" s="64">
        <f t="shared" si="80"/>
        <v>2.0384615384615388</v>
      </c>
    </row>
    <row r="529" spans="1:68" ht="27" hidden="1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0</v>
      </c>
      <c r="Y529" s="634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211.17424242424241</v>
      </c>
      <c r="Y534" s="635">
        <f>IFERROR(Y527/H527,"0")+IFERROR(Y528/H528,"0")+IFERROR(Y529/H529,"0")+IFERROR(Y530/H530,"0")+IFERROR(Y531/H531,"0")+IFERROR(Y532/H532,"0")+IFERROR(Y533/H533,"0")</f>
        <v>212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2.53552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1115</v>
      </c>
      <c r="Y535" s="635">
        <f>IFERROR(SUM(Y527:Y533),"0")</f>
        <v>1119.3600000000001</v>
      </c>
      <c r="Z535" s="37"/>
      <c r="AA535" s="636"/>
      <c r="AB535" s="636"/>
      <c r="AC535" s="636"/>
    </row>
    <row r="536" spans="1:68" ht="27.75" hidden="1" customHeight="1" x14ac:dyDescent="0.2">
      <c r="A536" s="674" t="s">
        <v>839</v>
      </c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82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1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4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98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799"/>
      <c r="P564" s="690" t="s">
        <v>861</v>
      </c>
      <c r="Q564" s="691"/>
      <c r="R564" s="691"/>
      <c r="S564" s="691"/>
      <c r="T564" s="691"/>
      <c r="U564" s="691"/>
      <c r="V564" s="69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12507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12590.420000000002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799"/>
      <c r="P565" s="690" t="s">
        <v>862</v>
      </c>
      <c r="Q565" s="691"/>
      <c r="R565" s="691"/>
      <c r="S565" s="691"/>
      <c r="T565" s="691"/>
      <c r="U565" s="691"/>
      <c r="V565" s="692"/>
      <c r="W565" s="37" t="s">
        <v>67</v>
      </c>
      <c r="X565" s="635">
        <f>IFERROR(SUM(BM22:BM561),"0")</f>
        <v>13184.008162689161</v>
      </c>
      <c r="Y565" s="635">
        <f>IFERROR(SUM(BN22:BN561),"0")</f>
        <v>13271.890000000001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799"/>
      <c r="P566" s="690" t="s">
        <v>863</v>
      </c>
      <c r="Q566" s="691"/>
      <c r="R566" s="691"/>
      <c r="S566" s="691"/>
      <c r="T566" s="691"/>
      <c r="U566" s="691"/>
      <c r="V566" s="692"/>
      <c r="W566" s="37" t="s">
        <v>864</v>
      </c>
      <c r="X566" s="38">
        <f>ROUNDUP(SUM(BO22:BO561),0)</f>
        <v>22</v>
      </c>
      <c r="Y566" s="38">
        <f>ROUNDUP(SUM(BP22:BP561),0)</f>
        <v>22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799"/>
      <c r="P567" s="690" t="s">
        <v>865</v>
      </c>
      <c r="Q567" s="691"/>
      <c r="R567" s="691"/>
      <c r="S567" s="691"/>
      <c r="T567" s="691"/>
      <c r="U567" s="691"/>
      <c r="V567" s="692"/>
      <c r="W567" s="37" t="s">
        <v>67</v>
      </c>
      <c r="X567" s="635">
        <f>GrossWeightTotal+PalletQtyTotal*25</f>
        <v>13734.008162689161</v>
      </c>
      <c r="Y567" s="635">
        <f>GrossWeightTotalR+PalletQtyTotalR*25</f>
        <v>13821.890000000001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799"/>
      <c r="P568" s="690" t="s">
        <v>866</v>
      </c>
      <c r="Q568" s="691"/>
      <c r="R568" s="691"/>
      <c r="S568" s="691"/>
      <c r="T568" s="691"/>
      <c r="U568" s="691"/>
      <c r="V568" s="69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1906.7443574943577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1920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799"/>
      <c r="P569" s="690" t="s">
        <v>867</v>
      </c>
      <c r="Q569" s="691"/>
      <c r="R569" s="691"/>
      <c r="S569" s="691"/>
      <c r="T569" s="691"/>
      <c r="U569" s="691"/>
      <c r="V569" s="69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25.056109999999997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67" t="s">
        <v>117</v>
      </c>
      <c r="E571" s="983"/>
      <c r="F571" s="983"/>
      <c r="G571" s="983"/>
      <c r="H571" s="983"/>
      <c r="I571" s="983"/>
      <c r="J571" s="802"/>
      <c r="K571" s="667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802"/>
      <c r="X571" s="667" t="s">
        <v>696</v>
      </c>
      <c r="Y571" s="802"/>
      <c r="Z571" s="667" t="s">
        <v>762</v>
      </c>
      <c r="AA571" s="802"/>
      <c r="AB571" s="630" t="s">
        <v>795</v>
      </c>
      <c r="AC571" s="667" t="s">
        <v>839</v>
      </c>
      <c r="AD571" s="802"/>
      <c r="AF571" s="631"/>
    </row>
    <row r="572" spans="1:68" ht="14.25" customHeight="1" thickTop="1" x14ac:dyDescent="0.2">
      <c r="A572" s="681" t="s">
        <v>870</v>
      </c>
      <c r="B572" s="667" t="s">
        <v>61</v>
      </c>
      <c r="C572" s="667" t="s">
        <v>101</v>
      </c>
      <c r="D572" s="667" t="s">
        <v>118</v>
      </c>
      <c r="E572" s="667" t="s">
        <v>134</v>
      </c>
      <c r="F572" s="667" t="s">
        <v>180</v>
      </c>
      <c r="G572" s="667" t="s">
        <v>204</v>
      </c>
      <c r="H572" s="667" t="s">
        <v>246</v>
      </c>
      <c r="I572" s="667" t="s">
        <v>259</v>
      </c>
      <c r="J572" s="667" t="s">
        <v>117</v>
      </c>
      <c r="K572" s="667" t="s">
        <v>333</v>
      </c>
      <c r="L572" s="667" t="s">
        <v>354</v>
      </c>
      <c r="M572" s="667" t="s">
        <v>418</v>
      </c>
      <c r="N572" s="631"/>
      <c r="O572" s="667" t="s">
        <v>484</v>
      </c>
      <c r="P572" s="667" t="s">
        <v>519</v>
      </c>
      <c r="Q572" s="667" t="s">
        <v>541</v>
      </c>
      <c r="R572" s="667" t="s">
        <v>550</v>
      </c>
      <c r="S572" s="667" t="s">
        <v>572</v>
      </c>
      <c r="T572" s="667" t="s">
        <v>579</v>
      </c>
      <c r="U572" s="667" t="s">
        <v>588</v>
      </c>
      <c r="V572" s="667" t="s">
        <v>674</v>
      </c>
      <c r="W572" s="667" t="s">
        <v>686</v>
      </c>
      <c r="X572" s="667" t="s">
        <v>697</v>
      </c>
      <c r="Y572" s="667" t="s">
        <v>746</v>
      </c>
      <c r="Z572" s="667" t="s">
        <v>763</v>
      </c>
      <c r="AA572" s="667" t="s">
        <v>783</v>
      </c>
      <c r="AB572" s="667" t="s">
        <v>795</v>
      </c>
      <c r="AC572" s="667" t="s">
        <v>839</v>
      </c>
      <c r="AD572" s="667" t="s">
        <v>857</v>
      </c>
      <c r="AF572" s="631"/>
    </row>
    <row r="573" spans="1:68" ht="13.5" customHeight="1" thickBot="1" x14ac:dyDescent="0.25">
      <c r="A573" s="682"/>
      <c r="B573" s="668"/>
      <c r="C573" s="668"/>
      <c r="D573" s="668"/>
      <c r="E573" s="668"/>
      <c r="F573" s="668"/>
      <c r="G573" s="668"/>
      <c r="H573" s="668"/>
      <c r="I573" s="668"/>
      <c r="J573" s="668"/>
      <c r="K573" s="668"/>
      <c r="L573" s="668"/>
      <c r="M573" s="668"/>
      <c r="N573" s="631"/>
      <c r="O573" s="668"/>
      <c r="P573" s="668"/>
      <c r="Q573" s="668"/>
      <c r="R573" s="668"/>
      <c r="S573" s="668"/>
      <c r="T573" s="668"/>
      <c r="U573" s="668"/>
      <c r="V573" s="668"/>
      <c r="W573" s="668"/>
      <c r="X573" s="668"/>
      <c r="Y573" s="668"/>
      <c r="Z573" s="668"/>
      <c r="AA573" s="668"/>
      <c r="AB573" s="668"/>
      <c r="AC573" s="668"/>
      <c r="AD573" s="668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302.40000000000003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78</v>
      </c>
      <c r="F574" s="46">
        <f>IFERROR(Y89*1,"0")+IFERROR(Y90*1,"0")+IFERROR(Y91*1,"0")+IFERROR(Y92*1,"0")+IFERROR(Y93*1,"0")+IFERROR(Y94*1,"0")+IFERROR(Y98*1,"0")+IFERROR(Y99*1,"0")+IFERROR(Y100*1,"0")+IFERROR(Y101*1,"0")</f>
        <v>0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862.2</v>
      </c>
      <c r="H574" s="46">
        <f>IFERROR(Y135*1,"0")+IFERROR(Y136*1,"0")+IFERROR(Y140*1,"0")+IFERROR(Y141*1,"0")+IFERROR(Y145*1,"0")+IFERROR(Y146*1,"0")</f>
        <v>0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59.5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105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892.2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0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0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253.6</v>
      </c>
      <c r="V574" s="46">
        <f>IFERROR(Y422*1,"0")+IFERROR(Y423*1,"0")+IFERROR(Y424*1,"0")+IFERROR(Y425*1,"0")</f>
        <v>0</v>
      </c>
      <c r="W574" s="46">
        <f>IFERROR(Y430*1,"0")+IFERROR(Y431*1,"0")+IFERROR(Y432*1,"0")</f>
        <v>29.400000000000002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4245</v>
      </c>
      <c r="Y574" s="46">
        <f>IFERROR(Y467*1,"0")+IFERROR(Y468*1,"0")+IFERROR(Y472*1,"0")+IFERROR(Y476*1,"0")+IFERROR(Y477*1,"0")+IFERROR(Y478*1,"0")</f>
        <v>990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4773.1200000000008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6,00"/>
        <filter val="1 115,00"/>
        <filter val="1 154,00"/>
        <filter val="1 453,00"/>
        <filter val="1 793,00"/>
        <filter val="1 906,74"/>
        <filter val="104,00"/>
        <filter val="114,00"/>
        <filter val="119,00"/>
        <filter val="12 507,00"/>
        <filter val="12,04"/>
        <filter val="13 184,01"/>
        <filter val="13 734,01"/>
        <filter val="13,33"/>
        <filter val="131,00"/>
        <filter val="159,00"/>
        <filter val="16,57"/>
        <filter val="164,06"/>
        <filter val="178,00"/>
        <filter val="192,42"/>
        <filter val="2 628,00"/>
        <filter val="2,00"/>
        <filter val="204,73"/>
        <filter val="211,17"/>
        <filter val="22"/>
        <filter val="242,00"/>
        <filter val="27,04"/>
        <filter val="28,00"/>
        <filter val="292,00"/>
        <filter val="292,96"/>
        <filter val="3 071,00"/>
        <filter val="31,03"/>
        <filter val="356,00"/>
        <filter val="381,00"/>
        <filter val="4,00"/>
        <filter val="406,00"/>
        <filter val="47,04"/>
        <filter val="470,00"/>
        <filter val="49,52"/>
        <filter val="497,73"/>
        <filter val="58,00"/>
        <filter val="58,30"/>
        <filter val="65,00"/>
        <filter val="693,00"/>
        <filter val="75,00"/>
        <filter val="76,93"/>
        <filter val="760,00"/>
        <filter val="77,00"/>
        <filter val="809,00"/>
        <filter val="815,00"/>
        <filter val="9,87"/>
        <filter val="925,00"/>
        <filter val="987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P439:T439"/>
    <mergeCell ref="D249:E249"/>
    <mergeCell ref="D276:E276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83:T83"/>
    <mergeCell ref="D271:E271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P342:T342"/>
    <mergeCell ref="D323:E323"/>
    <mergeCell ref="P146:T14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D152:E152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543:T543"/>
    <mergeCell ref="D424:E424"/>
    <mergeCell ref="P224:T224"/>
    <mergeCell ref="P322:T322"/>
    <mergeCell ref="P260:T260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D530:E530"/>
    <mergeCell ref="A406:O407"/>
    <mergeCell ref="A263:Z263"/>
    <mergeCell ref="P264:T264"/>
    <mergeCell ref="P239:T239"/>
    <mergeCell ref="A210:O211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A540:O541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D514:E514"/>
    <mergeCell ref="D381:E381"/>
    <mergeCell ref="A345:Z345"/>
    <mergeCell ref="A250:O251"/>
    <mergeCell ref="D380:E380"/>
    <mergeCell ref="D209:E209"/>
    <mergeCell ref="P166:T166"/>
    <mergeCell ref="D445:E445"/>
    <mergeCell ref="P402:T402"/>
    <mergeCell ref="D516:E516"/>
    <mergeCell ref="D301:E301"/>
    <mergeCell ref="D245:E245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A505:O506"/>
    <mergeCell ref="D296:E296"/>
    <mergeCell ref="D269:E269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2026-10-21T10:22:06Z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