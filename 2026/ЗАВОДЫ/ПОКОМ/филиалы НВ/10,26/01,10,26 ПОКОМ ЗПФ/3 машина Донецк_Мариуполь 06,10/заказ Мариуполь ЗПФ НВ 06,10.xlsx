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9AEED0EF-C29A-407D-B90F-403DCDC707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Z281" i="1" s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P259" i="1"/>
  <c r="BO259" i="1"/>
  <c r="BN259" i="1"/>
  <c r="BM259" i="1"/>
  <c r="Z259" i="1"/>
  <c r="Z261" i="1" s="1"/>
  <c r="Y259" i="1"/>
  <c r="P259" i="1"/>
  <c r="X255" i="1"/>
  <c r="Y254" i="1"/>
  <c r="X254" i="1"/>
  <c r="BP253" i="1"/>
  <c r="BO253" i="1"/>
  <c r="BN253" i="1"/>
  <c r="BM253" i="1"/>
  <c r="Z253" i="1"/>
  <c r="Z254" i="1" s="1"/>
  <c r="Y253" i="1"/>
  <c r="Y255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N215" i="1"/>
  <c r="BM215" i="1"/>
  <c r="Z215" i="1"/>
  <c r="Y215" i="1"/>
  <c r="P215" i="1"/>
  <c r="BO214" i="1"/>
  <c r="BM214" i="1"/>
  <c r="Z214" i="1"/>
  <c r="Z217" i="1" s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Z205" i="1" s="1"/>
  <c r="Y202" i="1"/>
  <c r="P202" i="1"/>
  <c r="BO201" i="1"/>
  <c r="BM201" i="1"/>
  <c r="Z201" i="1"/>
  <c r="Y201" i="1"/>
  <c r="Y205" i="1" s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Y182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Z160" i="1" s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BP140" i="1" s="1"/>
  <c r="P140" i="1"/>
  <c r="BP139" i="1"/>
  <c r="BO139" i="1"/>
  <c r="BN139" i="1"/>
  <c r="BM139" i="1"/>
  <c r="Z139" i="1"/>
  <c r="Z142" i="1" s="1"/>
  <c r="Y139" i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Z109" i="1"/>
  <c r="Y109" i="1"/>
  <c r="Y116" i="1" s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Y105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Y67" i="1" s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Z57" i="1" s="1"/>
  <c r="Y54" i="1"/>
  <c r="P54" i="1"/>
  <c r="BO53" i="1"/>
  <c r="BM53" i="1"/>
  <c r="Z53" i="1"/>
  <c r="Y53" i="1"/>
  <c r="Y57" i="1" s="1"/>
  <c r="P53" i="1"/>
  <c r="X50" i="1"/>
  <c r="X49" i="1"/>
  <c r="BO48" i="1"/>
  <c r="BM48" i="1"/>
  <c r="Z48" i="1"/>
  <c r="Y48" i="1"/>
  <c r="P48" i="1"/>
  <c r="BO47" i="1"/>
  <c r="BM47" i="1"/>
  <c r="Z47" i="1"/>
  <c r="Y47" i="1"/>
  <c r="Y49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3" i="1" s="1"/>
  <c r="P41" i="1"/>
  <c r="X37" i="1"/>
  <c r="X36" i="1"/>
  <c r="BO35" i="1"/>
  <c r="BM35" i="1"/>
  <c r="Z35" i="1"/>
  <c r="Y35" i="1"/>
  <c r="P35" i="1"/>
  <c r="BO34" i="1"/>
  <c r="BM34" i="1"/>
  <c r="Z34" i="1"/>
  <c r="Y34" i="1"/>
  <c r="Y36" i="1" s="1"/>
  <c r="P34" i="1"/>
  <c r="X31" i="1"/>
  <c r="X283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4" i="1" s="1"/>
  <c r="Z22" i="1"/>
  <c r="Y22" i="1"/>
  <c r="Y30" i="1" s="1"/>
  <c r="P22" i="1"/>
  <c r="H10" i="1"/>
  <c r="A9" i="1"/>
  <c r="F10" i="1" s="1"/>
  <c r="D7" i="1"/>
  <c r="Q6" i="1"/>
  <c r="P2" i="1"/>
  <c r="Y161" i="1" l="1"/>
  <c r="Y206" i="1"/>
  <c r="Z30" i="1"/>
  <c r="X285" i="1"/>
  <c r="X286" i="1" s="1"/>
  <c r="Z36" i="1"/>
  <c r="BN34" i="1"/>
  <c r="BP34" i="1"/>
  <c r="Y37" i="1"/>
  <c r="Z43" i="1"/>
  <c r="Z49" i="1"/>
  <c r="BN47" i="1"/>
  <c r="BP47" i="1"/>
  <c r="Y50" i="1"/>
  <c r="Z72" i="1"/>
  <c r="BN70" i="1"/>
  <c r="Z78" i="1"/>
  <c r="BN82" i="1"/>
  <c r="BP82" i="1"/>
  <c r="Y83" i="1"/>
  <c r="Z89" i="1"/>
  <c r="BN87" i="1"/>
  <c r="BP87" i="1"/>
  <c r="Z99" i="1"/>
  <c r="Z105" i="1"/>
  <c r="BN103" i="1"/>
  <c r="BP103" i="1"/>
  <c r="Z116" i="1"/>
  <c r="Y137" i="1"/>
  <c r="BN133" i="1"/>
  <c r="BN135" i="1"/>
  <c r="Y143" i="1"/>
  <c r="Z148" i="1"/>
  <c r="BN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H9" i="1"/>
  <c r="A10" i="1"/>
  <c r="F9" i="1"/>
  <c r="J9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Y66" i="1"/>
  <c r="BP65" i="1"/>
  <c r="BN65" i="1"/>
  <c r="Y58" i="1"/>
  <c r="Y62" i="1"/>
  <c r="BP61" i="1"/>
  <c r="BN61" i="1"/>
  <c r="Y72" i="1"/>
  <c r="BP69" i="1"/>
  <c r="BN69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Z288" i="1" l="1"/>
  <c r="Y287" i="1"/>
  <c r="Y285" i="1"/>
  <c r="Y283" i="1"/>
  <c r="B296" i="1" s="1"/>
  <c r="Y284" i="1"/>
  <c r="Y286" i="1" s="1"/>
  <c r="A296" i="1" l="1"/>
  <c r="C296" i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<sst xmlns="http://schemas.openxmlformats.org/spreadsheetml/2006/main" count="1313" uniqueCount="435">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</sst>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48</v>
      </c>
      <c r="Y23" s="279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307.20000000000005</v>
      </c>
      <c r="Y31" s="280">
        <f>IFERROR(SUMPRODUCT(Y22:Y29*H22:H29),"0")</f>
        <v>307.20000000000005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168</v>
      </c>
      <c r="Y41" s="279">
        <f>IFERROR(IF(X41="","",X41),"")</f>
        <v>168</v>
      </c>
      <c r="Z41" s="36">
        <f>IFERROR(IF(X41="","",X41*0.00941),"")</f>
        <v>1.5808800000000001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322.86239999999998</v>
      </c>
      <c r="BN41" s="67">
        <f>IFERROR(Y41*I41,"0")</f>
        <v>322.86239999999998</v>
      </c>
      <c r="BO41" s="67">
        <f>IFERROR(X41/J41,"0")</f>
        <v>1.2</v>
      </c>
      <c r="BP41" s="67">
        <f>IFERROR(Y41/J41,"0")</f>
        <v>1.2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168</v>
      </c>
      <c r="Y43" s="280">
        <f>IFERROR(SUM(Y41:Y42),"0")</f>
        <v>168</v>
      </c>
      <c r="Z43" s="280">
        <f>IFERROR(IF(Z41="",0,Z41),"0")+IFERROR(IF(Z42="",0,Z42),"0")</f>
        <v>1.5808800000000001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252</v>
      </c>
      <c r="Y44" s="280">
        <f>IFERROR(SUMPRODUCT(Y41:Y42*H41:H42),"0")</f>
        <v>252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12</v>
      </c>
      <c r="Y48" s="279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36</v>
      </c>
      <c r="Y49" s="280">
        <f>IFERROR(SUM(Y47:Y48),"0")</f>
        <v>36</v>
      </c>
      <c r="Z49" s="280">
        <f>IFERROR(IF(Z47="",0,Z47),"0")+IFERROR(IF(Z48="",0,Z48),"0")</f>
        <v>0.55800000000000005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201.59999999999997</v>
      </c>
      <c r="Y50" s="280">
        <f>IFERROR(SUMPRODUCT(Y47:Y48*H47:H48),"0")</f>
        <v>201.59999999999997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24</v>
      </c>
      <c r="Y53" s="27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175.2</v>
      </c>
      <c r="BN53" s="67">
        <f>IFERROR(Y53*I53,"0")</f>
        <v>175.2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174.86399999999998</v>
      </c>
      <c r="BN54" s="67">
        <f>IFERROR(Y54*I54,"0")</f>
        <v>174.86399999999998</v>
      </c>
      <c r="BO54" s="67">
        <f>IFERROR(X54/J54,"0")</f>
        <v>0.2857142857142857</v>
      </c>
      <c r="BP54" s="67">
        <f>IFERROR(Y54/J54,"0")</f>
        <v>0.2857142857142857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36</v>
      </c>
      <c r="Y56" s="279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84</v>
      </c>
      <c r="Y57" s="280">
        <f>IFERROR(SUM(Y53:Y56),"0")</f>
        <v>84</v>
      </c>
      <c r="Z57" s="280">
        <f>IFERROR(IF(Z53="",0,Z53),"0")+IFERROR(IF(Z54="",0,Z54),"0")+IFERROR(IF(Z55="",0,Z55),"0")+IFERROR(IF(Z56="",0,Z56),"0")</f>
        <v>1.302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588</v>
      </c>
      <c r="Y58" s="280">
        <f>IFERROR(SUMPRODUCT(Y53:Y56*H53:H56),"0")</f>
        <v>588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264</v>
      </c>
      <c r="Y77" s="279">
        <f>IFERROR(IF(X77="","",X77),"")</f>
        <v>264</v>
      </c>
      <c r="Z77" s="36">
        <f>IFERROR(IF(X77="","",X77*0.00866),"")</f>
        <v>2.2862399999999998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1376.2847999999999</v>
      </c>
      <c r="BN77" s="67">
        <f>IFERROR(Y77*I77,"0")</f>
        <v>1376.2847999999999</v>
      </c>
      <c r="BO77" s="67">
        <f>IFERROR(X77/J77,"0")</f>
        <v>1.8333333333333333</v>
      </c>
      <c r="BP77" s="67">
        <f>IFERROR(Y77/J77,"0")</f>
        <v>1.8333333333333333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264</v>
      </c>
      <c r="Y78" s="280">
        <f>IFERROR(SUM(Y76:Y77),"0")</f>
        <v>264</v>
      </c>
      <c r="Z78" s="280">
        <f>IFERROR(IF(Z76="",0,Z76),"0")+IFERROR(IF(Z77="",0,Z77),"0")</f>
        <v>2.2862399999999998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1320</v>
      </c>
      <c r="Y79" s="280">
        <f>IFERROR(SUMPRODUCT(Y76:Y77*H76:H77),"0")</f>
        <v>1320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14</v>
      </c>
      <c r="Y87" s="279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28</v>
      </c>
      <c r="Y89" s="280">
        <f>IFERROR(SUM(Y87:Y88),"0")</f>
        <v>28</v>
      </c>
      <c r="Z89" s="280">
        <f>IFERROR(IF(Z87="",0,Z87),"0")+IFERROR(IF(Z88="",0,Z88),"0")</f>
        <v>0.50063999999999997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100.8</v>
      </c>
      <c r="Y90" s="280">
        <f>IFERROR(SUMPRODUCT(Y87:Y88*H87:H88),"0")</f>
        <v>100.8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56</v>
      </c>
      <c r="Y93" s="279">
        <f t="shared" ref="Y93:Y98" si="6">IFERROR(IF(X93="","",X93),"")</f>
        <v>56</v>
      </c>
      <c r="Z93" s="36">
        <f t="shared" ref="Z93:Z98" si="7">IFERROR(IF(X93="","",X93*0.01788),"")</f>
        <v>1.0012799999999999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200.6816</v>
      </c>
      <c r="BN93" s="67">
        <f t="shared" ref="BN93:BN98" si="9">IFERROR(Y93*I93,"0")</f>
        <v>200.6816</v>
      </c>
      <c r="BO93" s="67">
        <f t="shared" ref="BO93:BO98" si="10">IFERROR(X93/J93,"0")</f>
        <v>0.8</v>
      </c>
      <c r="BP93" s="67">
        <f t="shared" ref="BP93:BP98" si="11">IFERROR(Y93/J93,"0")</f>
        <v>0.8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42</v>
      </c>
      <c r="Y94" s="279">
        <f t="shared" si="6"/>
        <v>42</v>
      </c>
      <c r="Z94" s="36">
        <f t="shared" si="7"/>
        <v>0.75095999999999996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150.5112</v>
      </c>
      <c r="BN94" s="67">
        <f t="shared" si="9"/>
        <v>150.5112</v>
      </c>
      <c r="BO94" s="67">
        <f t="shared" si="10"/>
        <v>0.6</v>
      </c>
      <c r="BP94" s="67">
        <f t="shared" si="11"/>
        <v>0.6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28</v>
      </c>
      <c r="Y95" s="279">
        <f t="shared" si="6"/>
        <v>28</v>
      </c>
      <c r="Z95" s="36">
        <f t="shared" si="7"/>
        <v>0.50063999999999997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14</v>
      </c>
      <c r="Y96" s="279">
        <f t="shared" si="6"/>
        <v>14</v>
      </c>
      <c r="Z96" s="36">
        <f t="shared" si="7"/>
        <v>0.25031999999999999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154</v>
      </c>
      <c r="Y99" s="280">
        <f>IFERROR(SUM(Y93:Y98),"0")</f>
        <v>154</v>
      </c>
      <c r="Z99" s="280">
        <f>IFERROR(IF(Z93="",0,Z93),"0")+IFERROR(IF(Z94="",0,Z94),"0")+IFERROR(IF(Z95="",0,Z95),"0")+IFERROR(IF(Z96="",0,Z96),"0")+IFERROR(IF(Z97="",0,Z97),"0")+IFERROR(IF(Z98="",0,Z98),"0")</f>
        <v>2.75352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462</v>
      </c>
      <c r="Y100" s="280">
        <f>IFERROR(SUMPRODUCT(Y93:Y98*H93:H98),"0")</f>
        <v>462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14</v>
      </c>
      <c r="Y103" s="279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14</v>
      </c>
      <c r="Y105" s="280">
        <f>IFERROR(SUM(Y103:Y104),"0")</f>
        <v>14</v>
      </c>
      <c r="Z105" s="280">
        <f>IFERROR(IF(Z103="",0,Z103),"0")+IFERROR(IF(Z104="",0,Z104),"0")</f>
        <v>0.13103999999999999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30.240000000000002</v>
      </c>
      <c r="Y106" s="280">
        <f>IFERROR(SUMPRODUCT(Y103:Y104*H103:H104),"0")</f>
        <v>30.240000000000002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12</v>
      </c>
      <c r="Y109" s="279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48</v>
      </c>
      <c r="Y112" s="279">
        <f t="shared" si="12"/>
        <v>48</v>
      </c>
      <c r="Z112" s="36">
        <f t="shared" si="13"/>
        <v>0.74399999999999999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350.4</v>
      </c>
      <c r="BN112" s="67">
        <f t="shared" si="15"/>
        <v>350.4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12</v>
      </c>
      <c r="Y114" s="279">
        <f t="shared" si="12"/>
        <v>12</v>
      </c>
      <c r="Z114" s="36">
        <f t="shared" si="13"/>
        <v>0.186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60</v>
      </c>
      <c r="Y115" s="279">
        <f t="shared" si="12"/>
        <v>60</v>
      </c>
      <c r="Z115" s="36">
        <f t="shared" si="13"/>
        <v>0.92999999999999994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438</v>
      </c>
      <c r="BN115" s="67">
        <f t="shared" si="15"/>
        <v>438</v>
      </c>
      <c r="BO115" s="67">
        <f t="shared" si="16"/>
        <v>0.7142857142857143</v>
      </c>
      <c r="BP115" s="67">
        <f t="shared" si="17"/>
        <v>0.7142857142857143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144</v>
      </c>
      <c r="Y116" s="280">
        <f>IFERROR(SUM(Y109:Y115),"0")</f>
        <v>144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2.2320000000000002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993.6</v>
      </c>
      <c r="Y117" s="280">
        <f>IFERROR(SUMPRODUCT(Y109:Y115*H109:H115),"0")</f>
        <v>993.6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14</v>
      </c>
      <c r="Y133" s="279">
        <f>IFERROR(IF(X133="","",X133),"")</f>
        <v>14</v>
      </c>
      <c r="Z133" s="36">
        <f>IFERROR(IF(X133="","",X133*0.00941),"")</f>
        <v>0.13174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14</v>
      </c>
      <c r="Y134" s="279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24.36</v>
      </c>
      <c r="BN134" s="67">
        <f>IFERROR(Y134*I134,"0")</f>
        <v>24.36</v>
      </c>
      <c r="BO134" s="67">
        <f>IFERROR(X134/J134,"0")</f>
        <v>0.1</v>
      </c>
      <c r="BP134" s="67">
        <f>IFERROR(Y134/J134,"0")</f>
        <v>0.1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70</v>
      </c>
      <c r="Y136" s="280">
        <f>IFERROR(SUM(Y132:Y135),"0")</f>
        <v>70</v>
      </c>
      <c r="Z136" s="280">
        <f>IFERROR(IF(Z132="",0,Z132),"0")+IFERROR(IF(Z133="",0,Z133),"0")+IFERROR(IF(Z134="",0,Z134),"0")+IFERROR(IF(Z135="",0,Z135),"0")</f>
        <v>0.65870000000000006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95.76</v>
      </c>
      <c r="Y137" s="280">
        <f>IFERROR(SUMPRODUCT(Y132:Y135*H132:H135),"0")</f>
        <v>95.76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70</v>
      </c>
      <c r="Y146" s="279">
        <f>IFERROR(IF(X146="","",X146),"")</f>
        <v>70</v>
      </c>
      <c r="Z146" s="36">
        <f>IFERROR(IF(X146="","",X146*0.01788),"")</f>
        <v>1.2516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259.25200000000001</v>
      </c>
      <c r="BN146" s="67">
        <f>IFERROR(Y146*I146,"0")</f>
        <v>259.25200000000001</v>
      </c>
      <c r="BO146" s="67">
        <f>IFERROR(X146/J146,"0")</f>
        <v>1</v>
      </c>
      <c r="BP146" s="67">
        <f>IFERROR(Y146/J146,"0")</f>
        <v>1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84</v>
      </c>
      <c r="Y147" s="279">
        <f>IFERROR(IF(X147="","",X147),"")</f>
        <v>84</v>
      </c>
      <c r="Z147" s="36">
        <f>IFERROR(IF(X147="","",X147*0.01788),"")</f>
        <v>1.5019199999999999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311.10239999999999</v>
      </c>
      <c r="BN147" s="67">
        <f>IFERROR(Y147*I147,"0")</f>
        <v>311.10239999999999</v>
      </c>
      <c r="BO147" s="67">
        <f>IFERROR(X147/J147,"0")</f>
        <v>1.2</v>
      </c>
      <c r="BP147" s="67">
        <f>IFERROR(Y147/J147,"0")</f>
        <v>1.2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154</v>
      </c>
      <c r="Y148" s="280">
        <f>IFERROR(SUM(Y146:Y147),"0")</f>
        <v>154</v>
      </c>
      <c r="Z148" s="280">
        <f>IFERROR(IF(Z146="",0,Z146),"0")+IFERROR(IF(Z147="",0,Z147),"0")</f>
        <v>2.75352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462</v>
      </c>
      <c r="Y149" s="280">
        <f>IFERROR(SUMPRODUCT(Y146:Y147*H146:H147),"0")</f>
        <v>462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56</v>
      </c>
      <c r="Y152" s="279">
        <f>IFERROR(IF(X152="","",X152),"")</f>
        <v>56</v>
      </c>
      <c r="Z152" s="36">
        <f>IFERROR(IF(X152="","",X152*0.01788),"")</f>
        <v>1.0012799999999999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209.88800000000001</v>
      </c>
      <c r="BN152" s="67">
        <f>IFERROR(Y152*I152,"0")</f>
        <v>209.88800000000001</v>
      </c>
      <c r="BO152" s="67">
        <f>IFERROR(X152/J152,"0")</f>
        <v>0.8</v>
      </c>
      <c r="BP152" s="67">
        <f>IFERROR(Y152/J152,"0")</f>
        <v>0.8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56</v>
      </c>
      <c r="Y153" s="279">
        <f>IFERROR(IF(X153="","",X153),"")</f>
        <v>56</v>
      </c>
      <c r="Z153" s="36">
        <f>IFERROR(IF(X153="","",X153*0.01788),"")</f>
        <v>1.0012799999999999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207.40159999999997</v>
      </c>
      <c r="BN153" s="67">
        <f>IFERROR(Y153*I153,"0")</f>
        <v>207.40159999999997</v>
      </c>
      <c r="BO153" s="67">
        <f>IFERROR(X153/J153,"0")</f>
        <v>0.8</v>
      </c>
      <c r="BP153" s="67">
        <f>IFERROR(Y153/J153,"0")</f>
        <v>0.8</v>
      </c>
    </row>
    <row r="154" spans="1:68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112</v>
      </c>
      <c r="Y154" s="280">
        <f>IFERROR(SUM(Y152:Y153),"0")</f>
        <v>112</v>
      </c>
      <c r="Z154" s="280">
        <f>IFERROR(IF(Z152="",0,Z152),"0")+IFERROR(IF(Z153="",0,Z153),"0")</f>
        <v>2.0025599999999999</v>
      </c>
      <c r="AA154" s="281"/>
      <c r="AB154" s="281"/>
      <c r="AC154" s="281"/>
    </row>
    <row r="155" spans="1:68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336</v>
      </c>
      <c r="Y155" s="280">
        <f>IFERROR(SUMPRODUCT(Y152:Y153*H152:H153),"0")</f>
        <v>336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28</v>
      </c>
      <c r="Y158" s="279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98</v>
      </c>
      <c r="Y159" s="279">
        <f>IFERROR(IF(X159="","",X159),"")</f>
        <v>98</v>
      </c>
      <c r="Z159" s="36">
        <f>IFERROR(IF(X159="","",X159*0.01788),"")</f>
        <v>1.75224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262.64000000000004</v>
      </c>
      <c r="BN159" s="67">
        <f>IFERROR(Y159*I159,"0")</f>
        <v>262.64000000000004</v>
      </c>
      <c r="BO159" s="67">
        <f>IFERROR(X159/J159,"0")</f>
        <v>1.4</v>
      </c>
      <c r="BP159" s="67">
        <f>IFERROR(Y159/J159,"0")</f>
        <v>1.4</v>
      </c>
    </row>
    <row r="160" spans="1:68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126</v>
      </c>
      <c r="Y160" s="280">
        <f>IFERROR(SUM(Y158:Y159),"0")</f>
        <v>126</v>
      </c>
      <c r="Z160" s="280">
        <f>IFERROR(IF(Z158="",0,Z158),"0")+IFERROR(IF(Z159="",0,Z159),"0")</f>
        <v>2.2528800000000002</v>
      </c>
      <c r="AA160" s="281"/>
      <c r="AB160" s="281"/>
      <c r="AC160" s="281"/>
    </row>
    <row r="161" spans="1:68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302.39999999999998</v>
      </c>
      <c r="Y161" s="280">
        <f>IFERROR(SUMPRODUCT(Y158:Y159*H158:H159),"0")</f>
        <v>302.39999999999998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28</v>
      </c>
      <c r="Y164" s="279">
        <f>IFERROR(IF(X164="","",X164),"")</f>
        <v>28</v>
      </c>
      <c r="Z164" s="36">
        <f>IFERROR(IF(X164="","",X164*0.01788),"")</f>
        <v>0.50063999999999997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103.70079999999999</v>
      </c>
      <c r="BN164" s="67">
        <f>IFERROR(Y164*I164,"0")</f>
        <v>103.70079999999999</v>
      </c>
      <c r="BO164" s="67">
        <f>IFERROR(X164/J164,"0")</f>
        <v>0.4</v>
      </c>
      <c r="BP164" s="67">
        <f>IFERROR(Y164/J164,"0")</f>
        <v>0.4</v>
      </c>
    </row>
    <row r="165" spans="1:68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28</v>
      </c>
      <c r="Y165" s="280">
        <f>IFERROR(SUM(Y164:Y164),"0")</f>
        <v>28</v>
      </c>
      <c r="Z165" s="280">
        <f>IFERROR(IF(Z164="",0,Z164),"0")</f>
        <v>0.50063999999999997</v>
      </c>
      <c r="AA165" s="281"/>
      <c r="AB165" s="281"/>
      <c r="AC165" s="281"/>
    </row>
    <row r="166" spans="1:68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84</v>
      </c>
      <c r="Y166" s="280">
        <f>IFERROR(SUMPRODUCT(Y164:Y164*H164:H164),"0")</f>
        <v>84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14</v>
      </c>
      <c r="Y174" s="279">
        <f>IFERROR(IF(X174="","",X174),"")</f>
        <v>14</v>
      </c>
      <c r="Z174" s="36">
        <f>IFERROR(IF(X174="","",X174*0.00941),"")</f>
        <v>0.13174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29.425199999999997</v>
      </c>
      <c r="BN174" s="67">
        <f>IFERROR(Y174*I174,"0")</f>
        <v>29.425199999999997</v>
      </c>
      <c r="BO174" s="67">
        <f>IFERROR(X174/J174,"0")</f>
        <v>0.1</v>
      </c>
      <c r="BP174" s="67">
        <f>IFERROR(Y174/J174,"0")</f>
        <v>0.1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14</v>
      </c>
      <c r="Y175" s="280">
        <f>IFERROR(SUM(Y174:Y174),"0")</f>
        <v>14</v>
      </c>
      <c r="Z175" s="280">
        <f>IFERROR(IF(Z174="",0,Z174),"0")</f>
        <v>0.13174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23.52</v>
      </c>
      <c r="Y176" s="280">
        <f>IFERROR(SUMPRODUCT(Y174:Y174*H174:H174),"0")</f>
        <v>23.52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hidden="1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0</v>
      </c>
      <c r="Y180" s="279">
        <f>IFERROR(IF(X180="","",X180),"")</f>
        <v>0</v>
      </c>
      <c r="Z180" s="36">
        <f>IFERROR(IF(X180="","",X180*0.0155),"")</f>
        <v>0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0</v>
      </c>
      <c r="Y181" s="280">
        <f>IFERROR(SUM(Y180:Y180),"0")</f>
        <v>0</v>
      </c>
      <c r="Z181" s="280">
        <f>IFERROR(IF(Z180="",0,Z180),"0")</f>
        <v>0</v>
      </c>
      <c r="AA181" s="281"/>
      <c r="AB181" s="281"/>
      <c r="AC181" s="281"/>
    </row>
    <row r="182" spans="1:68" hidden="1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0</v>
      </c>
      <c r="Y182" s="280">
        <f>IFERROR(SUMPRODUCT(Y180:Y180*H180:H180),"0")</f>
        <v>0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36</v>
      </c>
      <c r="Y190" s="279">
        <f>IFERROR(IF(X190="","",X190),"")</f>
        <v>36</v>
      </c>
      <c r="Z190" s="36">
        <f>IFERROR(IF(X190="","",X190*0.00866),"")</f>
        <v>0.31175999999999998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187.67519999999999</v>
      </c>
      <c r="BN190" s="67">
        <f>IFERROR(Y190*I190,"0")</f>
        <v>187.67519999999999</v>
      </c>
      <c r="BO190" s="67">
        <f>IFERROR(X190/J190,"0")</f>
        <v>0.25</v>
      </c>
      <c r="BP190" s="67">
        <f>IFERROR(Y190/J190,"0")</f>
        <v>0.25</v>
      </c>
    </row>
    <row r="191" spans="1:68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36</v>
      </c>
      <c r="Y191" s="280">
        <f>IFERROR(SUM(Y189:Y190),"0")</f>
        <v>36</v>
      </c>
      <c r="Z191" s="280">
        <f>IFERROR(IF(Z189="",0,Z189),"0")+IFERROR(IF(Z190="",0,Z190),"0")</f>
        <v>0.31175999999999998</v>
      </c>
      <c r="AA191" s="281"/>
      <c r="AB191" s="281"/>
      <c r="AC191" s="281"/>
    </row>
    <row r="192" spans="1:68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180</v>
      </c>
      <c r="Y192" s="280">
        <f>IFERROR(SUMPRODUCT(Y189:Y190*H189:H190),"0")</f>
        <v>180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48</v>
      </c>
      <c r="Y195" s="279">
        <f>IFERROR(IF(X195="","",X195),"")</f>
        <v>48</v>
      </c>
      <c r="Z195" s="36">
        <f>IFERROR(IF(X195="","",X195*0.0155),"")</f>
        <v>0.74399999999999999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252.57599999999996</v>
      </c>
      <c r="BN195" s="67">
        <f>IFERROR(Y195*I195,"0")</f>
        <v>252.57599999999996</v>
      </c>
      <c r="BO195" s="67">
        <f>IFERROR(X195/J195,"0")</f>
        <v>0.5714285714285714</v>
      </c>
      <c r="BP195" s="67">
        <f>IFERROR(Y195/J195,"0")</f>
        <v>0.5714285714285714</v>
      </c>
    </row>
    <row r="196" spans="1:68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48</v>
      </c>
      <c r="Y196" s="280">
        <f>IFERROR(SUM(Y195:Y195),"0")</f>
        <v>48</v>
      </c>
      <c r="Z196" s="280">
        <f>IFERROR(IF(Z195="",0,Z195),"0")</f>
        <v>0.74399999999999999</v>
      </c>
      <c r="AA196" s="281"/>
      <c r="AB196" s="281"/>
      <c r="AC196" s="28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240</v>
      </c>
      <c r="Y197" s="280">
        <f>IFERROR(SUMPRODUCT(Y195:Y195*H195:H195),"0")</f>
        <v>240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142.29599999999999</v>
      </c>
      <c r="BN201" s="67">
        <f>IFERROR(Y201*I201,"0")</f>
        <v>142.29599999999999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94.864000000000004</v>
      </c>
      <c r="BN202" s="67">
        <f>IFERROR(Y202*I202,"0")</f>
        <v>94.864000000000004</v>
      </c>
      <c r="BO202" s="67">
        <f>IFERROR(X202/J202,"0")</f>
        <v>0.4</v>
      </c>
      <c r="BP202" s="67">
        <f>IFERROR(Y202/J202,"0")</f>
        <v>0.4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28</v>
      </c>
      <c r="Y203" s="279">
        <f>IFERROR(IF(X203="","",X203),"")</f>
        <v>28</v>
      </c>
      <c r="Z203" s="36">
        <f>IFERROR(IF(X203="","",X203*0.01788),"")</f>
        <v>0.50063999999999997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104.608</v>
      </c>
      <c r="BN203" s="67">
        <f>IFERROR(Y203*I203,"0")</f>
        <v>104.608</v>
      </c>
      <c r="BO203" s="67">
        <f>IFERROR(X203/J203,"0")</f>
        <v>0.4</v>
      </c>
      <c r="BP203" s="67">
        <f>IFERROR(Y203/J203,"0")</f>
        <v>0.4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98</v>
      </c>
      <c r="Y205" s="280">
        <f>IFERROR(SUM(Y201:Y204),"0")</f>
        <v>98</v>
      </c>
      <c r="Z205" s="280">
        <f>IFERROR(IF(Z201="",0,Z201),"0")+IFERROR(IF(Z202="",0,Z202),"0")+IFERROR(IF(Z203="",0,Z203),"0")+IFERROR(IF(Z204="",0,Z204),"0")</f>
        <v>1.7522399999999998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294</v>
      </c>
      <c r="Y206" s="280">
        <f>IFERROR(SUMPRODUCT(Y201:Y204*H201:H204),"0")</f>
        <v>294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14</v>
      </c>
      <c r="Y210" s="279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41.72</v>
      </c>
      <c r="BN210" s="67">
        <f>IFERROR(Y210*I210,"0")</f>
        <v>41.72</v>
      </c>
      <c r="BO210" s="67">
        <f>IFERROR(X210/J210,"0")</f>
        <v>0.2</v>
      </c>
      <c r="BP210" s="67">
        <f>IFERROR(Y210/J210,"0")</f>
        <v>0.2</v>
      </c>
    </row>
    <row r="211" spans="1:68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14</v>
      </c>
      <c r="Y211" s="280">
        <f>IFERROR(SUM(Y210:Y210),"0")</f>
        <v>14</v>
      </c>
      <c r="Z211" s="280">
        <f>IFERROR(IF(Z210="",0,Z210),"0")</f>
        <v>0.25031999999999999</v>
      </c>
      <c r="AA211" s="281"/>
      <c r="AB211" s="281"/>
      <c r="AC211" s="281"/>
    </row>
    <row r="212" spans="1:68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38.64</v>
      </c>
      <c r="Y212" s="280">
        <f>IFERROR(SUMPRODUCT(Y210:Y210*H210:H210),"0")</f>
        <v>38.64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24</v>
      </c>
      <c r="Y227" s="279">
        <f>IFERROR(IF(X227="","",X227),"")</f>
        <v>24</v>
      </c>
      <c r="Z227" s="36">
        <f>IFERROR(IF(X227="","",X227*0.0155),"")</f>
        <v>0.372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125.52000000000001</v>
      </c>
      <c r="BN227" s="67">
        <f>IFERROR(Y227*I227,"0")</f>
        <v>125.52000000000001</v>
      </c>
      <c r="BO227" s="67">
        <f>IFERROR(X227/J227,"0")</f>
        <v>0.2857142857142857</v>
      </c>
      <c r="BP227" s="67">
        <f>IFERROR(Y227/J227,"0")</f>
        <v>0.2857142857142857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24</v>
      </c>
      <c r="Y228" s="280">
        <f>IFERROR(SUM(Y227:Y227),"0")</f>
        <v>24</v>
      </c>
      <c r="Z228" s="280">
        <f>IFERROR(IF(Z227="",0,Z227),"0")</f>
        <v>0.372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120</v>
      </c>
      <c r="Y229" s="280">
        <f>IFERROR(SUMPRODUCT(Y227:Y227*H227:H227),"0")</f>
        <v>120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hidden="1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0</v>
      </c>
      <c r="Y265" s="279">
        <f>IFERROR(IF(X265="","",X265),"")</f>
        <v>0</v>
      </c>
      <c r="Z265" s="36">
        <f>IFERROR(IF(X265="","",X265*0.0155),"")</f>
        <v>0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hidden="1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0</v>
      </c>
      <c r="Y267" s="280">
        <f>IFERROR(SUM(Y264:Y266),"0")</f>
        <v>0</v>
      </c>
      <c r="Z267" s="280">
        <f>IFERROR(IF(Z264="",0,Z264),"0")+IFERROR(IF(Z265="",0,Z265),"0")+IFERROR(IF(Z266="",0,Z266),"0")</f>
        <v>0</v>
      </c>
      <c r="AA267" s="281"/>
      <c r="AB267" s="281"/>
      <c r="AC267" s="281"/>
    </row>
    <row r="268" spans="1:68" hidden="1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0</v>
      </c>
      <c r="Y268" s="280">
        <f>IFERROR(SUMPRODUCT(Y264:Y266*H264:H266),"0")</f>
        <v>0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hidden="1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0</v>
      </c>
      <c r="Y270" s="279">
        <f t="shared" ref="Y270:Y280" si="18">IFERROR(IF(X270="","",X270),"")</f>
        <v>0</v>
      </c>
      <c r="Z270" s="36">
        <f>IFERROR(IF(X270="","",X270*0.0155),"")</f>
        <v>0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0</v>
      </c>
      <c r="BN270" s="67">
        <f t="shared" ref="BN270:BN280" si="20">IFERROR(Y270*I270,"0")</f>
        <v>0</v>
      </c>
      <c r="BO270" s="67">
        <f t="shared" ref="BO270:BO280" si="21">IFERROR(X270/J270,"0")</f>
        <v>0</v>
      </c>
      <c r="BP270" s="67">
        <f t="shared" ref="BP270:BP280" si="22">IFERROR(Y270/J270,"0")</f>
        <v>0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56</v>
      </c>
      <c r="Y273" s="279">
        <f t="shared" si="18"/>
        <v>56</v>
      </c>
      <c r="Z273" s="36">
        <f t="shared" ref="Z273:Z280" si="23">IFERROR(IF(X273="","",X273*0.00936),"")</f>
        <v>0.52415999999999996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217.952</v>
      </c>
      <c r="BN273" s="67">
        <f t="shared" si="20"/>
        <v>217.952</v>
      </c>
      <c r="BO273" s="67">
        <f t="shared" si="21"/>
        <v>0.44444444444444442</v>
      </c>
      <c r="BP273" s="67">
        <f t="shared" si="22"/>
        <v>0.44444444444444442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56</v>
      </c>
      <c r="Y281" s="280">
        <f>IFERROR(SUM(Y270:Y280),"0")</f>
        <v>56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0.52415999999999996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207.20000000000002</v>
      </c>
      <c r="Y282" s="280">
        <f>IFERROR(SUMPRODUCT(Y270:Y280*H270:H280),"0")</f>
        <v>207.20000000000002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6638.9600000000009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6638.9600000000009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7349.9131999999991</v>
      </c>
      <c r="Y284" s="280">
        <f>IFERROR(SUM(BN22:BN280),"0")</f>
        <v>7349.9131999999991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20</v>
      </c>
      <c r="Y285" s="38">
        <f>ROUNDUP(SUM(BP22:BP280),0)</f>
        <v>20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7849.9131999999991</v>
      </c>
      <c r="Y286" s="280">
        <f>GrossWeightTotalR+PalletQtyTotalR*25</f>
        <v>7849.9131999999991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1720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1720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24.342839999999999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307.20000000000005</v>
      </c>
      <c r="C293" s="46">
        <f>IFERROR(X34*H34,"0")+IFERROR(X35*H35,"0")</f>
        <v>0</v>
      </c>
      <c r="D293" s="46">
        <f>IFERROR(X41*H41,"0")+IFERROR(X42*H42,"0")</f>
        <v>252</v>
      </c>
      <c r="E293" s="46">
        <f>IFERROR(X47*H47,"0")+IFERROR(X48*H48,"0")</f>
        <v>201.59999999999997</v>
      </c>
      <c r="F293" s="46">
        <f>IFERROR(X53*H53,"0")+IFERROR(X54*H54,"0")+IFERROR(X55*H55,"0")+IFERROR(X56*H56,"0")</f>
        <v>588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1320</v>
      </c>
      <c r="I293" s="46">
        <f>IFERROR(X82*H82,"0")</f>
        <v>0</v>
      </c>
      <c r="J293" s="46">
        <f>IFERROR(X87*H87,"0")+IFERROR(X88*H88,"0")</f>
        <v>100.8</v>
      </c>
      <c r="K293" s="46">
        <f>IFERROR(X93*H93,"0")+IFERROR(X94*H94,"0")+IFERROR(X95*H95,"0")+IFERROR(X96*H96,"0")+IFERROR(X97*H97,"0")+IFERROR(X98*H98,"0")</f>
        <v>462</v>
      </c>
      <c r="L293" s="46">
        <f>IFERROR(X103*H103,"0")+IFERROR(X104*H104,"0")</f>
        <v>30.240000000000002</v>
      </c>
      <c r="M293" s="46">
        <f>IFERROR(X109*H109,"0")+IFERROR(X110*H110,"0")+IFERROR(X111*H111,"0")+IFERROR(X112*H112,"0")+IFERROR(X113*H113,"0")+IFERROR(X114*H114,"0")+IFERROR(X115*H115,"0")+IFERROR(X119*H119,"0")+IFERROR(X123*H123,"0")</f>
        <v>993.6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95.76</v>
      </c>
      <c r="P293" s="46">
        <f>IFERROR(X146*H146,"0")+IFERROR(X147*H147,"0")</f>
        <v>462</v>
      </c>
      <c r="Q293" s="46">
        <f>IFERROR(X152*H152,"0")+IFERROR(X153*H153,"0")</f>
        <v>336</v>
      </c>
      <c r="R293" s="46">
        <f>IFERROR(X158*H158,"0")+IFERROR(X159*H159,"0")</f>
        <v>302.39999999999998</v>
      </c>
      <c r="S293" s="46">
        <f>IFERROR(X164*H164,"0")</f>
        <v>84</v>
      </c>
      <c r="T293" s="46">
        <f>IFERROR(X169*H169,"0")</f>
        <v>0</v>
      </c>
      <c r="U293" s="46">
        <f>IFERROR(X174*H174,"0")</f>
        <v>23.52</v>
      </c>
      <c r="V293" s="46">
        <f>IFERROR(X180*H180,"0")+IFERROR(X184*H184,"0")</f>
        <v>0</v>
      </c>
      <c r="W293" s="46">
        <f>IFERROR(X189*H189,"0")+IFERROR(X190*H190,"0")</f>
        <v>180</v>
      </c>
      <c r="X293" s="46">
        <f>IFERROR(X195*H195,"0")</f>
        <v>240</v>
      </c>
      <c r="Y293" s="46">
        <f>IFERROR(X201*H201,"0")+IFERROR(X202*H202,"0")+IFERROR(X203*H203,"0")+IFERROR(X204*H204,"0")</f>
        <v>294</v>
      </c>
      <c r="Z293" s="46">
        <f>IFERROR(X210*H210,"0")+IFERROR(X214*H214,"0")+IFERROR(X215*H215,"0")+IFERROR(X216*H216,"0")</f>
        <v>38.64</v>
      </c>
      <c r="AA293" s="46">
        <f>IFERROR(X221*H221,"0")+IFERROR(X222*H222,"0")</f>
        <v>0</v>
      </c>
      <c r="AB293" s="46">
        <f>IFERROR(X227*H227,"0")</f>
        <v>120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207.20000000000002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3950.4000000000005</v>
      </c>
      <c r="B296" s="60">
        <f>SUMPRODUCT(--(BB:BB="ПГП"),--(W:W="кор"),H:H,Y:Y)+SUMPRODUCT(--(BB:BB="ПГП"),--(W:W="кг"),Y:Y)</f>
        <v>2688.56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20,00"/>
        <filter val="1 720,00"/>
        <filter val="100,80"/>
        <filter val="112,00"/>
        <filter val="12,00"/>
        <filter val="120,00"/>
        <filter val="126,00"/>
        <filter val="14,00"/>
        <filter val="144,00"/>
        <filter val="154,00"/>
        <filter val="168,00"/>
        <filter val="180,00"/>
        <filter val="20"/>
        <filter val="201,60"/>
        <filter val="207,20"/>
        <filter val="23,52"/>
        <filter val="24,00"/>
        <filter val="240,00"/>
        <filter val="252,00"/>
        <filter val="264,00"/>
        <filter val="28,00"/>
        <filter val="294,00"/>
        <filter val="30,24"/>
        <filter val="302,40"/>
        <filter val="307,20"/>
        <filter val="336,00"/>
        <filter val="36,00"/>
        <filter val="38,64"/>
        <filter val="42,00"/>
        <filter val="462,00"/>
        <filter val="48,00"/>
        <filter val="56,00"/>
        <filter val="588,00"/>
        <filter val="6 638,96"/>
        <filter val="60,00"/>
        <filter val="7 349,91"/>
        <filter val="7 849,91"/>
        <filter val="70,00"/>
        <filter val="84,00"/>
        <filter val="95,76"/>
        <filter val="98,00"/>
        <filter val="993,6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2026-10-02T10:25:54Z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