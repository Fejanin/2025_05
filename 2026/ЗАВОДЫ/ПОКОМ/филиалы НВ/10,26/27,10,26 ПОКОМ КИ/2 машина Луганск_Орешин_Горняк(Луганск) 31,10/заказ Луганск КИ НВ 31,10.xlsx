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3E9D6F2-3243-40F2-827D-A63BFC2289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P534" i="1"/>
  <c r="BO534" i="1"/>
  <c r="BN534" i="1"/>
  <c r="BM534" i="1"/>
  <c r="Z534" i="1"/>
  <c r="Y534" i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P530" i="1"/>
  <c r="BO530" i="1"/>
  <c r="BN530" i="1"/>
  <c r="BM530" i="1"/>
  <c r="Z530" i="1"/>
  <c r="Y530" i="1"/>
  <c r="P530" i="1"/>
  <c r="BO529" i="1"/>
  <c r="BM529" i="1"/>
  <c r="Y529" i="1"/>
  <c r="P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P523" i="1"/>
  <c r="BP522" i="1"/>
  <c r="BO522" i="1"/>
  <c r="BN522" i="1"/>
  <c r="BM522" i="1"/>
  <c r="Z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P485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BO457" i="1"/>
  <c r="BM457" i="1"/>
  <c r="Y457" i="1"/>
  <c r="P457" i="1"/>
  <c r="BP456" i="1"/>
  <c r="BO456" i="1"/>
  <c r="BN456" i="1"/>
  <c r="BM456" i="1"/>
  <c r="Z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X361" i="1"/>
  <c r="Y360" i="1"/>
  <c r="X360" i="1"/>
  <c r="BP359" i="1"/>
  <c r="BO359" i="1"/>
  <c r="BN359" i="1"/>
  <c r="BM359" i="1"/>
  <c r="Z359" i="1"/>
  <c r="Z360" i="1" s="1"/>
  <c r="Y359" i="1"/>
  <c r="Y361" i="1" s="1"/>
  <c r="P359" i="1"/>
  <c r="X357" i="1"/>
  <c r="Y356" i="1"/>
  <c r="X356" i="1"/>
  <c r="BP355" i="1"/>
  <c r="BO355" i="1"/>
  <c r="BN355" i="1"/>
  <c r="BM355" i="1"/>
  <c r="Z355" i="1"/>
  <c r="Z356" i="1" s="1"/>
  <c r="Y355" i="1"/>
  <c r="S575" i="1" s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Q575" i="1" s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BO267" i="1"/>
  <c r="BM267" i="1"/>
  <c r="Z267" i="1"/>
  <c r="Y267" i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Y200" i="1"/>
  <c r="X200" i="1"/>
  <c r="BP199" i="1"/>
  <c r="BO199" i="1"/>
  <c r="BN199" i="1"/>
  <c r="BM199" i="1"/>
  <c r="Z199" i="1"/>
  <c r="Z200" i="1" s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X96" i="1"/>
  <c r="X95" i="1"/>
  <c r="BO94" i="1"/>
  <c r="BM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P83" i="1"/>
  <c r="BO83" i="1"/>
  <c r="BN83" i="1"/>
  <c r="BM83" i="1"/>
  <c r="Z83" i="1"/>
  <c r="Y83" i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P34" i="1"/>
  <c r="BO34" i="1"/>
  <c r="BN34" i="1"/>
  <c r="BM34" i="1"/>
  <c r="Z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BP30" i="1" l="1"/>
  <c r="BN30" i="1"/>
  <c r="Z30" i="1"/>
  <c r="BP52" i="1"/>
  <c r="BN52" i="1"/>
  <c r="Z52" i="1"/>
  <c r="BP63" i="1"/>
  <c r="BN63" i="1"/>
  <c r="Z63" i="1"/>
  <c r="Y79" i="1"/>
  <c r="BP77" i="1"/>
  <c r="BN77" i="1"/>
  <c r="Z77" i="1"/>
  <c r="BP94" i="1"/>
  <c r="BN94" i="1"/>
  <c r="Z94" i="1"/>
  <c r="BP109" i="1"/>
  <c r="BN109" i="1"/>
  <c r="Z109" i="1"/>
  <c r="BP125" i="1"/>
  <c r="BN125" i="1"/>
  <c r="Z125" i="1"/>
  <c r="BP147" i="1"/>
  <c r="BN147" i="1"/>
  <c r="Z147" i="1"/>
  <c r="BP152" i="1"/>
  <c r="BN152" i="1"/>
  <c r="Z152" i="1"/>
  <c r="Y173" i="1"/>
  <c r="BP171" i="1"/>
  <c r="BN171" i="1"/>
  <c r="Z171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BP261" i="1"/>
  <c r="BN261" i="1"/>
  <c r="Z261" i="1"/>
  <c r="BP265" i="1"/>
  <c r="BN265" i="1"/>
  <c r="Z265" i="1"/>
  <c r="BP272" i="1"/>
  <c r="BN272" i="1"/>
  <c r="Z272" i="1"/>
  <c r="BP282" i="1"/>
  <c r="BN282" i="1"/>
  <c r="Z28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BP315" i="1"/>
  <c r="BN315" i="1"/>
  <c r="Z315" i="1"/>
  <c r="BP328" i="1"/>
  <c r="BN328" i="1"/>
  <c r="Z328" i="1"/>
  <c r="Y352" i="1"/>
  <c r="BP348" i="1"/>
  <c r="BN348" i="1"/>
  <c r="Z348" i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Y414" i="1"/>
  <c r="Y23" i="1"/>
  <c r="BP22" i="1"/>
  <c r="X565" i="1"/>
  <c r="Y32" i="1"/>
  <c r="BP26" i="1"/>
  <c r="BN26" i="1"/>
  <c r="Z26" i="1"/>
  <c r="C575" i="1"/>
  <c r="BP42" i="1"/>
  <c r="BN42" i="1"/>
  <c r="Z42" i="1"/>
  <c r="BP59" i="1"/>
  <c r="BN59" i="1"/>
  <c r="Z59" i="1"/>
  <c r="BP71" i="1"/>
  <c r="BN71" i="1"/>
  <c r="Z71" i="1"/>
  <c r="F575" i="1"/>
  <c r="BP90" i="1"/>
  <c r="BN90" i="1"/>
  <c r="Z90" i="1"/>
  <c r="BP100" i="1"/>
  <c r="BN100" i="1"/>
  <c r="Z100" i="1"/>
  <c r="Y121" i="1"/>
  <c r="BP117" i="1"/>
  <c r="BN117" i="1"/>
  <c r="Z117" i="1"/>
  <c r="Y133" i="1"/>
  <c r="Y132" i="1"/>
  <c r="BP131" i="1"/>
  <c r="BN131" i="1"/>
  <c r="Z131" i="1"/>
  <c r="Z132" i="1" s="1"/>
  <c r="BP136" i="1"/>
  <c r="BN136" i="1"/>
  <c r="Z136" i="1"/>
  <c r="BP165" i="1"/>
  <c r="BN165" i="1"/>
  <c r="Z165" i="1"/>
  <c r="BP179" i="1"/>
  <c r="BN179" i="1"/>
  <c r="Z179" i="1"/>
  <c r="BP191" i="1"/>
  <c r="BN191" i="1"/>
  <c r="Z191" i="1"/>
  <c r="BP211" i="1"/>
  <c r="BN211" i="1"/>
  <c r="Z211" i="1"/>
  <c r="BP226" i="1"/>
  <c r="BN226" i="1"/>
  <c r="Z226" i="1"/>
  <c r="BP236" i="1"/>
  <c r="BN236" i="1"/>
  <c r="Z236" i="1"/>
  <c r="BP246" i="1"/>
  <c r="BN246" i="1"/>
  <c r="Z246" i="1"/>
  <c r="BP268" i="1"/>
  <c r="BN268" i="1"/>
  <c r="Z268" i="1"/>
  <c r="BP278" i="1"/>
  <c r="BN278" i="1"/>
  <c r="Z278" i="1"/>
  <c r="BP286" i="1"/>
  <c r="BN286" i="1"/>
  <c r="Z286" i="1"/>
  <c r="BP301" i="1"/>
  <c r="BN301" i="1"/>
  <c r="Z301" i="1"/>
  <c r="BP324" i="1"/>
  <c r="BN324" i="1"/>
  <c r="Z324" i="1"/>
  <c r="BP342" i="1"/>
  <c r="BN342" i="1"/>
  <c r="Z342" i="1"/>
  <c r="Y351" i="1"/>
  <c r="BP366" i="1"/>
  <c r="BN366" i="1"/>
  <c r="Z366" i="1"/>
  <c r="BP377" i="1"/>
  <c r="BN377" i="1"/>
  <c r="Z377" i="1"/>
  <c r="BP432" i="1"/>
  <c r="BN432" i="1"/>
  <c r="Z432" i="1"/>
  <c r="BP446" i="1"/>
  <c r="BN446" i="1"/>
  <c r="Z446" i="1"/>
  <c r="BP458" i="1"/>
  <c r="BN458" i="1"/>
  <c r="Z458" i="1"/>
  <c r="BP462" i="1"/>
  <c r="BN462" i="1"/>
  <c r="Z462" i="1"/>
  <c r="Z464" i="1" s="1"/>
  <c r="BP487" i="1"/>
  <c r="BN487" i="1"/>
  <c r="Z487" i="1"/>
  <c r="BP514" i="1"/>
  <c r="BN514" i="1"/>
  <c r="Z514" i="1"/>
  <c r="BP524" i="1"/>
  <c r="BN524" i="1"/>
  <c r="Z524" i="1"/>
  <c r="BP528" i="1"/>
  <c r="BN528" i="1"/>
  <c r="Z528" i="1"/>
  <c r="Y542" i="1"/>
  <c r="AC575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Y558" i="1"/>
  <c r="BP556" i="1"/>
  <c r="BN556" i="1"/>
  <c r="Z556" i="1"/>
  <c r="Y36" i="1"/>
  <c r="Y85" i="1"/>
  <c r="Y102" i="1"/>
  <c r="G575" i="1"/>
  <c r="Y143" i="1"/>
  <c r="Y288" i="1"/>
  <c r="BP387" i="1"/>
  <c r="BN387" i="1"/>
  <c r="Z387" i="1"/>
  <c r="BP405" i="1"/>
  <c r="BN405" i="1"/>
  <c r="Z405" i="1"/>
  <c r="BP442" i="1"/>
  <c r="BN442" i="1"/>
  <c r="Z442" i="1"/>
  <c r="BP452" i="1"/>
  <c r="BN452" i="1"/>
  <c r="Z452" i="1"/>
  <c r="Y475" i="1"/>
  <c r="Y474" i="1"/>
  <c r="BP473" i="1"/>
  <c r="BN473" i="1"/>
  <c r="Z473" i="1"/>
  <c r="Z474" i="1" s="1"/>
  <c r="Y481" i="1"/>
  <c r="BP477" i="1"/>
  <c r="BN477" i="1"/>
  <c r="Z477" i="1"/>
  <c r="BP504" i="1"/>
  <c r="BN504" i="1"/>
  <c r="Z504" i="1"/>
  <c r="BP518" i="1"/>
  <c r="BN518" i="1"/>
  <c r="Z518" i="1"/>
  <c r="BP532" i="1"/>
  <c r="BN532" i="1"/>
  <c r="Z532" i="1"/>
  <c r="Y395" i="1"/>
  <c r="Y460" i="1"/>
  <c r="Y459" i="1"/>
  <c r="Y526" i="1"/>
  <c r="Y525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BP153" i="1"/>
  <c r="BN153" i="1"/>
  <c r="Z153" i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Z247" i="1" s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Z367" i="1"/>
  <c r="BP365" i="1"/>
  <c r="BN365" i="1"/>
  <c r="Z365" i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Y465" i="1"/>
  <c r="Y471" i="1"/>
  <c r="BP468" i="1"/>
  <c r="BN468" i="1"/>
  <c r="Z468" i="1"/>
  <c r="Z470" i="1" s="1"/>
  <c r="Y470" i="1"/>
  <c r="Y575" i="1"/>
  <c r="H9" i="1"/>
  <c r="B575" i="1"/>
  <c r="X566" i="1"/>
  <c r="X567" i="1"/>
  <c r="X569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5" i="1" s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0" i="1"/>
  <c r="BN120" i="1"/>
  <c r="Z124" i="1"/>
  <c r="Z128" i="1" s="1"/>
  <c r="BN124" i="1"/>
  <c r="BP124" i="1"/>
  <c r="Z126" i="1"/>
  <c r="BN126" i="1"/>
  <c r="H575" i="1"/>
  <c r="Y139" i="1"/>
  <c r="Z137" i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Z156" i="1" s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Y168" i="1"/>
  <c r="BP172" i="1"/>
  <c r="BN172" i="1"/>
  <c r="Z172" i="1"/>
  <c r="Y174" i="1"/>
  <c r="Y187" i="1"/>
  <c r="BP176" i="1"/>
  <c r="BN176" i="1"/>
  <c r="Z176" i="1"/>
  <c r="BP180" i="1"/>
  <c r="BN180" i="1"/>
  <c r="Z180" i="1"/>
  <c r="BP184" i="1"/>
  <c r="BN184" i="1"/>
  <c r="Z184" i="1"/>
  <c r="Y192" i="1"/>
  <c r="BP206" i="1"/>
  <c r="BN206" i="1"/>
  <c r="Z206" i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Y247" i="1"/>
  <c r="BP256" i="1"/>
  <c r="BN256" i="1"/>
  <c r="Z256" i="1"/>
  <c r="Z257" i="1" s="1"/>
  <c r="Y258" i="1"/>
  <c r="Y263" i="1"/>
  <c r="BP260" i="1"/>
  <c r="BN260" i="1"/>
  <c r="Z260" i="1"/>
  <c r="BP271" i="1"/>
  <c r="BN271" i="1"/>
  <c r="Z271" i="1"/>
  <c r="BP300" i="1"/>
  <c r="BN300" i="1"/>
  <c r="Z300" i="1"/>
  <c r="Y304" i="1"/>
  <c r="BP316" i="1"/>
  <c r="BN316" i="1"/>
  <c r="Z316" i="1"/>
  <c r="Z319" i="1" s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Y338" i="1"/>
  <c r="BP343" i="1"/>
  <c r="BN343" i="1"/>
  <c r="Z343" i="1"/>
  <c r="U575" i="1"/>
  <c r="BP374" i="1"/>
  <c r="BN374" i="1"/>
  <c r="Z374" i="1"/>
  <c r="Y378" i="1"/>
  <c r="BP382" i="1"/>
  <c r="BN382" i="1"/>
  <c r="Z382" i="1"/>
  <c r="Y388" i="1"/>
  <c r="BP386" i="1"/>
  <c r="BN386" i="1"/>
  <c r="Z386" i="1"/>
  <c r="BP418" i="1"/>
  <c r="BN418" i="1"/>
  <c r="Z418" i="1"/>
  <c r="Z420" i="1" s="1"/>
  <c r="Y42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Z345" i="1" s="1"/>
  <c r="Y345" i="1"/>
  <c r="BP349" i="1"/>
  <c r="BN349" i="1"/>
  <c r="Z349" i="1"/>
  <c r="Z351" i="1" s="1"/>
  <c r="BP372" i="1"/>
  <c r="BN372" i="1"/>
  <c r="Z372" i="1"/>
  <c r="BP376" i="1"/>
  <c r="BN376" i="1"/>
  <c r="Z376" i="1"/>
  <c r="Y389" i="1"/>
  <c r="BP384" i="1"/>
  <c r="BN384" i="1"/>
  <c r="Z384" i="1"/>
  <c r="BP392" i="1"/>
  <c r="BN392" i="1"/>
  <c r="Z392" i="1"/>
  <c r="Z395" i="1" s="1"/>
  <c r="BP400" i="1"/>
  <c r="BN400" i="1"/>
  <c r="Z400" i="1"/>
  <c r="Y409" i="1"/>
  <c r="BP404" i="1"/>
  <c r="BN404" i="1"/>
  <c r="Z404" i="1"/>
  <c r="Z408" i="1" s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Z453" i="1"/>
  <c r="BP451" i="1"/>
  <c r="BN451" i="1"/>
  <c r="Z451" i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Z506" i="1" s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Z434" i="1" s="1"/>
  <c r="BP441" i="1"/>
  <c r="BN441" i="1"/>
  <c r="Z441" i="1"/>
  <c r="BP445" i="1"/>
  <c r="BN445" i="1"/>
  <c r="Z445" i="1"/>
  <c r="Y454" i="1"/>
  <c r="Z459" i="1"/>
  <c r="BP457" i="1"/>
  <c r="BN457" i="1"/>
  <c r="Z457" i="1"/>
  <c r="Y464" i="1"/>
  <c r="BP478" i="1"/>
  <c r="BN478" i="1"/>
  <c r="Z478" i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Z519" i="1" s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491" i="1" l="1"/>
  <c r="Z288" i="1"/>
  <c r="Z388" i="1"/>
  <c r="Z67" i="1"/>
  <c r="Y569" i="1"/>
  <c r="Y566" i="1"/>
  <c r="Y568" i="1" s="1"/>
  <c r="Z273" i="1"/>
  <c r="Z535" i="1"/>
  <c r="Z480" i="1"/>
  <c r="Z378" i="1"/>
  <c r="Z330" i="1"/>
  <c r="Z304" i="1"/>
  <c r="Z262" i="1"/>
  <c r="Z241" i="1"/>
  <c r="Z212" i="1"/>
  <c r="Z173" i="1"/>
  <c r="Z168" i="1"/>
  <c r="Z138" i="1"/>
  <c r="Z102" i="1"/>
  <c r="Y567" i="1"/>
  <c r="Z31" i="1"/>
  <c r="Z233" i="1"/>
  <c r="Z187" i="1"/>
  <c r="Y565" i="1"/>
  <c r="Z401" i="1"/>
  <c r="Z447" i="1"/>
  <c r="Z427" i="1"/>
  <c r="Z337" i="1"/>
  <c r="Z121" i="1"/>
  <c r="Z113" i="1"/>
  <c r="Z95" i="1"/>
  <c r="Z74" i="1"/>
  <c r="Z55" i="1"/>
  <c r="Z46" i="1"/>
  <c r="X568" i="1"/>
  <c r="Z570" i="1" l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<sst xmlns="http://schemas.openxmlformats.org/spreadsheetml/2006/main" count="2535" uniqueCount="913">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</sst>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555</v>
      </c>
      <c r="Y51" s="636">
        <f>IFERROR(IF(X51="",0,CEILING((X51/$H51),1)*$H51),"")</f>
        <v>561.6</v>
      </c>
      <c r="Z51" s="36">
        <f>IFERROR(IF(Y51=0,"",ROUNDUP(Y51/H51,0)*0.01898),"")</f>
        <v>0.98696000000000006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576.06944444444446</v>
      </c>
      <c r="BN51" s="64">
        <f>IFERROR(Y51*I51/H51,"0")</f>
        <v>582.92000000000007</v>
      </c>
      <c r="BO51" s="64">
        <f>IFERROR(1/J51*(X51/H51),"0")</f>
        <v>0.80295138888888884</v>
      </c>
      <c r="BP51" s="64">
        <f>IFERROR(1/J51*(Y51/H51),"0")</f>
        <v>0.8125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64</v>
      </c>
      <c r="Y54" s="636">
        <f>IFERROR(IF(X54="",0,CEILING((X54/$H54),1)*$H54),"")</f>
        <v>66.600000000000009</v>
      </c>
      <c r="Z54" s="36">
        <f>IFERROR(IF(Y54=0,"",ROUNDUP(Y54/H54,0)*0.00902),"")</f>
        <v>0.16236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67.286486486486481</v>
      </c>
      <c r="BN54" s="64">
        <f>IFERROR(Y54*I54/H54,"0")</f>
        <v>70.02000000000001</v>
      </c>
      <c r="BO54" s="64">
        <f>IFERROR(1/J54*(X54/H54),"0")</f>
        <v>0.13104013104013101</v>
      </c>
      <c r="BP54" s="64">
        <f>IFERROR(1/J54*(Y54/H54),"0")</f>
        <v>0.13636363636363635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68.686186186186177</v>
      </c>
      <c r="Y55" s="637">
        <f>IFERROR(Y51/H51,"0")+IFERROR(Y52/H52,"0")+IFERROR(Y53/H53,"0")+IFERROR(Y54/H54,"0")</f>
        <v>70</v>
      </c>
      <c r="Z55" s="637">
        <f>IFERROR(IF(Z51="",0,Z51),"0")+IFERROR(IF(Z52="",0,Z52),"0")+IFERROR(IF(Z53="",0,Z53),"0")+IFERROR(IF(Z54="",0,Z54),"0")</f>
        <v>1.1493200000000001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619</v>
      </c>
      <c r="Y56" s="637">
        <f>IFERROR(SUM(Y51:Y54),"0")</f>
        <v>628.20000000000005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232</v>
      </c>
      <c r="Y59" s="636">
        <f t="shared" ref="Y59:Y66" si="0">IFERROR(IF(X59="",0,CEILING((X59/$H59),1)*$H59),"")</f>
        <v>235.2</v>
      </c>
      <c r="Z59" s="36">
        <f>IFERROR(IF(Y59=0,"",ROUNDUP(Y59/H59,0)*0.01898),"")</f>
        <v>0.39857999999999999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240.49285714285716</v>
      </c>
      <c r="BN59" s="64">
        <f t="shared" ref="BN59:BN66" si="2">IFERROR(Y59*I59/H59,"0")</f>
        <v>243.80999999999997</v>
      </c>
      <c r="BO59" s="64">
        <f t="shared" ref="BO59:BO66" si="3">IFERROR(1/J59*(X59/H59),"0")</f>
        <v>0.3236607142857143</v>
      </c>
      <c r="BP59" s="64">
        <f t="shared" ref="BP59:BP66" si="4">IFERROR(1/J59*(Y59/H59),"0")</f>
        <v>0.328125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43</v>
      </c>
      <c r="Y66" s="636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44.815555555555562</v>
      </c>
      <c r="BN66" s="64">
        <f t="shared" si="2"/>
        <v>46.900000000000006</v>
      </c>
      <c r="BO66" s="64">
        <f t="shared" si="3"/>
        <v>7.2390572390572394E-2</v>
      </c>
      <c r="BP66" s="64">
        <f t="shared" si="4"/>
        <v>7.575757575757576E-2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30.269841269841272</v>
      </c>
      <c r="Y67" s="637">
        <f>IFERROR(Y59/H59,"0")+IFERROR(Y60/H60,"0")+IFERROR(Y61/H61,"0")+IFERROR(Y62/H62,"0")+IFERROR(Y63/H63,"0")+IFERROR(Y64/H64,"0")+IFERROR(Y65/H65,"0")+IFERROR(Y66/H66,"0")</f>
        <v>31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0.48877999999999999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275</v>
      </c>
      <c r="Y68" s="637">
        <f>IFERROR(SUM(Y59:Y66),"0")</f>
        <v>280.2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264</v>
      </c>
      <c r="Y70" s="636">
        <f>IFERROR(IF(X70="",0,CEILING((X70/$H70),1)*$H70),"")</f>
        <v>270</v>
      </c>
      <c r="Z70" s="36">
        <f>IFERROR(IF(Y70=0,"",ROUNDUP(Y70/H70,0)*0.01898),"")</f>
        <v>0.47450000000000003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274.02222222222218</v>
      </c>
      <c r="BN70" s="64">
        <f>IFERROR(Y70*I70/H70,"0")</f>
        <v>280.25</v>
      </c>
      <c r="BO70" s="64">
        <f>IFERROR(1/J70*(X70/H70),"0")</f>
        <v>0.38194444444444442</v>
      </c>
      <c r="BP70" s="64">
        <f>IFERROR(1/J70*(Y70/H70),"0")</f>
        <v>0.390625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24.444444444444443</v>
      </c>
      <c r="Y74" s="637">
        <f>IFERROR(Y70/H70,"0")+IFERROR(Y71/H71,"0")+IFERROR(Y72/H72,"0")+IFERROR(Y73/H73,"0")</f>
        <v>25</v>
      </c>
      <c r="Z74" s="637">
        <f>IFERROR(IF(Z70="",0,Z70),"0")+IFERROR(IF(Z71="",0,Z71),"0")+IFERROR(IF(Z72="",0,Z72),"0")+IFERROR(IF(Z73="",0,Z73),"0")</f>
        <v>0.47450000000000003</v>
      </c>
      <c r="AA74" s="638"/>
      <c r="AB74" s="638"/>
      <c r="AC74" s="638"/>
    </row>
    <row r="75" spans="1:68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264</v>
      </c>
      <c r="Y75" s="637">
        <f>IFERROR(SUM(Y70:Y73),"0")</f>
        <v>270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185</v>
      </c>
      <c r="Y89" s="636">
        <f t="shared" ref="Y89:Y94" si="5">IFERROR(IF(X89="",0,CEILING((X89/$H89),1)*$H89),"")</f>
        <v>194.4</v>
      </c>
      <c r="Z89" s="36">
        <f>IFERROR(IF(Y89=0,"",ROUNDUP(Y89/H89,0)*0.01898),"")</f>
        <v>0.34164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192.02314814814818</v>
      </c>
      <c r="BN89" s="64">
        <f t="shared" ref="BN89:BN94" si="7">IFERROR(Y89*I89/H89,"0")</f>
        <v>201.78</v>
      </c>
      <c r="BO89" s="64">
        <f t="shared" ref="BO89:BO94" si="8">IFERROR(1/J89*(X89/H89),"0")</f>
        <v>0.26765046296296297</v>
      </c>
      <c r="BP89" s="64">
        <f t="shared" ref="BP89:BP94" si="9">IFERROR(1/J89*(Y89/H89),"0")</f>
        <v>0.28125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0</v>
      </c>
      <c r="Y94" s="636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17.12962962962963</v>
      </c>
      <c r="Y95" s="637">
        <f>IFERROR(Y89/H89,"0")+IFERROR(Y90/H90,"0")+IFERROR(Y91/H91,"0")+IFERROR(Y92/H92,"0")+IFERROR(Y93/H93,"0")+IFERROR(Y94/H94,"0")</f>
        <v>18</v>
      </c>
      <c r="Z95" s="637">
        <f>IFERROR(IF(Z89="",0,Z89),"0")+IFERROR(IF(Z90="",0,Z90),"0")+IFERROR(IF(Z91="",0,Z91),"0")+IFERROR(IF(Z92="",0,Z92),"0")+IFERROR(IF(Z93="",0,Z93),"0")+IFERROR(IF(Z94="",0,Z94),"0")</f>
        <v>0.34164</v>
      </c>
      <c r="AA95" s="638"/>
      <c r="AB95" s="638"/>
      <c r="AC95" s="638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185</v>
      </c>
      <c r="Y96" s="637">
        <f>IFERROR(SUM(Y89:Y94),"0")</f>
        <v>194.4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85</v>
      </c>
      <c r="Y106" s="636">
        <f t="shared" ref="Y106:Y112" si="10"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88.226851851851848</v>
      </c>
      <c r="BN106" s="64">
        <f t="shared" ref="BN106:BN112" si="12">IFERROR(Y106*I106/H106,"0")</f>
        <v>89.68</v>
      </c>
      <c r="BO106" s="64">
        <f t="shared" ref="BO106:BO112" si="13">IFERROR(1/J106*(X106/H106),"0")</f>
        <v>0.12297453703703703</v>
      </c>
      <c r="BP106" s="64">
        <f t="shared" ref="BP106:BP112" si="14">IFERROR(1/J106*(Y106/H106),"0")</f>
        <v>0.125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7.8703703703703702</v>
      </c>
      <c r="Y113" s="637">
        <f>IFERROR(Y106/H106,"0")+IFERROR(Y107/H107,"0")+IFERROR(Y108/H108,"0")+IFERROR(Y109/H109,"0")+IFERROR(Y110/H110,"0")+IFERROR(Y111/H111,"0")+IFERROR(Y112/H112,"0")</f>
        <v>8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0.15184</v>
      </c>
      <c r="AA113" s="638"/>
      <c r="AB113" s="638"/>
      <c r="AC113" s="638"/>
    </row>
    <row r="114" spans="1:68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85</v>
      </c>
      <c r="Y114" s="637">
        <f>IFERROR(SUM(Y106:Y112),"0")</f>
        <v>86.4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641</v>
      </c>
      <c r="Y124" s="636">
        <f>IFERROR(IF(X124="",0,CEILING((X124/$H124),1)*$H124),"")</f>
        <v>648</v>
      </c>
      <c r="Z124" s="36">
        <f>IFERROR(IF(Y124=0,"",ROUNDUP(Y124/H124,0)*0.01898),"")</f>
        <v>1.5184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679.61827160493829</v>
      </c>
      <c r="BN124" s="64">
        <f>IFERROR(Y124*I124/H124,"0")</f>
        <v>687.04</v>
      </c>
      <c r="BO124" s="64">
        <f>IFERROR(1/J124*(X124/H124),"0")</f>
        <v>1.236496913580247</v>
      </c>
      <c r="BP124" s="64">
        <f>IFERROR(1/J124*(Y124/H124),"0")</f>
        <v>1.25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0</v>
      </c>
      <c r="Y126" s="63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79.135802469135811</v>
      </c>
      <c r="Y128" s="637">
        <f>IFERROR(Y124/H124,"0")+IFERROR(Y125/H125,"0")+IFERROR(Y126/H126,"0")+IFERROR(Y127/H127,"0")</f>
        <v>80</v>
      </c>
      <c r="Z128" s="637">
        <f>IFERROR(IF(Z124="",0,Z124),"0")+IFERROR(IF(Z125="",0,Z125),"0")+IFERROR(IF(Z126="",0,Z126),"0")+IFERROR(IF(Z127="",0,Z127),"0")</f>
        <v>1.5184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641</v>
      </c>
      <c r="Y129" s="637">
        <f>IFERROR(SUM(Y124:Y127),"0")</f>
        <v>648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313</v>
      </c>
      <c r="Y177" s="636">
        <f t="shared" si="15"/>
        <v>315</v>
      </c>
      <c r="Z177" s="36">
        <f>IFERROR(IF(Y177=0,"",ROUNDUP(Y177/H177,0)*0.00902),"")</f>
        <v>0.81180000000000008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329.99142857142857</v>
      </c>
      <c r="BN177" s="64">
        <f t="shared" si="17"/>
        <v>332.09999999999997</v>
      </c>
      <c r="BO177" s="64">
        <f t="shared" si="18"/>
        <v>0.67748917748917747</v>
      </c>
      <c r="BP177" s="64">
        <f t="shared" si="19"/>
        <v>0.68181818181818188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237</v>
      </c>
      <c r="Y180" s="636">
        <f t="shared" si="15"/>
        <v>238</v>
      </c>
      <c r="Z180" s="36">
        <f>IFERROR(IF(Y180=0,"",ROUNDUP(Y180/H180,0)*0.00902),"")</f>
        <v>0.61336000000000002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249.86571428571429</v>
      </c>
      <c r="BN180" s="64">
        <f t="shared" si="17"/>
        <v>250.92000000000002</v>
      </c>
      <c r="BO180" s="64">
        <f t="shared" si="18"/>
        <v>0.51298701298701299</v>
      </c>
      <c r="BP180" s="64">
        <f t="shared" si="19"/>
        <v>0.51515151515151514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1</v>
      </c>
      <c r="Y183" s="636">
        <f t="shared" si="15"/>
        <v>1.8</v>
      </c>
      <c r="Z183" s="36">
        <f>IFERROR(IF(Y183=0,"",ROUNDUP(Y183/H183,0)*0.00417),"")</f>
        <v>8.3400000000000002E-3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1.2333333333333334</v>
      </c>
      <c r="BN183" s="64">
        <f t="shared" si="17"/>
        <v>2.2200000000000002</v>
      </c>
      <c r="BO183" s="64">
        <f t="shared" si="18"/>
        <v>3.5612535612535613E-3</v>
      </c>
      <c r="BP183" s="64">
        <f t="shared" si="19"/>
        <v>6.41025641025641E-3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158.25396825396825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160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1.4335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551</v>
      </c>
      <c r="Y188" s="637">
        <f>IFERROR(SUM(Y176:Y186),"0")</f>
        <v>554.79999999999995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1</v>
      </c>
      <c r="Y223" s="636">
        <f t="shared" si="26"/>
        <v>1.6</v>
      </c>
      <c r="Z223" s="36">
        <f>IFERROR(IF(Y223=0,"",ROUNDUP(Y223/H223,0)*0.00556),"")</f>
        <v>1.112E-2</v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1.1625000000000001</v>
      </c>
      <c r="BN223" s="64">
        <f t="shared" si="28"/>
        <v>1.86</v>
      </c>
      <c r="BO223" s="64">
        <f t="shared" si="29"/>
        <v>5.341880341880342E-3</v>
      </c>
      <c r="BP223" s="64">
        <f t="shared" si="30"/>
        <v>8.5470085470085479E-3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21</v>
      </c>
      <c r="Y228" s="636">
        <f t="shared" si="26"/>
        <v>21.6</v>
      </c>
      <c r="Z228" s="36">
        <f>IFERROR(IF(Y228=0,"",ROUNDUP(Y228/H228,0)*0.00502),"")</f>
        <v>6.0240000000000002E-2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22.516666666666666</v>
      </c>
      <c r="BN228" s="64">
        <f t="shared" si="28"/>
        <v>23.16</v>
      </c>
      <c r="BO228" s="64">
        <f t="shared" si="29"/>
        <v>4.9857549857549859E-2</v>
      </c>
      <c r="BP228" s="64">
        <f t="shared" si="30"/>
        <v>5.1282051282051287E-2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5</v>
      </c>
      <c r="Y229" s="636">
        <f t="shared" si="26"/>
        <v>5.6000000000000005</v>
      </c>
      <c r="Z229" s="36">
        <f>IFERROR(IF(Y229=0,"",ROUNDUP(Y229/H229,0)*0.00417),"")</f>
        <v>2.9190000000000001E-2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6.3124999999999991</v>
      </c>
      <c r="BN229" s="64">
        <f t="shared" si="28"/>
        <v>7.07</v>
      </c>
      <c r="BO229" s="64">
        <f t="shared" si="29"/>
        <v>2.003205128205128E-2</v>
      </c>
      <c r="BP229" s="64">
        <f t="shared" si="30"/>
        <v>2.2435897435897436E-2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19.166666666666664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21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0.10055</v>
      </c>
      <c r="AA233" s="638"/>
      <c r="AB233" s="638"/>
      <c r="AC233" s="638"/>
    </row>
    <row r="234" spans="1:68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27</v>
      </c>
      <c r="Y234" s="637">
        <f>IFERROR(SUM(Y220:Y232),"0")</f>
        <v>28.800000000000004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29</v>
      </c>
      <c r="Y269" s="636">
        <f t="shared" si="31"/>
        <v>30.6</v>
      </c>
      <c r="Z269" s="36">
        <f>IFERROR(IF(Y269=0,"",ROUNDUP(Y269/H269,0)*0.00502),"")</f>
        <v>8.5339999999999999E-2</v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31.094444444444441</v>
      </c>
      <c r="BN269" s="64">
        <f t="shared" si="33"/>
        <v>32.81</v>
      </c>
      <c r="BO269" s="64">
        <f t="shared" si="34"/>
        <v>6.8850902184235521E-2</v>
      </c>
      <c r="BP269" s="64">
        <f t="shared" si="35"/>
        <v>7.2649572649572655E-2</v>
      </c>
    </row>
    <row r="270" spans="1:68" ht="27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29</v>
      </c>
      <c r="Y270" s="636">
        <f t="shared" si="31"/>
        <v>30.6</v>
      </c>
      <c r="Z270" s="36">
        <f>IFERROR(IF(Y270=0,"",ROUNDUP(Y270/H270,0)*0.00502),"")</f>
        <v>8.5339999999999999E-2</v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30.611111111111107</v>
      </c>
      <c r="BN270" s="64">
        <f t="shared" si="33"/>
        <v>32.299999999999997</v>
      </c>
      <c r="BO270" s="64">
        <f t="shared" si="34"/>
        <v>6.8850902184235521E-2</v>
      </c>
      <c r="BP270" s="64">
        <f t="shared" si="35"/>
        <v>7.2649572649572655E-2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32</v>
      </c>
      <c r="Y272" s="636">
        <f t="shared" si="31"/>
        <v>32.4</v>
      </c>
      <c r="Z272" s="36">
        <f>IFERROR(IF(Y272=0,"",ROUNDUP(Y272/H272,0)*0.00502),"")</f>
        <v>9.0359999999999996E-2</v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33.777777777777779</v>
      </c>
      <c r="BN272" s="64">
        <f t="shared" si="33"/>
        <v>34.199999999999996</v>
      </c>
      <c r="BO272" s="64">
        <f t="shared" si="34"/>
        <v>7.5973409306742651E-2</v>
      </c>
      <c r="BP272" s="64">
        <f t="shared" si="35"/>
        <v>7.6923076923076927E-2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50</v>
      </c>
      <c r="Y273" s="637">
        <f>IFERROR(Y265/H265,"0")+IFERROR(Y266/H266,"0")+IFERROR(Y267/H267,"0")+IFERROR(Y268/H268,"0")+IFERROR(Y269/H269,"0")+IFERROR(Y270/H270,"0")+IFERROR(Y271/H271,"0")+IFERROR(Y272/H272,"0")</f>
        <v>52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0.26103999999999999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90</v>
      </c>
      <c r="Y274" s="637">
        <f>IFERROR(SUM(Y265:Y272),"0")</f>
        <v>93.6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540</v>
      </c>
      <c r="Y277" s="636">
        <f t="shared" si="36"/>
        <v>542.69999999999993</v>
      </c>
      <c r="Z277" s="36">
        <f>IFERROR(IF(Y277=0,"",ROUNDUP(Y277/H277,0)*0.01898),"")</f>
        <v>1.27166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572.93333333333328</v>
      </c>
      <c r="BN277" s="64">
        <f t="shared" si="38"/>
        <v>575.798</v>
      </c>
      <c r="BO277" s="64">
        <f t="shared" si="39"/>
        <v>1.0416666666666667</v>
      </c>
      <c r="BP277" s="64">
        <f t="shared" si="40"/>
        <v>1.046875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203</v>
      </c>
      <c r="Y280" s="636">
        <f t="shared" si="36"/>
        <v>204</v>
      </c>
      <c r="Z280" s="36">
        <f>IFERROR(IF(Y280=0,"",ROUNDUP(Y280/H280,0)*0.00651),"")</f>
        <v>0.55335000000000001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225.83750000000001</v>
      </c>
      <c r="BN280" s="64">
        <f t="shared" si="38"/>
        <v>226.95</v>
      </c>
      <c r="BO280" s="64">
        <f t="shared" si="39"/>
        <v>0.46474358974358981</v>
      </c>
      <c r="BP280" s="64">
        <f t="shared" si="40"/>
        <v>0.46703296703296709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412</v>
      </c>
      <c r="Y282" s="636">
        <f t="shared" si="36"/>
        <v>412.8</v>
      </c>
      <c r="Z282" s="36">
        <f>IFERROR(IF(Y282=0,"",ROUNDUP(Y282/H282,0)*0.00651),"")</f>
        <v>1.11972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455.26000000000005</v>
      </c>
      <c r="BN282" s="64">
        <f t="shared" si="38"/>
        <v>456.14400000000012</v>
      </c>
      <c r="BO282" s="64">
        <f t="shared" si="39"/>
        <v>0.94322344322344343</v>
      </c>
      <c r="BP282" s="64">
        <f t="shared" si="40"/>
        <v>0.94505494505494514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131</v>
      </c>
      <c r="Y284" s="636">
        <f t="shared" si="36"/>
        <v>132</v>
      </c>
      <c r="Z284" s="36">
        <f>IFERROR(IF(Y284=0,"",ROUNDUP(Y284/H284,0)*0.00651),"")</f>
        <v>0.35805000000000003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144.75500000000002</v>
      </c>
      <c r="BN284" s="64">
        <f t="shared" si="38"/>
        <v>145.86000000000001</v>
      </c>
      <c r="BO284" s="64">
        <f t="shared" si="39"/>
        <v>0.29990842490842495</v>
      </c>
      <c r="BP284" s="64">
        <f t="shared" si="40"/>
        <v>0.30219780219780223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116</v>
      </c>
      <c r="Y285" s="636">
        <f t="shared" si="36"/>
        <v>117.6</v>
      </c>
      <c r="Z285" s="36">
        <f>IFERROR(IF(Y285=0,"",ROUNDUP(Y285/H285,0)*0.00651),"")</f>
        <v>0.31899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128.18</v>
      </c>
      <c r="BN285" s="64">
        <f t="shared" si="38"/>
        <v>129.94800000000001</v>
      </c>
      <c r="BO285" s="64">
        <f t="shared" si="39"/>
        <v>0.26556776556776562</v>
      </c>
      <c r="BP285" s="64">
        <f t="shared" si="40"/>
        <v>0.26923076923076927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69</v>
      </c>
      <c r="Y286" s="636">
        <f t="shared" si="36"/>
        <v>69.599999999999994</v>
      </c>
      <c r="Z286" s="36">
        <f>IFERROR(IF(Y286=0,"",ROUNDUP(Y286/H286,0)*0.00651),"")</f>
        <v>0.18879000000000001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76.417500000000004</v>
      </c>
      <c r="BN286" s="64">
        <f t="shared" si="38"/>
        <v>77.081999999999994</v>
      </c>
      <c r="BO286" s="64">
        <f t="shared" si="39"/>
        <v>0.15796703296703299</v>
      </c>
      <c r="BP286" s="64">
        <f t="shared" si="40"/>
        <v>0.15934065934065936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454.58333333333331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457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3.8105599999999997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1471</v>
      </c>
      <c r="Y289" s="637">
        <f>IFERROR(SUM(Y276:Y287),"0")</f>
        <v>1478.6999999999998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2</v>
      </c>
      <c r="Y292" s="636">
        <f>IFERROR(IF(X292="",0,CEILING((X292/$H292),1)*$H292),"")</f>
        <v>2.4</v>
      </c>
      <c r="Z292" s="36">
        <f>IFERROR(IF(Y292=0,"",ROUNDUP(Y292/H292,0)*0.00651),"")</f>
        <v>6.5100000000000002E-3</v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2.2100000000000004</v>
      </c>
      <c r="BN292" s="64">
        <f>IFERROR(Y292*I292/H292,"0")</f>
        <v>2.6520000000000001</v>
      </c>
      <c r="BO292" s="64">
        <f>IFERROR(1/J292*(X292/H292),"0")</f>
        <v>4.578754578754579E-3</v>
      </c>
      <c r="BP292" s="64">
        <f>IFERROR(1/J292*(Y292/H292),"0")</f>
        <v>5.4945054945054949E-3</v>
      </c>
    </row>
    <row r="293" spans="1:68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0.83333333333333337</v>
      </c>
      <c r="Y293" s="637">
        <f>IFERROR(Y291/H291,"0")+IFERROR(Y292/H292,"0")</f>
        <v>1</v>
      </c>
      <c r="Z293" s="637">
        <f>IFERROR(IF(Z291="",0,Z291),"0")+IFERROR(IF(Z292="",0,Z292),"0")</f>
        <v>6.5100000000000002E-3</v>
      </c>
      <c r="AA293" s="638"/>
      <c r="AB293" s="638"/>
      <c r="AC293" s="638"/>
    </row>
    <row r="294" spans="1:68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2</v>
      </c>
      <c r="Y294" s="637">
        <f>IFERROR(SUM(Y291:Y292),"0")</f>
        <v>2.4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23</v>
      </c>
      <c r="Y297" s="636">
        <f t="shared" ref="Y297:Y303" si="41">IFERROR(IF(X297="",0,CEILING((X297/$H297),1)*$H297),"")</f>
        <v>23.2</v>
      </c>
      <c r="Z297" s="36">
        <f>IFERROR(IF(Y297=0,"",ROUNDUP(Y297/H297,0)*0.01898),"")</f>
        <v>3.7960000000000001E-2</v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23.812931034482762</v>
      </c>
      <c r="BN297" s="64">
        <f t="shared" ref="BN297:BN303" si="43">IFERROR(Y297*I297/H297,"0")</f>
        <v>24.02</v>
      </c>
      <c r="BO297" s="64">
        <f t="shared" ref="BO297:BO303" si="44">IFERROR(1/J297*(X297/H297),"0")</f>
        <v>3.0980603448275863E-2</v>
      </c>
      <c r="BP297" s="64">
        <f t="shared" ref="BP297:BP303" si="45">IFERROR(1/J297*(Y297/H297),"0")</f>
        <v>3.125E-2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1.9827586206896552</v>
      </c>
      <c r="Y304" s="637">
        <f>IFERROR(Y297/H297,"0")+IFERROR(Y298/H298,"0")+IFERROR(Y299/H299,"0")+IFERROR(Y300/H300,"0")+IFERROR(Y301/H301,"0")+IFERROR(Y302/H302,"0")+IFERROR(Y303/H303,"0")</f>
        <v>2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3.7960000000000001E-2</v>
      </c>
      <c r="AA304" s="638"/>
      <c r="AB304" s="638"/>
      <c r="AC304" s="638"/>
    </row>
    <row r="305" spans="1:68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23</v>
      </c>
      <c r="Y305" s="637">
        <f>IFERROR(SUM(Y297:Y303),"0")</f>
        <v>23.2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3</v>
      </c>
      <c r="Y311" s="636">
        <f>IFERROR(IF(X311="",0,CEILING((X311/$H311),1)*$H311),"")</f>
        <v>3.6</v>
      </c>
      <c r="Z311" s="36">
        <f>IFERROR(IF(Y311=0,"",ROUNDUP(Y311/H311,0)*0.0059),"")</f>
        <v>1.18E-2</v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3.291666666666667</v>
      </c>
      <c r="BN311" s="64">
        <f>IFERROR(Y311*I311/H311,"0")</f>
        <v>3.95</v>
      </c>
      <c r="BO311" s="64">
        <f>IFERROR(1/J311*(X311/H311),"0")</f>
        <v>7.7160493827160481E-3</v>
      </c>
      <c r="BP311" s="64">
        <f>IFERROR(1/J311*(Y311/H311),"0")</f>
        <v>9.2592592592592587E-3</v>
      </c>
    </row>
    <row r="312" spans="1:68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1.6666666666666665</v>
      </c>
      <c r="Y312" s="637">
        <f>IFERROR(Y311/H311,"0")</f>
        <v>2</v>
      </c>
      <c r="Z312" s="637">
        <f>IFERROR(IF(Z311="",0,Z311),"0")</f>
        <v>1.18E-2</v>
      </c>
      <c r="AA312" s="638"/>
      <c r="AB312" s="638"/>
      <c r="AC312" s="638"/>
    </row>
    <row r="313" spans="1:68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3</v>
      </c>
      <c r="Y313" s="637">
        <f>IFERROR(SUM(Y311:Y311),"0")</f>
        <v>3.6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0</v>
      </c>
      <c r="Y336" s="63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0</v>
      </c>
      <c r="Y337" s="637">
        <f>IFERROR(Y334/H334,"0")+IFERROR(Y335/H335,"0")+IFERROR(Y336/H336,"0")</f>
        <v>0</v>
      </c>
      <c r="Z337" s="637">
        <f>IFERROR(IF(Z334="",0,Z334),"0")+IFERROR(IF(Z335="",0,Z335),"0")+IFERROR(IF(Z336="",0,Z336),"0")</f>
        <v>0</v>
      </c>
      <c r="AA337" s="638"/>
      <c r="AB337" s="638"/>
      <c r="AC337" s="638"/>
    </row>
    <row r="338" spans="1:68" hidden="1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0</v>
      </c>
      <c r="Y338" s="637">
        <f>IFERROR(SUM(Y334:Y336),"0")</f>
        <v>0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123</v>
      </c>
      <c r="Y364" s="636">
        <f>IFERROR(IF(X364="",0,CEILING((X364/$H364),1)*$H364),"")</f>
        <v>124.8</v>
      </c>
      <c r="Z364" s="36">
        <f>IFERROR(IF(Y364=0,"",ROUNDUP(Y364/H364,0)*0.01898),"")</f>
        <v>0.30368000000000001</v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129.46538461538464</v>
      </c>
      <c r="BN364" s="64">
        <f>IFERROR(Y364*I364/H364,"0")</f>
        <v>131.36000000000001</v>
      </c>
      <c r="BO364" s="64">
        <f>IFERROR(1/J364*(X364/H364),"0")</f>
        <v>0.24639423076923078</v>
      </c>
      <c r="BP364" s="64">
        <f>IFERROR(1/J364*(Y364/H364),"0")</f>
        <v>0.25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52</v>
      </c>
      <c r="Y365" s="636">
        <f>IFERROR(IF(X365="",0,CEILING((X365/$H365),1)*$H365),"")</f>
        <v>54.6</v>
      </c>
      <c r="Z365" s="36">
        <f>IFERROR(IF(Y365=0,"",ROUNDUP(Y365/H365,0)*0.01898),"")</f>
        <v>0.13286000000000001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54.733333333333341</v>
      </c>
      <c r="BN365" s="64">
        <f>IFERROR(Y365*I365/H365,"0")</f>
        <v>57.470000000000013</v>
      </c>
      <c r="BO365" s="64">
        <f>IFERROR(1/J365*(X365/H365),"0")</f>
        <v>0.10416666666666667</v>
      </c>
      <c r="BP365" s="64">
        <f>IFERROR(1/J365*(Y365/H365),"0")</f>
        <v>0.109375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22.435897435897438</v>
      </c>
      <c r="Y367" s="637">
        <f>IFERROR(Y364/H364,"0")+IFERROR(Y365/H365,"0")+IFERROR(Y366/H366,"0")</f>
        <v>23</v>
      </c>
      <c r="Z367" s="637">
        <f>IFERROR(IF(Z364="",0,Z364),"0")+IFERROR(IF(Z365="",0,Z365),"0")+IFERROR(IF(Z366="",0,Z366),"0")</f>
        <v>0.43654000000000004</v>
      </c>
      <c r="AA367" s="638"/>
      <c r="AB367" s="638"/>
      <c r="AC367" s="638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175</v>
      </c>
      <c r="Y368" s="637">
        <f>IFERROR(SUM(Y364:Y366),"0")</f>
        <v>179.4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79</v>
      </c>
      <c r="Y382" s="636">
        <f t="shared" si="56"/>
        <v>79.8</v>
      </c>
      <c r="Z382" s="36">
        <f>IFERROR(IF(Y382=0,"",ROUNDUP(Y382/H382,0)*0.00902),"")</f>
        <v>0.17138</v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83.702380952380949</v>
      </c>
      <c r="BN382" s="64">
        <f t="shared" si="58"/>
        <v>84.55</v>
      </c>
      <c r="BO382" s="64">
        <f t="shared" si="59"/>
        <v>0.14249639249639251</v>
      </c>
      <c r="BP382" s="64">
        <f t="shared" si="60"/>
        <v>0.14393939393939395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18.80952380952381</v>
      </c>
      <c r="Y388" s="637">
        <f>IFERROR(Y381/H381,"0")+IFERROR(Y382/H382,"0")+IFERROR(Y383/H383,"0")+IFERROR(Y384/H384,"0")+IFERROR(Y385/H385,"0")+IFERROR(Y386/H386,"0")+IFERROR(Y387/H387,"0")</f>
        <v>19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0.17138</v>
      </c>
      <c r="AA388" s="638"/>
      <c r="AB388" s="638"/>
      <c r="AC388" s="638"/>
    </row>
    <row r="389" spans="1:68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79</v>
      </c>
      <c r="Y389" s="637">
        <f>IFERROR(SUM(Y381:Y387),"0")</f>
        <v>79.8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146</v>
      </c>
      <c r="Y398" s="636">
        <f>IFERROR(IF(X398="",0,CEILING((X398/$H398),1)*$H398),"")</f>
        <v>151.20000000000002</v>
      </c>
      <c r="Z398" s="36">
        <f>IFERROR(IF(Y398=0,"",ROUNDUP(Y398/H398,0)*0.01898),"")</f>
        <v>0.34164</v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154.5861904761905</v>
      </c>
      <c r="BN398" s="64">
        <f>IFERROR(Y398*I398/H398,"0")</f>
        <v>160.09200000000001</v>
      </c>
      <c r="BO398" s="64">
        <f>IFERROR(1/J398*(X398/H398),"0")</f>
        <v>0.27157738095238093</v>
      </c>
      <c r="BP398" s="64">
        <f>IFERROR(1/J398*(Y398/H398),"0")</f>
        <v>0.28125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835</v>
      </c>
      <c r="Y399" s="636">
        <f>IFERROR(IF(X399="",0,CEILING((X399/$H399),1)*$H399),"")</f>
        <v>842.4</v>
      </c>
      <c r="Z399" s="36">
        <f>IFERROR(IF(Y399=0,"",ROUNDUP(Y399/H399,0)*0.01898),"")</f>
        <v>2.0498400000000001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887.88333333333344</v>
      </c>
      <c r="BN399" s="64">
        <f>IFERROR(Y399*I399/H399,"0")</f>
        <v>895.75200000000007</v>
      </c>
      <c r="BO399" s="64">
        <f>IFERROR(1/J399*(X399/H399),"0")</f>
        <v>1.6726762820512822</v>
      </c>
      <c r="BP399" s="64">
        <f>IFERROR(1/J399*(Y399/H399),"0")</f>
        <v>1.6875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124.43223443223444</v>
      </c>
      <c r="Y401" s="637">
        <f>IFERROR(Y398/H398,"0")+IFERROR(Y399/H399,"0")+IFERROR(Y400/H400,"0")</f>
        <v>126</v>
      </c>
      <c r="Z401" s="637">
        <f>IFERROR(IF(Z398="",0,Z398),"0")+IFERROR(IF(Z399="",0,Z399),"0")+IFERROR(IF(Z400="",0,Z400),"0")</f>
        <v>2.3914800000000001</v>
      </c>
      <c r="AA401" s="638"/>
      <c r="AB401" s="638"/>
      <c r="AC401" s="638"/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981</v>
      </c>
      <c r="Y402" s="637">
        <f>IFERROR(SUM(Y398:Y400),"0")</f>
        <v>993.6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7</v>
      </c>
      <c r="Y406" s="636">
        <f>IFERROR(IF(X406="",0,CEILING((X406/$H406),1)*$H406),"")</f>
        <v>7.6499999999999995</v>
      </c>
      <c r="Z406" s="36">
        <f>IFERROR(IF(Y406=0,"",ROUNDUP(Y406/H406,0)*0.00651),"")</f>
        <v>1.9529999999999999E-2</v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8.1117647058823543</v>
      </c>
      <c r="BN406" s="64">
        <f>IFERROR(Y406*I406/H406,"0")</f>
        <v>8.8650000000000002</v>
      </c>
      <c r="BO406" s="64">
        <f>IFERROR(1/J406*(X406/H406),"0")</f>
        <v>1.508295625942685E-2</v>
      </c>
      <c r="BP406" s="64">
        <f>IFERROR(1/J406*(Y406/H406),"0")</f>
        <v>1.6483516483516484E-2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24</v>
      </c>
      <c r="Y407" s="636">
        <f>IFERROR(IF(X407="",0,CEILING((X407/$H407),1)*$H407),"")</f>
        <v>25.5</v>
      </c>
      <c r="Z407" s="36">
        <f>IFERROR(IF(Y407=0,"",ROUNDUP(Y407/H407,0)*0.00651),"")</f>
        <v>6.5100000000000005E-2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27.10588235294118</v>
      </c>
      <c r="BN407" s="64">
        <f>IFERROR(Y407*I407/H407,"0")</f>
        <v>28.8</v>
      </c>
      <c r="BO407" s="64">
        <f>IFERROR(1/J407*(X407/H407),"0")</f>
        <v>5.1712992889463481E-2</v>
      </c>
      <c r="BP407" s="64">
        <f>IFERROR(1/J407*(Y407/H407),"0")</f>
        <v>5.4945054945054951E-2</v>
      </c>
    </row>
    <row r="408" spans="1:68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12.156862745098039</v>
      </c>
      <c r="Y408" s="637">
        <f>IFERROR(Y404/H404,"0")+IFERROR(Y405/H405,"0")+IFERROR(Y406/H406,"0")+IFERROR(Y407/H407,"0")</f>
        <v>13</v>
      </c>
      <c r="Z408" s="637">
        <f>IFERROR(IF(Z404="",0,Z404),"0")+IFERROR(IF(Z405="",0,Z405),"0")+IFERROR(IF(Z406="",0,Z406),"0")+IFERROR(IF(Z407="",0,Z407),"0")</f>
        <v>8.4630000000000011E-2</v>
      </c>
      <c r="AA408" s="638"/>
      <c r="AB408" s="638"/>
      <c r="AC408" s="638"/>
    </row>
    <row r="409" spans="1:68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31</v>
      </c>
      <c r="Y409" s="637">
        <f>IFERROR(SUM(Y404:Y407),"0")</f>
        <v>33.15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4</v>
      </c>
      <c r="Y432" s="636">
        <f>IFERROR(IF(X432="",0,CEILING((X432/$H432),1)*$H432),"")</f>
        <v>4.2</v>
      </c>
      <c r="Z432" s="36">
        <f>IFERROR(IF(Y432=0,"",ROUNDUP(Y432/H432,0)*0.00651),"")</f>
        <v>1.302E-2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4.4799999999999995</v>
      </c>
      <c r="BN432" s="64">
        <f>IFERROR(Y432*I432/H432,"0")</f>
        <v>4.7039999999999997</v>
      </c>
      <c r="BO432" s="64">
        <f>IFERROR(1/J432*(X432/H432),"0")</f>
        <v>1.0465724751439037E-2</v>
      </c>
      <c r="BP432" s="64">
        <f>IFERROR(1/J432*(Y432/H432),"0")</f>
        <v>1.098901098901099E-2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1.9047619047619047</v>
      </c>
      <c r="Y434" s="637">
        <f>IFERROR(Y431/H431,"0")+IFERROR(Y432/H432,"0")+IFERROR(Y433/H433,"0")</f>
        <v>2</v>
      </c>
      <c r="Z434" s="637">
        <f>IFERROR(IF(Z431="",0,Z431),"0")+IFERROR(IF(Z432="",0,Z432),"0")+IFERROR(IF(Z433="",0,Z433),"0")</f>
        <v>1.302E-2</v>
      </c>
      <c r="AA434" s="638"/>
      <c r="AB434" s="638"/>
      <c r="AC434" s="638"/>
    </row>
    <row r="435" spans="1:68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4</v>
      </c>
      <c r="Y435" s="637">
        <f>IFERROR(SUM(Y431:Y433),"0")</f>
        <v>4.2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1004</v>
      </c>
      <c r="Y440" s="636">
        <f t="shared" si="61"/>
        <v>1005</v>
      </c>
      <c r="Z440" s="36">
        <f>IFERROR(IF(Y440=0,"",ROUNDUP(Y440/H440,0)*0.02175),"")</f>
        <v>1.4572499999999999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1035.4586666666667</v>
      </c>
      <c r="BN440" s="64">
        <f t="shared" si="63"/>
        <v>1036.49</v>
      </c>
      <c r="BO440" s="64">
        <f t="shared" si="64"/>
        <v>1.3944444444444444</v>
      </c>
      <c r="BP440" s="64">
        <f t="shared" si="65"/>
        <v>1.3958333333333333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1500</v>
      </c>
      <c r="Y441" s="636">
        <f t="shared" si="61"/>
        <v>1500</v>
      </c>
      <c r="Z441" s="36">
        <f>IFERROR(IF(Y441=0,"",ROUNDUP(Y441/H441,0)*0.02175),"")</f>
        <v>2.1749999999999998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1547</v>
      </c>
      <c r="BN441" s="64">
        <f t="shared" si="63"/>
        <v>1547</v>
      </c>
      <c r="BO441" s="64">
        <f t="shared" si="64"/>
        <v>2.083333333333333</v>
      </c>
      <c r="BP441" s="64">
        <f t="shared" si="65"/>
        <v>2.083333333333333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620</v>
      </c>
      <c r="Y442" s="636">
        <f t="shared" si="61"/>
        <v>630</v>
      </c>
      <c r="Z442" s="36">
        <f>IFERROR(IF(Y442=0,"",ROUNDUP(Y442/H442,0)*0.02175),"")</f>
        <v>0.91349999999999998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639.42666666666662</v>
      </c>
      <c r="BN442" s="64">
        <f t="shared" si="63"/>
        <v>649.74</v>
      </c>
      <c r="BO442" s="64">
        <f t="shared" si="64"/>
        <v>0.86111111111111116</v>
      </c>
      <c r="BP442" s="64">
        <f t="shared" si="65"/>
        <v>0.875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208.26666666666668</v>
      </c>
      <c r="Y447" s="637">
        <f>IFERROR(Y439/H439,"0")+IFERROR(Y440/H440,"0")+IFERROR(Y441/H441,"0")+IFERROR(Y442/H442,"0")+IFERROR(Y443/H443,"0")+IFERROR(Y444/H444,"0")+IFERROR(Y445/H445,"0")+IFERROR(Y446/H446,"0")</f>
        <v>209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4.54575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3124</v>
      </c>
      <c r="Y448" s="637">
        <f>IFERROR(SUM(Y439:Y446),"0")</f>
        <v>3135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1000</v>
      </c>
      <c r="Y450" s="636">
        <f>IFERROR(IF(X450="",0,CEILING((X450/$H450),1)*$H450),"")</f>
        <v>1005</v>
      </c>
      <c r="Z450" s="36">
        <f>IFERROR(IF(Y450=0,"",ROUNDUP(Y450/H450,0)*0.02175),"")</f>
        <v>1.4572499999999999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1031.3333333333333</v>
      </c>
      <c r="BN450" s="64">
        <f>IFERROR(Y450*I450/H450,"0")</f>
        <v>1036.49</v>
      </c>
      <c r="BO450" s="64">
        <f>IFERROR(1/J450*(X450/H450),"0")</f>
        <v>1.3888888888888888</v>
      </c>
      <c r="BP450" s="64">
        <f>IFERROR(1/J450*(Y450/H450),"0")</f>
        <v>1.3958333333333333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66.666666666666671</v>
      </c>
      <c r="Y453" s="637">
        <f>IFERROR(Y450/H450,"0")+IFERROR(Y451/H451,"0")+IFERROR(Y452/H452,"0")</f>
        <v>67</v>
      </c>
      <c r="Z453" s="637">
        <f>IFERROR(IF(Z450="",0,Z450),"0")+IFERROR(IF(Z451="",0,Z451),"0")+IFERROR(IF(Z452="",0,Z452),"0")</f>
        <v>1.4572499999999999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1000</v>
      </c>
      <c r="Y454" s="637">
        <f>IFERROR(SUM(Y450:Y452),"0")</f>
        <v>1005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48</v>
      </c>
      <c r="Y463" s="636">
        <f>IFERROR(IF(X463="",0,CEILING((X463/$H463),1)*$H463),"")</f>
        <v>54</v>
      </c>
      <c r="Z463" s="36">
        <f>IFERROR(IF(Y463=0,"",ROUNDUP(Y463/H463,0)*0.01898),"")</f>
        <v>0.11388000000000001</v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50.634666666666668</v>
      </c>
      <c r="BN463" s="64">
        <f>IFERROR(Y463*I463/H463,"0")</f>
        <v>56.963999999999992</v>
      </c>
      <c r="BO463" s="64">
        <f>IFERROR(1/J463*(X463/H463),"0")</f>
        <v>8.3333333333333329E-2</v>
      </c>
      <c r="BP463" s="64">
        <f>IFERROR(1/J463*(Y463/H463),"0")</f>
        <v>9.375E-2</v>
      </c>
    </row>
    <row r="464" spans="1:68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5.333333333333333</v>
      </c>
      <c r="Y464" s="637">
        <f>IFERROR(Y462/H462,"0")+IFERROR(Y463/H463,"0")</f>
        <v>6</v>
      </c>
      <c r="Z464" s="637">
        <f>IFERROR(IF(Z462="",0,Z462),"0")+IFERROR(IF(Z463="",0,Z463),"0")</f>
        <v>0.11388000000000001</v>
      </c>
      <c r="AA464" s="638"/>
      <c r="AB464" s="638"/>
      <c r="AC464" s="638"/>
    </row>
    <row r="465" spans="1:68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48</v>
      </c>
      <c r="Y465" s="637">
        <f>IFERROR(SUM(Y462:Y463),"0")</f>
        <v>54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1124</v>
      </c>
      <c r="Y477" s="636">
        <f>IFERROR(IF(X477="",0,CEILING((X477/$H477),1)*$H477),"")</f>
        <v>1125</v>
      </c>
      <c r="Z477" s="36">
        <f>IFERROR(IF(Y477=0,"",ROUNDUP(Y477/H477,0)*0.01898),"")</f>
        <v>2.3725000000000001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1185.6951111111111</v>
      </c>
      <c r="BN477" s="64">
        <f>IFERROR(Y477*I477/H477,"0")</f>
        <v>1186.75</v>
      </c>
      <c r="BO477" s="64">
        <f>IFERROR(1/J477*(X477/H477),"0")</f>
        <v>1.9513888888888888</v>
      </c>
      <c r="BP477" s="64">
        <f>IFERROR(1/J477*(Y477/H477),"0")</f>
        <v>1.953125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124.88888888888889</v>
      </c>
      <c r="Y480" s="637">
        <f>IFERROR(Y477/H477,"0")+IFERROR(Y478/H478,"0")+IFERROR(Y479/H479,"0")</f>
        <v>125</v>
      </c>
      <c r="Z480" s="637">
        <f>IFERROR(IF(Z477="",0,Z477),"0")+IFERROR(IF(Z478="",0,Z478),"0")+IFERROR(IF(Z479="",0,Z479),"0")</f>
        <v>2.3725000000000001</v>
      </c>
      <c r="AA480" s="638"/>
      <c r="AB480" s="638"/>
      <c r="AC480" s="638"/>
    </row>
    <row r="481" spans="1:68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1124</v>
      </c>
      <c r="Y481" s="637">
        <f>IFERROR(SUM(Y477:Y479),"0")</f>
        <v>1125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44</v>
      </c>
      <c r="Y511" s="636">
        <f t="shared" ref="Y511:Y518" si="71">IFERROR(IF(X511="",0,CEILING((X511/$H511),1)*$H511),"")</f>
        <v>47.52</v>
      </c>
      <c r="Z511" s="36">
        <f>IFERROR(IF(Y511=0,"",ROUNDUP(Y511/H511,0)*0.01196),"")</f>
        <v>0.10764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46.916666666666664</v>
      </c>
      <c r="BN511" s="64">
        <f t="shared" ref="BN511:BN518" si="73">IFERROR(Y511*I511/H511,"0")</f>
        <v>50.669999999999995</v>
      </c>
      <c r="BO511" s="64">
        <f t="shared" ref="BO511:BO518" si="74">IFERROR(1/J511*(X511/H511),"0")</f>
        <v>8.0128205128205121E-2</v>
      </c>
      <c r="BP511" s="64">
        <f t="shared" ref="BP511:BP518" si="75">IFERROR(1/J511*(Y511/H511),"0")</f>
        <v>8.6538461538461536E-2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166</v>
      </c>
      <c r="Y514" s="636">
        <f t="shared" si="71"/>
        <v>168.96</v>
      </c>
      <c r="Z514" s="36">
        <f>IFERROR(IF(Y514=0,"",ROUNDUP(Y514/H514,0)*0.01196),"")</f>
        <v>0.38272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177.00378787878785</v>
      </c>
      <c r="BN514" s="64">
        <f t="shared" si="73"/>
        <v>180.16</v>
      </c>
      <c r="BO514" s="64">
        <f t="shared" si="74"/>
        <v>0.30230186480186483</v>
      </c>
      <c r="BP514" s="64">
        <f t="shared" si="75"/>
        <v>0.30769230769230771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757</v>
      </c>
      <c r="Y515" s="636">
        <f t="shared" si="71"/>
        <v>760.32</v>
      </c>
      <c r="Z515" s="36">
        <f>IFERROR(IF(Y515=0,"",ROUNDUP(Y515/H515,0)*0.01196),"")</f>
        <v>1.72224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807.17992424242414</v>
      </c>
      <c r="BN515" s="64">
        <f t="shared" si="73"/>
        <v>810.71999999999991</v>
      </c>
      <c r="BO515" s="64">
        <f t="shared" si="74"/>
        <v>1.3785693473193474</v>
      </c>
      <c r="BP515" s="64">
        <f t="shared" si="75"/>
        <v>1.3846153846153846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183.14393939393938</v>
      </c>
      <c r="Y519" s="637">
        <f>IFERROR(Y511/H511,"0")+IFERROR(Y512/H512,"0")+IFERROR(Y513/H513,"0")+IFERROR(Y514/H514,"0")+IFERROR(Y515/H515,"0")+IFERROR(Y516/H516,"0")+IFERROR(Y517/H517,"0")+IFERROR(Y518/H518,"0")</f>
        <v>185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2.2126000000000001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967</v>
      </c>
      <c r="Y520" s="637">
        <f>IFERROR(SUM(Y511:Y518),"0")</f>
        <v>976.80000000000007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399</v>
      </c>
      <c r="Y522" s="636">
        <f>IFERROR(IF(X522="",0,CEILING((X522/$H522),1)*$H522),"")</f>
        <v>401.28000000000003</v>
      </c>
      <c r="Z522" s="36">
        <f>IFERROR(IF(Y522=0,"",ROUNDUP(Y522/H522,0)*0.01196),"")</f>
        <v>0.90895999999999999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425.44886363636357</v>
      </c>
      <c r="BN522" s="64">
        <f>IFERROR(Y522*I522/H522,"0")</f>
        <v>427.88</v>
      </c>
      <c r="BO522" s="64">
        <f>IFERROR(1/J522*(X522/H522),"0")</f>
        <v>0.72661713286713281</v>
      </c>
      <c r="BP522" s="64">
        <f>IFERROR(1/J522*(Y522/H522),"0")</f>
        <v>0.73076923076923084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4</v>
      </c>
      <c r="Y524" s="636">
        <f>IFERROR(IF(X524="",0,CEILING((X524/$H524),1)*$H524),"")</f>
        <v>4.8</v>
      </c>
      <c r="Z524" s="36">
        <f>IFERROR(IF(Y524=0,"",ROUNDUP(Y524/H524,0)*0.00902),"")</f>
        <v>9.0200000000000002E-3</v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5.7583333333333337</v>
      </c>
      <c r="BN524" s="64">
        <f>IFERROR(Y524*I524/H524,"0")</f>
        <v>6.91</v>
      </c>
      <c r="BO524" s="64">
        <f>IFERROR(1/J524*(X524/H524),"0")</f>
        <v>6.3131313131313139E-3</v>
      </c>
      <c r="BP524" s="64">
        <f>IFERROR(1/J524*(Y524/H524),"0")</f>
        <v>7.575757575757576E-3</v>
      </c>
    </row>
    <row r="525" spans="1:68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76.401515151515142</v>
      </c>
      <c r="Y525" s="637">
        <f>IFERROR(Y522/H522,"0")+IFERROR(Y523/H523,"0")+IFERROR(Y524/H524,"0")</f>
        <v>77</v>
      </c>
      <c r="Z525" s="637">
        <f>IFERROR(IF(Z522="",0,Z522),"0")+IFERROR(IF(Z523="",0,Z523),"0")+IFERROR(IF(Z524="",0,Z524),"0")</f>
        <v>0.91798000000000002</v>
      </c>
      <c r="AA525" s="638"/>
      <c r="AB525" s="638"/>
      <c r="AC525" s="638"/>
    </row>
    <row r="526" spans="1:68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403</v>
      </c>
      <c r="Y526" s="637">
        <f>IFERROR(SUM(Y522:Y524),"0")</f>
        <v>406.08000000000004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hidden="1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0</v>
      </c>
      <c r="Y535" s="637">
        <f>IFERROR(Y528/H528,"0")+IFERROR(Y529/H529,"0")+IFERROR(Y530/H530,"0")+IFERROR(Y531/H531,"0")+IFERROR(Y532/H532,"0")+IFERROR(Y533/H533,"0")+IFERROR(Y534/H534,"0")</f>
        <v>0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38"/>
      <c r="AB535" s="638"/>
      <c r="AC535" s="638"/>
    </row>
    <row r="536" spans="1:68" hidden="1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0</v>
      </c>
      <c r="Y536" s="637">
        <f>IFERROR(SUM(Y528:Y534),"0")</f>
        <v>0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12172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12284.33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12803.742534652931</v>
      </c>
      <c r="Y566" s="637">
        <f>IFERROR(SUM(BN22:BN562),"0")</f>
        <v>12922.810999999998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21</v>
      </c>
      <c r="Y567" s="38">
        <f>ROUNDUP(SUM(BP22:BP562),0)</f>
        <v>22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13328.742534652931</v>
      </c>
      <c r="Y568" s="637">
        <f>GrossWeightTotalR+PalletQtyTotalR*25</f>
        <v>13472.810999999998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1758.4632916727917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1779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24.503410000000002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628.20000000000005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550.20000000000005</v>
      </c>
      <c r="F575" s="46">
        <f>IFERROR(Y89*1,"0")+IFERROR(Y90*1,"0")+IFERROR(Y91*1,"0")+IFERROR(Y92*1,"0")+IFERROR(Y93*1,"0")+IFERROR(Y94*1,"0")+IFERROR(Y98*1,"0")+IFERROR(Y99*1,"0")+IFERROR(Y100*1,"0")+IFERROR(Y101*1,"0")</f>
        <v>194.4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734.4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554.79999999999995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28.800000000000004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1574.6999999999998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26.8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0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179.4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1106.5500000000002</v>
      </c>
      <c r="V575" s="46">
        <f>IFERROR(Y424*1,"0")+IFERROR(Y425*1,"0")+IFERROR(Y426*1,"0")</f>
        <v>0</v>
      </c>
      <c r="W575" s="46">
        <f>IFERROR(Y431*1,"0")+IFERROR(Y432*1,"0")+IFERROR(Y433*1,"0")</f>
        <v>4.2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4194</v>
      </c>
      <c r="Y575" s="46">
        <f>IFERROR(Y468*1,"0")+IFERROR(Y469*1,"0")+IFERROR(Y473*1,"0")+IFERROR(Y477*1,"0")+IFERROR(Y478*1,"0")+IFERROR(Y479*1,"0")</f>
        <v>1125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1382.88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00,00"/>
        <filter val="1 004,00"/>
        <filter val="1 124,00"/>
        <filter val="1 471,00"/>
        <filter val="1 500,00"/>
        <filter val="1 758,46"/>
        <filter val="1,00"/>
        <filter val="1,67"/>
        <filter val="1,90"/>
        <filter val="1,98"/>
        <filter val="116,00"/>
        <filter val="12 172,00"/>
        <filter val="12 803,74"/>
        <filter val="12,16"/>
        <filter val="123,00"/>
        <filter val="124,43"/>
        <filter val="124,89"/>
        <filter val="13 328,74"/>
        <filter val="131,00"/>
        <filter val="146,00"/>
        <filter val="158,25"/>
        <filter val="166,00"/>
        <filter val="17,13"/>
        <filter val="175,00"/>
        <filter val="18,81"/>
        <filter val="183,14"/>
        <filter val="185,00"/>
        <filter val="19,17"/>
        <filter val="2,00"/>
        <filter val="203,00"/>
        <filter val="208,27"/>
        <filter val="21"/>
        <filter val="21,00"/>
        <filter val="22,44"/>
        <filter val="23,00"/>
        <filter val="232,00"/>
        <filter val="237,00"/>
        <filter val="24,00"/>
        <filter val="24,44"/>
        <filter val="264,00"/>
        <filter val="27,00"/>
        <filter val="275,00"/>
        <filter val="29,00"/>
        <filter val="3 124,00"/>
        <filter val="3,00"/>
        <filter val="30,27"/>
        <filter val="31,00"/>
        <filter val="313,00"/>
        <filter val="32,00"/>
        <filter val="399,00"/>
        <filter val="4,00"/>
        <filter val="403,00"/>
        <filter val="412,00"/>
        <filter val="43,00"/>
        <filter val="44,00"/>
        <filter val="454,58"/>
        <filter val="48,00"/>
        <filter val="5,00"/>
        <filter val="5,33"/>
        <filter val="50,00"/>
        <filter val="52,00"/>
        <filter val="540,00"/>
        <filter val="551,00"/>
        <filter val="555,00"/>
        <filter val="619,00"/>
        <filter val="620,00"/>
        <filter val="64,00"/>
        <filter val="641,00"/>
        <filter val="66,67"/>
        <filter val="68,69"/>
        <filter val="69,00"/>
        <filter val="7,00"/>
        <filter val="7,87"/>
        <filter val="757,00"/>
        <filter val="76,40"/>
        <filter val="79,00"/>
        <filter val="79,14"/>
        <filter val="835,00"/>
        <filter val="85,00"/>
        <filter val="90,00"/>
        <filter val="967,00"/>
        <filter val="981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2026-10-28T09:06:12Z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