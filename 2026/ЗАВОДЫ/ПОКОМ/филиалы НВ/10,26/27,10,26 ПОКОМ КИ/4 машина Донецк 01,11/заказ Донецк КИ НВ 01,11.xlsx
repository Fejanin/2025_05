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175826E-09EB-4E98-BD9D-68FB82EED18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AD575" i="1" s="1"/>
  <c r="P562" i="1"/>
  <c r="X559" i="1"/>
  <c r="X558" i="1"/>
  <c r="BO557" i="1"/>
  <c r="BM557" i="1"/>
  <c r="Y557" i="1"/>
  <c r="P557" i="1"/>
  <c r="BO556" i="1"/>
  <c r="BM556" i="1"/>
  <c r="Y556" i="1"/>
  <c r="Y558" i="1" s="1"/>
  <c r="P556" i="1"/>
  <c r="X554" i="1"/>
  <c r="X553" i="1"/>
  <c r="BO552" i="1"/>
  <c r="BM552" i="1"/>
  <c r="Y552" i="1"/>
  <c r="Y554" i="1" s="1"/>
  <c r="P552" i="1"/>
  <c r="X550" i="1"/>
  <c r="X549" i="1"/>
  <c r="BO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X541" i="1"/>
  <c r="BO540" i="1"/>
  <c r="BM540" i="1"/>
  <c r="Y540" i="1"/>
  <c r="Y542" i="1" s="1"/>
  <c r="P540" i="1"/>
  <c r="X536" i="1"/>
  <c r="X535" i="1"/>
  <c r="BO534" i="1"/>
  <c r="BM534" i="1"/>
  <c r="Y534" i="1"/>
  <c r="BP534" i="1" s="1"/>
  <c r="P534" i="1"/>
  <c r="BP533" i="1"/>
  <c r="BO533" i="1"/>
  <c r="BN533" i="1"/>
  <c r="BM533" i="1"/>
  <c r="Z533" i="1"/>
  <c r="Y533" i="1"/>
  <c r="P533" i="1"/>
  <c r="BO532" i="1"/>
  <c r="BM532" i="1"/>
  <c r="Y532" i="1"/>
  <c r="BP532" i="1" s="1"/>
  <c r="P532" i="1"/>
  <c r="BO531" i="1"/>
  <c r="BM531" i="1"/>
  <c r="Y531" i="1"/>
  <c r="P531" i="1"/>
  <c r="BO530" i="1"/>
  <c r="BM530" i="1"/>
  <c r="Y530" i="1"/>
  <c r="BP530" i="1" s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BO522" i="1"/>
  <c r="BM522" i="1"/>
  <c r="Y522" i="1"/>
  <c r="Y526" i="1" s="1"/>
  <c r="P522" i="1"/>
  <c r="X520" i="1"/>
  <c r="X519" i="1"/>
  <c r="BO518" i="1"/>
  <c r="BM518" i="1"/>
  <c r="Y518" i="1"/>
  <c r="BP518" i="1" s="1"/>
  <c r="P518" i="1"/>
  <c r="BP517" i="1"/>
  <c r="BO517" i="1"/>
  <c r="BN517" i="1"/>
  <c r="BM517" i="1"/>
  <c r="Z517" i="1"/>
  <c r="Y517" i="1"/>
  <c r="P517" i="1"/>
  <c r="BO516" i="1"/>
  <c r="BM516" i="1"/>
  <c r="Y516" i="1"/>
  <c r="BP516" i="1" s="1"/>
  <c r="P516" i="1"/>
  <c r="BO515" i="1"/>
  <c r="BM515" i="1"/>
  <c r="Y515" i="1"/>
  <c r="P515" i="1"/>
  <c r="BO514" i="1"/>
  <c r="BM514" i="1"/>
  <c r="Y514" i="1"/>
  <c r="BP514" i="1" s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Y470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N407" i="1"/>
  <c r="BM407" i="1"/>
  <c r="Z407" i="1"/>
  <c r="Y407" i="1"/>
  <c r="BP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Z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X234" i="1"/>
  <c r="X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P220" i="1"/>
  <c r="X218" i="1"/>
  <c r="X217" i="1"/>
  <c r="BO216" i="1"/>
  <c r="BM216" i="1"/>
  <c r="Y216" i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1" i="1"/>
  <c r="X200" i="1"/>
  <c r="BO199" i="1"/>
  <c r="BM199" i="1"/>
  <c r="Y199" i="1"/>
  <c r="P199" i="1"/>
  <c r="X197" i="1"/>
  <c r="X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Y187" i="1" s="1"/>
  <c r="P176" i="1"/>
  <c r="X174" i="1"/>
  <c r="X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X149" i="1"/>
  <c r="X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P137" i="1"/>
  <c r="BO136" i="1"/>
  <c r="BM136" i="1"/>
  <c r="Y136" i="1"/>
  <c r="H575" i="1" s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O124" i="1"/>
  <c r="BM124" i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O101" i="1"/>
  <c r="BM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P89" i="1"/>
  <c r="X86" i="1"/>
  <c r="X85" i="1"/>
  <c r="BP84" i="1"/>
  <c r="BO84" i="1"/>
  <c r="BN84" i="1"/>
  <c r="BM84" i="1"/>
  <c r="Z84" i="1"/>
  <c r="Y84" i="1"/>
  <c r="P84" i="1"/>
  <c r="BO83" i="1"/>
  <c r="BM83" i="1"/>
  <c r="Y83" i="1"/>
  <c r="BP83" i="1" s="1"/>
  <c r="P83" i="1"/>
  <c r="BO82" i="1"/>
  <c r="BM82" i="1"/>
  <c r="Y82" i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X68" i="1"/>
  <c r="X67" i="1"/>
  <c r="BO66" i="1"/>
  <c r="BM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O45" i="1"/>
  <c r="BM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P35" i="1"/>
  <c r="BO35" i="1"/>
  <c r="BN35" i="1"/>
  <c r="BM35" i="1"/>
  <c r="Z35" i="1"/>
  <c r="Y35" i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567" i="1" s="1"/>
  <c r="BM22" i="1"/>
  <c r="Y22" i="1"/>
  <c r="B575" i="1" s="1"/>
  <c r="P22" i="1"/>
  <c r="H10" i="1"/>
  <c r="A9" i="1"/>
  <c r="F10" i="1" s="1"/>
  <c r="D7" i="1"/>
  <c r="Q6" i="1"/>
  <c r="P2" i="1"/>
  <c r="BP41" i="1" l="1"/>
  <c r="BN41" i="1"/>
  <c r="Z41" i="1"/>
  <c r="BP53" i="1"/>
  <c r="BN53" i="1"/>
  <c r="Z53" i="1"/>
  <c r="BP66" i="1"/>
  <c r="BN66" i="1"/>
  <c r="Z66" i="1"/>
  <c r="Y86" i="1"/>
  <c r="BP82" i="1"/>
  <c r="BN82" i="1"/>
  <c r="Z82" i="1"/>
  <c r="BP93" i="1"/>
  <c r="BN93" i="1"/>
  <c r="Z93" i="1"/>
  <c r="BP108" i="1"/>
  <c r="BN108" i="1"/>
  <c r="Z108" i="1"/>
  <c r="BP118" i="1"/>
  <c r="BN118" i="1"/>
  <c r="Z118" i="1"/>
  <c r="BP137" i="1"/>
  <c r="BN137" i="1"/>
  <c r="Z137" i="1"/>
  <c r="BP154" i="1"/>
  <c r="BN154" i="1"/>
  <c r="Z154" i="1"/>
  <c r="BP177" i="1"/>
  <c r="BN177" i="1"/>
  <c r="Z177" i="1"/>
  <c r="BP185" i="1"/>
  <c r="BN185" i="1"/>
  <c r="Z185" i="1"/>
  <c r="BP209" i="1"/>
  <c r="BN209" i="1"/>
  <c r="Z209" i="1"/>
  <c r="BP224" i="1"/>
  <c r="BN224" i="1"/>
  <c r="Z224" i="1"/>
  <c r="BP232" i="1"/>
  <c r="BN232" i="1"/>
  <c r="Z232" i="1"/>
  <c r="Y248" i="1"/>
  <c r="BP244" i="1"/>
  <c r="BN244" i="1"/>
  <c r="Z244" i="1"/>
  <c r="BP266" i="1"/>
  <c r="BN266" i="1"/>
  <c r="Z266" i="1"/>
  <c r="BP276" i="1"/>
  <c r="BN276" i="1"/>
  <c r="Z276" i="1"/>
  <c r="BP284" i="1"/>
  <c r="BN284" i="1"/>
  <c r="Z284" i="1"/>
  <c r="BP301" i="1"/>
  <c r="BN301" i="1"/>
  <c r="Z301" i="1"/>
  <c r="BP324" i="1"/>
  <c r="BN324" i="1"/>
  <c r="Z324" i="1"/>
  <c r="BP342" i="1"/>
  <c r="BN342" i="1"/>
  <c r="Z342" i="1"/>
  <c r="S575" i="1"/>
  <c r="Y356" i="1"/>
  <c r="BP355" i="1"/>
  <c r="BN355" i="1"/>
  <c r="Z355" i="1"/>
  <c r="Z356" i="1" s="1"/>
  <c r="X566" i="1"/>
  <c r="X568" i="1" s="1"/>
  <c r="X569" i="1"/>
  <c r="Z27" i="1"/>
  <c r="BN27" i="1"/>
  <c r="BP29" i="1"/>
  <c r="BN29" i="1"/>
  <c r="Z29" i="1"/>
  <c r="BP45" i="1"/>
  <c r="BN45" i="1"/>
  <c r="Z45" i="1"/>
  <c r="BP62" i="1"/>
  <c r="BN62" i="1"/>
  <c r="Z62" i="1"/>
  <c r="BP72" i="1"/>
  <c r="BN72" i="1"/>
  <c r="Z72" i="1"/>
  <c r="BP89" i="1"/>
  <c r="BN89" i="1"/>
  <c r="Z89" i="1"/>
  <c r="BP101" i="1"/>
  <c r="BN101" i="1"/>
  <c r="Z101" i="1"/>
  <c r="BP112" i="1"/>
  <c r="BN112" i="1"/>
  <c r="Z112" i="1"/>
  <c r="Y128" i="1"/>
  <c r="BP124" i="1"/>
  <c r="BN124" i="1"/>
  <c r="Z124" i="1"/>
  <c r="BP147" i="1"/>
  <c r="BN147" i="1"/>
  <c r="Z147" i="1"/>
  <c r="BP167" i="1"/>
  <c r="BN167" i="1"/>
  <c r="Z167" i="1"/>
  <c r="BP181" i="1"/>
  <c r="BN181" i="1"/>
  <c r="Z181" i="1"/>
  <c r="Y197" i="1"/>
  <c r="Y196" i="1"/>
  <c r="BP195" i="1"/>
  <c r="BN195" i="1"/>
  <c r="Z195" i="1"/>
  <c r="Z196" i="1" s="1"/>
  <c r="Y201" i="1"/>
  <c r="Y200" i="1"/>
  <c r="BP199" i="1"/>
  <c r="BN199" i="1"/>
  <c r="Z199" i="1"/>
  <c r="Z200" i="1" s="1"/>
  <c r="BP205" i="1"/>
  <c r="BN205" i="1"/>
  <c r="Z205" i="1"/>
  <c r="Y217" i="1"/>
  <c r="BP216" i="1"/>
  <c r="BN216" i="1"/>
  <c r="Z216" i="1"/>
  <c r="Z217" i="1" s="1"/>
  <c r="Y234" i="1"/>
  <c r="BP220" i="1"/>
  <c r="BN220" i="1"/>
  <c r="Z220" i="1"/>
  <c r="BP228" i="1"/>
  <c r="BN228" i="1"/>
  <c r="Z228" i="1"/>
  <c r="BP238" i="1"/>
  <c r="BN238" i="1"/>
  <c r="Z238" i="1"/>
  <c r="Y252" i="1"/>
  <c r="Y251" i="1"/>
  <c r="BP250" i="1"/>
  <c r="BN250" i="1"/>
  <c r="Z250" i="1"/>
  <c r="Z251" i="1" s="1"/>
  <c r="BP255" i="1"/>
  <c r="BN255" i="1"/>
  <c r="Z255" i="1"/>
  <c r="BP270" i="1"/>
  <c r="BN270" i="1"/>
  <c r="Z270" i="1"/>
  <c r="BP280" i="1"/>
  <c r="BN280" i="1"/>
  <c r="Z280" i="1"/>
  <c r="BP292" i="1"/>
  <c r="BN292" i="1"/>
  <c r="Z29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Y319" i="1"/>
  <c r="BP315" i="1"/>
  <c r="BN315" i="1"/>
  <c r="Z315" i="1"/>
  <c r="BP328" i="1"/>
  <c r="BN328" i="1"/>
  <c r="Z328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BP418" i="1"/>
  <c r="BN418" i="1"/>
  <c r="Z418" i="1"/>
  <c r="BP442" i="1"/>
  <c r="BN442" i="1"/>
  <c r="Z442" i="1"/>
  <c r="BP452" i="1"/>
  <c r="BN452" i="1"/>
  <c r="Z452" i="1"/>
  <c r="BP456" i="1"/>
  <c r="BN456" i="1"/>
  <c r="Z456" i="1"/>
  <c r="BP479" i="1"/>
  <c r="BN479" i="1"/>
  <c r="Z479" i="1"/>
  <c r="Y496" i="1"/>
  <c r="Y495" i="1"/>
  <c r="BP494" i="1"/>
  <c r="BN494" i="1"/>
  <c r="Z494" i="1"/>
  <c r="Z495" i="1" s="1"/>
  <c r="Y500" i="1"/>
  <c r="BP499" i="1"/>
  <c r="BN499" i="1"/>
  <c r="Z499" i="1"/>
  <c r="Z500" i="1" s="1"/>
  <c r="BP503" i="1"/>
  <c r="BN503" i="1"/>
  <c r="Z503" i="1"/>
  <c r="Z506" i="1" s="1"/>
  <c r="BP515" i="1"/>
  <c r="BN515" i="1"/>
  <c r="Z515" i="1"/>
  <c r="BP531" i="1"/>
  <c r="BN531" i="1"/>
  <c r="Z531" i="1"/>
  <c r="E575" i="1"/>
  <c r="Y74" i="1"/>
  <c r="Y103" i="1"/>
  <c r="Y122" i="1"/>
  <c r="Y143" i="1"/>
  <c r="J575" i="1"/>
  <c r="Y173" i="1"/>
  <c r="Y242" i="1"/>
  <c r="Y361" i="1"/>
  <c r="Y360" i="1"/>
  <c r="BP359" i="1"/>
  <c r="BN359" i="1"/>
  <c r="Z359" i="1"/>
  <c r="Z360" i="1" s="1"/>
  <c r="BP364" i="1"/>
  <c r="BN364" i="1"/>
  <c r="Z364" i="1"/>
  <c r="Z367" i="1" s="1"/>
  <c r="BP377" i="1"/>
  <c r="BN377" i="1"/>
  <c r="Z377" i="1"/>
  <c r="BP387" i="1"/>
  <c r="BN387" i="1"/>
  <c r="Z387" i="1"/>
  <c r="BP405" i="1"/>
  <c r="BN405" i="1"/>
  <c r="Z405" i="1"/>
  <c r="BP432" i="1"/>
  <c r="BN432" i="1"/>
  <c r="Z432" i="1"/>
  <c r="BP446" i="1"/>
  <c r="BN446" i="1"/>
  <c r="Z446" i="1"/>
  <c r="Y464" i="1"/>
  <c r="BP462" i="1"/>
  <c r="BN462" i="1"/>
  <c r="Z462" i="1"/>
  <c r="BP487" i="1"/>
  <c r="BN487" i="1"/>
  <c r="Z487" i="1"/>
  <c r="AB575" i="1"/>
  <c r="BP511" i="1"/>
  <c r="BN511" i="1"/>
  <c r="Z511" i="1"/>
  <c r="BP523" i="1"/>
  <c r="BN523" i="1"/>
  <c r="Z523" i="1"/>
  <c r="BP557" i="1"/>
  <c r="BN557" i="1"/>
  <c r="Z557" i="1"/>
  <c r="Y389" i="1"/>
  <c r="Y454" i="1"/>
  <c r="Y453" i="1"/>
  <c r="Y536" i="1"/>
  <c r="Y32" i="1"/>
  <c r="Y36" i="1"/>
  <c r="Y56" i="1"/>
  <c r="Y67" i="1"/>
  <c r="Y75" i="1"/>
  <c r="Y79" i="1"/>
  <c r="Y113" i="1"/>
  <c r="Y129" i="1"/>
  <c r="Y144" i="1"/>
  <c r="Y148" i="1"/>
  <c r="Y157" i="1"/>
  <c r="Y161" i="1"/>
  <c r="Y174" i="1"/>
  <c r="Y192" i="1"/>
  <c r="Y212" i="1"/>
  <c r="H9" i="1"/>
  <c r="A10" i="1"/>
  <c r="Y24" i="1"/>
  <c r="Y46" i="1"/>
  <c r="Y85" i="1"/>
  <c r="Y96" i="1"/>
  <c r="Y102" i="1"/>
  <c r="Y121" i="1"/>
  <c r="Y133" i="1"/>
  <c r="Y138" i="1"/>
  <c r="Y168" i="1"/>
  <c r="Y188" i="1"/>
  <c r="Y233" i="1"/>
  <c r="Y241" i="1"/>
  <c r="Y247" i="1"/>
  <c r="Y258" i="1"/>
  <c r="Y263" i="1"/>
  <c r="Y274" i="1"/>
  <c r="BP265" i="1"/>
  <c r="BN265" i="1"/>
  <c r="Z265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BP318" i="1"/>
  <c r="BN318" i="1"/>
  <c r="Z318" i="1"/>
  <c r="Y320" i="1"/>
  <c r="P575" i="1"/>
  <c r="Y330" i="1"/>
  <c r="BP323" i="1"/>
  <c r="BN323" i="1"/>
  <c r="Z323" i="1"/>
  <c r="BP327" i="1"/>
  <c r="BN327" i="1"/>
  <c r="Z327" i="1"/>
  <c r="BP336" i="1"/>
  <c r="BN336" i="1"/>
  <c r="Z336" i="1"/>
  <c r="Y338" i="1"/>
  <c r="R575" i="1"/>
  <c r="Y346" i="1"/>
  <c r="BP341" i="1"/>
  <c r="BN341" i="1"/>
  <c r="Z341" i="1"/>
  <c r="Y345" i="1"/>
  <c r="BP349" i="1"/>
  <c r="BN349" i="1"/>
  <c r="Z349" i="1"/>
  <c r="Z351" i="1" s="1"/>
  <c r="BP372" i="1"/>
  <c r="BN372" i="1"/>
  <c r="Z372" i="1"/>
  <c r="BP376" i="1"/>
  <c r="BN376" i="1"/>
  <c r="Z376" i="1"/>
  <c r="BP384" i="1"/>
  <c r="BN384" i="1"/>
  <c r="Z384" i="1"/>
  <c r="Y388" i="1"/>
  <c r="BP392" i="1"/>
  <c r="BN392" i="1"/>
  <c r="Z392" i="1"/>
  <c r="BP400" i="1"/>
  <c r="BN400" i="1"/>
  <c r="Z400" i="1"/>
  <c r="Y402" i="1"/>
  <c r="Y408" i="1"/>
  <c r="Y409" i="1"/>
  <c r="BP404" i="1"/>
  <c r="BN404" i="1"/>
  <c r="Z404" i="1"/>
  <c r="BP413" i="1"/>
  <c r="BN413" i="1"/>
  <c r="Z413" i="1"/>
  <c r="Y415" i="1"/>
  <c r="Y420" i="1"/>
  <c r="BP417" i="1"/>
  <c r="BN417" i="1"/>
  <c r="Z417" i="1"/>
  <c r="Y421" i="1"/>
  <c r="BP426" i="1"/>
  <c r="BN426" i="1"/>
  <c r="Z426" i="1"/>
  <c r="Y428" i="1"/>
  <c r="W575" i="1"/>
  <c r="Y434" i="1"/>
  <c r="BP431" i="1"/>
  <c r="BN431" i="1"/>
  <c r="Z431" i="1"/>
  <c r="Y435" i="1"/>
  <c r="BP441" i="1"/>
  <c r="BN441" i="1"/>
  <c r="Z441" i="1"/>
  <c r="BP445" i="1"/>
  <c r="BN445" i="1"/>
  <c r="Z445" i="1"/>
  <c r="Z480" i="1"/>
  <c r="BP478" i="1"/>
  <c r="BN478" i="1"/>
  <c r="Z478" i="1"/>
  <c r="Y480" i="1"/>
  <c r="F9" i="1"/>
  <c r="J9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BN83" i="1"/>
  <c r="F575" i="1"/>
  <c r="Z90" i="1"/>
  <c r="BN90" i="1"/>
  <c r="Z92" i="1"/>
  <c r="BN92" i="1"/>
  <c r="Z94" i="1"/>
  <c r="BN94" i="1"/>
  <c r="Y95" i="1"/>
  <c r="Z98" i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6" i="1"/>
  <c r="BN136" i="1"/>
  <c r="BP136" i="1"/>
  <c r="Y139" i="1"/>
  <c r="Z142" i="1"/>
  <c r="Z143" i="1" s="1"/>
  <c r="BN142" i="1"/>
  <c r="Z146" i="1"/>
  <c r="Z148" i="1" s="1"/>
  <c r="BN146" i="1"/>
  <c r="BP146" i="1"/>
  <c r="I575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Z172" i="1"/>
  <c r="Z173" i="1" s="1"/>
  <c r="BN172" i="1"/>
  <c r="Z176" i="1"/>
  <c r="BN176" i="1"/>
  <c r="BP176" i="1"/>
  <c r="Z178" i="1"/>
  <c r="BN178" i="1"/>
  <c r="Z180" i="1"/>
  <c r="BN180" i="1"/>
  <c r="Z182" i="1"/>
  <c r="BN182" i="1"/>
  <c r="Z184" i="1"/>
  <c r="BN184" i="1"/>
  <c r="Z186" i="1"/>
  <c r="BN186" i="1"/>
  <c r="Z190" i="1"/>
  <c r="Z192" i="1" s="1"/>
  <c r="BN190" i="1"/>
  <c r="BP190" i="1"/>
  <c r="K575" i="1"/>
  <c r="Z206" i="1"/>
  <c r="BN206" i="1"/>
  <c r="Z208" i="1"/>
  <c r="BN208" i="1"/>
  <c r="Z210" i="1"/>
  <c r="BN210" i="1"/>
  <c r="Y213" i="1"/>
  <c r="L575" i="1"/>
  <c r="Y218" i="1"/>
  <c r="Z221" i="1"/>
  <c r="BN221" i="1"/>
  <c r="Z223" i="1"/>
  <c r="BN223" i="1"/>
  <c r="Z225" i="1"/>
  <c r="BN225" i="1"/>
  <c r="Z227" i="1"/>
  <c r="BN227" i="1"/>
  <c r="Z229" i="1"/>
  <c r="BN229" i="1"/>
  <c r="Z231" i="1"/>
  <c r="BN231" i="1"/>
  <c r="Z237" i="1"/>
  <c r="BN237" i="1"/>
  <c r="Z239" i="1"/>
  <c r="BN239" i="1"/>
  <c r="Z245" i="1"/>
  <c r="BN245" i="1"/>
  <c r="M575" i="1"/>
  <c r="Z256" i="1"/>
  <c r="Z257" i="1" s="1"/>
  <c r="BN256" i="1"/>
  <c r="Y257" i="1"/>
  <c r="Z260" i="1"/>
  <c r="Z262" i="1" s="1"/>
  <c r="BN260" i="1"/>
  <c r="BP260" i="1"/>
  <c r="BP261" i="1"/>
  <c r="BN261" i="1"/>
  <c r="BP267" i="1"/>
  <c r="BN267" i="1"/>
  <c r="Z267" i="1"/>
  <c r="BP271" i="1"/>
  <c r="BN271" i="1"/>
  <c r="Z271" i="1"/>
  <c r="Y288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BP300" i="1"/>
  <c r="BN300" i="1"/>
  <c r="Z300" i="1"/>
  <c r="Y304" i="1"/>
  <c r="BP316" i="1"/>
  <c r="BN316" i="1"/>
  <c r="Z316" i="1"/>
  <c r="BP325" i="1"/>
  <c r="BN325" i="1"/>
  <c r="Z325" i="1"/>
  <c r="BP329" i="1"/>
  <c r="BN329" i="1"/>
  <c r="Z329" i="1"/>
  <c r="Y331" i="1"/>
  <c r="Q575" i="1"/>
  <c r="Y337" i="1"/>
  <c r="BP334" i="1"/>
  <c r="BN334" i="1"/>
  <c r="Z334" i="1"/>
  <c r="BP343" i="1"/>
  <c r="BN343" i="1"/>
  <c r="Z343" i="1"/>
  <c r="Y352" i="1"/>
  <c r="Y351" i="1"/>
  <c r="BP365" i="1"/>
  <c r="BN365" i="1"/>
  <c r="Z365" i="1"/>
  <c r="BP374" i="1"/>
  <c r="BN374" i="1"/>
  <c r="Z374" i="1"/>
  <c r="Y378" i="1"/>
  <c r="BP382" i="1"/>
  <c r="BN382" i="1"/>
  <c r="Z382" i="1"/>
  <c r="BP386" i="1"/>
  <c r="BN386" i="1"/>
  <c r="Z386" i="1"/>
  <c r="Z388" i="1" s="1"/>
  <c r="Y395" i="1"/>
  <c r="BP394" i="1"/>
  <c r="BN394" i="1"/>
  <c r="Z394" i="1"/>
  <c r="Y396" i="1"/>
  <c r="Y401" i="1"/>
  <c r="BP398" i="1"/>
  <c r="BN398" i="1"/>
  <c r="Z398" i="1"/>
  <c r="BP406" i="1"/>
  <c r="BN406" i="1"/>
  <c r="Z406" i="1"/>
  <c r="BP457" i="1"/>
  <c r="BN457" i="1"/>
  <c r="Z457" i="1"/>
  <c r="Z459" i="1" s="1"/>
  <c r="Y459" i="1"/>
  <c r="BP488" i="1"/>
  <c r="BN488" i="1"/>
  <c r="Z488" i="1"/>
  <c r="O575" i="1"/>
  <c r="Y305" i="1"/>
  <c r="Y357" i="1"/>
  <c r="T575" i="1"/>
  <c r="Y368" i="1"/>
  <c r="U575" i="1"/>
  <c r="Y379" i="1"/>
  <c r="Y414" i="1"/>
  <c r="BP411" i="1"/>
  <c r="BN411" i="1"/>
  <c r="Z411" i="1"/>
  <c r="Z414" i="1" s="1"/>
  <c r="BP419" i="1"/>
  <c r="BN419" i="1"/>
  <c r="Z419" i="1"/>
  <c r="V575" i="1"/>
  <c r="Y427" i="1"/>
  <c r="BP424" i="1"/>
  <c r="BN424" i="1"/>
  <c r="Z424" i="1"/>
  <c r="Z427" i="1" s="1"/>
  <c r="BP433" i="1"/>
  <c r="BN433" i="1"/>
  <c r="Z433" i="1"/>
  <c r="X575" i="1"/>
  <c r="Y448" i="1"/>
  <c r="BP439" i="1"/>
  <c r="BN439" i="1"/>
  <c r="Z439" i="1"/>
  <c r="Z447" i="1" s="1"/>
  <c r="BP443" i="1"/>
  <c r="BN443" i="1"/>
  <c r="Z443" i="1"/>
  <c r="Y447" i="1"/>
  <c r="BP451" i="1"/>
  <c r="BN451" i="1"/>
  <c r="Z451" i="1"/>
  <c r="Y460" i="1"/>
  <c r="BP463" i="1"/>
  <c r="BN463" i="1"/>
  <c r="Z463" i="1"/>
  <c r="Z464" i="1" s="1"/>
  <c r="Y465" i="1"/>
  <c r="Y575" i="1"/>
  <c r="Y471" i="1"/>
  <c r="BP468" i="1"/>
  <c r="BN468" i="1"/>
  <c r="Z468" i="1"/>
  <c r="Z470" i="1" s="1"/>
  <c r="Y481" i="1"/>
  <c r="BP486" i="1"/>
  <c r="BN486" i="1"/>
  <c r="Z486" i="1"/>
  <c r="BP490" i="1"/>
  <c r="BN490" i="1"/>
  <c r="Z490" i="1"/>
  <c r="BP504" i="1"/>
  <c r="BN504" i="1"/>
  <c r="Z504" i="1"/>
  <c r="Y506" i="1"/>
  <c r="Z575" i="1"/>
  <c r="Y492" i="1"/>
  <c r="Y491" i="1"/>
  <c r="AA575" i="1"/>
  <c r="Y507" i="1"/>
  <c r="Y520" i="1"/>
  <c r="BP512" i="1"/>
  <c r="BN512" i="1"/>
  <c r="Z512" i="1"/>
  <c r="Y501" i="1"/>
  <c r="Z514" i="1"/>
  <c r="BN514" i="1"/>
  <c r="Z516" i="1"/>
  <c r="BN516" i="1"/>
  <c r="Z518" i="1"/>
  <c r="BN518" i="1"/>
  <c r="Y519" i="1"/>
  <c r="Z522" i="1"/>
  <c r="BN522" i="1"/>
  <c r="BP522" i="1"/>
  <c r="Z524" i="1"/>
  <c r="BN524" i="1"/>
  <c r="Y525" i="1"/>
  <c r="Z528" i="1"/>
  <c r="BN528" i="1"/>
  <c r="BP528" i="1"/>
  <c r="Z530" i="1"/>
  <c r="BN530" i="1"/>
  <c r="Z532" i="1"/>
  <c r="BN532" i="1"/>
  <c r="Z534" i="1"/>
  <c r="BN534" i="1"/>
  <c r="Y535" i="1"/>
  <c r="Z540" i="1"/>
  <c r="Z541" i="1" s="1"/>
  <c r="BN540" i="1"/>
  <c r="BP540" i="1"/>
  <c r="Y541" i="1"/>
  <c r="Z544" i="1"/>
  <c r="Z545" i="1" s="1"/>
  <c r="BN544" i="1"/>
  <c r="BP544" i="1"/>
  <c r="Y545" i="1"/>
  <c r="Z548" i="1"/>
  <c r="Z549" i="1" s="1"/>
  <c r="BN548" i="1"/>
  <c r="BP548" i="1"/>
  <c r="Y549" i="1"/>
  <c r="Z552" i="1"/>
  <c r="Z553" i="1" s="1"/>
  <c r="BN552" i="1"/>
  <c r="BP552" i="1"/>
  <c r="Y553" i="1"/>
  <c r="Z556" i="1"/>
  <c r="BN556" i="1"/>
  <c r="BP556" i="1"/>
  <c r="Y559" i="1"/>
  <c r="Y564" i="1"/>
  <c r="AC575" i="1"/>
  <c r="Z562" i="1"/>
  <c r="Z563" i="1" s="1"/>
  <c r="BN562" i="1"/>
  <c r="BP562" i="1"/>
  <c r="Y563" i="1"/>
  <c r="Z519" i="1" l="1"/>
  <c r="Z212" i="1"/>
  <c r="Z128" i="1"/>
  <c r="Z121" i="1"/>
  <c r="Z95" i="1"/>
  <c r="Z74" i="1"/>
  <c r="Z558" i="1"/>
  <c r="Z491" i="1"/>
  <c r="Z453" i="1"/>
  <c r="Z401" i="1"/>
  <c r="Z337" i="1"/>
  <c r="Z319" i="1"/>
  <c r="Z304" i="1"/>
  <c r="Z247" i="1"/>
  <c r="Z241" i="1"/>
  <c r="Z233" i="1"/>
  <c r="Z187" i="1"/>
  <c r="Z168" i="1"/>
  <c r="Z156" i="1"/>
  <c r="Z138" i="1"/>
  <c r="Z113" i="1"/>
  <c r="Z102" i="1"/>
  <c r="Z85" i="1"/>
  <c r="Z55" i="1"/>
  <c r="Z46" i="1"/>
  <c r="Z395" i="1"/>
  <c r="Z378" i="1"/>
  <c r="Z288" i="1"/>
  <c r="Z535" i="1"/>
  <c r="Z525" i="1"/>
  <c r="Z67" i="1"/>
  <c r="Z31" i="1"/>
  <c r="Y569" i="1"/>
  <c r="Y566" i="1"/>
  <c r="Z273" i="1"/>
  <c r="Y565" i="1"/>
  <c r="Y567" i="1"/>
  <c r="Z434" i="1"/>
  <c r="Z420" i="1"/>
  <c r="Z408" i="1"/>
  <c r="Z345" i="1"/>
  <c r="Z330" i="1"/>
  <c r="Z570" i="1" l="1"/>
  <c r="Y568" i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<sst xmlns="http://schemas.openxmlformats.org/spreadsheetml/2006/main" count="2535" uniqueCount="913">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</sst>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1020</v>
      </c>
      <c r="Y51" s="636">
        <f>IFERROR(IF(X51="",0,CEILING((X51/$H51),1)*$H51),"")</f>
        <v>1026</v>
      </c>
      <c r="Z51" s="36">
        <f>IFERROR(IF(Y51=0,"",ROUNDUP(Y51/H51,0)*0.01898),"")</f>
        <v>1.8030999999999999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1058.7222222222222</v>
      </c>
      <c r="BN51" s="64">
        <f>IFERROR(Y51*I51/H51,"0")</f>
        <v>1064.95</v>
      </c>
      <c r="BO51" s="64">
        <f>IFERROR(1/J51*(X51/H51),"0")</f>
        <v>1.4756944444444444</v>
      </c>
      <c r="BP51" s="64">
        <f>IFERROR(1/J51*(Y51/H51),"0")</f>
        <v>1.484375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94.444444444444443</v>
      </c>
      <c r="Y55" s="637">
        <f>IFERROR(Y51/H51,"0")+IFERROR(Y52/H52,"0")+IFERROR(Y53/H53,"0")+IFERROR(Y54/H54,"0")</f>
        <v>95</v>
      </c>
      <c r="Z55" s="637">
        <f>IFERROR(IF(Z51="",0,Z51),"0")+IFERROR(IF(Z52="",0,Z52),"0")+IFERROR(IF(Z53="",0,Z53),"0")+IFERROR(IF(Z54="",0,Z54),"0")</f>
        <v>1.8030999999999999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1020</v>
      </c>
      <c r="Y56" s="637">
        <f>IFERROR(SUM(Y51:Y54),"0")</f>
        <v>1026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140</v>
      </c>
      <c r="Y66" s="636">
        <f t="shared" si="0"/>
        <v>144</v>
      </c>
      <c r="Z66" s="36">
        <f>IFERROR(IF(Y66=0,"",ROUNDUP(Y66/H66,0)*0.00902),"")</f>
        <v>0.28864000000000001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145.91111111111113</v>
      </c>
      <c r="BN66" s="64">
        <f t="shared" si="2"/>
        <v>150.08000000000001</v>
      </c>
      <c r="BO66" s="64">
        <f t="shared" si="3"/>
        <v>0.2356902356902357</v>
      </c>
      <c r="BP66" s="64">
        <f t="shared" si="4"/>
        <v>0.24242424242424243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31.111111111111111</v>
      </c>
      <c r="Y67" s="637">
        <f>IFERROR(Y59/H59,"0")+IFERROR(Y60/H60,"0")+IFERROR(Y61/H61,"0")+IFERROR(Y62/H62,"0")+IFERROR(Y63/H63,"0")+IFERROR(Y64/H64,"0")+IFERROR(Y65/H65,"0")+IFERROR(Y66/H66,"0")</f>
        <v>32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0.28864000000000001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140</v>
      </c>
      <c r="Y68" s="637">
        <f>IFERROR(SUM(Y59:Y66),"0")</f>
        <v>144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102</v>
      </c>
      <c r="Y94" s="636">
        <f t="shared" si="5"/>
        <v>103.5</v>
      </c>
      <c r="Z94" s="36">
        <f>IFERROR(IF(Y94=0,"",ROUNDUP(Y94/H94,0)*0.00902),"")</f>
        <v>0.20746000000000001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106.30666666666667</v>
      </c>
      <c r="BN94" s="64">
        <f t="shared" si="7"/>
        <v>107.87</v>
      </c>
      <c r="BO94" s="64">
        <f t="shared" si="8"/>
        <v>0.17171717171717174</v>
      </c>
      <c r="BP94" s="64">
        <f t="shared" si="9"/>
        <v>0.17424242424242425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22.666666666666668</v>
      </c>
      <c r="Y95" s="637">
        <f>IFERROR(Y89/H89,"0")+IFERROR(Y90/H90,"0")+IFERROR(Y91/H91,"0")+IFERROR(Y92/H92,"0")+IFERROR(Y93/H93,"0")+IFERROR(Y94/H94,"0")</f>
        <v>23</v>
      </c>
      <c r="Z95" s="637">
        <f>IFERROR(IF(Z89="",0,Z89),"0")+IFERROR(IF(Z90="",0,Z90),"0")+IFERROR(IF(Z91="",0,Z91),"0")+IFERROR(IF(Z92="",0,Z92),"0")+IFERROR(IF(Z93="",0,Z93),"0")+IFERROR(IF(Z94="",0,Z94),"0")</f>
        <v>0.20746000000000001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102</v>
      </c>
      <c r="Y96" s="637">
        <f>IFERROR(SUM(Y89:Y94),"0")</f>
        <v>103.5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643</v>
      </c>
      <c r="Y98" s="636">
        <f>IFERROR(IF(X98="",0,CEILING((X98/$H98),1)*$H98),"")</f>
        <v>648</v>
      </c>
      <c r="Z98" s="36">
        <f>IFERROR(IF(Y98=0,"",ROUNDUP(Y98/H98,0)*0.01898),"")</f>
        <v>1.5184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682.21506172839509</v>
      </c>
      <c r="BN98" s="64">
        <f>IFERROR(Y98*I98/H98,"0")</f>
        <v>687.52</v>
      </c>
      <c r="BO98" s="64">
        <f>IFERROR(1/J98*(X98/H98),"0")</f>
        <v>1.240354938271605</v>
      </c>
      <c r="BP98" s="64">
        <f>IFERROR(1/J98*(Y98/H98),"0")</f>
        <v>1.25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198</v>
      </c>
      <c r="Y100" s="636">
        <f>IFERROR(IF(X100="",0,CEILING((X100/$H100),1)*$H100),"")</f>
        <v>199.8</v>
      </c>
      <c r="Z100" s="36">
        <f>IFERROR(IF(Y100=0,"",ROUNDUP(Y100/H100,0)*0.00651),"")</f>
        <v>0.48174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216.48</v>
      </c>
      <c r="BN100" s="64">
        <f>IFERROR(Y100*I100/H100,"0")</f>
        <v>218.44800000000001</v>
      </c>
      <c r="BO100" s="64">
        <f>IFERROR(1/J100*(X100/H100),"0")</f>
        <v>0.40293040293040294</v>
      </c>
      <c r="BP100" s="64">
        <f>IFERROR(1/J100*(Y100/H100),"0")</f>
        <v>0.40659340659340665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152.71604938271605</v>
      </c>
      <c r="Y102" s="637">
        <f>IFERROR(Y98/H98,"0")+IFERROR(Y99/H99,"0")+IFERROR(Y100/H100,"0")+IFERROR(Y101/H101,"0")</f>
        <v>154</v>
      </c>
      <c r="Z102" s="637">
        <f>IFERROR(IF(Z98="",0,Z98),"0")+IFERROR(IF(Z99="",0,Z99),"0")+IFERROR(IF(Z100="",0,Z100),"0")+IFERROR(IF(Z101="",0,Z101),"0")</f>
        <v>2.00014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841</v>
      </c>
      <c r="Y103" s="637">
        <f>IFERROR(SUM(Y98:Y101),"0")</f>
        <v>847.8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1209</v>
      </c>
      <c r="Y124" s="636">
        <f>IFERROR(IF(X124="",0,CEILING((X124/$H124),1)*$H124),"")</f>
        <v>1215</v>
      </c>
      <c r="Z124" s="36">
        <f>IFERROR(IF(Y124=0,"",ROUNDUP(Y124/H124,0)*0.01898),"")</f>
        <v>2.847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1281.8385185185186</v>
      </c>
      <c r="BN124" s="64">
        <f>IFERROR(Y124*I124/H124,"0")</f>
        <v>1288.1999999999998</v>
      </c>
      <c r="BO124" s="64">
        <f>IFERROR(1/J124*(X124/H124),"0")</f>
        <v>2.332175925925926</v>
      </c>
      <c r="BP124" s="64">
        <f>IFERROR(1/J124*(Y124/H124),"0")</f>
        <v>2.34375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744</v>
      </c>
      <c r="Y126" s="636">
        <f>IFERROR(IF(X126="",0,CEILING((X126/$H126),1)*$H126),"")</f>
        <v>745.2</v>
      </c>
      <c r="Z126" s="36">
        <f>IFERROR(IF(Y126=0,"",ROUNDUP(Y126/H126,0)*0.00651),"")</f>
        <v>1.7967600000000001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813.43999999999994</v>
      </c>
      <c r="BN126" s="64">
        <f>IFERROR(Y126*I126/H126,"0")</f>
        <v>814.75200000000007</v>
      </c>
      <c r="BO126" s="64">
        <f>IFERROR(1/J126*(X126/H126),"0")</f>
        <v>1.514041514041514</v>
      </c>
      <c r="BP126" s="64">
        <f>IFERROR(1/J126*(Y126/H126),"0")</f>
        <v>1.5164835164835166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424.81481481481478</v>
      </c>
      <c r="Y128" s="637">
        <f>IFERROR(Y124/H124,"0")+IFERROR(Y125/H125,"0")+IFERROR(Y126/H126,"0")+IFERROR(Y127/H127,"0")</f>
        <v>426</v>
      </c>
      <c r="Z128" s="637">
        <f>IFERROR(IF(Z124="",0,Z124),"0")+IFERROR(IF(Z125="",0,Z125),"0")+IFERROR(IF(Z126="",0,Z126),"0")+IFERROR(IF(Z127="",0,Z127),"0")</f>
        <v>4.6437600000000003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1953</v>
      </c>
      <c r="Y129" s="637">
        <f>IFERROR(SUM(Y124:Y127),"0")</f>
        <v>1960.2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363</v>
      </c>
      <c r="Y180" s="636">
        <f t="shared" si="15"/>
        <v>364</v>
      </c>
      <c r="Z180" s="36">
        <f>IFERROR(IF(Y180=0,"",ROUNDUP(Y180/H180,0)*0.00902),"")</f>
        <v>0.93808000000000002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382.70571428571429</v>
      </c>
      <c r="BN180" s="64">
        <f t="shared" si="17"/>
        <v>383.76000000000005</v>
      </c>
      <c r="BO180" s="64">
        <f t="shared" si="18"/>
        <v>0.7857142857142857</v>
      </c>
      <c r="BP180" s="64">
        <f t="shared" si="19"/>
        <v>0.78787878787878785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72</v>
      </c>
      <c r="Y186" s="636">
        <f t="shared" si="15"/>
        <v>72.239999999999995</v>
      </c>
      <c r="Z186" s="36">
        <f>IFERROR(IF(Y186=0,"",ROUNDUP(Y186/H186,0)*0.00502),"")</f>
        <v>0.21586</v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76.285714285714292</v>
      </c>
      <c r="BN186" s="64">
        <f t="shared" si="17"/>
        <v>76.540000000000006</v>
      </c>
      <c r="BO186" s="64">
        <f t="shared" si="18"/>
        <v>0.18315018315018319</v>
      </c>
      <c r="BP186" s="64">
        <f t="shared" si="19"/>
        <v>0.18376068376068377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146.57142857142856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147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1.15394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435</v>
      </c>
      <c r="Y188" s="637">
        <f>IFERROR(SUM(Y176:Y186),"0")</f>
        <v>436.24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12</v>
      </c>
      <c r="Y223" s="636">
        <f t="shared" si="26"/>
        <v>12</v>
      </c>
      <c r="Z223" s="36">
        <f>IFERROR(IF(Y223=0,"",ROUNDUP(Y223/H223,0)*0.00556),"")</f>
        <v>8.3400000000000002E-2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13.95</v>
      </c>
      <c r="BN223" s="64">
        <f t="shared" si="28"/>
        <v>13.95</v>
      </c>
      <c r="BO223" s="64">
        <f t="shared" si="29"/>
        <v>6.4102564102564111E-2</v>
      </c>
      <c r="BP223" s="64">
        <f t="shared" si="30"/>
        <v>6.4102564102564111E-2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8.3400000000000002E-2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12</v>
      </c>
      <c r="Y234" s="637">
        <f>IFERROR(SUM(Y220:Y232),"0")</f>
        <v>12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hidden="1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0</v>
      </c>
      <c r="Y273" s="637">
        <f>IFERROR(Y265/H265,"0")+IFERROR(Y266/H266,"0")+IFERROR(Y267/H267,"0")+IFERROR(Y268/H268,"0")+IFERROR(Y269/H269,"0")+IFERROR(Y270/H270,"0")+IFERROR(Y271/H271,"0")+IFERROR(Y272/H272,"0")</f>
        <v>0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38"/>
      <c r="AB273" s="638"/>
      <c r="AC273" s="638"/>
    </row>
    <row r="274" spans="1:68" hidden="1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0</v>
      </c>
      <c r="Y274" s="637">
        <f>IFERROR(SUM(Y265:Y272),"0")</f>
        <v>0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138</v>
      </c>
      <c r="Y278" s="636">
        <f t="shared" si="36"/>
        <v>145.79999999999998</v>
      </c>
      <c r="Z278" s="36">
        <f>IFERROR(IF(Y278=0,"",ROUNDUP(Y278/H278,0)*0.01898),"")</f>
        <v>0.34164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146.10962962962964</v>
      </c>
      <c r="BN278" s="64">
        <f t="shared" si="38"/>
        <v>154.36799999999999</v>
      </c>
      <c r="BO278" s="64">
        <f t="shared" si="39"/>
        <v>0.26620370370370372</v>
      </c>
      <c r="BP278" s="64">
        <f t="shared" si="40"/>
        <v>0.28125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96</v>
      </c>
      <c r="Y280" s="636">
        <f t="shared" si="36"/>
        <v>96</v>
      </c>
      <c r="Z280" s="36">
        <f>IFERROR(IF(Y280=0,"",ROUNDUP(Y280/H280,0)*0.00651),"")</f>
        <v>0.26040000000000002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106.8</v>
      </c>
      <c r="BN280" s="64">
        <f t="shared" si="38"/>
        <v>106.8</v>
      </c>
      <c r="BO280" s="64">
        <f t="shared" si="39"/>
        <v>0.2197802197802198</v>
      </c>
      <c r="BP280" s="64">
        <f t="shared" si="40"/>
        <v>0.2197802197802198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534</v>
      </c>
      <c r="Y282" s="636">
        <f t="shared" si="36"/>
        <v>535.19999999999993</v>
      </c>
      <c r="Z282" s="36">
        <f>IFERROR(IF(Y282=0,"",ROUNDUP(Y282/H282,0)*0.00651),"")</f>
        <v>1.45173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590.07000000000005</v>
      </c>
      <c r="BN282" s="64">
        <f t="shared" si="38"/>
        <v>591.39599999999996</v>
      </c>
      <c r="BO282" s="64">
        <f t="shared" si="39"/>
        <v>1.2225274725274726</v>
      </c>
      <c r="BP282" s="64">
        <f t="shared" si="40"/>
        <v>1.2252747252747251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150</v>
      </c>
      <c r="Y284" s="636">
        <f t="shared" si="36"/>
        <v>151.19999999999999</v>
      </c>
      <c r="Z284" s="36">
        <f>IFERROR(IF(Y284=0,"",ROUNDUP(Y284/H284,0)*0.00651),"")</f>
        <v>0.41012999999999999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165.75</v>
      </c>
      <c r="BN284" s="64">
        <f t="shared" si="38"/>
        <v>167.07599999999999</v>
      </c>
      <c r="BO284" s="64">
        <f t="shared" si="39"/>
        <v>0.34340659340659341</v>
      </c>
      <c r="BP284" s="64">
        <f t="shared" si="40"/>
        <v>0.3461538461538462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139</v>
      </c>
      <c r="Y286" s="636">
        <f t="shared" si="36"/>
        <v>139.19999999999999</v>
      </c>
      <c r="Z286" s="36">
        <f>IFERROR(IF(Y286=0,"",ROUNDUP(Y286/H286,0)*0.00651),"")</f>
        <v>0.37758000000000003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153.9425</v>
      </c>
      <c r="BN286" s="64">
        <f t="shared" si="38"/>
        <v>154.16399999999999</v>
      </c>
      <c r="BO286" s="64">
        <f t="shared" si="39"/>
        <v>0.31822344322344326</v>
      </c>
      <c r="BP286" s="64">
        <f t="shared" si="40"/>
        <v>0.31868131868131871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399.95370370370375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402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2.8414800000000002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1057</v>
      </c>
      <c r="Y289" s="637">
        <f>IFERROR(SUM(Y276:Y287),"0")</f>
        <v>1067.3999999999999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97</v>
      </c>
      <c r="Y335" s="636">
        <f>IFERROR(IF(X335="",0,CEILING((X335/$H335),1)*$H335),"")</f>
        <v>98.399999999999991</v>
      </c>
      <c r="Z335" s="36">
        <f>IFERROR(IF(Y335=0,"",ROUNDUP(Y335/H335,0)*0.00651),"")</f>
        <v>0.26690999999999998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107.18500000000002</v>
      </c>
      <c r="BN335" s="64">
        <f>IFERROR(Y335*I335/H335,"0")</f>
        <v>108.732</v>
      </c>
      <c r="BO335" s="64">
        <f>IFERROR(1/J335*(X335/H335),"0")</f>
        <v>0.22206959706959711</v>
      </c>
      <c r="BP335" s="64">
        <f>IFERROR(1/J335*(Y335/H335),"0")</f>
        <v>0.22527472527472528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225</v>
      </c>
      <c r="Y336" s="636">
        <f>IFERROR(IF(X336="",0,CEILING((X336/$H336),1)*$H336),"")</f>
        <v>225.6</v>
      </c>
      <c r="Z336" s="36">
        <f>IFERROR(IF(Y336=0,"",ROUNDUP(Y336/H336,0)*0.00651),"")</f>
        <v>0.61194000000000004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241.875</v>
      </c>
      <c r="BN336" s="64">
        <f>IFERROR(Y336*I336/H336,"0")</f>
        <v>242.52</v>
      </c>
      <c r="BO336" s="64">
        <f>IFERROR(1/J336*(X336/H336),"0")</f>
        <v>0.51510989010989017</v>
      </c>
      <c r="BP336" s="64">
        <f>IFERROR(1/J336*(Y336/H336),"0")</f>
        <v>0.51648351648351654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134.16666666666669</v>
      </c>
      <c r="Y337" s="637">
        <f>IFERROR(Y334/H334,"0")+IFERROR(Y335/H335,"0")+IFERROR(Y336/H336,"0")</f>
        <v>135</v>
      </c>
      <c r="Z337" s="637">
        <f>IFERROR(IF(Z334="",0,Z334),"0")+IFERROR(IF(Z335="",0,Z335),"0")+IFERROR(IF(Z336="",0,Z336),"0")</f>
        <v>0.87885000000000002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322</v>
      </c>
      <c r="Y338" s="637">
        <f>IFERROR(SUM(Y334:Y336),"0")</f>
        <v>324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373</v>
      </c>
      <c r="Y365" s="636">
        <f>IFERROR(IF(X365="",0,CEILING((X365/$H365),1)*$H365),"")</f>
        <v>374.4</v>
      </c>
      <c r="Z365" s="36">
        <f>IFERROR(IF(Y365=0,"",ROUNDUP(Y365/H365,0)*0.01898),"")</f>
        <v>0.91104000000000007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392.6064102564103</v>
      </c>
      <c r="BN365" s="64">
        <f>IFERROR(Y365*I365/H365,"0")</f>
        <v>394.08000000000004</v>
      </c>
      <c r="BO365" s="64">
        <f>IFERROR(1/J365*(X365/H365),"0")</f>
        <v>0.74719551282051289</v>
      </c>
      <c r="BP365" s="64">
        <f>IFERROR(1/J365*(Y365/H365),"0")</f>
        <v>0.75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47.820512820512825</v>
      </c>
      <c r="Y367" s="637">
        <f>IFERROR(Y364/H364,"0")+IFERROR(Y365/H365,"0")+IFERROR(Y366/H366,"0")</f>
        <v>48</v>
      </c>
      <c r="Z367" s="637">
        <f>IFERROR(IF(Z364="",0,Z364),"0")+IFERROR(IF(Z365="",0,Z365),"0")+IFERROR(IF(Z366="",0,Z366),"0")</f>
        <v>0.91104000000000007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373</v>
      </c>
      <c r="Y368" s="637">
        <f>IFERROR(SUM(Y364:Y366),"0")</f>
        <v>374.4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393</v>
      </c>
      <c r="Y399" s="636">
        <f>IFERROR(IF(X399="",0,CEILING((X399/$H399),1)*$H399),"")</f>
        <v>397.8</v>
      </c>
      <c r="Z399" s="36">
        <f>IFERROR(IF(Y399=0,"",ROUNDUP(Y399/H399,0)*0.01898),"")</f>
        <v>0.96798000000000006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417.89000000000004</v>
      </c>
      <c r="BN399" s="64">
        <f>IFERROR(Y399*I399/H399,"0")</f>
        <v>422.99400000000009</v>
      </c>
      <c r="BO399" s="64">
        <f>IFERROR(1/J399*(X399/H399),"0")</f>
        <v>0.78725961538461542</v>
      </c>
      <c r="BP399" s="64">
        <f>IFERROR(1/J399*(Y399/H399),"0")</f>
        <v>0.796875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50.384615384615387</v>
      </c>
      <c r="Y401" s="637">
        <f>IFERROR(Y398/H398,"0")+IFERROR(Y399/H399,"0")+IFERROR(Y400/H400,"0")</f>
        <v>51</v>
      </c>
      <c r="Z401" s="637">
        <f>IFERROR(IF(Z398="",0,Z398),"0")+IFERROR(IF(Z399="",0,Z399),"0")+IFERROR(IF(Z400="",0,Z400),"0")</f>
        <v>0.96798000000000006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393</v>
      </c>
      <c r="Y402" s="637">
        <f>IFERROR(SUM(Y398:Y400),"0")</f>
        <v>397.8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1925</v>
      </c>
      <c r="Y440" s="636">
        <f t="shared" si="61"/>
        <v>1935</v>
      </c>
      <c r="Z440" s="36">
        <f>IFERROR(IF(Y440=0,"",ROUNDUP(Y440/H440,0)*0.02175),"")</f>
        <v>2.8057499999999997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1985.3166666666666</v>
      </c>
      <c r="BN440" s="64">
        <f t="shared" si="63"/>
        <v>1995.63</v>
      </c>
      <c r="BO440" s="64">
        <f t="shared" si="64"/>
        <v>2.6736111111111112</v>
      </c>
      <c r="BP440" s="64">
        <f t="shared" si="65"/>
        <v>2.6875</v>
      </c>
    </row>
    <row r="441" spans="1:68" ht="27" hidden="1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0</v>
      </c>
      <c r="Y441" s="636">
        <f t="shared" si="61"/>
        <v>0</v>
      </c>
      <c r="Z441" s="36" t="str">
        <f>IFERROR(IF(Y441=0,"",ROUNDUP(Y441/H441,0)*0.02175),"")</f>
        <v/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0</v>
      </c>
      <c r="BN441" s="64">
        <f t="shared" si="63"/>
        <v>0</v>
      </c>
      <c r="BO441" s="64">
        <f t="shared" si="64"/>
        <v>0</v>
      </c>
      <c r="BP441" s="64">
        <f t="shared" si="65"/>
        <v>0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1196</v>
      </c>
      <c r="Y442" s="636">
        <f t="shared" si="61"/>
        <v>1200</v>
      </c>
      <c r="Z442" s="36">
        <f>IFERROR(IF(Y442=0,"",ROUNDUP(Y442/H442,0)*0.02175),"")</f>
        <v>1.7399999999999998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1233.4746666666665</v>
      </c>
      <c r="BN442" s="64">
        <f t="shared" si="63"/>
        <v>1237.5999999999999</v>
      </c>
      <c r="BO442" s="64">
        <f t="shared" si="64"/>
        <v>1.661111111111111</v>
      </c>
      <c r="BP442" s="64">
        <f t="shared" si="65"/>
        <v>1.6666666666666665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960</v>
      </c>
      <c r="Y443" s="636">
        <f t="shared" si="61"/>
        <v>960</v>
      </c>
      <c r="Z443" s="36">
        <f>IFERROR(IF(Y443=0,"",ROUNDUP(Y443/H443,0)*0.02175),"")</f>
        <v>1.3919999999999999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990.08</v>
      </c>
      <c r="BN443" s="64">
        <f t="shared" si="63"/>
        <v>990.08</v>
      </c>
      <c r="BO443" s="64">
        <f t="shared" si="64"/>
        <v>1.3333333333333333</v>
      </c>
      <c r="BP443" s="64">
        <f t="shared" si="65"/>
        <v>1.3333333333333333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272.06666666666666</v>
      </c>
      <c r="Y447" s="637">
        <f>IFERROR(Y439/H439,"0")+IFERROR(Y440/H440,"0")+IFERROR(Y441/H441,"0")+IFERROR(Y442/H442,"0")+IFERROR(Y443/H443,"0")+IFERROR(Y444/H444,"0")+IFERROR(Y445/H445,"0")+IFERROR(Y446/H446,"0")</f>
        <v>273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5.9377499999999994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4081</v>
      </c>
      <c r="Y448" s="637">
        <f>IFERROR(SUM(Y439:Y446),"0")</f>
        <v>4095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718</v>
      </c>
      <c r="Y450" s="636">
        <f>IFERROR(IF(X450="",0,CEILING((X450/$H450),1)*$H450),"")</f>
        <v>720</v>
      </c>
      <c r="Z450" s="36">
        <f>IFERROR(IF(Y450=0,"",ROUNDUP(Y450/H450,0)*0.02175),"")</f>
        <v>1.044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740.49733333333336</v>
      </c>
      <c r="BN450" s="64">
        <f>IFERROR(Y450*I450/H450,"0")</f>
        <v>742.56</v>
      </c>
      <c r="BO450" s="64">
        <f>IFERROR(1/J450*(X450/H450),"0")</f>
        <v>0.99722222222222223</v>
      </c>
      <c r="BP450" s="64">
        <f>IFERROR(1/J450*(Y450/H450),"0")</f>
        <v>1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47.866666666666667</v>
      </c>
      <c r="Y453" s="637">
        <f>IFERROR(Y450/H450,"0")+IFERROR(Y451/H451,"0")+IFERROR(Y452/H452,"0")</f>
        <v>48</v>
      </c>
      <c r="Z453" s="637">
        <f>IFERROR(IF(Z450="",0,Z450),"0")+IFERROR(IF(Z451="",0,Z451),"0")+IFERROR(IF(Z452="",0,Z452),"0")</f>
        <v>1.044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718</v>
      </c>
      <c r="Y454" s="637">
        <f>IFERROR(SUM(Y450:Y452),"0")</f>
        <v>720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1525</v>
      </c>
      <c r="Y477" s="636">
        <f>IFERROR(IF(X477="",0,CEILING((X477/$H477),1)*$H477),"")</f>
        <v>1530</v>
      </c>
      <c r="Z477" s="36">
        <f>IFERROR(IF(Y477=0,"",ROUNDUP(Y477/H477,0)*0.01898),"")</f>
        <v>3.2265999999999999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1608.7055555555555</v>
      </c>
      <c r="BN477" s="64">
        <f>IFERROR(Y477*I477/H477,"0")</f>
        <v>1613.98</v>
      </c>
      <c r="BO477" s="64">
        <f>IFERROR(1/J477*(X477/H477),"0")</f>
        <v>2.6475694444444446</v>
      </c>
      <c r="BP477" s="64">
        <f>IFERROR(1/J477*(Y477/H477),"0")</f>
        <v>2.65625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169.44444444444446</v>
      </c>
      <c r="Y480" s="637">
        <f>IFERROR(Y477/H477,"0")+IFERROR(Y478/H478,"0")+IFERROR(Y479/H479,"0")</f>
        <v>170</v>
      </c>
      <c r="Z480" s="637">
        <f>IFERROR(IF(Z477="",0,Z477),"0")+IFERROR(IF(Z478="",0,Z478),"0")+IFERROR(IF(Z479="",0,Z479),"0")</f>
        <v>3.2265999999999999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1525</v>
      </c>
      <c r="Y481" s="637">
        <f>IFERROR(SUM(Y477:Y479),"0")</f>
        <v>1530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1412</v>
      </c>
      <c r="Y514" s="636">
        <f t="shared" si="71"/>
        <v>1415.04</v>
      </c>
      <c r="Z514" s="36">
        <f>IFERROR(IF(Y514=0,"",ROUNDUP(Y514/H514,0)*0.01196),"")</f>
        <v>3.2052800000000001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1505.5984848484848</v>
      </c>
      <c r="BN514" s="64">
        <f t="shared" si="73"/>
        <v>1508.84</v>
      </c>
      <c r="BO514" s="64">
        <f t="shared" si="74"/>
        <v>2.5713869463869465</v>
      </c>
      <c r="BP514" s="64">
        <f t="shared" si="75"/>
        <v>2.5769230769230771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550</v>
      </c>
      <c r="Y515" s="636">
        <f t="shared" si="71"/>
        <v>554.4</v>
      </c>
      <c r="Z515" s="36">
        <f>IFERROR(IF(Y515=0,"",ROUNDUP(Y515/H515,0)*0.01196),"")</f>
        <v>1.2558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586.45833333333326</v>
      </c>
      <c r="BN515" s="64">
        <f t="shared" si="73"/>
        <v>591.15</v>
      </c>
      <c r="BO515" s="64">
        <f t="shared" si="74"/>
        <v>1.0016025641025641</v>
      </c>
      <c r="BP515" s="64">
        <f t="shared" si="75"/>
        <v>1.0096153846153846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371.59090909090912</v>
      </c>
      <c r="Y519" s="637">
        <f>IFERROR(Y511/H511,"0")+IFERROR(Y512/H512,"0")+IFERROR(Y513/H513,"0")+IFERROR(Y514/H514,"0")+IFERROR(Y515/H515,"0")+IFERROR(Y516/H516,"0")+IFERROR(Y517/H517,"0")+IFERROR(Y518/H518,"0")</f>
        <v>373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4.4610799999999999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1962</v>
      </c>
      <c r="Y520" s="637">
        <f>IFERROR(SUM(Y511:Y518),"0")</f>
        <v>1969.44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770</v>
      </c>
      <c r="Y522" s="636">
        <f>IFERROR(IF(X522="",0,CEILING((X522/$H522),1)*$H522),"")</f>
        <v>770.88</v>
      </c>
      <c r="Z522" s="36">
        <f>IFERROR(IF(Y522=0,"",ROUNDUP(Y522/H522,0)*0.01196),"")</f>
        <v>1.7461599999999999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821.04166666666674</v>
      </c>
      <c r="BN522" s="64">
        <f>IFERROR(Y522*I522/H522,"0")</f>
        <v>821.9799999999999</v>
      </c>
      <c r="BO522" s="64">
        <f>IFERROR(1/J522*(X522/H522),"0")</f>
        <v>1.4022435897435896</v>
      </c>
      <c r="BP522" s="64">
        <f>IFERROR(1/J522*(Y522/H522),"0")</f>
        <v>1.403846153846154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145.83333333333331</v>
      </c>
      <c r="Y525" s="637">
        <f>IFERROR(Y522/H522,"0")+IFERROR(Y523/H523,"0")+IFERROR(Y524/H524,"0")</f>
        <v>146</v>
      </c>
      <c r="Z525" s="637">
        <f>IFERROR(IF(Z522="",0,Z522),"0")+IFERROR(IF(Z523="",0,Z523),"0")+IFERROR(IF(Z524="",0,Z524),"0")</f>
        <v>1.7461599999999999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770</v>
      </c>
      <c r="Y526" s="637">
        <f>IFERROR(SUM(Y522:Y524),"0")</f>
        <v>770.88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413</v>
      </c>
      <c r="Y529" s="636">
        <f t="shared" si="76"/>
        <v>417.12</v>
      </c>
      <c r="Z529" s="36">
        <f>IFERROR(IF(Y529=0,"",ROUNDUP(Y529/H529,0)*0.01196),"")</f>
        <v>0.94484000000000001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440.37689393939394</v>
      </c>
      <c r="BN529" s="64">
        <f t="shared" si="78"/>
        <v>444.77</v>
      </c>
      <c r="BO529" s="64">
        <f t="shared" si="79"/>
        <v>0.75211247086247091</v>
      </c>
      <c r="BP529" s="64">
        <f t="shared" si="80"/>
        <v>0.75961538461538469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1540</v>
      </c>
      <c r="Y530" s="636">
        <f t="shared" si="76"/>
        <v>1541.76</v>
      </c>
      <c r="Z530" s="36">
        <f>IFERROR(IF(Y530=0,"",ROUNDUP(Y530/H530,0)*0.01196),"")</f>
        <v>3.4923199999999999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1642.0833333333335</v>
      </c>
      <c r="BN530" s="64">
        <f t="shared" si="78"/>
        <v>1643.9599999999998</v>
      </c>
      <c r="BO530" s="64">
        <f t="shared" si="79"/>
        <v>2.8044871794871793</v>
      </c>
      <c r="BP530" s="64">
        <f t="shared" si="80"/>
        <v>2.8076923076923079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369.88636363636363</v>
      </c>
      <c r="Y535" s="637">
        <f>IFERROR(Y528/H528,"0")+IFERROR(Y529/H529,"0")+IFERROR(Y530/H530,"0")+IFERROR(Y531/H531,"0")+IFERROR(Y532/H532,"0")+IFERROR(Y533/H533,"0")+IFERROR(Y534/H534,"0")</f>
        <v>371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4.4371599999999995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1953</v>
      </c>
      <c r="Y536" s="637">
        <f>IFERROR(SUM(Y528:Y534),"0")</f>
        <v>1958.88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17657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17737.54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18653.716483047814</v>
      </c>
      <c r="Y566" s="637">
        <f>IFERROR(SUM(BN22:BN562),"0")</f>
        <v>18738.75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31</v>
      </c>
      <c r="Y567" s="38">
        <f>ROUNDUP(SUM(BP22:BP562),0)</f>
        <v>32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19428.716483047814</v>
      </c>
      <c r="Y568" s="637">
        <f>GrossWeightTotalR+PalletQtyTotalR*25</f>
        <v>19538.75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2896.3383974050644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2909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36.632539999999999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1026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144</v>
      </c>
      <c r="F575" s="46">
        <f>IFERROR(Y89*1,"0")+IFERROR(Y90*1,"0")+IFERROR(Y91*1,"0")+IFERROR(Y92*1,"0")+IFERROR(Y93*1,"0")+IFERROR(Y94*1,"0")+IFERROR(Y98*1,"0")+IFERROR(Y99*1,"0")+IFERROR(Y100*1,"0")+IFERROR(Y101*1,"0")</f>
        <v>951.3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1960.2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436.24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12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1067.3999999999999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324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374.4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397.8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4815</v>
      </c>
      <c r="Y575" s="46">
        <f>IFERROR(Y468*1,"0")+IFERROR(Y469*1,"0")+IFERROR(Y473*1,"0")+IFERROR(Y477*1,"0")+IFERROR(Y478*1,"0")+IFERROR(Y479*1,"0")</f>
        <v>1530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4699.2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057,00"/>
        <filter val="1 196,00"/>
        <filter val="1 209,00"/>
        <filter val="1 412,00"/>
        <filter val="1 525,00"/>
        <filter val="1 540,00"/>
        <filter val="1 925,00"/>
        <filter val="1 953,00"/>
        <filter val="1 962,00"/>
        <filter val="102,00"/>
        <filter val="12,00"/>
        <filter val="134,17"/>
        <filter val="138,00"/>
        <filter val="139,00"/>
        <filter val="140,00"/>
        <filter val="145,83"/>
        <filter val="146,57"/>
        <filter val="15,00"/>
        <filter val="150,00"/>
        <filter val="152,72"/>
        <filter val="169,44"/>
        <filter val="17 657,00"/>
        <filter val="18 653,72"/>
        <filter val="19 428,72"/>
        <filter val="198,00"/>
        <filter val="2 896,34"/>
        <filter val="22,67"/>
        <filter val="225,00"/>
        <filter val="272,07"/>
        <filter val="31"/>
        <filter val="31,11"/>
        <filter val="322,00"/>
        <filter val="363,00"/>
        <filter val="369,89"/>
        <filter val="371,59"/>
        <filter val="373,00"/>
        <filter val="393,00"/>
        <filter val="399,95"/>
        <filter val="4 081,00"/>
        <filter val="413,00"/>
        <filter val="424,81"/>
        <filter val="435,00"/>
        <filter val="47,82"/>
        <filter val="47,87"/>
        <filter val="50,38"/>
        <filter val="534,00"/>
        <filter val="550,00"/>
        <filter val="643,00"/>
        <filter val="718,00"/>
        <filter val="72,00"/>
        <filter val="744,00"/>
        <filter val="770,00"/>
        <filter val="841,00"/>
        <filter val="94,44"/>
        <filter val="96,00"/>
        <filter val="960,00"/>
        <filter val="97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