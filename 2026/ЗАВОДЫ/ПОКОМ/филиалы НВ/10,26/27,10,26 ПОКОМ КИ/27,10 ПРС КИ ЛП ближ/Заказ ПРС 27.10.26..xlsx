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7,10 ПРС КИ ЛП ближ\"/>
    </mc:Choice>
  </mc:AlternateContent>
  <xr:revisionPtr revIDLastSave="0" documentId="13_ncr:1_{E72EBB30-5973-4564-AE14-B57D1C5166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BN557" i="2" s="1"/>
  <c r="P557" i="2"/>
  <c r="BO556" i="2"/>
  <c r="BM556" i="2"/>
  <c r="Y556" i="2"/>
  <c r="Y559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N499" i="2" s="1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Z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Z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Y428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Y415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Z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Z366" i="2" s="1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P350" i="2" s="1"/>
  <c r="P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N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X320" i="2"/>
  <c r="X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Z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BN216" i="2" s="1"/>
  <c r="P216" i="2"/>
  <c r="X213" i="2"/>
  <c r="X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BN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Z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Z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Z131" i="2" s="1"/>
  <c r="Z132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N124" i="2" s="1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Y47" i="2" s="1"/>
  <c r="P41" i="2"/>
  <c r="X37" i="2"/>
  <c r="X36" i="2"/>
  <c r="BO35" i="2"/>
  <c r="BM35" i="2"/>
  <c r="Y35" i="2"/>
  <c r="Z35" i="2" s="1"/>
  <c r="P35" i="2"/>
  <c r="BO34" i="2"/>
  <c r="BM34" i="2"/>
  <c r="Y34" i="2"/>
  <c r="BP34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BP124" i="2" l="1"/>
  <c r="Z343" i="2"/>
  <c r="Z345" i="2" s="1"/>
  <c r="BN343" i="2"/>
  <c r="Z350" i="2"/>
  <c r="BN350" i="2"/>
  <c r="Z359" i="2"/>
  <c r="Z360" i="2" s="1"/>
  <c r="BP70" i="2"/>
  <c r="Z190" i="2"/>
  <c r="BP191" i="2"/>
  <c r="Z432" i="2"/>
  <c r="BN432" i="2"/>
  <c r="BP29" i="2"/>
  <c r="Z89" i="2"/>
  <c r="BN89" i="2"/>
  <c r="Z228" i="2"/>
  <c r="Z277" i="2"/>
  <c r="BN277" i="2"/>
  <c r="Z280" i="2"/>
  <c r="BN280" i="2"/>
  <c r="Z324" i="2"/>
  <c r="BN324" i="2"/>
  <c r="Z381" i="2"/>
  <c r="BN381" i="2"/>
  <c r="Z451" i="2"/>
  <c r="Z53" i="2"/>
  <c r="BN53" i="2"/>
  <c r="Z110" i="2"/>
  <c r="BN110" i="2"/>
  <c r="Z141" i="2"/>
  <c r="BN141" i="2"/>
  <c r="BP171" i="2"/>
  <c r="Z211" i="2"/>
  <c r="BN211" i="2"/>
  <c r="Y234" i="2"/>
  <c r="BP236" i="2"/>
  <c r="Y242" i="2"/>
  <c r="Z267" i="2"/>
  <c r="BN267" i="2"/>
  <c r="Z270" i="2"/>
  <c r="BN270" i="2"/>
  <c r="Z283" i="2"/>
  <c r="BN283" i="2"/>
  <c r="Z315" i="2"/>
  <c r="Z327" i="2"/>
  <c r="BN327" i="2"/>
  <c r="Z371" i="2"/>
  <c r="BN371" i="2"/>
  <c r="Z398" i="2"/>
  <c r="BN398" i="2"/>
  <c r="Z441" i="2"/>
  <c r="Y501" i="2"/>
  <c r="X567" i="2"/>
  <c r="Z61" i="2"/>
  <c r="BN61" i="2"/>
  <c r="Z73" i="2"/>
  <c r="Y80" i="2"/>
  <c r="Z84" i="2"/>
  <c r="Z85" i="2" s="1"/>
  <c r="Z99" i="2"/>
  <c r="BN99" i="2"/>
  <c r="Z120" i="2"/>
  <c r="BN120" i="2"/>
  <c r="Z153" i="2"/>
  <c r="BN153" i="2"/>
  <c r="Z165" i="2"/>
  <c r="BN165" i="2"/>
  <c r="Z176" i="2"/>
  <c r="Z179" i="2"/>
  <c r="BN179" i="2"/>
  <c r="BP181" i="2"/>
  <c r="Z206" i="2"/>
  <c r="BN206" i="2"/>
  <c r="Z221" i="2"/>
  <c r="BN221" i="2"/>
  <c r="Z224" i="2"/>
  <c r="BN224" i="2"/>
  <c r="BP226" i="2"/>
  <c r="Z232" i="2"/>
  <c r="BN232" i="2"/>
  <c r="Z238" i="2"/>
  <c r="Z260" i="2"/>
  <c r="BN260" i="2"/>
  <c r="Y274" i="2"/>
  <c r="Z282" i="2"/>
  <c r="BP287" i="2"/>
  <c r="Z302" i="2"/>
  <c r="Z316" i="2"/>
  <c r="BN316" i="2"/>
  <c r="Z326" i="2"/>
  <c r="Z335" i="2"/>
  <c r="BN335" i="2"/>
  <c r="Y361" i="2"/>
  <c r="Z374" i="2"/>
  <c r="Z385" i="2"/>
  <c r="BN385" i="2"/>
  <c r="Z391" i="2"/>
  <c r="BN391" i="2"/>
  <c r="Y402" i="2"/>
  <c r="Z417" i="2"/>
  <c r="BN417" i="2"/>
  <c r="Z424" i="2"/>
  <c r="BN424" i="2"/>
  <c r="BP424" i="2"/>
  <c r="Z439" i="2"/>
  <c r="Z442" i="2"/>
  <c r="BN442" i="2"/>
  <c r="Z452" i="2"/>
  <c r="BN452" i="2"/>
  <c r="Z479" i="2"/>
  <c r="Z480" i="2" s="1"/>
  <c r="BN479" i="2"/>
  <c r="Z488" i="2"/>
  <c r="BN488" i="2"/>
  <c r="Z494" i="2"/>
  <c r="Z495" i="2" s="1"/>
  <c r="BN494" i="2"/>
  <c r="BP494" i="2"/>
  <c r="Y495" i="2"/>
  <c r="Z499" i="2"/>
  <c r="Z500" i="2" s="1"/>
  <c r="Z557" i="2"/>
  <c r="Y36" i="2"/>
  <c r="Y37" i="2"/>
  <c r="BP63" i="2"/>
  <c r="BN91" i="2"/>
  <c r="BP91" i="2"/>
  <c r="BN101" i="2"/>
  <c r="BP101" i="2"/>
  <c r="BP107" i="2"/>
  <c r="BN112" i="2"/>
  <c r="BP112" i="2"/>
  <c r="BP117" i="2"/>
  <c r="Y121" i="2"/>
  <c r="BP127" i="2"/>
  <c r="BP184" i="2"/>
  <c r="Y201" i="2"/>
  <c r="BP208" i="2"/>
  <c r="BP229" i="2"/>
  <c r="BP239" i="2"/>
  <c r="BP255" i="2"/>
  <c r="BN255" i="2"/>
  <c r="Z255" i="2"/>
  <c r="X569" i="2"/>
  <c r="Z28" i="2"/>
  <c r="Z34" i="2"/>
  <c r="Z43" i="2"/>
  <c r="BN43" i="2"/>
  <c r="BN45" i="2"/>
  <c r="BP45" i="2"/>
  <c r="BP52" i="2"/>
  <c r="BP60" i="2"/>
  <c r="Z63" i="2"/>
  <c r="Z66" i="2"/>
  <c r="BN66" i="2"/>
  <c r="Z71" i="2"/>
  <c r="BN71" i="2"/>
  <c r="BP73" i="2"/>
  <c r="Y74" i="2"/>
  <c r="Y75" i="2"/>
  <c r="Z78" i="2"/>
  <c r="Z79" i="2" s="1"/>
  <c r="BN78" i="2"/>
  <c r="BP84" i="2"/>
  <c r="Z92" i="2"/>
  <c r="BN92" i="2"/>
  <c r="Y96" i="2"/>
  <c r="Z107" i="2"/>
  <c r="Z108" i="2"/>
  <c r="BN108" i="2"/>
  <c r="Z111" i="2"/>
  <c r="BN111" i="2"/>
  <c r="Z117" i="2"/>
  <c r="Z118" i="2"/>
  <c r="BN118" i="2"/>
  <c r="Z125" i="2"/>
  <c r="BN125" i="2"/>
  <c r="Z127" i="2"/>
  <c r="Z136" i="2"/>
  <c r="BN136" i="2"/>
  <c r="BP136" i="2"/>
  <c r="Y138" i="2"/>
  <c r="Y144" i="2"/>
  <c r="BP147" i="2"/>
  <c r="BN152" i="2"/>
  <c r="BN154" i="2"/>
  <c r="BP154" i="2"/>
  <c r="Z159" i="2"/>
  <c r="Z160" i="2" s="1"/>
  <c r="BN159" i="2"/>
  <c r="BP159" i="2"/>
  <c r="Y160" i="2"/>
  <c r="J575" i="2"/>
  <c r="BP164" i="2"/>
  <c r="Z167" i="2"/>
  <c r="BN167" i="2"/>
  <c r="Y168" i="2"/>
  <c r="Y169" i="2"/>
  <c r="Z172" i="2"/>
  <c r="BN172" i="2"/>
  <c r="Y173" i="2"/>
  <c r="Y174" i="2"/>
  <c r="BN177" i="2"/>
  <c r="BN180" i="2"/>
  <c r="BP180" i="2"/>
  <c r="Z182" i="2"/>
  <c r="BN182" i="2"/>
  <c r="BN183" i="2"/>
  <c r="Z184" i="2"/>
  <c r="Z185" i="2"/>
  <c r="BN185" i="2"/>
  <c r="Z199" i="2"/>
  <c r="Z200" i="2" s="1"/>
  <c r="BN199" i="2"/>
  <c r="BP199" i="2"/>
  <c r="Z207" i="2"/>
  <c r="BN207" i="2"/>
  <c r="Z208" i="2"/>
  <c r="Z209" i="2"/>
  <c r="BN209" i="2"/>
  <c r="Y212" i="2"/>
  <c r="BP216" i="2"/>
  <c r="Y217" i="2"/>
  <c r="Y218" i="2"/>
  <c r="Z227" i="2"/>
  <c r="BN227" i="2"/>
  <c r="Z229" i="2"/>
  <c r="Z230" i="2"/>
  <c r="BN230" i="2"/>
  <c r="Z237" i="2"/>
  <c r="BN237" i="2"/>
  <c r="BP237" i="2"/>
  <c r="Z239" i="2"/>
  <c r="Z240" i="2"/>
  <c r="BN240" i="2"/>
  <c r="Y241" i="2"/>
  <c r="Z244" i="2"/>
  <c r="BN244" i="2"/>
  <c r="BP246" i="2"/>
  <c r="BP261" i="2"/>
  <c r="BN261" i="2"/>
  <c r="Z261" i="2"/>
  <c r="BN265" i="2"/>
  <c r="BN272" i="2"/>
  <c r="Z272" i="2"/>
  <c r="BN281" i="2"/>
  <c r="BP292" i="2"/>
  <c r="BP299" i="2"/>
  <c r="BP303" i="2"/>
  <c r="Y352" i="2"/>
  <c r="BN365" i="2"/>
  <c r="BP365" i="2"/>
  <c r="BN373" i="2"/>
  <c r="BN376" i="2"/>
  <c r="BP376" i="2"/>
  <c r="BN383" i="2"/>
  <c r="BN393" i="2"/>
  <c r="BP405" i="2"/>
  <c r="Z413" i="2"/>
  <c r="BN418" i="2"/>
  <c r="BP418" i="2"/>
  <c r="Y427" i="2"/>
  <c r="Y435" i="2"/>
  <c r="BP439" i="2"/>
  <c r="BP441" i="2"/>
  <c r="Z444" i="2"/>
  <c r="BN444" i="2"/>
  <c r="BP451" i="2"/>
  <c r="Z456" i="2"/>
  <c r="BN456" i="2"/>
  <c r="Z463" i="2"/>
  <c r="BN463" i="2"/>
  <c r="Y480" i="2"/>
  <c r="Y481" i="2"/>
  <c r="BN486" i="2"/>
  <c r="BN489" i="2"/>
  <c r="BP489" i="2"/>
  <c r="BP499" i="2"/>
  <c r="Y500" i="2"/>
  <c r="Z504" i="2"/>
  <c r="BN504" i="2"/>
  <c r="Z513" i="2"/>
  <c r="BN513" i="2"/>
  <c r="Z516" i="2"/>
  <c r="BN516" i="2"/>
  <c r="Z523" i="2"/>
  <c r="BN523" i="2"/>
  <c r="Z529" i="2"/>
  <c r="BN529" i="2"/>
  <c r="BN531" i="2"/>
  <c r="Z533" i="2"/>
  <c r="BN533" i="2"/>
  <c r="BN548" i="2"/>
  <c r="BP548" i="2"/>
  <c r="Y549" i="2"/>
  <c r="Y554" i="2"/>
  <c r="BP557" i="2"/>
  <c r="Y258" i="2"/>
  <c r="Y263" i="2"/>
  <c r="Y289" i="2"/>
  <c r="BN278" i="2"/>
  <c r="BP278" i="2"/>
  <c r="BP282" i="2"/>
  <c r="Z285" i="2"/>
  <c r="BN285" i="2"/>
  <c r="Z291" i="2"/>
  <c r="BN291" i="2"/>
  <c r="Z292" i="2"/>
  <c r="Z298" i="2"/>
  <c r="BN298" i="2"/>
  <c r="Z299" i="2"/>
  <c r="Z301" i="2"/>
  <c r="BN301" i="2"/>
  <c r="Z303" i="2"/>
  <c r="Z311" i="2"/>
  <c r="Z312" i="2" s="1"/>
  <c r="BN311" i="2"/>
  <c r="BP311" i="2"/>
  <c r="Y312" i="2"/>
  <c r="BP315" i="2"/>
  <c r="Z318" i="2"/>
  <c r="BN318" i="2"/>
  <c r="Y319" i="2"/>
  <c r="Y320" i="2"/>
  <c r="BP326" i="2"/>
  <c r="Z329" i="2"/>
  <c r="BN329" i="2"/>
  <c r="Y330" i="2"/>
  <c r="Y331" i="2"/>
  <c r="BN341" i="2"/>
  <c r="BP341" i="2"/>
  <c r="BN344" i="2"/>
  <c r="BP344" i="2"/>
  <c r="BN348" i="2"/>
  <c r="BP359" i="2"/>
  <c r="Y360" i="2"/>
  <c r="Z364" i="2"/>
  <c r="BN364" i="2"/>
  <c r="Z375" i="2"/>
  <c r="BN375" i="2"/>
  <c r="BN386" i="2"/>
  <c r="BP386" i="2"/>
  <c r="Z405" i="2"/>
  <c r="Z406" i="2"/>
  <c r="BN406" i="2"/>
  <c r="BN411" i="2"/>
  <c r="BP411" i="2"/>
  <c r="BP413" i="2"/>
  <c r="Y414" i="2"/>
  <c r="BN426" i="2"/>
  <c r="BN433" i="2"/>
  <c r="Z464" i="2"/>
  <c r="BN477" i="2"/>
  <c r="BP477" i="2"/>
  <c r="BN487" i="2"/>
  <c r="BN514" i="2"/>
  <c r="BP514" i="2"/>
  <c r="BN524" i="2"/>
  <c r="BP524" i="2"/>
  <c r="BN534" i="2"/>
  <c r="BP534" i="2"/>
  <c r="A10" i="2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BP27" i="2"/>
  <c r="Z51" i="2"/>
  <c r="Y67" i="2"/>
  <c r="Z72" i="2"/>
  <c r="Y114" i="2"/>
  <c r="BP195" i="2"/>
  <c r="BP222" i="2"/>
  <c r="Z245" i="2"/>
  <c r="Y273" i="2"/>
  <c r="Z265" i="2"/>
  <c r="Z268" i="2"/>
  <c r="Z271" i="2"/>
  <c r="BP317" i="2"/>
  <c r="BN317" i="2"/>
  <c r="Z317" i="2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Z367" i="2"/>
  <c r="U575" i="2"/>
  <c r="Y409" i="2"/>
  <c r="Y408" i="2"/>
  <c r="BN404" i="2"/>
  <c r="BP404" i="2"/>
  <c r="Z503" i="2"/>
  <c r="Z517" i="2"/>
  <c r="Y535" i="2"/>
  <c r="Z556" i="2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BN72" i="2"/>
  <c r="BN44" i="2"/>
  <c r="BP83" i="2"/>
  <c r="BN34" i="2"/>
  <c r="BP93" i="2"/>
  <c r="BN93" i="2"/>
  <c r="BP142" i="2"/>
  <c r="BN142" i="2"/>
  <c r="Z142" i="2"/>
  <c r="Z143" i="2" s="1"/>
  <c r="BP166" i="2"/>
  <c r="BN166" i="2"/>
  <c r="Z166" i="2"/>
  <c r="BP220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29" i="2"/>
  <c r="Z62" i="2"/>
  <c r="BP65" i="2"/>
  <c r="BN65" i="2"/>
  <c r="Z65" i="2"/>
  <c r="Z93" i="2"/>
  <c r="Y213" i="2"/>
  <c r="Z266" i="2"/>
  <c r="BN349" i="2"/>
  <c r="Z384" i="2"/>
  <c r="Z387" i="2"/>
  <c r="Z419" i="2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281" i="2"/>
  <c r="BP284" i="2"/>
  <c r="BN284" i="2"/>
  <c r="Z284" i="2"/>
  <c r="BP325" i="2"/>
  <c r="P57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BP26" i="2"/>
  <c r="BP35" i="2"/>
  <c r="BN35" i="2"/>
  <c r="BP59" i="2"/>
  <c r="Z152" i="2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Y536" i="2"/>
  <c r="Y550" i="2"/>
  <c r="T575" i="2"/>
  <c r="Z407" i="2"/>
  <c r="Z60" i="2"/>
  <c r="Z70" i="2"/>
  <c r="Z124" i="2"/>
  <c r="Z147" i="2"/>
  <c r="Z148" i="2" s="1"/>
  <c r="Z171" i="2"/>
  <c r="Z181" i="2"/>
  <c r="Z191" i="2"/>
  <c r="Z205" i="2"/>
  <c r="Z216" i="2"/>
  <c r="Z217" i="2" s="1"/>
  <c r="Z226" i="2"/>
  <c r="Z236" i="2"/>
  <c r="Z246" i="2"/>
  <c r="Z269" i="2"/>
  <c r="Z279" i="2"/>
  <c r="Z300" i="2"/>
  <c r="Z323" i="2"/>
  <c r="Z334" i="2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BN412" i="2"/>
  <c r="Z446" i="2"/>
  <c r="BN458" i="2"/>
  <c r="Z469" i="2"/>
  <c r="Z470" i="2" s="1"/>
  <c r="BN518" i="2"/>
  <c r="Z528" i="2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351" i="2" l="1"/>
  <c r="Z401" i="2"/>
  <c r="Z192" i="2"/>
  <c r="X568" i="2"/>
  <c r="Z337" i="2"/>
  <c r="Z304" i="2"/>
  <c r="Z241" i="2"/>
  <c r="Z173" i="2"/>
  <c r="Z128" i="2"/>
  <c r="Z67" i="2"/>
  <c r="Z168" i="2"/>
  <c r="Z558" i="2"/>
  <c r="Z525" i="2"/>
  <c r="Z262" i="2"/>
  <c r="Z453" i="2"/>
  <c r="Z257" i="2"/>
  <c r="Z156" i="2"/>
  <c r="Z420" i="2"/>
  <c r="Z113" i="2"/>
  <c r="Z319" i="2"/>
  <c r="Z535" i="2"/>
  <c r="Z187" i="2"/>
  <c r="Z233" i="2"/>
  <c r="Z55" i="2"/>
  <c r="Z388" i="2"/>
  <c r="Z74" i="2"/>
  <c r="Z447" i="2"/>
  <c r="Z138" i="2"/>
  <c r="Z95" i="2"/>
  <c r="Z506" i="2"/>
  <c r="Z293" i="2"/>
  <c r="Z427" i="2"/>
  <c r="Z46" i="2"/>
  <c r="Y569" i="2"/>
  <c r="Y567" i="2"/>
  <c r="Y565" i="2"/>
  <c r="Z273" i="2"/>
  <c r="Z491" i="2"/>
  <c r="Z434" i="2"/>
  <c r="Z395" i="2"/>
  <c r="Z247" i="2"/>
  <c r="Z330" i="2"/>
  <c r="Z519" i="2"/>
  <c r="Z31" i="2"/>
  <c r="Z408" i="2"/>
  <c r="Z288" i="2"/>
  <c r="Z212" i="2"/>
  <c r="Z414" i="2"/>
  <c r="Y566" i="2"/>
  <c r="Z121" i="2"/>
  <c r="Z378" i="2"/>
  <c r="Z102" i="2"/>
  <c r="Z570" i="2" l="1"/>
  <c r="Y568" i="2"/>
</calcChain>
</file>

<file path=xl/sharedStrings.xml><?xml version="1.0" encoding="utf-8"?>
<sst xmlns="http://schemas.openxmlformats.org/spreadsheetml/2006/main" count="4252" uniqueCount="898">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</sst>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882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2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216</v>
      </c>
      <c r="Y53" s="55">
        <f>IFERROR(IF(X53="",0,CEILING((X53/$H53),1)*$H53),"")</f>
        <v>216</v>
      </c>
      <c r="Z53" s="41">
        <f>IFERROR(IF(Y53=0,"",ROUNDUP(Y53/H53,0)*0.00902),"")</f>
        <v>0.48708000000000001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226.26000000000002</v>
      </c>
      <c r="BN53" s="78">
        <f>IFERROR(Y53*I53/H53,"0")</f>
        <v>226.26000000000002</v>
      </c>
      <c r="BO53" s="78">
        <f>IFERROR(1/J53*(X53/H53),"0")</f>
        <v>0.40909090909090912</v>
      </c>
      <c r="BP53" s="78">
        <f>IFERROR(1/J53*(Y53/H53),"0")</f>
        <v>0.40909090909090912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54</v>
      </c>
      <c r="Y55" s="43">
        <f>IFERROR(Y51/H51,"0")+IFERROR(Y52/H52,"0")+IFERROR(Y53/H53,"0")+IFERROR(Y54/H54,"0")</f>
        <v>54</v>
      </c>
      <c r="Z55" s="43">
        <f>IFERROR(IF(Z51="",0,Z51),"0")+IFERROR(IF(Z52="",0,Z52),"0")+IFERROR(IF(Z53="",0,Z53),"0")+IFERROR(IF(Z54="",0,Z54),"0")</f>
        <v>0.48708000000000001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216</v>
      </c>
      <c r="Y56" s="43">
        <f>IFERROR(SUM(Y51:Y54),"0")</f>
        <v>216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27</v>
      </c>
      <c r="Y75" s="43">
        <f>IFERROR(SUM(Y70:Y73),"0")</f>
        <v>27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18</v>
      </c>
      <c r="Y77" s="55">
        <f>IFERROR(IF(X77="",0,CEILING((X77/$H77),1)*$H77),"")</f>
        <v>18</v>
      </c>
      <c r="Z77" s="41">
        <f>IFERROR(IF(Y77=0,"",ROUNDUP(Y77/H77,0)*0.00651),"")</f>
        <v>6.5100000000000005E-2</v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20.459999999999997</v>
      </c>
      <c r="BN77" s="78">
        <f>IFERROR(Y77*I77/H77,"0")</f>
        <v>20.459999999999997</v>
      </c>
      <c r="BO77" s="78">
        <f>IFERROR(1/J77*(X77/H77),"0")</f>
        <v>5.4945054945054951E-2</v>
      </c>
      <c r="BP77" s="78">
        <f>IFERROR(1/J77*(Y77/H77),"0")</f>
        <v>5.4945054945054951E-2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10</v>
      </c>
      <c r="Y79" s="43">
        <f>IFERROR(Y77/H77,"0")+IFERROR(Y78/H78,"0")</f>
        <v>10</v>
      </c>
      <c r="Z79" s="43">
        <f>IFERROR(IF(Z77="",0,Z77),"0")+IFERROR(IF(Z78="",0,Z78),"0")</f>
        <v>6.5100000000000005E-2</v>
      </c>
      <c r="AA79" s="67"/>
      <c r="AB79" s="67"/>
      <c r="AC79" s="67"/>
    </row>
    <row r="80" spans="1:68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18</v>
      </c>
      <c r="Y80" s="43">
        <f>IFERROR(SUM(Y77:Y78),"0")</f>
        <v>18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270</v>
      </c>
      <c r="Y100" s="55">
        <f>IFERROR(IF(X100="",0,CEILING((X100/$H100),1)*$H100),"")</f>
        <v>270</v>
      </c>
      <c r="Z100" s="41">
        <f>IFERROR(IF(Y100=0,"",ROUNDUP(Y100/H100,0)*0.00651),"")</f>
        <v>0.65100000000000002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295.2</v>
      </c>
      <c r="BN100" s="78">
        <f>IFERROR(Y100*I100/H100,"0")</f>
        <v>295.2</v>
      </c>
      <c r="BO100" s="78">
        <f>IFERROR(1/J100*(X100/H100),"0")</f>
        <v>0.5494505494505495</v>
      </c>
      <c r="BP100" s="78">
        <f>IFERROR(1/J100*(Y100/H100),"0")</f>
        <v>0.5494505494505495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100</v>
      </c>
      <c r="Y102" s="43">
        <f>IFERROR(Y98/H98,"0")+IFERROR(Y99/H99,"0")+IFERROR(Y100/H100,"0")+IFERROR(Y101/H101,"0")</f>
        <v>100</v>
      </c>
      <c r="Z102" s="43">
        <f>IFERROR(IF(Z98="",0,Z98),"0")+IFERROR(IF(Z99="",0,Z99),"0")+IFERROR(IF(Z100="",0,Z100),"0")+IFERROR(IF(Z101="",0,Z101),"0")</f>
        <v>0.65100000000000002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270</v>
      </c>
      <c r="Y103" s="43">
        <f>IFERROR(SUM(Y98:Y101),"0")</f>
        <v>270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72</v>
      </c>
      <c r="Y127" s="55">
        <f>IFERROR(IF(X127="",0,CEILING((X127/$H127),1)*$H127),"")</f>
        <v>72</v>
      </c>
      <c r="Z127" s="41">
        <f>IFERROR(IF(Y127=0,"",ROUNDUP(Y127/H127,0)*0.00651),"")</f>
        <v>0.26040000000000002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79.2</v>
      </c>
      <c r="BN127" s="78">
        <f>IFERROR(Y127*I127/H127,"0")</f>
        <v>79.2</v>
      </c>
      <c r="BO127" s="78">
        <f>IFERROR(1/J127*(X127/H127),"0")</f>
        <v>0.2197802197802198</v>
      </c>
      <c r="BP127" s="78">
        <f>IFERROR(1/J127*(Y127/H127),"0")</f>
        <v>0.2197802197802198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40</v>
      </c>
      <c r="Y128" s="43">
        <f>IFERROR(Y124/H124,"0")+IFERROR(Y125/H125,"0")+IFERROR(Y126/H126,"0")+IFERROR(Y127/H127,"0")</f>
        <v>40</v>
      </c>
      <c r="Z128" s="43">
        <f>IFERROR(IF(Z124="",0,Z124),"0")+IFERROR(IF(Z125="",0,Z125),"0")+IFERROR(IF(Z126="",0,Z126),"0")+IFERROR(IF(Z127="",0,Z127),"0")</f>
        <v>0.26040000000000002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72</v>
      </c>
      <c r="Y129" s="43">
        <f>IFERROR(SUM(Y124:Y127),"0")</f>
        <v>72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66</v>
      </c>
      <c r="Y131" s="55">
        <f>IFERROR(IF(X131="",0,CEILING((X131/$H131),1)*$H131),"")</f>
        <v>67.319999999999993</v>
      </c>
      <c r="Z131" s="41">
        <f>IFERROR(IF(Y131=0,"",ROUNDUP(Y131/H131,0)*0.00651),"")</f>
        <v>0.22134000000000001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74.599999999999994</v>
      </c>
      <c r="BN131" s="78">
        <f>IFERROR(Y131*I131/H131,"0")</f>
        <v>76.091999999999985</v>
      </c>
      <c r="BO131" s="78">
        <f>IFERROR(1/J131*(X131/H131),"0")</f>
        <v>0.18315018315018317</v>
      </c>
      <c r="BP131" s="78">
        <f>IFERROR(1/J131*(Y131/H131),"0")</f>
        <v>0.18681318681318682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33.333333333333336</v>
      </c>
      <c r="Y132" s="43">
        <f>IFERROR(Y131/H131,"0")</f>
        <v>34</v>
      </c>
      <c r="Z132" s="43">
        <f>IFERROR(IF(Z131="",0,Z131),"0")</f>
        <v>0.22134000000000001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66</v>
      </c>
      <c r="Y133" s="43">
        <f>IFERROR(SUM(Y131:Y131),"0")</f>
        <v>67.319999999999993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9.6</v>
      </c>
      <c r="Y229" s="55">
        <f t="shared" si="26"/>
        <v>9.6000000000000014</v>
      </c>
      <c r="Z229" s="41">
        <f>IFERROR(IF(Y229=0,"",ROUNDUP(Y229/H229,0)*0.00417),"")</f>
        <v>5.0040000000000001E-2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12.12</v>
      </c>
      <c r="BN229" s="78">
        <f t="shared" si="28"/>
        <v>12.120000000000001</v>
      </c>
      <c r="BO229" s="78">
        <f t="shared" si="29"/>
        <v>3.8461538461538457E-2</v>
      </c>
      <c r="BP229" s="78">
        <f t="shared" si="30"/>
        <v>3.8461538461538464E-2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11.999999999999998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12.000000000000002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5.0040000000000001E-2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9.6</v>
      </c>
      <c r="Y234" s="43">
        <f>IFERROR(SUM(Y220:Y232),"0")</f>
        <v>9.6000000000000014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36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132.60000000000002</v>
      </c>
      <c r="BN282" s="78">
        <f t="shared" si="38"/>
        <v>132.60000000000002</v>
      </c>
      <c r="BO282" s="78">
        <f t="shared" si="39"/>
        <v>0.27472527472527475</v>
      </c>
      <c r="BP282" s="78">
        <f t="shared" si="40"/>
        <v>0.27472527472527475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120</v>
      </c>
      <c r="Y284" s="55">
        <f t="shared" si="36"/>
        <v>120</v>
      </c>
      <c r="Z284" s="41">
        <f>IFERROR(IF(Y284=0,"",ROUNDUP(Y284/H284,0)*0.00651),"")</f>
        <v>0.32550000000000001</v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132.60000000000002</v>
      </c>
      <c r="BN284" s="78">
        <f t="shared" si="38"/>
        <v>132.60000000000002</v>
      </c>
      <c r="BO284" s="78">
        <f t="shared" si="39"/>
        <v>0.27472527472527475</v>
      </c>
      <c r="BP284" s="78">
        <f t="shared" si="40"/>
        <v>0.27472527472527475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0.65100000000000002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240</v>
      </c>
      <c r="Y289" s="43">
        <f>IFERROR(SUM(Y276:Y287),"0")</f>
        <v>240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48</v>
      </c>
      <c r="Y300" s="55">
        <f t="shared" si="41"/>
        <v>48</v>
      </c>
      <c r="Z300" s="41">
        <f>IFERROR(IF(Y300=0,"",ROUNDUP(Y300/H300,0)*0.00902),"")</f>
        <v>0.10824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50.28</v>
      </c>
      <c r="BN300" s="78">
        <f t="shared" si="43"/>
        <v>50.28</v>
      </c>
      <c r="BO300" s="78">
        <f t="shared" si="44"/>
        <v>9.0909090909090912E-2</v>
      </c>
      <c r="BP300" s="78">
        <f t="shared" si="45"/>
        <v>9.0909090909090912E-2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60</v>
      </c>
      <c r="Y303" s="55">
        <f t="shared" si="41"/>
        <v>60</v>
      </c>
      <c r="Z303" s="41">
        <f>IFERROR(IF(Y303=0,"",ROUNDUP(Y303/H303,0)*0.00902),"")</f>
        <v>0.1353</v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62.850000000000009</v>
      </c>
      <c r="BN303" s="78">
        <f t="shared" si="43"/>
        <v>62.850000000000009</v>
      </c>
      <c r="BO303" s="78">
        <f t="shared" si="44"/>
        <v>0.11363636363636365</v>
      </c>
      <c r="BP303" s="78">
        <f t="shared" si="45"/>
        <v>0.11363636363636365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27</v>
      </c>
      <c r="Y304" s="43">
        <f>IFERROR(Y297/H297,"0")+IFERROR(Y298/H298,"0")+IFERROR(Y299/H299,"0")+IFERROR(Y300/H300,"0")+IFERROR(Y301/H301,"0")+IFERROR(Y302/H302,"0")+IFERROR(Y303/H303,"0")</f>
        <v>27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0.24354000000000001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108</v>
      </c>
      <c r="Y305" s="43">
        <f>IFERROR(SUM(Y297:Y303),"0")</f>
        <v>108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36</v>
      </c>
      <c r="Y336" s="55">
        <f>IFERROR(IF(X336="",0,CEILING((X336/$H336),1)*$H336),"")</f>
        <v>36</v>
      </c>
      <c r="Z336" s="41">
        <f>IFERROR(IF(Y336=0,"",ROUNDUP(Y336/H336,0)*0.00651),"")</f>
        <v>9.7650000000000001E-2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38.700000000000003</v>
      </c>
      <c r="BN336" s="78">
        <f>IFERROR(Y336*I336/H336,"0")</f>
        <v>38.700000000000003</v>
      </c>
      <c r="BO336" s="78">
        <f>IFERROR(1/J336*(X336/H336),"0")</f>
        <v>8.241758241758243E-2</v>
      </c>
      <c r="BP336" s="78">
        <f>IFERROR(1/J336*(Y336/H336),"0")</f>
        <v>8.241758241758243E-2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15</v>
      </c>
      <c r="Y337" s="43">
        <f>IFERROR(Y334/H334,"0")+IFERROR(Y335/H335,"0")+IFERROR(Y336/H336,"0")</f>
        <v>15</v>
      </c>
      <c r="Z337" s="43">
        <f>IFERROR(IF(Z334="",0,Z334),"0")+IFERROR(IF(Z335="",0,Z335),"0")+IFERROR(IF(Z336="",0,Z336),"0")</f>
        <v>9.7650000000000001E-2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36</v>
      </c>
      <c r="Y338" s="43">
        <f>IFERROR(SUM(Y334:Y336),"0")</f>
        <v>36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54</v>
      </c>
      <c r="Y348" s="55">
        <f>IFERROR(IF(X348="",0,CEILING((X348/$H348),1)*$H348),"")</f>
        <v>54</v>
      </c>
      <c r="Z348" s="41">
        <f>IFERROR(IF(Y348=0,"",ROUNDUP(Y348/H348,0)*0.00902),"")</f>
        <v>0.1353</v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56.849999999999994</v>
      </c>
      <c r="BN348" s="78">
        <f>IFERROR(Y348*I348/H348,"0")</f>
        <v>56.849999999999994</v>
      </c>
      <c r="BO348" s="78">
        <f>IFERROR(1/J348*(X348/H348),"0")</f>
        <v>0.11363636363636365</v>
      </c>
      <c r="BP348" s="78">
        <f>IFERROR(1/J348*(Y348/H348),"0")</f>
        <v>0.11363636363636365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15</v>
      </c>
      <c r="Y351" s="43">
        <f>IFERROR(Y348/H348,"0")+IFERROR(Y349/H349,"0")+IFERROR(Y350/H350,"0")</f>
        <v>15</v>
      </c>
      <c r="Z351" s="43">
        <f>IFERROR(IF(Z348="",0,Z348),"0")+IFERROR(IF(Z349="",0,Z349),"0")+IFERROR(IF(Z350="",0,Z350),"0")</f>
        <v>0.1353</v>
      </c>
      <c r="AA351" s="67"/>
      <c r="AB351" s="67"/>
      <c r="AC351" s="67"/>
    </row>
    <row r="352" spans="1:68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54</v>
      </c>
      <c r="Y352" s="43">
        <f>IFERROR(SUM(Y348:Y350),"0")</f>
        <v>54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63</v>
      </c>
      <c r="Y385" s="55">
        <f t="shared" si="56"/>
        <v>63</v>
      </c>
      <c r="Z385" s="41">
        <f>IFERROR(IF(Y385=0,"",ROUNDUP(Y385/H385,0)*0.00502),"")</f>
        <v>0.15060000000000001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66.000000000000014</v>
      </c>
      <c r="BN385" s="78">
        <f t="shared" si="58"/>
        <v>66.000000000000014</v>
      </c>
      <c r="BO385" s="78">
        <f t="shared" si="59"/>
        <v>0.12820512820512822</v>
      </c>
      <c r="BP385" s="78">
        <f t="shared" si="60"/>
        <v>0.12820512820512822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54</v>
      </c>
      <c r="Y387" s="55">
        <f t="shared" si="56"/>
        <v>54</v>
      </c>
      <c r="Z387" s="41">
        <f>IFERROR(IF(Y387=0,"",ROUNDUP(Y387/H387,0)*0.00651),"")</f>
        <v>0.1953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60.839999999999996</v>
      </c>
      <c r="BN387" s="78">
        <f t="shared" si="58"/>
        <v>60.839999999999996</v>
      </c>
      <c r="BO387" s="78">
        <f t="shared" si="59"/>
        <v>0.16483516483516486</v>
      </c>
      <c r="BP387" s="78">
        <f t="shared" si="60"/>
        <v>0.16483516483516486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60</v>
      </c>
      <c r="Y388" s="43">
        <f>IFERROR(Y381/H381,"0")+IFERROR(Y382/H382,"0")+IFERROR(Y383/H383,"0")+IFERROR(Y384/H384,"0")+IFERROR(Y385/H385,"0")+IFERROR(Y386/H386,"0")+IFERROR(Y387/H387,"0")</f>
        <v>60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0.34589999999999999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117</v>
      </c>
      <c r="Y389" s="43">
        <f>IFERROR(SUM(Y381:Y387),"0")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10.199999999999999</v>
      </c>
      <c r="Y406" s="55">
        <f>IFERROR(IF(X406="",0,CEILING((X406/$H406),1)*$H406),"")</f>
        <v>10.199999999999999</v>
      </c>
      <c r="Z406" s="41">
        <f>IFERROR(IF(Y406=0,"",ROUNDUP(Y406/H406,0)*0.00651),"")</f>
        <v>2.6040000000000001E-2</v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11.82</v>
      </c>
      <c r="BN406" s="78">
        <f>IFERROR(Y406*I406/H406,"0")</f>
        <v>11.82</v>
      </c>
      <c r="BO406" s="78">
        <f>IFERROR(1/J406*(X406/H406),"0")</f>
        <v>2.197802197802198E-2</v>
      </c>
      <c r="BP406" s="78">
        <f>IFERROR(1/J406*(Y406/H406),"0")</f>
        <v>2.197802197802198E-2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4</v>
      </c>
      <c r="Y408" s="43">
        <f>IFERROR(Y404/H404,"0")+IFERROR(Y405/H405,"0")+IFERROR(Y406/H406,"0")+IFERROR(Y407/H407,"0")</f>
        <v>4</v>
      </c>
      <c r="Z408" s="43">
        <f>IFERROR(IF(Z404="",0,Z404),"0")+IFERROR(IF(Z405="",0,Z405),"0")+IFERROR(IF(Z406="",0,Z406),"0")+IFERROR(IF(Z407="",0,Z407),"0")</f>
        <v>2.6040000000000001E-2</v>
      </c>
      <c r="AA408" s="67"/>
      <c r="AB408" s="67"/>
      <c r="AC408" s="67"/>
    </row>
    <row r="409" spans="1:68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10.199999999999999</v>
      </c>
      <c r="Y409" s="43">
        <f>IFERROR(SUM(Y404:Y407),"0")</f>
        <v>10.199999999999999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72</v>
      </c>
      <c r="Y413" s="55">
        <f>IFERROR(IF(X413="",0,CEILING((X413/$H413),1)*$H413),"")</f>
        <v>72</v>
      </c>
      <c r="Z413" s="41">
        <f>IFERROR(IF(Y413=0,"",ROUNDUP(Y413/H413,0)*0.00474),"")</f>
        <v>0.17064000000000001</v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80.640000000000015</v>
      </c>
      <c r="BN413" s="78">
        <f>IFERROR(Y413*I413/H413,"0")</f>
        <v>80.640000000000015</v>
      </c>
      <c r="BO413" s="78">
        <f>IFERROR(1/J413*(X413/H413),"0")</f>
        <v>0.15126050420168066</v>
      </c>
      <c r="BP413" s="78">
        <f>IFERROR(1/J413*(Y413/H413),"0")</f>
        <v>0.15126050420168066</v>
      </c>
    </row>
    <row r="414" spans="1:68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36</v>
      </c>
      <c r="Y414" s="43">
        <f>IFERROR(Y411/H411,"0")+IFERROR(Y412/H412,"0")+IFERROR(Y413/H413,"0")</f>
        <v>36</v>
      </c>
      <c r="Z414" s="43">
        <f>IFERROR(IF(Z411="",0,Z411),"0")+IFERROR(IF(Z412="",0,Z412),"0")+IFERROR(IF(Z413="",0,Z413),"0")</f>
        <v>0.17064000000000001</v>
      </c>
      <c r="AA414" s="67"/>
      <c r="AB414" s="67"/>
      <c r="AC414" s="67"/>
    </row>
    <row r="415" spans="1:68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72</v>
      </c>
      <c r="Y415" s="43">
        <f>IFERROR(SUM(Y411:Y413),"0")</f>
        <v>72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90</v>
      </c>
      <c r="Y446" s="55">
        <f t="shared" si="61"/>
        <v>90</v>
      </c>
      <c r="Z446" s="41">
        <f>IFERROR(IF(Y446=0,"",ROUNDUP(Y446/H446,0)*0.00902),"")</f>
        <v>0.16236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93.42</v>
      </c>
      <c r="BN446" s="78">
        <f t="shared" si="63"/>
        <v>93.42</v>
      </c>
      <c r="BO446" s="78">
        <f t="shared" si="64"/>
        <v>0.13636363636363635</v>
      </c>
      <c r="BP446" s="78">
        <f t="shared" si="65"/>
        <v>0.13636363636363635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18</v>
      </c>
      <c r="Y447" s="43">
        <f>IFERROR(Y439/H439,"0")+IFERROR(Y440/H440,"0")+IFERROR(Y441/H441,"0")+IFERROR(Y442/H442,"0")+IFERROR(Y443/H443,"0")+IFERROR(Y444/H444,"0")+IFERROR(Y445/H445,"0")+IFERROR(Y446/H446,"0")</f>
        <v>18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0.16236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90</v>
      </c>
      <c r="Y448" s="43">
        <f>IFERROR(SUM(Y439:Y446),"0")</f>
        <v>90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36</v>
      </c>
      <c r="Y452" s="55">
        <f>IFERROR(IF(X452="",0,CEILING((X452/$H452),1)*$H452),"")</f>
        <v>36</v>
      </c>
      <c r="Z452" s="41">
        <f>IFERROR(IF(Y452=0,"",ROUNDUP(Y452/H452,0)*0.00902),"")</f>
        <v>8.1180000000000002E-2</v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37.71</v>
      </c>
      <c r="BN452" s="78">
        <f>IFERROR(Y452*I452/H452,"0")</f>
        <v>37.71</v>
      </c>
      <c r="BO452" s="78">
        <f>IFERROR(1/J452*(X452/H452),"0")</f>
        <v>6.8181818181818177E-2</v>
      </c>
      <c r="BP452" s="78">
        <f>IFERROR(1/J452*(Y452/H452),"0")</f>
        <v>6.8181818181818177E-2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9</v>
      </c>
      <c r="Y453" s="43">
        <f>IFERROR(Y450/H450,"0")+IFERROR(Y451/H451,"0")+IFERROR(Y452/H452,"0")</f>
        <v>9</v>
      </c>
      <c r="Z453" s="43">
        <f>IFERROR(IF(Z450="",0,Z450),"0")+IFERROR(IF(Z451="",0,Z451),"0")+IFERROR(IF(Z452="",0,Z452),"0")</f>
        <v>8.1180000000000002E-2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36</v>
      </c>
      <c r="Y454" s="43">
        <f>IFERROR(SUM(Y450:Y452),"0")</f>
        <v>36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10.5</v>
      </c>
      <c r="Y489" s="55">
        <f t="shared" si="66"/>
        <v>10.5</v>
      </c>
      <c r="Z489" s="41">
        <f>IFERROR(IF(Y489=0,"",ROUNDUP(Y489/H489,0)*0.00502),"")</f>
        <v>2.5100000000000001E-2</v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11.149999999999999</v>
      </c>
      <c r="BN489" s="78">
        <f t="shared" si="68"/>
        <v>11.149999999999999</v>
      </c>
      <c r="BO489" s="78">
        <f t="shared" si="69"/>
        <v>2.1367521367521368E-2</v>
      </c>
      <c r="BP489" s="78">
        <f t="shared" si="70"/>
        <v>2.1367521367521368E-2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31.5</v>
      </c>
      <c r="Y490" s="55">
        <f t="shared" si="66"/>
        <v>31.5</v>
      </c>
      <c r="Z490" s="41">
        <f>IFERROR(IF(Y490=0,"",ROUNDUP(Y490/H490,0)*0.00502),"")</f>
        <v>7.5300000000000006E-2</v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33.450000000000003</v>
      </c>
      <c r="BN490" s="78">
        <f t="shared" si="68"/>
        <v>33.450000000000003</v>
      </c>
      <c r="BO490" s="78">
        <f t="shared" si="69"/>
        <v>6.4102564102564111E-2</v>
      </c>
      <c r="BP490" s="78">
        <f t="shared" si="70"/>
        <v>6.4102564102564111E-2</v>
      </c>
    </row>
    <row r="491" spans="1:68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20</v>
      </c>
      <c r="Y491" s="43">
        <f>IFERROR(Y485/H485,"0")+IFERROR(Y486/H486,"0")+IFERROR(Y487/H487,"0")+IFERROR(Y488/H488,"0")+IFERROR(Y489/H489,"0")+IFERROR(Y490/H490,"0")</f>
        <v>20</v>
      </c>
      <c r="Z491" s="43">
        <f>IFERROR(IF(Z485="",0,Z485),"0")+IFERROR(IF(Z486="",0,Z486),"0")+IFERROR(IF(Z487="",0,Z487),"0")+IFERROR(IF(Z488="",0,Z488),"0")+IFERROR(IF(Z489="",0,Z489),"0")+IFERROR(IF(Z490="",0,Z490),"0")</f>
        <v>0.1004</v>
      </c>
      <c r="AA491" s="67"/>
      <c r="AB491" s="67"/>
      <c r="AC491" s="67"/>
    </row>
    <row r="492" spans="1:68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42</v>
      </c>
      <c r="Y492" s="43">
        <f>IFERROR(SUM(Y485:Y490),"0")</f>
        <v>42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252</v>
      </c>
      <c r="Y517" s="55">
        <f t="shared" si="71"/>
        <v>254.39999999999998</v>
      </c>
      <c r="Z517" s="41">
        <f>IFERROR(IF(Y517=0,"",ROUNDUP(Y517/H517,0)*0.00902),"")</f>
        <v>0.47806000000000004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362.77499999999998</v>
      </c>
      <c r="BN517" s="78">
        <f t="shared" si="73"/>
        <v>366.22999999999996</v>
      </c>
      <c r="BO517" s="78">
        <f t="shared" si="74"/>
        <v>0.39772727272727276</v>
      </c>
      <c r="BP517" s="78">
        <f t="shared" si="75"/>
        <v>0.40151515151515155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360</v>
      </c>
      <c r="Y518" s="55">
        <f t="shared" si="71"/>
        <v>360</v>
      </c>
      <c r="Z518" s="41">
        <f>IFERROR(IF(Y518=0,"",ROUNDUP(Y518/H518,0)*0.00902),"")</f>
        <v>0.67649999999999999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518.25</v>
      </c>
      <c r="BN518" s="78">
        <f t="shared" si="73"/>
        <v>518.25</v>
      </c>
      <c r="BO518" s="78">
        <f t="shared" si="74"/>
        <v>0.56818181818181823</v>
      </c>
      <c r="BP518" s="78">
        <f t="shared" si="75"/>
        <v>0.56818181818181823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127.5</v>
      </c>
      <c r="Y519" s="43">
        <f>IFERROR(Y511/H511,"0")+IFERROR(Y512/H512,"0")+IFERROR(Y513/H513,"0")+IFERROR(Y514/H514,"0")+IFERROR(Y515/H515,"0")+IFERROR(Y516/H516,"0")+IFERROR(Y517/H517,"0")+IFERROR(Y518/H518,"0")</f>
        <v>128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1.15456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612</v>
      </c>
      <c r="Y520" s="43">
        <f>IFERROR(SUM(Y511:Y518),"0")</f>
        <v>614.4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2095.8000000000002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2099.52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2486.5750000000003</v>
      </c>
      <c r="Y566" s="43">
        <f>IFERROR(SUM(BN22:BN562),"0")</f>
        <v>2491.5219999999999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5</v>
      </c>
      <c r="Y567" s="44">
        <f>ROUNDUP(SUM(BP22:BP562),0)</f>
        <v>5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2611.5750000000003</v>
      </c>
      <c r="Y568" s="43">
        <f>GrossWeightTotalR+PalletQtyTotalR*25</f>
        <v>2616.5219999999999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690.83333333333326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692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4.9686299999999992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216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45</v>
      </c>
      <c r="F575" s="52">
        <f>IFERROR(Y89*1,"0")+IFERROR(Y90*1,"0")+IFERROR(Y91*1,"0")+IFERROR(Y92*1,"0")+IFERROR(Y93*1,"0")+IFERROR(Y94*1,"0")+IFERROR(Y98*1,"0")+IFERROR(Y99*1,"0")+IFERROR(Y100*1,"0")+IFERROR(Y101*1,"0")</f>
        <v>270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139.32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9.6000000000000014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240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108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36</v>
      </c>
      <c r="R575" s="52">
        <f>IFERROR(Y341*1,"0")+IFERROR(Y342*1,"0")+IFERROR(Y343*1,"0")+IFERROR(Y344*1,"0")+IFERROR(Y348*1,"0")+IFERROR(Y349*1,"0")+IFERROR(Y350*1,"0")</f>
        <v>54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199.2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126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42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614.4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,50"/>
        <filter val="100,00"/>
        <filter val="108,00"/>
        <filter val="117,00"/>
        <filter val="12,00"/>
        <filter val="120,00"/>
        <filter val="127,50"/>
        <filter val="15,00"/>
        <filter val="18,00"/>
        <filter val="2 095,80"/>
        <filter val="2 486,58"/>
        <filter val="2 611,58"/>
        <filter val="20,00"/>
        <filter val="216,00"/>
        <filter val="240,00"/>
        <filter val="252,00"/>
        <filter val="27,00"/>
        <filter val="270,00"/>
        <filter val="31,50"/>
        <filter val="33,33"/>
        <filter val="36,00"/>
        <filter val="360,00"/>
        <filter val="4,00"/>
        <filter val="40,00"/>
        <filter val="42,00"/>
        <filter val="48,00"/>
        <filter val="5"/>
        <filter val="54,00"/>
        <filter val="60,00"/>
        <filter val="612,00"/>
        <filter val="63,00"/>
        <filter val="66,00"/>
        <filter val="690,83"/>
        <filter val="72,00"/>
        <filter val="9,00"/>
        <filter val="9,60"/>
        <filter val="90,0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