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27E5452-2931-4338-A409-FB4B8D7D30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Sheet!$A$3:$AL$131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" i="1" l="1"/>
  <c r="AM12" i="1"/>
  <c r="AM13" i="1"/>
  <c r="AM14" i="1"/>
  <c r="AM17" i="1"/>
  <c r="AM18" i="1"/>
  <c r="AM19" i="1"/>
  <c r="AM21" i="1"/>
  <c r="AM23" i="1"/>
  <c r="AM25" i="1"/>
  <c r="AM26" i="1"/>
  <c r="AM27" i="1"/>
  <c r="AM28" i="1"/>
  <c r="AM31" i="1"/>
  <c r="AM32" i="1"/>
  <c r="AM33" i="1"/>
  <c r="AM34" i="1"/>
  <c r="AM36" i="1"/>
  <c r="AM38" i="1"/>
  <c r="AM39" i="1"/>
  <c r="AM40" i="1"/>
  <c r="AM41" i="1"/>
  <c r="AM42" i="1"/>
  <c r="AM45" i="1"/>
  <c r="AM46" i="1"/>
  <c r="AM47" i="1"/>
  <c r="AM48" i="1"/>
  <c r="AM49" i="1"/>
  <c r="AM50" i="1"/>
  <c r="AM53" i="1"/>
  <c r="AM54" i="1"/>
  <c r="AM55" i="1"/>
  <c r="AM56" i="1"/>
  <c r="AM57" i="1"/>
  <c r="AM58" i="1"/>
  <c r="AM59" i="1"/>
  <c r="AM60" i="1"/>
  <c r="AM61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6" i="1"/>
  <c r="AM87" i="1"/>
  <c r="AM90" i="1"/>
  <c r="AM91" i="1"/>
  <c r="AM92" i="1"/>
  <c r="AM93" i="1"/>
  <c r="AM94" i="1"/>
  <c r="AM95" i="1"/>
  <c r="AM96" i="1"/>
  <c r="AM97" i="1"/>
  <c r="AM98" i="1"/>
  <c r="AM100" i="1"/>
  <c r="AM101" i="1"/>
  <c r="AM103" i="1"/>
  <c r="AM104" i="1"/>
  <c r="AM105" i="1"/>
  <c r="AM106" i="1"/>
  <c r="AM107" i="1"/>
  <c r="AM108" i="1"/>
  <c r="AM110" i="1"/>
  <c r="AM111" i="1"/>
  <c r="AM112" i="1"/>
  <c r="AM113" i="1"/>
  <c r="AM114" i="1"/>
  <c r="AM115" i="1"/>
  <c r="AM117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T114" i="1" l="1"/>
  <c r="U114" i="1" s="1"/>
  <c r="AL114" i="1" s="1"/>
  <c r="T110" i="1"/>
  <c r="U110" i="1" s="1"/>
  <c r="AL110" i="1" s="1"/>
  <c r="T62" i="1"/>
  <c r="T32" i="1"/>
  <c r="U32" i="1" s="1"/>
  <c r="AL32" i="1" s="1"/>
  <c r="T27" i="1"/>
  <c r="U27" i="1" s="1"/>
  <c r="AL27" i="1" s="1"/>
  <c r="T22" i="1"/>
  <c r="T20" i="1"/>
  <c r="T15" i="1"/>
  <c r="T10" i="1"/>
  <c r="T9" i="1"/>
  <c r="U9" i="1" s="1"/>
  <c r="AL9" i="1" s="1"/>
  <c r="T12" i="1"/>
  <c r="U12" i="1" s="1"/>
  <c r="AL12" i="1" s="1"/>
  <c r="T13" i="1"/>
  <c r="U13" i="1" s="1"/>
  <c r="AL13" i="1" s="1"/>
  <c r="T14" i="1"/>
  <c r="U14" i="1" s="1"/>
  <c r="AL14" i="1" s="1"/>
  <c r="T18" i="1"/>
  <c r="U18" i="1" s="1"/>
  <c r="AL18" i="1" s="1"/>
  <c r="T19" i="1"/>
  <c r="U19" i="1" s="1"/>
  <c r="AL19" i="1" s="1"/>
  <c r="T23" i="1"/>
  <c r="U23" i="1" s="1"/>
  <c r="AL23" i="1" s="1"/>
  <c r="T25" i="1"/>
  <c r="U25" i="1" s="1"/>
  <c r="AL25" i="1" s="1"/>
  <c r="T28" i="1"/>
  <c r="U28" i="1" s="1"/>
  <c r="AL28" i="1" s="1"/>
  <c r="T31" i="1"/>
  <c r="U31" i="1" s="1"/>
  <c r="AL31" i="1" s="1"/>
  <c r="T33" i="1"/>
  <c r="U33" i="1" s="1"/>
  <c r="AL33" i="1" s="1"/>
  <c r="T34" i="1"/>
  <c r="U34" i="1" s="1"/>
  <c r="AL34" i="1" s="1"/>
  <c r="T36" i="1"/>
  <c r="U36" i="1" s="1"/>
  <c r="AL36" i="1" s="1"/>
  <c r="T38" i="1"/>
  <c r="U38" i="1" s="1"/>
  <c r="AL38" i="1" s="1"/>
  <c r="T39" i="1"/>
  <c r="U39" i="1" s="1"/>
  <c r="AL39" i="1" s="1"/>
  <c r="T40" i="1"/>
  <c r="U40" i="1" s="1"/>
  <c r="AL40" i="1" s="1"/>
  <c r="T41" i="1"/>
  <c r="U41" i="1" s="1"/>
  <c r="AL41" i="1" s="1"/>
  <c r="T45" i="1"/>
  <c r="U45" i="1" s="1"/>
  <c r="AL45" i="1" s="1"/>
  <c r="T46" i="1"/>
  <c r="U46" i="1" s="1"/>
  <c r="AL46" i="1" s="1"/>
  <c r="T49" i="1"/>
  <c r="U49" i="1" s="1"/>
  <c r="AL49" i="1" s="1"/>
  <c r="T50" i="1"/>
  <c r="U50" i="1" s="1"/>
  <c r="AL50" i="1" s="1"/>
  <c r="T53" i="1"/>
  <c r="U53" i="1" s="1"/>
  <c r="AL53" i="1" s="1"/>
  <c r="T57" i="1"/>
  <c r="U57" i="1" s="1"/>
  <c r="AL57" i="1" s="1"/>
  <c r="T61" i="1"/>
  <c r="U61" i="1" s="1"/>
  <c r="AL61" i="1" s="1"/>
  <c r="T65" i="1"/>
  <c r="U65" i="1" s="1"/>
  <c r="AL65" i="1" s="1"/>
  <c r="T66" i="1"/>
  <c r="U66" i="1" s="1"/>
  <c r="AL66" i="1" s="1"/>
  <c r="T67" i="1"/>
  <c r="U67" i="1" s="1"/>
  <c r="AL67" i="1" s="1"/>
  <c r="T68" i="1"/>
  <c r="U68" i="1" s="1"/>
  <c r="AL68" i="1" s="1"/>
  <c r="T69" i="1"/>
  <c r="U69" i="1" s="1"/>
  <c r="AL69" i="1" s="1"/>
  <c r="T70" i="1"/>
  <c r="U70" i="1" s="1"/>
  <c r="AL70" i="1" s="1"/>
  <c r="T71" i="1"/>
  <c r="U71" i="1" s="1"/>
  <c r="AL71" i="1" s="1"/>
  <c r="T72" i="1"/>
  <c r="U72" i="1" s="1"/>
  <c r="AL72" i="1" s="1"/>
  <c r="T73" i="1"/>
  <c r="U73" i="1" s="1"/>
  <c r="AL73" i="1" s="1"/>
  <c r="T74" i="1"/>
  <c r="U74" i="1" s="1"/>
  <c r="AL74" i="1" s="1"/>
  <c r="T77" i="1"/>
  <c r="U77" i="1" s="1"/>
  <c r="AL77" i="1" s="1"/>
  <c r="T80" i="1"/>
  <c r="U80" i="1" s="1"/>
  <c r="AL80" i="1" s="1"/>
  <c r="T82" i="1"/>
  <c r="U82" i="1" s="1"/>
  <c r="AL82" i="1" s="1"/>
  <c r="T83" i="1"/>
  <c r="U83" i="1" s="1"/>
  <c r="AL83" i="1" s="1"/>
  <c r="T84" i="1"/>
  <c r="U84" i="1" s="1"/>
  <c r="AL84" i="1" s="1"/>
  <c r="T87" i="1"/>
  <c r="U87" i="1" s="1"/>
  <c r="AL87" i="1" s="1"/>
  <c r="T91" i="1"/>
  <c r="U91" i="1" s="1"/>
  <c r="AL91" i="1" s="1"/>
  <c r="T92" i="1"/>
  <c r="U92" i="1" s="1"/>
  <c r="AL92" i="1" s="1"/>
  <c r="T96" i="1"/>
  <c r="U96" i="1" s="1"/>
  <c r="AL96" i="1" s="1"/>
  <c r="T97" i="1"/>
  <c r="U97" i="1" s="1"/>
  <c r="AL97" i="1" s="1"/>
  <c r="T98" i="1"/>
  <c r="U98" i="1" s="1"/>
  <c r="AL98" i="1" s="1"/>
  <c r="T100" i="1"/>
  <c r="U100" i="1" s="1"/>
  <c r="AL100" i="1" s="1"/>
  <c r="T103" i="1"/>
  <c r="U103" i="1" s="1"/>
  <c r="AL103" i="1" s="1"/>
  <c r="T104" i="1"/>
  <c r="U104" i="1" s="1"/>
  <c r="AL104" i="1" s="1"/>
  <c r="T105" i="1"/>
  <c r="U105" i="1" s="1"/>
  <c r="AL105" i="1" s="1"/>
  <c r="T106" i="1"/>
  <c r="U106" i="1" s="1"/>
  <c r="AL106" i="1" s="1"/>
  <c r="T107" i="1"/>
  <c r="U107" i="1" s="1"/>
  <c r="AL107" i="1" s="1"/>
  <c r="T108" i="1"/>
  <c r="U108" i="1" s="1"/>
  <c r="AL108" i="1" s="1"/>
  <c r="T111" i="1"/>
  <c r="U111" i="1" s="1"/>
  <c r="AL111" i="1" s="1"/>
  <c r="T112" i="1"/>
  <c r="U112" i="1" s="1"/>
  <c r="AL112" i="1" s="1"/>
  <c r="T113" i="1"/>
  <c r="U113" i="1" s="1"/>
  <c r="AL113" i="1" s="1"/>
  <c r="T117" i="1"/>
  <c r="U117" i="1" s="1"/>
  <c r="AL117" i="1" s="1"/>
  <c r="T119" i="1"/>
  <c r="U119" i="1" s="1"/>
  <c r="AL119" i="1" s="1"/>
  <c r="T120" i="1"/>
  <c r="U120" i="1" s="1"/>
  <c r="AL120" i="1" s="1"/>
  <c r="T121" i="1"/>
  <c r="U121" i="1" s="1"/>
  <c r="AL121" i="1" s="1"/>
  <c r="T122" i="1"/>
  <c r="U122" i="1" s="1"/>
  <c r="AL122" i="1" s="1"/>
  <c r="T123" i="1"/>
  <c r="U123" i="1" s="1"/>
  <c r="AL123" i="1" s="1"/>
  <c r="T124" i="1"/>
  <c r="U124" i="1" s="1"/>
  <c r="AL124" i="1" s="1"/>
  <c r="T125" i="1"/>
  <c r="U125" i="1" s="1"/>
  <c r="AL125" i="1" s="1"/>
  <c r="T126" i="1"/>
  <c r="U126" i="1" s="1"/>
  <c r="AL126" i="1" s="1"/>
  <c r="T128" i="1"/>
  <c r="U128" i="1" s="1"/>
  <c r="AL128" i="1" s="1"/>
  <c r="T129" i="1"/>
  <c r="U129" i="1" s="1"/>
  <c r="AL129" i="1" s="1"/>
  <c r="T130" i="1"/>
  <c r="U130" i="1" s="1"/>
  <c r="AL130" i="1" s="1"/>
  <c r="T131" i="1"/>
  <c r="U131" i="1" s="1"/>
  <c r="AL131" i="1" s="1"/>
  <c r="X10" i="1"/>
  <c r="X15" i="1"/>
  <c r="X20" i="1"/>
  <c r="X22" i="1"/>
  <c r="X27" i="1"/>
  <c r="X32" i="1"/>
  <c r="X62" i="1"/>
  <c r="X110" i="1"/>
  <c r="X114" i="1"/>
  <c r="W5" i="1"/>
  <c r="U10" i="1" l="1"/>
  <c r="AL10" i="1" s="1"/>
  <c r="V10" i="1"/>
  <c r="AM10" i="1" s="1"/>
  <c r="U20" i="1"/>
  <c r="AL20" i="1" s="1"/>
  <c r="V20" i="1"/>
  <c r="AM20" i="1" s="1"/>
  <c r="U62" i="1"/>
  <c r="AL62" i="1" s="1"/>
  <c r="V62" i="1"/>
  <c r="AM62" i="1" s="1"/>
  <c r="U15" i="1"/>
  <c r="AL15" i="1" s="1"/>
  <c r="V15" i="1"/>
  <c r="AM15" i="1" s="1"/>
  <c r="U22" i="1"/>
  <c r="AL22" i="1" s="1"/>
  <c r="V22" i="1"/>
  <c r="AM22" i="1" s="1"/>
  <c r="M131" i="1"/>
  <c r="R131" i="1" s="1"/>
  <c r="Y131" i="1" s="1"/>
  <c r="L131" i="1"/>
  <c r="M130" i="1"/>
  <c r="R130" i="1" s="1"/>
  <c r="Y130" i="1" s="1"/>
  <c r="L130" i="1"/>
  <c r="M129" i="1"/>
  <c r="R129" i="1" s="1"/>
  <c r="Y129" i="1" s="1"/>
  <c r="L129" i="1"/>
  <c r="M128" i="1"/>
  <c r="R128" i="1" s="1"/>
  <c r="Y128" i="1" s="1"/>
  <c r="L128" i="1"/>
  <c r="M127" i="1"/>
  <c r="R127" i="1" s="1"/>
  <c r="Z127" i="1" s="1"/>
  <c r="L127" i="1"/>
  <c r="M126" i="1"/>
  <c r="R126" i="1" s="1"/>
  <c r="Z126" i="1" s="1"/>
  <c r="L126" i="1"/>
  <c r="M125" i="1"/>
  <c r="R125" i="1" s="1"/>
  <c r="Y125" i="1" s="1"/>
  <c r="L125" i="1"/>
  <c r="M124" i="1"/>
  <c r="R124" i="1" s="1"/>
  <c r="Z124" i="1" s="1"/>
  <c r="L124" i="1"/>
  <c r="M123" i="1"/>
  <c r="R123" i="1" s="1"/>
  <c r="L123" i="1"/>
  <c r="M122" i="1"/>
  <c r="R122" i="1" s="1"/>
  <c r="Y122" i="1" s="1"/>
  <c r="L122" i="1"/>
  <c r="M121" i="1"/>
  <c r="R121" i="1" s="1"/>
  <c r="Y121" i="1" s="1"/>
  <c r="L121" i="1"/>
  <c r="M120" i="1"/>
  <c r="R120" i="1" s="1"/>
  <c r="Y120" i="1" s="1"/>
  <c r="L120" i="1"/>
  <c r="M119" i="1"/>
  <c r="R119" i="1" s="1"/>
  <c r="Y119" i="1" s="1"/>
  <c r="L119" i="1"/>
  <c r="M118" i="1"/>
  <c r="R118" i="1" s="1"/>
  <c r="S118" i="1" s="1"/>
  <c r="T118" i="1" s="1"/>
  <c r="L118" i="1"/>
  <c r="M117" i="1"/>
  <c r="R117" i="1" s="1"/>
  <c r="Y117" i="1" s="1"/>
  <c r="L117" i="1"/>
  <c r="M116" i="1"/>
  <c r="R116" i="1" s="1"/>
  <c r="S116" i="1" s="1"/>
  <c r="T116" i="1" s="1"/>
  <c r="L116" i="1"/>
  <c r="M115" i="1"/>
  <c r="R115" i="1" s="1"/>
  <c r="S115" i="1" s="1"/>
  <c r="T115" i="1" s="1"/>
  <c r="U115" i="1" s="1"/>
  <c r="AL115" i="1" s="1"/>
  <c r="L115" i="1"/>
  <c r="M114" i="1"/>
  <c r="R114" i="1" s="1"/>
  <c r="S114" i="1" s="1"/>
  <c r="L114" i="1"/>
  <c r="M113" i="1"/>
  <c r="R113" i="1" s="1"/>
  <c r="Y113" i="1" s="1"/>
  <c r="L113" i="1"/>
  <c r="M112" i="1"/>
  <c r="R112" i="1" s="1"/>
  <c r="Y112" i="1" s="1"/>
  <c r="L112" i="1"/>
  <c r="M111" i="1"/>
  <c r="R111" i="1" s="1"/>
  <c r="Y111" i="1" s="1"/>
  <c r="L111" i="1"/>
  <c r="M110" i="1"/>
  <c r="R110" i="1" s="1"/>
  <c r="S110" i="1" s="1"/>
  <c r="L110" i="1"/>
  <c r="M109" i="1"/>
  <c r="R109" i="1" s="1"/>
  <c r="S109" i="1" s="1"/>
  <c r="T109" i="1" s="1"/>
  <c r="L109" i="1"/>
  <c r="M108" i="1"/>
  <c r="R108" i="1" s="1"/>
  <c r="Y108" i="1" s="1"/>
  <c r="L108" i="1"/>
  <c r="M107" i="1"/>
  <c r="R107" i="1" s="1"/>
  <c r="Y107" i="1" s="1"/>
  <c r="L107" i="1"/>
  <c r="M106" i="1"/>
  <c r="R106" i="1" s="1"/>
  <c r="Z106" i="1" s="1"/>
  <c r="L106" i="1"/>
  <c r="M105" i="1"/>
  <c r="R105" i="1" s="1"/>
  <c r="Y105" i="1" s="1"/>
  <c r="L105" i="1"/>
  <c r="M104" i="1"/>
  <c r="R104" i="1" s="1"/>
  <c r="Z104" i="1" s="1"/>
  <c r="L104" i="1"/>
  <c r="M103" i="1"/>
  <c r="R103" i="1" s="1"/>
  <c r="L103" i="1"/>
  <c r="M102" i="1"/>
  <c r="R102" i="1" s="1"/>
  <c r="Z102" i="1" s="1"/>
  <c r="L102" i="1"/>
  <c r="M101" i="1"/>
  <c r="R101" i="1" s="1"/>
  <c r="L101" i="1"/>
  <c r="M100" i="1"/>
  <c r="R100" i="1" s="1"/>
  <c r="L100" i="1"/>
  <c r="M99" i="1"/>
  <c r="R99" i="1" s="1"/>
  <c r="Z99" i="1" s="1"/>
  <c r="L99" i="1"/>
  <c r="M98" i="1"/>
  <c r="R98" i="1" s="1"/>
  <c r="Y98" i="1" s="1"/>
  <c r="L98" i="1"/>
  <c r="M97" i="1"/>
  <c r="R97" i="1" s="1"/>
  <c r="Y97" i="1" s="1"/>
  <c r="L97" i="1"/>
  <c r="M96" i="1"/>
  <c r="R96" i="1" s="1"/>
  <c r="Y96" i="1" s="1"/>
  <c r="L96" i="1"/>
  <c r="M95" i="1"/>
  <c r="R95" i="1" s="1"/>
  <c r="L95" i="1"/>
  <c r="M94" i="1"/>
  <c r="R94" i="1" s="1"/>
  <c r="L94" i="1"/>
  <c r="M93" i="1"/>
  <c r="R93" i="1" s="1"/>
  <c r="S93" i="1" s="1"/>
  <c r="T93" i="1" s="1"/>
  <c r="U93" i="1" s="1"/>
  <c r="AL93" i="1" s="1"/>
  <c r="L93" i="1"/>
  <c r="M92" i="1"/>
  <c r="R92" i="1" s="1"/>
  <c r="Y92" i="1" s="1"/>
  <c r="L92" i="1"/>
  <c r="M91" i="1"/>
  <c r="R91" i="1" s="1"/>
  <c r="L91" i="1"/>
  <c r="M90" i="1"/>
  <c r="R90" i="1" s="1"/>
  <c r="S90" i="1" s="1"/>
  <c r="T90" i="1" s="1"/>
  <c r="U90" i="1" s="1"/>
  <c r="AL90" i="1" s="1"/>
  <c r="L90" i="1"/>
  <c r="M89" i="1"/>
  <c r="R89" i="1" s="1"/>
  <c r="S89" i="1" s="1"/>
  <c r="T89" i="1" s="1"/>
  <c r="L89" i="1"/>
  <c r="M88" i="1"/>
  <c r="R88" i="1" s="1"/>
  <c r="S88" i="1" s="1"/>
  <c r="T88" i="1" s="1"/>
  <c r="L88" i="1"/>
  <c r="M87" i="1"/>
  <c r="R87" i="1" s="1"/>
  <c r="Y87" i="1" s="1"/>
  <c r="L87" i="1"/>
  <c r="M86" i="1"/>
  <c r="R86" i="1" s="1"/>
  <c r="S86" i="1" s="1"/>
  <c r="T86" i="1" s="1"/>
  <c r="U86" i="1" s="1"/>
  <c r="AL86" i="1" s="1"/>
  <c r="L86" i="1"/>
  <c r="M85" i="1"/>
  <c r="R85" i="1" s="1"/>
  <c r="S85" i="1" s="1"/>
  <c r="T85" i="1" s="1"/>
  <c r="L85" i="1"/>
  <c r="M84" i="1"/>
  <c r="R84" i="1" s="1"/>
  <c r="Y84" i="1" s="1"/>
  <c r="L84" i="1"/>
  <c r="M83" i="1"/>
  <c r="R83" i="1" s="1"/>
  <c r="Y83" i="1" s="1"/>
  <c r="L83" i="1"/>
  <c r="M82" i="1"/>
  <c r="R82" i="1" s="1"/>
  <c r="Y82" i="1" s="1"/>
  <c r="L82" i="1"/>
  <c r="M81" i="1"/>
  <c r="R81" i="1" s="1"/>
  <c r="S81" i="1" s="1"/>
  <c r="T81" i="1" s="1"/>
  <c r="U81" i="1" s="1"/>
  <c r="AL81" i="1" s="1"/>
  <c r="L81" i="1"/>
  <c r="M80" i="1"/>
  <c r="R80" i="1" s="1"/>
  <c r="Y80" i="1" s="1"/>
  <c r="L80" i="1"/>
  <c r="M79" i="1"/>
  <c r="R79" i="1" s="1"/>
  <c r="S79" i="1" s="1"/>
  <c r="T79" i="1" s="1"/>
  <c r="U79" i="1" s="1"/>
  <c r="AL79" i="1" s="1"/>
  <c r="L79" i="1"/>
  <c r="M78" i="1"/>
  <c r="R78" i="1" s="1"/>
  <c r="S78" i="1" s="1"/>
  <c r="T78" i="1" s="1"/>
  <c r="U78" i="1" s="1"/>
  <c r="AL78" i="1" s="1"/>
  <c r="L78" i="1"/>
  <c r="M77" i="1"/>
  <c r="R77" i="1" s="1"/>
  <c r="Y77" i="1" s="1"/>
  <c r="L77" i="1"/>
  <c r="M76" i="1"/>
  <c r="R76" i="1" s="1"/>
  <c r="S76" i="1" s="1"/>
  <c r="T76" i="1" s="1"/>
  <c r="U76" i="1" s="1"/>
  <c r="AL76" i="1" s="1"/>
  <c r="L76" i="1"/>
  <c r="M75" i="1"/>
  <c r="R75" i="1" s="1"/>
  <c r="S75" i="1" s="1"/>
  <c r="T75" i="1" s="1"/>
  <c r="U75" i="1" s="1"/>
  <c r="AL75" i="1" s="1"/>
  <c r="L75" i="1"/>
  <c r="M74" i="1"/>
  <c r="R74" i="1" s="1"/>
  <c r="Y74" i="1" s="1"/>
  <c r="L74" i="1"/>
  <c r="M73" i="1"/>
  <c r="R73" i="1" s="1"/>
  <c r="L73" i="1"/>
  <c r="M72" i="1"/>
  <c r="R72" i="1" s="1"/>
  <c r="Y72" i="1" s="1"/>
  <c r="L72" i="1"/>
  <c r="M71" i="1"/>
  <c r="R71" i="1" s="1"/>
  <c r="Y71" i="1" s="1"/>
  <c r="L71" i="1"/>
  <c r="M70" i="1"/>
  <c r="R70" i="1" s="1"/>
  <c r="Y70" i="1" s="1"/>
  <c r="L70" i="1"/>
  <c r="M69" i="1"/>
  <c r="R69" i="1" s="1"/>
  <c r="Y69" i="1" s="1"/>
  <c r="L69" i="1"/>
  <c r="M68" i="1"/>
  <c r="R68" i="1" s="1"/>
  <c r="Y68" i="1" s="1"/>
  <c r="L68" i="1"/>
  <c r="M67" i="1"/>
  <c r="R67" i="1" s="1"/>
  <c r="Y67" i="1" s="1"/>
  <c r="L67" i="1"/>
  <c r="M66" i="1"/>
  <c r="R66" i="1" s="1"/>
  <c r="Y66" i="1" s="1"/>
  <c r="L66" i="1"/>
  <c r="M65" i="1"/>
  <c r="R65" i="1" s="1"/>
  <c r="Y65" i="1" s="1"/>
  <c r="L65" i="1"/>
  <c r="M64" i="1"/>
  <c r="R64" i="1" s="1"/>
  <c r="S64" i="1" s="1"/>
  <c r="T64" i="1" s="1"/>
  <c r="L64" i="1"/>
  <c r="M63" i="1"/>
  <c r="R63" i="1" s="1"/>
  <c r="S63" i="1" s="1"/>
  <c r="T63" i="1" s="1"/>
  <c r="L63" i="1"/>
  <c r="M62" i="1"/>
  <c r="R62" i="1" s="1"/>
  <c r="Y62" i="1" s="1"/>
  <c r="L62" i="1"/>
  <c r="M61" i="1"/>
  <c r="R61" i="1" s="1"/>
  <c r="Y61" i="1" s="1"/>
  <c r="L61" i="1"/>
  <c r="M60" i="1"/>
  <c r="R60" i="1" s="1"/>
  <c r="S60" i="1" s="1"/>
  <c r="T60" i="1" s="1"/>
  <c r="U60" i="1" s="1"/>
  <c r="AL60" i="1" s="1"/>
  <c r="L60" i="1"/>
  <c r="M59" i="1"/>
  <c r="R59" i="1" s="1"/>
  <c r="S59" i="1" s="1"/>
  <c r="T59" i="1" s="1"/>
  <c r="U59" i="1" s="1"/>
  <c r="AL59" i="1" s="1"/>
  <c r="L59" i="1"/>
  <c r="M58" i="1"/>
  <c r="R58" i="1" s="1"/>
  <c r="S58" i="1" s="1"/>
  <c r="T58" i="1" s="1"/>
  <c r="U58" i="1" s="1"/>
  <c r="AL58" i="1" s="1"/>
  <c r="L58" i="1"/>
  <c r="M57" i="1"/>
  <c r="R57" i="1" s="1"/>
  <c r="Y57" i="1" s="1"/>
  <c r="L57" i="1"/>
  <c r="F56" i="1"/>
  <c r="E56" i="1"/>
  <c r="L56" i="1" s="1"/>
  <c r="M55" i="1"/>
  <c r="R55" i="1" s="1"/>
  <c r="L55" i="1"/>
  <c r="M54" i="1"/>
  <c r="R54" i="1" s="1"/>
  <c r="Z54" i="1" s="1"/>
  <c r="L54" i="1"/>
  <c r="M53" i="1"/>
  <c r="R53" i="1" s="1"/>
  <c r="Y53" i="1" s="1"/>
  <c r="L53" i="1"/>
  <c r="M52" i="1"/>
  <c r="R52" i="1" s="1"/>
  <c r="S52" i="1" s="1"/>
  <c r="T52" i="1" s="1"/>
  <c r="L52" i="1"/>
  <c r="M51" i="1"/>
  <c r="R51" i="1" s="1"/>
  <c r="S51" i="1" s="1"/>
  <c r="T51" i="1" s="1"/>
  <c r="L51" i="1"/>
  <c r="M50" i="1"/>
  <c r="R50" i="1" s="1"/>
  <c r="Y50" i="1" s="1"/>
  <c r="L50" i="1"/>
  <c r="M49" i="1"/>
  <c r="R49" i="1" s="1"/>
  <c r="Y49" i="1" s="1"/>
  <c r="L49" i="1"/>
  <c r="M48" i="1"/>
  <c r="R48" i="1" s="1"/>
  <c r="S48" i="1" s="1"/>
  <c r="T48" i="1" s="1"/>
  <c r="U48" i="1" s="1"/>
  <c r="AL48" i="1" s="1"/>
  <c r="L48" i="1"/>
  <c r="M47" i="1"/>
  <c r="R47" i="1" s="1"/>
  <c r="S47" i="1" s="1"/>
  <c r="T47" i="1" s="1"/>
  <c r="U47" i="1" s="1"/>
  <c r="AL47" i="1" s="1"/>
  <c r="L47" i="1"/>
  <c r="M46" i="1"/>
  <c r="R46" i="1" s="1"/>
  <c r="Y46" i="1" s="1"/>
  <c r="L46" i="1"/>
  <c r="M45" i="1"/>
  <c r="R45" i="1" s="1"/>
  <c r="Y45" i="1" s="1"/>
  <c r="L45" i="1"/>
  <c r="M44" i="1"/>
  <c r="R44" i="1" s="1"/>
  <c r="S44" i="1" s="1"/>
  <c r="T44" i="1" s="1"/>
  <c r="L44" i="1"/>
  <c r="M43" i="1"/>
  <c r="R43" i="1" s="1"/>
  <c r="L43" i="1"/>
  <c r="M42" i="1"/>
  <c r="R42" i="1" s="1"/>
  <c r="S42" i="1" s="1"/>
  <c r="T42" i="1" s="1"/>
  <c r="U42" i="1" s="1"/>
  <c r="AL42" i="1" s="1"/>
  <c r="L42" i="1"/>
  <c r="M41" i="1"/>
  <c r="R41" i="1" s="1"/>
  <c r="Y41" i="1" s="1"/>
  <c r="L41" i="1"/>
  <c r="M40" i="1"/>
  <c r="R40" i="1" s="1"/>
  <c r="Y40" i="1" s="1"/>
  <c r="L40" i="1"/>
  <c r="M39" i="1"/>
  <c r="R39" i="1" s="1"/>
  <c r="Y39" i="1" s="1"/>
  <c r="L39" i="1"/>
  <c r="M38" i="1"/>
  <c r="R38" i="1" s="1"/>
  <c r="Y38" i="1" s="1"/>
  <c r="L38" i="1"/>
  <c r="M37" i="1"/>
  <c r="R37" i="1" s="1"/>
  <c r="S37" i="1" s="1"/>
  <c r="T37" i="1" s="1"/>
  <c r="L37" i="1"/>
  <c r="M36" i="1"/>
  <c r="R36" i="1" s="1"/>
  <c r="Y36" i="1" s="1"/>
  <c r="L36" i="1"/>
  <c r="M35" i="1"/>
  <c r="R35" i="1" s="1"/>
  <c r="S35" i="1" s="1"/>
  <c r="T35" i="1" s="1"/>
  <c r="L35" i="1"/>
  <c r="M34" i="1"/>
  <c r="R34" i="1" s="1"/>
  <c r="Y34" i="1" s="1"/>
  <c r="L34" i="1"/>
  <c r="M33" i="1"/>
  <c r="R33" i="1" s="1"/>
  <c r="Y33" i="1" s="1"/>
  <c r="L33" i="1"/>
  <c r="M32" i="1"/>
  <c r="R32" i="1" s="1"/>
  <c r="Y32" i="1" s="1"/>
  <c r="L32" i="1"/>
  <c r="M31" i="1"/>
  <c r="R31" i="1" s="1"/>
  <c r="Y31" i="1" s="1"/>
  <c r="L31" i="1"/>
  <c r="M30" i="1"/>
  <c r="R30" i="1" s="1"/>
  <c r="S30" i="1" s="1"/>
  <c r="T30" i="1" s="1"/>
  <c r="L30" i="1"/>
  <c r="M29" i="1"/>
  <c r="R29" i="1" s="1"/>
  <c r="S29" i="1" s="1"/>
  <c r="T29" i="1" s="1"/>
  <c r="L29" i="1"/>
  <c r="M28" i="1"/>
  <c r="R28" i="1" s="1"/>
  <c r="Y28" i="1" s="1"/>
  <c r="L28" i="1"/>
  <c r="M27" i="1"/>
  <c r="R27" i="1" s="1"/>
  <c r="Y27" i="1" s="1"/>
  <c r="L27" i="1"/>
  <c r="M26" i="1"/>
  <c r="R26" i="1" s="1"/>
  <c r="S26" i="1" s="1"/>
  <c r="T26" i="1" s="1"/>
  <c r="U26" i="1" s="1"/>
  <c r="AL26" i="1" s="1"/>
  <c r="L26" i="1"/>
  <c r="M25" i="1"/>
  <c r="R25" i="1" s="1"/>
  <c r="Y25" i="1" s="1"/>
  <c r="L25" i="1"/>
  <c r="M24" i="1"/>
  <c r="R24" i="1" s="1"/>
  <c r="S24" i="1" s="1"/>
  <c r="T24" i="1" s="1"/>
  <c r="L24" i="1"/>
  <c r="M23" i="1"/>
  <c r="R23" i="1" s="1"/>
  <c r="Y23" i="1" s="1"/>
  <c r="L23" i="1"/>
  <c r="M22" i="1"/>
  <c r="R22" i="1" s="1"/>
  <c r="Y22" i="1" s="1"/>
  <c r="L22" i="1"/>
  <c r="M21" i="1"/>
  <c r="R21" i="1" s="1"/>
  <c r="S21" i="1" s="1"/>
  <c r="T21" i="1" s="1"/>
  <c r="U21" i="1" s="1"/>
  <c r="AL21" i="1" s="1"/>
  <c r="L21" i="1"/>
  <c r="M20" i="1"/>
  <c r="R20" i="1" s="1"/>
  <c r="Y20" i="1" s="1"/>
  <c r="L20" i="1"/>
  <c r="M19" i="1"/>
  <c r="R19" i="1" s="1"/>
  <c r="Y19" i="1" s="1"/>
  <c r="L19" i="1"/>
  <c r="M18" i="1"/>
  <c r="R18" i="1" s="1"/>
  <c r="Y18" i="1" s="1"/>
  <c r="L18" i="1"/>
  <c r="M17" i="1"/>
  <c r="R17" i="1" s="1"/>
  <c r="L17" i="1"/>
  <c r="M16" i="1"/>
  <c r="R16" i="1" s="1"/>
  <c r="L16" i="1"/>
  <c r="M15" i="1"/>
  <c r="R15" i="1" s="1"/>
  <c r="L15" i="1"/>
  <c r="M14" i="1"/>
  <c r="R14" i="1" s="1"/>
  <c r="Y14" i="1" s="1"/>
  <c r="L14" i="1"/>
  <c r="M13" i="1"/>
  <c r="R13" i="1" s="1"/>
  <c r="Y13" i="1" s="1"/>
  <c r="L13" i="1"/>
  <c r="M12" i="1"/>
  <c r="R12" i="1" s="1"/>
  <c r="Y12" i="1" s="1"/>
  <c r="L12" i="1"/>
  <c r="M11" i="1"/>
  <c r="R11" i="1" s="1"/>
  <c r="L11" i="1"/>
  <c r="M10" i="1"/>
  <c r="R10" i="1" s="1"/>
  <c r="L10" i="1"/>
  <c r="M9" i="1"/>
  <c r="R9" i="1" s="1"/>
  <c r="Y9" i="1" s="1"/>
  <c r="L9" i="1"/>
  <c r="M8" i="1"/>
  <c r="R8" i="1" s="1"/>
  <c r="L8" i="1"/>
  <c r="M7" i="1"/>
  <c r="R7" i="1" s="1"/>
  <c r="L7" i="1"/>
  <c r="M6" i="1"/>
  <c r="R6" i="1" s="1"/>
  <c r="L6" i="1"/>
  <c r="AJ5" i="1"/>
  <c r="AI5" i="1"/>
  <c r="AH5" i="1"/>
  <c r="AG5" i="1"/>
  <c r="AF5" i="1"/>
  <c r="AE5" i="1"/>
  <c r="AD5" i="1"/>
  <c r="AC5" i="1"/>
  <c r="AB5" i="1"/>
  <c r="AA5" i="1"/>
  <c r="Q5" i="1"/>
  <c r="P5" i="1"/>
  <c r="O5" i="1"/>
  <c r="N5" i="1"/>
  <c r="K5" i="1"/>
  <c r="U29" i="1" l="1"/>
  <c r="AL29" i="1" s="1"/>
  <c r="V29" i="1"/>
  <c r="AM29" i="1" s="1"/>
  <c r="U30" i="1"/>
  <c r="AL30" i="1" s="1"/>
  <c r="V30" i="1"/>
  <c r="AM30" i="1" s="1"/>
  <c r="U35" i="1"/>
  <c r="AL35" i="1" s="1"/>
  <c r="V35" i="1"/>
  <c r="AM35" i="1" s="1"/>
  <c r="U37" i="1"/>
  <c r="AL37" i="1" s="1"/>
  <c r="V37" i="1"/>
  <c r="AM37" i="1" s="1"/>
  <c r="U44" i="1"/>
  <c r="AL44" i="1" s="1"/>
  <c r="V44" i="1"/>
  <c r="AM44" i="1" s="1"/>
  <c r="U51" i="1"/>
  <c r="AL51" i="1" s="1"/>
  <c r="V51" i="1"/>
  <c r="AM51" i="1" s="1"/>
  <c r="U52" i="1"/>
  <c r="AL52" i="1" s="1"/>
  <c r="V52" i="1"/>
  <c r="AM52" i="1" s="1"/>
  <c r="U63" i="1"/>
  <c r="AL63" i="1" s="1"/>
  <c r="V63" i="1"/>
  <c r="AM63" i="1" s="1"/>
  <c r="U64" i="1"/>
  <c r="AL64" i="1" s="1"/>
  <c r="V64" i="1"/>
  <c r="AM64" i="1" s="1"/>
  <c r="U85" i="1"/>
  <c r="AL85" i="1" s="1"/>
  <c r="V85" i="1"/>
  <c r="AM85" i="1" s="1"/>
  <c r="U88" i="1"/>
  <c r="AL88" i="1" s="1"/>
  <c r="V88" i="1"/>
  <c r="AM88" i="1" s="1"/>
  <c r="U89" i="1"/>
  <c r="AL89" i="1" s="1"/>
  <c r="V89" i="1"/>
  <c r="AM89" i="1" s="1"/>
  <c r="U109" i="1"/>
  <c r="AL109" i="1" s="1"/>
  <c r="V109" i="1"/>
  <c r="AM109" i="1" s="1"/>
  <c r="U116" i="1"/>
  <c r="AL116" i="1" s="1"/>
  <c r="V116" i="1"/>
  <c r="AM116" i="1" s="1"/>
  <c r="U118" i="1"/>
  <c r="AL118" i="1" s="1"/>
  <c r="V118" i="1"/>
  <c r="AM118" i="1" s="1"/>
  <c r="U24" i="1"/>
  <c r="AL24" i="1" s="1"/>
  <c r="V24" i="1"/>
  <c r="AM24" i="1" s="1"/>
  <c r="T55" i="1"/>
  <c r="U55" i="1" s="1"/>
  <c r="AL55" i="1" s="1"/>
  <c r="Y106" i="1"/>
  <c r="Y124" i="1"/>
  <c r="Y21" i="1"/>
  <c r="Y24" i="1"/>
  <c r="Y26" i="1"/>
  <c r="Y29" i="1"/>
  <c r="Y30" i="1"/>
  <c r="Y35" i="1"/>
  <c r="Y37" i="1"/>
  <c r="Y42" i="1"/>
  <c r="Y44" i="1"/>
  <c r="Y47" i="1"/>
  <c r="Y48" i="1"/>
  <c r="Y51" i="1"/>
  <c r="Y52" i="1"/>
  <c r="Y58" i="1"/>
  <c r="Y59" i="1"/>
  <c r="Y60" i="1"/>
  <c r="Y63" i="1"/>
  <c r="Y64" i="1"/>
  <c r="Z73" i="1"/>
  <c r="Y73" i="1"/>
  <c r="Y75" i="1"/>
  <c r="Y76" i="1"/>
  <c r="Y78" i="1"/>
  <c r="Y79" i="1"/>
  <c r="Y81" i="1"/>
  <c r="Y85" i="1"/>
  <c r="Y86" i="1"/>
  <c r="Y88" i="1"/>
  <c r="Y89" i="1"/>
  <c r="Y90" i="1"/>
  <c r="Z91" i="1"/>
  <c r="Y91" i="1"/>
  <c r="Y93" i="1"/>
  <c r="Z100" i="1"/>
  <c r="Y100" i="1"/>
  <c r="Z103" i="1"/>
  <c r="Y103" i="1"/>
  <c r="Y109" i="1"/>
  <c r="Y110" i="1"/>
  <c r="Y114" i="1"/>
  <c r="Y115" i="1"/>
  <c r="Y116" i="1"/>
  <c r="Y118" i="1"/>
  <c r="Z123" i="1"/>
  <c r="Y123" i="1"/>
  <c r="Y104" i="1"/>
  <c r="Y126" i="1"/>
  <c r="S94" i="1"/>
  <c r="T94" i="1" s="1"/>
  <c r="U94" i="1" s="1"/>
  <c r="AL94" i="1" s="1"/>
  <c r="S95" i="1"/>
  <c r="T95" i="1" s="1"/>
  <c r="U95" i="1" s="1"/>
  <c r="AL95" i="1" s="1"/>
  <c r="S43" i="1"/>
  <c r="T43" i="1" s="1"/>
  <c r="E5" i="1"/>
  <c r="Z129" i="1"/>
  <c r="S102" i="1"/>
  <c r="T102" i="1" s="1"/>
  <c r="Z115" i="1"/>
  <c r="S8" i="1"/>
  <c r="T8" i="1" s="1"/>
  <c r="S16" i="1"/>
  <c r="T16" i="1" s="1"/>
  <c r="Z53" i="1"/>
  <c r="Z101" i="1"/>
  <c r="S101" i="1"/>
  <c r="T101" i="1" s="1"/>
  <c r="U101" i="1" s="1"/>
  <c r="AL101" i="1" s="1"/>
  <c r="Z107" i="1"/>
  <c r="Z125" i="1"/>
  <c r="Z128" i="1"/>
  <c r="S17" i="1"/>
  <c r="T17" i="1" s="1"/>
  <c r="U17" i="1" s="1"/>
  <c r="AL17" i="1" s="1"/>
  <c r="S6" i="1"/>
  <c r="T6" i="1" s="1"/>
  <c r="S10" i="1"/>
  <c r="Z55" i="1"/>
  <c r="Z105" i="1"/>
  <c r="S7" i="1"/>
  <c r="T7" i="1" s="1"/>
  <c r="S11" i="1"/>
  <c r="T11" i="1" s="1"/>
  <c r="S15" i="1"/>
  <c r="S54" i="1"/>
  <c r="T54" i="1" s="1"/>
  <c r="U54" i="1" s="1"/>
  <c r="AL54" i="1" s="1"/>
  <c r="S99" i="1"/>
  <c r="T99" i="1" s="1"/>
  <c r="S127" i="1"/>
  <c r="T127" i="1" s="1"/>
  <c r="U127" i="1" s="1"/>
  <c r="AL127" i="1" s="1"/>
  <c r="Z38" i="1"/>
  <c r="Z40" i="1"/>
  <c r="Z42" i="1"/>
  <c r="Z44" i="1"/>
  <c r="Z46" i="1"/>
  <c r="Z48" i="1"/>
  <c r="Z50" i="1"/>
  <c r="Z58" i="1"/>
  <c r="Z60" i="1"/>
  <c r="Z62" i="1"/>
  <c r="Z64" i="1"/>
  <c r="Z66" i="1"/>
  <c r="Z68" i="1"/>
  <c r="Z70" i="1"/>
  <c r="Z75" i="1"/>
  <c r="Z77" i="1"/>
  <c r="Z79" i="1"/>
  <c r="Z81" i="1"/>
  <c r="Z83" i="1"/>
  <c r="Z85" i="1"/>
  <c r="Z93" i="1"/>
  <c r="Z109" i="1"/>
  <c r="Z117" i="1"/>
  <c r="Z131" i="1"/>
  <c r="Z37" i="1"/>
  <c r="Z39" i="1"/>
  <c r="Z41" i="1"/>
  <c r="Z43" i="1"/>
  <c r="Z45" i="1"/>
  <c r="Z47" i="1"/>
  <c r="Z49" i="1"/>
  <c r="Z51" i="1"/>
  <c r="Z57" i="1"/>
  <c r="Z59" i="1"/>
  <c r="Z61" i="1"/>
  <c r="Z63" i="1"/>
  <c r="Z65" i="1"/>
  <c r="Z67" i="1"/>
  <c r="Z69" i="1"/>
  <c r="Z76" i="1"/>
  <c r="Z78" i="1"/>
  <c r="Z80" i="1"/>
  <c r="Z82" i="1"/>
  <c r="Z84" i="1"/>
  <c r="Z87" i="1"/>
  <c r="Z89" i="1"/>
  <c r="Z95" i="1"/>
  <c r="Z97" i="1"/>
  <c r="Z111" i="1"/>
  <c r="Z113" i="1"/>
  <c r="Z119" i="1"/>
  <c r="Z121" i="1"/>
  <c r="L5" i="1"/>
  <c r="M56" i="1"/>
  <c r="Z19" i="1"/>
  <c r="Z21" i="1"/>
  <c r="Z23" i="1"/>
  <c r="Z27" i="1"/>
  <c r="Z30" i="1"/>
  <c r="Z33" i="1"/>
  <c r="Z36" i="1"/>
  <c r="Z20" i="1"/>
  <c r="Z22" i="1"/>
  <c r="Z26" i="1"/>
  <c r="Z29" i="1"/>
  <c r="Z31" i="1"/>
  <c r="Z3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4" i="1"/>
  <c r="Z25" i="1"/>
  <c r="Z28" i="1"/>
  <c r="Z32" i="1"/>
  <c r="Z34" i="1"/>
  <c r="Z74" i="1"/>
  <c r="Z88" i="1"/>
  <c r="Z92" i="1"/>
  <c r="Z96" i="1"/>
  <c r="Z108" i="1"/>
  <c r="Z112" i="1"/>
  <c r="Z116" i="1"/>
  <c r="Z120" i="1"/>
  <c r="Z130" i="1"/>
  <c r="F5" i="1"/>
  <c r="Z52" i="1"/>
  <c r="Z71" i="1"/>
  <c r="Z72" i="1"/>
  <c r="Z86" i="1"/>
  <c r="Z90" i="1"/>
  <c r="Z94" i="1"/>
  <c r="Z98" i="1"/>
  <c r="Z110" i="1"/>
  <c r="Z114" i="1"/>
  <c r="Z118" i="1"/>
  <c r="Z122" i="1"/>
  <c r="V99" i="1" l="1"/>
  <c r="AM99" i="1" s="1"/>
  <c r="V7" i="1"/>
  <c r="AM7" i="1" s="1"/>
  <c r="V16" i="1"/>
  <c r="AM16" i="1" s="1"/>
  <c r="V43" i="1"/>
  <c r="AM43" i="1" s="1"/>
  <c r="V11" i="1"/>
  <c r="AM11" i="1" s="1"/>
  <c r="V8" i="1"/>
  <c r="AM8" i="1" s="1"/>
  <c r="V102" i="1"/>
  <c r="AM102" i="1" s="1"/>
  <c r="Y55" i="1"/>
  <c r="Y127" i="1"/>
  <c r="Y54" i="1"/>
  <c r="Y11" i="1"/>
  <c r="Y10" i="1"/>
  <c r="Y17" i="1"/>
  <c r="Y101" i="1"/>
  <c r="Y8" i="1"/>
  <c r="Y102" i="1"/>
  <c r="Y95" i="1"/>
  <c r="Y99" i="1"/>
  <c r="Y15" i="1"/>
  <c r="Y7" i="1"/>
  <c r="Y6" i="1"/>
  <c r="Y16" i="1"/>
  <c r="Y43" i="1"/>
  <c r="Y94" i="1"/>
  <c r="R56" i="1"/>
  <c r="S56" i="1" s="1"/>
  <c r="T56" i="1" s="1"/>
  <c r="M5" i="1"/>
  <c r="AM6" i="1" l="1"/>
  <c r="AM5" i="1" s="1"/>
  <c r="AM1" i="1" s="1"/>
  <c r="V5" i="1"/>
  <c r="U102" i="1"/>
  <c r="AL102" i="1" s="1"/>
  <c r="U8" i="1"/>
  <c r="AL8" i="1" s="1"/>
  <c r="U11" i="1"/>
  <c r="AL11" i="1" s="1"/>
  <c r="U43" i="1"/>
  <c r="AL43" i="1" s="1"/>
  <c r="U16" i="1"/>
  <c r="AL16" i="1" s="1"/>
  <c r="U6" i="1"/>
  <c r="AL6" i="1" s="1"/>
  <c r="U7" i="1"/>
  <c r="AL7" i="1" s="1"/>
  <c r="U99" i="1"/>
  <c r="AL99" i="1" s="1"/>
  <c r="T5" i="1"/>
  <c r="U56" i="1"/>
  <c r="Y56" i="1"/>
  <c r="S5" i="1"/>
  <c r="R5" i="1"/>
  <c r="Z56" i="1"/>
  <c r="AL56" i="1" l="1"/>
  <c r="AL5" i="1" s="1"/>
  <c r="AL1" i="1" s="1"/>
  <c r="U5" i="1"/>
</calcChain>
</file>

<file path=xl/sharedStrings.xml><?xml version="1.0" encoding="utf-8"?>
<sst xmlns="http://schemas.openxmlformats.org/spreadsheetml/2006/main" count="482" uniqueCount="204">
  <si>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</si>
  <si>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</si>
  <si>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</si>
  <si>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</si>
  <si>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</si>
  <si>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</si>
  <si>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</si>
  <si>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</si>
  <si>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</si>
  <si>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</si>
  <si>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</si>
  <si>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</si>
  <si>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</si>
  <si>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</si>
  <si>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</si>
  <si>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</si>
  <si>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</si>
  <si>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</si>
  <si>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</si>
  <si>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</si>
  <si>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</si>
  <si>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</si>
  <si>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</si>
  <si>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</si>
  <si>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</si>
  <si>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</si>
  <si>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</si>
  <si>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</si>
  <si>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</si>
  <si>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</si>
  <si>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</si>
  <si>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</si>
  <si>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</si>
  <si>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</si>
  <si>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</si>
  <si>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</si>
  <si>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</si>
  <si>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</si>
  <si>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</si>
  <si>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</si>
  <si>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</si>
  <si>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</si>
  <si>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</si>
  <si>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</si>
  <si>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</si>
  <si>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</si>
  <si>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</si>
  <si>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</si>
  <si>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</si>
  <si>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</si>
  <si>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</si>
  <si>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</si>
  <si>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</si>
  <si>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</si>
  <si>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</si>
  <si>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</si>
  <si>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</si>
  <si>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</si>
  <si>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</si>
  <si>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</si>
  <si>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</si>
  <si>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</si>
  <si>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</si>
  <si>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>нужно увеличить продажи!!!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</si>
  <si>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</si>
  <si>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</si>
  <si>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</si>
  <si>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</si>
  <si>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</si>
  <si>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</si>
  <si>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</si>
  <si>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</si>
  <si>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</si>
  <si>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</si>
  <si>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</si>
  <si>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>600шт заказано под ЮТЛ (21,10,26) / 1200шт заказано под ЮТЛ (09,10,26)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</si>
  <si>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</si>
  <si>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</si>
  <si>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</si>
  <si>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</si>
  <si>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</si>
  <si>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</si>
  <si>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</si>
  <si>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</si>
  <si>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</si>
  <si>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</si>
  <si>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!!! / НЕДОГРУЗ / матрица</t>
  </si>
  <si>
    <t>700шт заказано под ЮТЛ (21,10,26) / 1500шт заказано под ЮТЛ (09,10,26) / 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</si>
  <si>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</si>
  <si>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</si>
  <si>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</si>
  <si>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</si>
  <si>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</si>
  <si>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</si>
  <si>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</si>
  <si>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</si>
  <si>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38шт в уценке (07,10,26)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</si>
  <si>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</si>
  <si>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</si>
  <si>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</si>
  <si>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</si>
  <si>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</si>
  <si>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</si>
  <si>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</si>
  <si>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</si>
  <si>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</si>
  <si>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</si>
  <si>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</si>
  <si>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</si>
  <si>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</si>
  <si>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</si>
  <si>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</si>
  <si>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</si>
  <si>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</si>
  <si>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заказываем с 02,10,26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</si>
  <si>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</si>
  <si>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</si>
  <si>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</si>
  <si>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</si>
  <si>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</si>
  <si>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</si>
  <si>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</si>
  <si>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</si>
  <si>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</si>
  <si>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</si>
  <si>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</si>
  <si>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</si>
  <si>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</si>
  <si>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</si>
  <si>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</si>
  <si>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</si>
  <si>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</si>
  <si>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>356шт в уценку (07,10,26) / 85шт в уценку (01,10,26)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</si>
  <si>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</si>
  <si>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</si>
  <si>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</si>
  <si>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</si>
  <si>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</si>
  <si>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</si>
  <si>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22шт списано (19,10,26)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</si>
  <si>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</si>
  <si>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</si>
  <si>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</si>
  <si>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</si>
  <si>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</si>
  <si>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</si>
  <si>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</si>
  <si>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</si>
  <si>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347шт в уценку (20,10,26)</t>
  </si>
  <si>
    <t xml:space="preserve"> 555  Колбаса Молокуша ТМ Вязанка в модифицированной газовой среде 0,17 кг нарезка  ПОКОМ</t>
  </si>
  <si>
    <t>48шт в уценке (07,10,26) / 298шт списано (29,09,26)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</si>
  <si>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</si>
  <si>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</si>
  <si>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</si>
  <si>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</si>
  <si>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</si>
  <si>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</si>
  <si>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</si>
  <si>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</si>
  <si>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</si>
  <si>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</si>
  <si>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145шт в уценку (20,10,26)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</si>
  <si>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</si>
  <si>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</si>
  <si>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</si>
  <si>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</si>
  <si>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50шт в уценку (20,10,26)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</si>
  <si>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</si>
  <si>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</si>
  <si>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</si>
  <si>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</si>
  <si>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</si>
  <si>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</si>
  <si>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</si>
  <si>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</si>
  <si>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</si>
  <si>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</si>
  <si>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</si>
  <si>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</si>
  <si>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</si>
  <si>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</si>
  <si>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</si>
  <si>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</si>
  <si>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</si>
  <si>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SU002971 / нет потребности</t>
  </si>
  <si>
    <t>SU001340 / нет потребности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</si>
  <si>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30кг в уценке (20,10,26) / 28кг в уценке (07,10,26)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</si>
  <si>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</si>
  <si>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1200шт заказано под ЮТ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</si>
  <si>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 кг списано (19,09,26)</t>
    </r>
  </si>
  <si>
    <t>нужно увеличить продажи / 403шт списано (29,09,26)</t>
  </si>
  <si>
    <t>67шт списано (22,10,26) / 124шт в уценку (20,10,26)</t>
  </si>
  <si>
    <t xml:space="preserve"> 640  Шпикачки Зареченские ТС Зареченские продукты в оболочке полиамид в мод.газ.среде НД2  ПОКОМ</t>
  </si>
  <si>
    <t xml:space="preserve"> 253  Сосиски Ганноверские   ПОКОМ</t>
  </si>
  <si>
    <t>итого</t>
  </si>
  <si>
    <t>ТК</t>
  </si>
  <si>
    <t>Рекуто</t>
  </si>
  <si>
    <t>ТК ком</t>
  </si>
  <si>
    <t>заказываем с 28,10,26</t>
  </si>
  <si>
    <t>дн</t>
  </si>
  <si>
    <t>заказ</t>
  </si>
  <si>
    <t>31,10,</t>
  </si>
  <si>
    <t>01,11,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</si>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</sst>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  <xf numFmtId="164" fontId="5" fillId="8" borderId="1" xfId="1" applyNumberFormat="1" applyFont="1" applyFill="1"/>
    <xf numFmtId="164" fontId="1" fillId="5" borderId="2" xfId="1" applyNumberFormat="1" applyFill="1" applyBorder="1"/>
    <xf numFmtId="164" fontId="1" fillId="0" borderId="1" xfId="1" applyNumberFormat="1" applyBorder="1"/>
    <xf numFmtId="164" fontId="1" fillId="6" borderId="1" xfId="1" applyNumberFormat="1" applyFill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44;&#1086;&#1085;&#1077;&#1094;&#1082;%20(&#1056;&#1077;&#1082;&#1091;&#1090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увеличить:</v>
          </cell>
        </row>
        <row r="2">
          <cell r="A2" t="str">
            <v xml:space="preserve"> 200  Ветчина Дугушка ТМ Стародворье, вектор в/у    ПОКОМ</v>
          </cell>
          <cell r="B2" t="str">
            <v>до 1400 кг</v>
          </cell>
        </row>
        <row r="3">
          <cell r="A3" t="str">
            <v xml:space="preserve"> 229  Колбаса Молочная Дугушка, в/у, ВЕС, ТМ Стародворье   ПОКОМ</v>
          </cell>
          <cell r="B3" t="str">
            <v>до 1000 кг</v>
          </cell>
        </row>
        <row r="4">
          <cell r="A4" t="str">
            <v xml:space="preserve"> 239  Колбаса Салями запеч Дугушка, оболочка вектор, ВЕС, ТМ Стародворье  ПОКОМ</v>
          </cell>
          <cell r="B4" t="str">
            <v>750 кг</v>
          </cell>
        </row>
        <row r="5">
          <cell r="A5" t="str">
            <v xml:space="preserve"> 247  Сардельки Нежные, ВЕС.  ПОКОМ</v>
          </cell>
          <cell r="B5" t="str">
            <v>150 кг</v>
          </cell>
        </row>
        <row r="6">
          <cell r="A6" t="str">
            <v xml:space="preserve"> 263  Шпикачки Стародворские, ВЕС.  ПОКОМ</v>
          </cell>
          <cell r="B6" t="str">
            <v>до 150 кг</v>
          </cell>
        </row>
        <row r="7">
          <cell r="A7" t="str">
            <v xml:space="preserve"> 341 Сосиски Сочинки Сливочные ТМ Стародворье ВЕС ПОКОМ</v>
          </cell>
          <cell r="B7" t="str">
            <v>до 250 кг</v>
          </cell>
        </row>
        <row r="8">
          <cell r="A8" t="str">
            <v xml:space="preserve"> 584  Колбаса Сервелат Ореховый ТМ Вязанка в упаковке скин 0,09 кг нарезка  ПОКОМ</v>
          </cell>
          <cell r="B8" t="str">
            <v>до 200 шт</v>
          </cell>
        </row>
        <row r="9">
          <cell r="A9" t="str">
            <v xml:space="preserve"> 574  Колбаса Сервелат Финский ТМ Вязанка в упаковке скин 0,09 кг нарезка  ПОКОМ</v>
          </cell>
          <cell r="B9" t="str">
            <v>до 100 шт</v>
          </cell>
        </row>
        <row r="11">
          <cell r="A11" t="str">
            <v>Прошу уменьшить: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B12" t="str">
            <v>до 800 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57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22" width="7" customWidth="1"/>
    <col min="23" max="23" width="7" style="23" customWidth="1"/>
    <col min="24" max="24" width="8" style="23" customWidth="1"/>
    <col min="25" max="26" width="5" customWidth="1"/>
    <col min="27" max="36" width="6.85546875" customWidth="1"/>
    <col min="37" max="37" width="12.28515625" customWidth="1"/>
    <col min="38" max="39" width="7" customWidth="1"/>
    <col min="40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>
        <v>1.456</v>
      </c>
      <c r="U1" s="24"/>
      <c r="V1" s="24">
        <v>0.55000000000000004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>
        <f>AL2-AL5</f>
        <v>60</v>
      </c>
      <c r="AM1" s="1">
        <f>AM2-AM5</f>
        <v>-57</v>
      </c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199</v>
      </c>
      <c r="U2" s="1"/>
      <c r="V2" s="1" t="s">
        <v>203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15500</v>
      </c>
      <c r="AM2" s="1">
        <v>17600</v>
      </c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194</v>
      </c>
      <c r="U3" s="3" t="s">
        <v>200</v>
      </c>
      <c r="V3" s="3" t="s">
        <v>200</v>
      </c>
      <c r="W3" s="3" t="s">
        <v>195</v>
      </c>
      <c r="X3" s="3" t="s">
        <v>197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 t="s">
        <v>201</v>
      </c>
      <c r="V4" s="1" t="s">
        <v>202</v>
      </c>
      <c r="W4" s="1" t="s">
        <v>196</v>
      </c>
      <c r="X4" s="1"/>
      <c r="Y4" s="1"/>
      <c r="Z4" s="1"/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/>
      <c r="AL4" s="1" t="s">
        <v>201</v>
      </c>
      <c r="AM4" s="1" t="s">
        <v>202</v>
      </c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SUM(E6:E496)</f>
        <v>70407.175000000003</v>
      </c>
      <c r="F5" s="4">
        <f>SUM(F6:F496)</f>
        <v>80864.296999999991</v>
      </c>
      <c r="G5" s="7"/>
      <c r="H5" s="1"/>
      <c r="I5" s="1"/>
      <c r="J5" s="1"/>
      <c r="K5" s="4">
        <f t="shared" ref="K5:W5" si="0">SUM(K6:K496)</f>
        <v>79705.33</v>
      </c>
      <c r="L5" s="4">
        <f t="shared" si="0"/>
        <v>-9298.154999999997</v>
      </c>
      <c r="M5" s="4">
        <f t="shared" si="0"/>
        <v>64309.950999999994</v>
      </c>
      <c r="N5" s="4">
        <f t="shared" si="0"/>
        <v>6097.2240000000002</v>
      </c>
      <c r="O5" s="4">
        <f t="shared" si="0"/>
        <v>14183.31966782396</v>
      </c>
      <c r="P5" s="4">
        <f t="shared" si="0"/>
        <v>18505.002023874786</v>
      </c>
      <c r="Q5" s="4">
        <f t="shared" si="0"/>
        <v>13152.207860006198</v>
      </c>
      <c r="R5" s="4">
        <f t="shared" si="0"/>
        <v>12861.9902</v>
      </c>
      <c r="S5" s="4">
        <f t="shared" si="0"/>
        <v>27773.797286544239</v>
      </c>
      <c r="T5" s="4">
        <f t="shared" si="0"/>
        <v>40981.160444069246</v>
      </c>
      <c r="U5" s="4">
        <f t="shared" si="0"/>
        <v>19684.77497764548</v>
      </c>
      <c r="V5" s="4">
        <f t="shared" ref="V5" si="1">SUM(V6:V496)</f>
        <v>21296.385466423762</v>
      </c>
      <c r="W5" s="4">
        <f t="shared" si="0"/>
        <v>4800</v>
      </c>
      <c r="X5" s="4"/>
      <c r="Y5" s="1"/>
      <c r="Z5" s="1"/>
      <c r="AA5" s="4">
        <f t="shared" ref="AA5:AJ5" si="2">SUM(AA6:AA496)</f>
        <v>11328.548199999992</v>
      </c>
      <c r="AB5" s="4">
        <f t="shared" si="2"/>
        <v>12216.138200000005</v>
      </c>
      <c r="AC5" s="4">
        <f t="shared" si="2"/>
        <v>11997.123200000002</v>
      </c>
      <c r="AD5" s="4">
        <f t="shared" si="2"/>
        <v>12247.550600000006</v>
      </c>
      <c r="AE5" s="4">
        <f t="shared" si="2"/>
        <v>11892.0278</v>
      </c>
      <c r="AF5" s="4">
        <f t="shared" si="2"/>
        <v>10360.375600000005</v>
      </c>
      <c r="AG5" s="4">
        <f t="shared" si="2"/>
        <v>10480.584600000009</v>
      </c>
      <c r="AH5" s="4">
        <f t="shared" si="2"/>
        <v>12411.777599999992</v>
      </c>
      <c r="AI5" s="4">
        <f t="shared" si="2"/>
        <v>11704.495799999995</v>
      </c>
      <c r="AJ5" s="4">
        <f t="shared" si="2"/>
        <v>12731.067199999998</v>
      </c>
      <c r="AK5" s="1"/>
      <c r="AL5" s="4">
        <f>SUM(AL6:AL496)</f>
        <v>15440</v>
      </c>
      <c r="AM5" s="4">
        <f>SUM(AM6:AM496)</f>
        <v>17657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2067.7570000000001</v>
      </c>
      <c r="D6" s="1">
        <v>2513.6999999999998</v>
      </c>
      <c r="E6" s="1">
        <v>2553.4679999999998</v>
      </c>
      <c r="F6" s="1">
        <v>760.27</v>
      </c>
      <c r="G6" s="7">
        <v>1</v>
      </c>
      <c r="H6" s="1">
        <v>50</v>
      </c>
      <c r="I6" s="1" t="s">
        <v>37</v>
      </c>
      <c r="J6" s="1"/>
      <c r="K6" s="1">
        <v>2540.0050000000001</v>
      </c>
      <c r="L6" s="1">
        <f t="shared" ref="L6:L37" si="3">E6-K6</f>
        <v>13.462999999999738</v>
      </c>
      <c r="M6" s="1">
        <f t="shared" ref="M6:M37" si="4">E6-N6</f>
        <v>2553.4679999999998</v>
      </c>
      <c r="N6" s="1"/>
      <c r="O6" s="1">
        <v>292.27642681249989</v>
      </c>
      <c r="P6" s="1">
        <v>1150</v>
      </c>
      <c r="Q6" s="1">
        <v>1159.166566116</v>
      </c>
      <c r="R6" s="1">
        <f t="shared" ref="R6:R37" si="5">M6/5</f>
        <v>510.69359999999995</v>
      </c>
      <c r="S6" s="5">
        <f>10*R6-Q6-P6-O6-F6</f>
        <v>1745.2230070715</v>
      </c>
      <c r="T6" s="5">
        <f>S6</f>
        <v>1745.2230070715</v>
      </c>
      <c r="U6" s="5">
        <f>T6-V6</f>
        <v>725.22300707149998</v>
      </c>
      <c r="V6" s="5">
        <v>1020</v>
      </c>
      <c r="W6" s="20"/>
      <c r="X6" s="20"/>
      <c r="Y6" s="1">
        <f>(F6+O6+P6+Q6+T6)/R6</f>
        <v>10</v>
      </c>
      <c r="Z6" s="1">
        <f t="shared" ref="Z6:Z37" si="6">(F6+O6+P6+Q6)/R6</f>
        <v>6.5826417110543387</v>
      </c>
      <c r="AA6" s="1">
        <v>412.20460000000003</v>
      </c>
      <c r="AB6" s="1">
        <v>289.86419999999998</v>
      </c>
      <c r="AC6" s="1">
        <v>319.28379999999999</v>
      </c>
      <c r="AD6" s="1">
        <v>352.44439999999997</v>
      </c>
      <c r="AE6" s="1">
        <v>386.90719999999999</v>
      </c>
      <c r="AF6" s="1">
        <v>372.88260000000002</v>
      </c>
      <c r="AG6" s="1">
        <v>253.00800000000001</v>
      </c>
      <c r="AH6" s="1">
        <v>347.27100000000002</v>
      </c>
      <c r="AI6" s="1">
        <v>256.87139999999999</v>
      </c>
      <c r="AJ6" s="1">
        <v>307.10719999999998</v>
      </c>
      <c r="AK6" s="1"/>
      <c r="AL6" s="1">
        <f>ROUND(G6*U6,0)</f>
        <v>725</v>
      </c>
      <c r="AM6" s="1">
        <f>ROUND(G6*V6,0)</f>
        <v>1020</v>
      </c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901.80799999999999</v>
      </c>
      <c r="D7" s="1">
        <v>1400.89</v>
      </c>
      <c r="E7" s="1">
        <v>1022.641</v>
      </c>
      <c r="F7" s="1">
        <v>609.95799999999997</v>
      </c>
      <c r="G7" s="7">
        <v>1</v>
      </c>
      <c r="H7" s="1">
        <v>45</v>
      </c>
      <c r="I7" s="1" t="s">
        <v>37</v>
      </c>
      <c r="J7" s="1"/>
      <c r="K7" s="1">
        <v>992.05100000000004</v>
      </c>
      <c r="L7" s="1">
        <f t="shared" si="3"/>
        <v>30.589999999999918</v>
      </c>
      <c r="M7" s="1">
        <f t="shared" si="4"/>
        <v>893.68999999999994</v>
      </c>
      <c r="N7" s="1">
        <v>128.95099999999999</v>
      </c>
      <c r="O7" s="1"/>
      <c r="P7" s="1">
        <v>90</v>
      </c>
      <c r="Q7" s="1">
        <v>357.19575839100008</v>
      </c>
      <c r="R7" s="1">
        <f t="shared" si="5"/>
        <v>178.738</v>
      </c>
      <c r="S7" s="5">
        <f t="shared" ref="S7:S17" si="7">11*R7-Q7-P7-O7-F7</f>
        <v>908.96424160899994</v>
      </c>
      <c r="T7" s="5">
        <f>S7+R7*$T$1</f>
        <v>1169.2067696089998</v>
      </c>
      <c r="U7" s="5">
        <f t="shared" ref="U7:U70" si="8">T7-V7</f>
        <v>526.14304632404992</v>
      </c>
      <c r="V7" s="5">
        <f t="shared" ref="V7:V8" si="9">T7*$V$1</f>
        <v>643.0637232849499</v>
      </c>
      <c r="W7" s="20"/>
      <c r="X7" s="20"/>
      <c r="Y7" s="1">
        <f t="shared" ref="Y7:Y70" si="10">(F7+O7+P7+Q7+T7)/R7</f>
        <v>12.456000000000001</v>
      </c>
      <c r="Z7" s="1">
        <f t="shared" si="6"/>
        <v>5.9145439603833552</v>
      </c>
      <c r="AA7" s="1">
        <v>156.56460000000001</v>
      </c>
      <c r="AB7" s="1">
        <v>150.68879999999999</v>
      </c>
      <c r="AC7" s="1">
        <v>159.678</v>
      </c>
      <c r="AD7" s="1">
        <v>169.86320000000001</v>
      </c>
      <c r="AE7" s="1">
        <v>158.95939999999999</v>
      </c>
      <c r="AF7" s="1">
        <v>146.95519999999999</v>
      </c>
      <c r="AG7" s="1">
        <v>170.70339999999999</v>
      </c>
      <c r="AH7" s="1">
        <v>199.7456</v>
      </c>
      <c r="AI7" s="1">
        <v>203.16059999999999</v>
      </c>
      <c r="AJ7" s="1">
        <v>215.5368</v>
      </c>
      <c r="AK7" s="1"/>
      <c r="AL7" s="1">
        <f t="shared" ref="AL7:AL70" si="11">ROUND(G7*U7,0)</f>
        <v>526</v>
      </c>
      <c r="AM7" s="1">
        <f t="shared" ref="AM7:AM70" si="12">ROUND(G7*V7,0)</f>
        <v>643</v>
      </c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1314.8879999999999</v>
      </c>
      <c r="D8" s="1">
        <v>5718.0240000000003</v>
      </c>
      <c r="E8" s="1">
        <v>3802.326</v>
      </c>
      <c r="F8" s="1">
        <v>2575.6889999999999</v>
      </c>
      <c r="G8" s="7">
        <v>1</v>
      </c>
      <c r="H8" s="1">
        <v>45</v>
      </c>
      <c r="I8" s="1" t="s">
        <v>37</v>
      </c>
      <c r="J8" s="1"/>
      <c r="K8" s="1">
        <v>3884.8440000000001</v>
      </c>
      <c r="L8" s="1">
        <f t="shared" si="3"/>
        <v>-82.518000000000029</v>
      </c>
      <c r="M8" s="1">
        <f t="shared" si="4"/>
        <v>2739.674</v>
      </c>
      <c r="N8" s="1">
        <v>1062.652</v>
      </c>
      <c r="O8" s="1">
        <v>380.9857342101854</v>
      </c>
      <c r="P8" s="1">
        <v>963.73221391355821</v>
      </c>
      <c r="Q8" s="1">
        <v>706.51425734044221</v>
      </c>
      <c r="R8" s="1">
        <f t="shared" si="5"/>
        <v>547.9348</v>
      </c>
      <c r="S8" s="5">
        <f t="shared" si="7"/>
        <v>1400.3615945358142</v>
      </c>
      <c r="T8" s="5">
        <f>S8+R8*$T$1</f>
        <v>2198.1546633358143</v>
      </c>
      <c r="U8" s="5">
        <f t="shared" si="8"/>
        <v>989.1695985011163</v>
      </c>
      <c r="V8" s="5">
        <f t="shared" si="9"/>
        <v>1208.9850648346981</v>
      </c>
      <c r="W8" s="20"/>
      <c r="X8" s="20"/>
      <c r="Y8" s="1">
        <f t="shared" si="10"/>
        <v>12.456000000000001</v>
      </c>
      <c r="Z8" s="1">
        <f t="shared" si="6"/>
        <v>8.4442915570688086</v>
      </c>
      <c r="AA8" s="1">
        <v>482.58760000000001</v>
      </c>
      <c r="AB8" s="1">
        <v>481.31860000000012</v>
      </c>
      <c r="AC8" s="1">
        <v>503.94539999999989</v>
      </c>
      <c r="AD8" s="1">
        <v>492.78300000000002</v>
      </c>
      <c r="AE8" s="1">
        <v>482.3218</v>
      </c>
      <c r="AF8" s="1">
        <v>477.91320000000002</v>
      </c>
      <c r="AG8" s="1">
        <v>591.2826</v>
      </c>
      <c r="AH8" s="1">
        <v>723.93399999999997</v>
      </c>
      <c r="AI8" s="1">
        <v>580.02659999999992</v>
      </c>
      <c r="AJ8" s="1">
        <v>625.75400000000002</v>
      </c>
      <c r="AK8" s="1"/>
      <c r="AL8" s="1">
        <f t="shared" si="11"/>
        <v>989</v>
      </c>
      <c r="AM8" s="1">
        <f t="shared" si="12"/>
        <v>1209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41</v>
      </c>
      <c r="C9" s="1">
        <v>17</v>
      </c>
      <c r="D9" s="1">
        <v>10</v>
      </c>
      <c r="E9" s="1">
        <v>9</v>
      </c>
      <c r="F9" s="1">
        <v>17</v>
      </c>
      <c r="G9" s="7">
        <v>0.4</v>
      </c>
      <c r="H9" s="1">
        <v>50</v>
      </c>
      <c r="I9" s="1" t="s">
        <v>37</v>
      </c>
      <c r="J9" s="1"/>
      <c r="K9" s="1">
        <v>10</v>
      </c>
      <c r="L9" s="1">
        <f t="shared" si="3"/>
        <v>-1</v>
      </c>
      <c r="M9" s="1">
        <f t="shared" si="4"/>
        <v>9</v>
      </c>
      <c r="N9" s="1"/>
      <c r="O9" s="1"/>
      <c r="P9" s="1">
        <v>12.8</v>
      </c>
      <c r="Q9" s="1"/>
      <c r="R9" s="1">
        <f t="shared" si="5"/>
        <v>1.8</v>
      </c>
      <c r="S9" s="5"/>
      <c r="T9" s="5">
        <f t="shared" ref="T9:T70" si="13">S9</f>
        <v>0</v>
      </c>
      <c r="U9" s="5">
        <f t="shared" si="8"/>
        <v>0</v>
      </c>
      <c r="V9" s="5"/>
      <c r="W9" s="20"/>
      <c r="X9" s="20"/>
      <c r="Y9" s="1">
        <f t="shared" si="10"/>
        <v>16.555555555555557</v>
      </c>
      <c r="Z9" s="1">
        <f t="shared" si="6"/>
        <v>16.555555555555557</v>
      </c>
      <c r="AA9" s="1">
        <v>2.6</v>
      </c>
      <c r="AB9" s="1">
        <v>2.4</v>
      </c>
      <c r="AC9" s="1">
        <v>1</v>
      </c>
      <c r="AD9" s="1">
        <v>0.6</v>
      </c>
      <c r="AE9" s="1">
        <v>1.2</v>
      </c>
      <c r="AF9" s="1">
        <v>0.6</v>
      </c>
      <c r="AG9" s="1">
        <v>-0.2</v>
      </c>
      <c r="AH9" s="1">
        <v>0.2</v>
      </c>
      <c r="AI9" s="1">
        <v>2.2000000000000002</v>
      </c>
      <c r="AJ9" s="1">
        <v>2</v>
      </c>
      <c r="AK9" s="1" t="s">
        <v>42</v>
      </c>
      <c r="AL9" s="1">
        <f t="shared" si="11"/>
        <v>0</v>
      </c>
      <c r="AM9" s="1">
        <f t="shared" si="12"/>
        <v>0</v>
      </c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41</v>
      </c>
      <c r="C10" s="1">
        <v>3155</v>
      </c>
      <c r="D10" s="1">
        <v>1264</v>
      </c>
      <c r="E10" s="1">
        <v>2056</v>
      </c>
      <c r="F10" s="1">
        <v>2130</v>
      </c>
      <c r="G10" s="7">
        <v>0.45</v>
      </c>
      <c r="H10" s="1">
        <v>45</v>
      </c>
      <c r="I10" s="1" t="s">
        <v>37</v>
      </c>
      <c r="J10" s="1"/>
      <c r="K10" s="1">
        <v>2805</v>
      </c>
      <c r="L10" s="1">
        <f t="shared" si="3"/>
        <v>-749</v>
      </c>
      <c r="M10" s="1">
        <f t="shared" si="4"/>
        <v>2056</v>
      </c>
      <c r="N10" s="1"/>
      <c r="O10" s="1"/>
      <c r="P10" s="1">
        <v>619.39103599999964</v>
      </c>
      <c r="Q10" s="1">
        <v>454.07696399999969</v>
      </c>
      <c r="R10" s="1">
        <f t="shared" si="5"/>
        <v>411.2</v>
      </c>
      <c r="S10" s="5">
        <f t="shared" si="7"/>
        <v>1319.7320000000004</v>
      </c>
      <c r="T10" s="5">
        <f>W10</f>
        <v>800</v>
      </c>
      <c r="U10" s="5">
        <f t="shared" si="8"/>
        <v>359.99999999999994</v>
      </c>
      <c r="V10" s="5">
        <f t="shared" ref="V10:V11" si="14">T10*$V$1</f>
        <v>440.00000000000006</v>
      </c>
      <c r="W10" s="20">
        <v>800</v>
      </c>
      <c r="X10" s="20" t="str">
        <f>VLOOKUP(A10,[1]Лист1!$A:$B,2,0)</f>
        <v>до 800 шт</v>
      </c>
      <c r="Y10" s="1">
        <f t="shared" si="10"/>
        <v>9.7360603112840458</v>
      </c>
      <c r="Z10" s="1">
        <f t="shared" si="6"/>
        <v>7.7905350194552518</v>
      </c>
      <c r="AA10" s="1">
        <v>338.4</v>
      </c>
      <c r="AB10" s="1">
        <v>336.50459999999998</v>
      </c>
      <c r="AC10" s="1">
        <v>355.70460000000003</v>
      </c>
      <c r="AD10" s="1">
        <v>371.6</v>
      </c>
      <c r="AE10" s="1">
        <v>309.39999999999998</v>
      </c>
      <c r="AF10" s="1">
        <v>244.8</v>
      </c>
      <c r="AG10" s="1">
        <v>244.4</v>
      </c>
      <c r="AH10" s="1">
        <v>326</v>
      </c>
      <c r="AI10" s="1">
        <v>640.6</v>
      </c>
      <c r="AJ10" s="1">
        <v>845.8</v>
      </c>
      <c r="AK10" s="1"/>
      <c r="AL10" s="1">
        <f t="shared" si="11"/>
        <v>162</v>
      </c>
      <c r="AM10" s="1">
        <f t="shared" si="12"/>
        <v>198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41</v>
      </c>
      <c r="C11" s="1">
        <v>1227</v>
      </c>
      <c r="D11" s="1">
        <v>4231</v>
      </c>
      <c r="E11" s="1">
        <v>2850</v>
      </c>
      <c r="F11" s="1">
        <v>2396</v>
      </c>
      <c r="G11" s="7">
        <v>0.45</v>
      </c>
      <c r="H11" s="1">
        <v>45</v>
      </c>
      <c r="I11" s="1" t="s">
        <v>37</v>
      </c>
      <c r="J11" s="1"/>
      <c r="K11" s="1">
        <v>3219</v>
      </c>
      <c r="L11" s="1">
        <f t="shared" si="3"/>
        <v>-369</v>
      </c>
      <c r="M11" s="1">
        <f t="shared" si="4"/>
        <v>2850</v>
      </c>
      <c r="N11" s="1"/>
      <c r="O11" s="1"/>
      <c r="P11" s="1">
        <v>980.22144799999978</v>
      </c>
      <c r="Q11" s="1">
        <v>718.60255199999983</v>
      </c>
      <c r="R11" s="1">
        <f t="shared" si="5"/>
        <v>570</v>
      </c>
      <c r="S11" s="5">
        <f t="shared" si="7"/>
        <v>2175.1759999999995</v>
      </c>
      <c r="T11" s="5">
        <f>S11+R11*$T$1</f>
        <v>3005.0959999999995</v>
      </c>
      <c r="U11" s="5">
        <f t="shared" si="8"/>
        <v>1352.2931999999996</v>
      </c>
      <c r="V11" s="5">
        <f t="shared" si="14"/>
        <v>1652.8027999999999</v>
      </c>
      <c r="W11" s="20"/>
      <c r="X11" s="20"/>
      <c r="Y11" s="1">
        <f t="shared" si="10"/>
        <v>12.455999999999998</v>
      </c>
      <c r="Z11" s="1">
        <f t="shared" si="6"/>
        <v>7.183901754385964</v>
      </c>
      <c r="AA11" s="1">
        <v>411.2</v>
      </c>
      <c r="AB11" s="1">
        <v>384.42399999999998</v>
      </c>
      <c r="AC11" s="1">
        <v>495.62400000000002</v>
      </c>
      <c r="AD11" s="1">
        <v>526.79999999999995</v>
      </c>
      <c r="AE11" s="1">
        <v>472.2</v>
      </c>
      <c r="AF11" s="1">
        <v>409.6</v>
      </c>
      <c r="AG11" s="1">
        <v>413.8</v>
      </c>
      <c r="AH11" s="1">
        <v>502.6</v>
      </c>
      <c r="AI11" s="1">
        <v>524</v>
      </c>
      <c r="AJ11" s="1">
        <v>664.8</v>
      </c>
      <c r="AK11" s="1"/>
      <c r="AL11" s="1">
        <f t="shared" si="11"/>
        <v>609</v>
      </c>
      <c r="AM11" s="1">
        <f t="shared" si="12"/>
        <v>744</v>
      </c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29</v>
      </c>
      <c r="D12" s="1">
        <v>291</v>
      </c>
      <c r="E12" s="1">
        <v>38</v>
      </c>
      <c r="F12" s="1">
        <v>274</v>
      </c>
      <c r="G12" s="7">
        <v>0.17</v>
      </c>
      <c r="H12" s="1">
        <v>180</v>
      </c>
      <c r="I12" s="1" t="s">
        <v>37</v>
      </c>
      <c r="J12" s="1"/>
      <c r="K12" s="1">
        <v>46</v>
      </c>
      <c r="L12" s="1">
        <f t="shared" si="3"/>
        <v>-8</v>
      </c>
      <c r="M12" s="1">
        <f t="shared" si="4"/>
        <v>38</v>
      </c>
      <c r="N12" s="1"/>
      <c r="O12" s="1"/>
      <c r="P12" s="1">
        <v>0</v>
      </c>
      <c r="Q12" s="1"/>
      <c r="R12" s="1">
        <f t="shared" si="5"/>
        <v>7.6</v>
      </c>
      <c r="S12" s="5"/>
      <c r="T12" s="5">
        <f t="shared" si="13"/>
        <v>0</v>
      </c>
      <c r="U12" s="5">
        <f t="shared" si="8"/>
        <v>0</v>
      </c>
      <c r="V12" s="5"/>
      <c r="W12" s="20"/>
      <c r="X12" s="20"/>
      <c r="Y12" s="1">
        <f t="shared" si="10"/>
        <v>36.05263157894737</v>
      </c>
      <c r="Z12" s="1">
        <f t="shared" si="6"/>
        <v>36.05263157894737</v>
      </c>
      <c r="AA12" s="1">
        <v>15.4</v>
      </c>
      <c r="AB12" s="1">
        <v>27.6</v>
      </c>
      <c r="AC12" s="1">
        <v>24.8</v>
      </c>
      <c r="AD12" s="1">
        <v>14.2</v>
      </c>
      <c r="AE12" s="1">
        <v>17.8</v>
      </c>
      <c r="AF12" s="1">
        <v>23</v>
      </c>
      <c r="AG12" s="1">
        <v>14.8</v>
      </c>
      <c r="AH12" s="1">
        <v>14.8</v>
      </c>
      <c r="AI12" s="1">
        <v>22.2</v>
      </c>
      <c r="AJ12" s="1">
        <v>26</v>
      </c>
      <c r="AK12" s="1"/>
      <c r="AL12" s="1">
        <f t="shared" si="11"/>
        <v>0</v>
      </c>
      <c r="AM12" s="1">
        <f t="shared" si="12"/>
        <v>0</v>
      </c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41</v>
      </c>
      <c r="C13" s="1">
        <v>5</v>
      </c>
      <c r="D13" s="1">
        <v>62</v>
      </c>
      <c r="E13" s="1">
        <v>17</v>
      </c>
      <c r="F13" s="1">
        <v>48</v>
      </c>
      <c r="G13" s="7">
        <v>0.3</v>
      </c>
      <c r="H13" s="1">
        <v>40</v>
      </c>
      <c r="I13" s="9" t="s">
        <v>47</v>
      </c>
      <c r="J13" s="1"/>
      <c r="K13" s="1">
        <v>29</v>
      </c>
      <c r="L13" s="1">
        <f t="shared" si="3"/>
        <v>-12</v>
      </c>
      <c r="M13" s="1">
        <f t="shared" si="4"/>
        <v>17</v>
      </c>
      <c r="N13" s="1"/>
      <c r="O13" s="1"/>
      <c r="P13" s="1">
        <v>0</v>
      </c>
      <c r="Q13" s="1"/>
      <c r="R13" s="1">
        <f t="shared" si="5"/>
        <v>3.4</v>
      </c>
      <c r="S13" s="5"/>
      <c r="T13" s="5">
        <f t="shared" si="13"/>
        <v>0</v>
      </c>
      <c r="U13" s="5">
        <f t="shared" si="8"/>
        <v>0</v>
      </c>
      <c r="V13" s="5"/>
      <c r="W13" s="20"/>
      <c r="X13" s="20"/>
      <c r="Y13" s="1">
        <f t="shared" si="10"/>
        <v>14.117647058823529</v>
      </c>
      <c r="Z13" s="1">
        <f t="shared" si="6"/>
        <v>14.117647058823529</v>
      </c>
      <c r="AA13" s="1">
        <v>9</v>
      </c>
      <c r="AB13" s="1">
        <v>13.2</v>
      </c>
      <c r="AC13" s="1">
        <v>12.4</v>
      </c>
      <c r="AD13" s="1">
        <v>8.1999999999999993</v>
      </c>
      <c r="AE13" s="1">
        <v>4.8</v>
      </c>
      <c r="AF13" s="1">
        <v>7.2</v>
      </c>
      <c r="AG13" s="1">
        <v>7</v>
      </c>
      <c r="AH13" s="1">
        <v>7.6</v>
      </c>
      <c r="AI13" s="1">
        <v>9.4</v>
      </c>
      <c r="AJ13" s="1">
        <v>6.8</v>
      </c>
      <c r="AK13" s="1"/>
      <c r="AL13" s="1">
        <f t="shared" si="11"/>
        <v>0</v>
      </c>
      <c r="AM13" s="1">
        <f t="shared" si="12"/>
        <v>0</v>
      </c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41</v>
      </c>
      <c r="C14" s="1">
        <v>292</v>
      </c>
      <c r="D14" s="1">
        <v>144</v>
      </c>
      <c r="E14" s="1">
        <v>209</v>
      </c>
      <c r="F14" s="1">
        <v>207</v>
      </c>
      <c r="G14" s="7">
        <v>0.17</v>
      </c>
      <c r="H14" s="1">
        <v>180</v>
      </c>
      <c r="I14" s="1" t="s">
        <v>37</v>
      </c>
      <c r="J14" s="1"/>
      <c r="K14" s="1">
        <v>220</v>
      </c>
      <c r="L14" s="1">
        <f t="shared" si="3"/>
        <v>-11</v>
      </c>
      <c r="M14" s="1">
        <f t="shared" si="4"/>
        <v>209</v>
      </c>
      <c r="N14" s="1"/>
      <c r="O14" s="1"/>
      <c r="P14" s="1">
        <v>180.25479999999999</v>
      </c>
      <c r="Q14" s="1">
        <v>132.14519999999999</v>
      </c>
      <c r="R14" s="1">
        <f t="shared" si="5"/>
        <v>41.8</v>
      </c>
      <c r="S14" s="5"/>
      <c r="T14" s="5">
        <f t="shared" si="13"/>
        <v>0</v>
      </c>
      <c r="U14" s="5">
        <f t="shared" si="8"/>
        <v>0</v>
      </c>
      <c r="V14" s="5"/>
      <c r="W14" s="20"/>
      <c r="X14" s="20"/>
      <c r="Y14" s="1">
        <f t="shared" si="10"/>
        <v>12.425837320574162</v>
      </c>
      <c r="Z14" s="1">
        <f t="shared" si="6"/>
        <v>12.425837320574162</v>
      </c>
      <c r="AA14" s="1">
        <v>48.2</v>
      </c>
      <c r="AB14" s="1">
        <v>38</v>
      </c>
      <c r="AC14" s="1">
        <v>32.799999999999997</v>
      </c>
      <c r="AD14" s="1">
        <v>27.8</v>
      </c>
      <c r="AE14" s="1">
        <v>39</v>
      </c>
      <c r="AF14" s="1">
        <v>53.6</v>
      </c>
      <c r="AG14" s="1">
        <v>48.6</v>
      </c>
      <c r="AH14" s="1">
        <v>35.6</v>
      </c>
      <c r="AI14" s="1">
        <v>33.4</v>
      </c>
      <c r="AJ14" s="1">
        <v>40.6</v>
      </c>
      <c r="AK14" s="1"/>
      <c r="AL14" s="1">
        <f t="shared" si="11"/>
        <v>0</v>
      </c>
      <c r="AM14" s="1">
        <f t="shared" si="12"/>
        <v>0</v>
      </c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36</v>
      </c>
      <c r="C15" s="1">
        <v>2893.7860000000001</v>
      </c>
      <c r="D15" s="1">
        <v>5894.9040000000005</v>
      </c>
      <c r="E15" s="1">
        <v>4363.2190000000001</v>
      </c>
      <c r="F15" s="1">
        <v>3414.181</v>
      </c>
      <c r="G15" s="7">
        <v>1</v>
      </c>
      <c r="H15" s="1">
        <v>70</v>
      </c>
      <c r="I15" s="1" t="s">
        <v>37</v>
      </c>
      <c r="J15" s="1"/>
      <c r="K15" s="1">
        <v>4224.3580000000002</v>
      </c>
      <c r="L15" s="1">
        <f t="shared" si="3"/>
        <v>138.86099999999988</v>
      </c>
      <c r="M15" s="1">
        <f t="shared" si="4"/>
        <v>3335.4690000000001</v>
      </c>
      <c r="N15" s="1">
        <v>1027.75</v>
      </c>
      <c r="O15" s="1">
        <v>1016.037823124999</v>
      </c>
      <c r="P15" s="1">
        <v>900</v>
      </c>
      <c r="Q15" s="1">
        <v>1057.5</v>
      </c>
      <c r="R15" s="1">
        <f t="shared" si="5"/>
        <v>667.09379999999999</v>
      </c>
      <c r="S15" s="5">
        <f t="shared" si="7"/>
        <v>950.31297687500091</v>
      </c>
      <c r="T15" s="5">
        <f>W15</f>
        <v>1400</v>
      </c>
      <c r="U15" s="5">
        <f t="shared" si="8"/>
        <v>629.99999999999989</v>
      </c>
      <c r="V15" s="5">
        <f t="shared" ref="V15:V16" si="15">T15*$V$1</f>
        <v>770.00000000000011</v>
      </c>
      <c r="W15" s="20">
        <v>1400</v>
      </c>
      <c r="X15" s="20" t="str">
        <f>VLOOKUP(A15,[1]Лист1!$A:$B,2,0)</f>
        <v>до 1400 кг</v>
      </c>
      <c r="Y15" s="1">
        <f t="shared" si="10"/>
        <v>11.674098639689051</v>
      </c>
      <c r="Z15" s="1">
        <f t="shared" si="6"/>
        <v>9.5754432481983791</v>
      </c>
      <c r="AA15" s="1">
        <v>569.77160000000003</v>
      </c>
      <c r="AB15" s="1">
        <v>641.47399999999993</v>
      </c>
      <c r="AC15" s="1">
        <v>603.31939999999997</v>
      </c>
      <c r="AD15" s="1">
        <v>631.99979999999994</v>
      </c>
      <c r="AE15" s="1">
        <v>638.21439999999996</v>
      </c>
      <c r="AF15" s="1">
        <v>684.60360000000003</v>
      </c>
      <c r="AG15" s="1">
        <v>863.32839999999999</v>
      </c>
      <c r="AH15" s="1">
        <v>914.48199999999997</v>
      </c>
      <c r="AI15" s="1">
        <v>675.87339999999995</v>
      </c>
      <c r="AJ15" s="1">
        <v>648.81240000000003</v>
      </c>
      <c r="AK15" s="1"/>
      <c r="AL15" s="1">
        <f t="shared" si="11"/>
        <v>630</v>
      </c>
      <c r="AM15" s="1">
        <f t="shared" si="12"/>
        <v>770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2486.2199999999998</v>
      </c>
      <c r="D16" s="1">
        <v>5847.5730000000003</v>
      </c>
      <c r="E16" s="1">
        <v>4266.2179999999998</v>
      </c>
      <c r="F16" s="1">
        <v>2994.5920000000001</v>
      </c>
      <c r="G16" s="7">
        <v>1</v>
      </c>
      <c r="H16" s="1">
        <v>50</v>
      </c>
      <c r="I16" s="1" t="s">
        <v>37</v>
      </c>
      <c r="J16" s="1"/>
      <c r="K16" s="1">
        <v>4627.9380000000001</v>
      </c>
      <c r="L16" s="1">
        <f t="shared" si="3"/>
        <v>-361.72000000000025</v>
      </c>
      <c r="M16" s="1">
        <f t="shared" si="4"/>
        <v>2975.2460000000001</v>
      </c>
      <c r="N16" s="1">
        <v>1290.972</v>
      </c>
      <c r="O16" s="1">
        <v>1153.8384479375</v>
      </c>
      <c r="P16" s="1">
        <v>900</v>
      </c>
      <c r="Q16" s="1">
        <v>1057.5</v>
      </c>
      <c r="R16" s="1">
        <f t="shared" si="5"/>
        <v>595.04920000000004</v>
      </c>
      <c r="S16" s="5">
        <f t="shared" si="7"/>
        <v>439.61075206250052</v>
      </c>
      <c r="T16" s="5">
        <f>S16+R16*$T$1</f>
        <v>1306.0023872625006</v>
      </c>
      <c r="U16" s="5">
        <f t="shared" si="8"/>
        <v>587.70107426812524</v>
      </c>
      <c r="V16" s="5">
        <f t="shared" si="15"/>
        <v>718.30131299437539</v>
      </c>
      <c r="W16" s="20"/>
      <c r="X16" s="20"/>
      <c r="Y16" s="1">
        <f t="shared" si="10"/>
        <v>12.456000000000001</v>
      </c>
      <c r="Z16" s="1">
        <f t="shared" si="6"/>
        <v>10.261219488972509</v>
      </c>
      <c r="AA16" s="1">
        <v>573.62779999999998</v>
      </c>
      <c r="AB16" s="1">
        <v>611.06459999999993</v>
      </c>
      <c r="AC16" s="1">
        <v>538.01859999999999</v>
      </c>
      <c r="AD16" s="1">
        <v>532.27240000000006</v>
      </c>
      <c r="AE16" s="1">
        <v>533.49900000000002</v>
      </c>
      <c r="AF16" s="1">
        <v>724.56679999999994</v>
      </c>
      <c r="AG16" s="1">
        <v>751.04700000000003</v>
      </c>
      <c r="AH16" s="1">
        <v>753.80539999999996</v>
      </c>
      <c r="AI16" s="1">
        <v>623.83040000000005</v>
      </c>
      <c r="AJ16" s="1">
        <v>608.67060000000004</v>
      </c>
      <c r="AK16" s="1"/>
      <c r="AL16" s="1">
        <f t="shared" si="11"/>
        <v>588</v>
      </c>
      <c r="AM16" s="1">
        <f t="shared" si="12"/>
        <v>718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224.398</v>
      </c>
      <c r="D17" s="1">
        <v>226.84800000000001</v>
      </c>
      <c r="E17" s="1">
        <v>233.904</v>
      </c>
      <c r="F17" s="1">
        <v>127.36199999999999</v>
      </c>
      <c r="G17" s="7">
        <v>1</v>
      </c>
      <c r="H17" s="1">
        <v>60</v>
      </c>
      <c r="I17" s="1" t="s">
        <v>37</v>
      </c>
      <c r="J17" s="1"/>
      <c r="K17" s="1">
        <v>232.018</v>
      </c>
      <c r="L17" s="1">
        <f t="shared" si="3"/>
        <v>1.8859999999999957</v>
      </c>
      <c r="M17" s="1">
        <f t="shared" si="4"/>
        <v>223.286</v>
      </c>
      <c r="N17" s="1">
        <v>10.618</v>
      </c>
      <c r="O17" s="1">
        <v>75.081123000000019</v>
      </c>
      <c r="P17" s="1">
        <v>141.933922</v>
      </c>
      <c r="Q17" s="1">
        <v>104.05207799999999</v>
      </c>
      <c r="R17" s="1">
        <f t="shared" si="5"/>
        <v>44.657200000000003</v>
      </c>
      <c r="S17" s="5">
        <f t="shared" si="7"/>
        <v>42.800077000000044</v>
      </c>
      <c r="T17" s="5">
        <f t="shared" si="13"/>
        <v>42.800077000000044</v>
      </c>
      <c r="U17" s="5">
        <f t="shared" si="8"/>
        <v>42.800077000000044</v>
      </c>
      <c r="V17" s="5"/>
      <c r="W17" s="20"/>
      <c r="X17" s="20"/>
      <c r="Y17" s="1">
        <f t="shared" si="10"/>
        <v>11</v>
      </c>
      <c r="Z17" s="1">
        <f t="shared" si="6"/>
        <v>10.041586194387467</v>
      </c>
      <c r="AA17" s="1">
        <v>43.733400000000003</v>
      </c>
      <c r="AB17" s="1">
        <v>40.352800000000002</v>
      </c>
      <c r="AC17" s="1">
        <v>37.872</v>
      </c>
      <c r="AD17" s="1">
        <v>35.195999999999998</v>
      </c>
      <c r="AE17" s="1">
        <v>26.605</v>
      </c>
      <c r="AF17" s="1">
        <v>20.235399999999998</v>
      </c>
      <c r="AG17" s="1">
        <v>64.747600000000006</v>
      </c>
      <c r="AH17" s="1">
        <v>80.977200000000011</v>
      </c>
      <c r="AI17" s="1">
        <v>49.133600000000001</v>
      </c>
      <c r="AJ17" s="1">
        <v>48.952800000000003</v>
      </c>
      <c r="AK17" s="1"/>
      <c r="AL17" s="1">
        <f t="shared" si="11"/>
        <v>43</v>
      </c>
      <c r="AM17" s="1">
        <f t="shared" si="12"/>
        <v>0</v>
      </c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1" t="s">
        <v>52</v>
      </c>
      <c r="B18" s="11" t="s">
        <v>36</v>
      </c>
      <c r="C18" s="11"/>
      <c r="D18" s="11"/>
      <c r="E18" s="11"/>
      <c r="F18" s="11"/>
      <c r="G18" s="12">
        <v>0</v>
      </c>
      <c r="H18" s="11"/>
      <c r="I18" s="11" t="s">
        <v>37</v>
      </c>
      <c r="J18" s="11"/>
      <c r="K18" s="11">
        <v>10</v>
      </c>
      <c r="L18" s="11">
        <f t="shared" si="3"/>
        <v>-10</v>
      </c>
      <c r="M18" s="11">
        <f t="shared" si="4"/>
        <v>0</v>
      </c>
      <c r="N18" s="11"/>
      <c r="O18" s="11"/>
      <c r="P18" s="11">
        <v>0</v>
      </c>
      <c r="Q18" s="11"/>
      <c r="R18" s="11">
        <f t="shared" si="5"/>
        <v>0</v>
      </c>
      <c r="S18" s="13"/>
      <c r="T18" s="5">
        <f t="shared" si="13"/>
        <v>0</v>
      </c>
      <c r="U18" s="5">
        <f t="shared" si="8"/>
        <v>0</v>
      </c>
      <c r="V18" s="5"/>
      <c r="W18" s="21"/>
      <c r="X18" s="20"/>
      <c r="Y18" s="1" t="e">
        <f t="shared" si="10"/>
        <v>#DIV/0!</v>
      </c>
      <c r="Z18" s="11" t="e">
        <f t="shared" si="6"/>
        <v>#DIV/0!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 t="s">
        <v>53</v>
      </c>
      <c r="AL18" s="1">
        <f t="shared" si="11"/>
        <v>0</v>
      </c>
      <c r="AM18" s="1">
        <f t="shared" si="12"/>
        <v>0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3.6960000000000002</v>
      </c>
      <c r="D19" s="1">
        <v>11.85</v>
      </c>
      <c r="E19" s="1">
        <v>2.9380000000000002</v>
      </c>
      <c r="F19" s="1">
        <v>12.608000000000001</v>
      </c>
      <c r="G19" s="7">
        <v>1</v>
      </c>
      <c r="H19" s="1">
        <v>180</v>
      </c>
      <c r="I19" s="1" t="s">
        <v>37</v>
      </c>
      <c r="J19" s="1"/>
      <c r="K19" s="1">
        <v>4.5599999999999996</v>
      </c>
      <c r="L19" s="1">
        <f t="shared" si="3"/>
        <v>-1.6219999999999994</v>
      </c>
      <c r="M19" s="1">
        <f t="shared" si="4"/>
        <v>2.9380000000000002</v>
      </c>
      <c r="N19" s="1"/>
      <c r="O19" s="1"/>
      <c r="P19" s="1">
        <v>4</v>
      </c>
      <c r="Q19" s="1"/>
      <c r="R19" s="1">
        <f t="shared" si="5"/>
        <v>0.58760000000000001</v>
      </c>
      <c r="S19" s="5"/>
      <c r="T19" s="5">
        <f t="shared" si="13"/>
        <v>0</v>
      </c>
      <c r="U19" s="5">
        <f t="shared" si="8"/>
        <v>0</v>
      </c>
      <c r="V19" s="5"/>
      <c r="W19" s="20"/>
      <c r="X19" s="20"/>
      <c r="Y19" s="1">
        <f t="shared" si="10"/>
        <v>28.264125255275697</v>
      </c>
      <c r="Z19" s="1">
        <f t="shared" si="6"/>
        <v>28.264125255275697</v>
      </c>
      <c r="AA19" s="1">
        <v>0.89580000000000004</v>
      </c>
      <c r="AB19" s="1">
        <v>0.67159999999999997</v>
      </c>
      <c r="AC19" s="1">
        <v>0.79580000000000006</v>
      </c>
      <c r="AD19" s="1">
        <v>0.79180000000000006</v>
      </c>
      <c r="AE19" s="1">
        <v>0.36199999999999999</v>
      </c>
      <c r="AF19" s="1">
        <v>0.58179999999999998</v>
      </c>
      <c r="AG19" s="1">
        <v>0.41959999999999997</v>
      </c>
      <c r="AH19" s="1">
        <v>0.68019999999999992</v>
      </c>
      <c r="AI19" s="1">
        <v>0.82240000000000002</v>
      </c>
      <c r="AJ19" s="1">
        <v>0.69000000000000006</v>
      </c>
      <c r="AK19" s="1"/>
      <c r="AL19" s="1">
        <f t="shared" si="11"/>
        <v>0</v>
      </c>
      <c r="AM19" s="1">
        <f t="shared" si="12"/>
        <v>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36</v>
      </c>
      <c r="C20" s="1">
        <v>2569.5450000000001</v>
      </c>
      <c r="D20" s="1">
        <v>10625.882</v>
      </c>
      <c r="E20" s="1">
        <v>4751.6530000000002</v>
      </c>
      <c r="F20" s="1">
        <v>6202.5820000000003</v>
      </c>
      <c r="G20" s="7">
        <v>1</v>
      </c>
      <c r="H20" s="1">
        <v>60</v>
      </c>
      <c r="I20" s="1" t="s">
        <v>37</v>
      </c>
      <c r="J20" s="1"/>
      <c r="K20" s="1">
        <v>4638.3819999999996</v>
      </c>
      <c r="L20" s="1">
        <f t="shared" si="3"/>
        <v>113.27100000000064</v>
      </c>
      <c r="M20" s="1">
        <f t="shared" si="4"/>
        <v>4751.6530000000002</v>
      </c>
      <c r="N20" s="1"/>
      <c r="O20" s="1">
        <v>1793.2068879264141</v>
      </c>
      <c r="P20" s="1">
        <v>1442.5</v>
      </c>
      <c r="Q20" s="1">
        <v>1057.5</v>
      </c>
      <c r="R20" s="1">
        <f t="shared" si="5"/>
        <v>950.3306</v>
      </c>
      <c r="S20" s="5"/>
      <c r="T20" s="5">
        <f>W20</f>
        <v>1000</v>
      </c>
      <c r="U20" s="5">
        <f t="shared" si="8"/>
        <v>450</v>
      </c>
      <c r="V20" s="5">
        <f>T20*$V$1</f>
        <v>550</v>
      </c>
      <c r="W20" s="20">
        <v>1000</v>
      </c>
      <c r="X20" s="20" t="str">
        <f>VLOOKUP(A20,[1]Лист1!$A:$B,2,0)</f>
        <v>до 1000 кг</v>
      </c>
      <c r="Y20" s="1">
        <f t="shared" si="10"/>
        <v>12.096620784310653</v>
      </c>
      <c r="Z20" s="1">
        <f t="shared" si="6"/>
        <v>11.044355393719211</v>
      </c>
      <c r="AA20" s="1">
        <v>996.03600000000006</v>
      </c>
      <c r="AB20" s="1">
        <v>1023.0922</v>
      </c>
      <c r="AC20" s="1">
        <v>922.54380000000003</v>
      </c>
      <c r="AD20" s="1">
        <v>889.4248</v>
      </c>
      <c r="AE20" s="1">
        <v>913.99760000000003</v>
      </c>
      <c r="AF20" s="1">
        <v>789.43779999999992</v>
      </c>
      <c r="AG20" s="1">
        <v>661.26800000000003</v>
      </c>
      <c r="AH20" s="1">
        <v>917.37380000000007</v>
      </c>
      <c r="AI20" s="1">
        <v>723.88019999999995</v>
      </c>
      <c r="AJ20" s="1">
        <v>773.48840000000007</v>
      </c>
      <c r="AK20" s="1"/>
      <c r="AL20" s="1">
        <f t="shared" si="11"/>
        <v>450</v>
      </c>
      <c r="AM20" s="1">
        <f t="shared" si="12"/>
        <v>550</v>
      </c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36</v>
      </c>
      <c r="C21" s="1">
        <v>84.48</v>
      </c>
      <c r="D21" s="1">
        <v>1073.1479999999999</v>
      </c>
      <c r="E21" s="1">
        <v>340.697</v>
      </c>
      <c r="F21" s="1">
        <v>743.92899999999997</v>
      </c>
      <c r="G21" s="7">
        <v>1</v>
      </c>
      <c r="H21" s="1">
        <v>70</v>
      </c>
      <c r="I21" s="1" t="s">
        <v>37</v>
      </c>
      <c r="J21" s="1"/>
      <c r="K21" s="1">
        <v>360</v>
      </c>
      <c r="L21" s="1">
        <f t="shared" si="3"/>
        <v>-19.302999999999997</v>
      </c>
      <c r="M21" s="1">
        <f t="shared" si="4"/>
        <v>340.697</v>
      </c>
      <c r="N21" s="1"/>
      <c r="O21" s="1"/>
      <c r="P21" s="1">
        <v>0</v>
      </c>
      <c r="Q21" s="1"/>
      <c r="R21" s="1">
        <f t="shared" si="5"/>
        <v>68.139399999999995</v>
      </c>
      <c r="S21" s="5">
        <f t="shared" ref="S21" si="16">11*R21-Q21-P21-O21-F21</f>
        <v>5.6043999999999414</v>
      </c>
      <c r="T21" s="5">
        <f t="shared" si="13"/>
        <v>5.6043999999999414</v>
      </c>
      <c r="U21" s="5">
        <f t="shared" si="8"/>
        <v>5.6043999999999414</v>
      </c>
      <c r="V21" s="5"/>
      <c r="W21" s="20"/>
      <c r="X21" s="20"/>
      <c r="Y21" s="1">
        <f t="shared" si="10"/>
        <v>11</v>
      </c>
      <c r="Z21" s="1">
        <f t="shared" si="6"/>
        <v>10.917750963466071</v>
      </c>
      <c r="AA21" s="1">
        <v>55.487199999999987</v>
      </c>
      <c r="AB21" s="1">
        <v>75.7</v>
      </c>
      <c r="AC21" s="1">
        <v>97.615800000000007</v>
      </c>
      <c r="AD21" s="1">
        <v>99.165599999999998</v>
      </c>
      <c r="AE21" s="1">
        <v>66.941600000000008</v>
      </c>
      <c r="AF21" s="1">
        <v>35.273200000000003</v>
      </c>
      <c r="AG21" s="1">
        <v>47.993600000000001</v>
      </c>
      <c r="AH21" s="1">
        <v>75.930999999999997</v>
      </c>
      <c r="AI21" s="1">
        <v>74.3142</v>
      </c>
      <c r="AJ21" s="1">
        <v>56.826199999999993</v>
      </c>
      <c r="AK21" s="1"/>
      <c r="AL21" s="1">
        <f t="shared" si="11"/>
        <v>6</v>
      </c>
      <c r="AM21" s="1">
        <f t="shared" si="12"/>
        <v>0</v>
      </c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36</v>
      </c>
      <c r="C22" s="1">
        <v>1373.4390000000001</v>
      </c>
      <c r="D22" s="1">
        <v>2377.7660000000001</v>
      </c>
      <c r="E22" s="1">
        <v>1289.943</v>
      </c>
      <c r="F22" s="1">
        <v>1727.779</v>
      </c>
      <c r="G22" s="7">
        <v>1</v>
      </c>
      <c r="H22" s="1">
        <v>70</v>
      </c>
      <c r="I22" s="1" t="s">
        <v>37</v>
      </c>
      <c r="J22" s="1"/>
      <c r="K22" s="1">
        <v>1264.8119999999999</v>
      </c>
      <c r="L22" s="1">
        <f t="shared" si="3"/>
        <v>25.131000000000085</v>
      </c>
      <c r="M22" s="1">
        <f t="shared" si="4"/>
        <v>1268.8389999999999</v>
      </c>
      <c r="N22" s="1">
        <v>21.103999999999999</v>
      </c>
      <c r="O22" s="1">
        <v>1115.0609120624999</v>
      </c>
      <c r="P22" s="1">
        <v>0</v>
      </c>
      <c r="Q22" s="1"/>
      <c r="R22" s="1">
        <f t="shared" si="5"/>
        <v>253.76779999999999</v>
      </c>
      <c r="S22" s="5"/>
      <c r="T22" s="5">
        <f>W22</f>
        <v>750</v>
      </c>
      <c r="U22" s="5">
        <f t="shared" si="8"/>
        <v>337.49999999999994</v>
      </c>
      <c r="V22" s="5">
        <f>T22*$V$1</f>
        <v>412.50000000000006</v>
      </c>
      <c r="W22" s="20">
        <v>750</v>
      </c>
      <c r="X22" s="20" t="str">
        <f>VLOOKUP(A22,[1]Лист1!$A:$B,2,0)</f>
        <v>750 кг</v>
      </c>
      <c r="Y22" s="1">
        <f t="shared" si="10"/>
        <v>14.157981871862782</v>
      </c>
      <c r="Z22" s="1">
        <f t="shared" si="6"/>
        <v>11.202524166038796</v>
      </c>
      <c r="AA22" s="1">
        <v>228.10400000000001</v>
      </c>
      <c r="AB22" s="1">
        <v>361.22019999999998</v>
      </c>
      <c r="AC22" s="1">
        <v>238.35220000000001</v>
      </c>
      <c r="AD22" s="1">
        <v>217.6114</v>
      </c>
      <c r="AE22" s="1">
        <v>206.72020000000001</v>
      </c>
      <c r="AF22" s="1">
        <v>293.69060000000002</v>
      </c>
      <c r="AG22" s="1">
        <v>383.78739999999999</v>
      </c>
      <c r="AH22" s="1">
        <v>327.67899999999997</v>
      </c>
      <c r="AI22" s="1">
        <v>251.3426</v>
      </c>
      <c r="AJ22" s="1">
        <v>229.2002</v>
      </c>
      <c r="AK22" s="1"/>
      <c r="AL22" s="1">
        <f t="shared" si="11"/>
        <v>338</v>
      </c>
      <c r="AM22" s="1">
        <f t="shared" si="12"/>
        <v>413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1" t="s">
        <v>58</v>
      </c>
      <c r="B23" s="11" t="s">
        <v>36</v>
      </c>
      <c r="C23" s="11"/>
      <c r="D23" s="11"/>
      <c r="E23" s="11"/>
      <c r="F23" s="11"/>
      <c r="G23" s="12">
        <v>0</v>
      </c>
      <c r="H23" s="11"/>
      <c r="I23" s="11" t="s">
        <v>37</v>
      </c>
      <c r="J23" s="11"/>
      <c r="K23" s="11"/>
      <c r="L23" s="11">
        <f t="shared" si="3"/>
        <v>0</v>
      </c>
      <c r="M23" s="11">
        <f t="shared" si="4"/>
        <v>0</v>
      </c>
      <c r="N23" s="11"/>
      <c r="O23" s="11"/>
      <c r="P23" s="11">
        <v>0</v>
      </c>
      <c r="Q23" s="11"/>
      <c r="R23" s="11">
        <f t="shared" si="5"/>
        <v>0</v>
      </c>
      <c r="S23" s="13"/>
      <c r="T23" s="5">
        <f t="shared" si="13"/>
        <v>0</v>
      </c>
      <c r="U23" s="5">
        <f t="shared" si="8"/>
        <v>0</v>
      </c>
      <c r="V23" s="5"/>
      <c r="W23" s="21"/>
      <c r="X23" s="20"/>
      <c r="Y23" s="1" t="e">
        <f t="shared" si="10"/>
        <v>#DIV/0!</v>
      </c>
      <c r="Z23" s="11" t="e">
        <f t="shared" si="6"/>
        <v>#DIV/0!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 t="s">
        <v>53</v>
      </c>
      <c r="AL23" s="1">
        <f t="shared" si="11"/>
        <v>0</v>
      </c>
      <c r="AM23" s="1">
        <f t="shared" si="12"/>
        <v>0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36</v>
      </c>
      <c r="C24" s="1">
        <v>2148.5619999999999</v>
      </c>
      <c r="D24" s="1">
        <v>2212.395</v>
      </c>
      <c r="E24" s="1">
        <v>2520.3739999999998</v>
      </c>
      <c r="F24" s="1">
        <v>1346.079</v>
      </c>
      <c r="G24" s="7">
        <v>1</v>
      </c>
      <c r="H24" s="1">
        <v>70</v>
      </c>
      <c r="I24" s="1" t="s">
        <v>37</v>
      </c>
      <c r="J24" s="1"/>
      <c r="K24" s="1">
        <v>2462.2170000000001</v>
      </c>
      <c r="L24" s="1">
        <f t="shared" si="3"/>
        <v>58.156999999999698</v>
      </c>
      <c r="M24" s="1">
        <f t="shared" si="4"/>
        <v>2351.357</v>
      </c>
      <c r="N24" s="1">
        <v>169.017</v>
      </c>
      <c r="O24" s="1"/>
      <c r="P24" s="1">
        <v>987.77629853757594</v>
      </c>
      <c r="Q24" s="1">
        <v>724.1410299504239</v>
      </c>
      <c r="R24" s="1">
        <f t="shared" si="5"/>
        <v>470.27139999999997</v>
      </c>
      <c r="S24" s="5">
        <f>11*R24-Q24-P24-O24-F24</f>
        <v>2114.989071512</v>
      </c>
      <c r="T24" s="5">
        <f>S24+R24*$T$1</f>
        <v>2799.7042299119998</v>
      </c>
      <c r="U24" s="5">
        <f t="shared" si="8"/>
        <v>1259.8669034603997</v>
      </c>
      <c r="V24" s="5">
        <f>T24*$V$1</f>
        <v>1539.8373264516001</v>
      </c>
      <c r="W24" s="20"/>
      <c r="X24" s="20"/>
      <c r="Y24" s="1">
        <f t="shared" si="10"/>
        <v>12.456000000000001</v>
      </c>
      <c r="Z24" s="1">
        <f t="shared" si="6"/>
        <v>6.5026202496856067</v>
      </c>
      <c r="AA24" s="1">
        <v>352.99700000000001</v>
      </c>
      <c r="AB24" s="1">
        <v>358.33260000000001</v>
      </c>
      <c r="AC24" s="1">
        <v>374.34059999999999</v>
      </c>
      <c r="AD24" s="1">
        <v>372.63639999999998</v>
      </c>
      <c r="AE24" s="1">
        <v>377.31560000000002</v>
      </c>
      <c r="AF24" s="1">
        <v>418.45379999999989</v>
      </c>
      <c r="AG24" s="1">
        <v>527.61379999999997</v>
      </c>
      <c r="AH24" s="1">
        <v>509.92160000000001</v>
      </c>
      <c r="AI24" s="1">
        <v>404.24360000000001</v>
      </c>
      <c r="AJ24" s="1">
        <v>396.53120000000001</v>
      </c>
      <c r="AK24" s="1"/>
      <c r="AL24" s="1">
        <f t="shared" si="11"/>
        <v>1260</v>
      </c>
      <c r="AM24" s="1">
        <f t="shared" si="12"/>
        <v>1540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1" t="s">
        <v>60</v>
      </c>
      <c r="B25" s="11" t="s">
        <v>36</v>
      </c>
      <c r="C25" s="11"/>
      <c r="D25" s="11"/>
      <c r="E25" s="11">
        <v>0.91800000000000004</v>
      </c>
      <c r="F25" s="11">
        <v>-0.91800000000000004</v>
      </c>
      <c r="G25" s="12">
        <v>0</v>
      </c>
      <c r="H25" s="11"/>
      <c r="I25" s="11" t="s">
        <v>61</v>
      </c>
      <c r="J25" s="11"/>
      <c r="K25" s="11">
        <v>0.9</v>
      </c>
      <c r="L25" s="11">
        <f t="shared" si="3"/>
        <v>1.8000000000000016E-2</v>
      </c>
      <c r="M25" s="11">
        <f t="shared" si="4"/>
        <v>0.91800000000000004</v>
      </c>
      <c r="N25" s="11"/>
      <c r="O25" s="11"/>
      <c r="P25" s="11"/>
      <c r="Q25" s="11"/>
      <c r="R25" s="11">
        <f t="shared" si="5"/>
        <v>0.18360000000000001</v>
      </c>
      <c r="S25" s="13"/>
      <c r="T25" s="5">
        <f t="shared" si="13"/>
        <v>0</v>
      </c>
      <c r="U25" s="5">
        <f t="shared" si="8"/>
        <v>0</v>
      </c>
      <c r="V25" s="5"/>
      <c r="W25" s="21"/>
      <c r="X25" s="20"/>
      <c r="Y25" s="1">
        <f t="shared" si="10"/>
        <v>-5</v>
      </c>
      <c r="Z25" s="11">
        <f t="shared" si="6"/>
        <v>-5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/>
      <c r="AL25" s="1">
        <f t="shared" si="11"/>
        <v>0</v>
      </c>
      <c r="AM25" s="1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36</v>
      </c>
      <c r="C26" s="1">
        <v>88.085999999999999</v>
      </c>
      <c r="D26" s="1">
        <v>17.378</v>
      </c>
      <c r="E26" s="1">
        <v>48.593000000000004</v>
      </c>
      <c r="F26" s="1">
        <v>36.601999999999997</v>
      </c>
      <c r="G26" s="7">
        <v>1</v>
      </c>
      <c r="H26" s="1">
        <v>40</v>
      </c>
      <c r="I26" s="1" t="s">
        <v>37</v>
      </c>
      <c r="J26" s="1"/>
      <c r="K26" s="1">
        <v>57.2</v>
      </c>
      <c r="L26" s="1">
        <f t="shared" si="3"/>
        <v>-8.6069999999999993</v>
      </c>
      <c r="M26" s="1">
        <f t="shared" si="4"/>
        <v>48.593000000000004</v>
      </c>
      <c r="N26" s="1"/>
      <c r="O26" s="1"/>
      <c r="P26" s="1">
        <v>0</v>
      </c>
      <c r="Q26" s="1"/>
      <c r="R26" s="1">
        <f t="shared" si="5"/>
        <v>9.7186000000000003</v>
      </c>
      <c r="S26" s="5">
        <f>9*R26-Q26-P26-O26-F26</f>
        <v>50.865400000000001</v>
      </c>
      <c r="T26" s="5">
        <f t="shared" si="13"/>
        <v>50.865400000000001</v>
      </c>
      <c r="U26" s="5">
        <f t="shared" si="8"/>
        <v>50.865400000000001</v>
      </c>
      <c r="V26" s="5"/>
      <c r="W26" s="20"/>
      <c r="X26" s="20"/>
      <c r="Y26" s="1">
        <f t="shared" si="10"/>
        <v>9</v>
      </c>
      <c r="Z26" s="1">
        <f t="shared" si="6"/>
        <v>3.7661803140370007</v>
      </c>
      <c r="AA26" s="1">
        <v>5.6665999999999999</v>
      </c>
      <c r="AB26" s="1">
        <v>4.3639999999999999</v>
      </c>
      <c r="AC26" s="1">
        <v>1.7474000000000001</v>
      </c>
      <c r="AD26" s="1">
        <v>3.0384000000000002</v>
      </c>
      <c r="AE26" s="1">
        <v>2.4554</v>
      </c>
      <c r="AF26" s="1">
        <v>0</v>
      </c>
      <c r="AG26" s="1">
        <v>-0.14879999999999999</v>
      </c>
      <c r="AH26" s="1">
        <v>0.28860000000000002</v>
      </c>
      <c r="AI26" s="1">
        <v>4.2222</v>
      </c>
      <c r="AJ26" s="1">
        <v>3.7848000000000002</v>
      </c>
      <c r="AK26" s="1"/>
      <c r="AL26" s="1">
        <f t="shared" si="11"/>
        <v>51</v>
      </c>
      <c r="AM26" s="1">
        <f t="shared" si="12"/>
        <v>0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1" t="s">
        <v>64</v>
      </c>
      <c r="B27" s="11" t="s">
        <v>36</v>
      </c>
      <c r="C27" s="11"/>
      <c r="D27" s="11"/>
      <c r="E27" s="11"/>
      <c r="F27" s="11"/>
      <c r="G27" s="12">
        <v>1</v>
      </c>
      <c r="H27" s="11"/>
      <c r="I27" s="11" t="s">
        <v>37</v>
      </c>
      <c r="J27" s="11"/>
      <c r="K27" s="11"/>
      <c r="L27" s="11">
        <f t="shared" si="3"/>
        <v>0</v>
      </c>
      <c r="M27" s="11">
        <f t="shared" si="4"/>
        <v>0</v>
      </c>
      <c r="N27" s="11"/>
      <c r="O27" s="11"/>
      <c r="P27" s="11">
        <v>0</v>
      </c>
      <c r="Q27" s="11"/>
      <c r="R27" s="11">
        <f t="shared" si="5"/>
        <v>0</v>
      </c>
      <c r="S27" s="13"/>
      <c r="T27" s="5">
        <f>W27</f>
        <v>150</v>
      </c>
      <c r="U27" s="5">
        <f t="shared" si="8"/>
        <v>150</v>
      </c>
      <c r="V27" s="5"/>
      <c r="W27" s="21">
        <v>150</v>
      </c>
      <c r="X27" s="20" t="str">
        <f>VLOOKUP(A27,[1]Лист1!$A:$B,2,0)</f>
        <v>150 кг</v>
      </c>
      <c r="Y27" s="1" t="e">
        <f t="shared" si="10"/>
        <v>#DIV/0!</v>
      </c>
      <c r="Z27" s="11" t="e">
        <f t="shared" si="6"/>
        <v>#DIV/0!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 t="s">
        <v>198</v>
      </c>
      <c r="AL27" s="1">
        <f t="shared" si="11"/>
        <v>150</v>
      </c>
      <c r="AM27" s="1">
        <f t="shared" si="12"/>
        <v>0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1" t="s">
        <v>65</v>
      </c>
      <c r="B28" s="11" t="s">
        <v>36</v>
      </c>
      <c r="C28" s="11"/>
      <c r="D28" s="11"/>
      <c r="E28" s="11"/>
      <c r="F28" s="11"/>
      <c r="G28" s="12">
        <v>0</v>
      </c>
      <c r="H28" s="11"/>
      <c r="I28" s="11" t="s">
        <v>47</v>
      </c>
      <c r="J28" s="11"/>
      <c r="K28" s="11"/>
      <c r="L28" s="11">
        <f t="shared" si="3"/>
        <v>0</v>
      </c>
      <c r="M28" s="11">
        <f t="shared" si="4"/>
        <v>0</v>
      </c>
      <c r="N28" s="11"/>
      <c r="O28" s="11"/>
      <c r="P28" s="11">
        <v>0</v>
      </c>
      <c r="Q28" s="11"/>
      <c r="R28" s="11">
        <f t="shared" si="5"/>
        <v>0</v>
      </c>
      <c r="S28" s="13"/>
      <c r="T28" s="5">
        <f t="shared" si="13"/>
        <v>0</v>
      </c>
      <c r="U28" s="5">
        <f t="shared" si="8"/>
        <v>0</v>
      </c>
      <c r="V28" s="5"/>
      <c r="W28" s="21"/>
      <c r="X28" s="20"/>
      <c r="Y28" s="1" t="e">
        <f t="shared" si="10"/>
        <v>#DIV/0!</v>
      </c>
      <c r="Z28" s="11" t="e">
        <f t="shared" si="6"/>
        <v>#DIV/0!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 t="s">
        <v>53</v>
      </c>
      <c r="AL28" s="1">
        <f t="shared" si="11"/>
        <v>0</v>
      </c>
      <c r="AM28" s="1">
        <f t="shared" si="12"/>
        <v>0</v>
      </c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36</v>
      </c>
      <c r="C29" s="1">
        <v>401.76499999999999</v>
      </c>
      <c r="D29" s="1">
        <v>1807.9110000000001</v>
      </c>
      <c r="E29" s="1">
        <v>1001.311</v>
      </c>
      <c r="F29" s="1">
        <v>1018.372</v>
      </c>
      <c r="G29" s="7">
        <v>1</v>
      </c>
      <c r="H29" s="1">
        <v>30</v>
      </c>
      <c r="I29" s="1" t="s">
        <v>37</v>
      </c>
      <c r="J29" s="1"/>
      <c r="K29" s="1">
        <v>1070.0409999999999</v>
      </c>
      <c r="L29" s="1">
        <f t="shared" si="3"/>
        <v>-68.729999999999905</v>
      </c>
      <c r="M29" s="1">
        <f t="shared" si="4"/>
        <v>993.36200000000008</v>
      </c>
      <c r="N29" s="1">
        <v>7.9489999999999998</v>
      </c>
      <c r="O29" s="1">
        <v>242.08876718376979</v>
      </c>
      <c r="P29" s="1">
        <v>288.5</v>
      </c>
      <c r="Q29" s="1">
        <v>211.5</v>
      </c>
      <c r="R29" s="1">
        <f t="shared" si="5"/>
        <v>198.67240000000001</v>
      </c>
      <c r="S29" s="5">
        <f t="shared" ref="S29:S30" si="17">11*R29-Q29-P29-O29-F29</f>
        <v>424.9356328162304</v>
      </c>
      <c r="T29" s="5">
        <f t="shared" ref="T29:T30" si="18">S29+R29*$T$1</f>
        <v>714.20264721623039</v>
      </c>
      <c r="U29" s="5">
        <f t="shared" si="8"/>
        <v>321.39119124730365</v>
      </c>
      <c r="V29" s="5">
        <f t="shared" ref="V29:V30" si="19">T29*$V$1</f>
        <v>392.81145596892674</v>
      </c>
      <c r="W29" s="20"/>
      <c r="X29" s="20"/>
      <c r="Y29" s="1">
        <f t="shared" si="10"/>
        <v>12.456</v>
      </c>
      <c r="Z29" s="1">
        <f t="shared" si="6"/>
        <v>8.8611239768773604</v>
      </c>
      <c r="AA29" s="1">
        <v>165.20740000000001</v>
      </c>
      <c r="AB29" s="1">
        <v>187.745</v>
      </c>
      <c r="AC29" s="1">
        <v>182.31960000000001</v>
      </c>
      <c r="AD29" s="1">
        <v>171.17699999999999</v>
      </c>
      <c r="AE29" s="1">
        <v>180.38159999999999</v>
      </c>
      <c r="AF29" s="1">
        <v>170.09280000000001</v>
      </c>
      <c r="AG29" s="1">
        <v>186.76320000000001</v>
      </c>
      <c r="AH29" s="1">
        <v>219.6258</v>
      </c>
      <c r="AI29" s="1">
        <v>196.6198</v>
      </c>
      <c r="AJ29" s="1">
        <v>221.1712</v>
      </c>
      <c r="AK29" s="1"/>
      <c r="AL29" s="1">
        <f t="shared" si="11"/>
        <v>321</v>
      </c>
      <c r="AM29" s="1">
        <f t="shared" si="12"/>
        <v>393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36</v>
      </c>
      <c r="C30" s="1">
        <v>2364.5100000000002</v>
      </c>
      <c r="D30" s="1">
        <v>4016.01</v>
      </c>
      <c r="E30" s="1">
        <v>3323.587</v>
      </c>
      <c r="F30" s="1">
        <v>2641.28</v>
      </c>
      <c r="G30" s="7">
        <v>1</v>
      </c>
      <c r="H30" s="1">
        <v>40</v>
      </c>
      <c r="I30" s="1" t="s">
        <v>37</v>
      </c>
      <c r="J30" s="1"/>
      <c r="K30" s="1">
        <v>3121.71</v>
      </c>
      <c r="L30" s="1">
        <f t="shared" si="3"/>
        <v>201.87699999999995</v>
      </c>
      <c r="M30" s="1">
        <f t="shared" si="4"/>
        <v>3110.9569999999999</v>
      </c>
      <c r="N30" s="1">
        <v>212.63</v>
      </c>
      <c r="O30" s="1">
        <v>808.77435608736027</v>
      </c>
      <c r="P30" s="1">
        <v>881.56769939584751</v>
      </c>
      <c r="Q30" s="1">
        <v>646.27926662815162</v>
      </c>
      <c r="R30" s="1">
        <f t="shared" si="5"/>
        <v>622.19139999999993</v>
      </c>
      <c r="S30" s="5">
        <f t="shared" si="17"/>
        <v>1866.2040778886389</v>
      </c>
      <c r="T30" s="5">
        <f t="shared" si="18"/>
        <v>2772.114756288639</v>
      </c>
      <c r="U30" s="5">
        <f t="shared" si="8"/>
        <v>1247.4516403298874</v>
      </c>
      <c r="V30" s="5">
        <f t="shared" si="19"/>
        <v>1524.6631159587516</v>
      </c>
      <c r="W30" s="20"/>
      <c r="X30" s="20"/>
      <c r="Y30" s="1">
        <f t="shared" si="10"/>
        <v>12.456</v>
      </c>
      <c r="Z30" s="1">
        <f t="shared" si="6"/>
        <v>8.0005948685747832</v>
      </c>
      <c r="AA30" s="1">
        <v>538.03100000000006</v>
      </c>
      <c r="AB30" s="1">
        <v>542.71019999999999</v>
      </c>
      <c r="AC30" s="1">
        <v>510.97300000000001</v>
      </c>
      <c r="AD30" s="1">
        <v>522.6425999999999</v>
      </c>
      <c r="AE30" s="1">
        <v>566.42879999999991</v>
      </c>
      <c r="AF30" s="1">
        <v>504.87639999999999</v>
      </c>
      <c r="AG30" s="1">
        <v>528.65340000000003</v>
      </c>
      <c r="AH30" s="1">
        <v>571.5462</v>
      </c>
      <c r="AI30" s="1">
        <v>586.11699999999996</v>
      </c>
      <c r="AJ30" s="1">
        <v>710.12940000000003</v>
      </c>
      <c r="AK30" s="1"/>
      <c r="AL30" s="1">
        <f t="shared" si="11"/>
        <v>1247</v>
      </c>
      <c r="AM30" s="1">
        <f t="shared" si="12"/>
        <v>1525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1" t="s">
        <v>68</v>
      </c>
      <c r="B31" s="11" t="s">
        <v>36</v>
      </c>
      <c r="C31" s="11"/>
      <c r="D31" s="11"/>
      <c r="E31" s="11"/>
      <c r="F31" s="11"/>
      <c r="G31" s="12">
        <v>0</v>
      </c>
      <c r="H31" s="11"/>
      <c r="I31" s="11" t="s">
        <v>37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/>
      <c r="P31" s="11">
        <v>0</v>
      </c>
      <c r="Q31" s="11"/>
      <c r="R31" s="11">
        <f t="shared" si="5"/>
        <v>0</v>
      </c>
      <c r="S31" s="13"/>
      <c r="T31" s="5">
        <f t="shared" si="13"/>
        <v>0</v>
      </c>
      <c r="U31" s="5">
        <f t="shared" si="8"/>
        <v>0</v>
      </c>
      <c r="V31" s="5"/>
      <c r="W31" s="21"/>
      <c r="X31" s="20"/>
      <c r="Y31" s="1" t="e">
        <f t="shared" si="10"/>
        <v>#DIV/0!</v>
      </c>
      <c r="Z31" s="11" t="e">
        <f t="shared" si="6"/>
        <v>#DIV/0!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 t="s">
        <v>53</v>
      </c>
      <c r="AL31" s="1">
        <f t="shared" si="11"/>
        <v>0</v>
      </c>
      <c r="AM31" s="1">
        <f t="shared" si="12"/>
        <v>0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1" t="s">
        <v>69</v>
      </c>
      <c r="B32" s="11" t="s">
        <v>36</v>
      </c>
      <c r="C32" s="11"/>
      <c r="D32" s="11"/>
      <c r="E32" s="11"/>
      <c r="F32" s="11"/>
      <c r="G32" s="12">
        <v>1</v>
      </c>
      <c r="H32" s="11"/>
      <c r="I32" s="11" t="s">
        <v>37</v>
      </c>
      <c r="J32" s="11"/>
      <c r="K32" s="11"/>
      <c r="L32" s="11">
        <f t="shared" si="3"/>
        <v>0</v>
      </c>
      <c r="M32" s="11">
        <f t="shared" si="4"/>
        <v>0</v>
      </c>
      <c r="N32" s="11"/>
      <c r="O32" s="11"/>
      <c r="P32" s="11">
        <v>0</v>
      </c>
      <c r="Q32" s="11"/>
      <c r="R32" s="11">
        <f t="shared" si="5"/>
        <v>0</v>
      </c>
      <c r="S32" s="13"/>
      <c r="T32" s="5">
        <f>W32</f>
        <v>150</v>
      </c>
      <c r="U32" s="5">
        <f t="shared" si="8"/>
        <v>150</v>
      </c>
      <c r="V32" s="5"/>
      <c r="W32" s="21">
        <v>150</v>
      </c>
      <c r="X32" s="20" t="str">
        <f>VLOOKUP(A32,[1]Лист1!$A:$B,2,0)</f>
        <v>до 150 кг</v>
      </c>
      <c r="Y32" s="1" t="e">
        <f t="shared" si="10"/>
        <v>#DIV/0!</v>
      </c>
      <c r="Z32" s="11" t="e">
        <f t="shared" si="6"/>
        <v>#DIV/0!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 t="s">
        <v>198</v>
      </c>
      <c r="AL32" s="1">
        <f t="shared" si="11"/>
        <v>150</v>
      </c>
      <c r="AM32" s="1">
        <f t="shared" si="12"/>
        <v>0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1" t="s">
        <v>70</v>
      </c>
      <c r="B33" s="11" t="s">
        <v>36</v>
      </c>
      <c r="C33" s="11"/>
      <c r="D33" s="11"/>
      <c r="E33" s="11"/>
      <c r="F33" s="11"/>
      <c r="G33" s="12">
        <v>0</v>
      </c>
      <c r="H33" s="11"/>
      <c r="I33" s="11" t="s">
        <v>37</v>
      </c>
      <c r="J33" s="11"/>
      <c r="K33" s="11"/>
      <c r="L33" s="11">
        <f t="shared" si="3"/>
        <v>0</v>
      </c>
      <c r="M33" s="11">
        <f t="shared" si="4"/>
        <v>0</v>
      </c>
      <c r="N33" s="11"/>
      <c r="O33" s="11"/>
      <c r="P33" s="11">
        <v>0</v>
      </c>
      <c r="Q33" s="11"/>
      <c r="R33" s="11">
        <f t="shared" si="5"/>
        <v>0</v>
      </c>
      <c r="S33" s="13"/>
      <c r="T33" s="5">
        <f t="shared" si="13"/>
        <v>0</v>
      </c>
      <c r="U33" s="5">
        <f t="shared" si="8"/>
        <v>0</v>
      </c>
      <c r="V33" s="5"/>
      <c r="W33" s="21"/>
      <c r="X33" s="20"/>
      <c r="Y33" s="1" t="e">
        <f t="shared" si="10"/>
        <v>#DIV/0!</v>
      </c>
      <c r="Z33" s="11" t="e">
        <f t="shared" si="6"/>
        <v>#DIV/0!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 t="s">
        <v>53</v>
      </c>
      <c r="AL33" s="1">
        <f t="shared" si="11"/>
        <v>0</v>
      </c>
      <c r="AM33" s="1">
        <f t="shared" si="12"/>
        <v>0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1" t="s">
        <v>71</v>
      </c>
      <c r="B34" s="11" t="s">
        <v>36</v>
      </c>
      <c r="C34" s="11"/>
      <c r="D34" s="11"/>
      <c r="E34" s="11"/>
      <c r="F34" s="11"/>
      <c r="G34" s="12">
        <v>0</v>
      </c>
      <c r="H34" s="11"/>
      <c r="I34" s="11" t="s">
        <v>37</v>
      </c>
      <c r="J34" s="11"/>
      <c r="K34" s="11"/>
      <c r="L34" s="11">
        <f t="shared" si="3"/>
        <v>0</v>
      </c>
      <c r="M34" s="11">
        <f t="shared" si="4"/>
        <v>0</v>
      </c>
      <c r="N34" s="11"/>
      <c r="O34" s="11"/>
      <c r="P34" s="11">
        <v>0</v>
      </c>
      <c r="Q34" s="11"/>
      <c r="R34" s="11">
        <f t="shared" si="5"/>
        <v>0</v>
      </c>
      <c r="S34" s="13"/>
      <c r="T34" s="5">
        <f t="shared" si="13"/>
        <v>0</v>
      </c>
      <c r="U34" s="5">
        <f t="shared" si="8"/>
        <v>0</v>
      </c>
      <c r="V34" s="5"/>
      <c r="W34" s="21"/>
      <c r="X34" s="20"/>
      <c r="Y34" s="1" t="e">
        <f t="shared" si="10"/>
        <v>#DIV/0!</v>
      </c>
      <c r="Z34" s="11" t="e">
        <f t="shared" si="6"/>
        <v>#DIV/0!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 t="s">
        <v>53</v>
      </c>
      <c r="AL34" s="1">
        <f t="shared" si="11"/>
        <v>0</v>
      </c>
      <c r="AM34" s="1">
        <f t="shared" si="12"/>
        <v>0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41</v>
      </c>
      <c r="C35" s="1">
        <v>1991</v>
      </c>
      <c r="D35" s="1">
        <v>6966</v>
      </c>
      <c r="E35" s="1">
        <v>3980</v>
      </c>
      <c r="F35" s="1">
        <v>4531</v>
      </c>
      <c r="G35" s="7">
        <v>0.4</v>
      </c>
      <c r="H35" s="1">
        <v>45</v>
      </c>
      <c r="I35" s="1" t="s">
        <v>37</v>
      </c>
      <c r="J35" s="1"/>
      <c r="K35" s="1">
        <v>4145</v>
      </c>
      <c r="L35" s="1">
        <f t="shared" si="3"/>
        <v>-165</v>
      </c>
      <c r="M35" s="1">
        <f t="shared" si="4"/>
        <v>3884</v>
      </c>
      <c r="N35" s="1">
        <v>96</v>
      </c>
      <c r="O35" s="1">
        <v>1014</v>
      </c>
      <c r="P35" s="1">
        <v>981.92129</v>
      </c>
      <c r="Q35" s="1">
        <v>719.84870999999998</v>
      </c>
      <c r="R35" s="1">
        <f t="shared" si="5"/>
        <v>776.8</v>
      </c>
      <c r="S35" s="5">
        <f t="shared" ref="S35:S48" si="20">11*R35-Q35-P35-O35-F35</f>
        <v>1298.0299999999988</v>
      </c>
      <c r="T35" s="5">
        <f>S35+R35*$T$1</f>
        <v>2429.0507999999991</v>
      </c>
      <c r="U35" s="5">
        <f t="shared" si="8"/>
        <v>1093.0728599999995</v>
      </c>
      <c r="V35" s="5">
        <f>T35*$V$1</f>
        <v>1335.9779399999995</v>
      </c>
      <c r="W35" s="20"/>
      <c r="X35" s="20"/>
      <c r="Y35" s="1">
        <f t="shared" si="10"/>
        <v>12.456</v>
      </c>
      <c r="Z35" s="1">
        <f t="shared" si="6"/>
        <v>9.3290036045314118</v>
      </c>
      <c r="AA35" s="1">
        <v>726</v>
      </c>
      <c r="AB35" s="1">
        <v>750.4</v>
      </c>
      <c r="AC35" s="1">
        <v>704.4</v>
      </c>
      <c r="AD35" s="1">
        <v>693.2</v>
      </c>
      <c r="AE35" s="1">
        <v>715.8</v>
      </c>
      <c r="AF35" s="1">
        <v>617.20000000000005</v>
      </c>
      <c r="AG35" s="1">
        <v>583.4</v>
      </c>
      <c r="AH35" s="1">
        <v>686</v>
      </c>
      <c r="AI35" s="1">
        <v>679.4</v>
      </c>
      <c r="AJ35" s="1">
        <v>754.6</v>
      </c>
      <c r="AK35" s="1"/>
      <c r="AL35" s="1">
        <f t="shared" si="11"/>
        <v>437</v>
      </c>
      <c r="AM35" s="1">
        <f t="shared" si="12"/>
        <v>534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73</v>
      </c>
      <c r="B36" s="1" t="s">
        <v>41</v>
      </c>
      <c r="C36" s="1">
        <v>911</v>
      </c>
      <c r="D36" s="1">
        <v>1904</v>
      </c>
      <c r="E36" s="1">
        <v>745</v>
      </c>
      <c r="F36" s="1">
        <v>2028</v>
      </c>
      <c r="G36" s="7">
        <v>0.45</v>
      </c>
      <c r="H36" s="1">
        <v>50</v>
      </c>
      <c r="I36" s="10" t="s">
        <v>74</v>
      </c>
      <c r="J36" s="1"/>
      <c r="K36" s="1">
        <v>2112</v>
      </c>
      <c r="L36" s="1">
        <f t="shared" si="3"/>
        <v>-1367</v>
      </c>
      <c r="M36" s="1">
        <f t="shared" si="4"/>
        <v>745</v>
      </c>
      <c r="N36" s="1"/>
      <c r="O36" s="1">
        <v>253.5</v>
      </c>
      <c r="P36" s="1">
        <v>0</v>
      </c>
      <c r="Q36" s="1"/>
      <c r="R36" s="1">
        <f t="shared" si="5"/>
        <v>149</v>
      </c>
      <c r="S36" s="5"/>
      <c r="T36" s="5">
        <f t="shared" si="13"/>
        <v>0</v>
      </c>
      <c r="U36" s="5">
        <f t="shared" si="8"/>
        <v>0</v>
      </c>
      <c r="V36" s="5"/>
      <c r="W36" s="20"/>
      <c r="X36" s="20"/>
      <c r="Y36" s="1">
        <f t="shared" si="10"/>
        <v>15.312080536912752</v>
      </c>
      <c r="Z36" s="1">
        <f t="shared" si="6"/>
        <v>15.312080536912752</v>
      </c>
      <c r="AA36" s="1">
        <v>130.80000000000001</v>
      </c>
      <c r="AB36" s="1">
        <v>151.80000000000001</v>
      </c>
      <c r="AC36" s="1">
        <v>150.19999999999999</v>
      </c>
      <c r="AD36" s="1">
        <v>144.19999999999999</v>
      </c>
      <c r="AE36" s="1">
        <v>139</v>
      </c>
      <c r="AF36" s="1">
        <v>143.19999999999999</v>
      </c>
      <c r="AG36" s="1">
        <v>108.2</v>
      </c>
      <c r="AH36" s="1">
        <v>107.4</v>
      </c>
      <c r="AI36" s="1">
        <v>120.4</v>
      </c>
      <c r="AJ36" s="1">
        <v>124.2</v>
      </c>
      <c r="AK36" s="1" t="s">
        <v>75</v>
      </c>
      <c r="AL36" s="1">
        <f t="shared" si="11"/>
        <v>0</v>
      </c>
      <c r="AM36" s="1">
        <f t="shared" si="12"/>
        <v>0</v>
      </c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76</v>
      </c>
      <c r="B37" s="1" t="s">
        <v>41</v>
      </c>
      <c r="C37" s="1">
        <v>751</v>
      </c>
      <c r="D37" s="1">
        <v>1626</v>
      </c>
      <c r="E37" s="1">
        <v>989</v>
      </c>
      <c r="F37" s="1">
        <v>1307</v>
      </c>
      <c r="G37" s="7">
        <v>0.4</v>
      </c>
      <c r="H37" s="1">
        <v>45</v>
      </c>
      <c r="I37" s="9" t="s">
        <v>47</v>
      </c>
      <c r="J37" s="1"/>
      <c r="K37" s="1">
        <v>1026</v>
      </c>
      <c r="L37" s="1">
        <f t="shared" si="3"/>
        <v>-37</v>
      </c>
      <c r="M37" s="1">
        <f t="shared" si="4"/>
        <v>989</v>
      </c>
      <c r="N37" s="1"/>
      <c r="O37" s="1">
        <v>298.37762763249981</v>
      </c>
      <c r="P37" s="1">
        <v>101.79593425100011</v>
      </c>
      <c r="Q37" s="1">
        <v>74.626828749000083</v>
      </c>
      <c r="R37" s="1">
        <f t="shared" si="5"/>
        <v>197.8</v>
      </c>
      <c r="S37" s="5">
        <f t="shared" si="20"/>
        <v>393.99960936750017</v>
      </c>
      <c r="T37" s="5">
        <f>S37+R37*$T$1</f>
        <v>681.99640936750018</v>
      </c>
      <c r="U37" s="5">
        <f t="shared" si="8"/>
        <v>306.89838421537507</v>
      </c>
      <c r="V37" s="5">
        <f>T37*$V$1</f>
        <v>375.0980251521251</v>
      </c>
      <c r="W37" s="20"/>
      <c r="X37" s="20"/>
      <c r="Y37" s="1">
        <f t="shared" si="10"/>
        <v>12.456</v>
      </c>
      <c r="Z37" s="1">
        <f t="shared" si="6"/>
        <v>9.0080909536526779</v>
      </c>
      <c r="AA37" s="1">
        <v>178.4</v>
      </c>
      <c r="AB37" s="1">
        <v>209.2</v>
      </c>
      <c r="AC37" s="1">
        <v>193.4</v>
      </c>
      <c r="AD37" s="1">
        <v>176.6</v>
      </c>
      <c r="AE37" s="1">
        <v>196.6</v>
      </c>
      <c r="AF37" s="1">
        <v>188.6</v>
      </c>
      <c r="AG37" s="1">
        <v>152.80000000000001</v>
      </c>
      <c r="AH37" s="1">
        <v>173.4</v>
      </c>
      <c r="AI37" s="1">
        <v>179.2</v>
      </c>
      <c r="AJ37" s="1">
        <v>210.4</v>
      </c>
      <c r="AK37" s="1"/>
      <c r="AL37" s="1">
        <f t="shared" si="11"/>
        <v>123</v>
      </c>
      <c r="AM37" s="1">
        <f t="shared" si="12"/>
        <v>150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77</v>
      </c>
      <c r="B38" s="1" t="s">
        <v>41</v>
      </c>
      <c r="C38" s="1"/>
      <c r="D38" s="1">
        <v>1140</v>
      </c>
      <c r="E38" s="1">
        <v>33</v>
      </c>
      <c r="F38" s="1">
        <v>1081</v>
      </c>
      <c r="G38" s="7">
        <v>0.4</v>
      </c>
      <c r="H38" s="1">
        <v>40</v>
      </c>
      <c r="I38" s="1" t="s">
        <v>37</v>
      </c>
      <c r="J38" s="1"/>
      <c r="K38" s="1">
        <v>366</v>
      </c>
      <c r="L38" s="1">
        <f t="shared" ref="L38:L69" si="21">E38-K38</f>
        <v>-333</v>
      </c>
      <c r="M38" s="1">
        <f t="shared" ref="M38:M69" si="22">E38-N38</f>
        <v>33</v>
      </c>
      <c r="N38" s="1"/>
      <c r="O38" s="1">
        <v>444.96643749999998</v>
      </c>
      <c r="P38" s="1">
        <v>0</v>
      </c>
      <c r="Q38" s="1"/>
      <c r="R38" s="1">
        <f t="shared" ref="R38:R69" si="23">M38/5</f>
        <v>6.6</v>
      </c>
      <c r="S38" s="5"/>
      <c r="T38" s="5">
        <f t="shared" si="13"/>
        <v>0</v>
      </c>
      <c r="U38" s="5">
        <f t="shared" si="8"/>
        <v>0</v>
      </c>
      <c r="V38" s="5"/>
      <c r="W38" s="20"/>
      <c r="X38" s="20"/>
      <c r="Y38" s="1">
        <f t="shared" si="10"/>
        <v>231.20703598484849</v>
      </c>
      <c r="Z38" s="1">
        <f t="shared" ref="Z38:Z69" si="24">(F38+O38+P38+Q38)/R38</f>
        <v>231.20703598484849</v>
      </c>
      <c r="AA38" s="1">
        <v>52</v>
      </c>
      <c r="AB38" s="1">
        <v>115.8</v>
      </c>
      <c r="AC38" s="1">
        <v>78.8</v>
      </c>
      <c r="AD38" s="1">
        <v>30.4</v>
      </c>
      <c r="AE38" s="1">
        <v>21.8</v>
      </c>
      <c r="AF38" s="1">
        <v>26</v>
      </c>
      <c r="AG38" s="1">
        <v>29.6</v>
      </c>
      <c r="AH38" s="1">
        <v>30.4</v>
      </c>
      <c r="AI38" s="1">
        <v>20.399999999999999</v>
      </c>
      <c r="AJ38" s="1">
        <v>0</v>
      </c>
      <c r="AK38" s="1"/>
      <c r="AL38" s="1">
        <f t="shared" si="11"/>
        <v>0</v>
      </c>
      <c r="AM38" s="1">
        <f t="shared" si="12"/>
        <v>0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78</v>
      </c>
      <c r="B39" s="1" t="s">
        <v>36</v>
      </c>
      <c r="C39" s="1">
        <v>64.319999999999993</v>
      </c>
      <c r="D39" s="1">
        <v>309.33600000000001</v>
      </c>
      <c r="E39" s="1">
        <v>8.4819999999999993</v>
      </c>
      <c r="F39" s="1">
        <v>335.298</v>
      </c>
      <c r="G39" s="7">
        <v>1</v>
      </c>
      <c r="H39" s="1"/>
      <c r="I39" s="1" t="s">
        <v>37</v>
      </c>
      <c r="J39" s="1"/>
      <c r="K39" s="1">
        <v>22.6</v>
      </c>
      <c r="L39" s="1">
        <f t="shared" si="21"/>
        <v>-14.118000000000002</v>
      </c>
      <c r="M39" s="1">
        <f t="shared" si="22"/>
        <v>8.4819999999999993</v>
      </c>
      <c r="N39" s="1"/>
      <c r="O39" s="1"/>
      <c r="P39" s="1">
        <v>0</v>
      </c>
      <c r="Q39" s="1"/>
      <c r="R39" s="1">
        <f t="shared" si="23"/>
        <v>1.6963999999999999</v>
      </c>
      <c r="S39" s="5"/>
      <c r="T39" s="5">
        <f t="shared" si="13"/>
        <v>0</v>
      </c>
      <c r="U39" s="5">
        <f t="shared" si="8"/>
        <v>0</v>
      </c>
      <c r="V39" s="5"/>
      <c r="W39" s="20"/>
      <c r="X39" s="20"/>
      <c r="Y39" s="1">
        <f t="shared" si="10"/>
        <v>197.65267625560011</v>
      </c>
      <c r="Z39" s="1">
        <f t="shared" si="24"/>
        <v>197.65267625560011</v>
      </c>
      <c r="AA39" s="1">
        <v>4.2679999999999998</v>
      </c>
      <c r="AB39" s="1">
        <v>6.5511999999999997</v>
      </c>
      <c r="AC39" s="1">
        <v>4.5708000000000002</v>
      </c>
      <c r="AD39" s="1">
        <v>3.7145999999999999</v>
      </c>
      <c r="AE39" s="1">
        <v>1.996</v>
      </c>
      <c r="AF39" s="1">
        <v>2.2833999999999999</v>
      </c>
      <c r="AG39" s="1">
        <v>2.2871999999999999</v>
      </c>
      <c r="AH39" s="1">
        <v>2.8632</v>
      </c>
      <c r="AI39" s="1">
        <v>2.0015999999999998</v>
      </c>
      <c r="AJ39" s="1">
        <v>2.2812000000000001</v>
      </c>
      <c r="AK39" s="16" t="s">
        <v>186</v>
      </c>
      <c r="AL39" s="1">
        <f t="shared" si="11"/>
        <v>0</v>
      </c>
      <c r="AM39" s="1">
        <f t="shared" si="12"/>
        <v>0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79</v>
      </c>
      <c r="B40" s="1" t="s">
        <v>41</v>
      </c>
      <c r="C40" s="1">
        <v>234</v>
      </c>
      <c r="D40" s="1">
        <v>445</v>
      </c>
      <c r="E40" s="1">
        <v>257</v>
      </c>
      <c r="F40" s="1">
        <v>400</v>
      </c>
      <c r="G40" s="7">
        <v>0.1</v>
      </c>
      <c r="H40" s="1">
        <v>731</v>
      </c>
      <c r="I40" s="1" t="s">
        <v>37</v>
      </c>
      <c r="J40" s="1"/>
      <c r="K40" s="1">
        <v>262</v>
      </c>
      <c r="L40" s="1">
        <f t="shared" si="21"/>
        <v>-5</v>
      </c>
      <c r="M40" s="1">
        <f t="shared" si="22"/>
        <v>257</v>
      </c>
      <c r="N40" s="1"/>
      <c r="O40" s="1">
        <v>44.403908380000018</v>
      </c>
      <c r="P40" s="1">
        <v>173.1179919999997</v>
      </c>
      <c r="Q40" s="1"/>
      <c r="R40" s="1">
        <f t="shared" si="23"/>
        <v>51.4</v>
      </c>
      <c r="S40" s="5"/>
      <c r="T40" s="5">
        <f t="shared" si="13"/>
        <v>0</v>
      </c>
      <c r="U40" s="5">
        <f t="shared" si="8"/>
        <v>0</v>
      </c>
      <c r="V40" s="5"/>
      <c r="W40" s="20"/>
      <c r="X40" s="20"/>
      <c r="Y40" s="1">
        <f t="shared" si="10"/>
        <v>12.014044754474703</v>
      </c>
      <c r="Z40" s="1">
        <f t="shared" si="24"/>
        <v>12.014044754474703</v>
      </c>
      <c r="AA40" s="1">
        <v>57.8</v>
      </c>
      <c r="AB40" s="1">
        <v>65.2</v>
      </c>
      <c r="AC40" s="1">
        <v>59.6</v>
      </c>
      <c r="AD40" s="1">
        <v>61.2</v>
      </c>
      <c r="AE40" s="1">
        <v>65.400000000000006</v>
      </c>
      <c r="AF40" s="1">
        <v>45.2</v>
      </c>
      <c r="AG40" s="1">
        <v>39.6</v>
      </c>
      <c r="AH40" s="1">
        <v>47</v>
      </c>
      <c r="AI40" s="1">
        <v>55.8</v>
      </c>
      <c r="AJ40" s="1">
        <v>66.2</v>
      </c>
      <c r="AK40" s="1"/>
      <c r="AL40" s="1">
        <f t="shared" si="11"/>
        <v>0</v>
      </c>
      <c r="AM40" s="1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80</v>
      </c>
      <c r="B41" s="1" t="s">
        <v>41</v>
      </c>
      <c r="C41" s="1"/>
      <c r="D41" s="1">
        <v>90</v>
      </c>
      <c r="E41" s="1">
        <v>-2</v>
      </c>
      <c r="F41" s="1">
        <v>87</v>
      </c>
      <c r="G41" s="7">
        <v>0.35</v>
      </c>
      <c r="H41" s="1">
        <v>40</v>
      </c>
      <c r="I41" s="9" t="s">
        <v>47</v>
      </c>
      <c r="J41" s="1"/>
      <c r="K41" s="1"/>
      <c r="L41" s="1">
        <f t="shared" si="21"/>
        <v>-2</v>
      </c>
      <c r="M41" s="1">
        <f t="shared" si="22"/>
        <v>-2</v>
      </c>
      <c r="N41" s="1"/>
      <c r="O41" s="1"/>
      <c r="P41" s="1">
        <v>0</v>
      </c>
      <c r="Q41" s="1"/>
      <c r="R41" s="1">
        <f t="shared" si="23"/>
        <v>-0.4</v>
      </c>
      <c r="S41" s="5"/>
      <c r="T41" s="5">
        <f t="shared" si="13"/>
        <v>0</v>
      </c>
      <c r="U41" s="5">
        <f t="shared" si="8"/>
        <v>0</v>
      </c>
      <c r="V41" s="5"/>
      <c r="W41" s="20"/>
      <c r="X41" s="20"/>
      <c r="Y41" s="1">
        <f t="shared" si="10"/>
        <v>-217.5</v>
      </c>
      <c r="Z41" s="1">
        <f t="shared" si="24"/>
        <v>-217.5</v>
      </c>
      <c r="AA41" s="1">
        <v>4.4000000000000004</v>
      </c>
      <c r="AB41" s="1">
        <v>7.8</v>
      </c>
      <c r="AC41" s="1">
        <v>4.8</v>
      </c>
      <c r="AD41" s="1">
        <v>5.4</v>
      </c>
      <c r="AE41" s="1">
        <v>9.4336000000000002</v>
      </c>
      <c r="AF41" s="1">
        <v>5.4336000000000002</v>
      </c>
      <c r="AG41" s="1">
        <v>0.23380000000000001</v>
      </c>
      <c r="AH41" s="1">
        <v>0.23380000000000001</v>
      </c>
      <c r="AI41" s="1">
        <v>-0.2</v>
      </c>
      <c r="AJ41" s="1">
        <v>-0.4</v>
      </c>
      <c r="AK41" s="1"/>
      <c r="AL41" s="1">
        <f t="shared" si="11"/>
        <v>0</v>
      </c>
      <c r="AM41" s="1">
        <f t="shared" si="12"/>
        <v>0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81</v>
      </c>
      <c r="B42" s="1" t="s">
        <v>36</v>
      </c>
      <c r="C42" s="1">
        <v>51.764000000000003</v>
      </c>
      <c r="D42" s="1">
        <v>9.4740000000000002</v>
      </c>
      <c r="E42" s="1">
        <v>36.252000000000002</v>
      </c>
      <c r="F42" s="1">
        <v>19.158000000000001</v>
      </c>
      <c r="G42" s="7">
        <v>1</v>
      </c>
      <c r="H42" s="1">
        <v>40</v>
      </c>
      <c r="I42" s="1" t="s">
        <v>37</v>
      </c>
      <c r="J42" s="1"/>
      <c r="K42" s="1">
        <v>41.4</v>
      </c>
      <c r="L42" s="1">
        <f t="shared" si="21"/>
        <v>-5.1479999999999961</v>
      </c>
      <c r="M42" s="1">
        <f t="shared" si="22"/>
        <v>36.252000000000002</v>
      </c>
      <c r="N42" s="1"/>
      <c r="O42" s="1"/>
      <c r="P42" s="1">
        <v>21.331</v>
      </c>
      <c r="Q42" s="1"/>
      <c r="R42" s="1">
        <f t="shared" si="23"/>
        <v>7.2504000000000008</v>
      </c>
      <c r="S42" s="5">
        <f t="shared" si="20"/>
        <v>39.2654</v>
      </c>
      <c r="T42" s="5">
        <f t="shared" si="13"/>
        <v>39.2654</v>
      </c>
      <c r="U42" s="5">
        <f t="shared" si="8"/>
        <v>39.2654</v>
      </c>
      <c r="V42" s="5"/>
      <c r="W42" s="20"/>
      <c r="X42" s="20"/>
      <c r="Y42" s="1">
        <f t="shared" si="10"/>
        <v>11</v>
      </c>
      <c r="Z42" s="1">
        <f t="shared" si="24"/>
        <v>5.5843815513626831</v>
      </c>
      <c r="AA42" s="1">
        <v>5.0590000000000002</v>
      </c>
      <c r="AB42" s="1">
        <v>3.4971999999999999</v>
      </c>
      <c r="AC42" s="1">
        <v>4.0369999999999999</v>
      </c>
      <c r="AD42" s="1">
        <v>6.6698000000000004</v>
      </c>
      <c r="AE42" s="1">
        <v>6.9189999999999996</v>
      </c>
      <c r="AF42" s="1">
        <v>6.3548</v>
      </c>
      <c r="AG42" s="1">
        <v>6.2396000000000003</v>
      </c>
      <c r="AH42" s="1">
        <v>4.0526</v>
      </c>
      <c r="AI42" s="1">
        <v>0.86860000000000004</v>
      </c>
      <c r="AJ42" s="1">
        <v>1.5376000000000001</v>
      </c>
      <c r="AK42" s="1"/>
      <c r="AL42" s="1">
        <f t="shared" si="11"/>
        <v>39</v>
      </c>
      <c r="AM42" s="1">
        <f t="shared" si="12"/>
        <v>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82</v>
      </c>
      <c r="B43" s="1" t="s">
        <v>41</v>
      </c>
      <c r="C43" s="1">
        <v>167</v>
      </c>
      <c r="D43" s="1">
        <v>621</v>
      </c>
      <c r="E43" s="1">
        <v>481</v>
      </c>
      <c r="F43" s="1">
        <v>273</v>
      </c>
      <c r="G43" s="7">
        <v>0.4</v>
      </c>
      <c r="H43" s="1">
        <v>40</v>
      </c>
      <c r="I43" s="1" t="s">
        <v>37</v>
      </c>
      <c r="J43" s="1"/>
      <c r="K43" s="1">
        <v>594</v>
      </c>
      <c r="L43" s="1">
        <f t="shared" si="21"/>
        <v>-113</v>
      </c>
      <c r="M43" s="1">
        <f t="shared" si="22"/>
        <v>481</v>
      </c>
      <c r="N43" s="1"/>
      <c r="O43" s="1"/>
      <c r="P43" s="1">
        <v>150</v>
      </c>
      <c r="Q43" s="1"/>
      <c r="R43" s="1">
        <f t="shared" si="23"/>
        <v>96.2</v>
      </c>
      <c r="S43" s="5">
        <f>9*R43-Q43-P43-O43-F43</f>
        <v>442.80000000000007</v>
      </c>
      <c r="T43" s="5">
        <f t="shared" si="13"/>
        <v>442.80000000000007</v>
      </c>
      <c r="U43" s="5">
        <f t="shared" si="8"/>
        <v>199.26000000000002</v>
      </c>
      <c r="V43" s="5">
        <f t="shared" ref="V43:V44" si="25">T43*$V$1</f>
        <v>243.54000000000005</v>
      </c>
      <c r="W43" s="20"/>
      <c r="X43" s="20"/>
      <c r="Y43" s="1">
        <f t="shared" si="10"/>
        <v>9</v>
      </c>
      <c r="Z43" s="1">
        <f t="shared" si="24"/>
        <v>4.3970893970893972</v>
      </c>
      <c r="AA43" s="1">
        <v>49.8</v>
      </c>
      <c r="AB43" s="1">
        <v>18.399999999999999</v>
      </c>
      <c r="AC43" s="1">
        <v>40.200000000000003</v>
      </c>
      <c r="AD43" s="1">
        <v>87</v>
      </c>
      <c r="AE43" s="1">
        <v>60.6</v>
      </c>
      <c r="AF43" s="1">
        <v>14.8</v>
      </c>
      <c r="AG43" s="1">
        <v>32.799999999999997</v>
      </c>
      <c r="AH43" s="1">
        <v>53.2</v>
      </c>
      <c r="AI43" s="1">
        <v>65</v>
      </c>
      <c r="AJ43" s="1">
        <v>73.2</v>
      </c>
      <c r="AK43" s="1"/>
      <c r="AL43" s="1">
        <f t="shared" si="11"/>
        <v>80</v>
      </c>
      <c r="AM43" s="1">
        <f t="shared" si="12"/>
        <v>97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83</v>
      </c>
      <c r="B44" s="1" t="s">
        <v>41</v>
      </c>
      <c r="C44" s="1">
        <v>413</v>
      </c>
      <c r="D44" s="1">
        <v>1198</v>
      </c>
      <c r="E44" s="1">
        <v>798</v>
      </c>
      <c r="F44" s="1">
        <v>764</v>
      </c>
      <c r="G44" s="7">
        <v>0.4</v>
      </c>
      <c r="H44" s="1">
        <v>45</v>
      </c>
      <c r="I44" s="1" t="s">
        <v>37</v>
      </c>
      <c r="J44" s="1"/>
      <c r="K44" s="1">
        <v>826</v>
      </c>
      <c r="L44" s="1">
        <f t="shared" si="21"/>
        <v>-28</v>
      </c>
      <c r="M44" s="1">
        <f t="shared" si="22"/>
        <v>798</v>
      </c>
      <c r="N44" s="1"/>
      <c r="O44" s="1"/>
      <c r="P44" s="1">
        <v>200</v>
      </c>
      <c r="Q44" s="1"/>
      <c r="R44" s="1">
        <f t="shared" si="23"/>
        <v>159.6</v>
      </c>
      <c r="S44" s="5">
        <f t="shared" si="20"/>
        <v>791.59999999999991</v>
      </c>
      <c r="T44" s="5">
        <f>S44+R44*$T$1</f>
        <v>1023.9775999999999</v>
      </c>
      <c r="U44" s="5">
        <f t="shared" si="8"/>
        <v>460.78991999999994</v>
      </c>
      <c r="V44" s="5">
        <f t="shared" si="25"/>
        <v>563.18768</v>
      </c>
      <c r="W44" s="20"/>
      <c r="X44" s="20"/>
      <c r="Y44" s="1">
        <f t="shared" si="10"/>
        <v>12.456</v>
      </c>
      <c r="Z44" s="1">
        <f t="shared" si="24"/>
        <v>6.0401002506265664</v>
      </c>
      <c r="AA44" s="1">
        <v>82.2</v>
      </c>
      <c r="AB44" s="1">
        <v>68.2</v>
      </c>
      <c r="AC44" s="1">
        <v>136.19999999999999</v>
      </c>
      <c r="AD44" s="1">
        <v>154.19999999999999</v>
      </c>
      <c r="AE44" s="1">
        <v>116.8</v>
      </c>
      <c r="AF44" s="1">
        <v>81.8</v>
      </c>
      <c r="AG44" s="1">
        <v>82.4</v>
      </c>
      <c r="AH44" s="1">
        <v>90.2</v>
      </c>
      <c r="AI44" s="1">
        <v>88</v>
      </c>
      <c r="AJ44" s="1">
        <v>84</v>
      </c>
      <c r="AK44" s="1"/>
      <c r="AL44" s="1">
        <f t="shared" si="11"/>
        <v>184</v>
      </c>
      <c r="AM44" s="1">
        <f t="shared" si="12"/>
        <v>225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84</v>
      </c>
      <c r="B45" s="1" t="s">
        <v>36</v>
      </c>
      <c r="C45" s="1">
        <v>357.60300000000001</v>
      </c>
      <c r="D45" s="1">
        <v>21.111999999999998</v>
      </c>
      <c r="E45" s="1">
        <v>96.549000000000007</v>
      </c>
      <c r="F45" s="1">
        <v>252.28399999999999</v>
      </c>
      <c r="G45" s="7">
        <v>1</v>
      </c>
      <c r="H45" s="1">
        <v>40</v>
      </c>
      <c r="I45" s="1" t="s">
        <v>37</v>
      </c>
      <c r="J45" s="1"/>
      <c r="K45" s="1">
        <v>101.7</v>
      </c>
      <c r="L45" s="1">
        <f t="shared" si="21"/>
        <v>-5.1509999999999962</v>
      </c>
      <c r="M45" s="1">
        <f t="shared" si="22"/>
        <v>96.549000000000007</v>
      </c>
      <c r="N45" s="1"/>
      <c r="O45" s="1"/>
      <c r="P45" s="1">
        <v>0</v>
      </c>
      <c r="Q45" s="1"/>
      <c r="R45" s="1">
        <f t="shared" si="23"/>
        <v>19.309800000000003</v>
      </c>
      <c r="S45" s="5"/>
      <c r="T45" s="5">
        <f t="shared" si="13"/>
        <v>0</v>
      </c>
      <c r="U45" s="5">
        <f t="shared" si="8"/>
        <v>0</v>
      </c>
      <c r="V45" s="5"/>
      <c r="W45" s="20"/>
      <c r="X45" s="20"/>
      <c r="Y45" s="1">
        <f t="shared" si="10"/>
        <v>13.065075764637642</v>
      </c>
      <c r="Z45" s="1">
        <f t="shared" si="24"/>
        <v>13.065075764637642</v>
      </c>
      <c r="AA45" s="1">
        <v>17.008400000000002</v>
      </c>
      <c r="AB45" s="1">
        <v>13.3536</v>
      </c>
      <c r="AC45" s="1">
        <v>11.878</v>
      </c>
      <c r="AD45" s="1">
        <v>18.694400000000002</v>
      </c>
      <c r="AE45" s="1">
        <v>8.4109999999999996</v>
      </c>
      <c r="AF45" s="1">
        <v>0.14360000000000001</v>
      </c>
      <c r="AG45" s="1">
        <v>0</v>
      </c>
      <c r="AH45" s="1">
        <v>0</v>
      </c>
      <c r="AI45" s="1">
        <v>9.7788000000000004</v>
      </c>
      <c r="AJ45" s="1">
        <v>18.235800000000001</v>
      </c>
      <c r="AK45" s="16" t="s">
        <v>187</v>
      </c>
      <c r="AL45" s="1">
        <f t="shared" si="11"/>
        <v>0</v>
      </c>
      <c r="AM45" s="1">
        <f t="shared" si="12"/>
        <v>0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85</v>
      </c>
      <c r="B46" s="1" t="s">
        <v>41</v>
      </c>
      <c r="C46" s="1">
        <v>700</v>
      </c>
      <c r="D46" s="1">
        <v>1855</v>
      </c>
      <c r="E46" s="1">
        <v>506</v>
      </c>
      <c r="F46" s="1">
        <v>1994</v>
      </c>
      <c r="G46" s="7">
        <v>0.35</v>
      </c>
      <c r="H46" s="1">
        <v>40</v>
      </c>
      <c r="I46" s="9" t="s">
        <v>86</v>
      </c>
      <c r="J46" s="1"/>
      <c r="K46" s="1">
        <v>2249</v>
      </c>
      <c r="L46" s="1">
        <f t="shared" si="21"/>
        <v>-1743</v>
      </c>
      <c r="M46" s="1">
        <f t="shared" si="22"/>
        <v>506</v>
      </c>
      <c r="N46" s="1"/>
      <c r="O46" s="1">
        <v>295.75</v>
      </c>
      <c r="P46" s="1">
        <v>0</v>
      </c>
      <c r="Q46" s="1"/>
      <c r="R46" s="1">
        <f t="shared" si="23"/>
        <v>101.2</v>
      </c>
      <c r="S46" s="5"/>
      <c r="T46" s="5">
        <f t="shared" si="13"/>
        <v>0</v>
      </c>
      <c r="U46" s="5">
        <f t="shared" si="8"/>
        <v>0</v>
      </c>
      <c r="V46" s="5"/>
      <c r="W46" s="20"/>
      <c r="X46" s="20"/>
      <c r="Y46" s="1">
        <f t="shared" si="10"/>
        <v>22.625988142292488</v>
      </c>
      <c r="Z46" s="1">
        <f t="shared" si="24"/>
        <v>22.625988142292488</v>
      </c>
      <c r="AA46" s="1">
        <v>42</v>
      </c>
      <c r="AB46" s="1">
        <v>24.4</v>
      </c>
      <c r="AC46" s="1">
        <v>36.799999999999997</v>
      </c>
      <c r="AD46" s="1">
        <v>51</v>
      </c>
      <c r="AE46" s="1">
        <v>28.6</v>
      </c>
      <c r="AF46" s="1">
        <v>-0.4</v>
      </c>
      <c r="AG46" s="1">
        <v>0</v>
      </c>
      <c r="AH46" s="1">
        <v>-0.4</v>
      </c>
      <c r="AI46" s="1">
        <v>31.2</v>
      </c>
      <c r="AJ46" s="1">
        <v>60.8</v>
      </c>
      <c r="AK46" s="1" t="s">
        <v>87</v>
      </c>
      <c r="AL46" s="1">
        <f t="shared" si="11"/>
        <v>0</v>
      </c>
      <c r="AM46" s="1">
        <f t="shared" si="12"/>
        <v>0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41</v>
      </c>
      <c r="C47" s="1">
        <v>109</v>
      </c>
      <c r="D47" s="1">
        <v>1014</v>
      </c>
      <c r="E47" s="1">
        <v>353</v>
      </c>
      <c r="F47" s="1">
        <v>708</v>
      </c>
      <c r="G47" s="7">
        <v>0.4</v>
      </c>
      <c r="H47" s="1">
        <v>40</v>
      </c>
      <c r="I47" s="1" t="s">
        <v>37</v>
      </c>
      <c r="J47" s="1"/>
      <c r="K47" s="1">
        <v>398</v>
      </c>
      <c r="L47" s="1">
        <f t="shared" si="21"/>
        <v>-45</v>
      </c>
      <c r="M47" s="1">
        <f t="shared" si="22"/>
        <v>353</v>
      </c>
      <c r="N47" s="1"/>
      <c r="O47" s="1"/>
      <c r="P47" s="1">
        <v>0</v>
      </c>
      <c r="Q47" s="1"/>
      <c r="R47" s="1">
        <f t="shared" si="23"/>
        <v>70.599999999999994</v>
      </c>
      <c r="S47" s="5">
        <f t="shared" si="20"/>
        <v>68.599999999999909</v>
      </c>
      <c r="T47" s="5">
        <f t="shared" si="13"/>
        <v>68.599999999999909</v>
      </c>
      <c r="U47" s="5">
        <f t="shared" si="8"/>
        <v>68.599999999999909</v>
      </c>
      <c r="V47" s="5"/>
      <c r="W47" s="20"/>
      <c r="X47" s="20"/>
      <c r="Y47" s="1">
        <f t="shared" si="10"/>
        <v>11</v>
      </c>
      <c r="Z47" s="1">
        <f t="shared" si="24"/>
        <v>10.028328611898019</v>
      </c>
      <c r="AA47" s="1">
        <v>50</v>
      </c>
      <c r="AB47" s="1">
        <v>70</v>
      </c>
      <c r="AC47" s="1">
        <v>97.2</v>
      </c>
      <c r="AD47" s="1">
        <v>90</v>
      </c>
      <c r="AE47" s="1">
        <v>66</v>
      </c>
      <c r="AF47" s="1">
        <v>54.6</v>
      </c>
      <c r="AG47" s="1">
        <v>52</v>
      </c>
      <c r="AH47" s="1">
        <v>69</v>
      </c>
      <c r="AI47" s="1">
        <v>79.400000000000006</v>
      </c>
      <c r="AJ47" s="1">
        <v>67.400000000000006</v>
      </c>
      <c r="AK47" s="1"/>
      <c r="AL47" s="1">
        <f t="shared" si="11"/>
        <v>27</v>
      </c>
      <c r="AM47" s="1">
        <f t="shared" si="12"/>
        <v>0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36</v>
      </c>
      <c r="C48" s="1">
        <v>304.52800000000002</v>
      </c>
      <c r="D48" s="1">
        <v>5.44</v>
      </c>
      <c r="E48" s="1">
        <v>129.78800000000001</v>
      </c>
      <c r="F48" s="1">
        <v>171.12899999999999</v>
      </c>
      <c r="G48" s="7">
        <v>1</v>
      </c>
      <c r="H48" s="1">
        <v>50</v>
      </c>
      <c r="I48" s="1" t="s">
        <v>37</v>
      </c>
      <c r="J48" s="1"/>
      <c r="K48" s="1">
        <v>133.80000000000001</v>
      </c>
      <c r="L48" s="1">
        <f t="shared" si="21"/>
        <v>-4.0120000000000005</v>
      </c>
      <c r="M48" s="1">
        <f t="shared" si="22"/>
        <v>129.78800000000001</v>
      </c>
      <c r="N48" s="1"/>
      <c r="O48" s="1"/>
      <c r="P48" s="1">
        <v>44.256800000000027</v>
      </c>
      <c r="Q48" s="1"/>
      <c r="R48" s="1">
        <f t="shared" si="23"/>
        <v>25.957600000000003</v>
      </c>
      <c r="S48" s="5">
        <f t="shared" si="20"/>
        <v>70.147800000000018</v>
      </c>
      <c r="T48" s="5">
        <f t="shared" si="13"/>
        <v>70.147800000000018</v>
      </c>
      <c r="U48" s="5">
        <f t="shared" si="8"/>
        <v>70.147800000000018</v>
      </c>
      <c r="V48" s="5"/>
      <c r="W48" s="20"/>
      <c r="X48" s="20"/>
      <c r="Y48" s="1">
        <f t="shared" si="10"/>
        <v>11</v>
      </c>
      <c r="Z48" s="1">
        <f t="shared" si="24"/>
        <v>8.2976007026843774</v>
      </c>
      <c r="AA48" s="1">
        <v>22.592400000000001</v>
      </c>
      <c r="AB48" s="1">
        <v>20.738800000000001</v>
      </c>
      <c r="AC48" s="1">
        <v>20.241199999999999</v>
      </c>
      <c r="AD48" s="1">
        <v>19.106200000000001</v>
      </c>
      <c r="AE48" s="1">
        <v>26.2178</v>
      </c>
      <c r="AF48" s="1">
        <v>24.6632</v>
      </c>
      <c r="AG48" s="1">
        <v>41.405000000000001</v>
      </c>
      <c r="AH48" s="1">
        <v>41.046999999999997</v>
      </c>
      <c r="AI48" s="1">
        <v>19.833600000000001</v>
      </c>
      <c r="AJ48" s="1">
        <v>20.871600000000001</v>
      </c>
      <c r="AK48" s="1"/>
      <c r="AL48" s="1">
        <f t="shared" si="11"/>
        <v>70</v>
      </c>
      <c r="AM48" s="1">
        <f t="shared" si="12"/>
        <v>0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90</v>
      </c>
      <c r="B49" s="1" t="s">
        <v>36</v>
      </c>
      <c r="C49" s="1">
        <v>14.509</v>
      </c>
      <c r="D49" s="1">
        <v>1513.277</v>
      </c>
      <c r="E49" s="1">
        <v>266.99799999999999</v>
      </c>
      <c r="F49" s="1">
        <v>1227.8420000000001</v>
      </c>
      <c r="G49" s="7">
        <v>1</v>
      </c>
      <c r="H49" s="1">
        <v>50</v>
      </c>
      <c r="I49" s="1" t="s">
        <v>37</v>
      </c>
      <c r="J49" s="1"/>
      <c r="K49" s="1">
        <v>380</v>
      </c>
      <c r="L49" s="1">
        <f t="shared" si="21"/>
        <v>-113.00200000000001</v>
      </c>
      <c r="M49" s="1">
        <f t="shared" si="22"/>
        <v>266.99799999999999</v>
      </c>
      <c r="N49" s="1"/>
      <c r="O49" s="1"/>
      <c r="P49" s="1">
        <v>230.8</v>
      </c>
      <c r="Q49" s="1">
        <v>169.2</v>
      </c>
      <c r="R49" s="1">
        <f t="shared" si="23"/>
        <v>53.3996</v>
      </c>
      <c r="S49" s="5"/>
      <c r="T49" s="5">
        <f t="shared" si="13"/>
        <v>0</v>
      </c>
      <c r="U49" s="5">
        <f t="shared" si="8"/>
        <v>0</v>
      </c>
      <c r="V49" s="5"/>
      <c r="W49" s="20"/>
      <c r="X49" s="20"/>
      <c r="Y49" s="1">
        <f t="shared" si="10"/>
        <v>30.484160930044421</v>
      </c>
      <c r="Z49" s="1">
        <f t="shared" si="24"/>
        <v>30.484160930044421</v>
      </c>
      <c r="AA49" s="1">
        <v>54.02</v>
      </c>
      <c r="AB49" s="1">
        <v>99.819199999999995</v>
      </c>
      <c r="AC49" s="1">
        <v>140.38</v>
      </c>
      <c r="AD49" s="1">
        <v>172.2028</v>
      </c>
      <c r="AE49" s="1">
        <v>48.210799999999999</v>
      </c>
      <c r="AF49" s="1">
        <v>0.9294</v>
      </c>
      <c r="AG49" s="1">
        <v>46.881199999999993</v>
      </c>
      <c r="AH49" s="1">
        <v>105.58880000000001</v>
      </c>
      <c r="AI49" s="1">
        <v>141.5504</v>
      </c>
      <c r="AJ49" s="1">
        <v>82.66</v>
      </c>
      <c r="AK49" s="1"/>
      <c r="AL49" s="1">
        <f t="shared" si="11"/>
        <v>0</v>
      </c>
      <c r="AM49" s="1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1" t="s">
        <v>91</v>
      </c>
      <c r="B50" s="11" t="s">
        <v>36</v>
      </c>
      <c r="C50" s="11"/>
      <c r="D50" s="11"/>
      <c r="E50" s="11"/>
      <c r="F50" s="11"/>
      <c r="G50" s="12">
        <v>0</v>
      </c>
      <c r="H50" s="11"/>
      <c r="I50" s="11" t="s">
        <v>37</v>
      </c>
      <c r="J50" s="11"/>
      <c r="K50" s="11"/>
      <c r="L50" s="11">
        <f t="shared" si="21"/>
        <v>0</v>
      </c>
      <c r="M50" s="11">
        <f t="shared" si="22"/>
        <v>0</v>
      </c>
      <c r="N50" s="11"/>
      <c r="O50" s="11"/>
      <c r="P50" s="11">
        <v>0</v>
      </c>
      <c r="Q50" s="11"/>
      <c r="R50" s="11">
        <f t="shared" si="23"/>
        <v>0</v>
      </c>
      <c r="S50" s="13"/>
      <c r="T50" s="5">
        <f t="shared" si="13"/>
        <v>0</v>
      </c>
      <c r="U50" s="5">
        <f t="shared" si="8"/>
        <v>0</v>
      </c>
      <c r="V50" s="5"/>
      <c r="W50" s="21"/>
      <c r="X50" s="20"/>
      <c r="Y50" s="1" t="e">
        <f t="shared" si="10"/>
        <v>#DIV/0!</v>
      </c>
      <c r="Z50" s="11" t="e">
        <f t="shared" si="24"/>
        <v>#DIV/0!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 t="s">
        <v>53</v>
      </c>
      <c r="AL50" s="1">
        <f t="shared" si="11"/>
        <v>0</v>
      </c>
      <c r="AM50" s="1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41</v>
      </c>
      <c r="C51" s="1">
        <v>280</v>
      </c>
      <c r="D51" s="1">
        <v>471</v>
      </c>
      <c r="E51" s="1">
        <v>608</v>
      </c>
      <c r="F51" s="1">
        <v>78</v>
      </c>
      <c r="G51" s="7">
        <v>0.45</v>
      </c>
      <c r="H51" s="1">
        <v>50</v>
      </c>
      <c r="I51" s="1" t="s">
        <v>37</v>
      </c>
      <c r="J51" s="1"/>
      <c r="K51" s="1">
        <v>614</v>
      </c>
      <c r="L51" s="1">
        <f t="shared" si="21"/>
        <v>-6</v>
      </c>
      <c r="M51" s="1">
        <f t="shared" si="22"/>
        <v>608</v>
      </c>
      <c r="N51" s="1"/>
      <c r="O51" s="1"/>
      <c r="P51" s="1">
        <v>189.02296816399991</v>
      </c>
      <c r="Q51" s="1">
        <v>138.57316383599999</v>
      </c>
      <c r="R51" s="1">
        <f t="shared" si="23"/>
        <v>121.6</v>
      </c>
      <c r="S51" s="5">
        <f>8*R51-Q51-P51-O51-F51</f>
        <v>567.20386800000006</v>
      </c>
      <c r="T51" s="5">
        <f t="shared" si="13"/>
        <v>567.20386800000006</v>
      </c>
      <c r="U51" s="5">
        <f t="shared" si="8"/>
        <v>255.24174060000001</v>
      </c>
      <c r="V51" s="5">
        <f t="shared" ref="V51:V52" si="26">T51*$V$1</f>
        <v>311.96212740000004</v>
      </c>
      <c r="W51" s="20"/>
      <c r="X51" s="20"/>
      <c r="Y51" s="1">
        <f t="shared" si="10"/>
        <v>8</v>
      </c>
      <c r="Z51" s="1">
        <f t="shared" si="24"/>
        <v>3.3354945065789465</v>
      </c>
      <c r="AA51" s="1">
        <v>60.4</v>
      </c>
      <c r="AB51" s="1">
        <v>48.8</v>
      </c>
      <c r="AC51" s="1">
        <v>64</v>
      </c>
      <c r="AD51" s="1">
        <v>63.8</v>
      </c>
      <c r="AE51" s="1">
        <v>68</v>
      </c>
      <c r="AF51" s="1">
        <v>58.8</v>
      </c>
      <c r="AG51" s="1">
        <v>49.8</v>
      </c>
      <c r="AH51" s="1">
        <v>64.003599999999992</v>
      </c>
      <c r="AI51" s="1">
        <v>53.003599999999992</v>
      </c>
      <c r="AJ51" s="1">
        <v>62.2</v>
      </c>
      <c r="AK51" s="1"/>
      <c r="AL51" s="1">
        <f t="shared" si="11"/>
        <v>115</v>
      </c>
      <c r="AM51" s="1">
        <f t="shared" si="12"/>
        <v>140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93</v>
      </c>
      <c r="B52" s="1" t="s">
        <v>41</v>
      </c>
      <c r="C52" s="1">
        <v>240</v>
      </c>
      <c r="D52" s="1">
        <v>669</v>
      </c>
      <c r="E52" s="1">
        <v>503</v>
      </c>
      <c r="F52" s="1">
        <v>362</v>
      </c>
      <c r="G52" s="7">
        <v>0.45</v>
      </c>
      <c r="H52" s="1">
        <v>50</v>
      </c>
      <c r="I52" s="1" t="s">
        <v>37</v>
      </c>
      <c r="J52" s="1"/>
      <c r="K52" s="1">
        <v>557</v>
      </c>
      <c r="L52" s="1">
        <f t="shared" si="21"/>
        <v>-54</v>
      </c>
      <c r="M52" s="1">
        <f t="shared" si="22"/>
        <v>503</v>
      </c>
      <c r="N52" s="1"/>
      <c r="O52" s="1"/>
      <c r="P52" s="1">
        <v>276.277879832</v>
      </c>
      <c r="Q52" s="1">
        <v>202.539936168</v>
      </c>
      <c r="R52" s="1">
        <f t="shared" si="23"/>
        <v>100.6</v>
      </c>
      <c r="S52" s="5">
        <f t="shared" ref="S52" si="27">11*R52-Q52-P52-O52-F52</f>
        <v>265.78218399999992</v>
      </c>
      <c r="T52" s="5">
        <f>S52+R52*$T$1</f>
        <v>412.25578399999989</v>
      </c>
      <c r="U52" s="5">
        <f t="shared" si="8"/>
        <v>185.51510279999994</v>
      </c>
      <c r="V52" s="5">
        <f t="shared" si="26"/>
        <v>226.74068119999995</v>
      </c>
      <c r="W52" s="20"/>
      <c r="X52" s="20"/>
      <c r="Y52" s="1">
        <f t="shared" si="10"/>
        <v>12.456</v>
      </c>
      <c r="Z52" s="1">
        <f t="shared" si="24"/>
        <v>8.3580299801192854</v>
      </c>
      <c r="AA52" s="1">
        <v>95.8</v>
      </c>
      <c r="AB52" s="1">
        <v>83.8</v>
      </c>
      <c r="AC52" s="1">
        <v>89.8</v>
      </c>
      <c r="AD52" s="1">
        <v>78.8</v>
      </c>
      <c r="AE52" s="1">
        <v>79.2</v>
      </c>
      <c r="AF52" s="1">
        <v>78.400000000000006</v>
      </c>
      <c r="AG52" s="1">
        <v>62.8</v>
      </c>
      <c r="AH52" s="1">
        <v>88.6</v>
      </c>
      <c r="AI52" s="1">
        <v>112.4</v>
      </c>
      <c r="AJ52" s="1">
        <v>111.6</v>
      </c>
      <c r="AK52" s="1"/>
      <c r="AL52" s="1">
        <f t="shared" si="11"/>
        <v>83</v>
      </c>
      <c r="AM52" s="1">
        <f t="shared" si="12"/>
        <v>102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1" t="s">
        <v>94</v>
      </c>
      <c r="B53" s="11" t="s">
        <v>41</v>
      </c>
      <c r="C53" s="11"/>
      <c r="D53" s="11"/>
      <c r="E53" s="11"/>
      <c r="F53" s="11"/>
      <c r="G53" s="12">
        <v>0</v>
      </c>
      <c r="H53" s="11"/>
      <c r="I53" s="11" t="s">
        <v>37</v>
      </c>
      <c r="J53" s="11"/>
      <c r="K53" s="11"/>
      <c r="L53" s="11">
        <f t="shared" si="21"/>
        <v>0</v>
      </c>
      <c r="M53" s="11">
        <f t="shared" si="22"/>
        <v>0</v>
      </c>
      <c r="N53" s="11"/>
      <c r="O53" s="11"/>
      <c r="P53" s="11">
        <v>0</v>
      </c>
      <c r="Q53" s="11"/>
      <c r="R53" s="11">
        <f t="shared" si="23"/>
        <v>0</v>
      </c>
      <c r="S53" s="13"/>
      <c r="T53" s="5">
        <f t="shared" si="13"/>
        <v>0</v>
      </c>
      <c r="U53" s="5">
        <f t="shared" si="8"/>
        <v>0</v>
      </c>
      <c r="V53" s="5"/>
      <c r="W53" s="21"/>
      <c r="X53" s="20"/>
      <c r="Y53" s="1" t="e">
        <f t="shared" si="10"/>
        <v>#DIV/0!</v>
      </c>
      <c r="Z53" s="11" t="e">
        <f t="shared" si="24"/>
        <v>#DIV/0!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 t="s">
        <v>53</v>
      </c>
      <c r="AL53" s="1">
        <f t="shared" si="11"/>
        <v>0</v>
      </c>
      <c r="AM53" s="1">
        <f t="shared" si="12"/>
        <v>0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95</v>
      </c>
      <c r="B54" s="1" t="s">
        <v>41</v>
      </c>
      <c r="C54" s="1">
        <v>33</v>
      </c>
      <c r="D54" s="1">
        <v>25</v>
      </c>
      <c r="E54" s="1">
        <v>34</v>
      </c>
      <c r="F54" s="1">
        <v>19</v>
      </c>
      <c r="G54" s="7">
        <v>0.4</v>
      </c>
      <c r="H54" s="1">
        <v>40</v>
      </c>
      <c r="I54" s="1" t="s">
        <v>37</v>
      </c>
      <c r="J54" s="1"/>
      <c r="K54" s="1">
        <v>38</v>
      </c>
      <c r="L54" s="1">
        <f t="shared" si="21"/>
        <v>-4</v>
      </c>
      <c r="M54" s="1">
        <f t="shared" si="22"/>
        <v>34</v>
      </c>
      <c r="N54" s="1"/>
      <c r="O54" s="1"/>
      <c r="P54" s="1">
        <v>45.8</v>
      </c>
      <c r="Q54" s="1"/>
      <c r="R54" s="1">
        <f t="shared" si="23"/>
        <v>6.8</v>
      </c>
      <c r="S54" s="5">
        <f t="shared" ref="S54:S64" si="28">11*R54-Q54-P54-O54-F54</f>
        <v>10</v>
      </c>
      <c r="T54" s="5">
        <f t="shared" si="13"/>
        <v>10</v>
      </c>
      <c r="U54" s="5">
        <f t="shared" si="8"/>
        <v>10</v>
      </c>
      <c r="V54" s="5"/>
      <c r="W54" s="20"/>
      <c r="X54" s="20"/>
      <c r="Y54" s="1">
        <f t="shared" si="10"/>
        <v>11</v>
      </c>
      <c r="Z54" s="1">
        <f t="shared" si="24"/>
        <v>9.5294117647058822</v>
      </c>
      <c r="AA54" s="1">
        <v>6.6</v>
      </c>
      <c r="AB54" s="1">
        <v>4.8</v>
      </c>
      <c r="AC54" s="1">
        <v>-0.2</v>
      </c>
      <c r="AD54" s="1">
        <v>1</v>
      </c>
      <c r="AE54" s="1">
        <v>6.8</v>
      </c>
      <c r="AF54" s="1">
        <v>7</v>
      </c>
      <c r="AG54" s="1">
        <v>3.8</v>
      </c>
      <c r="AH54" s="1">
        <v>3.8</v>
      </c>
      <c r="AI54" s="1">
        <v>8</v>
      </c>
      <c r="AJ54" s="1">
        <v>7.4</v>
      </c>
      <c r="AK54" s="1" t="s">
        <v>96</v>
      </c>
      <c r="AL54" s="1">
        <f t="shared" si="11"/>
        <v>4</v>
      </c>
      <c r="AM54" s="1">
        <f t="shared" si="12"/>
        <v>0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97</v>
      </c>
      <c r="B55" s="1" t="s">
        <v>36</v>
      </c>
      <c r="C55" s="1">
        <v>234.21600000000001</v>
      </c>
      <c r="D55" s="1">
        <v>1719.4480000000001</v>
      </c>
      <c r="E55" s="1">
        <v>842.65899999999999</v>
      </c>
      <c r="F55" s="1">
        <v>617.10299999999995</v>
      </c>
      <c r="G55" s="7">
        <v>1</v>
      </c>
      <c r="H55" s="1">
        <v>50</v>
      </c>
      <c r="I55" s="1" t="s">
        <v>37</v>
      </c>
      <c r="J55" s="1"/>
      <c r="K55" s="1">
        <v>1006.489</v>
      </c>
      <c r="L55" s="1">
        <f t="shared" si="21"/>
        <v>-163.83000000000004</v>
      </c>
      <c r="M55" s="1">
        <f t="shared" si="22"/>
        <v>628.45499999999993</v>
      </c>
      <c r="N55" s="1">
        <v>214.20400000000001</v>
      </c>
      <c r="O55" s="1"/>
      <c r="P55" s="1">
        <v>461.6</v>
      </c>
      <c r="Q55" s="1">
        <v>338.4</v>
      </c>
      <c r="R55" s="1">
        <f t="shared" si="23"/>
        <v>125.69099999999999</v>
      </c>
      <c r="S55" s="5"/>
      <c r="T55" s="5">
        <f>S55+R55*$T$1</f>
        <v>183.00609599999999</v>
      </c>
      <c r="U55" s="5">
        <f t="shared" si="8"/>
        <v>183.00609599999999</v>
      </c>
      <c r="V55" s="5"/>
      <c r="W55" s="20"/>
      <c r="X55" s="20"/>
      <c r="Y55" s="1">
        <f t="shared" si="10"/>
        <v>12.73049857189457</v>
      </c>
      <c r="Z55" s="1">
        <f t="shared" si="24"/>
        <v>11.274498571894568</v>
      </c>
      <c r="AA55" s="1">
        <v>75.48599999999999</v>
      </c>
      <c r="AB55" s="1">
        <v>123.36620000000001</v>
      </c>
      <c r="AC55" s="1">
        <v>134.70740000000001</v>
      </c>
      <c r="AD55" s="1">
        <v>246.79640000000001</v>
      </c>
      <c r="AE55" s="1">
        <v>179.1534</v>
      </c>
      <c r="AF55" s="1">
        <v>142.68860000000001</v>
      </c>
      <c r="AG55" s="1">
        <v>164.26859999999999</v>
      </c>
      <c r="AH55" s="1">
        <v>206.44300000000001</v>
      </c>
      <c r="AI55" s="1">
        <v>204.51920000000001</v>
      </c>
      <c r="AJ55" s="1">
        <v>173.88640000000001</v>
      </c>
      <c r="AK55" s="1"/>
      <c r="AL55" s="1">
        <f t="shared" si="11"/>
        <v>183</v>
      </c>
      <c r="AM55" s="1">
        <f t="shared" si="12"/>
        <v>0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98</v>
      </c>
      <c r="B56" s="1" t="s">
        <v>41</v>
      </c>
      <c r="C56" s="1">
        <v>241</v>
      </c>
      <c r="D56" s="1">
        <v>434</v>
      </c>
      <c r="E56" s="14">
        <f>214+E128</f>
        <v>261</v>
      </c>
      <c r="F56" s="14">
        <f>299+F128</f>
        <v>384</v>
      </c>
      <c r="G56" s="7">
        <v>0.1</v>
      </c>
      <c r="H56" s="1">
        <v>731</v>
      </c>
      <c r="I56" s="1" t="s">
        <v>37</v>
      </c>
      <c r="J56" s="1"/>
      <c r="K56" s="1">
        <v>221</v>
      </c>
      <c r="L56" s="1">
        <f t="shared" si="21"/>
        <v>40</v>
      </c>
      <c r="M56" s="1">
        <f t="shared" si="22"/>
        <v>261</v>
      </c>
      <c r="N56" s="1"/>
      <c r="O56" s="1"/>
      <c r="P56" s="1">
        <v>39.855999999999987</v>
      </c>
      <c r="Q56" s="1"/>
      <c r="R56" s="1">
        <f t="shared" si="23"/>
        <v>52.2</v>
      </c>
      <c r="S56" s="5">
        <f t="shared" si="28"/>
        <v>150.34400000000005</v>
      </c>
      <c r="T56" s="5">
        <f t="shared" si="13"/>
        <v>150.34400000000005</v>
      </c>
      <c r="U56" s="5">
        <f t="shared" si="8"/>
        <v>150.34400000000005</v>
      </c>
      <c r="V56" s="5"/>
      <c r="W56" s="20"/>
      <c r="X56" s="20"/>
      <c r="Y56" s="1">
        <f t="shared" si="10"/>
        <v>11</v>
      </c>
      <c r="Z56" s="1">
        <f t="shared" si="24"/>
        <v>8.1198467432950192</v>
      </c>
      <c r="AA56" s="1">
        <v>42.2</v>
      </c>
      <c r="AB56" s="1">
        <v>47</v>
      </c>
      <c r="AC56" s="1">
        <v>54.6</v>
      </c>
      <c r="AD56" s="1">
        <v>62</v>
      </c>
      <c r="AE56" s="1">
        <v>61.4</v>
      </c>
      <c r="AF56" s="1">
        <v>38.4</v>
      </c>
      <c r="AG56" s="1">
        <v>32.799999999999997</v>
      </c>
      <c r="AH56" s="1">
        <v>39.4</v>
      </c>
      <c r="AI56" s="1">
        <v>46.6</v>
      </c>
      <c r="AJ56" s="1">
        <v>63</v>
      </c>
      <c r="AK56" s="1"/>
      <c r="AL56" s="1">
        <f t="shared" si="11"/>
        <v>15</v>
      </c>
      <c r="AM56" s="1">
        <f t="shared" si="12"/>
        <v>0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99</v>
      </c>
      <c r="B57" s="1" t="s">
        <v>36</v>
      </c>
      <c r="C57" s="1">
        <v>425.21</v>
      </c>
      <c r="D57" s="1">
        <v>1200.857</v>
      </c>
      <c r="E57" s="1">
        <v>717.30200000000002</v>
      </c>
      <c r="F57" s="1">
        <v>651.85299999999995</v>
      </c>
      <c r="G57" s="7">
        <v>1</v>
      </c>
      <c r="H57" s="1">
        <v>50</v>
      </c>
      <c r="I57" s="1" t="s">
        <v>37</v>
      </c>
      <c r="J57" s="1"/>
      <c r="K57" s="1">
        <v>867.03499999999997</v>
      </c>
      <c r="L57" s="1">
        <f t="shared" si="21"/>
        <v>-149.73299999999995</v>
      </c>
      <c r="M57" s="1">
        <f t="shared" si="22"/>
        <v>717.30200000000002</v>
      </c>
      <c r="N57" s="1"/>
      <c r="O57" s="1">
        <v>355.8438174231199</v>
      </c>
      <c r="P57" s="1">
        <v>466.00104477081601</v>
      </c>
      <c r="Q57" s="1">
        <v>341.62641583718403</v>
      </c>
      <c r="R57" s="1">
        <f t="shared" si="23"/>
        <v>143.46039999999999</v>
      </c>
      <c r="S57" s="5"/>
      <c r="T57" s="5">
        <f t="shared" si="13"/>
        <v>0</v>
      </c>
      <c r="U57" s="5">
        <f t="shared" si="8"/>
        <v>0</v>
      </c>
      <c r="V57" s="5"/>
      <c r="W57" s="20"/>
      <c r="X57" s="20"/>
      <c r="Y57" s="1">
        <f t="shared" si="10"/>
        <v>12.653835330384691</v>
      </c>
      <c r="Z57" s="1">
        <f t="shared" si="24"/>
        <v>12.653835330384691</v>
      </c>
      <c r="AA57" s="1">
        <v>166.3432</v>
      </c>
      <c r="AB57" s="1">
        <v>136.1634</v>
      </c>
      <c r="AC57" s="1">
        <v>92.244799999999998</v>
      </c>
      <c r="AD57" s="1">
        <v>70.771600000000007</v>
      </c>
      <c r="AE57" s="1">
        <v>106.0296</v>
      </c>
      <c r="AF57" s="1">
        <v>99.083200000000005</v>
      </c>
      <c r="AG57" s="1">
        <v>84.417000000000002</v>
      </c>
      <c r="AH57" s="1">
        <v>102.416</v>
      </c>
      <c r="AI57" s="1">
        <v>87.879000000000005</v>
      </c>
      <c r="AJ57" s="1">
        <v>99.554999999999993</v>
      </c>
      <c r="AK57" s="1"/>
      <c r="AL57" s="1">
        <f t="shared" si="11"/>
        <v>0</v>
      </c>
      <c r="AM57" s="1">
        <f t="shared" si="12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100</v>
      </c>
      <c r="B58" s="1" t="s">
        <v>36</v>
      </c>
      <c r="C58" s="1">
        <v>142.18</v>
      </c>
      <c r="D58" s="1">
        <v>1.3460000000000001</v>
      </c>
      <c r="E58" s="1">
        <v>59.646999999999998</v>
      </c>
      <c r="F58" s="1">
        <v>78.391999999999996</v>
      </c>
      <c r="G58" s="7">
        <v>1</v>
      </c>
      <c r="H58" s="1">
        <v>55</v>
      </c>
      <c r="I58" s="1" t="s">
        <v>37</v>
      </c>
      <c r="J58" s="1"/>
      <c r="K58" s="1">
        <v>62.2</v>
      </c>
      <c r="L58" s="1">
        <f t="shared" si="21"/>
        <v>-2.5530000000000044</v>
      </c>
      <c r="M58" s="1">
        <f t="shared" si="22"/>
        <v>59.646999999999998</v>
      </c>
      <c r="N58" s="1"/>
      <c r="O58" s="1"/>
      <c r="P58" s="1">
        <v>0</v>
      </c>
      <c r="Q58" s="1"/>
      <c r="R58" s="1">
        <f t="shared" si="23"/>
        <v>11.929399999999999</v>
      </c>
      <c r="S58" s="5">
        <f t="shared" si="28"/>
        <v>52.831400000000002</v>
      </c>
      <c r="T58" s="5">
        <f t="shared" si="13"/>
        <v>52.831400000000002</v>
      </c>
      <c r="U58" s="5">
        <f t="shared" si="8"/>
        <v>52.831400000000002</v>
      </c>
      <c r="V58" s="5"/>
      <c r="W58" s="20"/>
      <c r="X58" s="20"/>
      <c r="Y58" s="1">
        <f t="shared" si="10"/>
        <v>11</v>
      </c>
      <c r="Z58" s="1">
        <f t="shared" si="24"/>
        <v>6.5713279796133923</v>
      </c>
      <c r="AA58" s="1">
        <v>8.1463999999999999</v>
      </c>
      <c r="AB58" s="1">
        <v>7.9171999999999993</v>
      </c>
      <c r="AC58" s="1">
        <v>8.2225999999999999</v>
      </c>
      <c r="AD58" s="1">
        <v>9.8346</v>
      </c>
      <c r="AE58" s="1">
        <v>8.355599999999999</v>
      </c>
      <c r="AF58" s="1">
        <v>5.3819999999999997</v>
      </c>
      <c r="AG58" s="1">
        <v>4.3932000000000002</v>
      </c>
      <c r="AH58" s="1">
        <v>3.2082000000000002</v>
      </c>
      <c r="AI58" s="1">
        <v>1.5431999999999999</v>
      </c>
      <c r="AJ58" s="1">
        <v>4.0904000000000007</v>
      </c>
      <c r="AK58" s="1"/>
      <c r="AL58" s="1">
        <f t="shared" si="11"/>
        <v>53</v>
      </c>
      <c r="AM58" s="1">
        <f t="shared" si="12"/>
        <v>0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101</v>
      </c>
      <c r="B59" s="1" t="s">
        <v>41</v>
      </c>
      <c r="C59" s="1">
        <v>144</v>
      </c>
      <c r="D59" s="1">
        <v>286</v>
      </c>
      <c r="E59" s="1">
        <v>146</v>
      </c>
      <c r="F59" s="1">
        <v>271</v>
      </c>
      <c r="G59" s="7">
        <v>0.1</v>
      </c>
      <c r="H59" s="1">
        <v>731</v>
      </c>
      <c r="I59" s="1" t="s">
        <v>37</v>
      </c>
      <c r="J59" s="1"/>
      <c r="K59" s="1">
        <v>152</v>
      </c>
      <c r="L59" s="1">
        <f t="shared" si="21"/>
        <v>-6</v>
      </c>
      <c r="M59" s="1">
        <f t="shared" si="22"/>
        <v>146</v>
      </c>
      <c r="N59" s="1"/>
      <c r="O59" s="1"/>
      <c r="P59" s="1">
        <v>43.397299999999973</v>
      </c>
      <c r="Q59" s="1"/>
      <c r="R59" s="1">
        <f t="shared" si="23"/>
        <v>29.2</v>
      </c>
      <c r="S59" s="5">
        <f t="shared" si="28"/>
        <v>6.8027000000000157</v>
      </c>
      <c r="T59" s="5">
        <f t="shared" si="13"/>
        <v>6.8027000000000157</v>
      </c>
      <c r="U59" s="5">
        <f t="shared" si="8"/>
        <v>6.8027000000000157</v>
      </c>
      <c r="V59" s="5"/>
      <c r="W59" s="20"/>
      <c r="X59" s="20"/>
      <c r="Y59" s="1">
        <f t="shared" si="10"/>
        <v>11</v>
      </c>
      <c r="Z59" s="1">
        <f t="shared" si="24"/>
        <v>10.767030821917807</v>
      </c>
      <c r="AA59" s="1">
        <v>29.4</v>
      </c>
      <c r="AB59" s="1">
        <v>36.4</v>
      </c>
      <c r="AC59" s="1">
        <v>34.6</v>
      </c>
      <c r="AD59" s="1">
        <v>38.4</v>
      </c>
      <c r="AE59" s="1">
        <v>39.200000000000003</v>
      </c>
      <c r="AF59" s="1">
        <v>27.6</v>
      </c>
      <c r="AG59" s="1">
        <v>22</v>
      </c>
      <c r="AH59" s="1">
        <v>24.8</v>
      </c>
      <c r="AI59" s="1">
        <v>27.2</v>
      </c>
      <c r="AJ59" s="1">
        <v>35</v>
      </c>
      <c r="AK59" s="1"/>
      <c r="AL59" s="1">
        <f t="shared" si="11"/>
        <v>1</v>
      </c>
      <c r="AM59" s="1">
        <f t="shared" si="12"/>
        <v>0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102</v>
      </c>
      <c r="B60" s="1" t="s">
        <v>41</v>
      </c>
      <c r="C60" s="1">
        <v>24</v>
      </c>
      <c r="D60" s="1"/>
      <c r="E60" s="1">
        <v>9</v>
      </c>
      <c r="F60" s="1">
        <v>15</v>
      </c>
      <c r="G60" s="7">
        <v>0.4</v>
      </c>
      <c r="H60" s="1">
        <v>50</v>
      </c>
      <c r="I60" s="1" t="s">
        <v>37</v>
      </c>
      <c r="J60" s="1"/>
      <c r="K60" s="1">
        <v>9</v>
      </c>
      <c r="L60" s="1">
        <f t="shared" si="21"/>
        <v>0</v>
      </c>
      <c r="M60" s="1">
        <f t="shared" si="22"/>
        <v>9</v>
      </c>
      <c r="N60" s="1"/>
      <c r="O60" s="1"/>
      <c r="P60" s="1">
        <v>0</v>
      </c>
      <c r="Q60" s="1"/>
      <c r="R60" s="1">
        <f t="shared" si="23"/>
        <v>1.8</v>
      </c>
      <c r="S60" s="5">
        <f t="shared" si="28"/>
        <v>4.8000000000000007</v>
      </c>
      <c r="T60" s="5">
        <f t="shared" si="13"/>
        <v>4.8000000000000007</v>
      </c>
      <c r="U60" s="5">
        <f t="shared" si="8"/>
        <v>4.8000000000000007</v>
      </c>
      <c r="V60" s="5"/>
      <c r="W60" s="20"/>
      <c r="X60" s="20"/>
      <c r="Y60" s="1">
        <f t="shared" si="10"/>
        <v>11</v>
      </c>
      <c r="Z60" s="1">
        <f t="shared" si="24"/>
        <v>8.3333333333333339</v>
      </c>
      <c r="AA60" s="1">
        <v>1.4</v>
      </c>
      <c r="AB60" s="1">
        <v>1.2</v>
      </c>
      <c r="AC60" s="1">
        <v>0.6</v>
      </c>
      <c r="AD60" s="1">
        <v>0.2</v>
      </c>
      <c r="AE60" s="1">
        <v>0</v>
      </c>
      <c r="AF60" s="1">
        <v>0</v>
      </c>
      <c r="AG60" s="1">
        <v>0</v>
      </c>
      <c r="AH60" s="1">
        <v>0</v>
      </c>
      <c r="AI60" s="1">
        <v>0.8</v>
      </c>
      <c r="AJ60" s="1">
        <v>1.4</v>
      </c>
      <c r="AK60" s="1" t="s">
        <v>103</v>
      </c>
      <c r="AL60" s="1">
        <f t="shared" si="11"/>
        <v>2</v>
      </c>
      <c r="AM60" s="1">
        <f t="shared" si="12"/>
        <v>0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36</v>
      </c>
      <c r="C61" s="1">
        <v>5.4489999999999998</v>
      </c>
      <c r="D61" s="1">
        <v>2293.2530000000002</v>
      </c>
      <c r="E61" s="1">
        <v>238.34</v>
      </c>
      <c r="F61" s="1">
        <v>1865.933</v>
      </c>
      <c r="G61" s="7">
        <v>1</v>
      </c>
      <c r="H61" s="1">
        <v>40</v>
      </c>
      <c r="I61" s="1" t="s">
        <v>37</v>
      </c>
      <c r="J61" s="1"/>
      <c r="K61" s="1">
        <v>377.935</v>
      </c>
      <c r="L61" s="1">
        <f t="shared" si="21"/>
        <v>-139.595</v>
      </c>
      <c r="M61" s="1">
        <f t="shared" si="22"/>
        <v>238.34</v>
      </c>
      <c r="N61" s="1"/>
      <c r="O61" s="1"/>
      <c r="P61" s="1">
        <v>403.9</v>
      </c>
      <c r="Q61" s="1">
        <v>296.10000000000002</v>
      </c>
      <c r="R61" s="1">
        <f t="shared" si="23"/>
        <v>47.667999999999999</v>
      </c>
      <c r="S61" s="5"/>
      <c r="T61" s="5">
        <f t="shared" si="13"/>
        <v>0</v>
      </c>
      <c r="U61" s="5">
        <f t="shared" si="8"/>
        <v>0</v>
      </c>
      <c r="V61" s="5"/>
      <c r="W61" s="20"/>
      <c r="X61" s="20"/>
      <c r="Y61" s="1">
        <f t="shared" si="10"/>
        <v>53.829256524293029</v>
      </c>
      <c r="Z61" s="1">
        <f t="shared" si="24"/>
        <v>53.829256524293029</v>
      </c>
      <c r="AA61" s="1">
        <v>14.837</v>
      </c>
      <c r="AB61" s="1">
        <v>86.625799999999998</v>
      </c>
      <c r="AC61" s="1">
        <v>176.91839999999999</v>
      </c>
      <c r="AD61" s="1">
        <v>159.2122</v>
      </c>
      <c r="AE61" s="1">
        <v>67.032200000000003</v>
      </c>
      <c r="AF61" s="1">
        <v>33.514600000000002</v>
      </c>
      <c r="AG61" s="1">
        <v>51.473600000000012</v>
      </c>
      <c r="AH61" s="1">
        <v>55.871799999999993</v>
      </c>
      <c r="AI61" s="1">
        <v>77.281200000000013</v>
      </c>
      <c r="AJ61" s="1">
        <v>50.870399999999997</v>
      </c>
      <c r="AK61" s="1"/>
      <c r="AL61" s="1">
        <f t="shared" si="11"/>
        <v>0</v>
      </c>
      <c r="AM61" s="1">
        <f t="shared" si="12"/>
        <v>0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36</v>
      </c>
      <c r="C62" s="1">
        <v>6.7439999999999998</v>
      </c>
      <c r="D62" s="1">
        <v>861.85500000000002</v>
      </c>
      <c r="E62" s="1">
        <v>398.767</v>
      </c>
      <c r="F62" s="1">
        <v>297.53100000000001</v>
      </c>
      <c r="G62" s="7">
        <v>1</v>
      </c>
      <c r="H62" s="1">
        <v>40</v>
      </c>
      <c r="I62" s="1" t="s">
        <v>37</v>
      </c>
      <c r="J62" s="1"/>
      <c r="K62" s="1">
        <v>556.03399999999999</v>
      </c>
      <c r="L62" s="1">
        <f t="shared" si="21"/>
        <v>-157.267</v>
      </c>
      <c r="M62" s="1">
        <f t="shared" si="22"/>
        <v>374.47699999999998</v>
      </c>
      <c r="N62" s="1">
        <v>24.29</v>
      </c>
      <c r="O62" s="1">
        <v>158.71796613010011</v>
      </c>
      <c r="P62" s="1">
        <v>288.5</v>
      </c>
      <c r="Q62" s="1">
        <v>211.5</v>
      </c>
      <c r="R62" s="1">
        <f t="shared" si="23"/>
        <v>74.895399999999995</v>
      </c>
      <c r="S62" s="5"/>
      <c r="T62" s="5">
        <f>W62</f>
        <v>250</v>
      </c>
      <c r="U62" s="5">
        <f t="shared" si="8"/>
        <v>112.5</v>
      </c>
      <c r="V62" s="5">
        <f t="shared" ref="V62:V64" si="29">T62*$V$1</f>
        <v>137.5</v>
      </c>
      <c r="W62" s="20">
        <v>250</v>
      </c>
      <c r="X62" s="20" t="str">
        <f>VLOOKUP(A62,[1]Лист1!$A:$B,2,0)</f>
        <v>до 250 кг</v>
      </c>
      <c r="Y62" s="1">
        <f t="shared" si="10"/>
        <v>16.105781745342174</v>
      </c>
      <c r="Z62" s="1">
        <f t="shared" si="24"/>
        <v>12.76779303041442</v>
      </c>
      <c r="AA62" s="1">
        <v>38.842400000000012</v>
      </c>
      <c r="AB62" s="1">
        <v>79.775600000000011</v>
      </c>
      <c r="AC62" s="1">
        <v>53.333399999999997</v>
      </c>
      <c r="AD62" s="1">
        <v>52.77</v>
      </c>
      <c r="AE62" s="1">
        <v>53.208000000000013</v>
      </c>
      <c r="AF62" s="1">
        <v>24.193999999999999</v>
      </c>
      <c r="AG62" s="1">
        <v>18.840399999999999</v>
      </c>
      <c r="AH62" s="1">
        <v>20.795200000000001</v>
      </c>
      <c r="AI62" s="1">
        <v>1.9228000000000001</v>
      </c>
      <c r="AJ62" s="1">
        <v>32.845799999999997</v>
      </c>
      <c r="AK62" s="1"/>
      <c r="AL62" s="1">
        <f t="shared" si="11"/>
        <v>113</v>
      </c>
      <c r="AM62" s="1">
        <f t="shared" si="12"/>
        <v>138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41</v>
      </c>
      <c r="C63" s="1">
        <v>476</v>
      </c>
      <c r="D63" s="1">
        <v>1282</v>
      </c>
      <c r="E63" s="1">
        <v>714</v>
      </c>
      <c r="F63" s="1">
        <v>961</v>
      </c>
      <c r="G63" s="7">
        <v>0.4</v>
      </c>
      <c r="H63" s="1">
        <v>40</v>
      </c>
      <c r="I63" s="1" t="s">
        <v>37</v>
      </c>
      <c r="J63" s="1"/>
      <c r="K63" s="1">
        <v>732</v>
      </c>
      <c r="L63" s="1">
        <f t="shared" si="21"/>
        <v>-18</v>
      </c>
      <c r="M63" s="1">
        <f t="shared" si="22"/>
        <v>714</v>
      </c>
      <c r="N63" s="1"/>
      <c r="O63" s="1">
        <v>327.56595351999988</v>
      </c>
      <c r="P63" s="1">
        <v>53.72</v>
      </c>
      <c r="Q63" s="1"/>
      <c r="R63" s="1">
        <f t="shared" si="23"/>
        <v>142.80000000000001</v>
      </c>
      <c r="S63" s="5">
        <f t="shared" si="28"/>
        <v>228.51404648000016</v>
      </c>
      <c r="T63" s="5">
        <f t="shared" ref="T63:T64" si="30">S63+R63*$T$1</f>
        <v>436.43084648000018</v>
      </c>
      <c r="U63" s="5">
        <f t="shared" si="8"/>
        <v>196.39388091600006</v>
      </c>
      <c r="V63" s="5">
        <f t="shared" si="29"/>
        <v>240.03696556400013</v>
      </c>
      <c r="W63" s="20"/>
      <c r="X63" s="20"/>
      <c r="Y63" s="1">
        <f t="shared" si="10"/>
        <v>12.455999999999998</v>
      </c>
      <c r="Z63" s="1">
        <f t="shared" si="24"/>
        <v>9.399761579271706</v>
      </c>
      <c r="AA63" s="1">
        <v>136</v>
      </c>
      <c r="AB63" s="1">
        <v>162</v>
      </c>
      <c r="AC63" s="1">
        <v>129.80000000000001</v>
      </c>
      <c r="AD63" s="1">
        <v>116</v>
      </c>
      <c r="AE63" s="1">
        <v>134.6</v>
      </c>
      <c r="AF63" s="1">
        <v>128.80000000000001</v>
      </c>
      <c r="AG63" s="1">
        <v>126.8</v>
      </c>
      <c r="AH63" s="1">
        <v>142.6</v>
      </c>
      <c r="AI63" s="1">
        <v>143.80000000000001</v>
      </c>
      <c r="AJ63" s="1">
        <v>123.8</v>
      </c>
      <c r="AK63" s="1"/>
      <c r="AL63" s="1">
        <f t="shared" si="11"/>
        <v>79</v>
      </c>
      <c r="AM63" s="1">
        <f t="shared" si="12"/>
        <v>96</v>
      </c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41</v>
      </c>
      <c r="C64" s="1">
        <v>413</v>
      </c>
      <c r="D64" s="1">
        <v>507</v>
      </c>
      <c r="E64" s="1">
        <v>530</v>
      </c>
      <c r="F64" s="1">
        <v>336</v>
      </c>
      <c r="G64" s="7">
        <v>0.4</v>
      </c>
      <c r="H64" s="1">
        <v>40</v>
      </c>
      <c r="I64" s="1" t="s">
        <v>37</v>
      </c>
      <c r="J64" s="1"/>
      <c r="K64" s="1">
        <v>549</v>
      </c>
      <c r="L64" s="1">
        <f t="shared" si="21"/>
        <v>-19</v>
      </c>
      <c r="M64" s="1">
        <f t="shared" si="22"/>
        <v>530</v>
      </c>
      <c r="N64" s="1"/>
      <c r="O64" s="1"/>
      <c r="P64" s="1">
        <v>202.37388901099979</v>
      </c>
      <c r="Q64" s="1">
        <v>148.36075398899979</v>
      </c>
      <c r="R64" s="1">
        <f t="shared" si="23"/>
        <v>106</v>
      </c>
      <c r="S64" s="5">
        <f t="shared" si="28"/>
        <v>479.26535700000045</v>
      </c>
      <c r="T64" s="5">
        <f t="shared" si="30"/>
        <v>633.60135700000046</v>
      </c>
      <c r="U64" s="5">
        <f t="shared" si="8"/>
        <v>285.12061065000017</v>
      </c>
      <c r="V64" s="5">
        <f t="shared" si="29"/>
        <v>348.48074635000029</v>
      </c>
      <c r="W64" s="20"/>
      <c r="X64" s="20"/>
      <c r="Y64" s="1">
        <f t="shared" si="10"/>
        <v>12.456000000000003</v>
      </c>
      <c r="Z64" s="1">
        <f t="shared" si="24"/>
        <v>6.4786287075471662</v>
      </c>
      <c r="AA64" s="1">
        <v>82.4</v>
      </c>
      <c r="AB64" s="1">
        <v>82.4</v>
      </c>
      <c r="AC64" s="1">
        <v>84.8</v>
      </c>
      <c r="AD64" s="1">
        <v>95.6</v>
      </c>
      <c r="AE64" s="1">
        <v>98.6</v>
      </c>
      <c r="AF64" s="1">
        <v>82</v>
      </c>
      <c r="AG64" s="1">
        <v>60.6</v>
      </c>
      <c r="AH64" s="1">
        <v>77</v>
      </c>
      <c r="AI64" s="1">
        <v>82</v>
      </c>
      <c r="AJ64" s="1">
        <v>72</v>
      </c>
      <c r="AK64" s="1"/>
      <c r="AL64" s="1">
        <f t="shared" si="11"/>
        <v>114</v>
      </c>
      <c r="AM64" s="1">
        <f t="shared" si="12"/>
        <v>139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36</v>
      </c>
      <c r="C65" s="1">
        <v>148.19900000000001</v>
      </c>
      <c r="D65" s="1">
        <v>321.49099999999999</v>
      </c>
      <c r="E65" s="1">
        <v>162.762</v>
      </c>
      <c r="F65" s="1">
        <v>173.19300000000001</v>
      </c>
      <c r="G65" s="7">
        <v>1</v>
      </c>
      <c r="H65" s="1">
        <v>40</v>
      </c>
      <c r="I65" s="1" t="s">
        <v>37</v>
      </c>
      <c r="J65" s="1"/>
      <c r="K65" s="1">
        <v>166.262</v>
      </c>
      <c r="L65" s="1">
        <f t="shared" si="21"/>
        <v>-3.5</v>
      </c>
      <c r="M65" s="1">
        <f t="shared" si="22"/>
        <v>37.200000000000003</v>
      </c>
      <c r="N65" s="1">
        <v>125.562</v>
      </c>
      <c r="O65" s="1"/>
      <c r="P65" s="1">
        <v>160</v>
      </c>
      <c r="Q65" s="1"/>
      <c r="R65" s="1">
        <f t="shared" si="23"/>
        <v>7.44</v>
      </c>
      <c r="S65" s="5"/>
      <c r="T65" s="5">
        <f t="shared" si="13"/>
        <v>0</v>
      </c>
      <c r="U65" s="5">
        <f t="shared" si="8"/>
        <v>0</v>
      </c>
      <c r="V65" s="5"/>
      <c r="W65" s="20"/>
      <c r="X65" s="20"/>
      <c r="Y65" s="1">
        <f t="shared" si="10"/>
        <v>44.784005376344084</v>
      </c>
      <c r="Z65" s="1">
        <f t="shared" si="24"/>
        <v>44.784005376344084</v>
      </c>
      <c r="AA65" s="1">
        <v>18.369</v>
      </c>
      <c r="AB65" s="1">
        <v>22.549199999999999</v>
      </c>
      <c r="AC65" s="1">
        <v>32.911000000000001</v>
      </c>
      <c r="AD65" s="1">
        <v>1.4616</v>
      </c>
      <c r="AE65" s="1">
        <v>11.3096</v>
      </c>
      <c r="AF65" s="1">
        <v>30.225200000000001</v>
      </c>
      <c r="AG65" s="1">
        <v>55.783799999999999</v>
      </c>
      <c r="AH65" s="1">
        <v>23.893999999999998</v>
      </c>
      <c r="AI65" s="1">
        <v>12.907400000000001</v>
      </c>
      <c r="AJ65" s="1">
        <v>12.6274</v>
      </c>
      <c r="AK65" s="16" t="s">
        <v>187</v>
      </c>
      <c r="AL65" s="1">
        <f t="shared" si="11"/>
        <v>0</v>
      </c>
      <c r="AM65" s="1">
        <f t="shared" si="12"/>
        <v>0</v>
      </c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36</v>
      </c>
      <c r="C66" s="1">
        <v>24.233000000000001</v>
      </c>
      <c r="D66" s="1">
        <v>315.077</v>
      </c>
      <c r="E66" s="1">
        <v>36.94</v>
      </c>
      <c r="F66" s="1">
        <v>299.68099999999998</v>
      </c>
      <c r="G66" s="7">
        <v>1</v>
      </c>
      <c r="H66" s="1">
        <v>40</v>
      </c>
      <c r="I66" s="1" t="s">
        <v>37</v>
      </c>
      <c r="J66" s="1"/>
      <c r="K66" s="1">
        <v>36.5</v>
      </c>
      <c r="L66" s="1">
        <f t="shared" si="21"/>
        <v>0.43999999999999773</v>
      </c>
      <c r="M66" s="1">
        <f t="shared" si="22"/>
        <v>36.94</v>
      </c>
      <c r="N66" s="1"/>
      <c r="O66" s="1"/>
      <c r="P66" s="1">
        <v>50</v>
      </c>
      <c r="Q66" s="1"/>
      <c r="R66" s="1">
        <f t="shared" si="23"/>
        <v>7.3879999999999999</v>
      </c>
      <c r="S66" s="5"/>
      <c r="T66" s="5">
        <f t="shared" si="13"/>
        <v>0</v>
      </c>
      <c r="U66" s="5">
        <f t="shared" si="8"/>
        <v>0</v>
      </c>
      <c r="V66" s="5"/>
      <c r="W66" s="20"/>
      <c r="X66" s="20"/>
      <c r="Y66" s="1">
        <f t="shared" si="10"/>
        <v>47.330942068218732</v>
      </c>
      <c r="Z66" s="1">
        <f t="shared" si="24"/>
        <v>47.330942068218732</v>
      </c>
      <c r="AA66" s="1">
        <v>12.023400000000001</v>
      </c>
      <c r="AB66" s="1">
        <v>23.695599999999999</v>
      </c>
      <c r="AC66" s="1">
        <v>32.3536</v>
      </c>
      <c r="AD66" s="1">
        <v>18.395199999999999</v>
      </c>
      <c r="AE66" s="1">
        <v>10.944000000000001</v>
      </c>
      <c r="AF66" s="1">
        <v>0</v>
      </c>
      <c r="AG66" s="1">
        <v>7.2829999999999986</v>
      </c>
      <c r="AH66" s="1">
        <v>9.6465999999999994</v>
      </c>
      <c r="AI66" s="1">
        <v>9.2433999999999994</v>
      </c>
      <c r="AJ66" s="1">
        <v>12.121600000000001</v>
      </c>
      <c r="AK66" s="16" t="s">
        <v>187</v>
      </c>
      <c r="AL66" s="1">
        <f t="shared" si="11"/>
        <v>0</v>
      </c>
      <c r="AM66" s="1">
        <f t="shared" si="12"/>
        <v>0</v>
      </c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36</v>
      </c>
      <c r="C67" s="1"/>
      <c r="D67" s="1">
        <v>576.34500000000003</v>
      </c>
      <c r="E67" s="1">
        <v>308.63</v>
      </c>
      <c r="F67" s="1">
        <v>37.957000000000001</v>
      </c>
      <c r="G67" s="7">
        <v>1</v>
      </c>
      <c r="H67" s="1">
        <v>40</v>
      </c>
      <c r="I67" s="1" t="s">
        <v>37</v>
      </c>
      <c r="J67" s="1"/>
      <c r="K67" s="1">
        <v>312.89999999999998</v>
      </c>
      <c r="L67" s="1">
        <f t="shared" si="21"/>
        <v>-4.2699999999999818</v>
      </c>
      <c r="M67" s="1">
        <f t="shared" si="22"/>
        <v>308.63</v>
      </c>
      <c r="N67" s="1"/>
      <c r="O67" s="1"/>
      <c r="P67" s="1">
        <v>577</v>
      </c>
      <c r="Q67" s="1">
        <v>423</v>
      </c>
      <c r="R67" s="1">
        <f t="shared" si="23"/>
        <v>61.725999999999999</v>
      </c>
      <c r="S67" s="5"/>
      <c r="T67" s="5">
        <f t="shared" si="13"/>
        <v>0</v>
      </c>
      <c r="U67" s="5">
        <f t="shared" si="8"/>
        <v>0</v>
      </c>
      <c r="V67" s="5"/>
      <c r="W67" s="20"/>
      <c r="X67" s="20"/>
      <c r="Y67" s="1">
        <f t="shared" si="10"/>
        <v>16.815555843566727</v>
      </c>
      <c r="Z67" s="1">
        <f t="shared" si="24"/>
        <v>16.815555843566727</v>
      </c>
      <c r="AA67" s="1">
        <v>6.2420000000000018</v>
      </c>
      <c r="AB67" s="1">
        <v>14.760999999999999</v>
      </c>
      <c r="AC67" s="1">
        <v>39.616599999999991</v>
      </c>
      <c r="AD67" s="1">
        <v>40.446399999999997</v>
      </c>
      <c r="AE67" s="1">
        <v>39.285400000000003</v>
      </c>
      <c r="AF67" s="1">
        <v>38.923000000000002</v>
      </c>
      <c r="AG67" s="1">
        <v>-0.54359999999999997</v>
      </c>
      <c r="AH67" s="1">
        <v>-0.54080000000000006</v>
      </c>
      <c r="AI67" s="1">
        <v>50.167000000000002</v>
      </c>
      <c r="AJ67" s="1">
        <v>200.38480000000001</v>
      </c>
      <c r="AK67" s="1"/>
      <c r="AL67" s="1">
        <f t="shared" si="11"/>
        <v>0</v>
      </c>
      <c r="AM67" s="1">
        <f t="shared" si="12"/>
        <v>0</v>
      </c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36</v>
      </c>
      <c r="C68" s="1">
        <v>5.4619999999999997</v>
      </c>
      <c r="D68" s="1">
        <v>152.52799999999999</v>
      </c>
      <c r="E68" s="1">
        <v>10.904</v>
      </c>
      <c r="F68" s="1">
        <v>145.27699999999999</v>
      </c>
      <c r="G68" s="7">
        <v>1</v>
      </c>
      <c r="H68" s="1">
        <v>40</v>
      </c>
      <c r="I68" s="1" t="s">
        <v>37</v>
      </c>
      <c r="J68" s="1"/>
      <c r="K68" s="1">
        <v>65.5</v>
      </c>
      <c r="L68" s="1">
        <f t="shared" si="21"/>
        <v>-54.596000000000004</v>
      </c>
      <c r="M68" s="1">
        <f t="shared" si="22"/>
        <v>10.904</v>
      </c>
      <c r="N68" s="1"/>
      <c r="O68" s="1">
        <v>65.152203999999983</v>
      </c>
      <c r="P68" s="1">
        <v>200</v>
      </c>
      <c r="Q68" s="1"/>
      <c r="R68" s="1">
        <f t="shared" si="23"/>
        <v>2.1808000000000001</v>
      </c>
      <c r="S68" s="5"/>
      <c r="T68" s="5">
        <f t="shared" si="13"/>
        <v>0</v>
      </c>
      <c r="U68" s="5">
        <f t="shared" si="8"/>
        <v>0</v>
      </c>
      <c r="V68" s="5"/>
      <c r="W68" s="20"/>
      <c r="X68" s="20"/>
      <c r="Y68" s="1">
        <f t="shared" si="10"/>
        <v>188.20121239911956</v>
      </c>
      <c r="Z68" s="1">
        <f t="shared" si="24"/>
        <v>188.20121239911956</v>
      </c>
      <c r="AA68" s="1">
        <v>24.722799999999999</v>
      </c>
      <c r="AB68" s="1">
        <v>27.244800000000001</v>
      </c>
      <c r="AC68" s="1">
        <v>5.9729999999999999</v>
      </c>
      <c r="AD68" s="1">
        <v>5.9106000000000014</v>
      </c>
      <c r="AE68" s="1">
        <v>8.4702000000000002</v>
      </c>
      <c r="AF68" s="1">
        <v>1.4134</v>
      </c>
      <c r="AG68" s="1">
        <v>0.14399999999999999</v>
      </c>
      <c r="AH68" s="1">
        <v>0.14360000000000001</v>
      </c>
      <c r="AI68" s="1">
        <v>0.50719999999999998</v>
      </c>
      <c r="AJ68" s="1">
        <v>0.36360000000000031</v>
      </c>
      <c r="AK68" s="1"/>
      <c r="AL68" s="1">
        <f t="shared" si="11"/>
        <v>0</v>
      </c>
      <c r="AM68" s="1">
        <f t="shared" si="12"/>
        <v>0</v>
      </c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1" t="s">
        <v>112</v>
      </c>
      <c r="B69" s="11" t="s">
        <v>41</v>
      </c>
      <c r="C69" s="11">
        <v>90</v>
      </c>
      <c r="D69" s="11">
        <v>35</v>
      </c>
      <c r="E69" s="11">
        <v>64</v>
      </c>
      <c r="F69" s="11">
        <v>22</v>
      </c>
      <c r="G69" s="12">
        <v>0</v>
      </c>
      <c r="H69" s="11"/>
      <c r="I69" s="11" t="s">
        <v>113</v>
      </c>
      <c r="J69" s="11"/>
      <c r="K69" s="11">
        <v>99</v>
      </c>
      <c r="L69" s="11">
        <f t="shared" si="21"/>
        <v>-35</v>
      </c>
      <c r="M69" s="11">
        <f t="shared" si="22"/>
        <v>64</v>
      </c>
      <c r="N69" s="11"/>
      <c r="O69" s="11"/>
      <c r="P69" s="11">
        <v>0</v>
      </c>
      <c r="Q69" s="11"/>
      <c r="R69" s="11">
        <f t="shared" si="23"/>
        <v>12.8</v>
      </c>
      <c r="S69" s="13"/>
      <c r="T69" s="5">
        <f t="shared" si="13"/>
        <v>0</v>
      </c>
      <c r="U69" s="5">
        <f t="shared" si="8"/>
        <v>0</v>
      </c>
      <c r="V69" s="5"/>
      <c r="W69" s="21"/>
      <c r="X69" s="20"/>
      <c r="Y69" s="1">
        <f t="shared" si="10"/>
        <v>1.71875</v>
      </c>
      <c r="Z69" s="11">
        <f t="shared" si="24"/>
        <v>1.71875</v>
      </c>
      <c r="AA69" s="11">
        <v>13.2</v>
      </c>
      <c r="AB69" s="11">
        <v>12.4</v>
      </c>
      <c r="AC69" s="11">
        <v>2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 t="s">
        <v>114</v>
      </c>
      <c r="AL69" s="1">
        <f t="shared" si="11"/>
        <v>0</v>
      </c>
      <c r="AM69" s="1">
        <f t="shared" si="12"/>
        <v>0</v>
      </c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115</v>
      </c>
      <c r="B70" s="1" t="s">
        <v>36</v>
      </c>
      <c r="C70" s="1">
        <v>63.764000000000003</v>
      </c>
      <c r="D70" s="1">
        <v>149.03</v>
      </c>
      <c r="E70" s="1">
        <v>41.34</v>
      </c>
      <c r="F70" s="1">
        <v>115.136</v>
      </c>
      <c r="G70" s="7">
        <v>1</v>
      </c>
      <c r="H70" s="1">
        <v>30</v>
      </c>
      <c r="I70" s="9" t="s">
        <v>47</v>
      </c>
      <c r="J70" s="1"/>
      <c r="K70" s="1">
        <v>103.6</v>
      </c>
      <c r="L70" s="1">
        <f t="shared" ref="L70:L101" si="31">E70-K70</f>
        <v>-62.259999999999991</v>
      </c>
      <c r="M70" s="1">
        <f t="shared" ref="M70:M101" si="32">E70-N70</f>
        <v>41.34</v>
      </c>
      <c r="N70" s="1"/>
      <c r="O70" s="1">
        <v>77.066281499999988</v>
      </c>
      <c r="P70" s="1">
        <v>173.1</v>
      </c>
      <c r="Q70" s="1">
        <v>126.9</v>
      </c>
      <c r="R70" s="1">
        <f t="shared" ref="R70:R101" si="33">M70/5</f>
        <v>8.2680000000000007</v>
      </c>
      <c r="S70" s="5"/>
      <c r="T70" s="5">
        <f t="shared" si="13"/>
        <v>0</v>
      </c>
      <c r="U70" s="5">
        <f t="shared" si="8"/>
        <v>0</v>
      </c>
      <c r="V70" s="5"/>
      <c r="W70" s="20"/>
      <c r="X70" s="20"/>
      <c r="Y70" s="1">
        <f t="shared" si="10"/>
        <v>59.530996794871783</v>
      </c>
      <c r="Z70" s="1">
        <f t="shared" ref="Z70:Z101" si="34">(F70+O70+P70+Q70)/R70</f>
        <v>59.530996794871783</v>
      </c>
      <c r="AA70" s="1">
        <v>29.111599999999999</v>
      </c>
      <c r="AB70" s="1">
        <v>30.660799999999998</v>
      </c>
      <c r="AC70" s="1">
        <v>16.971</v>
      </c>
      <c r="AD70" s="1">
        <v>12.486599999999999</v>
      </c>
      <c r="AE70" s="1">
        <v>26.779599999999999</v>
      </c>
      <c r="AF70" s="1">
        <v>30.773</v>
      </c>
      <c r="AG70" s="1">
        <v>31.697199999999999</v>
      </c>
      <c r="AH70" s="1">
        <v>28.5306</v>
      </c>
      <c r="AI70" s="1">
        <v>24.4192</v>
      </c>
      <c r="AJ70" s="1">
        <v>29.701599999999999</v>
      </c>
      <c r="AK70" s="1"/>
      <c r="AL70" s="1">
        <f t="shared" si="11"/>
        <v>0</v>
      </c>
      <c r="AM70" s="1">
        <f t="shared" si="12"/>
        <v>0</v>
      </c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116</v>
      </c>
      <c r="B71" s="1" t="s">
        <v>41</v>
      </c>
      <c r="C71" s="1">
        <v>738</v>
      </c>
      <c r="D71" s="1">
        <v>940</v>
      </c>
      <c r="E71" s="1">
        <v>603</v>
      </c>
      <c r="F71" s="1">
        <v>1003</v>
      </c>
      <c r="G71" s="7">
        <v>0.6</v>
      </c>
      <c r="H71" s="1">
        <v>60</v>
      </c>
      <c r="I71" s="1" t="s">
        <v>37</v>
      </c>
      <c r="J71" s="1"/>
      <c r="K71" s="1">
        <v>775</v>
      </c>
      <c r="L71" s="1">
        <f t="shared" si="31"/>
        <v>-172</v>
      </c>
      <c r="M71" s="1">
        <f t="shared" si="32"/>
        <v>603</v>
      </c>
      <c r="N71" s="1"/>
      <c r="O71" s="1"/>
      <c r="P71" s="1">
        <v>272.16282199999989</v>
      </c>
      <c r="Q71" s="1">
        <v>199.52317799999989</v>
      </c>
      <c r="R71" s="1">
        <f t="shared" si="33"/>
        <v>120.6</v>
      </c>
      <c r="S71" s="5"/>
      <c r="T71" s="5">
        <f t="shared" ref="T71:T131" si="35">S71</f>
        <v>0</v>
      </c>
      <c r="U71" s="5">
        <f t="shared" ref="U71:U131" si="36">T71-V71</f>
        <v>0</v>
      </c>
      <c r="V71" s="5"/>
      <c r="W71" s="20"/>
      <c r="X71" s="20"/>
      <c r="Y71" s="1">
        <f t="shared" ref="Y71:Y131" si="37">(F71+O71+P71+Q71+T71)/R71</f>
        <v>12.227910447761191</v>
      </c>
      <c r="Z71" s="1">
        <f t="shared" si="34"/>
        <v>12.227910447761191</v>
      </c>
      <c r="AA71" s="1">
        <v>126.8</v>
      </c>
      <c r="AB71" s="1">
        <v>134</v>
      </c>
      <c r="AC71" s="1">
        <v>140</v>
      </c>
      <c r="AD71" s="1">
        <v>135</v>
      </c>
      <c r="AE71" s="1">
        <v>112.6</v>
      </c>
      <c r="AF71" s="1">
        <v>98.4</v>
      </c>
      <c r="AG71" s="1">
        <v>111.8</v>
      </c>
      <c r="AH71" s="1">
        <v>251.4</v>
      </c>
      <c r="AI71" s="1">
        <v>226</v>
      </c>
      <c r="AJ71" s="1">
        <v>175.8</v>
      </c>
      <c r="AK71" s="1"/>
      <c r="AL71" s="1">
        <f t="shared" ref="AL71:AL131" si="38">ROUND(G71*U71,0)</f>
        <v>0</v>
      </c>
      <c r="AM71" s="1">
        <f t="shared" ref="AM71:AM131" si="39">ROUND(G71*V71,0)</f>
        <v>0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117</v>
      </c>
      <c r="B72" s="1" t="s">
        <v>41</v>
      </c>
      <c r="C72" s="1">
        <v>420</v>
      </c>
      <c r="D72" s="1">
        <v>1024</v>
      </c>
      <c r="E72" s="1">
        <v>466</v>
      </c>
      <c r="F72" s="1">
        <v>941</v>
      </c>
      <c r="G72" s="7">
        <v>0.6</v>
      </c>
      <c r="H72" s="1">
        <v>60</v>
      </c>
      <c r="I72" s="1" t="s">
        <v>37</v>
      </c>
      <c r="J72" s="1"/>
      <c r="K72" s="1">
        <v>660</v>
      </c>
      <c r="L72" s="1">
        <f t="shared" si="31"/>
        <v>-194</v>
      </c>
      <c r="M72" s="1">
        <f t="shared" si="32"/>
        <v>466</v>
      </c>
      <c r="N72" s="1"/>
      <c r="O72" s="1"/>
      <c r="P72" s="1">
        <v>429.458215</v>
      </c>
      <c r="Q72" s="1">
        <v>314.83678500000002</v>
      </c>
      <c r="R72" s="1">
        <f t="shared" si="33"/>
        <v>93.2</v>
      </c>
      <c r="S72" s="5"/>
      <c r="T72" s="5">
        <f t="shared" si="35"/>
        <v>0</v>
      </c>
      <c r="U72" s="5">
        <f t="shared" si="36"/>
        <v>0</v>
      </c>
      <c r="V72" s="5"/>
      <c r="W72" s="20"/>
      <c r="X72" s="20"/>
      <c r="Y72" s="1">
        <f t="shared" si="37"/>
        <v>18.082564377682402</v>
      </c>
      <c r="Z72" s="1">
        <f t="shared" si="34"/>
        <v>18.082564377682402</v>
      </c>
      <c r="AA72" s="1">
        <v>141</v>
      </c>
      <c r="AB72" s="1">
        <v>129.4</v>
      </c>
      <c r="AC72" s="1">
        <v>122.6</v>
      </c>
      <c r="AD72" s="1">
        <v>109.8</v>
      </c>
      <c r="AE72" s="1">
        <v>92.2</v>
      </c>
      <c r="AF72" s="1">
        <v>121</v>
      </c>
      <c r="AG72" s="1">
        <v>131.80000000000001</v>
      </c>
      <c r="AH72" s="1">
        <v>113.8</v>
      </c>
      <c r="AI72" s="1">
        <v>119.2</v>
      </c>
      <c r="AJ72" s="1">
        <v>152.4</v>
      </c>
      <c r="AK72" s="1"/>
      <c r="AL72" s="1">
        <f t="shared" si="38"/>
        <v>0</v>
      </c>
      <c r="AM72" s="1">
        <f t="shared" si="39"/>
        <v>0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41</v>
      </c>
      <c r="C73" s="1">
        <v>23</v>
      </c>
      <c r="D73" s="1">
        <v>161</v>
      </c>
      <c r="E73" s="1">
        <v>33</v>
      </c>
      <c r="F73" s="1">
        <v>135</v>
      </c>
      <c r="G73" s="7">
        <v>0.4</v>
      </c>
      <c r="H73" s="1"/>
      <c r="I73" s="9" t="s">
        <v>47</v>
      </c>
      <c r="J73" s="1"/>
      <c r="K73" s="1">
        <v>34</v>
      </c>
      <c r="L73" s="1">
        <f t="shared" si="31"/>
        <v>-1</v>
      </c>
      <c r="M73" s="1">
        <f t="shared" si="32"/>
        <v>33</v>
      </c>
      <c r="N73" s="1"/>
      <c r="O73" s="1"/>
      <c r="P73" s="1">
        <v>0</v>
      </c>
      <c r="Q73" s="1"/>
      <c r="R73" s="1">
        <f t="shared" si="33"/>
        <v>6.6</v>
      </c>
      <c r="S73" s="5"/>
      <c r="T73" s="5">
        <f t="shared" si="35"/>
        <v>0</v>
      </c>
      <c r="U73" s="5">
        <f t="shared" si="36"/>
        <v>0</v>
      </c>
      <c r="V73" s="5"/>
      <c r="W73" s="20"/>
      <c r="X73" s="20"/>
      <c r="Y73" s="1">
        <f t="shared" si="37"/>
        <v>20.454545454545457</v>
      </c>
      <c r="Z73" s="1">
        <f t="shared" si="34"/>
        <v>20.454545454545457</v>
      </c>
      <c r="AA73" s="1">
        <v>8.6</v>
      </c>
      <c r="AB73" s="1">
        <v>15.2</v>
      </c>
      <c r="AC73" s="1">
        <v>16</v>
      </c>
      <c r="AD73" s="1">
        <v>9.1999999999999993</v>
      </c>
      <c r="AE73" s="1">
        <v>11.8</v>
      </c>
      <c r="AF73" s="1">
        <v>12.4</v>
      </c>
      <c r="AG73" s="1">
        <v>4.8</v>
      </c>
      <c r="AH73" s="1">
        <v>3.2</v>
      </c>
      <c r="AI73" s="1">
        <v>9.4</v>
      </c>
      <c r="AJ73" s="1">
        <v>10</v>
      </c>
      <c r="AK73" s="1"/>
      <c r="AL73" s="1">
        <f t="shared" si="38"/>
        <v>0</v>
      </c>
      <c r="AM73" s="1">
        <f t="shared" si="39"/>
        <v>0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1" t="s">
        <v>119</v>
      </c>
      <c r="B74" s="11" t="s">
        <v>41</v>
      </c>
      <c r="C74" s="11"/>
      <c r="D74" s="11"/>
      <c r="E74" s="11"/>
      <c r="F74" s="11"/>
      <c r="G74" s="12">
        <v>0</v>
      </c>
      <c r="H74" s="11"/>
      <c r="I74" s="11" t="s">
        <v>37</v>
      </c>
      <c r="J74" s="11"/>
      <c r="K74" s="11"/>
      <c r="L74" s="11">
        <f t="shared" si="31"/>
        <v>0</v>
      </c>
      <c r="M74" s="11">
        <f t="shared" si="32"/>
        <v>0</v>
      </c>
      <c r="N74" s="11"/>
      <c r="O74" s="11"/>
      <c r="P74" s="11">
        <v>0</v>
      </c>
      <c r="Q74" s="11"/>
      <c r="R74" s="11">
        <f t="shared" si="33"/>
        <v>0</v>
      </c>
      <c r="S74" s="13"/>
      <c r="T74" s="5">
        <f t="shared" si="35"/>
        <v>0</v>
      </c>
      <c r="U74" s="5">
        <f t="shared" si="36"/>
        <v>0</v>
      </c>
      <c r="V74" s="5"/>
      <c r="W74" s="21"/>
      <c r="X74" s="20"/>
      <c r="Y74" s="1" t="e">
        <f t="shared" si="37"/>
        <v>#DIV/0!</v>
      </c>
      <c r="Z74" s="11" t="e">
        <f t="shared" si="34"/>
        <v>#DIV/0!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 t="s">
        <v>53</v>
      </c>
      <c r="AL74" s="1">
        <f t="shared" si="38"/>
        <v>0</v>
      </c>
      <c r="AM74" s="1">
        <f t="shared" si="39"/>
        <v>0</v>
      </c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120</v>
      </c>
      <c r="B75" s="1" t="s">
        <v>41</v>
      </c>
      <c r="C75" s="1">
        <v>49</v>
      </c>
      <c r="D75" s="1">
        <v>81</v>
      </c>
      <c r="E75" s="1">
        <v>49</v>
      </c>
      <c r="F75" s="1">
        <v>68</v>
      </c>
      <c r="G75" s="7">
        <v>0.35</v>
      </c>
      <c r="H75" s="1">
        <v>90</v>
      </c>
      <c r="I75" s="1" t="s">
        <v>37</v>
      </c>
      <c r="J75" s="1"/>
      <c r="K75" s="1">
        <v>50</v>
      </c>
      <c r="L75" s="1">
        <f t="shared" si="31"/>
        <v>-1</v>
      </c>
      <c r="M75" s="1">
        <f t="shared" si="32"/>
        <v>49</v>
      </c>
      <c r="N75" s="1"/>
      <c r="O75" s="1"/>
      <c r="P75" s="1">
        <v>20.400000000000009</v>
      </c>
      <c r="Q75" s="1"/>
      <c r="R75" s="1">
        <f t="shared" si="33"/>
        <v>9.8000000000000007</v>
      </c>
      <c r="S75" s="5">
        <f t="shared" ref="S75:S81" si="40">11*R75-Q75-P75-O75-F75</f>
        <v>19.400000000000006</v>
      </c>
      <c r="T75" s="5">
        <f t="shared" si="35"/>
        <v>19.400000000000006</v>
      </c>
      <c r="U75" s="5">
        <f t="shared" si="36"/>
        <v>19.400000000000006</v>
      </c>
      <c r="V75" s="5"/>
      <c r="W75" s="20"/>
      <c r="X75" s="20"/>
      <c r="Y75" s="1">
        <f t="shared" si="37"/>
        <v>11</v>
      </c>
      <c r="Z75" s="1">
        <f t="shared" si="34"/>
        <v>9.0204081632653068</v>
      </c>
      <c r="AA75" s="1">
        <v>8.4</v>
      </c>
      <c r="AB75" s="1">
        <v>11.4</v>
      </c>
      <c r="AC75" s="1">
        <v>9.8000000000000007</v>
      </c>
      <c r="AD75" s="1">
        <v>7.8</v>
      </c>
      <c r="AE75" s="1">
        <v>7.4</v>
      </c>
      <c r="AF75" s="1">
        <v>2.4</v>
      </c>
      <c r="AG75" s="1">
        <v>6</v>
      </c>
      <c r="AH75" s="1">
        <v>5.8</v>
      </c>
      <c r="AI75" s="1">
        <v>2</v>
      </c>
      <c r="AJ75" s="1">
        <v>0</v>
      </c>
      <c r="AK75" s="1"/>
      <c r="AL75" s="1">
        <f t="shared" si="38"/>
        <v>7</v>
      </c>
      <c r="AM75" s="1">
        <f t="shared" si="39"/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41</v>
      </c>
      <c r="C76" s="1">
        <v>120</v>
      </c>
      <c r="D76" s="1">
        <v>202</v>
      </c>
      <c r="E76" s="1">
        <v>107</v>
      </c>
      <c r="F76" s="1">
        <v>201</v>
      </c>
      <c r="G76" s="7">
        <v>0.37</v>
      </c>
      <c r="H76" s="1">
        <v>50</v>
      </c>
      <c r="I76" s="1" t="s">
        <v>37</v>
      </c>
      <c r="J76" s="1"/>
      <c r="K76" s="1">
        <v>134</v>
      </c>
      <c r="L76" s="1">
        <f t="shared" si="31"/>
        <v>-27</v>
      </c>
      <c r="M76" s="1">
        <f t="shared" si="32"/>
        <v>107</v>
      </c>
      <c r="N76" s="1"/>
      <c r="O76" s="1"/>
      <c r="P76" s="1">
        <v>0</v>
      </c>
      <c r="Q76" s="1"/>
      <c r="R76" s="1">
        <f t="shared" si="33"/>
        <v>21.4</v>
      </c>
      <c r="S76" s="5">
        <f t="shared" si="40"/>
        <v>34.399999999999977</v>
      </c>
      <c r="T76" s="5">
        <f t="shared" si="35"/>
        <v>34.399999999999977</v>
      </c>
      <c r="U76" s="5">
        <f t="shared" si="36"/>
        <v>34.399999999999977</v>
      </c>
      <c r="V76" s="5"/>
      <c r="W76" s="20"/>
      <c r="X76" s="20"/>
      <c r="Y76" s="1">
        <f t="shared" si="37"/>
        <v>11</v>
      </c>
      <c r="Z76" s="1">
        <f t="shared" si="34"/>
        <v>9.3925233644859816</v>
      </c>
      <c r="AA76" s="1">
        <v>14.2</v>
      </c>
      <c r="AB76" s="1">
        <v>20.6</v>
      </c>
      <c r="AC76" s="1">
        <v>27.2</v>
      </c>
      <c r="AD76" s="1">
        <v>25.8</v>
      </c>
      <c r="AE76" s="1">
        <v>22</v>
      </c>
      <c r="AF76" s="1">
        <v>21</v>
      </c>
      <c r="AG76" s="1">
        <v>23.4</v>
      </c>
      <c r="AH76" s="1">
        <v>25.4</v>
      </c>
      <c r="AI76" s="1">
        <v>24.8</v>
      </c>
      <c r="AJ76" s="1">
        <v>24.6</v>
      </c>
      <c r="AK76" s="1"/>
      <c r="AL76" s="1">
        <f t="shared" si="38"/>
        <v>13</v>
      </c>
      <c r="AM76" s="1">
        <f t="shared" si="39"/>
        <v>0</v>
      </c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41</v>
      </c>
      <c r="C77" s="1">
        <v>791</v>
      </c>
      <c r="D77" s="1">
        <v>812</v>
      </c>
      <c r="E77" s="1">
        <v>208</v>
      </c>
      <c r="F77" s="1">
        <v>1386</v>
      </c>
      <c r="G77" s="7">
        <v>0.6</v>
      </c>
      <c r="H77" s="1">
        <v>70</v>
      </c>
      <c r="I77" s="10" t="s">
        <v>74</v>
      </c>
      <c r="J77" s="1"/>
      <c r="K77" s="1">
        <v>308</v>
      </c>
      <c r="L77" s="1">
        <f t="shared" si="31"/>
        <v>-100</v>
      </c>
      <c r="M77" s="1">
        <f t="shared" si="32"/>
        <v>208</v>
      </c>
      <c r="N77" s="1"/>
      <c r="O77" s="1"/>
      <c r="P77" s="1">
        <v>0</v>
      </c>
      <c r="Q77" s="1"/>
      <c r="R77" s="1">
        <f t="shared" si="33"/>
        <v>41.6</v>
      </c>
      <c r="S77" s="5"/>
      <c r="T77" s="5">
        <f t="shared" si="35"/>
        <v>0</v>
      </c>
      <c r="U77" s="5">
        <f t="shared" si="36"/>
        <v>0</v>
      </c>
      <c r="V77" s="5"/>
      <c r="W77" s="20"/>
      <c r="X77" s="20"/>
      <c r="Y77" s="1">
        <f t="shared" si="37"/>
        <v>33.317307692307693</v>
      </c>
      <c r="Z77" s="1">
        <f t="shared" si="34"/>
        <v>33.317307692307693</v>
      </c>
      <c r="AA77" s="1">
        <v>39.6</v>
      </c>
      <c r="AB77" s="1">
        <v>33.200000000000003</v>
      </c>
      <c r="AC77" s="1">
        <v>140.6</v>
      </c>
      <c r="AD77" s="1">
        <v>137</v>
      </c>
      <c r="AE77" s="1">
        <v>94.4</v>
      </c>
      <c r="AF77" s="1">
        <v>84.8</v>
      </c>
      <c r="AG77" s="1">
        <v>98.8</v>
      </c>
      <c r="AH77" s="1">
        <v>59.8</v>
      </c>
      <c r="AI77" s="1">
        <v>70.400000000000006</v>
      </c>
      <c r="AJ77" s="1">
        <v>59.2</v>
      </c>
      <c r="AK77" s="16" t="s">
        <v>188</v>
      </c>
      <c r="AL77" s="1">
        <f t="shared" si="38"/>
        <v>0</v>
      </c>
      <c r="AM77" s="1">
        <f t="shared" si="39"/>
        <v>0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41</v>
      </c>
      <c r="C78" s="1">
        <v>521</v>
      </c>
      <c r="D78" s="1">
        <v>426</v>
      </c>
      <c r="E78" s="1">
        <v>449</v>
      </c>
      <c r="F78" s="1">
        <v>488</v>
      </c>
      <c r="G78" s="7">
        <v>0.33</v>
      </c>
      <c r="H78" s="1">
        <v>40</v>
      </c>
      <c r="I78" s="1" t="s">
        <v>37</v>
      </c>
      <c r="J78" s="1"/>
      <c r="K78" s="1">
        <v>518</v>
      </c>
      <c r="L78" s="1">
        <f t="shared" si="31"/>
        <v>-69</v>
      </c>
      <c r="M78" s="1">
        <f t="shared" si="32"/>
        <v>449</v>
      </c>
      <c r="N78" s="1"/>
      <c r="O78" s="1"/>
      <c r="P78" s="1">
        <v>278.16390069099992</v>
      </c>
      <c r="Q78" s="1">
        <v>203.92258230899989</v>
      </c>
      <c r="R78" s="1">
        <f t="shared" si="33"/>
        <v>89.8</v>
      </c>
      <c r="S78" s="5">
        <f t="shared" si="40"/>
        <v>17.713517000000195</v>
      </c>
      <c r="T78" s="5">
        <f t="shared" si="35"/>
        <v>17.713517000000195</v>
      </c>
      <c r="U78" s="5">
        <f t="shared" si="36"/>
        <v>17.713517000000195</v>
      </c>
      <c r="V78" s="5"/>
      <c r="W78" s="20"/>
      <c r="X78" s="20"/>
      <c r="Y78" s="1">
        <f t="shared" si="37"/>
        <v>11</v>
      </c>
      <c r="Z78" s="1">
        <f t="shared" si="34"/>
        <v>10.802744799554564</v>
      </c>
      <c r="AA78" s="1">
        <v>84</v>
      </c>
      <c r="AB78" s="1">
        <v>85.2</v>
      </c>
      <c r="AC78" s="1">
        <v>77.400000000000006</v>
      </c>
      <c r="AD78" s="1">
        <v>80.400000000000006</v>
      </c>
      <c r="AE78" s="1">
        <v>98.6</v>
      </c>
      <c r="AF78" s="1">
        <v>89.2</v>
      </c>
      <c r="AG78" s="1">
        <v>70.599999999999994</v>
      </c>
      <c r="AH78" s="1">
        <v>78.2</v>
      </c>
      <c r="AI78" s="1">
        <v>81</v>
      </c>
      <c r="AJ78" s="1">
        <v>76.2</v>
      </c>
      <c r="AK78" s="1"/>
      <c r="AL78" s="1">
        <f t="shared" si="38"/>
        <v>6</v>
      </c>
      <c r="AM78" s="1">
        <f t="shared" si="39"/>
        <v>0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41</v>
      </c>
      <c r="C79" s="1">
        <v>67</v>
      </c>
      <c r="D79" s="1">
        <v>84</v>
      </c>
      <c r="E79" s="1">
        <v>48</v>
      </c>
      <c r="F79" s="1">
        <v>91</v>
      </c>
      <c r="G79" s="7">
        <v>0.4</v>
      </c>
      <c r="H79" s="1">
        <v>55</v>
      </c>
      <c r="I79" s="1" t="s">
        <v>37</v>
      </c>
      <c r="J79" s="1"/>
      <c r="K79" s="1">
        <v>51</v>
      </c>
      <c r="L79" s="1">
        <f t="shared" si="31"/>
        <v>-3</v>
      </c>
      <c r="M79" s="1">
        <f t="shared" si="32"/>
        <v>48</v>
      </c>
      <c r="N79" s="1"/>
      <c r="O79" s="1"/>
      <c r="P79" s="1">
        <v>0</v>
      </c>
      <c r="Q79" s="1"/>
      <c r="R79" s="1">
        <f t="shared" si="33"/>
        <v>9.6</v>
      </c>
      <c r="S79" s="5">
        <f t="shared" si="40"/>
        <v>14.599999999999994</v>
      </c>
      <c r="T79" s="5">
        <f t="shared" si="35"/>
        <v>14.599999999999994</v>
      </c>
      <c r="U79" s="5">
        <f t="shared" si="36"/>
        <v>14.599999999999994</v>
      </c>
      <c r="V79" s="5"/>
      <c r="W79" s="20"/>
      <c r="X79" s="20"/>
      <c r="Y79" s="1">
        <f t="shared" si="37"/>
        <v>11</v>
      </c>
      <c r="Z79" s="1">
        <f t="shared" si="34"/>
        <v>9.4791666666666679</v>
      </c>
      <c r="AA79" s="1">
        <v>6.4</v>
      </c>
      <c r="AB79" s="1">
        <v>10</v>
      </c>
      <c r="AC79" s="1">
        <v>11.4</v>
      </c>
      <c r="AD79" s="1">
        <v>9.6</v>
      </c>
      <c r="AE79" s="1">
        <v>11.2</v>
      </c>
      <c r="AF79" s="1">
        <v>6.8</v>
      </c>
      <c r="AG79" s="1">
        <v>0.6</v>
      </c>
      <c r="AH79" s="1">
        <v>5.2</v>
      </c>
      <c r="AI79" s="1">
        <v>10.199999999999999</v>
      </c>
      <c r="AJ79" s="1">
        <v>10.4</v>
      </c>
      <c r="AK79" s="1"/>
      <c r="AL79" s="1">
        <f t="shared" si="38"/>
        <v>6</v>
      </c>
      <c r="AM79" s="1">
        <f t="shared" si="39"/>
        <v>0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41</v>
      </c>
      <c r="C80" s="1">
        <v>-1</v>
      </c>
      <c r="D80" s="1">
        <v>271</v>
      </c>
      <c r="E80" s="1">
        <v>17</v>
      </c>
      <c r="F80" s="1">
        <v>244</v>
      </c>
      <c r="G80" s="7">
        <v>0.35</v>
      </c>
      <c r="H80" s="1">
        <v>40</v>
      </c>
      <c r="I80" s="1" t="s">
        <v>37</v>
      </c>
      <c r="J80" s="1"/>
      <c r="K80" s="1">
        <v>31</v>
      </c>
      <c r="L80" s="1">
        <f t="shared" si="31"/>
        <v>-14</v>
      </c>
      <c r="M80" s="1">
        <f t="shared" si="32"/>
        <v>17</v>
      </c>
      <c r="N80" s="1"/>
      <c r="O80" s="1"/>
      <c r="P80" s="1">
        <v>0</v>
      </c>
      <c r="Q80" s="1"/>
      <c r="R80" s="1">
        <f t="shared" si="33"/>
        <v>3.4</v>
      </c>
      <c r="S80" s="5"/>
      <c r="T80" s="5">
        <f t="shared" si="35"/>
        <v>0</v>
      </c>
      <c r="U80" s="5">
        <f t="shared" si="36"/>
        <v>0</v>
      </c>
      <c r="V80" s="5"/>
      <c r="W80" s="20"/>
      <c r="X80" s="20"/>
      <c r="Y80" s="1">
        <f t="shared" si="37"/>
        <v>71.764705882352942</v>
      </c>
      <c r="Z80" s="1">
        <f t="shared" si="34"/>
        <v>71.764705882352942</v>
      </c>
      <c r="AA80" s="1">
        <v>9</v>
      </c>
      <c r="AB80" s="1">
        <v>23.6</v>
      </c>
      <c r="AC80" s="1">
        <v>16</v>
      </c>
      <c r="AD80" s="1">
        <v>2</v>
      </c>
      <c r="AE80" s="1">
        <v>6</v>
      </c>
      <c r="AF80" s="1">
        <v>12.4</v>
      </c>
      <c r="AG80" s="1">
        <v>14.6</v>
      </c>
      <c r="AH80" s="1">
        <v>8.6</v>
      </c>
      <c r="AI80" s="1">
        <v>7.2</v>
      </c>
      <c r="AJ80" s="1">
        <v>15.8</v>
      </c>
      <c r="AK80" s="1"/>
      <c r="AL80" s="1">
        <f t="shared" si="38"/>
        <v>0</v>
      </c>
      <c r="AM80" s="1">
        <f t="shared" si="39"/>
        <v>0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126</v>
      </c>
      <c r="B81" s="1" t="s">
        <v>41</v>
      </c>
      <c r="C81" s="1">
        <v>201</v>
      </c>
      <c r="D81" s="1">
        <v>186</v>
      </c>
      <c r="E81" s="1">
        <v>266</v>
      </c>
      <c r="F81" s="1">
        <v>115</v>
      </c>
      <c r="G81" s="7">
        <v>0.35</v>
      </c>
      <c r="H81" s="1">
        <v>45</v>
      </c>
      <c r="I81" s="1" t="s">
        <v>37</v>
      </c>
      <c r="J81" s="1"/>
      <c r="K81" s="1">
        <v>291</v>
      </c>
      <c r="L81" s="1">
        <f t="shared" si="31"/>
        <v>-25</v>
      </c>
      <c r="M81" s="1">
        <f t="shared" si="32"/>
        <v>266</v>
      </c>
      <c r="N81" s="1"/>
      <c r="O81" s="1">
        <v>81.28874650000003</v>
      </c>
      <c r="P81" s="1">
        <v>173.1</v>
      </c>
      <c r="Q81" s="1">
        <v>126.9</v>
      </c>
      <c r="R81" s="1">
        <f t="shared" si="33"/>
        <v>53.2</v>
      </c>
      <c r="S81" s="5">
        <f t="shared" si="40"/>
        <v>88.911253500000015</v>
      </c>
      <c r="T81" s="5">
        <f t="shared" si="35"/>
        <v>88.911253500000015</v>
      </c>
      <c r="U81" s="5">
        <f t="shared" si="36"/>
        <v>88.911253500000015</v>
      </c>
      <c r="V81" s="5"/>
      <c r="W81" s="20"/>
      <c r="X81" s="20"/>
      <c r="Y81" s="1">
        <f t="shared" si="37"/>
        <v>11</v>
      </c>
      <c r="Z81" s="1">
        <f t="shared" si="34"/>
        <v>9.3287358364661657</v>
      </c>
      <c r="AA81" s="1">
        <v>59.8</v>
      </c>
      <c r="AB81" s="1">
        <v>42.2</v>
      </c>
      <c r="AC81" s="1">
        <v>6</v>
      </c>
      <c r="AD81" s="1">
        <v>3.2</v>
      </c>
      <c r="AE81" s="1">
        <v>45.4</v>
      </c>
      <c r="AF81" s="1">
        <v>49.6</v>
      </c>
      <c r="AG81" s="1">
        <v>19.600000000000001</v>
      </c>
      <c r="AH81" s="1">
        <v>33.799999999999997</v>
      </c>
      <c r="AI81" s="1">
        <v>60</v>
      </c>
      <c r="AJ81" s="1">
        <v>60.2</v>
      </c>
      <c r="AK81" s="1"/>
      <c r="AL81" s="1">
        <f t="shared" si="38"/>
        <v>31</v>
      </c>
      <c r="AM81" s="1">
        <f t="shared" si="39"/>
        <v>0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127</v>
      </c>
      <c r="B82" s="1" t="s">
        <v>41</v>
      </c>
      <c r="C82" s="1">
        <v>24</v>
      </c>
      <c r="D82" s="1">
        <v>50</v>
      </c>
      <c r="E82" s="1">
        <v>22</v>
      </c>
      <c r="F82" s="1">
        <v>52</v>
      </c>
      <c r="G82" s="7">
        <v>0.4</v>
      </c>
      <c r="H82" s="1">
        <v>55</v>
      </c>
      <c r="I82" s="1" t="s">
        <v>37</v>
      </c>
      <c r="J82" s="1"/>
      <c r="K82" s="1">
        <v>22</v>
      </c>
      <c r="L82" s="1">
        <f t="shared" si="31"/>
        <v>0</v>
      </c>
      <c r="M82" s="1">
        <f t="shared" si="32"/>
        <v>22</v>
      </c>
      <c r="N82" s="1"/>
      <c r="O82" s="1"/>
      <c r="P82" s="1">
        <v>34.600000000000009</v>
      </c>
      <c r="Q82" s="1"/>
      <c r="R82" s="1">
        <f t="shared" si="33"/>
        <v>4.4000000000000004</v>
      </c>
      <c r="S82" s="5"/>
      <c r="T82" s="5">
        <f t="shared" si="35"/>
        <v>0</v>
      </c>
      <c r="U82" s="5">
        <f t="shared" si="36"/>
        <v>0</v>
      </c>
      <c r="V82" s="5"/>
      <c r="W82" s="20"/>
      <c r="X82" s="20"/>
      <c r="Y82" s="1">
        <f t="shared" si="37"/>
        <v>19.681818181818183</v>
      </c>
      <c r="Z82" s="1">
        <f t="shared" si="34"/>
        <v>19.681818181818183</v>
      </c>
      <c r="AA82" s="1">
        <v>8.4</v>
      </c>
      <c r="AB82" s="1">
        <v>8.4</v>
      </c>
      <c r="AC82" s="1">
        <v>3.4</v>
      </c>
      <c r="AD82" s="1">
        <v>3.4</v>
      </c>
      <c r="AE82" s="1">
        <v>0.6</v>
      </c>
      <c r="AF82" s="1">
        <v>0.8</v>
      </c>
      <c r="AG82" s="1">
        <v>6.4</v>
      </c>
      <c r="AH82" s="1">
        <v>6.2</v>
      </c>
      <c r="AI82" s="1">
        <v>2</v>
      </c>
      <c r="AJ82" s="1">
        <v>2</v>
      </c>
      <c r="AK82" s="16" t="s">
        <v>187</v>
      </c>
      <c r="AL82" s="1">
        <f t="shared" si="38"/>
        <v>0</v>
      </c>
      <c r="AM82" s="1">
        <f t="shared" si="39"/>
        <v>0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128</v>
      </c>
      <c r="B83" s="1" t="s">
        <v>36</v>
      </c>
      <c r="C83" s="1">
        <v>33.116</v>
      </c>
      <c r="D83" s="1">
        <v>1.474</v>
      </c>
      <c r="E83" s="1">
        <v>5.7789999999999999</v>
      </c>
      <c r="F83" s="1">
        <v>27.337</v>
      </c>
      <c r="G83" s="7">
        <v>1</v>
      </c>
      <c r="H83" s="1">
        <v>55</v>
      </c>
      <c r="I83" s="1" t="s">
        <v>37</v>
      </c>
      <c r="J83" s="1"/>
      <c r="K83" s="1">
        <v>7.2</v>
      </c>
      <c r="L83" s="1">
        <f t="shared" si="31"/>
        <v>-1.4210000000000003</v>
      </c>
      <c r="M83" s="1">
        <f t="shared" si="32"/>
        <v>5.7789999999999999</v>
      </c>
      <c r="N83" s="1"/>
      <c r="O83" s="1"/>
      <c r="P83" s="1">
        <v>0</v>
      </c>
      <c r="Q83" s="1"/>
      <c r="R83" s="1">
        <f t="shared" si="33"/>
        <v>1.1557999999999999</v>
      </c>
      <c r="S83" s="5"/>
      <c r="T83" s="5">
        <f t="shared" si="35"/>
        <v>0</v>
      </c>
      <c r="U83" s="5">
        <f t="shared" si="36"/>
        <v>0</v>
      </c>
      <c r="V83" s="5"/>
      <c r="W83" s="20"/>
      <c r="X83" s="20"/>
      <c r="Y83" s="1">
        <f t="shared" si="37"/>
        <v>23.652015919709292</v>
      </c>
      <c r="Z83" s="1">
        <f t="shared" si="34"/>
        <v>23.652015919709292</v>
      </c>
      <c r="AA83" s="1">
        <v>0.29099999999999998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0.26679999999999998</v>
      </c>
      <c r="AH83" s="1">
        <v>0.26679999999999998</v>
      </c>
      <c r="AI83" s="1">
        <v>0.74340000000000006</v>
      </c>
      <c r="AJ83" s="1">
        <v>0.74340000000000006</v>
      </c>
      <c r="AK83" s="16" t="s">
        <v>189</v>
      </c>
      <c r="AL83" s="1">
        <f t="shared" si="38"/>
        <v>0</v>
      </c>
      <c r="AM83" s="1">
        <f t="shared" si="39"/>
        <v>0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1" t="s">
        <v>129</v>
      </c>
      <c r="B84" s="11" t="s">
        <v>36</v>
      </c>
      <c r="C84" s="11"/>
      <c r="D84" s="11"/>
      <c r="E84" s="11"/>
      <c r="F84" s="11"/>
      <c r="G84" s="12">
        <v>0</v>
      </c>
      <c r="H84" s="11"/>
      <c r="I84" s="11" t="s">
        <v>37</v>
      </c>
      <c r="J84" s="11"/>
      <c r="K84" s="11"/>
      <c r="L84" s="11">
        <f t="shared" si="31"/>
        <v>0</v>
      </c>
      <c r="M84" s="11">
        <f t="shared" si="32"/>
        <v>0</v>
      </c>
      <c r="N84" s="11"/>
      <c r="O84" s="11"/>
      <c r="P84" s="11">
        <v>0</v>
      </c>
      <c r="Q84" s="11"/>
      <c r="R84" s="11">
        <f t="shared" si="33"/>
        <v>0</v>
      </c>
      <c r="S84" s="13"/>
      <c r="T84" s="5">
        <f t="shared" si="35"/>
        <v>0</v>
      </c>
      <c r="U84" s="5">
        <f t="shared" si="36"/>
        <v>0</v>
      </c>
      <c r="V84" s="5"/>
      <c r="W84" s="21"/>
      <c r="X84" s="20"/>
      <c r="Y84" s="1" t="e">
        <f t="shared" si="37"/>
        <v>#DIV/0!</v>
      </c>
      <c r="Z84" s="11" t="e">
        <f t="shared" si="34"/>
        <v>#DIV/0!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 t="s">
        <v>53</v>
      </c>
      <c r="AL84" s="1">
        <f t="shared" si="38"/>
        <v>0</v>
      </c>
      <c r="AM84" s="1">
        <f t="shared" si="39"/>
        <v>0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130</v>
      </c>
      <c r="B85" s="1" t="s">
        <v>36</v>
      </c>
      <c r="C85" s="1">
        <v>2722.0520000000001</v>
      </c>
      <c r="D85" s="1">
        <v>5962.0129999999999</v>
      </c>
      <c r="E85" s="1">
        <v>3868.32</v>
      </c>
      <c r="F85" s="1">
        <v>4303.6679999999997</v>
      </c>
      <c r="G85" s="7">
        <v>1</v>
      </c>
      <c r="H85" s="1">
        <v>60</v>
      </c>
      <c r="I85" s="1" t="s">
        <v>37</v>
      </c>
      <c r="J85" s="1"/>
      <c r="K85" s="1">
        <v>3885.13</v>
      </c>
      <c r="L85" s="1">
        <f t="shared" si="31"/>
        <v>-16.809999999999945</v>
      </c>
      <c r="M85" s="1">
        <f t="shared" si="32"/>
        <v>3062.6850000000004</v>
      </c>
      <c r="N85" s="1">
        <v>805.63499999999999</v>
      </c>
      <c r="O85" s="1">
        <v>759.61186742792006</v>
      </c>
      <c r="P85" s="1">
        <v>0</v>
      </c>
      <c r="Q85" s="1"/>
      <c r="R85" s="1">
        <f t="shared" si="33"/>
        <v>612.53700000000003</v>
      </c>
      <c r="S85" s="5">
        <f t="shared" ref="S85:S93" si="41">11*R85-Q85-P85-O85-F85</f>
        <v>1674.6271325720809</v>
      </c>
      <c r="T85" s="5">
        <f>S85+R85*$T$1</f>
        <v>2566.481004572081</v>
      </c>
      <c r="U85" s="5">
        <f t="shared" si="36"/>
        <v>1154.9164520574363</v>
      </c>
      <c r="V85" s="5">
        <f>T85*$V$1</f>
        <v>1411.5645525146447</v>
      </c>
      <c r="W85" s="20"/>
      <c r="X85" s="20"/>
      <c r="Y85" s="1">
        <f t="shared" si="37"/>
        <v>12.456000000000001</v>
      </c>
      <c r="Z85" s="1">
        <f t="shared" si="34"/>
        <v>8.266080036680103</v>
      </c>
      <c r="AA85" s="1">
        <v>497.68400000000003</v>
      </c>
      <c r="AB85" s="1">
        <v>651.02560000000005</v>
      </c>
      <c r="AC85" s="1">
        <v>632.69100000000003</v>
      </c>
      <c r="AD85" s="1">
        <v>612.56139999999994</v>
      </c>
      <c r="AE85" s="1">
        <v>648.1386</v>
      </c>
      <c r="AF85" s="1">
        <v>480.19400000000007</v>
      </c>
      <c r="AG85" s="1">
        <v>440.85640000000001</v>
      </c>
      <c r="AH85" s="1">
        <v>511.75360000000001</v>
      </c>
      <c r="AI85" s="1">
        <v>483.48380000000009</v>
      </c>
      <c r="AJ85" s="1">
        <v>522.95619999999997</v>
      </c>
      <c r="AK85" s="1"/>
      <c r="AL85" s="1">
        <f t="shared" si="38"/>
        <v>1155</v>
      </c>
      <c r="AM85" s="1">
        <f t="shared" si="39"/>
        <v>1412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131</v>
      </c>
      <c r="B86" s="1" t="s">
        <v>41</v>
      </c>
      <c r="C86" s="1">
        <v>95</v>
      </c>
      <c r="D86" s="1">
        <v>57</v>
      </c>
      <c r="E86" s="1">
        <v>89</v>
      </c>
      <c r="F86" s="1">
        <v>44</v>
      </c>
      <c r="G86" s="7">
        <v>0.3</v>
      </c>
      <c r="H86" s="1">
        <v>40</v>
      </c>
      <c r="I86" s="1" t="s">
        <v>37</v>
      </c>
      <c r="J86" s="1"/>
      <c r="K86" s="1">
        <v>271</v>
      </c>
      <c r="L86" s="1">
        <f t="shared" si="31"/>
        <v>-182</v>
      </c>
      <c r="M86" s="1">
        <f t="shared" si="32"/>
        <v>89</v>
      </c>
      <c r="N86" s="1"/>
      <c r="O86" s="1"/>
      <c r="P86" s="1">
        <v>107</v>
      </c>
      <c r="Q86" s="1"/>
      <c r="R86" s="1">
        <f t="shared" si="33"/>
        <v>17.8</v>
      </c>
      <c r="S86" s="5">
        <f t="shared" si="41"/>
        <v>44.800000000000011</v>
      </c>
      <c r="T86" s="5">
        <f t="shared" si="35"/>
        <v>44.800000000000011</v>
      </c>
      <c r="U86" s="5">
        <f t="shared" si="36"/>
        <v>44.800000000000011</v>
      </c>
      <c r="V86" s="5"/>
      <c r="W86" s="20"/>
      <c r="X86" s="20"/>
      <c r="Y86" s="1">
        <f t="shared" si="37"/>
        <v>11</v>
      </c>
      <c r="Z86" s="1">
        <f t="shared" si="34"/>
        <v>8.4831460674157295</v>
      </c>
      <c r="AA86" s="1">
        <v>15.4</v>
      </c>
      <c r="AB86" s="1">
        <v>-4.5999999999999996</v>
      </c>
      <c r="AC86" s="1">
        <v>-2</v>
      </c>
      <c r="AD86" s="1">
        <v>-0.4</v>
      </c>
      <c r="AE86" s="1">
        <v>14.6</v>
      </c>
      <c r="AF86" s="1">
        <v>16.600000000000001</v>
      </c>
      <c r="AG86" s="1">
        <v>7.2</v>
      </c>
      <c r="AH86" s="1">
        <v>16.399999999999999</v>
      </c>
      <c r="AI86" s="1">
        <v>26.8</v>
      </c>
      <c r="AJ86" s="1">
        <v>38.799999999999997</v>
      </c>
      <c r="AK86" s="1" t="s">
        <v>132</v>
      </c>
      <c r="AL86" s="1">
        <f t="shared" si="38"/>
        <v>13</v>
      </c>
      <c r="AM86" s="1">
        <f t="shared" si="39"/>
        <v>0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36</v>
      </c>
      <c r="C87" s="1">
        <v>384.09</v>
      </c>
      <c r="D87" s="1">
        <v>5287.8040000000001</v>
      </c>
      <c r="E87" s="1">
        <v>1729.886</v>
      </c>
      <c r="F87" s="1">
        <v>2433.9789999999998</v>
      </c>
      <c r="G87" s="7">
        <v>1</v>
      </c>
      <c r="H87" s="1">
        <v>60</v>
      </c>
      <c r="I87" s="1" t="s">
        <v>37</v>
      </c>
      <c r="J87" s="1"/>
      <c r="K87" s="1">
        <v>1965.048</v>
      </c>
      <c r="L87" s="1">
        <f t="shared" si="31"/>
        <v>-235.16200000000003</v>
      </c>
      <c r="M87" s="1">
        <f t="shared" si="32"/>
        <v>1729.886</v>
      </c>
      <c r="N87" s="1"/>
      <c r="O87" s="1">
        <v>1452.9853004658221</v>
      </c>
      <c r="P87" s="1">
        <v>92.95007303700001</v>
      </c>
      <c r="Q87" s="1">
        <v>68.141907962999994</v>
      </c>
      <c r="R87" s="1">
        <f t="shared" si="33"/>
        <v>345.97719999999998</v>
      </c>
      <c r="S87" s="5"/>
      <c r="T87" s="5">
        <f t="shared" si="35"/>
        <v>0</v>
      </c>
      <c r="U87" s="5">
        <f t="shared" si="36"/>
        <v>0</v>
      </c>
      <c r="V87" s="5"/>
      <c r="W87" s="20"/>
      <c r="X87" s="20"/>
      <c r="Y87" s="1">
        <f t="shared" si="37"/>
        <v>11.700355634607778</v>
      </c>
      <c r="Z87" s="1">
        <f t="shared" si="34"/>
        <v>11.700355634607778</v>
      </c>
      <c r="AA87" s="1">
        <v>407.82780000000002</v>
      </c>
      <c r="AB87" s="1">
        <v>448.44819999999999</v>
      </c>
      <c r="AC87" s="1">
        <v>302.09359999999998</v>
      </c>
      <c r="AD87" s="1">
        <v>298.49459999999999</v>
      </c>
      <c r="AE87" s="1">
        <v>338.16379999999998</v>
      </c>
      <c r="AF87" s="1">
        <v>266.18579999999997</v>
      </c>
      <c r="AG87" s="1">
        <v>238.93180000000001</v>
      </c>
      <c r="AH87" s="1">
        <v>332.30399999999997</v>
      </c>
      <c r="AI87" s="1">
        <v>267.47199999999998</v>
      </c>
      <c r="AJ87" s="1">
        <v>289.9846</v>
      </c>
      <c r="AK87" s="1"/>
      <c r="AL87" s="1">
        <f t="shared" si="38"/>
        <v>0</v>
      </c>
      <c r="AM87" s="1">
        <f t="shared" si="39"/>
        <v>0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134</v>
      </c>
      <c r="B88" s="1" t="s">
        <v>36</v>
      </c>
      <c r="C88" s="1">
        <v>1224.703</v>
      </c>
      <c r="D88" s="1">
        <v>6417.317</v>
      </c>
      <c r="E88" s="1">
        <v>2997.0129999999999</v>
      </c>
      <c r="F88" s="1">
        <v>3599.2710000000002</v>
      </c>
      <c r="G88" s="7">
        <v>1</v>
      </c>
      <c r="H88" s="1">
        <v>60</v>
      </c>
      <c r="I88" s="1" t="s">
        <v>37</v>
      </c>
      <c r="J88" s="1"/>
      <c r="K88" s="1">
        <v>2995.8139999999999</v>
      </c>
      <c r="L88" s="1">
        <f t="shared" si="31"/>
        <v>1.1990000000000691</v>
      </c>
      <c r="M88" s="1">
        <f t="shared" si="32"/>
        <v>2997.0129999999999</v>
      </c>
      <c r="N88" s="1"/>
      <c r="O88" s="1">
        <v>692.96128919186037</v>
      </c>
      <c r="P88" s="1">
        <v>577</v>
      </c>
      <c r="Q88" s="1">
        <v>423</v>
      </c>
      <c r="R88" s="1">
        <f t="shared" si="33"/>
        <v>599.40260000000001</v>
      </c>
      <c r="S88" s="5">
        <f t="shared" si="41"/>
        <v>1301.1963108081395</v>
      </c>
      <c r="T88" s="5">
        <f t="shared" ref="T88:T89" si="42">S88+R88*$T$1</f>
        <v>2173.9264964081394</v>
      </c>
      <c r="U88" s="5">
        <f t="shared" si="36"/>
        <v>978.26692338366274</v>
      </c>
      <c r="V88" s="5">
        <f t="shared" ref="V88:V89" si="43">T88*$V$1</f>
        <v>1195.6595730244767</v>
      </c>
      <c r="W88" s="20"/>
      <c r="X88" s="20"/>
      <c r="Y88" s="1">
        <f t="shared" si="37"/>
        <v>12.456</v>
      </c>
      <c r="Z88" s="1">
        <f t="shared" si="34"/>
        <v>8.8291780669484261</v>
      </c>
      <c r="AA88" s="1">
        <v>555.7704</v>
      </c>
      <c r="AB88" s="1">
        <v>589.35239999999999</v>
      </c>
      <c r="AC88" s="1">
        <v>562.32820000000004</v>
      </c>
      <c r="AD88" s="1">
        <v>542.87920000000008</v>
      </c>
      <c r="AE88" s="1">
        <v>492.68880000000001</v>
      </c>
      <c r="AF88" s="1">
        <v>405.63260000000002</v>
      </c>
      <c r="AG88" s="1">
        <v>436.04500000000007</v>
      </c>
      <c r="AH88" s="1">
        <v>563.02379999999994</v>
      </c>
      <c r="AI88" s="1">
        <v>485.17479999999989</v>
      </c>
      <c r="AJ88" s="1">
        <v>500.68040000000002</v>
      </c>
      <c r="AK88" s="1"/>
      <c r="AL88" s="1">
        <f t="shared" si="38"/>
        <v>978</v>
      </c>
      <c r="AM88" s="1">
        <f t="shared" si="39"/>
        <v>1196</v>
      </c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135</v>
      </c>
      <c r="B89" s="1" t="s">
        <v>36</v>
      </c>
      <c r="C89" s="1">
        <v>2015.4949999999999</v>
      </c>
      <c r="D89" s="1">
        <v>9690.4069999999992</v>
      </c>
      <c r="E89" s="1">
        <v>4812.0230000000001</v>
      </c>
      <c r="F89" s="1">
        <v>5509.8739999999998</v>
      </c>
      <c r="G89" s="7">
        <v>1</v>
      </c>
      <c r="H89" s="1">
        <v>60</v>
      </c>
      <c r="I89" s="1" t="s">
        <v>37</v>
      </c>
      <c r="J89" s="1"/>
      <c r="K89" s="1">
        <v>4861.4179999999997</v>
      </c>
      <c r="L89" s="1">
        <f t="shared" si="31"/>
        <v>-49.394999999999527</v>
      </c>
      <c r="M89" s="1">
        <f t="shared" si="32"/>
        <v>3988.09</v>
      </c>
      <c r="N89" s="1">
        <v>823.93299999999999</v>
      </c>
      <c r="O89" s="1">
        <v>925.42310055416067</v>
      </c>
      <c r="P89" s="1">
        <v>0</v>
      </c>
      <c r="Q89" s="1"/>
      <c r="R89" s="1">
        <f t="shared" si="33"/>
        <v>797.61800000000005</v>
      </c>
      <c r="S89" s="5">
        <f t="shared" si="41"/>
        <v>2338.5008994458403</v>
      </c>
      <c r="T89" s="5">
        <f t="shared" si="42"/>
        <v>3499.8327074458402</v>
      </c>
      <c r="U89" s="5">
        <f t="shared" si="36"/>
        <v>1574.9247183506279</v>
      </c>
      <c r="V89" s="5">
        <f t="shared" si="43"/>
        <v>1924.9079890952123</v>
      </c>
      <c r="W89" s="20"/>
      <c r="X89" s="20"/>
      <c r="Y89" s="1">
        <f t="shared" si="37"/>
        <v>12.456000000000001</v>
      </c>
      <c r="Z89" s="1">
        <f t="shared" si="34"/>
        <v>8.0681442752723225</v>
      </c>
      <c r="AA89" s="1">
        <v>656.52760000000001</v>
      </c>
      <c r="AB89" s="1">
        <v>835.4004000000001</v>
      </c>
      <c r="AC89" s="1">
        <v>809.37999999999988</v>
      </c>
      <c r="AD89" s="1">
        <v>778.43979999999999</v>
      </c>
      <c r="AE89" s="1">
        <v>768.42280000000005</v>
      </c>
      <c r="AF89" s="1">
        <v>532.95240000000001</v>
      </c>
      <c r="AG89" s="1">
        <v>457.38780000000003</v>
      </c>
      <c r="AH89" s="1">
        <v>640.37459999999987</v>
      </c>
      <c r="AI89" s="1">
        <v>544.50639999999999</v>
      </c>
      <c r="AJ89" s="1">
        <v>570.49300000000005</v>
      </c>
      <c r="AK89" s="1"/>
      <c r="AL89" s="1">
        <f t="shared" si="38"/>
        <v>1575</v>
      </c>
      <c r="AM89" s="1">
        <f t="shared" si="39"/>
        <v>1925</v>
      </c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136</v>
      </c>
      <c r="B90" s="1" t="s">
        <v>36</v>
      </c>
      <c r="C90" s="1">
        <v>41.677</v>
      </c>
      <c r="D90" s="1">
        <v>12.11</v>
      </c>
      <c r="E90" s="1">
        <v>33.656999999999996</v>
      </c>
      <c r="F90" s="1">
        <v>17.443999999999999</v>
      </c>
      <c r="G90" s="7">
        <v>1</v>
      </c>
      <c r="H90" s="1">
        <v>55</v>
      </c>
      <c r="I90" s="1" t="s">
        <v>37</v>
      </c>
      <c r="J90" s="1"/>
      <c r="K90" s="1">
        <v>32.950000000000003</v>
      </c>
      <c r="L90" s="1">
        <f t="shared" si="31"/>
        <v>0.70699999999999363</v>
      </c>
      <c r="M90" s="1">
        <f t="shared" si="32"/>
        <v>33.656999999999996</v>
      </c>
      <c r="N90" s="1"/>
      <c r="O90" s="1"/>
      <c r="P90" s="1">
        <v>14.88200000000001</v>
      </c>
      <c r="Q90" s="1"/>
      <c r="R90" s="1">
        <f t="shared" si="33"/>
        <v>6.7313999999999989</v>
      </c>
      <c r="S90" s="5">
        <f t="shared" si="41"/>
        <v>41.719399999999979</v>
      </c>
      <c r="T90" s="5">
        <f t="shared" si="35"/>
        <v>41.719399999999979</v>
      </c>
      <c r="U90" s="5">
        <f t="shared" si="36"/>
        <v>41.719399999999979</v>
      </c>
      <c r="V90" s="5"/>
      <c r="W90" s="20"/>
      <c r="X90" s="20"/>
      <c r="Y90" s="1">
        <f t="shared" si="37"/>
        <v>11</v>
      </c>
      <c r="Z90" s="1">
        <f t="shared" si="34"/>
        <v>4.8022699587010154</v>
      </c>
      <c r="AA90" s="1">
        <v>4.8144</v>
      </c>
      <c r="AB90" s="1">
        <v>4.3857999999999997</v>
      </c>
      <c r="AC90" s="1">
        <v>2.5371999999999999</v>
      </c>
      <c r="AD90" s="1">
        <v>3.8062</v>
      </c>
      <c r="AE90" s="1">
        <v>4.8583999999999996</v>
      </c>
      <c r="AF90" s="1">
        <v>4.8124000000000002</v>
      </c>
      <c r="AG90" s="1">
        <v>2.9316</v>
      </c>
      <c r="AH90" s="1">
        <v>2.9371999999999998</v>
      </c>
      <c r="AI90" s="1">
        <v>3.2063999999999999</v>
      </c>
      <c r="AJ90" s="1">
        <v>3.226</v>
      </c>
      <c r="AK90" s="1"/>
      <c r="AL90" s="1">
        <f t="shared" si="38"/>
        <v>42</v>
      </c>
      <c r="AM90" s="1">
        <f t="shared" si="39"/>
        <v>0</v>
      </c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137</v>
      </c>
      <c r="B91" s="1" t="s">
        <v>41</v>
      </c>
      <c r="C91" s="1">
        <v>54</v>
      </c>
      <c r="D91" s="1">
        <v>127</v>
      </c>
      <c r="E91" s="1">
        <v>56</v>
      </c>
      <c r="F91" s="1">
        <v>124</v>
      </c>
      <c r="G91" s="7">
        <v>0.3</v>
      </c>
      <c r="H91" s="1">
        <v>40</v>
      </c>
      <c r="I91" s="1" t="s">
        <v>37</v>
      </c>
      <c r="J91" s="1"/>
      <c r="K91" s="1">
        <v>69</v>
      </c>
      <c r="L91" s="1">
        <f t="shared" si="31"/>
        <v>-13</v>
      </c>
      <c r="M91" s="1">
        <f t="shared" si="32"/>
        <v>56</v>
      </c>
      <c r="N91" s="1"/>
      <c r="O91" s="1"/>
      <c r="P91" s="1">
        <v>0</v>
      </c>
      <c r="Q91" s="1"/>
      <c r="R91" s="1">
        <f t="shared" si="33"/>
        <v>11.2</v>
      </c>
      <c r="S91" s="5"/>
      <c r="T91" s="5">
        <f t="shared" si="35"/>
        <v>0</v>
      </c>
      <c r="U91" s="5">
        <f t="shared" si="36"/>
        <v>0</v>
      </c>
      <c r="V91" s="5"/>
      <c r="W91" s="20"/>
      <c r="X91" s="20"/>
      <c r="Y91" s="1">
        <f t="shared" si="37"/>
        <v>11.071428571428573</v>
      </c>
      <c r="Z91" s="1">
        <f t="shared" si="34"/>
        <v>11.071428571428573</v>
      </c>
      <c r="AA91" s="1">
        <v>7.8</v>
      </c>
      <c r="AB91" s="1">
        <v>16.2</v>
      </c>
      <c r="AC91" s="1">
        <v>13.4</v>
      </c>
      <c r="AD91" s="1">
        <v>0</v>
      </c>
      <c r="AE91" s="1">
        <v>0</v>
      </c>
      <c r="AF91" s="1">
        <v>0</v>
      </c>
      <c r="AG91" s="1">
        <v>-0.4</v>
      </c>
      <c r="AH91" s="1">
        <v>-0.4</v>
      </c>
      <c r="AI91" s="1">
        <v>0</v>
      </c>
      <c r="AJ91" s="1">
        <v>0</v>
      </c>
      <c r="AK91" s="1"/>
      <c r="AL91" s="1">
        <f t="shared" si="38"/>
        <v>0</v>
      </c>
      <c r="AM91" s="1">
        <f t="shared" si="39"/>
        <v>0</v>
      </c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138</v>
      </c>
      <c r="B92" s="1" t="s">
        <v>41</v>
      </c>
      <c r="C92" s="1">
        <v>4</v>
      </c>
      <c r="D92" s="1"/>
      <c r="E92" s="1">
        <v>-1</v>
      </c>
      <c r="F92" s="1"/>
      <c r="G92" s="7">
        <v>0.3</v>
      </c>
      <c r="H92" s="1">
        <v>40</v>
      </c>
      <c r="I92" s="9" t="s">
        <v>47</v>
      </c>
      <c r="J92" s="1"/>
      <c r="K92" s="1">
        <v>6</v>
      </c>
      <c r="L92" s="1">
        <f t="shared" si="31"/>
        <v>-7</v>
      </c>
      <c r="M92" s="1">
        <f t="shared" si="32"/>
        <v>-1</v>
      </c>
      <c r="N92" s="1"/>
      <c r="O92" s="1"/>
      <c r="P92" s="1">
        <v>30</v>
      </c>
      <c r="Q92" s="1"/>
      <c r="R92" s="1">
        <f t="shared" si="33"/>
        <v>-0.2</v>
      </c>
      <c r="S92" s="5">
        <v>20</v>
      </c>
      <c r="T92" s="5">
        <f t="shared" si="35"/>
        <v>20</v>
      </c>
      <c r="U92" s="5">
        <f t="shared" si="36"/>
        <v>20</v>
      </c>
      <c r="V92" s="5"/>
      <c r="W92" s="20"/>
      <c r="X92" s="20"/>
      <c r="Y92" s="1">
        <f t="shared" si="37"/>
        <v>-250</v>
      </c>
      <c r="Z92" s="1">
        <f t="shared" si="34"/>
        <v>-150</v>
      </c>
      <c r="AA92" s="1">
        <v>-0.2</v>
      </c>
      <c r="AB92" s="1">
        <v>-0.2</v>
      </c>
      <c r="AC92" s="1">
        <v>0</v>
      </c>
      <c r="AD92" s="1">
        <v>0</v>
      </c>
      <c r="AE92" s="1">
        <v>-1.4</v>
      </c>
      <c r="AF92" s="1">
        <v>-1.8</v>
      </c>
      <c r="AG92" s="1">
        <v>-0.6</v>
      </c>
      <c r="AH92" s="1">
        <v>3</v>
      </c>
      <c r="AI92" s="1">
        <v>8</v>
      </c>
      <c r="AJ92" s="1">
        <v>5.6</v>
      </c>
      <c r="AK92" s="1" t="s">
        <v>139</v>
      </c>
      <c r="AL92" s="1">
        <f t="shared" si="38"/>
        <v>6</v>
      </c>
      <c r="AM92" s="1">
        <f t="shared" si="39"/>
        <v>0</v>
      </c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140</v>
      </c>
      <c r="B93" s="1" t="s">
        <v>41</v>
      </c>
      <c r="C93" s="1">
        <v>53</v>
      </c>
      <c r="D93" s="1">
        <v>152</v>
      </c>
      <c r="E93" s="1">
        <v>135</v>
      </c>
      <c r="F93" s="1">
        <v>64</v>
      </c>
      <c r="G93" s="7">
        <v>7.0000000000000007E-2</v>
      </c>
      <c r="H93" s="1">
        <v>90</v>
      </c>
      <c r="I93" s="1" t="s">
        <v>37</v>
      </c>
      <c r="J93" s="1"/>
      <c r="K93" s="1">
        <v>141</v>
      </c>
      <c r="L93" s="1">
        <f t="shared" si="31"/>
        <v>-6</v>
      </c>
      <c r="M93" s="1">
        <f t="shared" si="32"/>
        <v>135</v>
      </c>
      <c r="N93" s="1"/>
      <c r="O93" s="1"/>
      <c r="P93" s="1">
        <v>80</v>
      </c>
      <c r="Q93" s="1"/>
      <c r="R93" s="1">
        <f t="shared" si="33"/>
        <v>27</v>
      </c>
      <c r="S93" s="5">
        <f t="shared" si="41"/>
        <v>153</v>
      </c>
      <c r="T93" s="5">
        <f t="shared" si="35"/>
        <v>153</v>
      </c>
      <c r="U93" s="5">
        <f t="shared" si="36"/>
        <v>153</v>
      </c>
      <c r="V93" s="5"/>
      <c r="W93" s="20"/>
      <c r="X93" s="20"/>
      <c r="Y93" s="1">
        <f t="shared" si="37"/>
        <v>11</v>
      </c>
      <c r="Z93" s="1">
        <f t="shared" si="34"/>
        <v>5.333333333333333</v>
      </c>
      <c r="AA93" s="1">
        <v>12.4</v>
      </c>
      <c r="AB93" s="1">
        <v>7</v>
      </c>
      <c r="AC93" s="1">
        <v>10.6</v>
      </c>
      <c r="AD93" s="1">
        <v>20.6</v>
      </c>
      <c r="AE93" s="1">
        <v>16.2</v>
      </c>
      <c r="AF93" s="1">
        <v>4.8</v>
      </c>
      <c r="AG93" s="1">
        <v>0</v>
      </c>
      <c r="AH93" s="1">
        <v>0.8</v>
      </c>
      <c r="AI93" s="1">
        <v>8.4</v>
      </c>
      <c r="AJ93" s="1">
        <v>20.399999999999999</v>
      </c>
      <c r="AK93" s="1"/>
      <c r="AL93" s="1">
        <f t="shared" si="38"/>
        <v>11</v>
      </c>
      <c r="AM93" s="1">
        <f t="shared" si="39"/>
        <v>0</v>
      </c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141</v>
      </c>
      <c r="B94" s="1" t="s">
        <v>41</v>
      </c>
      <c r="C94" s="1">
        <v>104</v>
      </c>
      <c r="D94" s="1">
        <v>97</v>
      </c>
      <c r="E94" s="1">
        <v>144</v>
      </c>
      <c r="F94" s="1">
        <v>47</v>
      </c>
      <c r="G94" s="7">
        <v>7.0000000000000007E-2</v>
      </c>
      <c r="H94" s="1">
        <v>90</v>
      </c>
      <c r="I94" s="1" t="s">
        <v>37</v>
      </c>
      <c r="J94" s="1"/>
      <c r="K94" s="1">
        <v>151</v>
      </c>
      <c r="L94" s="1">
        <f t="shared" si="31"/>
        <v>-7</v>
      </c>
      <c r="M94" s="1">
        <f t="shared" si="32"/>
        <v>144</v>
      </c>
      <c r="N94" s="1"/>
      <c r="O94" s="1"/>
      <c r="P94" s="1">
        <v>70.600000000000023</v>
      </c>
      <c r="Q94" s="1"/>
      <c r="R94" s="1">
        <f t="shared" si="33"/>
        <v>28.8</v>
      </c>
      <c r="S94" s="5">
        <f t="shared" ref="S94:S95" si="44">10*R94-Q94-P94-O94-F94</f>
        <v>170.39999999999998</v>
      </c>
      <c r="T94" s="5">
        <f t="shared" si="35"/>
        <v>170.39999999999998</v>
      </c>
      <c r="U94" s="5">
        <f t="shared" si="36"/>
        <v>170.39999999999998</v>
      </c>
      <c r="V94" s="5"/>
      <c r="W94" s="20"/>
      <c r="X94" s="20"/>
      <c r="Y94" s="1">
        <f t="shared" si="37"/>
        <v>10</v>
      </c>
      <c r="Z94" s="1">
        <f t="shared" si="34"/>
        <v>4.0833333333333339</v>
      </c>
      <c r="AA94" s="1">
        <v>18.8</v>
      </c>
      <c r="AB94" s="1">
        <v>13.2</v>
      </c>
      <c r="AC94" s="1">
        <v>2.6</v>
      </c>
      <c r="AD94" s="1">
        <v>14.8</v>
      </c>
      <c r="AE94" s="1">
        <v>24</v>
      </c>
      <c r="AF94" s="1">
        <v>16.8</v>
      </c>
      <c r="AG94" s="1">
        <v>19.2</v>
      </c>
      <c r="AH94" s="1">
        <v>23</v>
      </c>
      <c r="AI94" s="1">
        <v>19</v>
      </c>
      <c r="AJ94" s="1">
        <v>27.6</v>
      </c>
      <c r="AK94" s="1"/>
      <c r="AL94" s="1">
        <f t="shared" si="38"/>
        <v>12</v>
      </c>
      <c r="AM94" s="1">
        <f t="shared" si="39"/>
        <v>0</v>
      </c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142</v>
      </c>
      <c r="B95" s="1" t="s">
        <v>41</v>
      </c>
      <c r="C95" s="1">
        <v>280</v>
      </c>
      <c r="D95" s="1">
        <v>11</v>
      </c>
      <c r="E95" s="1">
        <v>158</v>
      </c>
      <c r="F95" s="1">
        <v>118</v>
      </c>
      <c r="G95" s="7">
        <v>7.0000000000000007E-2</v>
      </c>
      <c r="H95" s="1">
        <v>90</v>
      </c>
      <c r="I95" s="1" t="s">
        <v>37</v>
      </c>
      <c r="J95" s="1"/>
      <c r="K95" s="1">
        <v>169</v>
      </c>
      <c r="L95" s="1">
        <f t="shared" si="31"/>
        <v>-11</v>
      </c>
      <c r="M95" s="1">
        <f t="shared" si="32"/>
        <v>158</v>
      </c>
      <c r="N95" s="1"/>
      <c r="O95" s="1"/>
      <c r="P95" s="1">
        <v>8.2000000000000171</v>
      </c>
      <c r="Q95" s="1"/>
      <c r="R95" s="1">
        <f t="shared" si="33"/>
        <v>31.6</v>
      </c>
      <c r="S95" s="5">
        <f t="shared" si="44"/>
        <v>189.79999999999995</v>
      </c>
      <c r="T95" s="5">
        <f t="shared" si="35"/>
        <v>189.79999999999995</v>
      </c>
      <c r="U95" s="5">
        <f t="shared" si="36"/>
        <v>189.79999999999995</v>
      </c>
      <c r="V95" s="5"/>
      <c r="W95" s="20"/>
      <c r="X95" s="20"/>
      <c r="Y95" s="1">
        <f t="shared" si="37"/>
        <v>10</v>
      </c>
      <c r="Z95" s="1">
        <f t="shared" si="34"/>
        <v>3.9936708860759498</v>
      </c>
      <c r="AA95" s="1">
        <v>17.600000000000001</v>
      </c>
      <c r="AB95" s="1">
        <v>19.600000000000001</v>
      </c>
      <c r="AC95" s="1">
        <v>18.399999999999999</v>
      </c>
      <c r="AD95" s="1">
        <v>18.2</v>
      </c>
      <c r="AE95" s="1">
        <v>20.8</v>
      </c>
      <c r="AF95" s="1">
        <v>13</v>
      </c>
      <c r="AG95" s="1">
        <v>15.2</v>
      </c>
      <c r="AH95" s="1">
        <v>16.600000000000001</v>
      </c>
      <c r="AI95" s="1">
        <v>11</v>
      </c>
      <c r="AJ95" s="1">
        <v>38</v>
      </c>
      <c r="AK95" s="1"/>
      <c r="AL95" s="1">
        <f t="shared" si="38"/>
        <v>13</v>
      </c>
      <c r="AM95" s="1">
        <f t="shared" si="39"/>
        <v>0</v>
      </c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143</v>
      </c>
      <c r="B96" s="1" t="s">
        <v>41</v>
      </c>
      <c r="C96" s="1"/>
      <c r="D96" s="1">
        <v>66</v>
      </c>
      <c r="E96" s="1">
        <v>12</v>
      </c>
      <c r="F96" s="1">
        <v>53</v>
      </c>
      <c r="G96" s="7">
        <v>0.3</v>
      </c>
      <c r="H96" s="1">
        <v>40</v>
      </c>
      <c r="I96" s="1" t="s">
        <v>37</v>
      </c>
      <c r="J96" s="1"/>
      <c r="K96" s="1">
        <v>12</v>
      </c>
      <c r="L96" s="1">
        <f t="shared" si="31"/>
        <v>0</v>
      </c>
      <c r="M96" s="1">
        <f t="shared" si="32"/>
        <v>12</v>
      </c>
      <c r="N96" s="1"/>
      <c r="O96" s="1"/>
      <c r="P96" s="1">
        <v>25.800000000000011</v>
      </c>
      <c r="Q96" s="1"/>
      <c r="R96" s="1">
        <f t="shared" si="33"/>
        <v>2.4</v>
      </c>
      <c r="S96" s="5"/>
      <c r="T96" s="5">
        <f t="shared" si="35"/>
        <v>0</v>
      </c>
      <c r="U96" s="5">
        <f t="shared" si="36"/>
        <v>0</v>
      </c>
      <c r="V96" s="5"/>
      <c r="W96" s="20"/>
      <c r="X96" s="20"/>
      <c r="Y96" s="1">
        <f t="shared" si="37"/>
        <v>32.833333333333343</v>
      </c>
      <c r="Z96" s="1">
        <f t="shared" si="34"/>
        <v>32.833333333333343</v>
      </c>
      <c r="AA96" s="1">
        <v>7.4</v>
      </c>
      <c r="AB96" s="1">
        <v>8</v>
      </c>
      <c r="AC96" s="1">
        <v>3.6</v>
      </c>
      <c r="AD96" s="1">
        <v>5.2</v>
      </c>
      <c r="AE96" s="1">
        <v>2.8</v>
      </c>
      <c r="AF96" s="1">
        <v>1</v>
      </c>
      <c r="AG96" s="1">
        <v>4</v>
      </c>
      <c r="AH96" s="1">
        <v>5</v>
      </c>
      <c r="AI96" s="1">
        <v>6.8</v>
      </c>
      <c r="AJ96" s="1">
        <v>6.4</v>
      </c>
      <c r="AK96" s="1"/>
      <c r="AL96" s="1">
        <f t="shared" si="38"/>
        <v>0</v>
      </c>
      <c r="AM96" s="1">
        <f t="shared" si="39"/>
        <v>0</v>
      </c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144</v>
      </c>
      <c r="B97" s="1" t="s">
        <v>41</v>
      </c>
      <c r="C97" s="1">
        <v>39</v>
      </c>
      <c r="D97" s="1">
        <v>50</v>
      </c>
      <c r="E97" s="1">
        <v>8</v>
      </c>
      <c r="F97" s="1">
        <v>50</v>
      </c>
      <c r="G97" s="7">
        <v>0.11</v>
      </c>
      <c r="H97" s="1">
        <v>30</v>
      </c>
      <c r="I97" s="1" t="s">
        <v>37</v>
      </c>
      <c r="J97" s="1"/>
      <c r="K97" s="1">
        <v>95</v>
      </c>
      <c r="L97" s="1">
        <f t="shared" si="31"/>
        <v>-87</v>
      </c>
      <c r="M97" s="1">
        <f t="shared" si="32"/>
        <v>8</v>
      </c>
      <c r="N97" s="1"/>
      <c r="O97" s="1"/>
      <c r="P97" s="1">
        <v>0</v>
      </c>
      <c r="Q97" s="1"/>
      <c r="R97" s="1">
        <f t="shared" si="33"/>
        <v>1.6</v>
      </c>
      <c r="S97" s="5"/>
      <c r="T97" s="5">
        <f t="shared" si="35"/>
        <v>0</v>
      </c>
      <c r="U97" s="5">
        <f t="shared" si="36"/>
        <v>0</v>
      </c>
      <c r="V97" s="5"/>
      <c r="W97" s="20"/>
      <c r="X97" s="20"/>
      <c r="Y97" s="1">
        <f t="shared" si="37"/>
        <v>31.25</v>
      </c>
      <c r="Z97" s="1">
        <f t="shared" si="34"/>
        <v>31.25</v>
      </c>
      <c r="AA97" s="1">
        <v>6</v>
      </c>
      <c r="AB97" s="1">
        <v>7.6</v>
      </c>
      <c r="AC97" s="1">
        <v>4.5999999999999996</v>
      </c>
      <c r="AD97" s="1">
        <v>0.6</v>
      </c>
      <c r="AE97" s="1">
        <v>-1.4</v>
      </c>
      <c r="AF97" s="1">
        <v>2.6</v>
      </c>
      <c r="AG97" s="1">
        <v>7.8</v>
      </c>
      <c r="AH97" s="1">
        <v>6.8</v>
      </c>
      <c r="AI97" s="1">
        <v>7.2</v>
      </c>
      <c r="AJ97" s="1">
        <v>32.6</v>
      </c>
      <c r="AK97" s="16" t="s">
        <v>190</v>
      </c>
      <c r="AL97" s="1">
        <f t="shared" si="38"/>
        <v>0</v>
      </c>
      <c r="AM97" s="1">
        <f t="shared" si="39"/>
        <v>0</v>
      </c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1" t="s">
        <v>145</v>
      </c>
      <c r="B98" s="11" t="s">
        <v>41</v>
      </c>
      <c r="C98" s="11"/>
      <c r="D98" s="11"/>
      <c r="E98" s="11"/>
      <c r="F98" s="11"/>
      <c r="G98" s="12">
        <v>0</v>
      </c>
      <c r="H98" s="11"/>
      <c r="I98" s="11" t="s">
        <v>37</v>
      </c>
      <c r="J98" s="11"/>
      <c r="K98" s="11"/>
      <c r="L98" s="11">
        <f t="shared" si="31"/>
        <v>0</v>
      </c>
      <c r="M98" s="11">
        <f t="shared" si="32"/>
        <v>0</v>
      </c>
      <c r="N98" s="11"/>
      <c r="O98" s="11"/>
      <c r="P98" s="11">
        <v>0</v>
      </c>
      <c r="Q98" s="11"/>
      <c r="R98" s="11">
        <f t="shared" si="33"/>
        <v>0</v>
      </c>
      <c r="S98" s="13"/>
      <c r="T98" s="5">
        <f t="shared" si="35"/>
        <v>0</v>
      </c>
      <c r="U98" s="5">
        <f t="shared" si="36"/>
        <v>0</v>
      </c>
      <c r="V98" s="5"/>
      <c r="W98" s="21"/>
      <c r="X98" s="20"/>
      <c r="Y98" s="1" t="e">
        <f t="shared" si="37"/>
        <v>#DIV/0!</v>
      </c>
      <c r="Z98" s="11" t="e">
        <f t="shared" si="34"/>
        <v>#DIV/0!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 t="s">
        <v>53</v>
      </c>
      <c r="AL98" s="1">
        <f t="shared" si="38"/>
        <v>0</v>
      </c>
      <c r="AM98" s="1">
        <f t="shared" si="39"/>
        <v>0</v>
      </c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146</v>
      </c>
      <c r="B99" s="1" t="s">
        <v>41</v>
      </c>
      <c r="C99" s="1">
        <v>163</v>
      </c>
      <c r="D99" s="1">
        <v>289</v>
      </c>
      <c r="E99" s="1">
        <v>219</v>
      </c>
      <c r="F99" s="1">
        <v>199</v>
      </c>
      <c r="G99" s="7">
        <v>0.08</v>
      </c>
      <c r="H99" s="1">
        <v>45</v>
      </c>
      <c r="I99" s="1" t="s">
        <v>37</v>
      </c>
      <c r="J99" s="1"/>
      <c r="K99" s="1">
        <v>270</v>
      </c>
      <c r="L99" s="1">
        <f t="shared" si="31"/>
        <v>-51</v>
      </c>
      <c r="M99" s="1">
        <f t="shared" si="32"/>
        <v>219</v>
      </c>
      <c r="N99" s="1"/>
      <c r="O99" s="1"/>
      <c r="P99" s="1">
        <v>0</v>
      </c>
      <c r="Q99" s="1"/>
      <c r="R99" s="1">
        <f t="shared" si="33"/>
        <v>43.8</v>
      </c>
      <c r="S99" s="5">
        <f t="shared" ref="S99:S102" si="45">11*R99-Q99-P99-O99-F99</f>
        <v>282.79999999999995</v>
      </c>
      <c r="T99" s="5">
        <f t="shared" si="35"/>
        <v>282.79999999999995</v>
      </c>
      <c r="U99" s="5">
        <f t="shared" si="36"/>
        <v>127.25999999999996</v>
      </c>
      <c r="V99" s="5">
        <f>T99*$V$1</f>
        <v>155.54</v>
      </c>
      <c r="W99" s="20"/>
      <c r="X99" s="20"/>
      <c r="Y99" s="1">
        <f t="shared" si="37"/>
        <v>11</v>
      </c>
      <c r="Z99" s="1">
        <f t="shared" si="34"/>
        <v>4.5433789954337902</v>
      </c>
      <c r="AA99" s="1">
        <v>26.4</v>
      </c>
      <c r="AB99" s="1">
        <v>34.200000000000003</v>
      </c>
      <c r="AC99" s="1">
        <v>38.200000000000003</v>
      </c>
      <c r="AD99" s="1">
        <v>45.4</v>
      </c>
      <c r="AE99" s="1">
        <v>48.4</v>
      </c>
      <c r="AF99" s="1">
        <v>35</v>
      </c>
      <c r="AG99" s="1">
        <v>32</v>
      </c>
      <c r="AH99" s="1">
        <v>39.200000000000003</v>
      </c>
      <c r="AI99" s="1">
        <v>39</v>
      </c>
      <c r="AJ99" s="1">
        <v>55</v>
      </c>
      <c r="AK99" s="1"/>
      <c r="AL99" s="1">
        <f t="shared" si="38"/>
        <v>10</v>
      </c>
      <c r="AM99" s="1">
        <f t="shared" si="39"/>
        <v>12</v>
      </c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147</v>
      </c>
      <c r="B100" s="1" t="s">
        <v>41</v>
      </c>
      <c r="C100" s="1">
        <v>371</v>
      </c>
      <c r="D100" s="1"/>
      <c r="E100" s="1">
        <v>-3</v>
      </c>
      <c r="F100" s="1">
        <v>19</v>
      </c>
      <c r="G100" s="7">
        <v>0.08</v>
      </c>
      <c r="H100" s="1">
        <v>45</v>
      </c>
      <c r="I100" s="1" t="s">
        <v>37</v>
      </c>
      <c r="J100" s="1"/>
      <c r="K100" s="1">
        <v>288</v>
      </c>
      <c r="L100" s="1">
        <f t="shared" si="31"/>
        <v>-291</v>
      </c>
      <c r="M100" s="1">
        <f t="shared" si="32"/>
        <v>-3</v>
      </c>
      <c r="N100" s="1"/>
      <c r="O100" s="1"/>
      <c r="P100" s="1">
        <v>43</v>
      </c>
      <c r="Q100" s="1"/>
      <c r="R100" s="1">
        <f t="shared" si="33"/>
        <v>-0.6</v>
      </c>
      <c r="S100" s="5">
        <v>150</v>
      </c>
      <c r="T100" s="5">
        <f t="shared" si="35"/>
        <v>150</v>
      </c>
      <c r="U100" s="5">
        <f t="shared" si="36"/>
        <v>150</v>
      </c>
      <c r="V100" s="5"/>
      <c r="W100" s="20"/>
      <c r="X100" s="20"/>
      <c r="Y100" s="1">
        <f t="shared" si="37"/>
        <v>-353.33333333333337</v>
      </c>
      <c r="Z100" s="1">
        <f t="shared" si="34"/>
        <v>-103.33333333333334</v>
      </c>
      <c r="AA100" s="1">
        <v>6.2</v>
      </c>
      <c r="AB100" s="1">
        <v>12.4</v>
      </c>
      <c r="AC100" s="1">
        <v>14</v>
      </c>
      <c r="AD100" s="1">
        <v>15.4</v>
      </c>
      <c r="AE100" s="1">
        <v>17.600000000000001</v>
      </c>
      <c r="AF100" s="1">
        <v>14.8</v>
      </c>
      <c r="AG100" s="1">
        <v>16</v>
      </c>
      <c r="AH100" s="1">
        <v>28</v>
      </c>
      <c r="AI100" s="1">
        <v>20.6</v>
      </c>
      <c r="AJ100" s="1">
        <v>41</v>
      </c>
      <c r="AK100" s="1" t="s">
        <v>148</v>
      </c>
      <c r="AL100" s="1">
        <f t="shared" si="38"/>
        <v>12</v>
      </c>
      <c r="AM100" s="1">
        <f t="shared" si="39"/>
        <v>0</v>
      </c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149</v>
      </c>
      <c r="B101" s="1" t="s">
        <v>41</v>
      </c>
      <c r="C101" s="1">
        <v>24</v>
      </c>
      <c r="D101" s="1">
        <v>16</v>
      </c>
      <c r="E101" s="1">
        <v>29</v>
      </c>
      <c r="F101" s="1">
        <v>2</v>
      </c>
      <c r="G101" s="7">
        <v>0.17</v>
      </c>
      <c r="H101" s="1">
        <v>30</v>
      </c>
      <c r="I101" s="1" t="s">
        <v>37</v>
      </c>
      <c r="J101" s="1"/>
      <c r="K101" s="1">
        <v>65</v>
      </c>
      <c r="L101" s="1">
        <f t="shared" si="31"/>
        <v>-36</v>
      </c>
      <c r="M101" s="1">
        <f t="shared" si="32"/>
        <v>29</v>
      </c>
      <c r="N101" s="1"/>
      <c r="O101" s="1"/>
      <c r="P101" s="1">
        <v>37.6</v>
      </c>
      <c r="Q101" s="1"/>
      <c r="R101" s="1">
        <f t="shared" si="33"/>
        <v>5.8</v>
      </c>
      <c r="S101" s="5">
        <f t="shared" si="45"/>
        <v>24.199999999999996</v>
      </c>
      <c r="T101" s="5">
        <f t="shared" si="35"/>
        <v>24.199999999999996</v>
      </c>
      <c r="U101" s="5">
        <f t="shared" si="36"/>
        <v>24.199999999999996</v>
      </c>
      <c r="V101" s="5"/>
      <c r="W101" s="20"/>
      <c r="X101" s="20"/>
      <c r="Y101" s="1">
        <f t="shared" si="37"/>
        <v>11</v>
      </c>
      <c r="Z101" s="1">
        <f t="shared" si="34"/>
        <v>6.8275862068965525</v>
      </c>
      <c r="AA101" s="1">
        <v>5.2</v>
      </c>
      <c r="AB101" s="1">
        <v>1.8</v>
      </c>
      <c r="AC101" s="1">
        <v>0.6</v>
      </c>
      <c r="AD101" s="1">
        <v>3.6</v>
      </c>
      <c r="AE101" s="1">
        <v>3.8</v>
      </c>
      <c r="AF101" s="1">
        <v>3</v>
      </c>
      <c r="AG101" s="1">
        <v>3.8</v>
      </c>
      <c r="AH101" s="1">
        <v>6.8</v>
      </c>
      <c r="AI101" s="1">
        <v>8.1999999999999993</v>
      </c>
      <c r="AJ101" s="1">
        <v>27.8</v>
      </c>
      <c r="AK101" s="1" t="s">
        <v>150</v>
      </c>
      <c r="AL101" s="1">
        <f t="shared" si="38"/>
        <v>4</v>
      </c>
      <c r="AM101" s="1">
        <f t="shared" si="39"/>
        <v>0</v>
      </c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151</v>
      </c>
      <c r="B102" s="1" t="s">
        <v>36</v>
      </c>
      <c r="C102" s="1">
        <v>342.66199999999998</v>
      </c>
      <c r="D102" s="1">
        <v>1062.4639999999999</v>
      </c>
      <c r="E102" s="1">
        <v>581.97199999999998</v>
      </c>
      <c r="F102" s="1">
        <v>763.327</v>
      </c>
      <c r="G102" s="7">
        <v>1</v>
      </c>
      <c r="H102" s="1">
        <v>40</v>
      </c>
      <c r="I102" s="1" t="s">
        <v>37</v>
      </c>
      <c r="J102" s="1"/>
      <c r="K102" s="1">
        <v>608.61599999999999</v>
      </c>
      <c r="L102" s="1">
        <f t="shared" ref="L102:L131" si="46">E102-K102</f>
        <v>-26.644000000000005</v>
      </c>
      <c r="M102" s="1">
        <f t="shared" ref="M102:M131" si="47">E102-N102</f>
        <v>571.08600000000001</v>
      </c>
      <c r="N102" s="1">
        <v>10.885999999999999</v>
      </c>
      <c r="O102" s="1"/>
      <c r="P102" s="1">
        <v>0</v>
      </c>
      <c r="Q102" s="1"/>
      <c r="R102" s="1">
        <f t="shared" ref="R102:R131" si="48">M102/5</f>
        <v>114.21720000000001</v>
      </c>
      <c r="S102" s="5">
        <f t="shared" si="45"/>
        <v>493.06220000000008</v>
      </c>
      <c r="T102" s="5">
        <f>S102+R102*$T$1</f>
        <v>659.36244320000014</v>
      </c>
      <c r="U102" s="5">
        <f t="shared" si="36"/>
        <v>296.71309944000001</v>
      </c>
      <c r="V102" s="5">
        <f>T102*$V$1</f>
        <v>362.64934376000014</v>
      </c>
      <c r="W102" s="20"/>
      <c r="X102" s="20"/>
      <c r="Y102" s="1">
        <f t="shared" si="37"/>
        <v>12.456000000000001</v>
      </c>
      <c r="Z102" s="1">
        <f t="shared" ref="Z102:Z131" si="49">(F102+O102+P102+Q102)/R102</f>
        <v>6.6831177791085752</v>
      </c>
      <c r="AA102" s="1">
        <v>55.190399999999997</v>
      </c>
      <c r="AB102" s="1">
        <v>44.7194</v>
      </c>
      <c r="AC102" s="1">
        <v>81.321200000000005</v>
      </c>
      <c r="AD102" s="1">
        <v>140.46619999999999</v>
      </c>
      <c r="AE102" s="1">
        <v>122.33920000000001</v>
      </c>
      <c r="AF102" s="1">
        <v>36.664200000000001</v>
      </c>
      <c r="AG102" s="1">
        <v>-0.30680000000000002</v>
      </c>
      <c r="AH102" s="1">
        <v>14.638999999999999</v>
      </c>
      <c r="AI102" s="1">
        <v>60.017800000000001</v>
      </c>
      <c r="AJ102" s="1">
        <v>53.826599999999999</v>
      </c>
      <c r="AK102" s="1"/>
      <c r="AL102" s="1">
        <f t="shared" si="38"/>
        <v>297</v>
      </c>
      <c r="AM102" s="1">
        <f t="shared" si="39"/>
        <v>363</v>
      </c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152</v>
      </c>
      <c r="B103" s="1" t="s">
        <v>36</v>
      </c>
      <c r="C103" s="1">
        <v>112.986</v>
      </c>
      <c r="D103" s="1">
        <v>548.73699999999997</v>
      </c>
      <c r="E103" s="1">
        <v>193.785</v>
      </c>
      <c r="F103" s="1">
        <v>316.54500000000002</v>
      </c>
      <c r="G103" s="7">
        <v>1</v>
      </c>
      <c r="H103" s="1">
        <v>40</v>
      </c>
      <c r="I103" s="1" t="s">
        <v>37</v>
      </c>
      <c r="J103" s="1"/>
      <c r="K103" s="1">
        <v>223.37100000000001</v>
      </c>
      <c r="L103" s="1">
        <f t="shared" si="46"/>
        <v>-29.586000000000013</v>
      </c>
      <c r="M103" s="1">
        <f t="shared" si="47"/>
        <v>128.714</v>
      </c>
      <c r="N103" s="1">
        <v>65.070999999999998</v>
      </c>
      <c r="O103" s="1">
        <v>58.354689253249973</v>
      </c>
      <c r="P103" s="1">
        <v>200</v>
      </c>
      <c r="Q103" s="1"/>
      <c r="R103" s="1">
        <f t="shared" si="48"/>
        <v>25.742799999999999</v>
      </c>
      <c r="S103" s="5"/>
      <c r="T103" s="5">
        <f t="shared" si="35"/>
        <v>0</v>
      </c>
      <c r="U103" s="5">
        <f t="shared" si="36"/>
        <v>0</v>
      </c>
      <c r="V103" s="5"/>
      <c r="W103" s="20"/>
      <c r="X103" s="20"/>
      <c r="Y103" s="1">
        <f t="shared" si="37"/>
        <v>22.332445936465732</v>
      </c>
      <c r="Z103" s="1">
        <f t="shared" si="49"/>
        <v>22.332445936465732</v>
      </c>
      <c r="AA103" s="1">
        <v>44.204400000000007</v>
      </c>
      <c r="AB103" s="1">
        <v>52.025399999999998</v>
      </c>
      <c r="AC103" s="1">
        <v>36.369199999999999</v>
      </c>
      <c r="AD103" s="1">
        <v>70.575400000000002</v>
      </c>
      <c r="AE103" s="1">
        <v>46.1312</v>
      </c>
      <c r="AF103" s="1">
        <v>3.4698000000000002</v>
      </c>
      <c r="AG103" s="1">
        <v>-0.16420000000000001</v>
      </c>
      <c r="AH103" s="1">
        <v>-0.16420000000000001</v>
      </c>
      <c r="AI103" s="1">
        <v>30.249199999999998</v>
      </c>
      <c r="AJ103" s="1">
        <v>33.227200000000003</v>
      </c>
      <c r="AK103" s="1"/>
      <c r="AL103" s="1">
        <f t="shared" si="38"/>
        <v>0</v>
      </c>
      <c r="AM103" s="1">
        <f t="shared" si="39"/>
        <v>0</v>
      </c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36</v>
      </c>
      <c r="C104" s="1">
        <v>2.1160000000000001</v>
      </c>
      <c r="D104" s="1">
        <v>28.096</v>
      </c>
      <c r="E104" s="1">
        <v>9.8330000000000002</v>
      </c>
      <c r="F104" s="1">
        <v>20.379000000000001</v>
      </c>
      <c r="G104" s="7">
        <v>1</v>
      </c>
      <c r="H104" s="1">
        <v>40</v>
      </c>
      <c r="I104" s="9" t="s">
        <v>47</v>
      </c>
      <c r="J104" s="1"/>
      <c r="K104" s="1">
        <v>45.707000000000001</v>
      </c>
      <c r="L104" s="1">
        <f t="shared" si="46"/>
        <v>-35.874000000000002</v>
      </c>
      <c r="M104" s="1">
        <f t="shared" si="47"/>
        <v>9.8330000000000002</v>
      </c>
      <c r="N104" s="1"/>
      <c r="O104" s="1"/>
      <c r="P104" s="1">
        <v>0</v>
      </c>
      <c r="Q104" s="1"/>
      <c r="R104" s="1">
        <f t="shared" si="48"/>
        <v>1.9666000000000001</v>
      </c>
      <c r="S104" s="5">
        <v>40</v>
      </c>
      <c r="T104" s="5">
        <f t="shared" si="35"/>
        <v>40</v>
      </c>
      <c r="U104" s="5">
        <f t="shared" si="36"/>
        <v>40</v>
      </c>
      <c r="V104" s="5"/>
      <c r="W104" s="20"/>
      <c r="X104" s="20"/>
      <c r="Y104" s="1">
        <f t="shared" si="37"/>
        <v>30.702227194142175</v>
      </c>
      <c r="Z104" s="1">
        <f t="shared" si="49"/>
        <v>10.362554662869927</v>
      </c>
      <c r="AA104" s="1">
        <v>6.0488</v>
      </c>
      <c r="AB104" s="1">
        <v>10.1808</v>
      </c>
      <c r="AC104" s="1">
        <v>3.8502000000000001</v>
      </c>
      <c r="AD104" s="1">
        <v>-0.42520000000000002</v>
      </c>
      <c r="AE104" s="1">
        <v>-0.1434</v>
      </c>
      <c r="AF104" s="1">
        <v>0</v>
      </c>
      <c r="AG104" s="1">
        <v>0</v>
      </c>
      <c r="AH104" s="1">
        <v>-0.1414</v>
      </c>
      <c r="AI104" s="1">
        <v>-0.28460000000000002</v>
      </c>
      <c r="AJ104" s="1">
        <v>-0.14319999999999999</v>
      </c>
      <c r="AK104" s="1"/>
      <c r="AL104" s="1">
        <f t="shared" si="38"/>
        <v>40</v>
      </c>
      <c r="AM104" s="1">
        <f t="shared" si="39"/>
        <v>0</v>
      </c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154</v>
      </c>
      <c r="B105" s="1" t="s">
        <v>41</v>
      </c>
      <c r="C105" s="1">
        <v>6</v>
      </c>
      <c r="D105" s="1"/>
      <c r="E105" s="1">
        <v>6</v>
      </c>
      <c r="F105" s="1"/>
      <c r="G105" s="7">
        <v>0.3</v>
      </c>
      <c r="H105" s="1">
        <v>45</v>
      </c>
      <c r="I105" s="1" t="s">
        <v>37</v>
      </c>
      <c r="J105" s="1"/>
      <c r="K105" s="1">
        <v>48</v>
      </c>
      <c r="L105" s="1">
        <f t="shared" si="46"/>
        <v>-42</v>
      </c>
      <c r="M105" s="1">
        <f t="shared" si="47"/>
        <v>6</v>
      </c>
      <c r="N105" s="1"/>
      <c r="O105" s="1"/>
      <c r="P105" s="1">
        <v>0</v>
      </c>
      <c r="Q105" s="1"/>
      <c r="R105" s="1">
        <f t="shared" si="48"/>
        <v>1.2</v>
      </c>
      <c r="S105" s="19">
        <v>0</v>
      </c>
      <c r="T105" s="5">
        <f t="shared" si="35"/>
        <v>0</v>
      </c>
      <c r="U105" s="5">
        <f t="shared" si="36"/>
        <v>0</v>
      </c>
      <c r="V105" s="5"/>
      <c r="W105" s="22"/>
      <c r="X105" s="20"/>
      <c r="Y105" s="1">
        <f t="shared" si="37"/>
        <v>0</v>
      </c>
      <c r="Z105" s="1">
        <f t="shared" si="49"/>
        <v>0</v>
      </c>
      <c r="AA105" s="1">
        <v>5.6</v>
      </c>
      <c r="AB105" s="1">
        <v>6.8</v>
      </c>
      <c r="AC105" s="1">
        <v>5.2</v>
      </c>
      <c r="AD105" s="1">
        <v>6.4</v>
      </c>
      <c r="AE105" s="1">
        <v>7.4</v>
      </c>
      <c r="AF105" s="1">
        <v>11</v>
      </c>
      <c r="AG105" s="1">
        <v>7.2</v>
      </c>
      <c r="AH105" s="1">
        <v>0</v>
      </c>
      <c r="AI105" s="1">
        <v>4.8</v>
      </c>
      <c r="AJ105" s="1">
        <v>11.4</v>
      </c>
      <c r="AK105" s="10" t="s">
        <v>155</v>
      </c>
      <c r="AL105" s="1">
        <f t="shared" si="38"/>
        <v>0</v>
      </c>
      <c r="AM105" s="1">
        <f t="shared" si="39"/>
        <v>0</v>
      </c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1" t="s">
        <v>156</v>
      </c>
      <c r="B106" s="11" t="s">
        <v>36</v>
      </c>
      <c r="C106" s="11">
        <v>20.515000000000001</v>
      </c>
      <c r="D106" s="11">
        <v>1.3320000000000001</v>
      </c>
      <c r="E106" s="11">
        <v>1.3180000000000001</v>
      </c>
      <c r="F106" s="11">
        <v>19.196999999999999</v>
      </c>
      <c r="G106" s="12">
        <v>0</v>
      </c>
      <c r="H106" s="11">
        <v>55</v>
      </c>
      <c r="I106" s="11" t="s">
        <v>113</v>
      </c>
      <c r="J106" s="11"/>
      <c r="K106" s="11">
        <v>2.75</v>
      </c>
      <c r="L106" s="11">
        <f t="shared" si="46"/>
        <v>-1.4319999999999999</v>
      </c>
      <c r="M106" s="11">
        <f t="shared" si="47"/>
        <v>1.3180000000000001</v>
      </c>
      <c r="N106" s="11"/>
      <c r="O106" s="11"/>
      <c r="P106" s="11">
        <v>0</v>
      </c>
      <c r="Q106" s="11"/>
      <c r="R106" s="11">
        <f t="shared" si="48"/>
        <v>0.2636</v>
      </c>
      <c r="S106" s="13"/>
      <c r="T106" s="5">
        <f t="shared" si="35"/>
        <v>0</v>
      </c>
      <c r="U106" s="5">
        <f t="shared" si="36"/>
        <v>0</v>
      </c>
      <c r="V106" s="5"/>
      <c r="W106" s="21"/>
      <c r="X106" s="20"/>
      <c r="Y106" s="1">
        <f t="shared" si="37"/>
        <v>72.826251896813346</v>
      </c>
      <c r="Z106" s="11">
        <f t="shared" si="49"/>
        <v>72.826251896813346</v>
      </c>
      <c r="AA106" s="11">
        <v>0.2772</v>
      </c>
      <c r="AB106" s="11">
        <v>0.55079999999999996</v>
      </c>
      <c r="AC106" s="11">
        <v>0.2036</v>
      </c>
      <c r="AD106" s="11">
        <v>0.76459999999999995</v>
      </c>
      <c r="AE106" s="11">
        <v>1.1026</v>
      </c>
      <c r="AF106" s="11">
        <v>0.53499999999999992</v>
      </c>
      <c r="AG106" s="11">
        <v>0.53220000000000001</v>
      </c>
      <c r="AH106" s="11">
        <v>0.53420000000000001</v>
      </c>
      <c r="AI106" s="11">
        <v>0.81699999999999995</v>
      </c>
      <c r="AJ106" s="11">
        <v>0.54800000000000004</v>
      </c>
      <c r="AK106" s="11"/>
      <c r="AL106" s="1">
        <f t="shared" si="38"/>
        <v>0</v>
      </c>
      <c r="AM106" s="1">
        <f t="shared" si="39"/>
        <v>0</v>
      </c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157</v>
      </c>
      <c r="B107" s="1" t="s">
        <v>41</v>
      </c>
      <c r="C107" s="1">
        <v>43</v>
      </c>
      <c r="D107" s="1">
        <v>824</v>
      </c>
      <c r="E107" s="1">
        <v>210</v>
      </c>
      <c r="F107" s="1">
        <v>609</v>
      </c>
      <c r="G107" s="7">
        <v>0.28000000000000003</v>
      </c>
      <c r="H107" s="1">
        <v>40</v>
      </c>
      <c r="I107" s="9" t="s">
        <v>47</v>
      </c>
      <c r="J107" s="1"/>
      <c r="K107" s="1">
        <v>390</v>
      </c>
      <c r="L107" s="1">
        <f t="shared" si="46"/>
        <v>-180</v>
      </c>
      <c r="M107" s="1">
        <f t="shared" si="47"/>
        <v>210</v>
      </c>
      <c r="N107" s="1"/>
      <c r="O107" s="1"/>
      <c r="P107" s="1">
        <v>0</v>
      </c>
      <c r="Q107" s="1"/>
      <c r="R107" s="1">
        <f t="shared" si="48"/>
        <v>42</v>
      </c>
      <c r="S107" s="5"/>
      <c r="T107" s="5">
        <f t="shared" si="35"/>
        <v>0</v>
      </c>
      <c r="U107" s="5">
        <f t="shared" si="36"/>
        <v>0</v>
      </c>
      <c r="V107" s="5"/>
      <c r="W107" s="20"/>
      <c r="X107" s="20"/>
      <c r="Y107" s="1">
        <f t="shared" si="37"/>
        <v>14.5</v>
      </c>
      <c r="Z107" s="1">
        <f t="shared" si="49"/>
        <v>14.5</v>
      </c>
      <c r="AA107" s="1">
        <v>52.4</v>
      </c>
      <c r="AB107" s="1">
        <v>86.8</v>
      </c>
      <c r="AC107" s="1">
        <v>99</v>
      </c>
      <c r="AD107" s="1">
        <v>113</v>
      </c>
      <c r="AE107" s="1">
        <v>60.6</v>
      </c>
      <c r="AF107" s="1">
        <v>12.2</v>
      </c>
      <c r="AG107" s="1">
        <v>82.2</v>
      </c>
      <c r="AH107" s="1">
        <v>143.4</v>
      </c>
      <c r="AI107" s="1">
        <v>118.6</v>
      </c>
      <c r="AJ107" s="1">
        <v>92.6</v>
      </c>
      <c r="AK107" s="1"/>
      <c r="AL107" s="1">
        <f t="shared" si="38"/>
        <v>0</v>
      </c>
      <c r="AM107" s="1">
        <f t="shared" si="39"/>
        <v>0</v>
      </c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158</v>
      </c>
      <c r="B108" s="1" t="s">
        <v>41</v>
      </c>
      <c r="C108" s="1">
        <v>24</v>
      </c>
      <c r="D108" s="1">
        <v>1509</v>
      </c>
      <c r="E108" s="1">
        <v>115</v>
      </c>
      <c r="F108" s="1">
        <v>1395</v>
      </c>
      <c r="G108" s="7">
        <v>0.28000000000000003</v>
      </c>
      <c r="H108" s="1">
        <v>40</v>
      </c>
      <c r="I108" s="9" t="s">
        <v>47</v>
      </c>
      <c r="J108" s="1"/>
      <c r="K108" s="1">
        <v>479</v>
      </c>
      <c r="L108" s="1">
        <f t="shared" si="46"/>
        <v>-364</v>
      </c>
      <c r="M108" s="1">
        <f t="shared" si="47"/>
        <v>115</v>
      </c>
      <c r="N108" s="1"/>
      <c r="O108" s="1"/>
      <c r="P108" s="1">
        <v>0</v>
      </c>
      <c r="Q108" s="1"/>
      <c r="R108" s="1">
        <f t="shared" si="48"/>
        <v>23</v>
      </c>
      <c r="S108" s="5"/>
      <c r="T108" s="5">
        <f t="shared" si="35"/>
        <v>0</v>
      </c>
      <c r="U108" s="5">
        <f t="shared" si="36"/>
        <v>0</v>
      </c>
      <c r="V108" s="5"/>
      <c r="W108" s="20"/>
      <c r="X108" s="20"/>
      <c r="Y108" s="1">
        <f t="shared" si="37"/>
        <v>60.652173913043477</v>
      </c>
      <c r="Z108" s="1">
        <f t="shared" si="49"/>
        <v>60.652173913043477</v>
      </c>
      <c r="AA108" s="1">
        <v>55.4</v>
      </c>
      <c r="AB108" s="1">
        <v>113</v>
      </c>
      <c r="AC108" s="1">
        <v>132.4</v>
      </c>
      <c r="AD108" s="1">
        <v>118.2</v>
      </c>
      <c r="AE108" s="1">
        <v>51</v>
      </c>
      <c r="AF108" s="1">
        <v>21.4</v>
      </c>
      <c r="AG108" s="1">
        <v>76.400000000000006</v>
      </c>
      <c r="AH108" s="1">
        <v>94.2</v>
      </c>
      <c r="AI108" s="1">
        <v>49</v>
      </c>
      <c r="AJ108" s="1">
        <v>21.2</v>
      </c>
      <c r="AK108" s="1"/>
      <c r="AL108" s="1">
        <f t="shared" si="38"/>
        <v>0</v>
      </c>
      <c r="AM108" s="1">
        <f t="shared" si="39"/>
        <v>0</v>
      </c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159</v>
      </c>
      <c r="B109" s="1" t="s">
        <v>41</v>
      </c>
      <c r="C109" s="1">
        <v>188</v>
      </c>
      <c r="D109" s="1">
        <v>980</v>
      </c>
      <c r="E109" s="1">
        <v>493</v>
      </c>
      <c r="F109" s="1">
        <v>616</v>
      </c>
      <c r="G109" s="7">
        <v>0.28000000000000003</v>
      </c>
      <c r="H109" s="1">
        <v>40</v>
      </c>
      <c r="I109" s="9" t="s">
        <v>47</v>
      </c>
      <c r="J109" s="1"/>
      <c r="K109" s="1">
        <v>625</v>
      </c>
      <c r="L109" s="1">
        <f t="shared" si="46"/>
        <v>-132</v>
      </c>
      <c r="M109" s="1">
        <f t="shared" si="47"/>
        <v>493</v>
      </c>
      <c r="N109" s="1"/>
      <c r="O109" s="1"/>
      <c r="P109" s="1">
        <v>0</v>
      </c>
      <c r="Q109" s="1"/>
      <c r="R109" s="1">
        <f t="shared" si="48"/>
        <v>98.6</v>
      </c>
      <c r="S109" s="5">
        <f t="shared" ref="S109:S118" si="50">11*R109-Q109-P109-O109-F109</f>
        <v>468.59999999999991</v>
      </c>
      <c r="T109" s="5">
        <f t="shared" si="35"/>
        <v>468.59999999999991</v>
      </c>
      <c r="U109" s="5">
        <f t="shared" si="36"/>
        <v>210.86999999999995</v>
      </c>
      <c r="V109" s="5">
        <f>T109*$V$1</f>
        <v>257.72999999999996</v>
      </c>
      <c r="W109" s="20"/>
      <c r="X109" s="20"/>
      <c r="Y109" s="1">
        <f t="shared" si="37"/>
        <v>11</v>
      </c>
      <c r="Z109" s="1">
        <f t="shared" si="49"/>
        <v>6.2474645030425968</v>
      </c>
      <c r="AA109" s="1">
        <v>60.6</v>
      </c>
      <c r="AB109" s="1">
        <v>47.8</v>
      </c>
      <c r="AC109" s="1">
        <v>67</v>
      </c>
      <c r="AD109" s="1">
        <v>117.6</v>
      </c>
      <c r="AE109" s="1">
        <v>82.2</v>
      </c>
      <c r="AF109" s="1">
        <v>13.6</v>
      </c>
      <c r="AG109" s="1">
        <v>8.8000000000000007</v>
      </c>
      <c r="AH109" s="1">
        <v>71</v>
      </c>
      <c r="AI109" s="1">
        <v>136.4</v>
      </c>
      <c r="AJ109" s="1">
        <v>115</v>
      </c>
      <c r="AK109" s="1"/>
      <c r="AL109" s="1">
        <f t="shared" si="38"/>
        <v>59</v>
      </c>
      <c r="AM109" s="1">
        <f t="shared" si="39"/>
        <v>72</v>
      </c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160</v>
      </c>
      <c r="B110" s="1" t="s">
        <v>41</v>
      </c>
      <c r="C110" s="1">
        <v>255</v>
      </c>
      <c r="D110" s="1">
        <v>58</v>
      </c>
      <c r="E110" s="1">
        <v>87</v>
      </c>
      <c r="F110" s="1">
        <v>4</v>
      </c>
      <c r="G110" s="7">
        <v>0.09</v>
      </c>
      <c r="H110" s="1">
        <v>45</v>
      </c>
      <c r="I110" s="1" t="s">
        <v>37</v>
      </c>
      <c r="J110" s="1"/>
      <c r="K110" s="1">
        <v>477</v>
      </c>
      <c r="L110" s="1">
        <f t="shared" si="46"/>
        <v>-390</v>
      </c>
      <c r="M110" s="1">
        <f t="shared" si="47"/>
        <v>87</v>
      </c>
      <c r="N110" s="1"/>
      <c r="O110" s="1"/>
      <c r="P110" s="1">
        <v>177.8</v>
      </c>
      <c r="Q110" s="1"/>
      <c r="R110" s="1">
        <f t="shared" si="48"/>
        <v>17.399999999999999</v>
      </c>
      <c r="S110" s="5">
        <f t="shared" si="50"/>
        <v>9.5999999999999659</v>
      </c>
      <c r="T110" s="5">
        <f>W110</f>
        <v>100</v>
      </c>
      <c r="U110" s="5">
        <f t="shared" si="36"/>
        <v>100</v>
      </c>
      <c r="V110" s="5"/>
      <c r="W110" s="20">
        <v>100</v>
      </c>
      <c r="X110" s="20" t="str">
        <f>VLOOKUP(A110,[1]Лист1!$A:$B,2,0)</f>
        <v>до 100 шт</v>
      </c>
      <c r="Y110" s="1">
        <f t="shared" si="37"/>
        <v>16.195402298850578</v>
      </c>
      <c r="Z110" s="1">
        <f t="shared" si="49"/>
        <v>10.448275862068966</v>
      </c>
      <c r="AA110" s="1">
        <v>25.4</v>
      </c>
      <c r="AB110" s="1">
        <v>13</v>
      </c>
      <c r="AC110" s="1">
        <v>22.6</v>
      </c>
      <c r="AD110" s="1">
        <v>25.2</v>
      </c>
      <c r="AE110" s="1">
        <v>33.799999999999997</v>
      </c>
      <c r="AF110" s="1">
        <v>28.6</v>
      </c>
      <c r="AG110" s="1">
        <v>12.2</v>
      </c>
      <c r="AH110" s="1">
        <v>14</v>
      </c>
      <c r="AI110" s="1">
        <v>15</v>
      </c>
      <c r="AJ110" s="1">
        <v>37.200000000000003</v>
      </c>
      <c r="AK110" s="1" t="s">
        <v>161</v>
      </c>
      <c r="AL110" s="1">
        <f t="shared" si="38"/>
        <v>9</v>
      </c>
      <c r="AM110" s="1">
        <f t="shared" si="39"/>
        <v>0</v>
      </c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 t="s">
        <v>162</v>
      </c>
      <c r="B111" s="1" t="s">
        <v>36</v>
      </c>
      <c r="C111" s="1">
        <v>54.656999999999996</v>
      </c>
      <c r="D111" s="1">
        <v>14.952999999999999</v>
      </c>
      <c r="E111" s="1">
        <v>12.409000000000001</v>
      </c>
      <c r="F111" s="1">
        <v>39.731999999999999</v>
      </c>
      <c r="G111" s="7">
        <v>1</v>
      </c>
      <c r="H111" s="1">
        <v>60</v>
      </c>
      <c r="I111" s="1" t="s">
        <v>37</v>
      </c>
      <c r="J111" s="1"/>
      <c r="K111" s="1">
        <v>27.5</v>
      </c>
      <c r="L111" s="1">
        <f t="shared" si="46"/>
        <v>-15.090999999999999</v>
      </c>
      <c r="M111" s="1">
        <f t="shared" si="47"/>
        <v>12.409000000000001</v>
      </c>
      <c r="N111" s="1"/>
      <c r="O111" s="1"/>
      <c r="P111" s="1">
        <v>4.4276000000000053</v>
      </c>
      <c r="Q111" s="1"/>
      <c r="R111" s="1">
        <f t="shared" si="48"/>
        <v>2.4818000000000002</v>
      </c>
      <c r="S111" s="5"/>
      <c r="T111" s="5">
        <f t="shared" si="35"/>
        <v>0</v>
      </c>
      <c r="U111" s="5">
        <f t="shared" si="36"/>
        <v>0</v>
      </c>
      <c r="V111" s="5"/>
      <c r="W111" s="20"/>
      <c r="X111" s="20"/>
      <c r="Y111" s="1">
        <f t="shared" si="37"/>
        <v>17.793375775646709</v>
      </c>
      <c r="Z111" s="1">
        <f t="shared" si="49"/>
        <v>17.793375775646709</v>
      </c>
      <c r="AA111" s="1">
        <v>3.4698000000000002</v>
      </c>
      <c r="AB111" s="1">
        <v>4.4640000000000004</v>
      </c>
      <c r="AC111" s="1">
        <v>3.5026000000000002</v>
      </c>
      <c r="AD111" s="1">
        <v>5.0207999999999986</v>
      </c>
      <c r="AE111" s="1">
        <v>6.0305999999999997</v>
      </c>
      <c r="AF111" s="1">
        <v>4.5142000000000007</v>
      </c>
      <c r="AG111" s="1">
        <v>4.4657999999999998</v>
      </c>
      <c r="AH111" s="1">
        <v>6.38</v>
      </c>
      <c r="AI111" s="1">
        <v>5.8250000000000002</v>
      </c>
      <c r="AJ111" s="1">
        <v>4.3907999999999996</v>
      </c>
      <c r="AK111" s="16" t="s">
        <v>187</v>
      </c>
      <c r="AL111" s="1">
        <f t="shared" si="38"/>
        <v>0</v>
      </c>
      <c r="AM111" s="1">
        <f t="shared" si="39"/>
        <v>0</v>
      </c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 t="s">
        <v>163</v>
      </c>
      <c r="B112" s="1" t="s">
        <v>36</v>
      </c>
      <c r="C112" s="1">
        <v>148.465</v>
      </c>
      <c r="D112" s="1"/>
      <c r="E112" s="1">
        <v>14.973000000000001</v>
      </c>
      <c r="F112" s="1">
        <v>133.49199999999999</v>
      </c>
      <c r="G112" s="7">
        <v>1</v>
      </c>
      <c r="H112" s="1">
        <v>50</v>
      </c>
      <c r="I112" s="1" t="s">
        <v>37</v>
      </c>
      <c r="J112" s="1"/>
      <c r="K112" s="1">
        <v>15</v>
      </c>
      <c r="L112" s="1">
        <f t="shared" si="46"/>
        <v>-2.6999999999999247E-2</v>
      </c>
      <c r="M112" s="1">
        <f t="shared" si="47"/>
        <v>14.973000000000001</v>
      </c>
      <c r="N112" s="1"/>
      <c r="O112" s="1"/>
      <c r="P112" s="1">
        <v>0</v>
      </c>
      <c r="Q112" s="1"/>
      <c r="R112" s="1">
        <f t="shared" si="48"/>
        <v>2.9946000000000002</v>
      </c>
      <c r="S112" s="5"/>
      <c r="T112" s="5">
        <f t="shared" si="35"/>
        <v>0</v>
      </c>
      <c r="U112" s="5">
        <f t="shared" si="36"/>
        <v>0</v>
      </c>
      <c r="V112" s="5"/>
      <c r="W112" s="20"/>
      <c r="X112" s="20"/>
      <c r="Y112" s="1">
        <f t="shared" si="37"/>
        <v>44.577572964669734</v>
      </c>
      <c r="Z112" s="1">
        <f t="shared" si="49"/>
        <v>44.577572964669734</v>
      </c>
      <c r="AA112" s="1">
        <v>2.347</v>
      </c>
      <c r="AB112" s="1">
        <v>2.84</v>
      </c>
      <c r="AC112" s="1">
        <v>4.484</v>
      </c>
      <c r="AD112" s="1">
        <v>6.9774000000000003</v>
      </c>
      <c r="AE112" s="1">
        <v>14.524800000000001</v>
      </c>
      <c r="AF112" s="1">
        <v>11.554</v>
      </c>
      <c r="AG112" s="1">
        <v>3.5186000000000002</v>
      </c>
      <c r="AH112" s="1">
        <v>2.0089999999999999</v>
      </c>
      <c r="AI112" s="1">
        <v>1.9832000000000001</v>
      </c>
      <c r="AJ112" s="1">
        <v>2.9632000000000001</v>
      </c>
      <c r="AK112" s="18" t="s">
        <v>63</v>
      </c>
      <c r="AL112" s="1">
        <f t="shared" si="38"/>
        <v>0</v>
      </c>
      <c r="AM112" s="1">
        <f t="shared" si="39"/>
        <v>0</v>
      </c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164</v>
      </c>
      <c r="B113" s="1" t="s">
        <v>41</v>
      </c>
      <c r="C113" s="1">
        <v>228</v>
      </c>
      <c r="D113" s="1">
        <v>16</v>
      </c>
      <c r="E113" s="1">
        <v>12</v>
      </c>
      <c r="F113" s="1">
        <v>3</v>
      </c>
      <c r="G113" s="7">
        <v>0.09</v>
      </c>
      <c r="H113" s="1">
        <v>45</v>
      </c>
      <c r="I113" s="1" t="s">
        <v>37</v>
      </c>
      <c r="J113" s="1"/>
      <c r="K113" s="1">
        <v>111</v>
      </c>
      <c r="L113" s="1">
        <f t="shared" si="46"/>
        <v>-99</v>
      </c>
      <c r="M113" s="1">
        <f t="shared" si="47"/>
        <v>12</v>
      </c>
      <c r="N113" s="1"/>
      <c r="O113" s="1"/>
      <c r="P113" s="1">
        <v>45.8</v>
      </c>
      <c r="Q113" s="1"/>
      <c r="R113" s="1">
        <f t="shared" si="48"/>
        <v>2.4</v>
      </c>
      <c r="S113" s="5"/>
      <c r="T113" s="5">
        <f t="shared" si="35"/>
        <v>0</v>
      </c>
      <c r="U113" s="5">
        <f t="shared" si="36"/>
        <v>0</v>
      </c>
      <c r="V113" s="5"/>
      <c r="W113" s="20"/>
      <c r="X113" s="20"/>
      <c r="Y113" s="1">
        <f t="shared" si="37"/>
        <v>20.333333333333332</v>
      </c>
      <c r="Z113" s="1">
        <f t="shared" si="49"/>
        <v>20.333333333333332</v>
      </c>
      <c r="AA113" s="1">
        <v>6.4</v>
      </c>
      <c r="AB113" s="1">
        <v>8.1999999999999993</v>
      </c>
      <c r="AC113" s="1">
        <v>13.8</v>
      </c>
      <c r="AD113" s="1">
        <v>14.6</v>
      </c>
      <c r="AE113" s="1">
        <v>17.600000000000001</v>
      </c>
      <c r="AF113" s="1">
        <v>14.2</v>
      </c>
      <c r="AG113" s="1">
        <v>12.6</v>
      </c>
      <c r="AH113" s="1">
        <v>15</v>
      </c>
      <c r="AI113" s="1">
        <v>7.8</v>
      </c>
      <c r="AJ113" s="1">
        <v>30</v>
      </c>
      <c r="AK113" s="17" t="s">
        <v>191</v>
      </c>
      <c r="AL113" s="1">
        <f t="shared" si="38"/>
        <v>0</v>
      </c>
      <c r="AM113" s="1">
        <f t="shared" si="39"/>
        <v>0</v>
      </c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165</v>
      </c>
      <c r="B114" s="1" t="s">
        <v>41</v>
      </c>
      <c r="C114" s="1">
        <v>154</v>
      </c>
      <c r="D114" s="1">
        <v>47</v>
      </c>
      <c r="E114" s="1">
        <v>116</v>
      </c>
      <c r="F114" s="1">
        <v>6</v>
      </c>
      <c r="G114" s="7">
        <v>0.09</v>
      </c>
      <c r="H114" s="1">
        <v>45</v>
      </c>
      <c r="I114" s="1" t="s">
        <v>37</v>
      </c>
      <c r="J114" s="1"/>
      <c r="K114" s="1">
        <v>482</v>
      </c>
      <c r="L114" s="1">
        <f t="shared" si="46"/>
        <v>-366</v>
      </c>
      <c r="M114" s="1">
        <f t="shared" si="47"/>
        <v>116</v>
      </c>
      <c r="N114" s="1"/>
      <c r="O114" s="1"/>
      <c r="P114" s="1">
        <v>142.6</v>
      </c>
      <c r="Q114" s="1"/>
      <c r="R114" s="1">
        <f t="shared" si="48"/>
        <v>23.2</v>
      </c>
      <c r="S114" s="5">
        <f t="shared" si="50"/>
        <v>106.6</v>
      </c>
      <c r="T114" s="5">
        <f>W114</f>
        <v>200</v>
      </c>
      <c r="U114" s="5">
        <f t="shared" si="36"/>
        <v>200</v>
      </c>
      <c r="V114" s="5"/>
      <c r="W114" s="20">
        <v>200</v>
      </c>
      <c r="X114" s="20" t="str">
        <f>VLOOKUP(A114,[1]Лист1!$A:$B,2,0)</f>
        <v>до 200 шт</v>
      </c>
      <c r="Y114" s="1">
        <f t="shared" si="37"/>
        <v>15.02586206896552</v>
      </c>
      <c r="Z114" s="1">
        <f t="shared" si="49"/>
        <v>6.4051724137931032</v>
      </c>
      <c r="AA114" s="1">
        <v>21.4</v>
      </c>
      <c r="AB114" s="1">
        <v>10.4</v>
      </c>
      <c r="AC114" s="1">
        <v>17.8</v>
      </c>
      <c r="AD114" s="1">
        <v>17.2</v>
      </c>
      <c r="AE114" s="1">
        <v>17</v>
      </c>
      <c r="AF114" s="1">
        <v>16</v>
      </c>
      <c r="AG114" s="1">
        <v>13.6</v>
      </c>
      <c r="AH114" s="1">
        <v>16.2</v>
      </c>
      <c r="AI114" s="1">
        <v>9.4</v>
      </c>
      <c r="AJ114" s="1">
        <v>30</v>
      </c>
      <c r="AK114" s="1" t="s">
        <v>166</v>
      </c>
      <c r="AL114" s="1">
        <f t="shared" si="38"/>
        <v>18</v>
      </c>
      <c r="AM114" s="1">
        <f t="shared" si="39"/>
        <v>0</v>
      </c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167</v>
      </c>
      <c r="B115" s="1" t="s">
        <v>36</v>
      </c>
      <c r="C115" s="1">
        <v>159.90799999999999</v>
      </c>
      <c r="D115" s="1">
        <v>235.434</v>
      </c>
      <c r="E115" s="1">
        <v>157.58199999999999</v>
      </c>
      <c r="F115" s="1">
        <v>229.56</v>
      </c>
      <c r="G115" s="7">
        <v>1</v>
      </c>
      <c r="H115" s="1">
        <v>60</v>
      </c>
      <c r="I115" s="1" t="s">
        <v>37</v>
      </c>
      <c r="J115" s="1"/>
      <c r="K115" s="1">
        <v>158.24199999999999</v>
      </c>
      <c r="L115" s="1">
        <f t="shared" si="46"/>
        <v>-0.65999999999999659</v>
      </c>
      <c r="M115" s="1">
        <f t="shared" si="47"/>
        <v>157.58199999999999</v>
      </c>
      <c r="N115" s="1"/>
      <c r="O115" s="1"/>
      <c r="P115" s="1">
        <v>52.549800000000033</v>
      </c>
      <c r="Q115" s="1"/>
      <c r="R115" s="1">
        <f t="shared" si="48"/>
        <v>31.516399999999997</v>
      </c>
      <c r="S115" s="5">
        <f t="shared" si="50"/>
        <v>64.570599999999956</v>
      </c>
      <c r="T115" s="5">
        <f t="shared" si="35"/>
        <v>64.570599999999956</v>
      </c>
      <c r="U115" s="5">
        <f t="shared" si="36"/>
        <v>64.570599999999956</v>
      </c>
      <c r="V115" s="5"/>
      <c r="W115" s="20"/>
      <c r="X115" s="20"/>
      <c r="Y115" s="1">
        <f t="shared" si="37"/>
        <v>11.000000000000002</v>
      </c>
      <c r="Z115" s="1">
        <f t="shared" si="49"/>
        <v>8.9512063560558968</v>
      </c>
      <c r="AA115" s="1">
        <v>27.6706</v>
      </c>
      <c r="AB115" s="1">
        <v>28.321000000000002</v>
      </c>
      <c r="AC115" s="1">
        <v>33.215200000000003</v>
      </c>
      <c r="AD115" s="1">
        <v>32.061399999999999</v>
      </c>
      <c r="AE115" s="1">
        <v>20.308800000000002</v>
      </c>
      <c r="AF115" s="1">
        <v>11.1462</v>
      </c>
      <c r="AG115" s="1">
        <v>20.655799999999999</v>
      </c>
      <c r="AH115" s="1">
        <v>26.749199999999998</v>
      </c>
      <c r="AI115" s="1">
        <v>20.511600000000001</v>
      </c>
      <c r="AJ115" s="1">
        <v>20.523</v>
      </c>
      <c r="AK115" s="1"/>
      <c r="AL115" s="1">
        <f t="shared" si="38"/>
        <v>65</v>
      </c>
      <c r="AM115" s="1">
        <f t="shared" si="39"/>
        <v>0</v>
      </c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 t="s">
        <v>168</v>
      </c>
      <c r="B116" s="1" t="s">
        <v>36</v>
      </c>
      <c r="C116" s="1">
        <v>474.85199999999998</v>
      </c>
      <c r="D116" s="1">
        <v>1290.105</v>
      </c>
      <c r="E116" s="1">
        <v>847.18299999999999</v>
      </c>
      <c r="F116" s="1">
        <v>867.34199999999998</v>
      </c>
      <c r="G116" s="7">
        <v>1</v>
      </c>
      <c r="H116" s="1">
        <v>60</v>
      </c>
      <c r="I116" s="1" t="s">
        <v>37</v>
      </c>
      <c r="J116" s="1"/>
      <c r="K116" s="1">
        <v>837.49300000000005</v>
      </c>
      <c r="L116" s="1">
        <f t="shared" si="46"/>
        <v>9.6899999999999409</v>
      </c>
      <c r="M116" s="1">
        <f t="shared" si="47"/>
        <v>847.18299999999999</v>
      </c>
      <c r="N116" s="1"/>
      <c r="O116" s="1"/>
      <c r="P116" s="1">
        <v>326.05809727099978</v>
      </c>
      <c r="Q116" s="1">
        <v>239.03392572899989</v>
      </c>
      <c r="R116" s="1">
        <f t="shared" si="48"/>
        <v>169.4366</v>
      </c>
      <c r="S116" s="5">
        <f t="shared" si="50"/>
        <v>431.3685770000003</v>
      </c>
      <c r="T116" s="5">
        <f>S116+R116*$T$1</f>
        <v>678.06826660000024</v>
      </c>
      <c r="U116" s="5">
        <f t="shared" si="36"/>
        <v>305.13071997000009</v>
      </c>
      <c r="V116" s="5">
        <f>T116*$V$1</f>
        <v>372.93754663000016</v>
      </c>
      <c r="W116" s="20"/>
      <c r="X116" s="20"/>
      <c r="Y116" s="1">
        <f t="shared" si="37"/>
        <v>12.456</v>
      </c>
      <c r="Z116" s="1">
        <f t="shared" si="49"/>
        <v>8.4541003714663763</v>
      </c>
      <c r="AA116" s="1">
        <v>147.94739999999999</v>
      </c>
      <c r="AB116" s="1">
        <v>154.59960000000001</v>
      </c>
      <c r="AC116" s="1">
        <v>164.56360000000001</v>
      </c>
      <c r="AD116" s="1">
        <v>159.66499999999999</v>
      </c>
      <c r="AE116" s="1">
        <v>154.07400000000001</v>
      </c>
      <c r="AF116" s="1">
        <v>132.27199999999999</v>
      </c>
      <c r="AG116" s="1">
        <v>134.0958</v>
      </c>
      <c r="AH116" s="1">
        <v>145.0898</v>
      </c>
      <c r="AI116" s="1">
        <v>141.90940000000001</v>
      </c>
      <c r="AJ116" s="1">
        <v>146.82140000000001</v>
      </c>
      <c r="AK116" s="1"/>
      <c r="AL116" s="1">
        <f t="shared" si="38"/>
        <v>305</v>
      </c>
      <c r="AM116" s="1">
        <f t="shared" si="39"/>
        <v>373</v>
      </c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169</v>
      </c>
      <c r="B117" s="1" t="s">
        <v>36</v>
      </c>
      <c r="C117" s="1">
        <v>75.504999999999995</v>
      </c>
      <c r="D117" s="1">
        <v>142.065</v>
      </c>
      <c r="E117" s="1">
        <v>72.632999999999996</v>
      </c>
      <c r="F117" s="1">
        <v>140.55199999999999</v>
      </c>
      <c r="G117" s="7">
        <v>1</v>
      </c>
      <c r="H117" s="1">
        <v>60</v>
      </c>
      <c r="I117" s="1" t="s">
        <v>37</v>
      </c>
      <c r="J117" s="1"/>
      <c r="K117" s="1">
        <v>71.5</v>
      </c>
      <c r="L117" s="1">
        <f t="shared" si="46"/>
        <v>1.1329999999999956</v>
      </c>
      <c r="M117" s="1">
        <f t="shared" si="47"/>
        <v>72.632999999999996</v>
      </c>
      <c r="N117" s="1"/>
      <c r="O117" s="1"/>
      <c r="P117" s="1">
        <v>60</v>
      </c>
      <c r="Q117" s="1"/>
      <c r="R117" s="1">
        <f t="shared" si="48"/>
        <v>14.526599999999998</v>
      </c>
      <c r="S117" s="5"/>
      <c r="T117" s="5">
        <f t="shared" si="35"/>
        <v>0</v>
      </c>
      <c r="U117" s="5">
        <f t="shared" si="36"/>
        <v>0</v>
      </c>
      <c r="V117" s="5"/>
      <c r="W117" s="20"/>
      <c r="X117" s="20"/>
      <c r="Y117" s="1">
        <f t="shared" si="37"/>
        <v>13.805845827654098</v>
      </c>
      <c r="Z117" s="1">
        <f t="shared" si="49"/>
        <v>13.805845827654098</v>
      </c>
      <c r="AA117" s="1">
        <v>12.3954</v>
      </c>
      <c r="AB117" s="1">
        <v>11.018800000000001</v>
      </c>
      <c r="AC117" s="1">
        <v>8.7447999999999997</v>
      </c>
      <c r="AD117" s="1">
        <v>9.0963999999999992</v>
      </c>
      <c r="AE117" s="1">
        <v>10.550800000000001</v>
      </c>
      <c r="AF117" s="1">
        <v>6.405800000000001</v>
      </c>
      <c r="AG117" s="1">
        <v>6.831999999999999</v>
      </c>
      <c r="AH117" s="1">
        <v>10.4628</v>
      </c>
      <c r="AI117" s="1">
        <v>9.4239999999999995</v>
      </c>
      <c r="AJ117" s="1">
        <v>11.5632</v>
      </c>
      <c r="AK117" s="1"/>
      <c r="AL117" s="1">
        <f t="shared" si="38"/>
        <v>0</v>
      </c>
      <c r="AM117" s="1">
        <f t="shared" si="39"/>
        <v>0</v>
      </c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170</v>
      </c>
      <c r="B118" s="1" t="s">
        <v>36</v>
      </c>
      <c r="C118" s="1">
        <v>2507.7179999999998</v>
      </c>
      <c r="D118" s="1">
        <v>1563.5309999999999</v>
      </c>
      <c r="E118" s="1">
        <v>1639.164</v>
      </c>
      <c r="F118" s="1">
        <v>2338.1990000000001</v>
      </c>
      <c r="G118" s="7">
        <v>1</v>
      </c>
      <c r="H118" s="1">
        <v>60</v>
      </c>
      <c r="I118" s="1" t="s">
        <v>37</v>
      </c>
      <c r="J118" s="1"/>
      <c r="K118" s="1">
        <v>1667.5</v>
      </c>
      <c r="L118" s="1">
        <f t="shared" si="46"/>
        <v>-28.336000000000013</v>
      </c>
      <c r="M118" s="1">
        <f t="shared" si="47"/>
        <v>1639.164</v>
      </c>
      <c r="N118" s="1"/>
      <c r="O118" s="1"/>
      <c r="P118" s="1">
        <v>0</v>
      </c>
      <c r="Q118" s="1"/>
      <c r="R118" s="1">
        <f t="shared" si="48"/>
        <v>327.83280000000002</v>
      </c>
      <c r="S118" s="5">
        <f t="shared" si="50"/>
        <v>1267.9618</v>
      </c>
      <c r="T118" s="5">
        <f>S118+R118*$T$1</f>
        <v>1745.2863568</v>
      </c>
      <c r="U118" s="5">
        <f t="shared" si="36"/>
        <v>785.37886055999991</v>
      </c>
      <c r="V118" s="5">
        <f>T118*$V$1</f>
        <v>959.90749624000011</v>
      </c>
      <c r="W118" s="20"/>
      <c r="X118" s="20"/>
      <c r="Y118" s="1">
        <f t="shared" si="37"/>
        <v>12.456</v>
      </c>
      <c r="Z118" s="1">
        <f t="shared" si="49"/>
        <v>7.1322912167421926</v>
      </c>
      <c r="AA118" s="1">
        <v>252.19120000000001</v>
      </c>
      <c r="AB118" s="1">
        <v>184.22640000000001</v>
      </c>
      <c r="AC118" s="1">
        <v>117.05119999999999</v>
      </c>
      <c r="AD118" s="1">
        <v>242.47139999999999</v>
      </c>
      <c r="AE118" s="1">
        <v>401.34140000000002</v>
      </c>
      <c r="AF118" s="1">
        <v>281.52199999999999</v>
      </c>
      <c r="AG118" s="1">
        <v>178.23140000000001</v>
      </c>
      <c r="AH118" s="1">
        <v>201.7484</v>
      </c>
      <c r="AI118" s="1">
        <v>194.76939999999999</v>
      </c>
      <c r="AJ118" s="1">
        <v>203.86619999999999</v>
      </c>
      <c r="AK118" s="1"/>
      <c r="AL118" s="1">
        <f t="shared" si="38"/>
        <v>785</v>
      </c>
      <c r="AM118" s="1">
        <f t="shared" si="39"/>
        <v>960</v>
      </c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171</v>
      </c>
      <c r="B119" s="1" t="s">
        <v>41</v>
      </c>
      <c r="C119" s="1">
        <v>156</v>
      </c>
      <c r="D119" s="1"/>
      <c r="E119" s="1"/>
      <c r="F119" s="1">
        <v>152</v>
      </c>
      <c r="G119" s="7">
        <v>0.25</v>
      </c>
      <c r="H119" s="1">
        <v>1096</v>
      </c>
      <c r="I119" s="1" t="s">
        <v>37</v>
      </c>
      <c r="J119" s="1"/>
      <c r="K119" s="1"/>
      <c r="L119" s="1">
        <f t="shared" si="46"/>
        <v>0</v>
      </c>
      <c r="M119" s="1">
        <f t="shared" si="47"/>
        <v>0</v>
      </c>
      <c r="N119" s="1"/>
      <c r="O119" s="1"/>
      <c r="P119" s="1">
        <v>0</v>
      </c>
      <c r="Q119" s="1"/>
      <c r="R119" s="1">
        <f t="shared" si="48"/>
        <v>0</v>
      </c>
      <c r="S119" s="5"/>
      <c r="T119" s="5">
        <f t="shared" si="35"/>
        <v>0</v>
      </c>
      <c r="U119" s="5">
        <f t="shared" si="36"/>
        <v>0</v>
      </c>
      <c r="V119" s="5"/>
      <c r="W119" s="20"/>
      <c r="X119" s="20"/>
      <c r="Y119" s="1" t="e">
        <f t="shared" si="37"/>
        <v>#DIV/0!</v>
      </c>
      <c r="Z119" s="1" t="e">
        <f t="shared" si="49"/>
        <v>#DIV/0!</v>
      </c>
      <c r="AA119" s="1">
        <v>0.6</v>
      </c>
      <c r="AB119" s="1">
        <v>0.6</v>
      </c>
      <c r="AC119" s="1">
        <v>0.4</v>
      </c>
      <c r="AD119" s="1">
        <v>0.4</v>
      </c>
      <c r="AE119" s="1">
        <v>1.8</v>
      </c>
      <c r="AF119" s="1">
        <v>4.5999999999999996</v>
      </c>
      <c r="AG119" s="1">
        <v>3.2</v>
      </c>
      <c r="AH119" s="1">
        <v>0.4</v>
      </c>
      <c r="AI119" s="1">
        <v>0</v>
      </c>
      <c r="AJ119" s="1">
        <v>0.8</v>
      </c>
      <c r="AK119" s="18" t="s">
        <v>63</v>
      </c>
      <c r="AL119" s="1">
        <f t="shared" si="38"/>
        <v>0</v>
      </c>
      <c r="AM119" s="1">
        <f t="shared" si="39"/>
        <v>0</v>
      </c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 t="s">
        <v>172</v>
      </c>
      <c r="B120" s="1" t="s">
        <v>41</v>
      </c>
      <c r="C120" s="1">
        <v>82</v>
      </c>
      <c r="D120" s="1"/>
      <c r="E120" s="1"/>
      <c r="F120" s="1">
        <v>82</v>
      </c>
      <c r="G120" s="7">
        <v>0.32500000000000001</v>
      </c>
      <c r="H120" s="1">
        <v>1096</v>
      </c>
      <c r="I120" s="1" t="s">
        <v>37</v>
      </c>
      <c r="J120" s="1"/>
      <c r="K120" s="1"/>
      <c r="L120" s="1">
        <f t="shared" si="46"/>
        <v>0</v>
      </c>
      <c r="M120" s="1">
        <f t="shared" si="47"/>
        <v>0</v>
      </c>
      <c r="N120" s="1"/>
      <c r="O120" s="1"/>
      <c r="P120" s="1">
        <v>0</v>
      </c>
      <c r="Q120" s="1"/>
      <c r="R120" s="1">
        <f t="shared" si="48"/>
        <v>0</v>
      </c>
      <c r="S120" s="5"/>
      <c r="T120" s="5">
        <f t="shared" si="35"/>
        <v>0</v>
      </c>
      <c r="U120" s="5">
        <f t="shared" si="36"/>
        <v>0</v>
      </c>
      <c r="V120" s="5"/>
      <c r="W120" s="20"/>
      <c r="X120" s="20"/>
      <c r="Y120" s="1" t="e">
        <f t="shared" si="37"/>
        <v>#DIV/0!</v>
      </c>
      <c r="Z120" s="1" t="e">
        <f t="shared" si="49"/>
        <v>#DIV/0!</v>
      </c>
      <c r="AA120" s="1">
        <v>0</v>
      </c>
      <c r="AB120" s="1">
        <v>0</v>
      </c>
      <c r="AC120" s="1">
        <v>0.2</v>
      </c>
      <c r="AD120" s="1">
        <v>0.2</v>
      </c>
      <c r="AE120" s="1">
        <v>3</v>
      </c>
      <c r="AF120" s="1">
        <v>6</v>
      </c>
      <c r="AG120" s="1">
        <v>3.6</v>
      </c>
      <c r="AH120" s="1">
        <v>0.6</v>
      </c>
      <c r="AI120" s="1">
        <v>0</v>
      </c>
      <c r="AJ120" s="1">
        <v>1</v>
      </c>
      <c r="AK120" s="18" t="s">
        <v>63</v>
      </c>
      <c r="AL120" s="1">
        <f t="shared" si="38"/>
        <v>0</v>
      </c>
      <c r="AM120" s="1">
        <f t="shared" si="39"/>
        <v>0</v>
      </c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173</v>
      </c>
      <c r="B121" s="1" t="s">
        <v>41</v>
      </c>
      <c r="C121" s="1">
        <v>156</v>
      </c>
      <c r="D121" s="1"/>
      <c r="E121" s="1"/>
      <c r="F121" s="1">
        <v>153</v>
      </c>
      <c r="G121" s="7">
        <v>0.25</v>
      </c>
      <c r="H121" s="1">
        <v>1096</v>
      </c>
      <c r="I121" s="1" t="s">
        <v>37</v>
      </c>
      <c r="J121" s="1"/>
      <c r="K121" s="1"/>
      <c r="L121" s="1">
        <f t="shared" si="46"/>
        <v>0</v>
      </c>
      <c r="M121" s="1">
        <f t="shared" si="47"/>
        <v>0</v>
      </c>
      <c r="N121" s="1"/>
      <c r="O121" s="1"/>
      <c r="P121" s="1">
        <v>0</v>
      </c>
      <c r="Q121" s="1"/>
      <c r="R121" s="1">
        <f t="shared" si="48"/>
        <v>0</v>
      </c>
      <c r="S121" s="5"/>
      <c r="T121" s="5">
        <f t="shared" si="35"/>
        <v>0</v>
      </c>
      <c r="U121" s="5">
        <f t="shared" si="36"/>
        <v>0</v>
      </c>
      <c r="V121" s="5"/>
      <c r="W121" s="20"/>
      <c r="X121" s="20"/>
      <c r="Y121" s="1" t="e">
        <f t="shared" si="37"/>
        <v>#DIV/0!</v>
      </c>
      <c r="Z121" s="1" t="e">
        <f t="shared" si="49"/>
        <v>#DIV/0!</v>
      </c>
      <c r="AA121" s="1">
        <v>0.6</v>
      </c>
      <c r="AB121" s="1">
        <v>0.6</v>
      </c>
      <c r="AC121" s="1">
        <v>0.8</v>
      </c>
      <c r="AD121" s="1">
        <v>0.8</v>
      </c>
      <c r="AE121" s="1">
        <v>2.6</v>
      </c>
      <c r="AF121" s="1">
        <v>5.4</v>
      </c>
      <c r="AG121" s="1">
        <v>4.2</v>
      </c>
      <c r="AH121" s="1">
        <v>1.4</v>
      </c>
      <c r="AI121" s="1">
        <v>5</v>
      </c>
      <c r="AJ121" s="1">
        <v>5.8</v>
      </c>
      <c r="AK121" s="18" t="s">
        <v>63</v>
      </c>
      <c r="AL121" s="1">
        <f t="shared" si="38"/>
        <v>0</v>
      </c>
      <c r="AM121" s="1">
        <f t="shared" si="39"/>
        <v>0</v>
      </c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1" t="s">
        <v>174</v>
      </c>
      <c r="B122" s="11" t="s">
        <v>36</v>
      </c>
      <c r="C122" s="11">
        <v>10</v>
      </c>
      <c r="D122" s="11">
        <v>1.004</v>
      </c>
      <c r="E122" s="11">
        <v>7</v>
      </c>
      <c r="F122" s="11">
        <v>3</v>
      </c>
      <c r="G122" s="12">
        <v>0</v>
      </c>
      <c r="H122" s="11"/>
      <c r="I122" s="11" t="s">
        <v>61</v>
      </c>
      <c r="J122" s="11"/>
      <c r="K122" s="11">
        <v>8</v>
      </c>
      <c r="L122" s="11">
        <f t="shared" si="46"/>
        <v>-1</v>
      </c>
      <c r="M122" s="11">
        <f t="shared" si="47"/>
        <v>7</v>
      </c>
      <c r="N122" s="11"/>
      <c r="O122" s="11"/>
      <c r="P122" s="11">
        <v>0</v>
      </c>
      <c r="Q122" s="11"/>
      <c r="R122" s="11">
        <f t="shared" si="48"/>
        <v>1.4</v>
      </c>
      <c r="S122" s="13"/>
      <c r="T122" s="5">
        <f t="shared" si="35"/>
        <v>0</v>
      </c>
      <c r="U122" s="5">
        <f t="shared" si="36"/>
        <v>0</v>
      </c>
      <c r="V122" s="5"/>
      <c r="W122" s="21"/>
      <c r="X122" s="20"/>
      <c r="Y122" s="1">
        <f t="shared" si="37"/>
        <v>2.1428571428571428</v>
      </c>
      <c r="Z122" s="11">
        <f t="shared" si="49"/>
        <v>2.1428571428571428</v>
      </c>
      <c r="AA122" s="11">
        <v>1.4097999999999999</v>
      </c>
      <c r="AB122" s="11">
        <v>3.2404000000000002</v>
      </c>
      <c r="AC122" s="11">
        <v>4.6651999999999996</v>
      </c>
      <c r="AD122" s="11">
        <v>3.9238</v>
      </c>
      <c r="AE122" s="11">
        <v>1.4890000000000001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/>
      <c r="AL122" s="1">
        <f t="shared" si="38"/>
        <v>0</v>
      </c>
      <c r="AM122" s="1">
        <f t="shared" si="39"/>
        <v>0</v>
      </c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175</v>
      </c>
      <c r="B123" s="1" t="s">
        <v>41</v>
      </c>
      <c r="C123" s="1">
        <v>25</v>
      </c>
      <c r="D123" s="1">
        <v>56</v>
      </c>
      <c r="E123" s="1">
        <v>36</v>
      </c>
      <c r="F123" s="1">
        <v>43</v>
      </c>
      <c r="G123" s="7">
        <v>0.3</v>
      </c>
      <c r="H123" s="1">
        <v>40</v>
      </c>
      <c r="I123" s="1" t="s">
        <v>37</v>
      </c>
      <c r="J123" s="1"/>
      <c r="K123" s="1">
        <v>43</v>
      </c>
      <c r="L123" s="1">
        <f t="shared" si="46"/>
        <v>-7</v>
      </c>
      <c r="M123" s="1">
        <f t="shared" si="47"/>
        <v>36</v>
      </c>
      <c r="N123" s="1"/>
      <c r="O123" s="1"/>
      <c r="P123" s="1">
        <v>79.800000000000011</v>
      </c>
      <c r="Q123" s="1"/>
      <c r="R123" s="1">
        <f t="shared" si="48"/>
        <v>7.2</v>
      </c>
      <c r="S123" s="5"/>
      <c r="T123" s="5">
        <f t="shared" si="35"/>
        <v>0</v>
      </c>
      <c r="U123" s="5">
        <f t="shared" si="36"/>
        <v>0</v>
      </c>
      <c r="V123" s="5"/>
      <c r="W123" s="20"/>
      <c r="X123" s="20"/>
      <c r="Y123" s="1">
        <f t="shared" si="37"/>
        <v>17.055555555555557</v>
      </c>
      <c r="Z123" s="1">
        <f t="shared" si="49"/>
        <v>17.055555555555557</v>
      </c>
      <c r="AA123" s="1">
        <v>11.8</v>
      </c>
      <c r="AB123" s="1">
        <v>7</v>
      </c>
      <c r="AC123" s="1">
        <v>0</v>
      </c>
      <c r="AD123" s="1">
        <v>-0.2</v>
      </c>
      <c r="AE123" s="1">
        <v>-0.2</v>
      </c>
      <c r="AF123" s="1">
        <v>0</v>
      </c>
      <c r="AG123" s="1">
        <v>0</v>
      </c>
      <c r="AH123" s="1">
        <v>0</v>
      </c>
      <c r="AI123" s="1">
        <v>3.6</v>
      </c>
      <c r="AJ123" s="1">
        <v>3.4</v>
      </c>
      <c r="AK123" s="1"/>
      <c r="AL123" s="1">
        <f t="shared" si="38"/>
        <v>0</v>
      </c>
      <c r="AM123" s="1">
        <f t="shared" si="39"/>
        <v>0</v>
      </c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176</v>
      </c>
      <c r="B124" s="1" t="s">
        <v>41</v>
      </c>
      <c r="C124" s="1">
        <v>17</v>
      </c>
      <c r="D124" s="1">
        <v>69</v>
      </c>
      <c r="E124" s="1">
        <v>27</v>
      </c>
      <c r="F124" s="1">
        <v>55</v>
      </c>
      <c r="G124" s="7">
        <v>0.3</v>
      </c>
      <c r="H124" s="1">
        <v>40</v>
      </c>
      <c r="I124" s="1" t="s">
        <v>37</v>
      </c>
      <c r="J124" s="1"/>
      <c r="K124" s="1">
        <v>38</v>
      </c>
      <c r="L124" s="1">
        <f t="shared" si="46"/>
        <v>-11</v>
      </c>
      <c r="M124" s="1">
        <f t="shared" si="47"/>
        <v>27</v>
      </c>
      <c r="N124" s="1"/>
      <c r="O124" s="1"/>
      <c r="P124" s="1">
        <v>26</v>
      </c>
      <c r="Q124" s="1"/>
      <c r="R124" s="1">
        <f t="shared" si="48"/>
        <v>5.4</v>
      </c>
      <c r="S124" s="5"/>
      <c r="T124" s="5">
        <f t="shared" si="35"/>
        <v>0</v>
      </c>
      <c r="U124" s="5">
        <f t="shared" si="36"/>
        <v>0</v>
      </c>
      <c r="V124" s="5"/>
      <c r="W124" s="20"/>
      <c r="X124" s="20"/>
      <c r="Y124" s="1">
        <f t="shared" si="37"/>
        <v>14.999999999999998</v>
      </c>
      <c r="Z124" s="1">
        <f t="shared" si="49"/>
        <v>14.999999999999998</v>
      </c>
      <c r="AA124" s="1">
        <v>7.2</v>
      </c>
      <c r="AB124" s="1">
        <v>4.2</v>
      </c>
      <c r="AC124" s="1">
        <v>7.2</v>
      </c>
      <c r="AD124" s="1">
        <v>8.4</v>
      </c>
      <c r="AE124" s="1">
        <v>1.2</v>
      </c>
      <c r="AF124" s="1">
        <v>0</v>
      </c>
      <c r="AG124" s="1">
        <v>0</v>
      </c>
      <c r="AH124" s="1">
        <v>0</v>
      </c>
      <c r="AI124" s="1">
        <v>-0.4</v>
      </c>
      <c r="AJ124" s="1">
        <v>-1</v>
      </c>
      <c r="AK124" s="1"/>
      <c r="AL124" s="1">
        <f t="shared" si="38"/>
        <v>0</v>
      </c>
      <c r="AM124" s="1">
        <f t="shared" si="39"/>
        <v>0</v>
      </c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177</v>
      </c>
      <c r="B125" s="1" t="s">
        <v>36</v>
      </c>
      <c r="C125" s="1">
        <v>12.151</v>
      </c>
      <c r="D125" s="1">
        <v>148.501</v>
      </c>
      <c r="E125" s="1">
        <v>23.495000000000001</v>
      </c>
      <c r="F125" s="1">
        <v>131.267</v>
      </c>
      <c r="G125" s="7">
        <v>1</v>
      </c>
      <c r="H125" s="1">
        <v>50</v>
      </c>
      <c r="I125" s="9" t="s">
        <v>47</v>
      </c>
      <c r="J125" s="1"/>
      <c r="K125" s="1">
        <v>44.1</v>
      </c>
      <c r="L125" s="1">
        <f t="shared" si="46"/>
        <v>-20.605</v>
      </c>
      <c r="M125" s="1">
        <f t="shared" si="47"/>
        <v>23.495000000000001</v>
      </c>
      <c r="N125" s="1"/>
      <c r="O125" s="1"/>
      <c r="P125" s="1">
        <v>0</v>
      </c>
      <c r="Q125" s="1"/>
      <c r="R125" s="1">
        <f t="shared" si="48"/>
        <v>4.6989999999999998</v>
      </c>
      <c r="S125" s="5"/>
      <c r="T125" s="5">
        <f t="shared" si="35"/>
        <v>0</v>
      </c>
      <c r="U125" s="5">
        <f t="shared" si="36"/>
        <v>0</v>
      </c>
      <c r="V125" s="5"/>
      <c r="W125" s="20"/>
      <c r="X125" s="20"/>
      <c r="Y125" s="1">
        <f t="shared" si="37"/>
        <v>27.93509257288785</v>
      </c>
      <c r="Z125" s="1">
        <f t="shared" si="49"/>
        <v>27.93509257288785</v>
      </c>
      <c r="AA125" s="1">
        <v>7.0947999999999993</v>
      </c>
      <c r="AB125" s="1">
        <v>12.292199999999999</v>
      </c>
      <c r="AC125" s="1">
        <v>16.829599999999999</v>
      </c>
      <c r="AD125" s="1">
        <v>15.6524</v>
      </c>
      <c r="AE125" s="1">
        <v>17.341000000000001</v>
      </c>
      <c r="AF125" s="1">
        <v>13.747</v>
      </c>
      <c r="AG125" s="1">
        <v>10.6334</v>
      </c>
      <c r="AH125" s="1">
        <v>11.152200000000001</v>
      </c>
      <c r="AI125" s="1">
        <v>15.002800000000001</v>
      </c>
      <c r="AJ125" s="1">
        <v>16.108799999999999</v>
      </c>
      <c r="AK125" s="1"/>
      <c r="AL125" s="1">
        <f t="shared" si="38"/>
        <v>0</v>
      </c>
      <c r="AM125" s="1">
        <f t="shared" si="39"/>
        <v>0</v>
      </c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178</v>
      </c>
      <c r="B126" s="1" t="s">
        <v>41</v>
      </c>
      <c r="C126" s="1">
        <v>14</v>
      </c>
      <c r="D126" s="1">
        <v>28</v>
      </c>
      <c r="E126" s="1">
        <v>15</v>
      </c>
      <c r="F126" s="1">
        <v>20</v>
      </c>
      <c r="G126" s="7">
        <v>0.3</v>
      </c>
      <c r="H126" s="1">
        <v>40</v>
      </c>
      <c r="I126" s="1" t="s">
        <v>37</v>
      </c>
      <c r="J126" s="1"/>
      <c r="K126" s="1">
        <v>22</v>
      </c>
      <c r="L126" s="1">
        <f t="shared" si="46"/>
        <v>-7</v>
      </c>
      <c r="M126" s="1">
        <f t="shared" si="47"/>
        <v>15</v>
      </c>
      <c r="N126" s="1"/>
      <c r="O126" s="1"/>
      <c r="P126" s="1">
        <v>18.599999999999991</v>
      </c>
      <c r="Q126" s="1"/>
      <c r="R126" s="1">
        <f t="shared" si="48"/>
        <v>3</v>
      </c>
      <c r="S126" s="5"/>
      <c r="T126" s="5">
        <f t="shared" si="35"/>
        <v>0</v>
      </c>
      <c r="U126" s="5">
        <f t="shared" si="36"/>
        <v>0</v>
      </c>
      <c r="V126" s="5"/>
      <c r="W126" s="20"/>
      <c r="X126" s="20"/>
      <c r="Y126" s="1">
        <f t="shared" si="37"/>
        <v>12.866666666666665</v>
      </c>
      <c r="Z126" s="1">
        <f t="shared" si="49"/>
        <v>12.866666666666665</v>
      </c>
      <c r="AA126" s="1">
        <v>2.8</v>
      </c>
      <c r="AB126" s="1">
        <v>1.8</v>
      </c>
      <c r="AC126" s="1">
        <v>-0.2</v>
      </c>
      <c r="AD126" s="1">
        <v>0</v>
      </c>
      <c r="AE126" s="1">
        <v>0</v>
      </c>
      <c r="AF126" s="1">
        <v>0</v>
      </c>
      <c r="AG126" s="1">
        <v>0</v>
      </c>
      <c r="AH126" s="1">
        <v>-0.2</v>
      </c>
      <c r="AI126" s="1">
        <v>-0.2</v>
      </c>
      <c r="AJ126" s="1">
        <v>0.2</v>
      </c>
      <c r="AK126" s="1"/>
      <c r="AL126" s="1">
        <f t="shared" si="38"/>
        <v>0</v>
      </c>
      <c r="AM126" s="1">
        <f t="shared" si="39"/>
        <v>0</v>
      </c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179</v>
      </c>
      <c r="B127" s="1" t="s">
        <v>41</v>
      </c>
      <c r="C127" s="1">
        <v>87</v>
      </c>
      <c r="D127" s="1">
        <v>98</v>
      </c>
      <c r="E127" s="1">
        <v>56</v>
      </c>
      <c r="F127" s="1">
        <v>112</v>
      </c>
      <c r="G127" s="7">
        <v>0.12</v>
      </c>
      <c r="H127" s="1">
        <v>45</v>
      </c>
      <c r="I127" s="1" t="s">
        <v>37</v>
      </c>
      <c r="J127" s="1"/>
      <c r="K127" s="1">
        <v>72</v>
      </c>
      <c r="L127" s="1">
        <f t="shared" si="46"/>
        <v>-16</v>
      </c>
      <c r="M127" s="1">
        <f t="shared" si="47"/>
        <v>56</v>
      </c>
      <c r="N127" s="1"/>
      <c r="O127" s="1"/>
      <c r="P127" s="1">
        <v>0</v>
      </c>
      <c r="Q127" s="1"/>
      <c r="R127" s="1">
        <f t="shared" si="48"/>
        <v>11.2</v>
      </c>
      <c r="S127" s="5">
        <f t="shared" ref="S127" si="51">11*R127-Q127-P127-O127-F127</f>
        <v>11.199999999999989</v>
      </c>
      <c r="T127" s="5">
        <f t="shared" si="35"/>
        <v>11.199999999999989</v>
      </c>
      <c r="U127" s="5">
        <f t="shared" si="36"/>
        <v>11.199999999999989</v>
      </c>
      <c r="V127" s="5"/>
      <c r="W127" s="20"/>
      <c r="X127" s="20"/>
      <c r="Y127" s="1">
        <f t="shared" si="37"/>
        <v>11</v>
      </c>
      <c r="Z127" s="1">
        <f t="shared" si="49"/>
        <v>10</v>
      </c>
      <c r="AA127" s="1">
        <v>9.6</v>
      </c>
      <c r="AB127" s="1">
        <v>6.8</v>
      </c>
      <c r="AC127" s="1">
        <v>7.8</v>
      </c>
      <c r="AD127" s="1">
        <v>10.8</v>
      </c>
      <c r="AE127" s="1">
        <v>5.8</v>
      </c>
      <c r="AF127" s="1">
        <v>4.4000000000000004</v>
      </c>
      <c r="AG127" s="1">
        <v>5.8</v>
      </c>
      <c r="AH127" s="1">
        <v>7</v>
      </c>
      <c r="AI127" s="1">
        <v>9.6</v>
      </c>
      <c r="AJ127" s="1">
        <v>8.8000000000000007</v>
      </c>
      <c r="AK127" s="1"/>
      <c r="AL127" s="1">
        <f t="shared" si="38"/>
        <v>1</v>
      </c>
      <c r="AM127" s="1">
        <f t="shared" si="39"/>
        <v>0</v>
      </c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1" t="s">
        <v>180</v>
      </c>
      <c r="B128" s="11" t="s">
        <v>41</v>
      </c>
      <c r="C128" s="11">
        <v>-4</v>
      </c>
      <c r="D128" s="11">
        <v>141</v>
      </c>
      <c r="E128" s="14">
        <v>47</v>
      </c>
      <c r="F128" s="14">
        <v>85</v>
      </c>
      <c r="G128" s="12">
        <v>0</v>
      </c>
      <c r="H128" s="11"/>
      <c r="I128" s="11" t="s">
        <v>181</v>
      </c>
      <c r="J128" s="11" t="s">
        <v>98</v>
      </c>
      <c r="K128" s="11">
        <v>47</v>
      </c>
      <c r="L128" s="11">
        <f t="shared" si="46"/>
        <v>0</v>
      </c>
      <c r="M128" s="11">
        <f t="shared" si="47"/>
        <v>47</v>
      </c>
      <c r="N128" s="11"/>
      <c r="O128" s="11"/>
      <c r="P128" s="11">
        <v>0</v>
      </c>
      <c r="Q128" s="11"/>
      <c r="R128" s="11">
        <f t="shared" si="48"/>
        <v>9.4</v>
      </c>
      <c r="S128" s="13"/>
      <c r="T128" s="5">
        <f t="shared" si="35"/>
        <v>0</v>
      </c>
      <c r="U128" s="5">
        <f t="shared" si="36"/>
        <v>0</v>
      </c>
      <c r="V128" s="5"/>
      <c r="W128" s="21"/>
      <c r="X128" s="20"/>
      <c r="Y128" s="1">
        <f t="shared" si="37"/>
        <v>9.0425531914893611</v>
      </c>
      <c r="Z128" s="11">
        <f t="shared" si="49"/>
        <v>9.0425531914893611</v>
      </c>
      <c r="AA128" s="11">
        <v>12.8</v>
      </c>
      <c r="AB128" s="11">
        <v>16.2</v>
      </c>
      <c r="AC128" s="11">
        <v>15.8</v>
      </c>
      <c r="AD128" s="11">
        <v>18.2</v>
      </c>
      <c r="AE128" s="11">
        <v>17.600000000000001</v>
      </c>
      <c r="AF128" s="11">
        <v>10.4</v>
      </c>
      <c r="AG128" s="11">
        <v>10.199999999999999</v>
      </c>
      <c r="AH128" s="11">
        <v>12.4</v>
      </c>
      <c r="AI128" s="11">
        <v>14.8</v>
      </c>
      <c r="AJ128" s="11">
        <v>21.6</v>
      </c>
      <c r="AK128" s="11"/>
      <c r="AL128" s="1">
        <f t="shared" si="38"/>
        <v>0</v>
      </c>
      <c r="AM128" s="1">
        <f t="shared" si="39"/>
        <v>0</v>
      </c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5" t="s">
        <v>182</v>
      </c>
      <c r="B129" s="1" t="s">
        <v>36</v>
      </c>
      <c r="C129" s="1"/>
      <c r="D129" s="1"/>
      <c r="E129" s="1"/>
      <c r="F129" s="1"/>
      <c r="G129" s="7">
        <v>1</v>
      </c>
      <c r="H129" s="1"/>
      <c r="I129" s="1" t="s">
        <v>37</v>
      </c>
      <c r="J129" s="1"/>
      <c r="K129" s="1"/>
      <c r="L129" s="1">
        <f t="shared" si="46"/>
        <v>0</v>
      </c>
      <c r="M129" s="1">
        <f t="shared" si="47"/>
        <v>0</v>
      </c>
      <c r="N129" s="1"/>
      <c r="O129" s="1"/>
      <c r="P129" s="1">
        <v>0</v>
      </c>
      <c r="Q129" s="1"/>
      <c r="R129" s="1">
        <f t="shared" si="48"/>
        <v>0</v>
      </c>
      <c r="S129" s="5"/>
      <c r="T129" s="5">
        <f t="shared" si="35"/>
        <v>0</v>
      </c>
      <c r="U129" s="5">
        <f t="shared" si="36"/>
        <v>0</v>
      </c>
      <c r="V129" s="5"/>
      <c r="W129" s="20"/>
      <c r="X129" s="20"/>
      <c r="Y129" s="1" t="e">
        <f t="shared" si="37"/>
        <v>#DIV/0!</v>
      </c>
      <c r="Z129" s="1" t="e">
        <f t="shared" si="49"/>
        <v>#DIV/0!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 t="s">
        <v>183</v>
      </c>
      <c r="AL129" s="1">
        <f t="shared" si="38"/>
        <v>0</v>
      </c>
      <c r="AM129" s="1">
        <f t="shared" si="39"/>
        <v>0</v>
      </c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1" t="s">
        <v>192</v>
      </c>
      <c r="B130" s="11" t="s">
        <v>36</v>
      </c>
      <c r="C130" s="11"/>
      <c r="D130" s="11"/>
      <c r="E130" s="11"/>
      <c r="F130" s="11"/>
      <c r="G130" s="12">
        <v>0</v>
      </c>
      <c r="H130" s="11"/>
      <c r="I130" s="11" t="s">
        <v>37</v>
      </c>
      <c r="J130" s="11"/>
      <c r="K130" s="11"/>
      <c r="L130" s="11">
        <f t="shared" si="46"/>
        <v>0</v>
      </c>
      <c r="M130" s="11">
        <f t="shared" si="47"/>
        <v>0</v>
      </c>
      <c r="N130" s="11"/>
      <c r="O130" s="11"/>
      <c r="P130" s="11">
        <v>0</v>
      </c>
      <c r="Q130" s="11"/>
      <c r="R130" s="11">
        <f t="shared" si="48"/>
        <v>0</v>
      </c>
      <c r="S130" s="13"/>
      <c r="T130" s="5">
        <f t="shared" si="35"/>
        <v>0</v>
      </c>
      <c r="U130" s="5">
        <f t="shared" si="36"/>
        <v>0</v>
      </c>
      <c r="V130" s="5"/>
      <c r="W130" s="21"/>
      <c r="X130" s="20"/>
      <c r="Y130" s="1" t="e">
        <f t="shared" si="37"/>
        <v>#DIV/0!</v>
      </c>
      <c r="Z130" s="11" t="e">
        <f t="shared" si="49"/>
        <v>#DIV/0!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 t="s">
        <v>184</v>
      </c>
      <c r="AL130" s="1">
        <f t="shared" si="38"/>
        <v>0</v>
      </c>
      <c r="AM130" s="1">
        <f t="shared" si="39"/>
        <v>0</v>
      </c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1" t="s">
        <v>193</v>
      </c>
      <c r="B131" s="11" t="s">
        <v>36</v>
      </c>
      <c r="C131" s="11"/>
      <c r="D131" s="11"/>
      <c r="E131" s="11"/>
      <c r="F131" s="11"/>
      <c r="G131" s="12">
        <v>0</v>
      </c>
      <c r="H131" s="11"/>
      <c r="I131" s="11" t="s">
        <v>37</v>
      </c>
      <c r="J131" s="11"/>
      <c r="K131" s="11"/>
      <c r="L131" s="11">
        <f t="shared" si="46"/>
        <v>0</v>
      </c>
      <c r="M131" s="11">
        <f t="shared" si="47"/>
        <v>0</v>
      </c>
      <c r="N131" s="11"/>
      <c r="O131" s="11"/>
      <c r="P131" s="11">
        <v>0</v>
      </c>
      <c r="Q131" s="11"/>
      <c r="R131" s="11">
        <f t="shared" si="48"/>
        <v>0</v>
      </c>
      <c r="S131" s="13"/>
      <c r="T131" s="5">
        <f t="shared" si="35"/>
        <v>0</v>
      </c>
      <c r="U131" s="5">
        <f t="shared" si="36"/>
        <v>0</v>
      </c>
      <c r="V131" s="5"/>
      <c r="W131" s="21"/>
      <c r="X131" s="20"/>
      <c r="Y131" s="1" t="e">
        <f t="shared" si="37"/>
        <v>#DIV/0!</v>
      </c>
      <c r="Z131" s="11" t="e">
        <f t="shared" si="49"/>
        <v>#DIV/0!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 t="s">
        <v>185</v>
      </c>
      <c r="AL131" s="1">
        <f t="shared" si="38"/>
        <v>0</v>
      </c>
      <c r="AM131" s="1">
        <f t="shared" si="39"/>
        <v>0</v>
      </c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</sheetData>
  <autoFilter ref="A3:AL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2026-10-27T11:43:53Z</dcterms:created>
  <dcterms:modified xsi:type="dcterms:W3CDTF">2026-10-28T09:02:25Z</dcterms:modified>
</cp:coreProperties>
</file>