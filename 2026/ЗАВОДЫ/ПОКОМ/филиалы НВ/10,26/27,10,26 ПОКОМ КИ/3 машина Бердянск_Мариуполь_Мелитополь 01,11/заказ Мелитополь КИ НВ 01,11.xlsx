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A4ACE80-91E5-44AD-9354-AC199C71B02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P556" i="1"/>
  <c r="BO556" i="1"/>
  <c r="BN556" i="1"/>
  <c r="BM556" i="1"/>
  <c r="Z556" i="1"/>
  <c r="Y556" i="1"/>
  <c r="P556" i="1"/>
  <c r="X554" i="1"/>
  <c r="Y553" i="1"/>
  <c r="X553" i="1"/>
  <c r="BP552" i="1"/>
  <c r="BO552" i="1"/>
  <c r="BN552" i="1"/>
  <c r="BM552" i="1"/>
  <c r="Z552" i="1"/>
  <c r="Z553" i="1" s="1"/>
  <c r="Y552" i="1"/>
  <c r="Y554" i="1" s="1"/>
  <c r="P552" i="1"/>
  <c r="X550" i="1"/>
  <c r="Y549" i="1"/>
  <c r="X549" i="1"/>
  <c r="BP548" i="1"/>
  <c r="BO548" i="1"/>
  <c r="BN548" i="1"/>
  <c r="BM548" i="1"/>
  <c r="Z548" i="1"/>
  <c r="Z549" i="1" s="1"/>
  <c r="Y548" i="1"/>
  <c r="Y550" i="1" s="1"/>
  <c r="P548" i="1"/>
  <c r="X546" i="1"/>
  <c r="Y545" i="1"/>
  <c r="X545" i="1"/>
  <c r="BP544" i="1"/>
  <c r="BO544" i="1"/>
  <c r="BN544" i="1"/>
  <c r="BM544" i="1"/>
  <c r="Z544" i="1"/>
  <c r="Z545" i="1" s="1"/>
  <c r="Y544" i="1"/>
  <c r="Y546" i="1" s="1"/>
  <c r="P544" i="1"/>
  <c r="X542" i="1"/>
  <c r="Y541" i="1"/>
  <c r="X541" i="1"/>
  <c r="BP540" i="1"/>
  <c r="BO540" i="1"/>
  <c r="BN540" i="1"/>
  <c r="BM540" i="1"/>
  <c r="Z540" i="1"/>
  <c r="Z541" i="1" s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P532" i="1"/>
  <c r="BO532" i="1"/>
  <c r="BN532" i="1"/>
  <c r="BM532" i="1"/>
  <c r="Z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P528" i="1"/>
  <c r="BO528" i="1"/>
  <c r="BN528" i="1"/>
  <c r="BM528" i="1"/>
  <c r="Z528" i="1"/>
  <c r="Y528" i="1"/>
  <c r="P528" i="1"/>
  <c r="X526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Y470" i="1" s="1"/>
  <c r="P468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BO456" i="1"/>
  <c r="BM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Y428" i="1" s="1"/>
  <c r="P424" i="1"/>
  <c r="X421" i="1"/>
  <c r="X420" i="1"/>
  <c r="BO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Y408" i="1" s="1"/>
  <c r="P404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Y396" i="1" s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Y388" i="1" s="1"/>
  <c r="P382" i="1"/>
  <c r="BP381" i="1"/>
  <c r="BO381" i="1"/>
  <c r="BN381" i="1"/>
  <c r="BM381" i="1"/>
  <c r="Z381" i="1"/>
  <c r="Y381" i="1"/>
  <c r="P381" i="1"/>
  <c r="X379" i="1"/>
  <c r="X378" i="1"/>
  <c r="BO377" i="1"/>
  <c r="BM377" i="1"/>
  <c r="Y377" i="1"/>
  <c r="P377" i="1"/>
  <c r="BO376" i="1"/>
  <c r="BM376" i="1"/>
  <c r="Y376" i="1"/>
  <c r="BP376" i="1" s="1"/>
  <c r="P376" i="1"/>
  <c r="BP375" i="1"/>
  <c r="BO375" i="1"/>
  <c r="BN375" i="1"/>
  <c r="BM375" i="1"/>
  <c r="Z375" i="1"/>
  <c r="Y375" i="1"/>
  <c r="P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Y378" i="1" s="1"/>
  <c r="P372" i="1"/>
  <c r="BP371" i="1"/>
  <c r="BO371" i="1"/>
  <c r="BN371" i="1"/>
  <c r="BM371" i="1"/>
  <c r="Z371" i="1"/>
  <c r="Y371" i="1"/>
  <c r="P371" i="1"/>
  <c r="X368" i="1"/>
  <c r="X367" i="1"/>
  <c r="BO366" i="1"/>
  <c r="BM366" i="1"/>
  <c r="Y366" i="1"/>
  <c r="P366" i="1"/>
  <c r="BO365" i="1"/>
  <c r="BM365" i="1"/>
  <c r="Y365" i="1"/>
  <c r="Y367" i="1" s="1"/>
  <c r="P365" i="1"/>
  <c r="BP364" i="1"/>
  <c r="BO364" i="1"/>
  <c r="BN364" i="1"/>
  <c r="BM364" i="1"/>
  <c r="Z364" i="1"/>
  <c r="Y364" i="1"/>
  <c r="P364" i="1"/>
  <c r="X361" i="1"/>
  <c r="Y360" i="1"/>
  <c r="X360" i="1"/>
  <c r="BP359" i="1"/>
  <c r="BO359" i="1"/>
  <c r="BN359" i="1"/>
  <c r="BM359" i="1"/>
  <c r="Z359" i="1"/>
  <c r="Z360" i="1" s="1"/>
  <c r="Y359" i="1"/>
  <c r="Y361" i="1" s="1"/>
  <c r="P359" i="1"/>
  <c r="X357" i="1"/>
  <c r="Y356" i="1"/>
  <c r="X356" i="1"/>
  <c r="BP355" i="1"/>
  <c r="BO355" i="1"/>
  <c r="BN355" i="1"/>
  <c r="BM355" i="1"/>
  <c r="Z355" i="1"/>
  <c r="Z356" i="1" s="1"/>
  <c r="Y355" i="1"/>
  <c r="S575" i="1" s="1"/>
  <c r="P355" i="1"/>
  <c r="X352" i="1"/>
  <c r="X351" i="1"/>
  <c r="BO350" i="1"/>
  <c r="BM350" i="1"/>
  <c r="Y350" i="1"/>
  <c r="P350" i="1"/>
  <c r="BO349" i="1"/>
  <c r="BM349" i="1"/>
  <c r="Y349" i="1"/>
  <c r="Y351" i="1" s="1"/>
  <c r="P349" i="1"/>
  <c r="BP348" i="1"/>
  <c r="BO348" i="1"/>
  <c r="BN348" i="1"/>
  <c r="BM348" i="1"/>
  <c r="Z348" i="1"/>
  <c r="Y348" i="1"/>
  <c r="P348" i="1"/>
  <c r="X346" i="1"/>
  <c r="X345" i="1"/>
  <c r="BO344" i="1"/>
  <c r="BM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BP336" i="1" s="1"/>
  <c r="P336" i="1"/>
  <c r="BO335" i="1"/>
  <c r="BM335" i="1"/>
  <c r="Y335" i="1"/>
  <c r="BP335" i="1" s="1"/>
  <c r="P335" i="1"/>
  <c r="BO334" i="1"/>
  <c r="BM334" i="1"/>
  <c r="Y334" i="1"/>
  <c r="Q575" i="1" s="1"/>
  <c r="P334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0" i="1"/>
  <c r="X319" i="1"/>
  <c r="BO318" i="1"/>
  <c r="BM318" i="1"/>
  <c r="Y318" i="1"/>
  <c r="BP318" i="1" s="1"/>
  <c r="P318" i="1"/>
  <c r="BO317" i="1"/>
  <c r="BM317" i="1"/>
  <c r="Y317" i="1"/>
  <c r="BP317" i="1" s="1"/>
  <c r="P317" i="1"/>
  <c r="BO316" i="1"/>
  <c r="BM316" i="1"/>
  <c r="Y316" i="1"/>
  <c r="Y320" i="1" s="1"/>
  <c r="P316" i="1"/>
  <c r="BP315" i="1"/>
  <c r="BO315" i="1"/>
  <c r="BN315" i="1"/>
  <c r="BM315" i="1"/>
  <c r="Z315" i="1"/>
  <c r="Y315" i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Y304" i="1" s="1"/>
  <c r="P298" i="1"/>
  <c r="BP297" i="1"/>
  <c r="BO297" i="1"/>
  <c r="BN297" i="1"/>
  <c r="BM297" i="1"/>
  <c r="Z297" i="1"/>
  <c r="Y297" i="1"/>
  <c r="P297" i="1"/>
  <c r="X294" i="1"/>
  <c r="X293" i="1"/>
  <c r="BO292" i="1"/>
  <c r="BM292" i="1"/>
  <c r="Y292" i="1"/>
  <c r="BP292" i="1" s="1"/>
  <c r="P292" i="1"/>
  <c r="BO291" i="1"/>
  <c r="BM291" i="1"/>
  <c r="Y291" i="1"/>
  <c r="Y293" i="1" s="1"/>
  <c r="P291" i="1"/>
  <c r="X289" i="1"/>
  <c r="X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Y288" i="1" s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X258" i="1"/>
  <c r="X257" i="1"/>
  <c r="BO256" i="1"/>
  <c r="BM256" i="1"/>
  <c r="Y256" i="1"/>
  <c r="BP256" i="1" s="1"/>
  <c r="P256" i="1"/>
  <c r="BO255" i="1"/>
  <c r="BM255" i="1"/>
  <c r="Y255" i="1"/>
  <c r="M575" i="1" s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K575" i="1" s="1"/>
  <c r="P205" i="1"/>
  <c r="X201" i="1"/>
  <c r="X200" i="1"/>
  <c r="BO199" i="1"/>
  <c r="BM199" i="1"/>
  <c r="Y199" i="1"/>
  <c r="Y200" i="1" s="1"/>
  <c r="P199" i="1"/>
  <c r="X197" i="1"/>
  <c r="X196" i="1"/>
  <c r="BO195" i="1"/>
  <c r="BM195" i="1"/>
  <c r="Y195" i="1"/>
  <c r="Y196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I575" i="1" s="1"/>
  <c r="P152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X144" i="1"/>
  <c r="Y143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BP136" i="1" s="1"/>
  <c r="P136" i="1"/>
  <c r="X133" i="1"/>
  <c r="X132" i="1"/>
  <c r="BO131" i="1"/>
  <c r="BM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P124" i="1"/>
  <c r="X122" i="1"/>
  <c r="X121" i="1"/>
  <c r="BO120" i="1"/>
  <c r="BM120" i="1"/>
  <c r="Y120" i="1"/>
  <c r="P120" i="1"/>
  <c r="BO119" i="1"/>
  <c r="BM119" i="1"/>
  <c r="Y119" i="1"/>
  <c r="BP119" i="1" s="1"/>
  <c r="P119" i="1"/>
  <c r="BO118" i="1"/>
  <c r="BM118" i="1"/>
  <c r="Y118" i="1"/>
  <c r="Y122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Y103" i="1" s="1"/>
  <c r="P98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P82" i="1"/>
  <c r="BO82" i="1"/>
  <c r="BN82" i="1"/>
  <c r="BM82" i="1"/>
  <c r="Z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O70" i="1"/>
  <c r="BM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E575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7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567" i="1" s="1"/>
  <c r="BM22" i="1"/>
  <c r="Y22" i="1"/>
  <c r="B575" i="1" s="1"/>
  <c r="P22" i="1"/>
  <c r="H10" i="1"/>
  <c r="A9" i="1"/>
  <c r="F10" i="1" s="1"/>
  <c r="D7" i="1"/>
  <c r="Q6" i="1"/>
  <c r="P2" i="1"/>
  <c r="BP344" i="1" l="1"/>
  <c r="BN344" i="1"/>
  <c r="BP350" i="1"/>
  <c r="BN350" i="1"/>
  <c r="Z350" i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X566" i="1"/>
  <c r="X568" i="1" s="1"/>
  <c r="X569" i="1"/>
  <c r="Z27" i="1"/>
  <c r="BN27" i="1"/>
  <c r="Z35" i="1"/>
  <c r="BN35" i="1"/>
  <c r="Z43" i="1"/>
  <c r="BN43" i="1"/>
  <c r="Z51" i="1"/>
  <c r="BN51" i="1"/>
  <c r="Z60" i="1"/>
  <c r="BN60" i="1"/>
  <c r="Z64" i="1"/>
  <c r="BN64" i="1"/>
  <c r="Z70" i="1"/>
  <c r="BN70" i="1"/>
  <c r="BP70" i="1"/>
  <c r="Z78" i="1"/>
  <c r="BN78" i="1"/>
  <c r="Y86" i="1"/>
  <c r="Z84" i="1"/>
  <c r="BN84" i="1"/>
  <c r="Z91" i="1"/>
  <c r="BN91" i="1"/>
  <c r="Z99" i="1"/>
  <c r="BN99" i="1"/>
  <c r="Z106" i="1"/>
  <c r="BN106" i="1"/>
  <c r="Z111" i="1"/>
  <c r="BN111" i="1"/>
  <c r="Z119" i="1"/>
  <c r="BN119" i="1"/>
  <c r="Z125" i="1"/>
  <c r="BN125" i="1"/>
  <c r="Z131" i="1"/>
  <c r="Z132" i="1" s="1"/>
  <c r="BN131" i="1"/>
  <c r="BP131" i="1"/>
  <c r="Y132" i="1"/>
  <c r="Z136" i="1"/>
  <c r="BN136" i="1"/>
  <c r="Y148" i="1"/>
  <c r="Z153" i="1"/>
  <c r="BN153" i="1"/>
  <c r="Z159" i="1"/>
  <c r="Z160" i="1" s="1"/>
  <c r="BN159" i="1"/>
  <c r="BP159" i="1"/>
  <c r="Y160" i="1"/>
  <c r="Z164" i="1"/>
  <c r="BN164" i="1"/>
  <c r="Z172" i="1"/>
  <c r="BN172" i="1"/>
  <c r="Y188" i="1"/>
  <c r="Z178" i="1"/>
  <c r="BN178" i="1"/>
  <c r="Z182" i="1"/>
  <c r="BN182" i="1"/>
  <c r="Z186" i="1"/>
  <c r="BN186" i="1"/>
  <c r="Y192" i="1"/>
  <c r="Z206" i="1"/>
  <c r="BN206" i="1"/>
  <c r="Z210" i="1"/>
  <c r="BN210" i="1"/>
  <c r="L575" i="1"/>
  <c r="Y233" i="1"/>
  <c r="Z223" i="1"/>
  <c r="BN223" i="1"/>
  <c r="Z227" i="1"/>
  <c r="BN227" i="1"/>
  <c r="Z231" i="1"/>
  <c r="BN231" i="1"/>
  <c r="Y241" i="1"/>
  <c r="Z239" i="1"/>
  <c r="BN239" i="1"/>
  <c r="Y247" i="1"/>
  <c r="Z256" i="1"/>
  <c r="BN256" i="1"/>
  <c r="Z266" i="1"/>
  <c r="BN266" i="1"/>
  <c r="Z270" i="1"/>
  <c r="BN270" i="1"/>
  <c r="Z276" i="1"/>
  <c r="BN276" i="1"/>
  <c r="BP276" i="1"/>
  <c r="Z280" i="1"/>
  <c r="BN280" i="1"/>
  <c r="Z284" i="1"/>
  <c r="BN284" i="1"/>
  <c r="Z292" i="1"/>
  <c r="BN292" i="1"/>
  <c r="Z299" i="1"/>
  <c r="BN299" i="1"/>
  <c r="Z303" i="1"/>
  <c r="BN303" i="1"/>
  <c r="Y319" i="1"/>
  <c r="Z317" i="1"/>
  <c r="BN317" i="1"/>
  <c r="P575" i="1"/>
  <c r="Z326" i="1"/>
  <c r="BN326" i="1"/>
  <c r="Z335" i="1"/>
  <c r="BN335" i="1"/>
  <c r="R575" i="1"/>
  <c r="Z344" i="1"/>
  <c r="BP366" i="1"/>
  <c r="BN366" i="1"/>
  <c r="Z366" i="1"/>
  <c r="BP377" i="1"/>
  <c r="BN377" i="1"/>
  <c r="Z377" i="1"/>
  <c r="BP387" i="1"/>
  <c r="BN387" i="1"/>
  <c r="Z387" i="1"/>
  <c r="BP405" i="1"/>
  <c r="BN405" i="1"/>
  <c r="Z405" i="1"/>
  <c r="BP417" i="1"/>
  <c r="BN417" i="1"/>
  <c r="Z417" i="1"/>
  <c r="BP440" i="1"/>
  <c r="BN440" i="1"/>
  <c r="Z440" i="1"/>
  <c r="BP450" i="1"/>
  <c r="BN450" i="1"/>
  <c r="Z450" i="1"/>
  <c r="Y459" i="1"/>
  <c r="BP469" i="1"/>
  <c r="BN469" i="1"/>
  <c r="Z469" i="1"/>
  <c r="BP489" i="1"/>
  <c r="BN489" i="1"/>
  <c r="Z489" i="1"/>
  <c r="BP516" i="1"/>
  <c r="BN516" i="1"/>
  <c r="Z516" i="1"/>
  <c r="Y525" i="1"/>
  <c r="Y535" i="1"/>
  <c r="BP530" i="1"/>
  <c r="BN530" i="1"/>
  <c r="Z530" i="1"/>
  <c r="Y352" i="1"/>
  <c r="Y389" i="1"/>
  <c r="Y395" i="1"/>
  <c r="Y402" i="1"/>
  <c r="Y414" i="1"/>
  <c r="Y421" i="1"/>
  <c r="Y453" i="1"/>
  <c r="Y481" i="1"/>
  <c r="Y480" i="1"/>
  <c r="Y558" i="1"/>
  <c r="AC575" i="1"/>
  <c r="Z46" i="1"/>
  <c r="H9" i="1"/>
  <c r="A10" i="1"/>
  <c r="Y24" i="1"/>
  <c r="Y32" i="1"/>
  <c r="Y36" i="1"/>
  <c r="Y46" i="1"/>
  <c r="Y56" i="1"/>
  <c r="Y67" i="1"/>
  <c r="Y75" i="1"/>
  <c r="Y79" i="1"/>
  <c r="Y85" i="1"/>
  <c r="Y96" i="1"/>
  <c r="Y102" i="1"/>
  <c r="BP112" i="1"/>
  <c r="BN112" i="1"/>
  <c r="Z112" i="1"/>
  <c r="Y114" i="1"/>
  <c r="Y121" i="1"/>
  <c r="BP116" i="1"/>
  <c r="BN116" i="1"/>
  <c r="Z116" i="1"/>
  <c r="BP120" i="1"/>
  <c r="BN120" i="1"/>
  <c r="Z120" i="1"/>
  <c r="F9" i="1"/>
  <c r="J9" i="1"/>
  <c r="Z22" i="1"/>
  <c r="Z23" i="1" s="1"/>
  <c r="BN22" i="1"/>
  <c r="BP22" i="1"/>
  <c r="Y23" i="1"/>
  <c r="X565" i="1"/>
  <c r="Z26" i="1"/>
  <c r="Z31" i="1" s="1"/>
  <c r="BN26" i="1"/>
  <c r="BP26" i="1"/>
  <c r="Z28" i="1"/>
  <c r="BN28" i="1"/>
  <c r="Z30" i="1"/>
  <c r="BN30" i="1"/>
  <c r="Z34" i="1"/>
  <c r="Z36" i="1" s="1"/>
  <c r="BN34" i="1"/>
  <c r="BP34" i="1"/>
  <c r="C575" i="1"/>
  <c r="Z42" i="1"/>
  <c r="BN42" i="1"/>
  <c r="Z44" i="1"/>
  <c r="BN44" i="1"/>
  <c r="Y47" i="1"/>
  <c r="D575" i="1"/>
  <c r="Z52" i="1"/>
  <c r="BN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5" i="1" s="1"/>
  <c r="BN83" i="1"/>
  <c r="F575" i="1"/>
  <c r="Z90" i="1"/>
  <c r="BN90" i="1"/>
  <c r="Z92" i="1"/>
  <c r="BN92" i="1"/>
  <c r="Z94" i="1"/>
  <c r="BN94" i="1"/>
  <c r="Y95" i="1"/>
  <c r="Z98" i="1"/>
  <c r="BN98" i="1"/>
  <c r="BP98" i="1"/>
  <c r="Z100" i="1"/>
  <c r="BN100" i="1"/>
  <c r="G575" i="1"/>
  <c r="Y113" i="1"/>
  <c r="Z107" i="1"/>
  <c r="BN107" i="1"/>
  <c r="Z109" i="1"/>
  <c r="BN109" i="1"/>
  <c r="BP110" i="1"/>
  <c r="BN110" i="1"/>
  <c r="Z110" i="1"/>
  <c r="BP118" i="1"/>
  <c r="BN118" i="1"/>
  <c r="Z118" i="1"/>
  <c r="BP126" i="1"/>
  <c r="BN126" i="1"/>
  <c r="Z126" i="1"/>
  <c r="Y129" i="1"/>
  <c r="BP124" i="1"/>
  <c r="BN124" i="1"/>
  <c r="Z124" i="1"/>
  <c r="Y128" i="1"/>
  <c r="BP137" i="1"/>
  <c r="BN137" i="1"/>
  <c r="Z137" i="1"/>
  <c r="Z138" i="1" s="1"/>
  <c r="Y139" i="1"/>
  <c r="Y144" i="1"/>
  <c r="BP141" i="1"/>
  <c r="BN141" i="1"/>
  <c r="Z141" i="1"/>
  <c r="Z143" i="1" s="1"/>
  <c r="Y149" i="1"/>
  <c r="Y156" i="1"/>
  <c r="Y169" i="1"/>
  <c r="Y173" i="1"/>
  <c r="Y187" i="1"/>
  <c r="Y193" i="1"/>
  <c r="Y197" i="1"/>
  <c r="Y201" i="1"/>
  <c r="Y213" i="1"/>
  <c r="Y218" i="1"/>
  <c r="Y234" i="1"/>
  <c r="Y242" i="1"/>
  <c r="Y248" i="1"/>
  <c r="Y252" i="1"/>
  <c r="Y257" i="1"/>
  <c r="BP267" i="1"/>
  <c r="BN267" i="1"/>
  <c r="Z267" i="1"/>
  <c r="BP271" i="1"/>
  <c r="BN271" i="1"/>
  <c r="Z271" i="1"/>
  <c r="BP279" i="1"/>
  <c r="BN279" i="1"/>
  <c r="Z279" i="1"/>
  <c r="H575" i="1"/>
  <c r="Y138" i="1"/>
  <c r="Z147" i="1"/>
  <c r="Z148" i="1" s="1"/>
  <c r="BN147" i="1"/>
  <c r="Z152" i="1"/>
  <c r="BN152" i="1"/>
  <c r="BP152" i="1"/>
  <c r="Z154" i="1"/>
  <c r="BN154" i="1"/>
  <c r="Y157" i="1"/>
  <c r="J575" i="1"/>
  <c r="Z165" i="1"/>
  <c r="BN165" i="1"/>
  <c r="Z167" i="1"/>
  <c r="BN167" i="1"/>
  <c r="Y168" i="1"/>
  <c r="Z171" i="1"/>
  <c r="Z173" i="1" s="1"/>
  <c r="BN171" i="1"/>
  <c r="BP171" i="1"/>
  <c r="Z177" i="1"/>
  <c r="BN177" i="1"/>
  <c r="Z179" i="1"/>
  <c r="BN179" i="1"/>
  <c r="Z181" i="1"/>
  <c r="BN181" i="1"/>
  <c r="Z183" i="1"/>
  <c r="BN183" i="1"/>
  <c r="Z185" i="1"/>
  <c r="BN185" i="1"/>
  <c r="Z191" i="1"/>
  <c r="Z192" i="1" s="1"/>
  <c r="BN191" i="1"/>
  <c r="Z195" i="1"/>
  <c r="Z196" i="1" s="1"/>
  <c r="BN195" i="1"/>
  <c r="BP195" i="1"/>
  <c r="Z199" i="1"/>
  <c r="Z200" i="1" s="1"/>
  <c r="BN199" i="1"/>
  <c r="BP199" i="1"/>
  <c r="Z205" i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BN255" i="1"/>
  <c r="BP255" i="1"/>
  <c r="Y258" i="1"/>
  <c r="Y262" i="1"/>
  <c r="Z261" i="1"/>
  <c r="Z262" i="1" s="1"/>
  <c r="BN261" i="1"/>
  <c r="Y263" i="1"/>
  <c r="Y274" i="1"/>
  <c r="BP265" i="1"/>
  <c r="BN265" i="1"/>
  <c r="Z265" i="1"/>
  <c r="BP269" i="1"/>
  <c r="BN269" i="1"/>
  <c r="Z269" i="1"/>
  <c r="Y273" i="1"/>
  <c r="Y289" i="1"/>
  <c r="BP277" i="1"/>
  <c r="BN277" i="1"/>
  <c r="Z277" i="1"/>
  <c r="Z288" i="1" s="1"/>
  <c r="BP281" i="1"/>
  <c r="BN281" i="1"/>
  <c r="Z281" i="1"/>
  <c r="Z414" i="1"/>
  <c r="Z283" i="1"/>
  <c r="BN283" i="1"/>
  <c r="Z285" i="1"/>
  <c r="BN285" i="1"/>
  <c r="Z287" i="1"/>
  <c r="BN287" i="1"/>
  <c r="Z291" i="1"/>
  <c r="Z293" i="1" s="1"/>
  <c r="BN291" i="1"/>
  <c r="BP291" i="1"/>
  <c r="Y294" i="1"/>
  <c r="O575" i="1"/>
  <c r="Z298" i="1"/>
  <c r="Z304" i="1" s="1"/>
  <c r="BN298" i="1"/>
  <c r="BP298" i="1"/>
  <c r="Z300" i="1"/>
  <c r="BN300" i="1"/>
  <c r="Z302" i="1"/>
  <c r="BN302" i="1"/>
  <c r="Y305" i="1"/>
  <c r="Z316" i="1"/>
  <c r="Z319" i="1" s="1"/>
  <c r="BN316" i="1"/>
  <c r="BP316" i="1"/>
  <c r="Z318" i="1"/>
  <c r="BN318" i="1"/>
  <c r="Z323" i="1"/>
  <c r="BN323" i="1"/>
  <c r="BP323" i="1"/>
  <c r="Z325" i="1"/>
  <c r="BN325" i="1"/>
  <c r="Z327" i="1"/>
  <c r="BN327" i="1"/>
  <c r="Z329" i="1"/>
  <c r="BN329" i="1"/>
  <c r="Y330" i="1"/>
  <c r="Z334" i="1"/>
  <c r="BN334" i="1"/>
  <c r="BP334" i="1"/>
  <c r="Z336" i="1"/>
  <c r="BN336" i="1"/>
  <c r="Y337" i="1"/>
  <c r="Z341" i="1"/>
  <c r="BN341" i="1"/>
  <c r="BP341" i="1"/>
  <c r="Z343" i="1"/>
  <c r="BN343" i="1"/>
  <c r="Y346" i="1"/>
  <c r="Z349" i="1"/>
  <c r="Z351" i="1" s="1"/>
  <c r="BN349" i="1"/>
  <c r="BP349" i="1"/>
  <c r="Y357" i="1"/>
  <c r="T575" i="1"/>
  <c r="Z365" i="1"/>
  <c r="Z367" i="1" s="1"/>
  <c r="BN365" i="1"/>
  <c r="BP365" i="1"/>
  <c r="Y368" i="1"/>
  <c r="U575" i="1"/>
  <c r="Z372" i="1"/>
  <c r="BN372" i="1"/>
  <c r="BP372" i="1"/>
  <c r="Z374" i="1"/>
  <c r="BN374" i="1"/>
  <c r="Z376" i="1"/>
  <c r="BN376" i="1"/>
  <c r="Y379" i="1"/>
  <c r="Z382" i="1"/>
  <c r="BN382" i="1"/>
  <c r="BP382" i="1"/>
  <c r="Z384" i="1"/>
  <c r="BN384" i="1"/>
  <c r="Z386" i="1"/>
  <c r="BN386" i="1"/>
  <c r="Z392" i="1"/>
  <c r="Z395" i="1" s="1"/>
  <c r="BN392" i="1"/>
  <c r="BP392" i="1"/>
  <c r="Z394" i="1"/>
  <c r="BN394" i="1"/>
  <c r="Z398" i="1"/>
  <c r="BN398" i="1"/>
  <c r="BP398" i="1"/>
  <c r="Z400" i="1"/>
  <c r="BN400" i="1"/>
  <c r="Y401" i="1"/>
  <c r="Z404" i="1"/>
  <c r="BN404" i="1"/>
  <c r="BP404" i="1"/>
  <c r="Z406" i="1"/>
  <c r="BN406" i="1"/>
  <c r="Y409" i="1"/>
  <c r="Z412" i="1"/>
  <c r="BN412" i="1"/>
  <c r="BP412" i="1"/>
  <c r="Y420" i="1"/>
  <c r="Z418" i="1"/>
  <c r="Z420" i="1" s="1"/>
  <c r="BN418" i="1"/>
  <c r="BP418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Y464" i="1"/>
  <c r="BP478" i="1"/>
  <c r="BN478" i="1"/>
  <c r="Z478" i="1"/>
  <c r="Z480" i="1" s="1"/>
  <c r="BP488" i="1"/>
  <c r="BN488" i="1"/>
  <c r="Z488" i="1"/>
  <c r="Y331" i="1"/>
  <c r="Y338" i="1"/>
  <c r="Y345" i="1"/>
  <c r="V575" i="1"/>
  <c r="Y427" i="1"/>
  <c r="BP424" i="1"/>
  <c r="BN424" i="1"/>
  <c r="Z424" i="1"/>
  <c r="BP433" i="1"/>
  <c r="BN433" i="1"/>
  <c r="Z433" i="1"/>
  <c r="Y435" i="1"/>
  <c r="X575" i="1"/>
  <c r="Y448" i="1"/>
  <c r="BP439" i="1"/>
  <c r="BN439" i="1"/>
  <c r="Z439" i="1"/>
  <c r="Z447" i="1" s="1"/>
  <c r="BP443" i="1"/>
  <c r="BN443" i="1"/>
  <c r="Z443" i="1"/>
  <c r="Y447" i="1"/>
  <c r="BP451" i="1"/>
  <c r="BN451" i="1"/>
  <c r="Z451" i="1"/>
  <c r="Z453" i="1" s="1"/>
  <c r="BP463" i="1"/>
  <c r="BN463" i="1"/>
  <c r="Z463" i="1"/>
  <c r="Z464" i="1" s="1"/>
  <c r="Y465" i="1"/>
  <c r="Y575" i="1"/>
  <c r="Y471" i="1"/>
  <c r="BP468" i="1"/>
  <c r="BN468" i="1"/>
  <c r="Z468" i="1"/>
  <c r="Z470" i="1" s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BP529" i="1"/>
  <c r="BN529" i="1"/>
  <c r="Z529" i="1"/>
  <c r="BP533" i="1"/>
  <c r="BN533" i="1"/>
  <c r="Z533" i="1"/>
  <c r="Z388" i="1" l="1"/>
  <c r="Z113" i="1"/>
  <c r="Z95" i="1"/>
  <c r="Z74" i="1"/>
  <c r="Z535" i="1"/>
  <c r="Z519" i="1"/>
  <c r="Z491" i="1"/>
  <c r="Z459" i="1"/>
  <c r="Z378" i="1"/>
  <c r="Z257" i="1"/>
  <c r="Z247" i="1"/>
  <c r="Z233" i="1"/>
  <c r="Z212" i="1"/>
  <c r="Z187" i="1"/>
  <c r="Z168" i="1"/>
  <c r="Z128" i="1"/>
  <c r="Z55" i="1"/>
  <c r="Y569" i="1"/>
  <c r="Y566" i="1"/>
  <c r="Z506" i="1"/>
  <c r="Z427" i="1"/>
  <c r="Z434" i="1"/>
  <c r="Z408" i="1"/>
  <c r="Z401" i="1"/>
  <c r="Z345" i="1"/>
  <c r="Z337" i="1"/>
  <c r="Z330" i="1"/>
  <c r="Z273" i="1"/>
  <c r="Z241" i="1"/>
  <c r="Z156" i="1"/>
  <c r="Z102" i="1"/>
  <c r="Y567" i="1"/>
  <c r="Z121" i="1"/>
  <c r="Y565" i="1"/>
  <c r="Z570" i="1" l="1"/>
  <c r="Y568" i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<sst xmlns="http://schemas.openxmlformats.org/spreadsheetml/2006/main" count="2535" uniqueCount="913">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</sst>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11</v>
      </c>
      <c r="Y28" s="636">
        <f>IFERROR(IF(X28="",0,CEILING((X28/$H28),1)*$H28),"")</f>
        <v>12.6</v>
      </c>
      <c r="Z28" s="36">
        <f>IFERROR(IF(Y28=0,"",ROUNDUP(Y28/H28,0)*0.00651),"")</f>
        <v>4.5569999999999999E-2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19.433333333333334</v>
      </c>
      <c r="BN28" s="64">
        <f>IFERROR(Y28*I28/H28,"0")</f>
        <v>22.259999999999998</v>
      </c>
      <c r="BO28" s="64">
        <f>IFERROR(1/J28*(X28/H28),"0")</f>
        <v>3.3577533577533576E-2</v>
      </c>
      <c r="BP28" s="64">
        <f>IFERROR(1/J28*(Y28/H28),"0")</f>
        <v>3.8461538461538464E-2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15</v>
      </c>
      <c r="Y29" s="636">
        <f>IFERROR(IF(X29="",0,CEILING((X29/$H29),1)*$H29),"")</f>
        <v>16.2</v>
      </c>
      <c r="Z29" s="36">
        <f>IFERROR(IF(Y29=0,"",ROUNDUP(Y29/H29,0)*0.00651),"")</f>
        <v>5.8590000000000003E-2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26.5</v>
      </c>
      <c r="BN29" s="64">
        <f>IFERROR(Y29*I29/H29,"0")</f>
        <v>28.619999999999997</v>
      </c>
      <c r="BO29" s="64">
        <f>IFERROR(1/J29*(X29/H29),"0")</f>
        <v>4.5787545787545791E-2</v>
      </c>
      <c r="BP29" s="64">
        <f>IFERROR(1/J29*(Y29/H29),"0")</f>
        <v>4.9450549450549455E-2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14.444444444444445</v>
      </c>
      <c r="Y31" s="637">
        <f>IFERROR(Y26/H26,"0")+IFERROR(Y27/H27,"0")+IFERROR(Y28/H28,"0")+IFERROR(Y29/H29,"0")+IFERROR(Y30/H30,"0")</f>
        <v>16</v>
      </c>
      <c r="Z31" s="637">
        <f>IFERROR(IF(Z26="",0,Z26),"0")+IFERROR(IF(Z27="",0,Z27),"0")+IFERROR(IF(Z28="",0,Z28),"0")+IFERROR(IF(Z29="",0,Z29),"0")+IFERROR(IF(Z30="",0,Z30),"0")</f>
        <v>0.10416</v>
      </c>
      <c r="AA31" s="638"/>
      <c r="AB31" s="638"/>
      <c r="AC31" s="638"/>
    </row>
    <row r="32" spans="1:68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26</v>
      </c>
      <c r="Y32" s="637">
        <f>IFERROR(SUM(Y26:Y30),"0")</f>
        <v>28.799999999999997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6</v>
      </c>
      <c r="Y51" s="636">
        <f>IFERROR(IF(X51="",0,CEILING((X51/$H51),1)*$H51),"")</f>
        <v>10.8</v>
      </c>
      <c r="Z51" s="36">
        <f>IFERROR(IF(Y51=0,"",ROUNDUP(Y51/H51,0)*0.01898),"")</f>
        <v>1.898E-2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6.2277777777777779</v>
      </c>
      <c r="BN51" s="64">
        <f>IFERROR(Y51*I51/H51,"0")</f>
        <v>11.21</v>
      </c>
      <c r="BO51" s="64">
        <f>IFERROR(1/J51*(X51/H51),"0")</f>
        <v>8.6805555555555542E-3</v>
      </c>
      <c r="BP51" s="64">
        <f>IFERROR(1/J51*(Y51/H51),"0")</f>
        <v>1.5625E-2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30</v>
      </c>
      <c r="Y54" s="636">
        <f>IFERROR(IF(X54="",0,CEILING((X54/$H54),1)*$H54),"")</f>
        <v>33.300000000000004</v>
      </c>
      <c r="Z54" s="36">
        <f>IFERROR(IF(Y54=0,"",ROUNDUP(Y54/H54,0)*0.00902),"")</f>
        <v>8.1180000000000002E-2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31.54054054054054</v>
      </c>
      <c r="BN54" s="64">
        <f>IFERROR(Y54*I54/H54,"0")</f>
        <v>35.010000000000005</v>
      </c>
      <c r="BO54" s="64">
        <f>IFERROR(1/J54*(X54/H54),"0")</f>
        <v>6.142506142506142E-2</v>
      </c>
      <c r="BP54" s="64">
        <f>IFERROR(1/J54*(Y54/H54),"0")</f>
        <v>6.8181818181818177E-2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8.6636636636636624</v>
      </c>
      <c r="Y55" s="637">
        <f>IFERROR(Y51/H51,"0")+IFERROR(Y52/H52,"0")+IFERROR(Y53/H53,"0")+IFERROR(Y54/H54,"0")</f>
        <v>10</v>
      </c>
      <c r="Z55" s="637">
        <f>IFERROR(IF(Z51="",0,Z51),"0")+IFERROR(IF(Z52="",0,Z52),"0")+IFERROR(IF(Z53="",0,Z53),"0")+IFERROR(IF(Z54="",0,Z54),"0")</f>
        <v>0.10016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36</v>
      </c>
      <c r="Y56" s="637">
        <f>IFERROR(SUM(Y51:Y54),"0")</f>
        <v>44.100000000000009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17</v>
      </c>
      <c r="Y63" s="636">
        <f t="shared" si="0"/>
        <v>20</v>
      </c>
      <c r="Z63" s="36">
        <f>IFERROR(IF(Y63=0,"",ROUNDUP(Y63/H63,0)*0.00902),"")</f>
        <v>4.5100000000000001E-2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17.807500000000001</v>
      </c>
      <c r="BN63" s="64">
        <f t="shared" si="2"/>
        <v>20.950000000000003</v>
      </c>
      <c r="BO63" s="64">
        <f t="shared" si="3"/>
        <v>3.2196969696969696E-2</v>
      </c>
      <c r="BP63" s="64">
        <f t="shared" si="4"/>
        <v>3.787878787878788E-2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77</v>
      </c>
      <c r="Y66" s="636">
        <f t="shared" si="0"/>
        <v>81</v>
      </c>
      <c r="Z66" s="36">
        <f>IFERROR(IF(Y66=0,"",ROUNDUP(Y66/H66,0)*0.00902),"")</f>
        <v>0.16236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80.251111111111129</v>
      </c>
      <c r="BN66" s="64">
        <f t="shared" si="2"/>
        <v>84.420000000000016</v>
      </c>
      <c r="BO66" s="64">
        <f t="shared" si="3"/>
        <v>0.12962962962962962</v>
      </c>
      <c r="BP66" s="64">
        <f t="shared" si="4"/>
        <v>0.13636363636363635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21.361111111111111</v>
      </c>
      <c r="Y67" s="637">
        <f>IFERROR(Y59/H59,"0")+IFERROR(Y60/H60,"0")+IFERROR(Y61/H61,"0")+IFERROR(Y62/H62,"0")+IFERROR(Y63/H63,"0")+IFERROR(Y64/H64,"0")+IFERROR(Y65/H65,"0")+IFERROR(Y66/H66,"0")</f>
        <v>23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0.20746000000000001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94</v>
      </c>
      <c r="Y68" s="637">
        <f>IFERROR(SUM(Y59:Y66),"0")</f>
        <v>101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258</v>
      </c>
      <c r="Y82" s="636">
        <f>IFERROR(IF(X82="",0,CEILING((X82/$H82),1)*$H82),"")</f>
        <v>265.2</v>
      </c>
      <c r="Z82" s="36">
        <f>IFERROR(IF(Y82=0,"",ROUNDUP(Y82/H82,0)*0.01898),"")</f>
        <v>0.64532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271.56153846153853</v>
      </c>
      <c r="BN82" s="64">
        <f>IFERROR(Y82*I82/H82,"0")</f>
        <v>279.14</v>
      </c>
      <c r="BO82" s="64">
        <f>IFERROR(1/J82*(X82/H82),"0")</f>
        <v>0.51682692307692313</v>
      </c>
      <c r="BP82" s="64">
        <f>IFERROR(1/J82*(Y82/H82),"0")</f>
        <v>0.53125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33.07692307692308</v>
      </c>
      <c r="Y85" s="637">
        <f>IFERROR(Y82/H82,"0")+IFERROR(Y83/H83,"0")+IFERROR(Y84/H84,"0")</f>
        <v>34</v>
      </c>
      <c r="Z85" s="637">
        <f>IFERROR(IF(Z82="",0,Z82),"0")+IFERROR(IF(Z83="",0,Z83),"0")+IFERROR(IF(Z84="",0,Z84),"0")</f>
        <v>0.64532</v>
      </c>
      <c r="AA85" s="638"/>
      <c r="AB85" s="638"/>
      <c r="AC85" s="638"/>
    </row>
    <row r="86" spans="1:68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258</v>
      </c>
      <c r="Y86" s="637">
        <f>IFERROR(SUM(Y82:Y84),"0")</f>
        <v>265.2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220</v>
      </c>
      <c r="Y89" s="636">
        <f t="shared" ref="Y89:Y94" si="5">IFERROR(IF(X89="",0,CEILING((X89/$H89),1)*$H89),"")</f>
        <v>226.8</v>
      </c>
      <c r="Z89" s="36">
        <f>IFERROR(IF(Y89=0,"",ROUNDUP(Y89/H89,0)*0.01898),"")</f>
        <v>0.39857999999999999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228.35185185185188</v>
      </c>
      <c r="BN89" s="64">
        <f t="shared" ref="BN89:BN94" si="7">IFERROR(Y89*I89/H89,"0")</f>
        <v>235.41000000000003</v>
      </c>
      <c r="BO89" s="64">
        <f t="shared" ref="BO89:BO94" si="8">IFERROR(1/J89*(X89/H89),"0")</f>
        <v>0.31828703703703703</v>
      </c>
      <c r="BP89" s="64">
        <f t="shared" ref="BP89:BP94" si="9">IFERROR(1/J89*(Y89/H89),"0")</f>
        <v>0.328125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207</v>
      </c>
      <c r="Y94" s="636">
        <f t="shared" si="5"/>
        <v>207</v>
      </c>
      <c r="Z94" s="36">
        <f>IFERROR(IF(Y94=0,"",ROUNDUP(Y94/H94,0)*0.00902),"")</f>
        <v>0.41492000000000001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215.74</v>
      </c>
      <c r="BN94" s="64">
        <f t="shared" si="7"/>
        <v>215.74</v>
      </c>
      <c r="BO94" s="64">
        <f t="shared" si="8"/>
        <v>0.34848484848484851</v>
      </c>
      <c r="BP94" s="64">
        <f t="shared" si="9"/>
        <v>0.34848484848484851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66.370370370370367</v>
      </c>
      <c r="Y95" s="637">
        <f>IFERROR(Y89/H89,"0")+IFERROR(Y90/H90,"0")+IFERROR(Y91/H91,"0")+IFERROR(Y92/H92,"0")+IFERROR(Y93/H93,"0")+IFERROR(Y94/H94,"0")</f>
        <v>67</v>
      </c>
      <c r="Z95" s="637">
        <f>IFERROR(IF(Z89="",0,Z89),"0")+IFERROR(IF(Z90="",0,Z90),"0")+IFERROR(IF(Z91="",0,Z91),"0")+IFERROR(IF(Z92="",0,Z92),"0")+IFERROR(IF(Z93="",0,Z93),"0")+IFERROR(IF(Z94="",0,Z94),"0")</f>
        <v>0.8135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427</v>
      </c>
      <c r="Y96" s="637">
        <f>IFERROR(SUM(Y89:Y94),"0")</f>
        <v>433.8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125</v>
      </c>
      <c r="Y106" s="636">
        <f t="shared" ref="Y106:Y112" si="10">IFERROR(IF(X106="",0,CEILING((X106/$H106),1)*$H106),"")</f>
        <v>129.60000000000002</v>
      </c>
      <c r="Z106" s="36">
        <f>IFERROR(IF(Y106=0,"",ROUNDUP(Y106/H106,0)*0.01898),"")</f>
        <v>0.22776000000000002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129.74537037037035</v>
      </c>
      <c r="BN106" s="64">
        <f t="shared" ref="BN106:BN112" si="12">IFERROR(Y106*I106/H106,"0")</f>
        <v>134.52000000000001</v>
      </c>
      <c r="BO106" s="64">
        <f t="shared" ref="BO106:BO112" si="13">IFERROR(1/J106*(X106/H106),"0")</f>
        <v>0.18084490740740738</v>
      </c>
      <c r="BP106" s="64">
        <f t="shared" ref="BP106:BP112" si="14">IFERROR(1/J106*(Y106/H106),"0")</f>
        <v>0.18750000000000003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202</v>
      </c>
      <c r="Y110" s="636">
        <f t="shared" si="10"/>
        <v>202.5</v>
      </c>
      <c r="Z110" s="36">
        <f>IFERROR(IF(Y110=0,"",ROUNDUP(Y110/H110,0)*0.00902),"")</f>
        <v>0.40590000000000004</v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210.5288888888889</v>
      </c>
      <c r="BN110" s="64">
        <f t="shared" si="12"/>
        <v>211.05</v>
      </c>
      <c r="BO110" s="64">
        <f t="shared" si="13"/>
        <v>0.34006734006734007</v>
      </c>
      <c r="BP110" s="64">
        <f t="shared" si="14"/>
        <v>0.34090909090909094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56.462962962962962</v>
      </c>
      <c r="Y113" s="637">
        <f>IFERROR(Y106/H106,"0")+IFERROR(Y107/H107,"0")+IFERROR(Y108/H108,"0")+IFERROR(Y109/H109,"0")+IFERROR(Y110/H110,"0")+IFERROR(Y111/H111,"0")+IFERROR(Y112/H112,"0")</f>
        <v>57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0.63366000000000011</v>
      </c>
      <c r="AA113" s="638"/>
      <c r="AB113" s="638"/>
      <c r="AC113" s="638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327</v>
      </c>
      <c r="Y114" s="637">
        <f>IFERROR(SUM(Y106:Y112),"0")</f>
        <v>332.1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4</v>
      </c>
      <c r="Y116" s="636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91</v>
      </c>
      <c r="Y120" s="636">
        <f>IFERROR(IF(X120="",0,CEILING((X120/$H120),1)*$H120),"")</f>
        <v>91.2</v>
      </c>
      <c r="Z120" s="36">
        <f>IFERROR(IF(Y120=0,"",ROUNDUP(Y120/H120,0)*0.00651),"")</f>
        <v>0.24738000000000002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97.825000000000003</v>
      </c>
      <c r="BN120" s="64">
        <f>IFERROR(Y120*I120/H120,"0")</f>
        <v>98.04</v>
      </c>
      <c r="BO120" s="64">
        <f>IFERROR(1/J120*(X120/H120),"0")</f>
        <v>0.20833333333333337</v>
      </c>
      <c r="BP120" s="64">
        <f>IFERROR(1/J120*(Y120/H120),"0")</f>
        <v>0.2087912087912088</v>
      </c>
    </row>
    <row r="121" spans="1:68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38.287037037037045</v>
      </c>
      <c r="Y121" s="637">
        <f>IFERROR(Y116/H116,"0")+IFERROR(Y117/H117,"0")+IFERROR(Y118/H118,"0")+IFERROR(Y119/H119,"0")+IFERROR(Y120/H120,"0")</f>
        <v>39</v>
      </c>
      <c r="Z121" s="637">
        <f>IFERROR(IF(Z116="",0,Z116),"0")+IFERROR(IF(Z117="",0,Z117),"0")+IFERROR(IF(Z118="",0,Z118),"0")+IFERROR(IF(Z119="",0,Z119),"0")+IFERROR(IF(Z120="",0,Z120),"0")</f>
        <v>0.26636000000000004</v>
      </c>
      <c r="AA121" s="638"/>
      <c r="AB121" s="638"/>
      <c r="AC121" s="638"/>
    </row>
    <row r="122" spans="1:68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95</v>
      </c>
      <c r="Y122" s="637">
        <f>IFERROR(SUM(Y116:Y120),"0")</f>
        <v>102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707</v>
      </c>
      <c r="Y124" s="636">
        <f>IFERROR(IF(X124="",0,CEILING((X124/$H124),1)*$H124),"")</f>
        <v>712.8</v>
      </c>
      <c r="Z124" s="36">
        <f>IFERROR(IF(Y124=0,"",ROUNDUP(Y124/H124,0)*0.01898),"")</f>
        <v>1.6702399999999999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749.59456790123454</v>
      </c>
      <c r="BN124" s="64">
        <f>IFERROR(Y124*I124/H124,"0")</f>
        <v>755.74399999999991</v>
      </c>
      <c r="BO124" s="64">
        <f>IFERROR(1/J124*(X124/H124),"0")</f>
        <v>1.3638117283950617</v>
      </c>
      <c r="BP124" s="64">
        <f>IFERROR(1/J124*(Y124/H124),"0")</f>
        <v>1.375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120</v>
      </c>
      <c r="Y126" s="636">
        <f>IFERROR(IF(X126="",0,CEILING((X126/$H126),1)*$H126),"")</f>
        <v>121.50000000000001</v>
      </c>
      <c r="Z126" s="36">
        <f>IFERROR(IF(Y126=0,"",ROUNDUP(Y126/H126,0)*0.00651),"")</f>
        <v>0.29294999999999999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131.19999999999999</v>
      </c>
      <c r="BN126" s="64">
        <f>IFERROR(Y126*I126/H126,"0")</f>
        <v>132.84</v>
      </c>
      <c r="BO126" s="64">
        <f>IFERROR(1/J126*(X126/H126),"0")</f>
        <v>0.24420024420024422</v>
      </c>
      <c r="BP126" s="64">
        <f>IFERROR(1/J126*(Y126/H126),"0")</f>
        <v>0.24725274725274726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131.72839506172841</v>
      </c>
      <c r="Y128" s="637">
        <f>IFERROR(Y124/H124,"0")+IFERROR(Y125/H125,"0")+IFERROR(Y126/H126,"0")+IFERROR(Y127/H127,"0")</f>
        <v>133</v>
      </c>
      <c r="Z128" s="637">
        <f>IFERROR(IF(Z124="",0,Z124),"0")+IFERROR(IF(Z125="",0,Z125),"0")+IFERROR(IF(Z126="",0,Z126),"0")+IFERROR(IF(Z127="",0,Z127),"0")</f>
        <v>1.96319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827</v>
      </c>
      <c r="Y129" s="637">
        <f>IFERROR(SUM(Y124:Y127),"0")</f>
        <v>834.3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44</v>
      </c>
      <c r="Y131" s="636">
        <f>IFERROR(IF(X131="",0,CEILING((X131/$H131),1)*$H131),"")</f>
        <v>45.54</v>
      </c>
      <c r="Z131" s="36">
        <f>IFERROR(IF(Y131=0,"",ROUNDUP(Y131/H131,0)*0.00651),"")</f>
        <v>0.14973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49.733333333333334</v>
      </c>
      <c r="BN131" s="64">
        <f>IFERROR(Y131*I131/H131,"0")</f>
        <v>51.474000000000004</v>
      </c>
      <c r="BO131" s="64">
        <f>IFERROR(1/J131*(X131/H131),"0")</f>
        <v>0.12210012210012211</v>
      </c>
      <c r="BP131" s="64">
        <f>IFERROR(1/J131*(Y131/H131),"0")</f>
        <v>0.1263736263736264</v>
      </c>
    </row>
    <row r="132" spans="1:68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22.222222222222221</v>
      </c>
      <c r="Y132" s="637">
        <f>IFERROR(Y131/H131,"0")</f>
        <v>23</v>
      </c>
      <c r="Z132" s="637">
        <f>IFERROR(IF(Z131="",0,Z131),"0")</f>
        <v>0.14973</v>
      </c>
      <c r="AA132" s="638"/>
      <c r="AB132" s="638"/>
      <c r="AC132" s="638"/>
    </row>
    <row r="133" spans="1:68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44</v>
      </c>
      <c r="Y133" s="637">
        <f>IFERROR(SUM(Y131:Y131),"0")</f>
        <v>45.54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13</v>
      </c>
      <c r="Y136" s="636">
        <f>IFERROR(IF(X136="",0,CEILING((X136/$H136),1)*$H136),"")</f>
        <v>16</v>
      </c>
      <c r="Z136" s="36">
        <f>IFERROR(IF(Y136=0,"",ROUNDUP(Y136/H136,0)*0.00651),"")</f>
        <v>3.2550000000000003E-2</v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13.731249999999999</v>
      </c>
      <c r="BN136" s="64">
        <f>IFERROR(Y136*I136/H136,"0")</f>
        <v>16.899999999999999</v>
      </c>
      <c r="BO136" s="64">
        <f>IFERROR(1/J136*(X136/H136),"0")</f>
        <v>2.2321428571428572E-2</v>
      </c>
      <c r="BP136" s="64">
        <f>IFERROR(1/J136*(Y136/H136),"0")</f>
        <v>2.7472527472527476E-2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4.0625</v>
      </c>
      <c r="Y138" s="637">
        <f>IFERROR(Y136/H136,"0")+IFERROR(Y137/H137,"0")</f>
        <v>5</v>
      </c>
      <c r="Z138" s="637">
        <f>IFERROR(IF(Z136="",0,Z136),"0")+IFERROR(IF(Z137="",0,Z137),"0")</f>
        <v>3.2550000000000003E-2</v>
      </c>
      <c r="AA138" s="638"/>
      <c r="AB138" s="638"/>
      <c r="AC138" s="638"/>
    </row>
    <row r="139" spans="1:68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13</v>
      </c>
      <c r="Y139" s="637">
        <f>IFERROR(SUM(Y136:Y137),"0")</f>
        <v>16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14</v>
      </c>
      <c r="Y141" s="636">
        <f>IFERROR(IF(X141="",0,CEILING((X141/$H141),1)*$H141),"")</f>
        <v>14</v>
      </c>
      <c r="Z141" s="36">
        <f>IFERROR(IF(Y141=0,"",ROUNDUP(Y141/H141,0)*0.00651),"")</f>
        <v>3.2550000000000003E-2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15.34</v>
      </c>
      <c r="BN141" s="64">
        <f>IFERROR(Y141*I141/H141,"0")</f>
        <v>15.34</v>
      </c>
      <c r="BO141" s="64">
        <f>IFERROR(1/J141*(X141/H141),"0")</f>
        <v>2.7472527472527476E-2</v>
      </c>
      <c r="BP141" s="64">
        <f>IFERROR(1/J141*(Y141/H141),"0")</f>
        <v>2.7472527472527476E-2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5</v>
      </c>
      <c r="Y143" s="637">
        <f>IFERROR(Y141/H141,"0")+IFERROR(Y142/H142,"0")</f>
        <v>5</v>
      </c>
      <c r="Z143" s="637">
        <f>IFERROR(IF(Z141="",0,Z141),"0")+IFERROR(IF(Z142="",0,Z142),"0")</f>
        <v>3.2550000000000003E-2</v>
      </c>
      <c r="AA143" s="638"/>
      <c r="AB143" s="638"/>
      <c r="AC143" s="638"/>
    </row>
    <row r="144" spans="1:68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14</v>
      </c>
      <c r="Y144" s="637">
        <f>IFERROR(SUM(Y141:Y142),"0")</f>
        <v>14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27</v>
      </c>
      <c r="Y146" s="636">
        <f>IFERROR(IF(X146="",0,CEILING((X146/$H146),1)*$H146),"")</f>
        <v>29.040000000000003</v>
      </c>
      <c r="Z146" s="36">
        <f>IFERROR(IF(Y146=0,"",ROUNDUP(Y146/H146,0)*0.00651),"")</f>
        <v>7.1610000000000007E-2</v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29.740909090909085</v>
      </c>
      <c r="BN146" s="64">
        <f>IFERROR(Y146*I146/H146,"0")</f>
        <v>31.988000000000003</v>
      </c>
      <c r="BO146" s="64">
        <f>IFERROR(1/J146*(X146/H146),"0")</f>
        <v>5.6193806193806192E-2</v>
      </c>
      <c r="BP146" s="64">
        <f>IFERROR(1/J146*(Y146/H146),"0")</f>
        <v>6.0439560439560447E-2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10.227272727272727</v>
      </c>
      <c r="Y148" s="637">
        <f>IFERROR(Y146/H146,"0")+IFERROR(Y147/H147,"0")</f>
        <v>11</v>
      </c>
      <c r="Z148" s="637">
        <f>IFERROR(IF(Z146="",0,Z146),"0")+IFERROR(IF(Z147="",0,Z147),"0")</f>
        <v>7.1610000000000007E-2</v>
      </c>
      <c r="AA148" s="638"/>
      <c r="AB148" s="638"/>
      <c r="AC148" s="638"/>
    </row>
    <row r="149" spans="1:68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27</v>
      </c>
      <c r="Y149" s="637">
        <f>IFERROR(SUM(Y146:Y147),"0")</f>
        <v>29.040000000000003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60</v>
      </c>
      <c r="Y176" s="636">
        <f t="shared" ref="Y176:Y186" si="15">IFERROR(IF(X176="",0,CEILING((X176/$H176),1)*$H176),"")</f>
        <v>64.399999999999991</v>
      </c>
      <c r="Z176" s="36">
        <f>IFERROR(IF(Y176=0,"",ROUNDUP(Y176/H176,0)*0.01196),"")</f>
        <v>0.16744000000000001</v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64.565217391304358</v>
      </c>
      <c r="BN176" s="64">
        <f t="shared" ref="BN176:BN186" si="17">IFERROR(Y176*I176/H176,"0")</f>
        <v>69.3</v>
      </c>
      <c r="BO176" s="64">
        <f t="shared" ref="BO176:BO186" si="18">IFERROR(1/J176*(X176/H176),"0")</f>
        <v>0.12541806020066892</v>
      </c>
      <c r="BP176" s="64">
        <f t="shared" ref="BP176:BP186" si="19">IFERROR(1/J176*(Y176/H176),"0")</f>
        <v>0.13461538461538464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200</v>
      </c>
      <c r="Y177" s="636">
        <f t="shared" si="15"/>
        <v>203</v>
      </c>
      <c r="Z177" s="36">
        <f>IFERROR(IF(Y177=0,"",ROUNDUP(Y177/H177,0)*0.00902),"")</f>
        <v>0.52316000000000007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210.85714285714286</v>
      </c>
      <c r="BN177" s="64">
        <f t="shared" si="17"/>
        <v>214.01999999999998</v>
      </c>
      <c r="BO177" s="64">
        <f t="shared" si="18"/>
        <v>0.43290043290043295</v>
      </c>
      <c r="BP177" s="64">
        <f t="shared" si="19"/>
        <v>0.43939393939393939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300</v>
      </c>
      <c r="Y179" s="636">
        <f t="shared" si="15"/>
        <v>301</v>
      </c>
      <c r="Z179" s="36">
        <f>IFERROR(IF(Y179=0,"",ROUNDUP(Y179/H179,0)*0.00902),"")</f>
        <v>0.77571999999999997</v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316.28571428571428</v>
      </c>
      <c r="BN179" s="64">
        <f t="shared" si="17"/>
        <v>317.34000000000003</v>
      </c>
      <c r="BO179" s="64">
        <f t="shared" si="18"/>
        <v>0.64935064935064934</v>
      </c>
      <c r="BP179" s="64">
        <f t="shared" si="19"/>
        <v>0.65151515151515149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443</v>
      </c>
      <c r="Y180" s="636">
        <f t="shared" si="15"/>
        <v>444.5</v>
      </c>
      <c r="Z180" s="36">
        <f>IFERROR(IF(Y180=0,"",ROUNDUP(Y180/H180,0)*0.00902),"")</f>
        <v>1.14554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467.04857142857145</v>
      </c>
      <c r="BN180" s="64">
        <f t="shared" si="17"/>
        <v>468.63</v>
      </c>
      <c r="BO180" s="64">
        <f t="shared" si="18"/>
        <v>0.95887445887445888</v>
      </c>
      <c r="BP180" s="64">
        <f t="shared" si="19"/>
        <v>0.96212121212121215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42</v>
      </c>
      <c r="Y182" s="636">
        <f t="shared" si="15"/>
        <v>42</v>
      </c>
      <c r="Z182" s="36">
        <f>IFERROR(IF(Y182=0,"",ROUNDUP(Y182/H182,0)*0.00502),"")</f>
        <v>0.1255</v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44.500000000000007</v>
      </c>
      <c r="BN182" s="64">
        <f t="shared" si="17"/>
        <v>44.500000000000007</v>
      </c>
      <c r="BO182" s="64">
        <f t="shared" si="18"/>
        <v>0.10683760683760685</v>
      </c>
      <c r="BP182" s="64">
        <f t="shared" si="19"/>
        <v>0.10683760683760685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28</v>
      </c>
      <c r="Y184" s="636">
        <f t="shared" si="15"/>
        <v>28.56</v>
      </c>
      <c r="Z184" s="36">
        <f>IFERROR(IF(Y184=0,"",ROUNDUP(Y184/H184,0)*0.00502),"")</f>
        <v>8.5339999999999999E-2</v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29.666666666666671</v>
      </c>
      <c r="BN184" s="64">
        <f t="shared" si="17"/>
        <v>30.259999999999998</v>
      </c>
      <c r="BO184" s="64">
        <f t="shared" si="18"/>
        <v>7.122507122507124E-2</v>
      </c>
      <c r="BP184" s="64">
        <f t="shared" si="19"/>
        <v>7.2649572649572655E-2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42</v>
      </c>
      <c r="Y186" s="636">
        <f t="shared" si="15"/>
        <v>42</v>
      </c>
      <c r="Z186" s="36">
        <f>IFERROR(IF(Y186=0,"",ROUNDUP(Y186/H186,0)*0.00502),"")</f>
        <v>0.1255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44.500000000000007</v>
      </c>
      <c r="BN186" s="64">
        <f t="shared" si="17"/>
        <v>44.500000000000007</v>
      </c>
      <c r="BO186" s="64">
        <f t="shared" si="18"/>
        <v>0.10683760683760685</v>
      </c>
      <c r="BP186" s="64">
        <f t="shared" si="19"/>
        <v>0.10683760683760685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349.13871635610769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352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2.9482000000000004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1115</v>
      </c>
      <c r="Y188" s="637">
        <f>IFERROR(SUM(Y176:Y186),"0")</f>
        <v>1125.46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48</v>
      </c>
      <c r="Y228" s="636">
        <f t="shared" si="26"/>
        <v>48.6</v>
      </c>
      <c r="Z228" s="36">
        <f>IFERROR(IF(Y228=0,"",ROUNDUP(Y228/H228,0)*0.00502),"")</f>
        <v>0.13553999999999999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51.466666666666669</v>
      </c>
      <c r="BN228" s="64">
        <f t="shared" si="28"/>
        <v>52.11</v>
      </c>
      <c r="BO228" s="64">
        <f t="shared" si="29"/>
        <v>0.11396011396011396</v>
      </c>
      <c r="BP228" s="64">
        <f t="shared" si="30"/>
        <v>0.11538461538461539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22</v>
      </c>
      <c r="Y229" s="636">
        <f t="shared" si="26"/>
        <v>22.400000000000002</v>
      </c>
      <c r="Z229" s="36">
        <f>IFERROR(IF(Y229=0,"",ROUNDUP(Y229/H229,0)*0.00417),"")</f>
        <v>0.11676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27.774999999999999</v>
      </c>
      <c r="BN229" s="64">
        <f t="shared" si="28"/>
        <v>28.28</v>
      </c>
      <c r="BO229" s="64">
        <f t="shared" si="29"/>
        <v>8.8141025641025633E-2</v>
      </c>
      <c r="BP229" s="64">
        <f t="shared" si="30"/>
        <v>8.9743589743589744E-2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54.166666666666664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55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0.25229999999999997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70</v>
      </c>
      <c r="Y234" s="637">
        <f>IFERROR(SUM(Y220:Y232),"0")</f>
        <v>71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3</v>
      </c>
      <c r="Y250" s="636">
        <f>IFERROR(IF(X250="",0,CEILING((X250/$H250),1)*$H250),"")</f>
        <v>3.7800000000000002</v>
      </c>
      <c r="Z250" s="36">
        <f>IFERROR(IF(Y250=0,"",ROUNDUP(Y250/H250,0)*0.0059),"")</f>
        <v>1.77E-2</v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3.4523809523809521</v>
      </c>
      <c r="BN250" s="64">
        <f>IFERROR(Y250*I250/H250,"0")</f>
        <v>4.3499999999999996</v>
      </c>
      <c r="BO250" s="64">
        <f>IFERROR(1/J250*(X250/H250),"0")</f>
        <v>1.1022927689594356E-2</v>
      </c>
      <c r="BP250" s="64">
        <f>IFERROR(1/J250*(Y250/H250),"0")</f>
        <v>1.3888888888888888E-2</v>
      </c>
    </row>
    <row r="251" spans="1:68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2.3809523809523809</v>
      </c>
      <c r="Y251" s="637">
        <f>IFERROR(Y250/H250,"0")</f>
        <v>3</v>
      </c>
      <c r="Z251" s="637">
        <f>IFERROR(IF(Z250="",0,Z250),"0")</f>
        <v>1.77E-2</v>
      </c>
      <c r="AA251" s="638"/>
      <c r="AB251" s="638"/>
      <c r="AC251" s="638"/>
    </row>
    <row r="252" spans="1:68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3</v>
      </c>
      <c r="Y252" s="637">
        <f>IFERROR(SUM(Y250:Y250),"0")</f>
        <v>3.7800000000000002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380</v>
      </c>
      <c r="Y265" s="636">
        <f t="shared" ref="Y265:Y272" si="31">IFERROR(IF(X265="",0,CEILING((X265/$H265),1)*$H265),"")</f>
        <v>383.40000000000003</v>
      </c>
      <c r="Z265" s="36">
        <f>IFERROR(IF(Y265=0,"",ROUNDUP(Y265/H265,0)*0.00902),"")</f>
        <v>0.64041999999999999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393.37037037037032</v>
      </c>
      <c r="BN265" s="64">
        <f t="shared" ref="BN265:BN272" si="33">IFERROR(Y265*I265/H265,"0")</f>
        <v>396.89</v>
      </c>
      <c r="BO265" s="64">
        <f t="shared" ref="BO265:BO272" si="34">IFERROR(1/J265*(X265/H265),"0")</f>
        <v>0.53310886644219979</v>
      </c>
      <c r="BP265" s="64">
        <f t="shared" ref="BP265:BP272" si="35">IFERROR(1/J265*(Y265/H265),"0")</f>
        <v>0.53787878787878785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225</v>
      </c>
      <c r="Y267" s="636">
        <f t="shared" si="31"/>
        <v>226.8</v>
      </c>
      <c r="Z267" s="36">
        <f>IFERROR(IF(Y267=0,"",ROUNDUP(Y267/H267,0)*0.00902),"")</f>
        <v>0.37884000000000001</v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232.91666666666666</v>
      </c>
      <c r="BN267" s="64">
        <f t="shared" si="33"/>
        <v>234.78</v>
      </c>
      <c r="BO267" s="64">
        <f t="shared" si="34"/>
        <v>0.31565656565656564</v>
      </c>
      <c r="BP267" s="64">
        <f t="shared" si="35"/>
        <v>0.31818181818181818</v>
      </c>
    </row>
    <row r="268" spans="1:68" ht="27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49</v>
      </c>
      <c r="Y268" s="636">
        <f t="shared" si="31"/>
        <v>54</v>
      </c>
      <c r="Z268" s="36">
        <f>IFERROR(IF(Y268=0,"",ROUNDUP(Y268/H268,0)*0.00902),"")</f>
        <v>9.0200000000000002E-2</v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50.724074074074068</v>
      </c>
      <c r="BN268" s="64">
        <f t="shared" si="33"/>
        <v>55.9</v>
      </c>
      <c r="BO268" s="64">
        <f t="shared" si="34"/>
        <v>6.8742985409652069E-2</v>
      </c>
      <c r="BP268" s="64">
        <f t="shared" si="35"/>
        <v>7.575757575757576E-2</v>
      </c>
    </row>
    <row r="269" spans="1:68" ht="27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48</v>
      </c>
      <c r="Y269" s="636">
        <f t="shared" si="31"/>
        <v>48.6</v>
      </c>
      <c r="Z269" s="36">
        <f>IFERROR(IF(Y269=0,"",ROUNDUP(Y269/H269,0)*0.00502),"")</f>
        <v>0.13553999999999999</v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51.466666666666669</v>
      </c>
      <c r="BN269" s="64">
        <f t="shared" si="33"/>
        <v>52.11</v>
      </c>
      <c r="BO269" s="64">
        <f t="shared" si="34"/>
        <v>0.11396011396011396</v>
      </c>
      <c r="BP269" s="64">
        <f t="shared" si="35"/>
        <v>0.11538461538461539</v>
      </c>
    </row>
    <row r="270" spans="1:68" ht="27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51</v>
      </c>
      <c r="Y270" s="636">
        <f t="shared" si="31"/>
        <v>52.2</v>
      </c>
      <c r="Z270" s="36">
        <f>IFERROR(IF(Y270=0,"",ROUNDUP(Y270/H270,0)*0.00502),"")</f>
        <v>0.14558000000000001</v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53.833333333333329</v>
      </c>
      <c r="BN270" s="64">
        <f t="shared" si="33"/>
        <v>55.1</v>
      </c>
      <c r="BO270" s="64">
        <f t="shared" si="34"/>
        <v>0.12108262108262109</v>
      </c>
      <c r="BP270" s="64">
        <f t="shared" si="35"/>
        <v>0.12393162393162395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36</v>
      </c>
      <c r="Y272" s="636">
        <f t="shared" si="31"/>
        <v>36</v>
      </c>
      <c r="Z272" s="36">
        <f>IFERROR(IF(Y272=0,"",ROUNDUP(Y272/H272,0)*0.00502),"")</f>
        <v>0.1004</v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37.999999999999993</v>
      </c>
      <c r="BN272" s="64">
        <f t="shared" si="33"/>
        <v>37.999999999999993</v>
      </c>
      <c r="BO272" s="64">
        <f t="shared" si="34"/>
        <v>8.5470085470085472E-2</v>
      </c>
      <c r="BP272" s="64">
        <f t="shared" si="35"/>
        <v>8.5470085470085472E-2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196.11111111111111</v>
      </c>
      <c r="Y273" s="637">
        <f>IFERROR(Y265/H265,"0")+IFERROR(Y266/H266,"0")+IFERROR(Y267/H267,"0")+IFERROR(Y268/H268,"0")+IFERROR(Y269/H269,"0")+IFERROR(Y270/H270,"0")+IFERROR(Y271/H271,"0")+IFERROR(Y272/H272,"0")</f>
        <v>199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1.4909800000000002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789</v>
      </c>
      <c r="Y274" s="637">
        <f>IFERROR(SUM(Y265:Y272),"0")</f>
        <v>801.00000000000011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19</v>
      </c>
      <c r="Y279" s="636">
        <f t="shared" si="36"/>
        <v>26.099999999999998</v>
      </c>
      <c r="Z279" s="36">
        <f>IFERROR(IF(Y279=0,"",ROUNDUP(Y279/H279,0)*0.01898),"")</f>
        <v>5.6940000000000004E-2</v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20.078850574712646</v>
      </c>
      <c r="BN279" s="64">
        <f t="shared" si="38"/>
        <v>27.582000000000004</v>
      </c>
      <c r="BO279" s="64">
        <f t="shared" si="39"/>
        <v>3.4123563218390808E-2</v>
      </c>
      <c r="BP279" s="64">
        <f t="shared" si="40"/>
        <v>4.6875E-2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360</v>
      </c>
      <c r="Y280" s="636">
        <f t="shared" si="36"/>
        <v>360</v>
      </c>
      <c r="Z280" s="36">
        <f>IFERROR(IF(Y280=0,"",ROUNDUP(Y280/H280,0)*0.00651),"")</f>
        <v>0.97650000000000003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400.5</v>
      </c>
      <c r="BN280" s="64">
        <f t="shared" si="38"/>
        <v>400.5</v>
      </c>
      <c r="BO280" s="64">
        <f t="shared" si="39"/>
        <v>0.82417582417582425</v>
      </c>
      <c r="BP280" s="64">
        <f t="shared" si="40"/>
        <v>0.82417582417582425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506</v>
      </c>
      <c r="Y282" s="636">
        <f t="shared" si="36"/>
        <v>506.4</v>
      </c>
      <c r="Z282" s="36">
        <f>IFERROR(IF(Y282=0,"",ROUNDUP(Y282/H282,0)*0.00651),"")</f>
        <v>1.37361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559.13</v>
      </c>
      <c r="BN282" s="64">
        <f t="shared" si="38"/>
        <v>559.572</v>
      </c>
      <c r="BO282" s="64">
        <f t="shared" si="39"/>
        <v>1.1584249084249085</v>
      </c>
      <c r="BP282" s="64">
        <f t="shared" si="40"/>
        <v>1.1593406593406594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289</v>
      </c>
      <c r="Y286" s="636">
        <f t="shared" si="36"/>
        <v>290.39999999999998</v>
      </c>
      <c r="Z286" s="36">
        <f>IFERROR(IF(Y286=0,"",ROUNDUP(Y286/H286,0)*0.00651),"")</f>
        <v>0.78771000000000002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320.0675</v>
      </c>
      <c r="BN286" s="64">
        <f t="shared" si="38"/>
        <v>321.61799999999994</v>
      </c>
      <c r="BO286" s="64">
        <f t="shared" si="39"/>
        <v>0.66163003663003672</v>
      </c>
      <c r="BP286" s="64">
        <f t="shared" si="40"/>
        <v>0.66483516483516492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483.43390804597703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485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3.19476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1174</v>
      </c>
      <c r="Y289" s="637">
        <f>IFERROR(SUM(Y276:Y287),"0")</f>
        <v>1182.9000000000001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7</v>
      </c>
      <c r="Y297" s="636">
        <f t="shared" ref="Y297:Y303" si="41">IFERROR(IF(X297="",0,CEILING((X297/$H297),1)*$H297),"")</f>
        <v>11.6</v>
      </c>
      <c r="Z297" s="36">
        <f>IFERROR(IF(Y297=0,"",ROUNDUP(Y297/H297,0)*0.01898),"")</f>
        <v>1.898E-2</v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7.2474137931034477</v>
      </c>
      <c r="BN297" s="64">
        <f t="shared" ref="BN297:BN303" si="43">IFERROR(Y297*I297/H297,"0")</f>
        <v>12.01</v>
      </c>
      <c r="BO297" s="64">
        <f t="shared" ref="BO297:BO303" si="44">IFERROR(1/J297*(X297/H297),"0")</f>
        <v>9.4288793103448273E-3</v>
      </c>
      <c r="BP297" s="64">
        <f t="shared" ref="BP297:BP303" si="45">IFERROR(1/J297*(Y297/H297),"0")</f>
        <v>1.5625E-2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0.60344827586206895</v>
      </c>
      <c r="Y304" s="637">
        <f>IFERROR(Y297/H297,"0")+IFERROR(Y298/H298,"0")+IFERROR(Y299/H299,"0")+IFERROR(Y300/H300,"0")+IFERROR(Y301/H301,"0")+IFERROR(Y302/H302,"0")+IFERROR(Y303/H303,"0")</f>
        <v>1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1.898E-2</v>
      </c>
      <c r="AA304" s="638"/>
      <c r="AB304" s="638"/>
      <c r="AC304" s="638"/>
    </row>
    <row r="305" spans="1:68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7</v>
      </c>
      <c r="Y305" s="637">
        <f>IFERROR(SUM(Y297:Y303),"0")</f>
        <v>11.6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44</v>
      </c>
      <c r="Y335" s="636">
        <f>IFERROR(IF(X335="",0,CEILING((X335/$H335),1)*$H335),"")</f>
        <v>45.6</v>
      </c>
      <c r="Z335" s="36">
        <f>IFERROR(IF(Y335=0,"",ROUNDUP(Y335/H335,0)*0.00651),"")</f>
        <v>0.12369000000000001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48.620000000000005</v>
      </c>
      <c r="BN335" s="64">
        <f>IFERROR(Y335*I335/H335,"0")</f>
        <v>50.388000000000005</v>
      </c>
      <c r="BO335" s="64">
        <f>IFERROR(1/J335*(X335/H335),"0")</f>
        <v>0.10073260073260075</v>
      </c>
      <c r="BP335" s="64">
        <f>IFERROR(1/J335*(Y335/H335),"0")</f>
        <v>0.1043956043956044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63</v>
      </c>
      <c r="Y336" s="636">
        <f>IFERROR(IF(X336="",0,CEILING((X336/$H336),1)*$H336),"")</f>
        <v>64.8</v>
      </c>
      <c r="Z336" s="36">
        <f>IFERROR(IF(Y336=0,"",ROUNDUP(Y336/H336,0)*0.00651),"")</f>
        <v>0.17577000000000001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67.724999999999994</v>
      </c>
      <c r="BN336" s="64">
        <f>IFERROR(Y336*I336/H336,"0")</f>
        <v>69.66</v>
      </c>
      <c r="BO336" s="64">
        <f>IFERROR(1/J336*(X336/H336),"0")</f>
        <v>0.14423076923076925</v>
      </c>
      <c r="BP336" s="64">
        <f>IFERROR(1/J336*(Y336/H336),"0")</f>
        <v>0.14835164835164835</v>
      </c>
    </row>
    <row r="337" spans="1:68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44.583333333333336</v>
      </c>
      <c r="Y337" s="637">
        <f>IFERROR(Y334/H334,"0")+IFERROR(Y335/H335,"0")+IFERROR(Y336/H336,"0")</f>
        <v>46</v>
      </c>
      <c r="Z337" s="637">
        <f>IFERROR(IF(Z334="",0,Z334),"0")+IFERROR(IF(Z335="",0,Z335),"0")+IFERROR(IF(Z336="",0,Z336),"0")</f>
        <v>0.29946</v>
      </c>
      <c r="AA337" s="638"/>
      <c r="AB337" s="638"/>
      <c r="AC337" s="638"/>
    </row>
    <row r="338" spans="1:68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107</v>
      </c>
      <c r="Y338" s="637">
        <f>IFERROR(SUM(Y334:Y336),"0")</f>
        <v>110.4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0</v>
      </c>
      <c r="Y365" s="636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29</v>
      </c>
      <c r="Y366" s="636">
        <f>IFERROR(IF(X366="",0,CEILING((X366/$H366),1)*$H366),"")</f>
        <v>31.2</v>
      </c>
      <c r="Z366" s="36">
        <f>IFERROR(IF(Y366=0,"",ROUNDUP(Y366/H366,0)*0.01898),"")</f>
        <v>7.5920000000000001E-2</v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30.524358974358979</v>
      </c>
      <c r="BN366" s="64">
        <f>IFERROR(Y366*I366/H366,"0")</f>
        <v>32.840000000000003</v>
      </c>
      <c r="BO366" s="64">
        <f>IFERROR(1/J366*(X366/H366),"0")</f>
        <v>5.809294871794872E-2</v>
      </c>
      <c r="BP366" s="64">
        <f>IFERROR(1/J366*(Y366/H366),"0")</f>
        <v>6.25E-2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3.7179487179487181</v>
      </c>
      <c r="Y367" s="637">
        <f>IFERROR(Y364/H364,"0")+IFERROR(Y365/H365,"0")+IFERROR(Y366/H366,"0")</f>
        <v>4</v>
      </c>
      <c r="Z367" s="637">
        <f>IFERROR(IF(Z364="",0,Z364),"0")+IFERROR(IF(Z365="",0,Z365),"0")+IFERROR(IF(Z366="",0,Z366),"0")</f>
        <v>7.5920000000000001E-2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29</v>
      </c>
      <c r="Y368" s="637">
        <f>IFERROR(SUM(Y364:Y366),"0")</f>
        <v>31.2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623</v>
      </c>
      <c r="Y399" s="636">
        <f>IFERROR(IF(X399="",0,CEILING((X399/$H399),1)*$H399),"")</f>
        <v>624</v>
      </c>
      <c r="Z399" s="36">
        <f>IFERROR(IF(Y399=0,"",ROUNDUP(Y399/H399,0)*0.01898),"")</f>
        <v>1.5184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662.45666666666671</v>
      </c>
      <c r="BN399" s="64">
        <f>IFERROR(Y399*I399/H399,"0")</f>
        <v>663.52</v>
      </c>
      <c r="BO399" s="64">
        <f>IFERROR(1/J399*(X399/H399),"0")</f>
        <v>1.2479967948717949</v>
      </c>
      <c r="BP399" s="64">
        <f>IFERROR(1/J399*(Y399/H399),"0")</f>
        <v>1.25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79.871794871794876</v>
      </c>
      <c r="Y401" s="637">
        <f>IFERROR(Y398/H398,"0")+IFERROR(Y399/H399,"0")+IFERROR(Y400/H400,"0")</f>
        <v>80</v>
      </c>
      <c r="Z401" s="637">
        <f>IFERROR(IF(Z398="",0,Z398),"0")+IFERROR(IF(Z399="",0,Z399),"0")+IFERROR(IF(Z400="",0,Z400),"0")</f>
        <v>1.5184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623</v>
      </c>
      <c r="Y402" s="637">
        <f>IFERROR(SUM(Y398:Y400),"0")</f>
        <v>624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16</v>
      </c>
      <c r="Y407" s="636">
        <f>IFERROR(IF(X407="",0,CEILING((X407/$H407),1)*$H407),"")</f>
        <v>17.849999999999998</v>
      </c>
      <c r="Z407" s="36">
        <f>IFERROR(IF(Y407=0,"",ROUNDUP(Y407/H407,0)*0.00651),"")</f>
        <v>4.5569999999999999E-2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18.070588235294117</v>
      </c>
      <c r="BN407" s="64">
        <f>IFERROR(Y407*I407/H407,"0")</f>
        <v>20.16</v>
      </c>
      <c r="BO407" s="64">
        <f>IFERROR(1/J407*(X407/H407),"0")</f>
        <v>3.4475328592975661E-2</v>
      </c>
      <c r="BP407" s="64">
        <f>IFERROR(1/J407*(Y407/H407),"0")</f>
        <v>3.8461538461538464E-2</v>
      </c>
    </row>
    <row r="408" spans="1:68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6.2745098039215694</v>
      </c>
      <c r="Y408" s="637">
        <f>IFERROR(Y404/H404,"0")+IFERROR(Y405/H405,"0")+IFERROR(Y406/H406,"0")+IFERROR(Y407/H407,"0")</f>
        <v>7</v>
      </c>
      <c r="Z408" s="637">
        <f>IFERROR(IF(Z404="",0,Z404),"0")+IFERROR(IF(Z405="",0,Z405),"0")+IFERROR(IF(Z406="",0,Z406),"0")+IFERROR(IF(Z407="",0,Z407),"0")</f>
        <v>4.5569999999999999E-2</v>
      </c>
      <c r="AA408" s="638"/>
      <c r="AB408" s="638"/>
      <c r="AC408" s="638"/>
    </row>
    <row r="409" spans="1:68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16</v>
      </c>
      <c r="Y409" s="637">
        <f>IFERROR(SUM(Y404:Y407),"0")</f>
        <v>17.849999999999998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3</v>
      </c>
      <c r="Y432" s="636">
        <f>IFERROR(IF(X432="",0,CEILING((X432/$H432),1)*$H432),"")</f>
        <v>4.2</v>
      </c>
      <c r="Z432" s="36">
        <f>IFERROR(IF(Y432=0,"",ROUNDUP(Y432/H432,0)*0.00651),"")</f>
        <v>1.302E-2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3.3599999999999994</v>
      </c>
      <c r="BN432" s="64">
        <f>IFERROR(Y432*I432/H432,"0")</f>
        <v>4.7039999999999997</v>
      </c>
      <c r="BO432" s="64">
        <f>IFERROR(1/J432*(X432/H432),"0")</f>
        <v>7.849293563579279E-3</v>
      </c>
      <c r="BP432" s="64">
        <f>IFERROR(1/J432*(Y432/H432),"0")</f>
        <v>1.098901098901099E-2</v>
      </c>
    </row>
    <row r="433" spans="1:68" ht="27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5</v>
      </c>
      <c r="Y433" s="636">
        <f>IFERROR(IF(X433="",0,CEILING((X433/$H433),1)*$H433),"")</f>
        <v>6.3000000000000007</v>
      </c>
      <c r="Z433" s="36">
        <f>IFERROR(IF(Y433=0,"",ROUNDUP(Y433/H433,0)*0.00651),"")</f>
        <v>1.9529999999999999E-2</v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5.5714285714285712</v>
      </c>
      <c r="BN433" s="64">
        <f>IFERROR(Y433*I433/H433,"0")</f>
        <v>7.0200000000000005</v>
      </c>
      <c r="BO433" s="64">
        <f>IFERROR(1/J433*(X433/H433),"0")</f>
        <v>1.3082155939298797E-2</v>
      </c>
      <c r="BP433" s="64">
        <f>IFERROR(1/J433*(Y433/H433),"0")</f>
        <v>1.6483516483516484E-2</v>
      </c>
    </row>
    <row r="434" spans="1:68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3.8095238095238093</v>
      </c>
      <c r="Y434" s="637">
        <f>IFERROR(Y431/H431,"0")+IFERROR(Y432/H432,"0")+IFERROR(Y433/H433,"0")</f>
        <v>5</v>
      </c>
      <c r="Z434" s="637">
        <f>IFERROR(IF(Z431="",0,Z431),"0")+IFERROR(IF(Z432="",0,Z432),"0")+IFERROR(IF(Z433="",0,Z433),"0")</f>
        <v>3.2549999999999996E-2</v>
      </c>
      <c r="AA434" s="638"/>
      <c r="AB434" s="638"/>
      <c r="AC434" s="638"/>
    </row>
    <row r="435" spans="1:68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8</v>
      </c>
      <c r="Y435" s="637">
        <f>IFERROR(SUM(Y431:Y433),"0")</f>
        <v>10.5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3033</v>
      </c>
      <c r="Y440" s="636">
        <f t="shared" si="61"/>
        <v>3045</v>
      </c>
      <c r="Z440" s="36">
        <f>IFERROR(IF(Y440=0,"",ROUNDUP(Y440/H440,0)*0.02175),"")</f>
        <v>4.4152499999999995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3128.0340000000001</v>
      </c>
      <c r="BN440" s="64">
        <f t="shared" si="63"/>
        <v>3140.4100000000003</v>
      </c>
      <c r="BO440" s="64">
        <f t="shared" si="64"/>
        <v>4.2124999999999995</v>
      </c>
      <c r="BP440" s="64">
        <f t="shared" si="65"/>
        <v>4.2291666666666661</v>
      </c>
    </row>
    <row r="441" spans="1:68" ht="27" hidden="1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0</v>
      </c>
      <c r="Y441" s="636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hidden="1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0</v>
      </c>
      <c r="Y442" s="636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202.2</v>
      </c>
      <c r="Y447" s="637">
        <f>IFERROR(Y439/H439,"0")+IFERROR(Y440/H440,"0")+IFERROR(Y441/H441,"0")+IFERROR(Y442/H442,"0")+IFERROR(Y443/H443,"0")+IFERROR(Y444/H444,"0")+IFERROR(Y445/H445,"0")+IFERROR(Y446/H446,"0")</f>
        <v>203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4.4152499999999995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3033</v>
      </c>
      <c r="Y448" s="637">
        <f>IFERROR(SUM(Y439:Y446),"0")</f>
        <v>3045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1100</v>
      </c>
      <c r="Y450" s="636">
        <f>IFERROR(IF(X450="",0,CEILING((X450/$H450),1)*$H450),"")</f>
        <v>1110</v>
      </c>
      <c r="Z450" s="36">
        <f>IFERROR(IF(Y450=0,"",ROUNDUP(Y450/H450,0)*0.02175),"")</f>
        <v>1.6094999999999999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1134.4666666666667</v>
      </c>
      <c r="BN450" s="64">
        <f>IFERROR(Y450*I450/H450,"0")</f>
        <v>1144.78</v>
      </c>
      <c r="BO450" s="64">
        <f>IFERROR(1/J450*(X450/H450),"0")</f>
        <v>1.5277777777777777</v>
      </c>
      <c r="BP450" s="64">
        <f>IFERROR(1/J450*(Y450/H450),"0")</f>
        <v>1.5416666666666665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73.333333333333329</v>
      </c>
      <c r="Y453" s="637">
        <f>IFERROR(Y450/H450,"0")+IFERROR(Y451/H451,"0")+IFERROR(Y452/H452,"0")</f>
        <v>74</v>
      </c>
      <c r="Z453" s="637">
        <f>IFERROR(IF(Z450="",0,Z450),"0")+IFERROR(IF(Z451="",0,Z451),"0")+IFERROR(IF(Z452="",0,Z452),"0")</f>
        <v>1.6094999999999999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1100</v>
      </c>
      <c r="Y454" s="637">
        <f>IFERROR(SUM(Y450:Y452),"0")</f>
        <v>1110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167</v>
      </c>
      <c r="Y463" s="636">
        <f>IFERROR(IF(X463="",0,CEILING((X463/$H463),1)*$H463),"")</f>
        <v>171</v>
      </c>
      <c r="Z463" s="36">
        <f>IFERROR(IF(Y463=0,"",ROUNDUP(Y463/H463,0)*0.01898),"")</f>
        <v>0.36062</v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176.16644444444444</v>
      </c>
      <c r="BN463" s="64">
        <f>IFERROR(Y463*I463/H463,"0")</f>
        <v>180.386</v>
      </c>
      <c r="BO463" s="64">
        <f>IFERROR(1/J463*(X463/H463),"0")</f>
        <v>0.28993055555555558</v>
      </c>
      <c r="BP463" s="64">
        <f>IFERROR(1/J463*(Y463/H463),"0")</f>
        <v>0.296875</v>
      </c>
    </row>
    <row r="464" spans="1:68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18.555555555555557</v>
      </c>
      <c r="Y464" s="637">
        <f>IFERROR(Y462/H462,"0")+IFERROR(Y463/H463,"0")</f>
        <v>19</v>
      </c>
      <c r="Z464" s="637">
        <f>IFERROR(IF(Z462="",0,Z462),"0")+IFERROR(IF(Z463="",0,Z463),"0")</f>
        <v>0.36062</v>
      </c>
      <c r="AA464" s="638"/>
      <c r="AB464" s="638"/>
      <c r="AC464" s="638"/>
    </row>
    <row r="465" spans="1:68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167</v>
      </c>
      <c r="Y465" s="637">
        <f>IFERROR(SUM(Y462:Y463),"0")</f>
        <v>171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303</v>
      </c>
      <c r="Y477" s="636">
        <f>IFERROR(IF(X477="",0,CEILING((X477/$H477),1)*$H477),"")</f>
        <v>306</v>
      </c>
      <c r="Z477" s="36">
        <f>IFERROR(IF(Y477=0,"",ROUNDUP(Y477/H477,0)*0.01898),"")</f>
        <v>0.64532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319.63133333333332</v>
      </c>
      <c r="BN477" s="64">
        <f>IFERROR(Y477*I477/H477,"0")</f>
        <v>322.79599999999999</v>
      </c>
      <c r="BO477" s="64">
        <f>IFERROR(1/J477*(X477/H477),"0")</f>
        <v>0.52604166666666663</v>
      </c>
      <c r="BP477" s="64">
        <f>IFERROR(1/J477*(Y477/H477),"0")</f>
        <v>0.53125</v>
      </c>
    </row>
    <row r="478" spans="1:68" ht="27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2</v>
      </c>
      <c r="Y478" s="636">
        <f>IFERROR(IF(X478="",0,CEILING((X478/$H478),1)*$H478),"")</f>
        <v>2.4</v>
      </c>
      <c r="Z478" s="36">
        <f>IFERROR(IF(Y478=0,"",ROUNDUP(Y478/H478,0)*0.00651),"")</f>
        <v>6.5100000000000002E-3</v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2.2200000000000002</v>
      </c>
      <c r="BN478" s="64">
        <f>IFERROR(Y478*I478/H478,"0")</f>
        <v>2.6640000000000001</v>
      </c>
      <c r="BO478" s="64">
        <f>IFERROR(1/J478*(X478/H478),"0")</f>
        <v>4.578754578754579E-3</v>
      </c>
      <c r="BP478" s="64">
        <f>IFERROR(1/J478*(Y478/H478),"0")</f>
        <v>5.4945054945054949E-3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34.5</v>
      </c>
      <c r="Y480" s="637">
        <f>IFERROR(Y477/H477,"0")+IFERROR(Y478/H478,"0")+IFERROR(Y479/H479,"0")</f>
        <v>35</v>
      </c>
      <c r="Z480" s="637">
        <f>IFERROR(IF(Z477="",0,Z477),"0")+IFERROR(IF(Z478="",0,Z478),"0")+IFERROR(IF(Z479="",0,Z479),"0")</f>
        <v>0.65183000000000002</v>
      </c>
      <c r="AA480" s="638"/>
      <c r="AB480" s="638"/>
      <c r="AC480" s="638"/>
    </row>
    <row r="481" spans="1:68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305</v>
      </c>
      <c r="Y481" s="637">
        <f>IFERROR(SUM(Y477:Y479),"0")</f>
        <v>308.39999999999998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59</v>
      </c>
      <c r="Y485" s="636">
        <f t="shared" ref="Y485:Y490" si="66">IFERROR(IF(X485="",0,CEILING((X485/$H485),1)*$H485),"")</f>
        <v>59.400000000000006</v>
      </c>
      <c r="Z485" s="36">
        <f>IFERROR(IF(Y485=0,"",ROUNDUP(Y485/H485,0)*0.00902),"")</f>
        <v>9.9220000000000003E-2</v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61.075925925925922</v>
      </c>
      <c r="BN485" s="64">
        <f t="shared" ref="BN485:BN490" si="68">IFERROR(Y485*I485/H485,"0")</f>
        <v>61.49</v>
      </c>
      <c r="BO485" s="64">
        <f t="shared" ref="BO485:BO490" si="69">IFERROR(1/J485*(X485/H485),"0")</f>
        <v>8.2772166105499437E-2</v>
      </c>
      <c r="BP485" s="64">
        <f t="shared" ref="BP485:BP490" si="70">IFERROR(1/J485*(Y485/H485),"0")</f>
        <v>8.3333333333333343E-2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10.925925925925926</v>
      </c>
      <c r="Y491" s="637">
        <f>IFERROR(Y485/H485,"0")+IFERROR(Y486/H486,"0")+IFERROR(Y487/H487,"0")+IFERROR(Y488/H488,"0")+IFERROR(Y489/H489,"0")+IFERROR(Y490/H490,"0")</f>
        <v>11</v>
      </c>
      <c r="Z491" s="637">
        <f>IFERROR(IF(Z485="",0,Z485),"0")+IFERROR(IF(Z486="",0,Z486),"0")+IFERROR(IF(Z487="",0,Z487),"0")+IFERROR(IF(Z488="",0,Z488),"0")+IFERROR(IF(Z489="",0,Z489),"0")+IFERROR(IF(Z490="",0,Z490),"0")</f>
        <v>9.9220000000000003E-2</v>
      </c>
      <c r="AA491" s="638"/>
      <c r="AB491" s="638"/>
      <c r="AC491" s="638"/>
    </row>
    <row r="492" spans="1:68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59</v>
      </c>
      <c r="Y492" s="637">
        <f>IFERROR(SUM(Y485:Y490),"0")</f>
        <v>59.400000000000006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15</v>
      </c>
      <c r="Y503" s="636">
        <f>IFERROR(IF(X503="",0,CEILING((X503/$H503),1)*$H503),"")</f>
        <v>16.200000000000003</v>
      </c>
      <c r="Z503" s="36">
        <f>IFERROR(IF(Y503=0,"",ROUNDUP(Y503/H503,0)*0.00902),"")</f>
        <v>2.7060000000000001E-2</v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15.527777777777775</v>
      </c>
      <c r="BN503" s="64">
        <f>IFERROR(Y503*I503/H503,"0")</f>
        <v>16.77</v>
      </c>
      <c r="BO503" s="64">
        <f>IFERROR(1/J503*(X503/H503),"0")</f>
        <v>2.1043771043771045E-2</v>
      </c>
      <c r="BP503" s="64">
        <f>IFERROR(1/J503*(Y503/H503),"0")</f>
        <v>2.2727272727272731E-2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2.7777777777777777</v>
      </c>
      <c r="Y506" s="637">
        <f>IFERROR(Y503/H503,"0")+IFERROR(Y504/H504,"0")+IFERROR(Y505/H505,"0")</f>
        <v>3.0000000000000004</v>
      </c>
      <c r="Z506" s="637">
        <f>IFERROR(IF(Z503="",0,Z503),"0")+IFERROR(IF(Z504="",0,Z504),"0")+IFERROR(IF(Z505="",0,Z505),"0")</f>
        <v>2.7060000000000001E-2</v>
      </c>
      <c r="AA506" s="638"/>
      <c r="AB506" s="638"/>
      <c r="AC506" s="638"/>
    </row>
    <row r="507" spans="1:68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15</v>
      </c>
      <c r="Y507" s="637">
        <f>IFERROR(SUM(Y503:Y505),"0")</f>
        <v>16.200000000000003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322</v>
      </c>
      <c r="Y515" s="636">
        <f t="shared" si="71"/>
        <v>322.08000000000004</v>
      </c>
      <c r="Z515" s="36">
        <f>IFERROR(IF(Y515=0,"",ROUNDUP(Y515/H515,0)*0.01196),"")</f>
        <v>0.72955999999999999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343.34469696969694</v>
      </c>
      <c r="BN515" s="64">
        <f t="shared" si="73"/>
        <v>343.43000000000006</v>
      </c>
      <c r="BO515" s="64">
        <f t="shared" si="74"/>
        <v>0.58639277389277389</v>
      </c>
      <c r="BP515" s="64">
        <f t="shared" si="75"/>
        <v>0.58653846153846168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42</v>
      </c>
      <c r="Y518" s="636">
        <f t="shared" si="71"/>
        <v>43.199999999999996</v>
      </c>
      <c r="Z518" s="36">
        <f>IFERROR(IF(Y518=0,"",ROUNDUP(Y518/H518,0)*0.00902),"")</f>
        <v>8.1180000000000002E-2</v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60.462500000000006</v>
      </c>
      <c r="BN518" s="64">
        <f t="shared" si="73"/>
        <v>62.190000000000005</v>
      </c>
      <c r="BO518" s="64">
        <f t="shared" si="74"/>
        <v>6.6287878787878785E-2</v>
      </c>
      <c r="BP518" s="64">
        <f t="shared" si="75"/>
        <v>6.8181818181818177E-2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69.734848484848484</v>
      </c>
      <c r="Y519" s="637">
        <f>IFERROR(Y511/H511,"0")+IFERROR(Y512/H512,"0")+IFERROR(Y513/H513,"0")+IFERROR(Y514/H514,"0")+IFERROR(Y515/H515,"0")+IFERROR(Y516/H516,"0")+IFERROR(Y517/H517,"0")+IFERROR(Y518/H518,"0")</f>
        <v>70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0.81074000000000002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364</v>
      </c>
      <c r="Y520" s="637">
        <f>IFERROR(SUM(Y511:Y518),"0")</f>
        <v>365.28000000000003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252</v>
      </c>
      <c r="Y522" s="636">
        <f>IFERROR(IF(X522="",0,CEILING((X522/$H522),1)*$H522),"")</f>
        <v>253.44</v>
      </c>
      <c r="Z522" s="36">
        <f>IFERROR(IF(Y522=0,"",ROUNDUP(Y522/H522,0)*0.01196),"")</f>
        <v>0.57408000000000003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268.70454545454544</v>
      </c>
      <c r="BN522" s="64">
        <f>IFERROR(Y522*I522/H522,"0")</f>
        <v>270.23999999999995</v>
      </c>
      <c r="BO522" s="64">
        <f>IFERROR(1/J522*(X522/H522),"0")</f>
        <v>0.45891608391608396</v>
      </c>
      <c r="BP522" s="64">
        <f>IFERROR(1/J522*(Y522/H522),"0")</f>
        <v>0.46153846153846156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47.727272727272727</v>
      </c>
      <c r="Y525" s="637">
        <f>IFERROR(Y522/H522,"0")+IFERROR(Y523/H523,"0")+IFERROR(Y524/H524,"0")</f>
        <v>48</v>
      </c>
      <c r="Z525" s="637">
        <f>IFERROR(IF(Z522="",0,Z522),"0")+IFERROR(IF(Z523="",0,Z523),"0")+IFERROR(IF(Z524="",0,Z524),"0")</f>
        <v>0.57408000000000003</v>
      </c>
      <c r="AA525" s="638"/>
      <c r="AB525" s="638"/>
      <c r="AC525" s="638"/>
    </row>
    <row r="526" spans="1:68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252</v>
      </c>
      <c r="Y526" s="637">
        <f>IFERROR(SUM(Y522:Y524),"0")</f>
        <v>253.44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38</v>
      </c>
      <c r="Y528" s="636">
        <f t="shared" ref="Y528:Y534" si="76">IFERROR(IF(X528="",0,CEILING((X528/$H528),1)*$H528),"")</f>
        <v>42.24</v>
      </c>
      <c r="Z528" s="36">
        <f>IFERROR(IF(Y528=0,"",ROUNDUP(Y528/H528,0)*0.01196),"")</f>
        <v>9.5680000000000001E-2</v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40.518939393939391</v>
      </c>
      <c r="BN528" s="64">
        <f t="shared" ref="BN528:BN534" si="78">IFERROR(Y528*I528/H528,"0")</f>
        <v>45.04</v>
      </c>
      <c r="BO528" s="64">
        <f t="shared" ref="BO528:BO534" si="79">IFERROR(1/J528*(X528/H528),"0")</f>
        <v>6.9201631701631697E-2</v>
      </c>
      <c r="BP528" s="64">
        <f t="shared" ref="BP528:BP534" si="80">IFERROR(1/J528*(Y528/H528),"0")</f>
        <v>7.6923076923076927E-2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296</v>
      </c>
      <c r="Y529" s="636">
        <f t="shared" si="76"/>
        <v>300.96000000000004</v>
      </c>
      <c r="Z529" s="36">
        <f>IFERROR(IF(Y529=0,"",ROUNDUP(Y529/H529,0)*0.01196),"")</f>
        <v>0.68171999999999999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315.62121212121212</v>
      </c>
      <c r="BN529" s="64">
        <f t="shared" si="78"/>
        <v>320.91000000000003</v>
      </c>
      <c r="BO529" s="64">
        <f t="shared" si="79"/>
        <v>0.53904428904428903</v>
      </c>
      <c r="BP529" s="64">
        <f t="shared" si="80"/>
        <v>0.54807692307692313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206</v>
      </c>
      <c r="Y530" s="636">
        <f t="shared" si="76"/>
        <v>211.20000000000002</v>
      </c>
      <c r="Z530" s="36">
        <f>IFERROR(IF(Y530=0,"",ROUNDUP(Y530/H530,0)*0.01196),"")</f>
        <v>0.47839999999999999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219.655303030303</v>
      </c>
      <c r="BN530" s="64">
        <f t="shared" si="78"/>
        <v>225.2</v>
      </c>
      <c r="BO530" s="64">
        <f t="shared" si="79"/>
        <v>0.37514568764568768</v>
      </c>
      <c r="BP530" s="64">
        <f t="shared" si="80"/>
        <v>0.38461538461538464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102.27272727272727</v>
      </c>
      <c r="Y535" s="637">
        <f>IFERROR(Y528/H528,"0")+IFERROR(Y529/H529,"0")+IFERROR(Y530/H530,"0")+IFERROR(Y531/H531,"0")+IFERROR(Y532/H532,"0")+IFERROR(Y533/H533,"0")+IFERROR(Y534/H534,"0")</f>
        <v>105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1.2558</v>
      </c>
      <c r="AA535" s="638"/>
      <c r="AB535" s="638"/>
      <c r="AC535" s="638"/>
    </row>
    <row r="536" spans="1:68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540</v>
      </c>
      <c r="Y536" s="637">
        <f>IFERROR(SUM(Y528:Y534),"0")</f>
        <v>554.40000000000009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112</v>
      </c>
      <c r="Y552" s="636">
        <f>IFERROR(IF(X552="",0,CEILING((X552/$H552),1)*$H552),"")</f>
        <v>117</v>
      </c>
      <c r="Z552" s="36">
        <f>IFERROR(IF(Y552=0,"",ROUNDUP(Y552/H552,0)*0.01898),"")</f>
        <v>0.24674000000000001</v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118.14755555555556</v>
      </c>
      <c r="BN552" s="64">
        <f>IFERROR(Y552*I552/H552,"0")</f>
        <v>123.422</v>
      </c>
      <c r="BO552" s="64">
        <f>IFERROR(1/J552*(X552/H552),"0")</f>
        <v>0.19444444444444445</v>
      </c>
      <c r="BP552" s="64">
        <f>IFERROR(1/J552*(Y552/H552),"0")</f>
        <v>0.203125</v>
      </c>
    </row>
    <row r="553" spans="1:68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12.444444444444445</v>
      </c>
      <c r="Y553" s="637">
        <f>IFERROR(Y552/H552,"0")</f>
        <v>13</v>
      </c>
      <c r="Z553" s="637">
        <f>IFERROR(IF(Z552="",0,Z552),"0")</f>
        <v>0.24674000000000001</v>
      </c>
      <c r="AA553" s="638"/>
      <c r="AB553" s="638"/>
      <c r="AC553" s="638"/>
    </row>
    <row r="554" spans="1:68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112</v>
      </c>
      <c r="Y554" s="637">
        <f>IFERROR(SUM(Y552:Y552),"0")</f>
        <v>117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12076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12235.69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12756.362003361264</v>
      </c>
      <c r="Y566" s="637">
        <f>IFERROR(SUM(BN22:BN562),"0")</f>
        <v>12927.238000000005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22</v>
      </c>
      <c r="Y567" s="38">
        <f>ROUNDUP(SUM(BP22:BP562),0)</f>
        <v>22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13306.362003361264</v>
      </c>
      <c r="Y568" s="637">
        <f>GrossWeightTotalR+PalletQtyTotalR*25</f>
        <v>13477.238000000005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2210.4707015728204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2241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24.965909999999997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28.799999999999997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44.100000000000009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366.2</v>
      </c>
      <c r="F575" s="46">
        <f>IFERROR(Y89*1,"0")+IFERROR(Y90*1,"0")+IFERROR(Y91*1,"0")+IFERROR(Y92*1,"0")+IFERROR(Y93*1,"0")+IFERROR(Y94*1,"0")+IFERROR(Y98*1,"0")+IFERROR(Y99*1,"0")+IFERROR(Y100*1,"0")+IFERROR(Y101*1,"0")</f>
        <v>433.8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1313.94</v>
      </c>
      <c r="H575" s="46">
        <f>IFERROR(Y136*1,"0")+IFERROR(Y137*1,"0")+IFERROR(Y141*1,"0")+IFERROR(Y142*1,"0")+IFERROR(Y146*1,"0")+IFERROR(Y147*1,"0")</f>
        <v>59.040000000000006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1125.46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74.78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1983.9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11.6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110.4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31.2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641.85</v>
      </c>
      <c r="V575" s="46">
        <f>IFERROR(Y424*1,"0")+IFERROR(Y425*1,"0")+IFERROR(Y426*1,"0")</f>
        <v>0</v>
      </c>
      <c r="W575" s="46">
        <f>IFERROR(Y431*1,"0")+IFERROR(Y432*1,"0")+IFERROR(Y433*1,"0")</f>
        <v>10.5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4326</v>
      </c>
      <c r="Y575" s="46">
        <f>IFERROR(Y468*1,"0")+IFERROR(Y469*1,"0")+IFERROR(Y473*1,"0")+IFERROR(Y477*1,"0")+IFERROR(Y478*1,"0")+IFERROR(Y479*1,"0")</f>
        <v>308.39999999999998</v>
      </c>
      <c r="Z575" s="46">
        <f>IFERROR(Y485*1,"0")+IFERROR(Y486*1,"0")+IFERROR(Y487*1,"0")+IFERROR(Y488*1,"0")+IFERROR(Y489*1,"0")+IFERROR(Y490*1,"0")+IFERROR(Y494*1,"0")</f>
        <v>59.400000000000006</v>
      </c>
      <c r="AA575" s="46">
        <f>IFERROR(Y499*1,"0")+IFERROR(Y503*1,"0")+IFERROR(Y504*1,"0")+IFERROR(Y505*1,"0")</f>
        <v>16.200000000000003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1173.1200000000001</v>
      </c>
      <c r="AC575" s="46">
        <f>IFERROR(Y540*1,"0")+IFERROR(Y544*1,"0")+IFERROR(Y548*1,"0")+IFERROR(Y552*1,"0")+IFERROR(Y556*1,"0")+IFERROR(Y557*1,"0")</f>
        <v>117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0"/>
        <filter val="1 100,00"/>
        <filter val="1 115,00"/>
        <filter val="1 174,00"/>
        <filter val="10,23"/>
        <filter val="10,93"/>
        <filter val="102,27"/>
        <filter val="107,00"/>
        <filter val="11,00"/>
        <filter val="112,00"/>
        <filter val="12 076,00"/>
        <filter val="12 756,36"/>
        <filter val="12,44"/>
        <filter val="120,00"/>
        <filter val="125,00"/>
        <filter val="13 306,36"/>
        <filter val="13,00"/>
        <filter val="131,73"/>
        <filter val="14,00"/>
        <filter val="14,44"/>
        <filter val="15,00"/>
        <filter val="16,00"/>
        <filter val="167,00"/>
        <filter val="17,00"/>
        <filter val="18,56"/>
        <filter val="19,00"/>
        <filter val="196,11"/>
        <filter val="2 210,47"/>
        <filter val="2,00"/>
        <filter val="2,38"/>
        <filter val="2,78"/>
        <filter val="200,00"/>
        <filter val="202,00"/>
        <filter val="202,20"/>
        <filter val="206,00"/>
        <filter val="207,00"/>
        <filter val="21,36"/>
        <filter val="22"/>
        <filter val="22,00"/>
        <filter val="22,22"/>
        <filter val="220,00"/>
        <filter val="225,00"/>
        <filter val="252,00"/>
        <filter val="258,00"/>
        <filter val="26,00"/>
        <filter val="27,00"/>
        <filter val="28,00"/>
        <filter val="289,00"/>
        <filter val="29,00"/>
        <filter val="296,00"/>
        <filter val="3 033,00"/>
        <filter val="3,00"/>
        <filter val="3,72"/>
        <filter val="3,81"/>
        <filter val="30,00"/>
        <filter val="300,00"/>
        <filter val="303,00"/>
        <filter val="305,00"/>
        <filter val="322,00"/>
        <filter val="327,00"/>
        <filter val="33,08"/>
        <filter val="34,50"/>
        <filter val="349,14"/>
        <filter val="36,00"/>
        <filter val="360,00"/>
        <filter val="364,00"/>
        <filter val="38,00"/>
        <filter val="38,29"/>
        <filter val="380,00"/>
        <filter val="4,00"/>
        <filter val="4,06"/>
        <filter val="42,00"/>
        <filter val="427,00"/>
        <filter val="44,00"/>
        <filter val="44,58"/>
        <filter val="443,00"/>
        <filter val="47,73"/>
        <filter val="48,00"/>
        <filter val="483,43"/>
        <filter val="49,00"/>
        <filter val="5,00"/>
        <filter val="506,00"/>
        <filter val="51,00"/>
        <filter val="54,17"/>
        <filter val="540,00"/>
        <filter val="56,46"/>
        <filter val="59,00"/>
        <filter val="6,00"/>
        <filter val="6,27"/>
        <filter val="60,00"/>
        <filter val="623,00"/>
        <filter val="63,00"/>
        <filter val="66,37"/>
        <filter val="69,73"/>
        <filter val="7,00"/>
        <filter val="70,00"/>
        <filter val="707,00"/>
        <filter val="73,33"/>
        <filter val="77,00"/>
        <filter val="789,00"/>
        <filter val="79,87"/>
        <filter val="8,00"/>
        <filter val="8,66"/>
        <filter val="827,00"/>
        <filter val="91,00"/>
        <filter val="94,00"/>
        <filter val="95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2026-10-28T09:15:25Z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