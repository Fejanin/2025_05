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0B54F650-9355-40C9-81CD-6AE1A0D6907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P534" i="1"/>
  <c r="BO534" i="1"/>
  <c r="BN534" i="1"/>
  <c r="BM534" i="1"/>
  <c r="Z534" i="1"/>
  <c r="Y534" i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P530" i="1"/>
  <c r="BO530" i="1"/>
  <c r="BN530" i="1"/>
  <c r="BM530" i="1"/>
  <c r="Z530" i="1"/>
  <c r="Y530" i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P522" i="1"/>
  <c r="BO522" i="1"/>
  <c r="BN522" i="1"/>
  <c r="BM522" i="1"/>
  <c r="Z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P485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S575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Q575" i="1" s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N83" i="1"/>
  <c r="BM83" i="1"/>
  <c r="Z83" i="1"/>
  <c r="Y83" i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BP30" i="1" l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Z480" i="1" s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Z367" i="1"/>
  <c r="BP365" i="1"/>
  <c r="BN365" i="1"/>
  <c r="Z365" i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Y465" i="1"/>
  <c r="Y471" i="1"/>
  <c r="BP468" i="1"/>
  <c r="BN468" i="1"/>
  <c r="Z468" i="1"/>
  <c r="Z470" i="1" s="1"/>
  <c r="Y470" i="1"/>
  <c r="Y575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Y168" i="1"/>
  <c r="BP172" i="1"/>
  <c r="BN172" i="1"/>
  <c r="Z172" i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Z212" i="1" s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BP271" i="1"/>
  <c r="BN271" i="1"/>
  <c r="Z271" i="1"/>
  <c r="BP300" i="1"/>
  <c r="BN300" i="1"/>
  <c r="Z300" i="1"/>
  <c r="Y304" i="1"/>
  <c r="BP316" i="1"/>
  <c r="BN316" i="1"/>
  <c r="Z316" i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Z420" i="1"/>
  <c r="BP418" i="1"/>
  <c r="BN418" i="1"/>
  <c r="Z418" i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Z304" i="1" s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Z345" i="1" s="1"/>
  <c r="Y345" i="1"/>
  <c r="Z351" i="1"/>
  <c r="BP349" i="1"/>
  <c r="BN349" i="1"/>
  <c r="Z349" i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Z395" i="1" s="1"/>
  <c r="BP400" i="1"/>
  <c r="BN400" i="1"/>
  <c r="Z400" i="1"/>
  <c r="Y409" i="1"/>
  <c r="BP404" i="1"/>
  <c r="BN404" i="1"/>
  <c r="Z404" i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Z491" i="1" s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535" i="1" l="1"/>
  <c r="Z67" i="1"/>
  <c r="Y566" i="1"/>
  <c r="Z273" i="1"/>
  <c r="Y569" i="1"/>
  <c r="Z408" i="1"/>
  <c r="Z388" i="1"/>
  <c r="Z378" i="1"/>
  <c r="Z319" i="1"/>
  <c r="Z262" i="1"/>
  <c r="Z241" i="1"/>
  <c r="Z173" i="1"/>
  <c r="Z168" i="1"/>
  <c r="Z138" i="1"/>
  <c r="Z121" i="1"/>
  <c r="Z113" i="1"/>
  <c r="Z102" i="1"/>
  <c r="Z95" i="1"/>
  <c r="Z74" i="1"/>
  <c r="Z55" i="1"/>
  <c r="Y567" i="1"/>
  <c r="Z46" i="1"/>
  <c r="Z31" i="1"/>
  <c r="Z464" i="1"/>
  <c r="Z233" i="1"/>
  <c r="Z156" i="1"/>
  <c r="Y568" i="1"/>
  <c r="Z447" i="1"/>
  <c r="Z427" i="1"/>
  <c r="Z337" i="1"/>
  <c r="X568" i="1"/>
  <c r="Z519" i="1"/>
  <c r="Z434" i="1"/>
  <c r="Z506" i="1"/>
  <c r="Z330" i="1"/>
  <c r="Z288" i="1"/>
  <c r="Z187" i="1"/>
  <c r="Z128" i="1"/>
  <c r="Z85" i="1"/>
  <c r="Y565" i="1"/>
  <c r="Z401" i="1"/>
  <c r="Z570" i="1" l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<sst xmlns="http://schemas.openxmlformats.org/spreadsheetml/2006/main" count="2535" uniqueCount="913">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</sst>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9" sqref="AA59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0</v>
      </c>
      <c r="Y51" s="63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0</v>
      </c>
      <c r="Y55" s="637">
        <f>IFERROR(Y51/H51,"0")+IFERROR(Y52/H52,"0")+IFERROR(Y53/H53,"0")+IFERROR(Y54/H54,"0")</f>
        <v>0</v>
      </c>
      <c r="Z55" s="637">
        <f>IFERROR(IF(Z51="",0,Z51),"0")+IFERROR(IF(Z52="",0,Z52),"0")+IFERROR(IF(Z53="",0,Z53),"0")+IFERROR(IF(Z54="",0,Z54),"0")</f>
        <v>0</v>
      </c>
      <c r="AA55" s="638"/>
      <c r="AB55" s="638"/>
      <c r="AC55" s="638"/>
    </row>
    <row r="56" spans="1:68" hidden="1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0</v>
      </c>
      <c r="Y56" s="637">
        <f>IFERROR(SUM(Y51:Y54),"0")</f>
        <v>0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4</v>
      </c>
      <c r="Y59" s="63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4.1464285714285714</v>
      </c>
      <c r="BN59" s="64">
        <f t="shared" ref="BN59:BN66" si="2">IFERROR(Y59*I59/H59,"0")</f>
        <v>11.61</v>
      </c>
      <c r="BO59" s="64">
        <f t="shared" ref="BO59:BO66" si="3">IFERROR(1/J59*(X59/H59),"0")</f>
        <v>5.580357142857143E-3</v>
      </c>
      <c r="BP59" s="64">
        <f t="shared" ref="BP59:BP66" si="4">IFERROR(1/J59*(Y59/H59),"0")</f>
        <v>1.5625E-2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0.35714285714285715</v>
      </c>
      <c r="Y67" s="637">
        <f>IFERROR(Y59/H59,"0")+IFERROR(Y60/H60,"0")+IFERROR(Y61/H61,"0")+IFERROR(Y62/H62,"0")+IFERROR(Y63/H63,"0")+IFERROR(Y64/H64,"0")+IFERROR(Y65/H65,"0")+IFERROR(Y66/H66,"0")</f>
        <v>1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1.898E-2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4</v>
      </c>
      <c r="Y68" s="637">
        <f>IFERROR(SUM(Y59:Y66),"0")</f>
        <v>11.2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0</v>
      </c>
      <c r="Y94" s="636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0</v>
      </c>
      <c r="Y95" s="637">
        <f>IFERROR(Y89/H89,"0")+IFERROR(Y90/H90,"0")+IFERROR(Y91/H91,"0")+IFERROR(Y92/H92,"0")+IFERROR(Y93/H93,"0")+IFERROR(Y94/H94,"0")</f>
        <v>0</v>
      </c>
      <c r="Z95" s="637">
        <f>IFERROR(IF(Z89="",0,Z89),"0")+IFERROR(IF(Z90="",0,Z90),"0")+IFERROR(IF(Z91="",0,Z91),"0")+IFERROR(IF(Z92="",0,Z92),"0")+IFERROR(IF(Z93="",0,Z93),"0")+IFERROR(IF(Z94="",0,Z94),"0")</f>
        <v>0</v>
      </c>
      <c r="AA95" s="638"/>
      <c r="AB95" s="638"/>
      <c r="AC95" s="638"/>
    </row>
    <row r="96" spans="1:68" hidden="1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0</v>
      </c>
      <c r="Y96" s="637">
        <f>IFERROR(SUM(Y89:Y94),"0")</f>
        <v>0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266</v>
      </c>
      <c r="Y98" s="636">
        <f>IFERROR(IF(X98="",0,CEILING((X98/$H98),1)*$H98),"")</f>
        <v>267.3</v>
      </c>
      <c r="Z98" s="36">
        <f>IFERROR(IF(Y98=0,"",ROUNDUP(Y98/H98,0)*0.01898),"")</f>
        <v>0.62634000000000001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282.22271604938271</v>
      </c>
      <c r="BN98" s="64">
        <f>IFERROR(Y98*I98/H98,"0")</f>
        <v>283.60199999999998</v>
      </c>
      <c r="BO98" s="64">
        <f>IFERROR(1/J98*(X98/H98),"0")</f>
        <v>0.51311728395061729</v>
      </c>
      <c r="BP98" s="64">
        <f>IFERROR(1/J98*(Y98/H98),"0")</f>
        <v>0.515625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32.839506172839506</v>
      </c>
      <c r="Y102" s="637">
        <f>IFERROR(Y98/H98,"0")+IFERROR(Y99/H99,"0")+IFERROR(Y100/H100,"0")+IFERROR(Y101/H101,"0")</f>
        <v>33</v>
      </c>
      <c r="Z102" s="637">
        <f>IFERROR(IF(Z98="",0,Z98),"0")+IFERROR(IF(Z99="",0,Z99),"0")+IFERROR(IF(Z100="",0,Z100),"0")+IFERROR(IF(Z101="",0,Z101),"0")</f>
        <v>0.62634000000000001</v>
      </c>
      <c r="AA102" s="638"/>
      <c r="AB102" s="638"/>
      <c r="AC102" s="638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266</v>
      </c>
      <c r="Y103" s="637">
        <f>IFERROR(SUM(Y98:Y101),"0")</f>
        <v>267.3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25</v>
      </c>
      <c r="Y106" s="636">
        <f t="shared" ref="Y106:Y112" si="10">IFERROR(IF(X106="",0,CEILING((X106/$H106),1)*$H106),"")</f>
        <v>32.400000000000006</v>
      </c>
      <c r="Z106" s="36">
        <f>IFERROR(IF(Y106=0,"",ROUNDUP(Y106/H106,0)*0.01898),"")</f>
        <v>5.6940000000000004E-2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25.949074074074073</v>
      </c>
      <c r="BN106" s="64">
        <f t="shared" ref="BN106:BN112" si="12">IFERROR(Y106*I106/H106,"0")</f>
        <v>33.630000000000003</v>
      </c>
      <c r="BO106" s="64">
        <f t="shared" ref="BO106:BO112" si="13">IFERROR(1/J106*(X106/H106),"0")</f>
        <v>3.6168981481481483E-2</v>
      </c>
      <c r="BP106" s="64">
        <f t="shared" ref="BP106:BP112" si="14">IFERROR(1/J106*(Y106/H106),"0")</f>
        <v>4.6875000000000007E-2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64</v>
      </c>
      <c r="Y110" s="636">
        <f t="shared" si="10"/>
        <v>67.5</v>
      </c>
      <c r="Z110" s="36">
        <f>IFERROR(IF(Y110=0,"",ROUNDUP(Y110/H110,0)*0.00902),"")</f>
        <v>0.1353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66.702222222222233</v>
      </c>
      <c r="BN110" s="64">
        <f t="shared" si="12"/>
        <v>70.350000000000009</v>
      </c>
      <c r="BO110" s="64">
        <f t="shared" si="13"/>
        <v>0.10774410774410774</v>
      </c>
      <c r="BP110" s="64">
        <f t="shared" si="14"/>
        <v>0.11363636363636365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16.537037037037038</v>
      </c>
      <c r="Y113" s="637">
        <f>IFERROR(Y106/H106,"0")+IFERROR(Y107/H107,"0")+IFERROR(Y108/H108,"0")+IFERROR(Y109/H109,"0")+IFERROR(Y110/H110,"0")+IFERROR(Y111/H111,"0")+IFERROR(Y112/H112,"0")</f>
        <v>18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0.19224000000000002</v>
      </c>
      <c r="AA113" s="638"/>
      <c r="AB113" s="638"/>
      <c r="AC113" s="638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89</v>
      </c>
      <c r="Y114" s="637">
        <f>IFERROR(SUM(Y106:Y112),"0")</f>
        <v>99.9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115</v>
      </c>
      <c r="Y124" s="636">
        <f>IFERROR(IF(X124="",0,CEILING((X124/$H124),1)*$H124),"")</f>
        <v>121.5</v>
      </c>
      <c r="Z124" s="36">
        <f>IFERROR(IF(Y124=0,"",ROUNDUP(Y124/H124,0)*0.01898),"")</f>
        <v>0.28470000000000001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121.92839506172838</v>
      </c>
      <c r="BN124" s="64">
        <f>IFERROR(Y124*I124/H124,"0")</f>
        <v>128.82</v>
      </c>
      <c r="BO124" s="64">
        <f>IFERROR(1/J124*(X124/H124),"0")</f>
        <v>0.22183641975308643</v>
      </c>
      <c r="BP124" s="64">
        <f>IFERROR(1/J124*(Y124/H124),"0")</f>
        <v>0.234375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159</v>
      </c>
      <c r="Y126" s="636">
        <f>IFERROR(IF(X126="",0,CEILING((X126/$H126),1)*$H126),"")</f>
        <v>159.30000000000001</v>
      </c>
      <c r="Z126" s="36">
        <f>IFERROR(IF(Y126=0,"",ROUNDUP(Y126/H126,0)*0.00651),"")</f>
        <v>0.38408999999999999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173.83999999999997</v>
      </c>
      <c r="BN126" s="64">
        <f>IFERROR(Y126*I126/H126,"0")</f>
        <v>174.16799999999998</v>
      </c>
      <c r="BO126" s="64">
        <f>IFERROR(1/J126*(X126/H126),"0")</f>
        <v>0.32356532356532358</v>
      </c>
      <c r="BP126" s="64">
        <f>IFERROR(1/J126*(Y126/H126),"0")</f>
        <v>0.32417582417582419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73.086419753086417</v>
      </c>
      <c r="Y128" s="637">
        <f>IFERROR(Y124/H124,"0")+IFERROR(Y125/H125,"0")+IFERROR(Y126/H126,"0")+IFERROR(Y127/H127,"0")</f>
        <v>74</v>
      </c>
      <c r="Z128" s="637">
        <f>IFERROR(IF(Z124="",0,Z124),"0")+IFERROR(IF(Z125="",0,Z125),"0")+IFERROR(IF(Z126="",0,Z126),"0")+IFERROR(IF(Z127="",0,Z127),"0")</f>
        <v>0.66879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274</v>
      </c>
      <c r="Y129" s="637">
        <f>IFERROR(SUM(Y124:Y127),"0")</f>
        <v>280.8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4</v>
      </c>
      <c r="Y141" s="636">
        <f>IFERROR(IF(X141="",0,CEILING((X141/$H141),1)*$H141),"")</f>
        <v>5.6</v>
      </c>
      <c r="Z141" s="36">
        <f>IFERROR(IF(Y141=0,"",ROUNDUP(Y141/H141,0)*0.00651),"")</f>
        <v>1.302E-2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4.3828571428571435</v>
      </c>
      <c r="BN141" s="64">
        <f>IFERROR(Y141*I141/H141,"0")</f>
        <v>6.1359999999999992</v>
      </c>
      <c r="BO141" s="64">
        <f>IFERROR(1/J141*(X141/H141),"0")</f>
        <v>7.849293563579279E-3</v>
      </c>
      <c r="BP141" s="64">
        <f>IFERROR(1/J141*(Y141/H141),"0")</f>
        <v>1.098901098901099E-2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1.4285714285714286</v>
      </c>
      <c r="Y143" s="637">
        <f>IFERROR(Y141/H141,"0")+IFERROR(Y142/H142,"0")</f>
        <v>2</v>
      </c>
      <c r="Z143" s="637">
        <f>IFERROR(IF(Z141="",0,Z141),"0")+IFERROR(IF(Z142="",0,Z142),"0")</f>
        <v>1.302E-2</v>
      </c>
      <c r="AA143" s="638"/>
      <c r="AB143" s="638"/>
      <c r="AC143" s="638"/>
    </row>
    <row r="144" spans="1:68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4</v>
      </c>
      <c r="Y144" s="637">
        <f>IFERROR(SUM(Y141:Y142),"0")</f>
        <v>5.6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50</v>
      </c>
      <c r="Y176" s="636">
        <f t="shared" ref="Y176:Y186" si="15">IFERROR(IF(X176="",0,CEILING((X176/$H176),1)*$H176),"")</f>
        <v>50.599999999999994</v>
      </c>
      <c r="Z176" s="36">
        <f>IFERROR(IF(Y176=0,"",ROUNDUP(Y176/H176,0)*0.01196),"")</f>
        <v>0.13156000000000001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53.804347826086961</v>
      </c>
      <c r="BN176" s="64">
        <f t="shared" ref="BN176:BN186" si="17">IFERROR(Y176*I176/H176,"0")</f>
        <v>54.449999999999996</v>
      </c>
      <c r="BO176" s="64">
        <f t="shared" ref="BO176:BO186" si="18">IFERROR(1/J176*(X176/H176),"0")</f>
        <v>0.10451505016722409</v>
      </c>
      <c r="BP176" s="64">
        <f t="shared" ref="BP176:BP186" si="19">IFERROR(1/J176*(Y176/H176),"0")</f>
        <v>0.10576923076923078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4</v>
      </c>
      <c r="Y180" s="636">
        <f t="shared" si="15"/>
        <v>7</v>
      </c>
      <c r="Z180" s="36">
        <f>IFERROR(IF(Y180=0,"",ROUNDUP(Y180/H180,0)*0.00902),"")</f>
        <v>1.804E-2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4.2171428571428571</v>
      </c>
      <c r="BN180" s="64">
        <f t="shared" si="17"/>
        <v>7.38</v>
      </c>
      <c r="BO180" s="64">
        <f t="shared" si="18"/>
        <v>8.658008658008658E-3</v>
      </c>
      <c r="BP180" s="64">
        <f t="shared" si="19"/>
        <v>1.5151515151515152E-2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8</v>
      </c>
      <c r="Y182" s="636">
        <f t="shared" si="15"/>
        <v>8.4</v>
      </c>
      <c r="Z182" s="36">
        <f>IFERROR(IF(Y182=0,"",ROUNDUP(Y182/H182,0)*0.00502),"")</f>
        <v>2.5100000000000001E-2</v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8.4761904761904763</v>
      </c>
      <c r="BN182" s="64">
        <f t="shared" si="17"/>
        <v>8.9000000000000021</v>
      </c>
      <c r="BO182" s="64">
        <f t="shared" si="18"/>
        <v>2.0350020350020353E-2</v>
      </c>
      <c r="BP182" s="64">
        <f t="shared" si="19"/>
        <v>2.1367521367521368E-2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3</v>
      </c>
      <c r="Y183" s="636">
        <f t="shared" si="15"/>
        <v>3.6</v>
      </c>
      <c r="Z183" s="36">
        <f>IFERROR(IF(Y183=0,"",ROUNDUP(Y183/H183,0)*0.00417),"")</f>
        <v>1.668E-2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3.7</v>
      </c>
      <c r="BN183" s="64">
        <f t="shared" si="17"/>
        <v>4.4400000000000004</v>
      </c>
      <c r="BO183" s="64">
        <f t="shared" si="18"/>
        <v>1.0683760683760682E-2</v>
      </c>
      <c r="BP183" s="64">
        <f t="shared" si="19"/>
        <v>1.282051282051282E-2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4</v>
      </c>
      <c r="Y185" s="636">
        <f t="shared" si="15"/>
        <v>4.5</v>
      </c>
      <c r="Z185" s="36">
        <f>IFERROR(IF(Y185=0,"",ROUNDUP(Y185/H185,0)*0.00417),"")</f>
        <v>2.085E-2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4.4444444444444446</v>
      </c>
      <c r="BN185" s="64">
        <f t="shared" si="17"/>
        <v>5</v>
      </c>
      <c r="BO185" s="64">
        <f t="shared" si="18"/>
        <v>1.4245014245014245E-2</v>
      </c>
      <c r="BP185" s="64">
        <f t="shared" si="19"/>
        <v>1.6025641025641024E-2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24.552104899930988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27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0.21223000000000003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69</v>
      </c>
      <c r="Y188" s="637">
        <f>IFERROR(SUM(Y176:Y186),"0")</f>
        <v>74.099999999999994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hidden="1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8"/>
      <c r="AB233" s="638"/>
      <c r="AC233" s="638"/>
    </row>
    <row r="234" spans="1:68" hidden="1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0</v>
      </c>
      <c r="Y234" s="637">
        <f>IFERROR(SUM(Y220:Y232),"0")</f>
        <v>0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70</v>
      </c>
      <c r="Y265" s="636">
        <f t="shared" ref="Y265:Y272" si="31">IFERROR(IF(X265="",0,CEILING((X265/$H265),1)*$H265),"")</f>
        <v>70.2</v>
      </c>
      <c r="Z265" s="36">
        <f>IFERROR(IF(Y265=0,"",ROUNDUP(Y265/H265,0)*0.00902),"")</f>
        <v>0.11726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72.462962962962962</v>
      </c>
      <c r="BN265" s="64">
        <f t="shared" ref="BN265:BN272" si="33">IFERROR(Y265*I265/H265,"0")</f>
        <v>72.67</v>
      </c>
      <c r="BO265" s="64">
        <f t="shared" ref="BO265:BO272" si="34">IFERROR(1/J265*(X265/H265),"0")</f>
        <v>9.8204264870931535E-2</v>
      </c>
      <c r="BP265" s="64">
        <f t="shared" ref="BP265:BP272" si="35">IFERROR(1/J265*(Y265/H265),"0")</f>
        <v>9.8484848484848481E-2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12.962962962962962</v>
      </c>
      <c r="Y273" s="637">
        <f>IFERROR(Y265/H265,"0")+IFERROR(Y266/H266,"0")+IFERROR(Y267/H267,"0")+IFERROR(Y268/H268,"0")+IFERROR(Y269/H269,"0")+IFERROR(Y270/H270,"0")+IFERROR(Y271/H271,"0")+IFERROR(Y272/H272,"0")</f>
        <v>13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0.11726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70</v>
      </c>
      <c r="Y274" s="637">
        <f>IFERROR(SUM(Y265:Y272),"0")</f>
        <v>70.2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17</v>
      </c>
      <c r="Y285" s="636">
        <f t="shared" si="36"/>
        <v>19.2</v>
      </c>
      <c r="Z285" s="36">
        <f>IFERROR(IF(Y285=0,"",ROUNDUP(Y285/H285,0)*0.00651),"")</f>
        <v>5.2080000000000001E-2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18.785000000000004</v>
      </c>
      <c r="BN285" s="64">
        <f t="shared" si="38"/>
        <v>21.216000000000001</v>
      </c>
      <c r="BO285" s="64">
        <f t="shared" si="39"/>
        <v>3.8919413919413927E-2</v>
      </c>
      <c r="BP285" s="64">
        <f t="shared" si="40"/>
        <v>4.3956043956043959E-2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0</v>
      </c>
      <c r="Y286" s="636">
        <f t="shared" si="36"/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0</v>
      </c>
      <c r="BN286" s="64">
        <f t="shared" si="38"/>
        <v>0</v>
      </c>
      <c r="BO286" s="64">
        <f t="shared" si="39"/>
        <v>0</v>
      </c>
      <c r="BP286" s="64">
        <f t="shared" si="40"/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7.0833333333333339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8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5.2080000000000001E-2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17</v>
      </c>
      <c r="Y289" s="637">
        <f>IFERROR(SUM(Y276:Y287),"0")</f>
        <v>19.2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0</v>
      </c>
      <c r="Y367" s="637">
        <f>IFERROR(Y364/H364,"0")+IFERROR(Y365/H365,"0")+IFERROR(Y366/H366,"0")</f>
        <v>0</v>
      </c>
      <c r="Z367" s="637">
        <f>IFERROR(IF(Z364="",0,Z364),"0")+IFERROR(IF(Z365="",0,Z365),"0")+IFERROR(IF(Z366="",0,Z366),"0")</f>
        <v>0</v>
      </c>
      <c r="AA367" s="638"/>
      <c r="AB367" s="638"/>
      <c r="AC367" s="638"/>
    </row>
    <row r="368" spans="1:68" hidden="1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0</v>
      </c>
      <c r="Y368" s="637">
        <f>IFERROR(SUM(Y364:Y366),"0")</f>
        <v>0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0</v>
      </c>
      <c r="Y399" s="636">
        <f>IFERROR(IF(X399="",0,CEILING((X399/$H399),1)*$H399),"")</f>
        <v>0</v>
      </c>
      <c r="Z399" s="36" t="str">
        <f>IFERROR(IF(Y399=0,"",ROUNDUP(Y399/H399,0)*0.01898),"")</f>
        <v/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0</v>
      </c>
      <c r="Y401" s="637">
        <f>IFERROR(Y398/H398,"0")+IFERROR(Y399/H399,"0")+IFERROR(Y400/H400,"0")</f>
        <v>0</v>
      </c>
      <c r="Z401" s="637">
        <f>IFERROR(IF(Z398="",0,Z398),"0")+IFERROR(IF(Z399="",0,Z399),"0")+IFERROR(IF(Z400="",0,Z400),"0")</f>
        <v>0</v>
      </c>
      <c r="AA401" s="638"/>
      <c r="AB401" s="638"/>
      <c r="AC401" s="638"/>
    </row>
    <row r="402" spans="1:68" hidden="1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0</v>
      </c>
      <c r="Y402" s="637">
        <f>IFERROR(SUM(Y398:Y400),"0")</f>
        <v>0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25</v>
      </c>
      <c r="Y439" s="636">
        <f t="shared" ref="Y439:Y446" si="61">IFERROR(IF(X439="",0,CEILING((X439/$H439),1)*$H439),"")</f>
        <v>30</v>
      </c>
      <c r="Z439" s="36">
        <f>IFERROR(IF(Y439=0,"",ROUNDUP(Y439/H439,0)*0.02175),"")</f>
        <v>4.3499999999999997E-2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25.783333333333335</v>
      </c>
      <c r="BN439" s="64">
        <f t="shared" ref="BN439:BN446" si="63">IFERROR(Y439*I439/H439,"0")</f>
        <v>30.94</v>
      </c>
      <c r="BO439" s="64">
        <f t="shared" ref="BO439:BO446" si="64">IFERROR(1/J439*(X439/H439),"0")</f>
        <v>3.4722222222222224E-2</v>
      </c>
      <c r="BP439" s="64">
        <f t="shared" ref="BP439:BP446" si="65">IFERROR(1/J439*(Y439/H439),"0")</f>
        <v>4.1666666666666664E-2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697</v>
      </c>
      <c r="Y440" s="636">
        <f t="shared" si="61"/>
        <v>705</v>
      </c>
      <c r="Z440" s="36">
        <f>IFERROR(IF(Y440=0,"",ROUNDUP(Y440/H440,0)*0.02175),"")</f>
        <v>1.0222499999999999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718.83933333333334</v>
      </c>
      <c r="BN440" s="64">
        <f t="shared" si="63"/>
        <v>727.09</v>
      </c>
      <c r="BO440" s="64">
        <f t="shared" si="64"/>
        <v>0.96805555555555556</v>
      </c>
      <c r="BP440" s="64">
        <f t="shared" si="65"/>
        <v>0.97916666666666663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198</v>
      </c>
      <c r="Y441" s="636">
        <f t="shared" si="61"/>
        <v>210</v>
      </c>
      <c r="Z441" s="36">
        <f>IFERROR(IF(Y441=0,"",ROUNDUP(Y441/H441,0)*0.02175),"")</f>
        <v>0.30449999999999999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204.20400000000001</v>
      </c>
      <c r="BN441" s="64">
        <f t="shared" si="63"/>
        <v>216.58</v>
      </c>
      <c r="BO441" s="64">
        <f t="shared" si="64"/>
        <v>0.27499999999999997</v>
      </c>
      <c r="BP441" s="64">
        <f t="shared" si="65"/>
        <v>0.29166666666666663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247</v>
      </c>
      <c r="Y442" s="636">
        <f t="shared" si="61"/>
        <v>255</v>
      </c>
      <c r="Z442" s="36">
        <f>IFERROR(IF(Y442=0,"",ROUNDUP(Y442/H442,0)*0.02175),"")</f>
        <v>0.36974999999999997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254.73933333333335</v>
      </c>
      <c r="BN442" s="64">
        <f t="shared" si="63"/>
        <v>262.99</v>
      </c>
      <c r="BO442" s="64">
        <f t="shared" si="64"/>
        <v>0.3430555555555555</v>
      </c>
      <c r="BP442" s="64">
        <f t="shared" si="65"/>
        <v>0.35416666666666663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77.8</v>
      </c>
      <c r="Y447" s="637">
        <f>IFERROR(Y439/H439,"0")+IFERROR(Y440/H440,"0")+IFERROR(Y441/H441,"0")+IFERROR(Y442/H442,"0")+IFERROR(Y443/H443,"0")+IFERROR(Y444/H444,"0")+IFERROR(Y445/H445,"0")+IFERROR(Y446/H446,"0")</f>
        <v>80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1.74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1167</v>
      </c>
      <c r="Y448" s="637">
        <f>IFERROR(SUM(Y439:Y446),"0")</f>
        <v>1200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332</v>
      </c>
      <c r="Y450" s="636">
        <f>IFERROR(IF(X450="",0,CEILING((X450/$H450),1)*$H450),"")</f>
        <v>345</v>
      </c>
      <c r="Z450" s="36">
        <f>IFERROR(IF(Y450=0,"",ROUNDUP(Y450/H450,0)*0.02175),"")</f>
        <v>0.50024999999999997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342.40266666666668</v>
      </c>
      <c r="BN450" s="64">
        <f>IFERROR(Y450*I450/H450,"0")</f>
        <v>355.81000000000006</v>
      </c>
      <c r="BO450" s="64">
        <f>IFERROR(1/J450*(X450/H450),"0")</f>
        <v>0.46111111111111108</v>
      </c>
      <c r="BP450" s="64">
        <f>IFERROR(1/J450*(Y450/H450),"0")</f>
        <v>0.47916666666666663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22.133333333333333</v>
      </c>
      <c r="Y453" s="637">
        <f>IFERROR(Y450/H450,"0")+IFERROR(Y451/H451,"0")+IFERROR(Y452/H452,"0")</f>
        <v>23</v>
      </c>
      <c r="Z453" s="637">
        <f>IFERROR(IF(Z450="",0,Z450),"0")+IFERROR(IF(Z451="",0,Z451),"0")+IFERROR(IF(Z452="",0,Z452),"0")</f>
        <v>0.50024999999999997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332</v>
      </c>
      <c r="Y454" s="637">
        <f>IFERROR(SUM(Y450:Y452),"0")</f>
        <v>345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hidden="1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0</v>
      </c>
      <c r="Y477" s="636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0</v>
      </c>
      <c r="Y480" s="637">
        <f>IFERROR(Y477/H477,"0")+IFERROR(Y478/H478,"0")+IFERROR(Y479/H479,"0")</f>
        <v>0</v>
      </c>
      <c r="Z480" s="637">
        <f>IFERROR(IF(Z477="",0,Z477),"0")+IFERROR(IF(Z478="",0,Z478),"0")+IFERROR(IF(Z479="",0,Z479),"0")</f>
        <v>0</v>
      </c>
      <c r="AA480" s="638"/>
      <c r="AB480" s="638"/>
      <c r="AC480" s="638"/>
    </row>
    <row r="481" spans="1:68" hidden="1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0</v>
      </c>
      <c r="Y481" s="637">
        <f>IFERROR(SUM(Y477:Y479),"0")</f>
        <v>0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10</v>
      </c>
      <c r="Y517" s="636">
        <f t="shared" si="71"/>
        <v>14.399999999999999</v>
      </c>
      <c r="Z517" s="36">
        <f>IFERROR(IF(Y517=0,"",ROUNDUP(Y517/H517,0)*0.00902),"")</f>
        <v>2.7060000000000001E-2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14.395833333333332</v>
      </c>
      <c r="BN517" s="64">
        <f t="shared" si="73"/>
        <v>20.73</v>
      </c>
      <c r="BO517" s="64">
        <f t="shared" si="74"/>
        <v>1.5782828282828284E-2</v>
      </c>
      <c r="BP517" s="64">
        <f t="shared" si="75"/>
        <v>2.2727272727272728E-2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2.0833333333333335</v>
      </c>
      <c r="Y519" s="637">
        <f>IFERROR(Y511/H511,"0")+IFERROR(Y512/H512,"0")+IFERROR(Y513/H513,"0")+IFERROR(Y514/H514,"0")+IFERROR(Y515/H515,"0")+IFERROR(Y516/H516,"0")+IFERROR(Y517/H517,"0")+IFERROR(Y518/H518,"0")</f>
        <v>3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2.7060000000000001E-2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10</v>
      </c>
      <c r="Y520" s="637">
        <f>IFERROR(SUM(Y511:Y518),"0")</f>
        <v>14.399999999999999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hidden="1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0</v>
      </c>
      <c r="Y522" s="636">
        <f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0</v>
      </c>
      <c r="Y525" s="637">
        <f>IFERROR(Y522/H522,"0")+IFERROR(Y523/H523,"0")+IFERROR(Y524/H524,"0")</f>
        <v>0</v>
      </c>
      <c r="Z525" s="637">
        <f>IFERROR(IF(Z522="",0,Z522),"0")+IFERROR(IF(Z523="",0,Z523),"0")+IFERROR(IF(Z524="",0,Z524),"0")</f>
        <v>0</v>
      </c>
      <c r="AA525" s="638"/>
      <c r="AB525" s="638"/>
      <c r="AC525" s="638"/>
    </row>
    <row r="526" spans="1:68" hidden="1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0</v>
      </c>
      <c r="Y526" s="637">
        <f>IFERROR(SUM(Y522:Y524),"0")</f>
        <v>0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2302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2387.7000000000003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2405.4262816885212</v>
      </c>
      <c r="Y566" s="637">
        <f>IFERROR(SUM(BN22:BN562),"0")</f>
        <v>2496.5119999999997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4</v>
      </c>
      <c r="Y567" s="38">
        <f>ROUNDUP(SUM(BP22:BP562),0)</f>
        <v>4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2505.4262816885212</v>
      </c>
      <c r="Y568" s="637">
        <f>GrossWeightTotalR+PalletQtyTotalR*25</f>
        <v>2596.5119999999997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270.86374511157118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282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4.1682499999999996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0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11.2</v>
      </c>
      <c r="F575" s="46">
        <f>IFERROR(Y89*1,"0")+IFERROR(Y90*1,"0")+IFERROR(Y91*1,"0")+IFERROR(Y92*1,"0")+IFERROR(Y93*1,"0")+IFERROR(Y94*1,"0")+IFERROR(Y98*1,"0")+IFERROR(Y99*1,"0")+IFERROR(Y100*1,"0")+IFERROR(Y101*1,"0")</f>
        <v>267.3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380.70000000000005</v>
      </c>
      <c r="H575" s="46">
        <f>IFERROR(Y136*1,"0")+IFERROR(Y137*1,"0")+IFERROR(Y141*1,"0")+IFERROR(Y142*1,"0")+IFERROR(Y146*1,"0")+IFERROR(Y147*1,"0")</f>
        <v>5.6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74.099999999999994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89.4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0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1545</v>
      </c>
      <c r="Y575" s="46">
        <f>IFERROR(Y468*1,"0")+IFERROR(Y469*1,"0")+IFERROR(Y473*1,"0")+IFERROR(Y477*1,"0")+IFERROR(Y478*1,"0")+IFERROR(Y479*1,"0")</f>
        <v>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14.399999999999999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6"/>
        <filter val="1 167,00"/>
        <filter val="1,43"/>
        <filter val="10,00"/>
        <filter val="115,00"/>
        <filter val="12,96"/>
        <filter val="159,00"/>
        <filter val="16,54"/>
        <filter val="17,00"/>
        <filter val="198,00"/>
        <filter val="2 302,00"/>
        <filter val="2 405,43"/>
        <filter val="2 505,43"/>
        <filter val="2,08"/>
        <filter val="22,13"/>
        <filter val="24,55"/>
        <filter val="247,00"/>
        <filter val="25,00"/>
        <filter val="266,00"/>
        <filter val="270,86"/>
        <filter val="274,00"/>
        <filter val="3,00"/>
        <filter val="32,84"/>
        <filter val="332,00"/>
        <filter val="4"/>
        <filter val="4,00"/>
        <filter val="50,00"/>
        <filter val="64,00"/>
        <filter val="69,00"/>
        <filter val="697,00"/>
        <filter val="7,08"/>
        <filter val="70,00"/>
        <filter val="73,09"/>
        <filter val="77,80"/>
        <filter val="8,00"/>
        <filter val="89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2026-10-28T09:12:26Z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