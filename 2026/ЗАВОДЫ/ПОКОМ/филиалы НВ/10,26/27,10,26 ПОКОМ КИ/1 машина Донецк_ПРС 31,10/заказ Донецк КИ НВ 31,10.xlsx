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0049268-49F7-46A2-AE55-9C6E68A0E7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P534" i="1"/>
  <c r="BO534" i="1"/>
  <c r="BN534" i="1"/>
  <c r="BM534" i="1"/>
  <c r="Z534" i="1"/>
  <c r="Y534" i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P530" i="1"/>
  <c r="BO530" i="1"/>
  <c r="BN530" i="1"/>
  <c r="BM530" i="1"/>
  <c r="Z530" i="1"/>
  <c r="Y530" i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P522" i="1"/>
  <c r="BO522" i="1"/>
  <c r="BN522" i="1"/>
  <c r="BM522" i="1"/>
  <c r="Z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Q575" i="1" s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0" i="1" l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Z351" i="1" s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Z143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Z156" i="1" s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Z247" i="1"/>
  <c r="BP245" i="1"/>
  <c r="BN245" i="1"/>
  <c r="Z245" i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H9" i="1"/>
  <c r="B575" i="1"/>
  <c r="X566" i="1"/>
  <c r="X568" i="1" s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Z319" i="1" s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BP372" i="1"/>
  <c r="BN372" i="1"/>
  <c r="Z372" i="1"/>
  <c r="BP376" i="1"/>
  <c r="BN376" i="1"/>
  <c r="Z376" i="1"/>
  <c r="Z378" i="1" s="1"/>
  <c r="Y389" i="1"/>
  <c r="BP384" i="1"/>
  <c r="BN384" i="1"/>
  <c r="Z384" i="1"/>
  <c r="Z388" i="1" s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Z480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Z525" i="1"/>
  <c r="BP523" i="1"/>
  <c r="BN523" i="1"/>
  <c r="Z523" i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37" i="1" l="1"/>
  <c r="Z102" i="1"/>
  <c r="Y566" i="1"/>
  <c r="Y567" i="1"/>
  <c r="Z31" i="1"/>
  <c r="Z241" i="1"/>
  <c r="Z535" i="1"/>
  <c r="Z491" i="1"/>
  <c r="Z345" i="1"/>
  <c r="Z304" i="1"/>
  <c r="Z273" i="1"/>
  <c r="Z212" i="1"/>
  <c r="Z67" i="1"/>
  <c r="Z233" i="1"/>
  <c r="Y569" i="1"/>
  <c r="Z447" i="1"/>
  <c r="Z427" i="1"/>
  <c r="Z519" i="1"/>
  <c r="Z434" i="1"/>
  <c r="Z506" i="1"/>
  <c r="Z395" i="1"/>
  <c r="Z330" i="1"/>
  <c r="Z288" i="1"/>
  <c r="Z187" i="1"/>
  <c r="Z128" i="1"/>
  <c r="Z85" i="1"/>
  <c r="Y565" i="1"/>
  <c r="Z401" i="1"/>
  <c r="Z570" i="1" l="1"/>
  <c r="Y568" i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<sst xmlns="http://schemas.openxmlformats.org/spreadsheetml/2006/main" count="2535" uniqueCount="913">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</sst>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6</v>
      </c>
      <c r="Y29" s="636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3.333333333333333</v>
      </c>
      <c r="Y31" s="637">
        <f>IFERROR(Y26/H26,"0")+IFERROR(Y27/H27,"0")+IFERROR(Y28/H28,"0")+IFERROR(Y29/H29,"0")+IFERROR(Y30/H30,"0")</f>
        <v>4</v>
      </c>
      <c r="Z31" s="637">
        <f>IFERROR(IF(Z26="",0,Z26),"0")+IFERROR(IF(Z27="",0,Z27),"0")+IFERROR(IF(Z28="",0,Z28),"0")+IFERROR(IF(Z29="",0,Z29),"0")+IFERROR(IF(Z30="",0,Z30),"0")</f>
        <v>2.6040000000000001E-2</v>
      </c>
      <c r="AA31" s="638"/>
      <c r="AB31" s="638"/>
      <c r="AC31" s="638"/>
    </row>
    <row r="32" spans="1:68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6</v>
      </c>
      <c r="Y32" s="637">
        <f>IFERROR(SUM(Y26:Y30),"0")</f>
        <v>7.2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725</v>
      </c>
      <c r="Y51" s="636">
        <f>IFERROR(IF(X51="",0,CEILING((X51/$H51),1)*$H51),"")</f>
        <v>734.40000000000009</v>
      </c>
      <c r="Z51" s="36">
        <f>IFERROR(IF(Y51=0,"",ROUNDUP(Y51/H51,0)*0.01898),"")</f>
        <v>1.29064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752.52314814814815</v>
      </c>
      <c r="BN51" s="64">
        <f>IFERROR(Y51*I51/H51,"0")</f>
        <v>762.28000000000009</v>
      </c>
      <c r="BO51" s="64">
        <f>IFERROR(1/J51*(X51/H51),"0")</f>
        <v>1.0489004629629628</v>
      </c>
      <c r="BP51" s="64">
        <f>IFERROR(1/J51*(Y51/H51),"0")</f>
        <v>1.0625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13</v>
      </c>
      <c r="Y54" s="636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13.667567567567566</v>
      </c>
      <c r="BN54" s="64">
        <f>IFERROR(Y54*I54/H54,"0")</f>
        <v>15.56</v>
      </c>
      <c r="BO54" s="64">
        <f>IFERROR(1/J54*(X54/H54),"0")</f>
        <v>2.6617526617526616E-2</v>
      </c>
      <c r="BP54" s="64">
        <f>IFERROR(1/J54*(Y54/H54),"0")</f>
        <v>3.0303030303030304E-2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70.643143143143135</v>
      </c>
      <c r="Y55" s="637">
        <f>IFERROR(Y51/H51,"0")+IFERROR(Y52/H52,"0")+IFERROR(Y53/H53,"0")+IFERROR(Y54/H54,"0")</f>
        <v>72</v>
      </c>
      <c r="Z55" s="637">
        <f>IFERROR(IF(Z51="",0,Z51),"0")+IFERROR(IF(Z52="",0,Z52),"0")+IFERROR(IF(Z53="",0,Z53),"0")+IFERROR(IF(Z54="",0,Z54),"0")</f>
        <v>1.3267199999999999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738</v>
      </c>
      <c r="Y56" s="637">
        <f>IFERROR(SUM(Y51:Y54),"0")</f>
        <v>749.2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183</v>
      </c>
      <c r="Y60" s="636">
        <f t="shared" si="0"/>
        <v>183.60000000000002</v>
      </c>
      <c r="Z60" s="36">
        <f>IFERROR(IF(Y60=0,"",ROUNDUP(Y60/H60,0)*0.01898),"")</f>
        <v>0.32266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189.94722222222222</v>
      </c>
      <c r="BN60" s="64">
        <f t="shared" si="2"/>
        <v>190.57000000000002</v>
      </c>
      <c r="BO60" s="64">
        <f t="shared" si="3"/>
        <v>0.26475694444444442</v>
      </c>
      <c r="BP60" s="64">
        <f t="shared" si="4"/>
        <v>0.265625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2</v>
      </c>
      <c r="Y63" s="636">
        <f t="shared" si="0"/>
        <v>4</v>
      </c>
      <c r="Z63" s="36">
        <f>IFERROR(IF(Y63=0,"",ROUNDUP(Y63/H63,0)*0.00902),"")</f>
        <v>9.0200000000000002E-3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2.0950000000000002</v>
      </c>
      <c r="BN63" s="64">
        <f t="shared" si="2"/>
        <v>4.1900000000000004</v>
      </c>
      <c r="BO63" s="64">
        <f t="shared" si="3"/>
        <v>3.787878787878788E-3</v>
      </c>
      <c r="BP63" s="64">
        <f t="shared" si="4"/>
        <v>7.575757575757576E-3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115</v>
      </c>
      <c r="Y66" s="636">
        <f t="shared" si="0"/>
        <v>117</v>
      </c>
      <c r="Z66" s="36">
        <f>IFERROR(IF(Y66=0,"",ROUNDUP(Y66/H66,0)*0.00902),"")</f>
        <v>0.23452000000000001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119.85555555555555</v>
      </c>
      <c r="BN66" s="64">
        <f t="shared" si="2"/>
        <v>121.94</v>
      </c>
      <c r="BO66" s="64">
        <f t="shared" si="3"/>
        <v>0.19360269360269361</v>
      </c>
      <c r="BP66" s="64">
        <f t="shared" si="4"/>
        <v>0.19696969696969696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43</v>
      </c>
      <c r="Y67" s="637">
        <f>IFERROR(Y59/H59,"0")+IFERROR(Y60/H60,"0")+IFERROR(Y61/H61,"0")+IFERROR(Y62/H62,"0")+IFERROR(Y63/H63,"0")+IFERROR(Y64/H64,"0")+IFERROR(Y65/H65,"0")+IFERROR(Y66/H66,"0")</f>
        <v>44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0.56620000000000004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300</v>
      </c>
      <c r="Y68" s="637">
        <f>IFERROR(SUM(Y59:Y66),"0")</f>
        <v>304.60000000000002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70</v>
      </c>
      <c r="Y70" s="636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72.657407407407405</v>
      </c>
      <c r="BN70" s="64">
        <f>IFERROR(Y70*I70/H70,"0")</f>
        <v>78.47</v>
      </c>
      <c r="BO70" s="64">
        <f>IFERROR(1/J70*(X70/H70),"0")</f>
        <v>0.10127314814814814</v>
      </c>
      <c r="BP70" s="64">
        <f>IFERROR(1/J70*(Y70/H70),"0")</f>
        <v>0.109375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6.481481481481481</v>
      </c>
      <c r="Y74" s="637">
        <f>IFERROR(Y70/H70,"0")+IFERROR(Y71/H71,"0")+IFERROR(Y72/H72,"0")+IFERROR(Y73/H73,"0")</f>
        <v>7</v>
      </c>
      <c r="Z74" s="637">
        <f>IFERROR(IF(Z70="",0,Z70),"0")+IFERROR(IF(Z71="",0,Z71),"0")+IFERROR(IF(Z72="",0,Z72),"0")+IFERROR(IF(Z73="",0,Z73),"0")</f>
        <v>0.13286000000000001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70</v>
      </c>
      <c r="Y75" s="637">
        <f>IFERROR(SUM(Y70:Y73),"0")</f>
        <v>75.600000000000009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13</v>
      </c>
      <c r="Y77" s="636">
        <f>IFERROR(IF(X77="",0,CEILING((X77/$H77),1)*$H77),"")</f>
        <v>14.4</v>
      </c>
      <c r="Z77" s="36">
        <f>IFERROR(IF(Y77=0,"",ROUNDUP(Y77/H77,0)*0.00651),"")</f>
        <v>5.2080000000000001E-2</v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14.776666666666666</v>
      </c>
      <c r="BN77" s="64">
        <f>IFERROR(Y77*I77/H77,"0")</f>
        <v>16.367999999999999</v>
      </c>
      <c r="BO77" s="64">
        <f>IFERROR(1/J77*(X77/H77),"0")</f>
        <v>3.9682539682539687E-2</v>
      </c>
      <c r="BP77" s="64">
        <f>IFERROR(1/J77*(Y77/H77),"0")</f>
        <v>4.3956043956043959E-2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7.2222222222222223</v>
      </c>
      <c r="Y79" s="637">
        <f>IFERROR(Y77/H77,"0")+IFERROR(Y78/H78,"0")</f>
        <v>8</v>
      </c>
      <c r="Z79" s="637">
        <f>IFERROR(IF(Z77="",0,Z77),"0")+IFERROR(IF(Z78="",0,Z78),"0")</f>
        <v>5.2080000000000001E-2</v>
      </c>
      <c r="AA79" s="638"/>
      <c r="AB79" s="638"/>
      <c r="AC79" s="638"/>
    </row>
    <row r="80" spans="1:68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13</v>
      </c>
      <c r="Y80" s="637">
        <f>IFERROR(SUM(Y77:Y78),"0")</f>
        <v>14.4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4</v>
      </c>
      <c r="Y91" s="636">
        <f t="shared" si="5"/>
        <v>4.08</v>
      </c>
      <c r="Z91" s="36">
        <f>IFERROR(IF(Y91=0,"",ROUNDUP(Y91/H91,0)*0.00726),"")</f>
        <v>2.1780000000000001E-2</v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4.5294117647058822</v>
      </c>
      <c r="BN91" s="64">
        <f t="shared" si="7"/>
        <v>4.6199999999999992</v>
      </c>
      <c r="BO91" s="64">
        <f t="shared" si="8"/>
        <v>1.531862745098039E-2</v>
      </c>
      <c r="BP91" s="64">
        <f t="shared" si="9"/>
        <v>1.5625E-2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83</v>
      </c>
      <c r="Y94" s="636">
        <f t="shared" si="5"/>
        <v>85.5</v>
      </c>
      <c r="Z94" s="36">
        <f>IFERROR(IF(Y94=0,"",ROUNDUP(Y94/H94,0)*0.00902),"")</f>
        <v>0.17138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86.504444444444459</v>
      </c>
      <c r="BN94" s="64">
        <f t="shared" si="7"/>
        <v>89.110000000000014</v>
      </c>
      <c r="BO94" s="64">
        <f t="shared" si="8"/>
        <v>0.13973063973063973</v>
      </c>
      <c r="BP94" s="64">
        <f t="shared" si="9"/>
        <v>0.14393939393939395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21.385620915032678</v>
      </c>
      <c r="Y95" s="637">
        <f>IFERROR(Y89/H89,"0")+IFERROR(Y90/H90,"0")+IFERROR(Y91/H91,"0")+IFERROR(Y92/H92,"0")+IFERROR(Y93/H93,"0")+IFERROR(Y94/H94,"0")</f>
        <v>22</v>
      </c>
      <c r="Z95" s="637">
        <f>IFERROR(IF(Z89="",0,Z89),"0")+IFERROR(IF(Z90="",0,Z90),"0")+IFERROR(IF(Z91="",0,Z91),"0")+IFERROR(IF(Z92="",0,Z92),"0")+IFERROR(IF(Z93="",0,Z93),"0")+IFERROR(IF(Z94="",0,Z94),"0")</f>
        <v>0.19316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87</v>
      </c>
      <c r="Y96" s="637">
        <f>IFERROR(SUM(Y89:Y94),"0")</f>
        <v>89.58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526</v>
      </c>
      <c r="Y98" s="636">
        <f>IFERROR(IF(X98="",0,CEILING((X98/$H98),1)*$H98),"")</f>
        <v>526.5</v>
      </c>
      <c r="Z98" s="36">
        <f>IFERROR(IF(Y98=0,"",ROUNDUP(Y98/H98,0)*0.01898),"")</f>
        <v>1.2337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558.0795061728395</v>
      </c>
      <c r="BN98" s="64">
        <f>IFERROR(Y98*I98/H98,"0")</f>
        <v>558.61</v>
      </c>
      <c r="BO98" s="64">
        <f>IFERROR(1/J98*(X98/H98),"0")</f>
        <v>1.0146604938271606</v>
      </c>
      <c r="BP98" s="64">
        <f>IFERROR(1/J98*(Y98/H98),"0")</f>
        <v>1.015625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162</v>
      </c>
      <c r="Y100" s="636">
        <f>IFERROR(IF(X100="",0,CEILING((X100/$H100),1)*$H100),"")</f>
        <v>162</v>
      </c>
      <c r="Z100" s="36">
        <f>IFERROR(IF(Y100=0,"",ROUNDUP(Y100/H100,0)*0.00651),"")</f>
        <v>0.3906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177.11999999999998</v>
      </c>
      <c r="BN100" s="64">
        <f>IFERROR(Y100*I100/H100,"0")</f>
        <v>177.11999999999998</v>
      </c>
      <c r="BO100" s="64">
        <f>IFERROR(1/J100*(X100/H100),"0")</f>
        <v>0.32967032967032966</v>
      </c>
      <c r="BP100" s="64">
        <f>IFERROR(1/J100*(Y100/H100),"0")</f>
        <v>0.32967032967032966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124.93827160493828</v>
      </c>
      <c r="Y102" s="637">
        <f>IFERROR(Y98/H98,"0")+IFERROR(Y99/H99,"0")+IFERROR(Y100/H100,"0")+IFERROR(Y101/H101,"0")</f>
        <v>125</v>
      </c>
      <c r="Z102" s="637">
        <f>IFERROR(IF(Z98="",0,Z98),"0")+IFERROR(IF(Z99="",0,Z99),"0")+IFERROR(IF(Z100="",0,Z100),"0")+IFERROR(IF(Z101="",0,Z101),"0")</f>
        <v>1.6243000000000001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688</v>
      </c>
      <c r="Y103" s="637">
        <f>IFERROR(SUM(Y98:Y101),"0")</f>
        <v>688.5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53</v>
      </c>
      <c r="Y116" s="636">
        <f>IFERROR(IF(X116="",0,CEILING((X116/$H116),1)*$H116),"")</f>
        <v>54</v>
      </c>
      <c r="Z116" s="36">
        <f>IFERROR(IF(Y116=0,"",ROUNDUP(Y116/H116,0)*0.01898),"")</f>
        <v>9.4899999999999998E-2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55.012037037037032</v>
      </c>
      <c r="BN116" s="64">
        <f>IFERROR(Y116*I116/H116,"0")</f>
        <v>56.05</v>
      </c>
      <c r="BO116" s="64">
        <f>IFERROR(1/J116*(X116/H116),"0")</f>
        <v>7.6678240740740741E-2</v>
      </c>
      <c r="BP116" s="64">
        <f>IFERROR(1/J116*(Y116/H116),"0")</f>
        <v>7.8125E-2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6</v>
      </c>
      <c r="Y120" s="636">
        <f>IFERROR(IF(X120="",0,CEILING((X120/$H120),1)*$H120),"")</f>
        <v>7.1999999999999993</v>
      </c>
      <c r="Z120" s="36">
        <f>IFERROR(IF(Y120=0,"",ROUNDUP(Y120/H120,0)*0.00651),"")</f>
        <v>1.9529999999999999E-2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6.45</v>
      </c>
      <c r="BN120" s="64">
        <f>IFERROR(Y120*I120/H120,"0")</f>
        <v>7.7399999999999993</v>
      </c>
      <c r="BO120" s="64">
        <f>IFERROR(1/J120*(X120/H120),"0")</f>
        <v>1.3736263736263738E-2</v>
      </c>
      <c r="BP120" s="64">
        <f>IFERROR(1/J120*(Y120/H120),"0")</f>
        <v>1.6483516483516484E-2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7.4074074074074074</v>
      </c>
      <c r="Y121" s="637">
        <f>IFERROR(Y116/H116,"0")+IFERROR(Y117/H117,"0")+IFERROR(Y118/H118,"0")+IFERROR(Y119/H119,"0")+IFERROR(Y120/H120,"0")</f>
        <v>8</v>
      </c>
      <c r="Z121" s="637">
        <f>IFERROR(IF(Z116="",0,Z116),"0")+IFERROR(IF(Z117="",0,Z117),"0")+IFERROR(IF(Z118="",0,Z118),"0")+IFERROR(IF(Z119="",0,Z119),"0")+IFERROR(IF(Z120="",0,Z120),"0")</f>
        <v>0.11443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59</v>
      </c>
      <c r="Y122" s="637">
        <f>IFERROR(SUM(Y116:Y120),"0")</f>
        <v>61.2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989</v>
      </c>
      <c r="Y124" s="636">
        <f>IFERROR(IF(X124="",0,CEILING((X124/$H124),1)*$H124),"")</f>
        <v>996.3</v>
      </c>
      <c r="Z124" s="36">
        <f>IFERROR(IF(Y124=0,"",ROUNDUP(Y124/H124,0)*0.01898),"")</f>
        <v>2.3345400000000001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1048.5841975308642</v>
      </c>
      <c r="BN124" s="64">
        <f>IFERROR(Y124*I124/H124,"0")</f>
        <v>1056.3239999999998</v>
      </c>
      <c r="BO124" s="64">
        <f>IFERROR(1/J124*(X124/H124),"0")</f>
        <v>1.9077932098765433</v>
      </c>
      <c r="BP124" s="64">
        <f>IFERROR(1/J124*(Y124/H124),"0")</f>
        <v>1.921875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609</v>
      </c>
      <c r="Y126" s="636">
        <f>IFERROR(IF(X126="",0,CEILING((X126/$H126),1)*$H126),"")</f>
        <v>610.20000000000005</v>
      </c>
      <c r="Z126" s="36">
        <f>IFERROR(IF(Y126=0,"",ROUNDUP(Y126/H126,0)*0.00651),"")</f>
        <v>1.47126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665.83999999999992</v>
      </c>
      <c r="BN126" s="64">
        <f>IFERROR(Y126*I126/H126,"0")</f>
        <v>667.15199999999993</v>
      </c>
      <c r="BO126" s="64">
        <f>IFERROR(1/J126*(X126/H126),"0")</f>
        <v>1.2393162393162394</v>
      </c>
      <c r="BP126" s="64">
        <f>IFERROR(1/J126*(Y126/H126),"0")</f>
        <v>1.2417582417582418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347.65432098765433</v>
      </c>
      <c r="Y128" s="637">
        <f>IFERROR(Y124/H124,"0")+IFERROR(Y125/H125,"0")+IFERROR(Y126/H126,"0")+IFERROR(Y127/H127,"0")</f>
        <v>349</v>
      </c>
      <c r="Z128" s="637">
        <f>IFERROR(IF(Z124="",0,Z124),"0")+IFERROR(IF(Z125="",0,Z125),"0")+IFERROR(IF(Z126="",0,Z126),"0")+IFERROR(IF(Z127="",0,Z127),"0")</f>
        <v>3.8058000000000001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1598</v>
      </c>
      <c r="Y129" s="637">
        <f>IFERROR(SUM(Y124:Y127),"0")</f>
        <v>1606.5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6</v>
      </c>
      <c r="Y131" s="636">
        <f>IFERROR(IF(X131="",0,CEILING((X131/$H131),1)*$H131),"")</f>
        <v>7.92</v>
      </c>
      <c r="Z131" s="36">
        <f>IFERROR(IF(Y131=0,"",ROUNDUP(Y131/H131,0)*0.00651),"")</f>
        <v>2.6040000000000001E-2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6.7818181818181822</v>
      </c>
      <c r="BN131" s="64">
        <f>IFERROR(Y131*I131/H131,"0")</f>
        <v>8.952</v>
      </c>
      <c r="BO131" s="64">
        <f>IFERROR(1/J131*(X131/H131),"0")</f>
        <v>1.6650016650016652E-2</v>
      </c>
      <c r="BP131" s="64">
        <f>IFERROR(1/J131*(Y131/H131),"0")</f>
        <v>2.197802197802198E-2</v>
      </c>
    </row>
    <row r="132" spans="1:68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3.0303030303030303</v>
      </c>
      <c r="Y132" s="637">
        <f>IFERROR(Y131/H131,"0")</f>
        <v>4</v>
      </c>
      <c r="Z132" s="637">
        <f>IFERROR(IF(Z131="",0,Z131),"0")</f>
        <v>2.6040000000000001E-2</v>
      </c>
      <c r="AA132" s="638"/>
      <c r="AB132" s="638"/>
      <c r="AC132" s="638"/>
    </row>
    <row r="133" spans="1:68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6</v>
      </c>
      <c r="Y133" s="637">
        <f>IFERROR(SUM(Y131:Y131),"0")</f>
        <v>7.92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7</v>
      </c>
      <c r="Y141" s="63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2.5</v>
      </c>
      <c r="Y143" s="637">
        <f>IFERROR(Y141/H141,"0")+IFERROR(Y142/H142,"0")</f>
        <v>2.9999999999999996</v>
      </c>
      <c r="Z143" s="637">
        <f>IFERROR(IF(Z141="",0,Z141),"0")+IFERROR(IF(Z142="",0,Z142),"0")</f>
        <v>1.9529999999999999E-2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7</v>
      </c>
      <c r="Y144" s="637">
        <f>IFERROR(SUM(Y141:Y142),"0")</f>
        <v>8.3999999999999986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40</v>
      </c>
      <c r="Y177" s="636">
        <f t="shared" si="15"/>
        <v>42</v>
      </c>
      <c r="Z177" s="36">
        <f>IFERROR(IF(Y177=0,"",ROUNDUP(Y177/H177,0)*0.00902),"")</f>
        <v>0.10824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42.171428571428571</v>
      </c>
      <c r="BN177" s="64">
        <f t="shared" si="17"/>
        <v>44.279999999999994</v>
      </c>
      <c r="BO177" s="64">
        <f t="shared" si="18"/>
        <v>8.658008658008659E-2</v>
      </c>
      <c r="BP177" s="64">
        <f t="shared" si="19"/>
        <v>9.0909090909090912E-2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297</v>
      </c>
      <c r="Y180" s="636">
        <f t="shared" si="15"/>
        <v>297.5</v>
      </c>
      <c r="Z180" s="36">
        <f>IFERROR(IF(Y180=0,"",ROUNDUP(Y180/H180,0)*0.00902),"")</f>
        <v>0.76670000000000005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313.12285714285719</v>
      </c>
      <c r="BN180" s="64">
        <f t="shared" si="17"/>
        <v>313.65000000000003</v>
      </c>
      <c r="BO180" s="64">
        <f t="shared" si="18"/>
        <v>0.6428571428571429</v>
      </c>
      <c r="BP180" s="64">
        <f t="shared" si="19"/>
        <v>0.64393939393939392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9</v>
      </c>
      <c r="Y183" s="636">
        <f t="shared" si="15"/>
        <v>9</v>
      </c>
      <c r="Z183" s="36">
        <f>IFERROR(IF(Y183=0,"",ROUNDUP(Y183/H183,0)*0.00417),"")</f>
        <v>4.1700000000000001E-2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11.1</v>
      </c>
      <c r="BN183" s="64">
        <f t="shared" si="17"/>
        <v>11.1</v>
      </c>
      <c r="BO183" s="64">
        <f t="shared" si="18"/>
        <v>3.2051282051282048E-2</v>
      </c>
      <c r="BP183" s="64">
        <f t="shared" si="19"/>
        <v>3.2051282051282048E-2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18</v>
      </c>
      <c r="Y185" s="636">
        <f t="shared" si="15"/>
        <v>18</v>
      </c>
      <c r="Z185" s="36">
        <f>IFERROR(IF(Y185=0,"",ROUNDUP(Y185/H185,0)*0.00417),"")</f>
        <v>8.3400000000000002E-2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20</v>
      </c>
      <c r="BN185" s="64">
        <f t="shared" si="17"/>
        <v>20</v>
      </c>
      <c r="BO185" s="64">
        <f t="shared" si="18"/>
        <v>6.4102564102564097E-2</v>
      </c>
      <c r="BP185" s="64">
        <f t="shared" si="19"/>
        <v>6.4102564102564097E-2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59</v>
      </c>
      <c r="Y186" s="636">
        <f t="shared" si="15"/>
        <v>60.48</v>
      </c>
      <c r="Z186" s="36">
        <f>IFERROR(IF(Y186=0,"",ROUNDUP(Y186/H186,0)*0.00502),"")</f>
        <v>0.18071999999999999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62.511904761904759</v>
      </c>
      <c r="BN186" s="64">
        <f t="shared" si="17"/>
        <v>64.08</v>
      </c>
      <c r="BO186" s="64">
        <f t="shared" si="18"/>
        <v>0.15008140008140011</v>
      </c>
      <c r="BP186" s="64">
        <f t="shared" si="19"/>
        <v>0.15384615384615385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161.40476190476193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163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1.18076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423</v>
      </c>
      <c r="Y188" s="637">
        <f>IFERROR(SUM(Y176:Y186),"0")</f>
        <v>426.98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39</v>
      </c>
      <c r="Y220" s="636">
        <f t="shared" ref="Y220:Y232" si="26">IFERROR(IF(X220="",0,CEILING((X220/$H220),1)*$H220),"")</f>
        <v>42</v>
      </c>
      <c r="Z220" s="36">
        <f>IFERROR(IF(Y220=0,"",ROUNDUP(Y220/H220,0)*0.00902),"")</f>
        <v>9.0200000000000002E-2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41.321428571428569</v>
      </c>
      <c r="BN220" s="64">
        <f t="shared" ref="BN220:BN232" si="28">IFERROR(Y220*I220/H220,"0")</f>
        <v>44.5</v>
      </c>
      <c r="BO220" s="64">
        <f t="shared" ref="BO220:BO232" si="29">IFERROR(1/J220*(X220/H220),"0")</f>
        <v>7.0346320346320337E-2</v>
      </c>
      <c r="BP220" s="64">
        <f t="shared" ref="BP220:BP232" si="30">IFERROR(1/J220*(Y220/H220),"0")</f>
        <v>7.575757575757576E-2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10</v>
      </c>
      <c r="Y223" s="636">
        <f t="shared" si="26"/>
        <v>10.4</v>
      </c>
      <c r="Z223" s="36">
        <f>IFERROR(IF(Y223=0,"",ROUNDUP(Y223/H223,0)*0.00556),"")</f>
        <v>7.2279999999999997E-2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11.625</v>
      </c>
      <c r="BN223" s="64">
        <f t="shared" si="28"/>
        <v>12.09</v>
      </c>
      <c r="BO223" s="64">
        <f t="shared" si="29"/>
        <v>5.3418803418803423E-2</v>
      </c>
      <c r="BP223" s="64">
        <f t="shared" si="30"/>
        <v>5.5555555555555559E-2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12</v>
      </c>
      <c r="Y229" s="636">
        <f t="shared" si="26"/>
        <v>12</v>
      </c>
      <c r="Z229" s="36">
        <f>IFERROR(IF(Y229=0,"",ROUNDUP(Y229/H229,0)*0.00417),"")</f>
        <v>6.2549999999999994E-2</v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15.15</v>
      </c>
      <c r="BN229" s="64">
        <f t="shared" si="28"/>
        <v>15.15</v>
      </c>
      <c r="BO229" s="64">
        <f t="shared" si="29"/>
        <v>4.8076923076923073E-2</v>
      </c>
      <c r="BP229" s="64">
        <f t="shared" si="30"/>
        <v>4.8076923076923073E-2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36.785714285714285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38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0.22503000000000001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61</v>
      </c>
      <c r="Y234" s="637">
        <f>IFERROR(SUM(Y220:Y232),"0")</f>
        <v>64.400000000000006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11</v>
      </c>
      <c r="Y245" s="636">
        <f>IFERROR(IF(X245="",0,CEILING((X245/$H245),1)*$H245),"")</f>
        <v>11.34</v>
      </c>
      <c r="Z245" s="36">
        <f>IFERROR(IF(Y245=0,"",ROUNDUP(Y245/H245,0)*0.0059),"")</f>
        <v>5.3100000000000001E-2</v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12.658730158730158</v>
      </c>
      <c r="BN245" s="64">
        <f>IFERROR(Y245*I245/H245,"0")</f>
        <v>13.049999999999999</v>
      </c>
      <c r="BO245" s="64">
        <f>IFERROR(1/J245*(X245/H245),"0")</f>
        <v>4.0417401528512635E-2</v>
      </c>
      <c r="BP245" s="64">
        <f>IFERROR(1/J245*(Y245/H245),"0")</f>
        <v>4.1666666666666664E-2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12</v>
      </c>
      <c r="Y246" s="636">
        <f>IFERROR(IF(X246="",0,CEILING((X246/$H246),1)*$H246),"")</f>
        <v>12.6</v>
      </c>
      <c r="Z246" s="36">
        <f>IFERROR(IF(Y246=0,"",ROUNDUP(Y246/H246,0)*0.0059),"")</f>
        <v>5.8999999999999997E-2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13.809523809523808</v>
      </c>
      <c r="BN246" s="64">
        <f>IFERROR(Y246*I246/H246,"0")</f>
        <v>14.5</v>
      </c>
      <c r="BO246" s="64">
        <f>IFERROR(1/J246*(X246/H246),"0")</f>
        <v>4.4091710758377423E-2</v>
      </c>
      <c r="BP246" s="64">
        <f>IFERROR(1/J246*(Y246/H246),"0")</f>
        <v>4.6296296296296294E-2</v>
      </c>
    </row>
    <row r="247" spans="1:68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18.253968253968253</v>
      </c>
      <c r="Y247" s="637">
        <f>IFERROR(Y244/H244,"0")+IFERROR(Y245/H245,"0")+IFERROR(Y246/H246,"0")</f>
        <v>19</v>
      </c>
      <c r="Z247" s="637">
        <f>IFERROR(IF(Z244="",0,Z244),"0")+IFERROR(IF(Z245="",0,Z245),"0")+IFERROR(IF(Z246="",0,Z246),"0")</f>
        <v>0.11210000000000001</v>
      </c>
      <c r="AA247" s="638"/>
      <c r="AB247" s="638"/>
      <c r="AC247" s="638"/>
    </row>
    <row r="248" spans="1:68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23</v>
      </c>
      <c r="Y248" s="637">
        <f>IFERROR(SUM(Y244:Y246),"0")</f>
        <v>23.939999999999998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13</v>
      </c>
      <c r="Y250" s="636">
        <f>IFERROR(IF(X250="",0,CEILING((X250/$H250),1)*$H250),"")</f>
        <v>13.86</v>
      </c>
      <c r="Z250" s="36">
        <f>IFERROR(IF(Y250=0,"",ROUNDUP(Y250/H250,0)*0.0059),"")</f>
        <v>6.4899999999999999E-2</v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14.960317460317459</v>
      </c>
      <c r="BN250" s="64">
        <f>IFERROR(Y250*I250/H250,"0")</f>
        <v>15.949999999999998</v>
      </c>
      <c r="BO250" s="64">
        <f>IFERROR(1/J250*(X250/H250),"0")</f>
        <v>4.776601998824221E-2</v>
      </c>
      <c r="BP250" s="64">
        <f>IFERROR(1/J250*(Y250/H250),"0")</f>
        <v>5.0925925925925923E-2</v>
      </c>
    </row>
    <row r="251" spans="1:68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10.317460317460318</v>
      </c>
      <c r="Y251" s="637">
        <f>IFERROR(Y250/H250,"0")</f>
        <v>11</v>
      </c>
      <c r="Z251" s="637">
        <f>IFERROR(IF(Z250="",0,Z250),"0")</f>
        <v>6.4899999999999999E-2</v>
      </c>
      <c r="AA251" s="638"/>
      <c r="AB251" s="638"/>
      <c r="AC251" s="638"/>
    </row>
    <row r="252" spans="1:68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13</v>
      </c>
      <c r="Y252" s="637">
        <f>IFERROR(SUM(Y250:Y250),"0")</f>
        <v>13.86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hidden="1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0</v>
      </c>
      <c r="Y273" s="637">
        <f>IFERROR(Y265/H265,"0")+IFERROR(Y266/H266,"0")+IFERROR(Y267/H267,"0")+IFERROR(Y268/H268,"0")+IFERROR(Y269/H269,"0")+IFERROR(Y270/H270,"0")+IFERROR(Y271/H271,"0")+IFERROR(Y272/H272,"0")</f>
        <v>0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8"/>
      <c r="AB273" s="638"/>
      <c r="AC273" s="638"/>
    </row>
    <row r="274" spans="1:68" hidden="1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0</v>
      </c>
      <c r="Y274" s="637">
        <f>IFERROR(SUM(Y265:Y272),"0")</f>
        <v>0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113</v>
      </c>
      <c r="Y278" s="636">
        <f t="shared" si="36"/>
        <v>113.39999999999999</v>
      </c>
      <c r="Z278" s="36">
        <f>IFERROR(IF(Y278=0,"",ROUNDUP(Y278/H278,0)*0.01898),"")</f>
        <v>0.26572000000000001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119.64049382716051</v>
      </c>
      <c r="BN278" s="64">
        <f t="shared" si="38"/>
        <v>120.06399999999999</v>
      </c>
      <c r="BO278" s="64">
        <f t="shared" si="39"/>
        <v>0.21797839506172839</v>
      </c>
      <c r="BP278" s="64">
        <f t="shared" si="40"/>
        <v>0.21875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79</v>
      </c>
      <c r="Y280" s="636">
        <f t="shared" si="36"/>
        <v>79.2</v>
      </c>
      <c r="Z280" s="36">
        <f>IFERROR(IF(Y280=0,"",ROUNDUP(Y280/H280,0)*0.00651),"")</f>
        <v>0.21482999999999999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87.887500000000003</v>
      </c>
      <c r="BN280" s="64">
        <f t="shared" si="38"/>
        <v>88.11</v>
      </c>
      <c r="BO280" s="64">
        <f t="shared" si="39"/>
        <v>0.18086080586080591</v>
      </c>
      <c r="BP280" s="64">
        <f t="shared" si="40"/>
        <v>0.18131868131868134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437</v>
      </c>
      <c r="Y282" s="636">
        <f t="shared" si="36"/>
        <v>439.2</v>
      </c>
      <c r="Z282" s="36">
        <f>IFERROR(IF(Y282=0,"",ROUNDUP(Y282/H282,0)*0.00651),"")</f>
        <v>1.19133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482.88499999999999</v>
      </c>
      <c r="BN282" s="64">
        <f t="shared" si="38"/>
        <v>485.31599999999997</v>
      </c>
      <c r="BO282" s="64">
        <f t="shared" si="39"/>
        <v>1.0004578754578757</v>
      </c>
      <c r="BP282" s="64">
        <f t="shared" si="40"/>
        <v>1.0054945054945055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123</v>
      </c>
      <c r="Y284" s="636">
        <f t="shared" si="36"/>
        <v>124.8</v>
      </c>
      <c r="Z284" s="36">
        <f>IFERROR(IF(Y284=0,"",ROUNDUP(Y284/H284,0)*0.00651),"")</f>
        <v>0.33851999999999999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135.91500000000002</v>
      </c>
      <c r="BN284" s="64">
        <f t="shared" si="38"/>
        <v>137.90400000000002</v>
      </c>
      <c r="BO284" s="64">
        <f t="shared" si="39"/>
        <v>0.28159340659340659</v>
      </c>
      <c r="BP284" s="64">
        <f t="shared" si="40"/>
        <v>0.28571428571428575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27</v>
      </c>
      <c r="Y285" s="636">
        <f t="shared" si="36"/>
        <v>28.799999999999997</v>
      </c>
      <c r="Z285" s="36">
        <f>IFERROR(IF(Y285=0,"",ROUNDUP(Y285/H285,0)*0.00651),"")</f>
        <v>7.8119999999999995E-2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29.835000000000001</v>
      </c>
      <c r="BN285" s="64">
        <f t="shared" si="38"/>
        <v>31.824000000000002</v>
      </c>
      <c r="BO285" s="64">
        <f t="shared" si="39"/>
        <v>6.1813186813186816E-2</v>
      </c>
      <c r="BP285" s="64">
        <f t="shared" si="40"/>
        <v>6.5934065934065936E-2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114</v>
      </c>
      <c r="Y286" s="636">
        <f t="shared" si="36"/>
        <v>115.19999999999999</v>
      </c>
      <c r="Z286" s="36">
        <f>IFERROR(IF(Y286=0,"",ROUNDUP(Y286/H286,0)*0.00651),"")</f>
        <v>0.31247999999999998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126.25500000000001</v>
      </c>
      <c r="BN286" s="64">
        <f t="shared" si="38"/>
        <v>127.584</v>
      </c>
      <c r="BO286" s="64">
        <f t="shared" si="39"/>
        <v>0.26098901098901101</v>
      </c>
      <c r="BP286" s="64">
        <f t="shared" si="40"/>
        <v>0.26373626373626374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338.95061728395063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342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2.4010000000000002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893</v>
      </c>
      <c r="Y289" s="637">
        <f>IFERROR(SUM(Y276:Y287),"0")</f>
        <v>900.59999999999991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4</v>
      </c>
      <c r="Y291" s="636">
        <f>IFERROR(IF(X291="",0,CEILING((X291/$H291),1)*$H291),"")</f>
        <v>4.8</v>
      </c>
      <c r="Z291" s="36">
        <f>IFERROR(IF(Y291=0,"",ROUNDUP(Y291/H291,0)*0.00651),"")</f>
        <v>1.302E-2</v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4.4200000000000008</v>
      </c>
      <c r="BN291" s="64">
        <f>IFERROR(Y291*I291/H291,"0")</f>
        <v>5.3040000000000003</v>
      </c>
      <c r="BO291" s="64">
        <f>IFERROR(1/J291*(X291/H291),"0")</f>
        <v>9.1575091575091579E-3</v>
      </c>
      <c r="BP291" s="64">
        <f>IFERROR(1/J291*(Y291/H291),"0")</f>
        <v>1.098901098901099E-2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1.6666666666666667</v>
      </c>
      <c r="Y293" s="637">
        <f>IFERROR(Y291/H291,"0")+IFERROR(Y292/H292,"0")</f>
        <v>2</v>
      </c>
      <c r="Z293" s="637">
        <f>IFERROR(IF(Z291="",0,Z291),"0")+IFERROR(IF(Z292="",0,Z292),"0")</f>
        <v>1.302E-2</v>
      </c>
      <c r="AA293" s="638"/>
      <c r="AB293" s="638"/>
      <c r="AC293" s="638"/>
    </row>
    <row r="294" spans="1:68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4</v>
      </c>
      <c r="Y294" s="637">
        <f>IFERROR(SUM(Y291:Y292),"0")</f>
        <v>4.8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1</v>
      </c>
      <c r="Y311" s="636">
        <f>IFERROR(IF(X311="",0,CEILING((X311/$H311),1)*$H311),"")</f>
        <v>1.8</v>
      </c>
      <c r="Z311" s="36">
        <f>IFERROR(IF(Y311=0,"",ROUNDUP(Y311/H311,0)*0.0059),"")</f>
        <v>5.8999999999999999E-3</v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1.0972222222222223</v>
      </c>
      <c r="BN311" s="64">
        <f>IFERROR(Y311*I311/H311,"0")</f>
        <v>1.9750000000000001</v>
      </c>
      <c r="BO311" s="64">
        <f>IFERROR(1/J311*(X311/H311),"0")</f>
        <v>2.5720164609053498E-3</v>
      </c>
      <c r="BP311" s="64">
        <f>IFERROR(1/J311*(Y311/H311),"0")</f>
        <v>4.6296296296296294E-3</v>
      </c>
    </row>
    <row r="312" spans="1:68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0.55555555555555558</v>
      </c>
      <c r="Y312" s="637">
        <f>IFERROR(Y311/H311,"0")</f>
        <v>1</v>
      </c>
      <c r="Z312" s="637">
        <f>IFERROR(IF(Z311="",0,Z311),"0")</f>
        <v>5.8999999999999999E-3</v>
      </c>
      <c r="AA312" s="638"/>
      <c r="AB312" s="638"/>
      <c r="AC312" s="638"/>
    </row>
    <row r="313" spans="1:68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1</v>
      </c>
      <c r="Y313" s="637">
        <f>IFERROR(SUM(Y311:Y311),"0")</f>
        <v>1.8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80</v>
      </c>
      <c r="Y335" s="636">
        <f>IFERROR(IF(X335="",0,CEILING((X335/$H335),1)*$H335),"")</f>
        <v>81.599999999999994</v>
      </c>
      <c r="Z335" s="36">
        <f>IFERROR(IF(Y335=0,"",ROUNDUP(Y335/H335,0)*0.00651),"")</f>
        <v>0.22134000000000001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88.40000000000002</v>
      </c>
      <c r="BN335" s="64">
        <f>IFERROR(Y335*I335/H335,"0")</f>
        <v>90.168000000000006</v>
      </c>
      <c r="BO335" s="64">
        <f>IFERROR(1/J335*(X335/H335),"0")</f>
        <v>0.18315018315018317</v>
      </c>
      <c r="BP335" s="64">
        <f>IFERROR(1/J335*(Y335/H335),"0")</f>
        <v>0.18681318681318682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184</v>
      </c>
      <c r="Y336" s="636">
        <f>IFERROR(IF(X336="",0,CEILING((X336/$H336),1)*$H336),"")</f>
        <v>184.79999999999998</v>
      </c>
      <c r="Z336" s="36">
        <f>IFERROR(IF(Y336=0,"",ROUNDUP(Y336/H336,0)*0.00651),"")</f>
        <v>0.50126999999999999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197.8</v>
      </c>
      <c r="BN336" s="64">
        <f>IFERROR(Y336*I336/H336,"0")</f>
        <v>198.66</v>
      </c>
      <c r="BO336" s="64">
        <f>IFERROR(1/J336*(X336/H336),"0")</f>
        <v>0.4212454212454213</v>
      </c>
      <c r="BP336" s="64">
        <f>IFERROR(1/J336*(Y336/H336),"0")</f>
        <v>0.42307692307692313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110</v>
      </c>
      <c r="Y337" s="637">
        <f>IFERROR(Y334/H334,"0")+IFERROR(Y335/H335,"0")+IFERROR(Y336/H336,"0")</f>
        <v>111</v>
      </c>
      <c r="Z337" s="637">
        <f>IFERROR(IF(Z334="",0,Z334),"0")+IFERROR(IF(Z335="",0,Z335),"0")+IFERROR(IF(Z336="",0,Z336),"0")</f>
        <v>0.72260999999999997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264</v>
      </c>
      <c r="Y338" s="637">
        <f>IFERROR(SUM(Y334:Y336),"0")</f>
        <v>266.39999999999998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65</v>
      </c>
      <c r="Y364" s="636">
        <f>IFERROR(IF(X364="",0,CEILING((X364/$H364),1)*$H364),"")</f>
        <v>70.2</v>
      </c>
      <c r="Z364" s="36">
        <f>IFERROR(IF(Y364=0,"",ROUNDUP(Y364/H364,0)*0.01898),"")</f>
        <v>0.17082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68.416666666666686</v>
      </c>
      <c r="BN364" s="64">
        <f>IFERROR(Y364*I364/H364,"0")</f>
        <v>73.890000000000015</v>
      </c>
      <c r="BO364" s="64">
        <f>IFERROR(1/J364*(X364/H364),"0")</f>
        <v>0.13020833333333334</v>
      </c>
      <c r="BP364" s="64">
        <f>IFERROR(1/J364*(Y364/H364),"0")</f>
        <v>0.140625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305</v>
      </c>
      <c r="Y365" s="636">
        <f>IFERROR(IF(X365="",0,CEILING((X365/$H365),1)*$H365),"")</f>
        <v>312</v>
      </c>
      <c r="Z365" s="36">
        <f>IFERROR(IF(Y365=0,"",ROUNDUP(Y365/H365,0)*0.01898),"")</f>
        <v>0.75919999999999999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321.03205128205133</v>
      </c>
      <c r="BN365" s="64">
        <f>IFERROR(Y365*I365/H365,"0")</f>
        <v>328.40000000000009</v>
      </c>
      <c r="BO365" s="64">
        <f>IFERROR(1/J365*(X365/H365),"0")</f>
        <v>0.6109775641025641</v>
      </c>
      <c r="BP365" s="64">
        <f>IFERROR(1/J365*(Y365/H365),"0")</f>
        <v>0.625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47.435897435897438</v>
      </c>
      <c r="Y367" s="637">
        <f>IFERROR(Y364/H364,"0")+IFERROR(Y365/H365,"0")+IFERROR(Y366/H366,"0")</f>
        <v>49</v>
      </c>
      <c r="Z367" s="637">
        <f>IFERROR(IF(Z364="",0,Z364),"0")+IFERROR(IF(Z365="",0,Z365),"0")+IFERROR(IF(Z366="",0,Z366),"0")</f>
        <v>0.93001999999999996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370</v>
      </c>
      <c r="Y368" s="637">
        <f>IFERROR(SUM(Y364:Y366),"0")</f>
        <v>382.2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42</v>
      </c>
      <c r="Y375" s="636">
        <f t="shared" si="51"/>
        <v>43.2</v>
      </c>
      <c r="Z375" s="36">
        <f>IFERROR(IF(Y375=0,"",ROUNDUP(Y375/H375,0)*0.01898),"")</f>
        <v>7.5920000000000001E-2</v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43.594444444444449</v>
      </c>
      <c r="BN375" s="64">
        <f t="shared" si="53"/>
        <v>44.84</v>
      </c>
      <c r="BO375" s="64">
        <f t="shared" si="54"/>
        <v>6.0763888888888888E-2</v>
      </c>
      <c r="BP375" s="64">
        <f t="shared" si="55"/>
        <v>6.25E-2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3.8888888888888888</v>
      </c>
      <c r="Y378" s="637">
        <f>IFERROR(Y371/H371,"0")+IFERROR(Y372/H372,"0")+IFERROR(Y373/H373,"0")+IFERROR(Y374/H374,"0")+IFERROR(Y375/H375,"0")+IFERROR(Y376/H376,"0")+IFERROR(Y377/H377,"0")</f>
        <v>4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7.5920000000000001E-2</v>
      </c>
      <c r="AA378" s="638"/>
      <c r="AB378" s="638"/>
      <c r="AC378" s="638"/>
    </row>
    <row r="379" spans="1:68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42</v>
      </c>
      <c r="Y379" s="637">
        <f>IFERROR(SUM(Y371:Y377),"0")</f>
        <v>43.2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51</v>
      </c>
      <c r="Y382" s="636">
        <f t="shared" si="56"/>
        <v>54.6</v>
      </c>
      <c r="Z382" s="36">
        <f>IFERROR(IF(Y382=0,"",ROUNDUP(Y382/H382,0)*0.00902),"")</f>
        <v>0.11726</v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54.035714285714285</v>
      </c>
      <c r="BN382" s="64">
        <f t="shared" si="58"/>
        <v>57.85</v>
      </c>
      <c r="BO382" s="64">
        <f t="shared" si="59"/>
        <v>9.1991341991341985E-2</v>
      </c>
      <c r="BP382" s="64">
        <f t="shared" si="60"/>
        <v>9.8484848484848481E-2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12.142857142857142</v>
      </c>
      <c r="Y388" s="637">
        <f>IFERROR(Y381/H381,"0")+IFERROR(Y382/H382,"0")+IFERROR(Y383/H383,"0")+IFERROR(Y384/H384,"0")+IFERROR(Y385/H385,"0")+IFERROR(Y386/H386,"0")+IFERROR(Y387/H387,"0")</f>
        <v>13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0.11726</v>
      </c>
      <c r="AA388" s="638"/>
      <c r="AB388" s="638"/>
      <c r="AC388" s="638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51</v>
      </c>
      <c r="Y389" s="637">
        <f>IFERROR(SUM(Y381:Y387),"0")</f>
        <v>54.6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150</v>
      </c>
      <c r="Y398" s="636">
        <f>IFERROR(IF(X398="",0,CEILING((X398/$H398),1)*$H398),"")</f>
        <v>151.20000000000002</v>
      </c>
      <c r="Z398" s="36">
        <f>IFERROR(IF(Y398=0,"",ROUNDUP(Y398/H398,0)*0.01898),"")</f>
        <v>0.34164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158.82142857142856</v>
      </c>
      <c r="BN398" s="64">
        <f>IFERROR(Y398*I398/H398,"0")</f>
        <v>160.09200000000001</v>
      </c>
      <c r="BO398" s="64">
        <f>IFERROR(1/J398*(X398/H398),"0")</f>
        <v>0.27901785714285715</v>
      </c>
      <c r="BP398" s="64">
        <f>IFERROR(1/J398*(Y398/H398),"0")</f>
        <v>0.28125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321</v>
      </c>
      <c r="Y399" s="636">
        <f>IFERROR(IF(X399="",0,CEILING((X399/$H399),1)*$H399),"")</f>
        <v>327.59999999999997</v>
      </c>
      <c r="Z399" s="36">
        <f>IFERROR(IF(Y399=0,"",ROUNDUP(Y399/H399,0)*0.01898),"")</f>
        <v>0.79715999999999998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341.33000000000004</v>
      </c>
      <c r="BN399" s="64">
        <f>IFERROR(Y399*I399/H399,"0")</f>
        <v>348.34800000000001</v>
      </c>
      <c r="BO399" s="64">
        <f>IFERROR(1/J399*(X399/H399),"0")</f>
        <v>0.64302884615384615</v>
      </c>
      <c r="BP399" s="64">
        <f>IFERROR(1/J399*(Y399/H399),"0")</f>
        <v>0.65625</v>
      </c>
    </row>
    <row r="400" spans="1:68" ht="27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150</v>
      </c>
      <c r="Y400" s="636">
        <f>IFERROR(IF(X400="",0,CEILING((X400/$H400),1)*$H400),"")</f>
        <v>151.20000000000002</v>
      </c>
      <c r="Z400" s="36">
        <f>IFERROR(IF(Y400=0,"",ROUNDUP(Y400/H400,0)*0.01898),"")</f>
        <v>0.34164</v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158.82142857142856</v>
      </c>
      <c r="BN400" s="64">
        <f>IFERROR(Y400*I400/H400,"0")</f>
        <v>160.09200000000001</v>
      </c>
      <c r="BO400" s="64">
        <f>IFERROR(1/J400*(X400/H400),"0")</f>
        <v>0.27901785714285715</v>
      </c>
      <c r="BP400" s="64">
        <f>IFERROR(1/J400*(Y400/H400),"0")</f>
        <v>0.28125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76.868131868131869</v>
      </c>
      <c r="Y401" s="637">
        <f>IFERROR(Y398/H398,"0")+IFERROR(Y399/H399,"0")+IFERROR(Y400/H400,"0")</f>
        <v>78</v>
      </c>
      <c r="Z401" s="637">
        <f>IFERROR(IF(Z398="",0,Z398),"0")+IFERROR(IF(Z399="",0,Z399),"0")+IFERROR(IF(Z400="",0,Z400),"0")</f>
        <v>1.48044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621</v>
      </c>
      <c r="Y402" s="637">
        <f>IFERROR(SUM(Y398:Y400),"0")</f>
        <v>630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15</v>
      </c>
      <c r="Y411" s="636">
        <f>IFERROR(IF(X411="",0,CEILING((X411/$H411),1)*$H411),"")</f>
        <v>16</v>
      </c>
      <c r="Z411" s="36">
        <f>IFERROR(IF(Y411=0,"",ROUNDUP(Y411/H411,0)*0.00474),"")</f>
        <v>3.7920000000000002E-2</v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16.8</v>
      </c>
      <c r="BN411" s="64">
        <f>IFERROR(Y411*I411/H411,"0")</f>
        <v>17.920000000000002</v>
      </c>
      <c r="BO411" s="64">
        <f>IFERROR(1/J411*(X411/H411),"0")</f>
        <v>3.1512605042016806E-2</v>
      </c>
      <c r="BP411" s="64">
        <f>IFERROR(1/J411*(Y411/H411),"0")</f>
        <v>3.3613445378151259E-2</v>
      </c>
    </row>
    <row r="412" spans="1:68" ht="27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1</v>
      </c>
      <c r="Y412" s="636">
        <f>IFERROR(IF(X412="",0,CEILING((X412/$H412),1)*$H412),"")</f>
        <v>2</v>
      </c>
      <c r="Z412" s="36">
        <f>IFERROR(IF(Y412=0,"",ROUNDUP(Y412/H412,0)*0.00474),"")</f>
        <v>4.7400000000000003E-3</v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1.1200000000000001</v>
      </c>
      <c r="BN412" s="64">
        <f>IFERROR(Y412*I412/H412,"0")</f>
        <v>2.2400000000000002</v>
      </c>
      <c r="BO412" s="64">
        <f>IFERROR(1/J412*(X412/H412),"0")</f>
        <v>2.1008403361344537E-3</v>
      </c>
      <c r="BP412" s="64">
        <f>IFERROR(1/J412*(Y412/H412),"0")</f>
        <v>4.2016806722689074E-3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8</v>
      </c>
      <c r="Y414" s="637">
        <f>IFERROR(Y411/H411,"0")+IFERROR(Y412/H412,"0")+IFERROR(Y413/H413,"0")</f>
        <v>9</v>
      </c>
      <c r="Z414" s="637">
        <f>IFERROR(IF(Z411="",0,Z411),"0")+IFERROR(IF(Z412="",0,Z412),"0")+IFERROR(IF(Z413="",0,Z413),"0")</f>
        <v>4.2660000000000003E-2</v>
      </c>
      <c r="AA414" s="638"/>
      <c r="AB414" s="638"/>
      <c r="AC414" s="638"/>
    </row>
    <row r="415" spans="1:68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16</v>
      </c>
      <c r="Y415" s="637">
        <f>IFERROR(SUM(Y411:Y413),"0")</f>
        <v>18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31</v>
      </c>
      <c r="Y432" s="636">
        <f>IFERROR(IF(X432="",0,CEILING((X432/$H432),1)*$H432),"")</f>
        <v>31.5</v>
      </c>
      <c r="Z432" s="36">
        <f>IFERROR(IF(Y432=0,"",ROUNDUP(Y432/H432,0)*0.00651),"")</f>
        <v>9.7650000000000001E-2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34.719999999999992</v>
      </c>
      <c r="BN432" s="64">
        <f>IFERROR(Y432*I432/H432,"0")</f>
        <v>35.279999999999994</v>
      </c>
      <c r="BO432" s="64">
        <f>IFERROR(1/J432*(X432/H432),"0")</f>
        <v>8.1109366823652537E-2</v>
      </c>
      <c r="BP432" s="64">
        <f>IFERROR(1/J432*(Y432/H432),"0")</f>
        <v>8.241758241758243E-2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14.761904761904761</v>
      </c>
      <c r="Y434" s="637">
        <f>IFERROR(Y431/H431,"0")+IFERROR(Y432/H432,"0")+IFERROR(Y433/H433,"0")</f>
        <v>15</v>
      </c>
      <c r="Z434" s="637">
        <f>IFERROR(IF(Z431="",0,Z431),"0")+IFERROR(IF(Z432="",0,Z432),"0")+IFERROR(IF(Z433="",0,Z433),"0")</f>
        <v>9.7650000000000001E-2</v>
      </c>
      <c r="AA434" s="638"/>
      <c r="AB434" s="638"/>
      <c r="AC434" s="638"/>
    </row>
    <row r="435" spans="1:68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31</v>
      </c>
      <c r="Y435" s="637">
        <f>IFERROR(SUM(Y431:Y433),"0")</f>
        <v>31.5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1575</v>
      </c>
      <c r="Y440" s="636">
        <f t="shared" si="61"/>
        <v>1575</v>
      </c>
      <c r="Z440" s="36">
        <f>IFERROR(IF(Y440=0,"",ROUNDUP(Y440/H440,0)*0.02175),"")</f>
        <v>2.2837499999999999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1624.35</v>
      </c>
      <c r="BN440" s="64">
        <f t="shared" si="63"/>
        <v>1624.35</v>
      </c>
      <c r="BO440" s="64">
        <f t="shared" si="64"/>
        <v>2.1875</v>
      </c>
      <c r="BP440" s="64">
        <f t="shared" si="65"/>
        <v>2.1875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978</v>
      </c>
      <c r="Y442" s="636">
        <f t="shared" si="61"/>
        <v>990</v>
      </c>
      <c r="Z442" s="36">
        <f>IFERROR(IF(Y442=0,"",ROUNDUP(Y442/H442,0)*0.02175),"")</f>
        <v>1.4355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1008.644</v>
      </c>
      <c r="BN442" s="64">
        <f t="shared" si="63"/>
        <v>1021.0200000000001</v>
      </c>
      <c r="BO442" s="64">
        <f t="shared" si="64"/>
        <v>1.3583333333333334</v>
      </c>
      <c r="BP442" s="64">
        <f t="shared" si="65"/>
        <v>1.375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785</v>
      </c>
      <c r="Y443" s="636">
        <f t="shared" si="61"/>
        <v>795</v>
      </c>
      <c r="Z443" s="36">
        <f>IFERROR(IF(Y443=0,"",ROUNDUP(Y443/H443,0)*0.02175),"")</f>
        <v>1.1527499999999999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809.59666666666669</v>
      </c>
      <c r="BN443" s="64">
        <f t="shared" si="63"/>
        <v>819.91</v>
      </c>
      <c r="BO443" s="64">
        <f t="shared" si="64"/>
        <v>1.0902777777777777</v>
      </c>
      <c r="BP443" s="64">
        <f t="shared" si="65"/>
        <v>1.1041666666666665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222.53333333333333</v>
      </c>
      <c r="Y447" s="637">
        <f>IFERROR(Y439/H439,"0")+IFERROR(Y440/H440,"0")+IFERROR(Y441/H441,"0")+IFERROR(Y442/H442,"0")+IFERROR(Y443/H443,"0")+IFERROR(Y444/H444,"0")+IFERROR(Y445/H445,"0")+IFERROR(Y446/H446,"0")</f>
        <v>224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4.8719999999999999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3338</v>
      </c>
      <c r="Y448" s="637">
        <f>IFERROR(SUM(Y439:Y446),"0")</f>
        <v>3360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588</v>
      </c>
      <c r="Y450" s="636">
        <f>IFERROR(IF(X450="",0,CEILING((X450/$H450),1)*$H450),"")</f>
        <v>600</v>
      </c>
      <c r="Z450" s="36">
        <f>IFERROR(IF(Y450=0,"",ROUNDUP(Y450/H450,0)*0.02175),"")</f>
        <v>0.86999999999999988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606.42400000000009</v>
      </c>
      <c r="BN450" s="64">
        <f>IFERROR(Y450*I450/H450,"0")</f>
        <v>618.79999999999995</v>
      </c>
      <c r="BO450" s="64">
        <f>IFERROR(1/J450*(X450/H450),"0")</f>
        <v>0.81666666666666665</v>
      </c>
      <c r="BP450" s="64">
        <f>IFERROR(1/J450*(Y450/H450),"0")</f>
        <v>0.83333333333333326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39.200000000000003</v>
      </c>
      <c r="Y453" s="637">
        <f>IFERROR(Y450/H450,"0")+IFERROR(Y451/H451,"0")+IFERROR(Y452/H452,"0")</f>
        <v>40</v>
      </c>
      <c r="Z453" s="637">
        <f>IFERROR(IF(Z450="",0,Z450),"0")+IFERROR(IF(Z451="",0,Z451),"0")+IFERROR(IF(Z452="",0,Z452),"0")</f>
        <v>0.86999999999999988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588</v>
      </c>
      <c r="Y454" s="637">
        <f>IFERROR(SUM(Y450:Y452),"0")</f>
        <v>600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1247</v>
      </c>
      <c r="Y477" s="636">
        <f>IFERROR(IF(X477="",0,CEILING((X477/$H477),1)*$H477),"")</f>
        <v>1251</v>
      </c>
      <c r="Z477" s="36">
        <f>IFERROR(IF(Y477=0,"",ROUNDUP(Y477/H477,0)*0.01898),"")</f>
        <v>2.63822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1315.4464444444445</v>
      </c>
      <c r="BN477" s="64">
        <f>IFERROR(Y477*I477/H477,"0")</f>
        <v>1319.6660000000002</v>
      </c>
      <c r="BO477" s="64">
        <f>IFERROR(1/J477*(X477/H477),"0")</f>
        <v>2.1649305555555554</v>
      </c>
      <c r="BP477" s="64">
        <f>IFERROR(1/J477*(Y477/H477),"0")</f>
        <v>2.171875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138.55555555555554</v>
      </c>
      <c r="Y480" s="637">
        <f>IFERROR(Y477/H477,"0")+IFERROR(Y478/H478,"0")+IFERROR(Y479/H479,"0")</f>
        <v>139</v>
      </c>
      <c r="Z480" s="637">
        <f>IFERROR(IF(Z477="",0,Z477),"0")+IFERROR(IF(Z478="",0,Z478),"0")+IFERROR(IF(Z479="",0,Z479),"0")</f>
        <v>2.63822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1247</v>
      </c>
      <c r="Y481" s="637">
        <f>IFERROR(SUM(Y477:Y479),"0")</f>
        <v>1251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43</v>
      </c>
      <c r="Y511" s="636">
        <f t="shared" ref="Y511:Y518" si="71">IFERROR(IF(X511="",0,CEILING((X511/$H511),1)*$H511),"")</f>
        <v>47.52</v>
      </c>
      <c r="Z511" s="36">
        <f>IFERROR(IF(Y511=0,"",ROUNDUP(Y511/H511,0)*0.01196),"")</f>
        <v>0.10764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45.850378787878789</v>
      </c>
      <c r="BN511" s="64">
        <f t="shared" ref="BN511:BN518" si="73">IFERROR(Y511*I511/H511,"0")</f>
        <v>50.669999999999995</v>
      </c>
      <c r="BO511" s="64">
        <f t="shared" ref="BO511:BO518" si="74">IFERROR(1/J511*(X511/H511),"0")</f>
        <v>7.8307109557109553E-2</v>
      </c>
      <c r="BP511" s="64">
        <f t="shared" ref="BP511:BP518" si="75">IFERROR(1/J511*(Y511/H511),"0")</f>
        <v>8.6538461538461536E-2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1155</v>
      </c>
      <c r="Y514" s="636">
        <f t="shared" si="71"/>
        <v>1156.3200000000002</v>
      </c>
      <c r="Z514" s="36">
        <f>IFERROR(IF(Y514=0,"",ROUNDUP(Y514/H514,0)*0.01196),"")</f>
        <v>2.61924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1231.5624999999998</v>
      </c>
      <c r="BN514" s="64">
        <f t="shared" si="73"/>
        <v>1232.97</v>
      </c>
      <c r="BO514" s="64">
        <f t="shared" si="74"/>
        <v>2.1033653846153846</v>
      </c>
      <c r="BP514" s="64">
        <f t="shared" si="75"/>
        <v>2.1057692307692313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450</v>
      </c>
      <c r="Y515" s="636">
        <f t="shared" si="71"/>
        <v>454.08000000000004</v>
      </c>
      <c r="Z515" s="36">
        <f>IFERROR(IF(Y515=0,"",ROUNDUP(Y515/H515,0)*0.01196),"")</f>
        <v>1.0285599999999999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479.82954545454544</v>
      </c>
      <c r="BN515" s="64">
        <f t="shared" si="73"/>
        <v>484.18</v>
      </c>
      <c r="BO515" s="64">
        <f t="shared" si="74"/>
        <v>0.81949300699300698</v>
      </c>
      <c r="BP515" s="64">
        <f t="shared" si="75"/>
        <v>0.82692307692307698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312.12121212121212</v>
      </c>
      <c r="Y519" s="637">
        <f>IFERROR(Y511/H511,"0")+IFERROR(Y512/H512,"0")+IFERROR(Y513/H513,"0")+IFERROR(Y514/H514,"0")+IFERROR(Y515/H515,"0")+IFERROR(Y516/H516,"0")+IFERROR(Y517/H517,"0")+IFERROR(Y518/H518,"0")</f>
        <v>314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3.7554400000000001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1648</v>
      </c>
      <c r="Y520" s="637">
        <f>IFERROR(SUM(Y511:Y518),"0")</f>
        <v>1657.92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630</v>
      </c>
      <c r="Y522" s="636">
        <f>IFERROR(IF(X522="",0,CEILING((X522/$H522),1)*$H522),"")</f>
        <v>633.6</v>
      </c>
      <c r="Z522" s="36">
        <f>IFERROR(IF(Y522=0,"",ROUNDUP(Y522/H522,0)*0.01196),"")</f>
        <v>1.4352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671.76136363636363</v>
      </c>
      <c r="BN522" s="64">
        <f>IFERROR(Y522*I522/H522,"0")</f>
        <v>675.6</v>
      </c>
      <c r="BO522" s="64">
        <f>IFERROR(1/J522*(X522/H522),"0")</f>
        <v>1.1472902097902098</v>
      </c>
      <c r="BP522" s="64">
        <f>IFERROR(1/J522*(Y522/H522),"0")</f>
        <v>1.153846153846154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119.31818181818181</v>
      </c>
      <c r="Y525" s="637">
        <f>IFERROR(Y522/H522,"0")+IFERROR(Y523/H523,"0")+IFERROR(Y524/H524,"0")</f>
        <v>120</v>
      </c>
      <c r="Z525" s="637">
        <f>IFERROR(IF(Z522="",0,Z522),"0")+IFERROR(IF(Z523="",0,Z523),"0")+IFERROR(IF(Z524="",0,Z524),"0")</f>
        <v>1.4352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630</v>
      </c>
      <c r="Y526" s="637">
        <f>IFERROR(SUM(Y522:Y524),"0")</f>
        <v>633.6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6</v>
      </c>
      <c r="Y528" s="636">
        <f t="shared" ref="Y528:Y534" si="76">IFERROR(IF(X528="",0,CEILING((X528/$H528),1)*$H528),"")</f>
        <v>10.56</v>
      </c>
      <c r="Z528" s="36">
        <f>IFERROR(IF(Y528=0,"",ROUNDUP(Y528/H528,0)*0.01196),"")</f>
        <v>2.392E-2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6.3977272727272725</v>
      </c>
      <c r="BN528" s="64">
        <f t="shared" ref="BN528:BN534" si="78">IFERROR(Y528*I528/H528,"0")</f>
        <v>11.26</v>
      </c>
      <c r="BO528" s="64">
        <f t="shared" ref="BO528:BO534" si="79">IFERROR(1/J528*(X528/H528),"0")</f>
        <v>1.0926573426573426E-2</v>
      </c>
      <c r="BP528" s="64">
        <f t="shared" ref="BP528:BP534" si="80">IFERROR(1/J528*(Y528/H528),"0")</f>
        <v>1.9230769230769232E-2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338</v>
      </c>
      <c r="Y529" s="636">
        <f t="shared" si="76"/>
        <v>343.2</v>
      </c>
      <c r="Z529" s="36">
        <f>IFERROR(IF(Y529=0,"",ROUNDUP(Y529/H529,0)*0.01196),"")</f>
        <v>0.77739999999999998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360.405303030303</v>
      </c>
      <c r="BN529" s="64">
        <f t="shared" si="78"/>
        <v>365.95</v>
      </c>
      <c r="BO529" s="64">
        <f t="shared" si="79"/>
        <v>0.61553030303030309</v>
      </c>
      <c r="BP529" s="64">
        <f t="shared" si="80"/>
        <v>0.625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1260</v>
      </c>
      <c r="Y530" s="636">
        <f t="shared" si="76"/>
        <v>1261.92</v>
      </c>
      <c r="Z530" s="36">
        <f>IFERROR(IF(Y530=0,"",ROUNDUP(Y530/H530,0)*0.01196),"")</f>
        <v>2.8584399999999999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1343.5227272727273</v>
      </c>
      <c r="BN530" s="64">
        <f t="shared" si="78"/>
        <v>1345.5700000000002</v>
      </c>
      <c r="BO530" s="64">
        <f t="shared" si="79"/>
        <v>2.2945804195804196</v>
      </c>
      <c r="BP530" s="64">
        <f t="shared" si="80"/>
        <v>2.2980769230769234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303.78787878787875</v>
      </c>
      <c r="Y535" s="637">
        <f>IFERROR(Y528/H528,"0")+IFERROR(Y529/H529,"0")+IFERROR(Y530/H530,"0")+IFERROR(Y531/H531,"0")+IFERROR(Y532/H532,"0")+IFERROR(Y533/H533,"0")+IFERROR(Y534/H534,"0")</f>
        <v>306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3.6597599999999999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1604</v>
      </c>
      <c r="Y536" s="637">
        <f>IFERROR(SUM(Y528:Y534),"0")</f>
        <v>1615.68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15440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15593.58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16327.742779612243</v>
      </c>
      <c r="Y566" s="637">
        <f>IFERROR(SUM(BN22:BN562),"0")</f>
        <v>16491.136999999999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28</v>
      </c>
      <c r="Y567" s="38">
        <f>ROUNDUP(SUM(BP22:BP562),0)</f>
        <v>28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17027.742779612243</v>
      </c>
      <c r="Y568" s="637">
        <f>GrossWeightTotalR+PalletQtyTotalR*25</f>
        <v>17191.136999999999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2614.144690107436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2644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32.587049999999998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7.2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749.2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394.6</v>
      </c>
      <c r="F575" s="46">
        <f>IFERROR(Y89*1,"0")+IFERROR(Y90*1,"0")+IFERROR(Y91*1,"0")+IFERROR(Y92*1,"0")+IFERROR(Y93*1,"0")+IFERROR(Y94*1,"0")+IFERROR(Y98*1,"0")+IFERROR(Y99*1,"0")+IFERROR(Y100*1,"0")+IFERROR(Y101*1,"0")</f>
        <v>778.08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1675.6200000000001</v>
      </c>
      <c r="H575" s="46">
        <f>IFERROR(Y136*1,"0")+IFERROR(Y137*1,"0")+IFERROR(Y141*1,"0")+IFERROR(Y142*1,"0")+IFERROR(Y146*1,"0")+IFERROR(Y147*1,"0")</f>
        <v>8.3999999999999986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426.98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102.2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905.39999999999986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1.8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266.39999999999998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382.2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745.80000000000007</v>
      </c>
      <c r="V575" s="46">
        <f>IFERROR(Y424*1,"0")+IFERROR(Y425*1,"0")+IFERROR(Y426*1,"0")</f>
        <v>0</v>
      </c>
      <c r="W575" s="46">
        <f>IFERROR(Y431*1,"0")+IFERROR(Y432*1,"0")+IFERROR(Y433*1,"0")</f>
        <v>31.5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3960</v>
      </c>
      <c r="Y575" s="46">
        <f>IFERROR(Y468*1,"0")+IFERROR(Y469*1,"0")+IFERROR(Y473*1,"0")+IFERROR(Y477*1,"0")+IFERROR(Y478*1,"0")+IFERROR(Y479*1,"0")</f>
        <v>1251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3907.2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155,00"/>
        <filter val="1 247,00"/>
        <filter val="1 260,00"/>
        <filter val="1 575,00"/>
        <filter val="1 598,00"/>
        <filter val="1 604,00"/>
        <filter val="1 648,00"/>
        <filter val="1,00"/>
        <filter val="1,67"/>
        <filter val="10,00"/>
        <filter val="10,32"/>
        <filter val="11,00"/>
        <filter val="110,00"/>
        <filter val="113,00"/>
        <filter val="114,00"/>
        <filter val="115,00"/>
        <filter val="119,32"/>
        <filter val="12,00"/>
        <filter val="12,14"/>
        <filter val="123,00"/>
        <filter val="124,94"/>
        <filter val="13,00"/>
        <filter val="138,56"/>
        <filter val="14,76"/>
        <filter val="15 440,00"/>
        <filter val="15,00"/>
        <filter val="150,00"/>
        <filter val="16 327,74"/>
        <filter val="16,00"/>
        <filter val="161,40"/>
        <filter val="162,00"/>
        <filter val="17 027,74"/>
        <filter val="18,00"/>
        <filter val="18,25"/>
        <filter val="183,00"/>
        <filter val="184,00"/>
        <filter val="2 614,14"/>
        <filter val="2,00"/>
        <filter val="2,50"/>
        <filter val="21,39"/>
        <filter val="222,53"/>
        <filter val="23,00"/>
        <filter val="264,00"/>
        <filter val="27,00"/>
        <filter val="28"/>
        <filter val="297,00"/>
        <filter val="3 338,00"/>
        <filter val="3,03"/>
        <filter val="3,33"/>
        <filter val="3,89"/>
        <filter val="300,00"/>
        <filter val="303,79"/>
        <filter val="305,00"/>
        <filter val="31,00"/>
        <filter val="312,12"/>
        <filter val="321,00"/>
        <filter val="338,00"/>
        <filter val="338,95"/>
        <filter val="347,65"/>
        <filter val="36,79"/>
        <filter val="370,00"/>
        <filter val="39,00"/>
        <filter val="39,20"/>
        <filter val="4,00"/>
        <filter val="40,00"/>
        <filter val="42,00"/>
        <filter val="423,00"/>
        <filter val="43,00"/>
        <filter val="437,00"/>
        <filter val="450,00"/>
        <filter val="47,44"/>
        <filter val="51,00"/>
        <filter val="526,00"/>
        <filter val="53,00"/>
        <filter val="588,00"/>
        <filter val="59,00"/>
        <filter val="6,00"/>
        <filter val="6,48"/>
        <filter val="609,00"/>
        <filter val="61,00"/>
        <filter val="621,00"/>
        <filter val="630,00"/>
        <filter val="65,00"/>
        <filter val="688,00"/>
        <filter val="7,00"/>
        <filter val="7,22"/>
        <filter val="7,41"/>
        <filter val="70,00"/>
        <filter val="70,64"/>
        <filter val="725,00"/>
        <filter val="738,00"/>
        <filter val="76,87"/>
        <filter val="785,00"/>
        <filter val="79,00"/>
        <filter val="8,00"/>
        <filter val="80,00"/>
        <filter val="83,00"/>
        <filter val="87,00"/>
        <filter val="893,00"/>
        <filter val="9,00"/>
        <filter val="978,00"/>
        <filter val="989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