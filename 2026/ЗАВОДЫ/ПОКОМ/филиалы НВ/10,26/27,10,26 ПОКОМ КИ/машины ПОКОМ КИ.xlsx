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1E7EBB8-F37F-48AB-815E-370AAFCDA2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13" i="1" l="1"/>
  <c r="Q14" i="1"/>
  <c r="Q18" i="1" l="1"/>
  <c r="Q19" i="1"/>
  <c r="C21" i="1" l="1"/>
  <c r="D21" i="1"/>
  <c r="Q11" i="1"/>
  <c r="Q15" i="1" l="1"/>
  <c r="Q16" i="1"/>
  <c r="Q17" i="1" l="1"/>
  <c r="E21" i="1" l="1"/>
  <c r="Q4" i="1" l="1"/>
  <c r="Q5" i="1"/>
  <c r="Q6" i="1"/>
  <c r="Q8" i="1"/>
  <c r="Q9" i="1"/>
  <c r="Q10" i="1"/>
  <c r="Q12" i="1"/>
  <c r="Q20" i="1"/>
  <c r="Q3" i="1"/>
  <c r="P21" i="1"/>
  <c r="O21" i="1"/>
  <c r="N21" i="1"/>
  <c r="F21" i="1" l="1"/>
  <c r="G21" i="1"/>
  <c r="H21" i="1"/>
  <c r="I21" i="1"/>
  <c r="J21" i="1"/>
  <c r="K21" i="1"/>
  <c r="L21" i="1"/>
  <c r="M21" i="1"/>
  <c r="B21" i="1" l="1"/>
  <c r="B23" i="1" s="1"/>
  <c r="Q21" i="1" l="1"/>
</calcChain>
</file>

<file path=xl/sharedStrings.xml><?xml version="1.0" encoding="utf-8"?>
<sst xmlns="http://schemas.openxmlformats.org/spreadsheetml/2006/main" count="40" uniqueCount="31">
  <si>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</si>
  <si>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</si>
  <si>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</si>
  <si>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</si>
  <si>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</si>
  <si>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</si>
  <si>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</si>
  <si>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</si>
  <si>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</si>
  <si>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</si>
  <si>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</si>
  <si>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</si>
  <si>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</si>
  <si>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Бейдерман</t>
  </si>
  <si>
    <t>Малахутин</t>
  </si>
  <si>
    <t>НПК ЛП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</si>
  <si>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</si>
  <si>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</si>
  <si>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</si>
  <si>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</si>
  <si>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</si>
  <si>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</si>
  <si>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</si>
  <si>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</si>
  <si>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Мариуполь</t>
  </si>
  <si>
    <t>ПРС ЛП</t>
  </si>
  <si>
    <t>Орешин НВ</t>
  </si>
  <si>
    <t>1 машина на 31,10</t>
  </si>
  <si>
    <t>2 машина на 31,10</t>
  </si>
  <si>
    <t>1 машина на 01,11</t>
  </si>
  <si>
    <t>2 машина на 01,11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</si>
</sst>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8" xfId="0" applyFill="1" applyBorder="1"/>
    <xf numFmtId="0" fontId="0" fillId="4" borderId="18" xfId="0" applyFill="1" applyBorder="1"/>
    <xf numFmtId="0" fontId="0" fillId="4" borderId="6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zoomScale="115" zoomScaleNormal="115" workbookViewId="0">
      <selection activeCell="R25" sqref="R25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7" ht="15" customHeight="1" x14ac:dyDescent="0.25">
      <c r="A1" s="35" t="s">
        <v>5</v>
      </c>
      <c r="B1" s="37" t="s">
        <v>17</v>
      </c>
      <c r="C1" s="37" t="s">
        <v>18</v>
      </c>
      <c r="D1" s="37" t="s">
        <v>19</v>
      </c>
      <c r="E1" s="35" t="s">
        <v>27</v>
      </c>
      <c r="F1" s="39"/>
      <c r="G1" s="40"/>
      <c r="H1" s="35" t="s">
        <v>28</v>
      </c>
      <c r="I1" s="39"/>
      <c r="J1" s="40"/>
      <c r="K1" s="35" t="s">
        <v>29</v>
      </c>
      <c r="L1" s="39"/>
      <c r="M1" s="40"/>
      <c r="N1" s="35" t="s">
        <v>30</v>
      </c>
      <c r="O1" s="39"/>
      <c r="P1" s="40"/>
      <c r="Q1" s="33" t="s">
        <v>6</v>
      </c>
    </row>
    <row r="2" spans="1:17" ht="30.75" thickBot="1" x14ac:dyDescent="0.3">
      <c r="A2" s="36"/>
      <c r="B2" s="38"/>
      <c r="C2" s="38"/>
      <c r="D2" s="38"/>
      <c r="E2" s="17" t="s">
        <v>10</v>
      </c>
      <c r="F2" s="18" t="s">
        <v>11</v>
      </c>
      <c r="G2" s="19" t="s">
        <v>12</v>
      </c>
      <c r="H2" s="17" t="s">
        <v>10</v>
      </c>
      <c r="I2" s="18" t="s">
        <v>11</v>
      </c>
      <c r="J2" s="19" t="s">
        <v>12</v>
      </c>
      <c r="K2" s="17" t="s">
        <v>10</v>
      </c>
      <c r="L2" s="18" t="s">
        <v>11</v>
      </c>
      <c r="M2" s="19" t="s">
        <v>12</v>
      </c>
      <c r="N2" s="17" t="s">
        <v>10</v>
      </c>
      <c r="O2" s="18" t="s">
        <v>11</v>
      </c>
      <c r="P2" s="19" t="s">
        <v>12</v>
      </c>
      <c r="Q2" s="34"/>
    </row>
    <row r="3" spans="1:17" x14ac:dyDescent="0.25">
      <c r="A3" s="6" t="s">
        <v>0</v>
      </c>
      <c r="B3" s="20">
        <v>3192</v>
      </c>
      <c r="C3" s="21"/>
      <c r="D3" s="22"/>
      <c r="E3" s="20"/>
      <c r="F3" s="21"/>
      <c r="G3" s="22"/>
      <c r="H3" s="6"/>
      <c r="I3" s="3"/>
      <c r="J3" s="7"/>
      <c r="K3" s="20">
        <v>3192</v>
      </c>
      <c r="L3" s="3">
        <v>3601</v>
      </c>
      <c r="M3" s="7">
        <v>6</v>
      </c>
      <c r="N3" s="6"/>
      <c r="O3" s="3"/>
      <c r="P3" s="7"/>
      <c r="Q3" s="8">
        <f>B3-E3-H3-K3-N3</f>
        <v>0</v>
      </c>
    </row>
    <row r="4" spans="1:17" x14ac:dyDescent="0.25">
      <c r="A4" s="32" t="s">
        <v>1</v>
      </c>
      <c r="B4" s="23">
        <v>33097</v>
      </c>
      <c r="C4" s="24"/>
      <c r="D4" s="25"/>
      <c r="E4" s="23">
        <v>15440</v>
      </c>
      <c r="F4" s="24">
        <v>17191</v>
      </c>
      <c r="G4" s="25">
        <v>28</v>
      </c>
      <c r="H4" s="4"/>
      <c r="I4" s="2"/>
      <c r="J4" s="5"/>
      <c r="K4" s="4"/>
      <c r="L4" s="2"/>
      <c r="M4" s="5"/>
      <c r="N4" s="4">
        <v>17657</v>
      </c>
      <c r="O4" s="2">
        <v>19538</v>
      </c>
      <c r="P4" s="5">
        <v>32</v>
      </c>
      <c r="Q4" s="8">
        <f t="shared" ref="Q4:Q20" si="0">B4-E4-H4-K4-N4</f>
        <v>0</v>
      </c>
    </row>
    <row r="5" spans="1:17" x14ac:dyDescent="0.25">
      <c r="A5" s="29" t="s">
        <v>2</v>
      </c>
      <c r="B5" s="23">
        <v>12172</v>
      </c>
      <c r="C5" s="24"/>
      <c r="D5" s="25"/>
      <c r="E5" s="23"/>
      <c r="F5" s="24"/>
      <c r="G5" s="25"/>
      <c r="H5" s="4">
        <v>12172</v>
      </c>
      <c r="I5" s="2">
        <v>13472</v>
      </c>
      <c r="J5" s="5">
        <v>22</v>
      </c>
      <c r="K5" s="4"/>
      <c r="L5" s="2"/>
      <c r="M5" s="5"/>
      <c r="N5" s="4"/>
      <c r="O5" s="2"/>
      <c r="P5" s="5"/>
      <c r="Q5" s="8">
        <f t="shared" si="0"/>
        <v>0</v>
      </c>
    </row>
    <row r="6" spans="1:17" x14ac:dyDescent="0.25">
      <c r="A6" s="4" t="s">
        <v>3</v>
      </c>
      <c r="B6" s="23">
        <v>12076</v>
      </c>
      <c r="C6" s="24"/>
      <c r="D6" s="25"/>
      <c r="E6" s="23"/>
      <c r="F6" s="24"/>
      <c r="G6" s="25"/>
      <c r="H6" s="4"/>
      <c r="I6" s="2"/>
      <c r="J6" s="5"/>
      <c r="K6" s="23">
        <v>12076</v>
      </c>
      <c r="L6" s="2">
        <v>13477</v>
      </c>
      <c r="M6" s="5">
        <v>22</v>
      </c>
      <c r="N6" s="4"/>
      <c r="O6" s="2"/>
      <c r="P6" s="5"/>
      <c r="Q6" s="8">
        <f t="shared" si="0"/>
        <v>0</v>
      </c>
    </row>
    <row r="7" spans="1:17" x14ac:dyDescent="0.25">
      <c r="A7" s="4" t="s">
        <v>24</v>
      </c>
      <c r="B7" s="23">
        <v>2302</v>
      </c>
      <c r="C7" s="24"/>
      <c r="D7" s="25"/>
      <c r="E7" s="23"/>
      <c r="F7" s="24"/>
      <c r="G7" s="25"/>
      <c r="H7" s="4"/>
      <c r="I7" s="2"/>
      <c r="J7" s="5"/>
      <c r="K7" s="23">
        <v>2302</v>
      </c>
      <c r="L7" s="2">
        <v>2596</v>
      </c>
      <c r="M7" s="5">
        <v>4</v>
      </c>
      <c r="N7" s="4"/>
      <c r="O7" s="2"/>
      <c r="P7" s="5"/>
      <c r="Q7" s="8">
        <f t="shared" si="0"/>
        <v>0</v>
      </c>
    </row>
    <row r="8" spans="1:17" hidden="1" x14ac:dyDescent="0.25">
      <c r="A8" s="4" t="s">
        <v>8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8">
        <f t="shared" si="0"/>
        <v>0</v>
      </c>
    </row>
    <row r="9" spans="1:17" hidden="1" x14ac:dyDescent="0.25">
      <c r="A9" s="4" t="s">
        <v>13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0</v>
      </c>
    </row>
    <row r="10" spans="1:17" hidden="1" x14ac:dyDescent="0.25">
      <c r="A10" s="4" t="s">
        <v>4</v>
      </c>
      <c r="B10" s="23"/>
      <c r="C10" s="24"/>
      <c r="D10" s="25"/>
      <c r="E10" s="23"/>
      <c r="F10" s="24"/>
      <c r="G10" s="25"/>
      <c r="H10" s="4"/>
      <c r="I10" s="2"/>
      <c r="J10" s="5"/>
      <c r="K10" s="4"/>
      <c r="L10" s="2"/>
      <c r="M10" s="5"/>
      <c r="N10" s="4"/>
      <c r="O10" s="2"/>
      <c r="P10" s="5"/>
      <c r="Q10" s="8">
        <f t="shared" si="0"/>
        <v>0</v>
      </c>
    </row>
    <row r="11" spans="1:17" hidden="1" x14ac:dyDescent="0.25">
      <c r="A11" s="9" t="s">
        <v>20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8">
        <f t="shared" si="0"/>
        <v>0</v>
      </c>
    </row>
    <row r="12" spans="1:17" x14ac:dyDescent="0.25">
      <c r="A12" s="31" t="s">
        <v>25</v>
      </c>
      <c r="B12" s="26">
        <v>2099</v>
      </c>
      <c r="C12" s="27">
        <v>2616</v>
      </c>
      <c r="D12" s="28">
        <v>5</v>
      </c>
      <c r="E12" s="26">
        <v>2099</v>
      </c>
      <c r="F12" s="27">
        <v>2616</v>
      </c>
      <c r="G12" s="28">
        <v>5</v>
      </c>
      <c r="H12" s="9"/>
      <c r="I12" s="10"/>
      <c r="J12" s="11"/>
      <c r="K12" s="9"/>
      <c r="L12" s="10"/>
      <c r="M12" s="11"/>
      <c r="N12" s="9"/>
      <c r="O12" s="10"/>
      <c r="P12" s="11"/>
      <c r="Q12" s="8">
        <f t="shared" si="0"/>
        <v>0</v>
      </c>
    </row>
    <row r="13" spans="1:17" hidden="1" x14ac:dyDescent="0.25">
      <c r="A13" s="9" t="s">
        <v>23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8">
        <f t="shared" si="0"/>
        <v>0</v>
      </c>
    </row>
    <row r="14" spans="1:17" hidden="1" x14ac:dyDescent="0.25">
      <c r="A14" s="9" t="s">
        <v>15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8">
        <f t="shared" si="0"/>
        <v>0</v>
      </c>
    </row>
    <row r="15" spans="1:17" x14ac:dyDescent="0.25">
      <c r="A15" s="30" t="s">
        <v>26</v>
      </c>
      <c r="B15" s="26">
        <v>327</v>
      </c>
      <c r="C15" s="27">
        <v>367</v>
      </c>
      <c r="D15" s="28">
        <v>1</v>
      </c>
      <c r="E15" s="26"/>
      <c r="F15" s="27"/>
      <c r="G15" s="28"/>
      <c r="H15" s="26">
        <v>327</v>
      </c>
      <c r="I15" s="27">
        <v>367</v>
      </c>
      <c r="J15" s="28">
        <v>1</v>
      </c>
      <c r="K15" s="9"/>
      <c r="L15" s="10"/>
      <c r="M15" s="11"/>
      <c r="N15" s="9"/>
      <c r="O15" s="10"/>
      <c r="P15" s="11"/>
      <c r="Q15" s="8">
        <f t="shared" si="0"/>
        <v>0</v>
      </c>
    </row>
    <row r="16" spans="1:17" ht="15.75" thickBot="1" x14ac:dyDescent="0.3">
      <c r="A16" s="30" t="s">
        <v>16</v>
      </c>
      <c r="B16" s="23">
        <v>5115</v>
      </c>
      <c r="C16" s="24">
        <v>5567</v>
      </c>
      <c r="D16" s="25">
        <v>9</v>
      </c>
      <c r="E16" s="23"/>
      <c r="F16" s="24"/>
      <c r="G16" s="25"/>
      <c r="H16" s="23">
        <v>5115</v>
      </c>
      <c r="I16" s="24">
        <v>5567</v>
      </c>
      <c r="J16" s="25">
        <v>9</v>
      </c>
      <c r="K16" s="9"/>
      <c r="L16" s="10"/>
      <c r="M16" s="11"/>
      <c r="N16" s="9"/>
      <c r="O16" s="10"/>
      <c r="P16" s="11"/>
      <c r="Q16" s="8">
        <f t="shared" si="0"/>
        <v>0</v>
      </c>
    </row>
    <row r="17" spans="1:17" hidden="1" x14ac:dyDescent="0.25">
      <c r="A17" s="9" t="s">
        <v>9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8">
        <f t="shared" ref="Q17:Q19" si="1">B17-E17-H17-K17-N17</f>
        <v>0</v>
      </c>
    </row>
    <row r="18" spans="1:17" hidden="1" x14ac:dyDescent="0.25">
      <c r="A18" s="9" t="s">
        <v>14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8">
        <f t="shared" si="1"/>
        <v>0</v>
      </c>
    </row>
    <row r="19" spans="1:17" hidden="1" x14ac:dyDescent="0.25">
      <c r="A19" s="9" t="s">
        <v>22</v>
      </c>
      <c r="B19" s="26"/>
      <c r="C19" s="27"/>
      <c r="D19" s="28"/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1"/>
        <v>0</v>
      </c>
    </row>
    <row r="20" spans="1:17" ht="15.75" hidden="1" thickBot="1" x14ac:dyDescent="0.3">
      <c r="A20" s="9" t="s">
        <v>21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8">
        <f t="shared" si="0"/>
        <v>0</v>
      </c>
    </row>
    <row r="21" spans="1:17" s="1" customFormat="1" ht="15.75" thickBot="1" x14ac:dyDescent="0.3">
      <c r="A21" s="12" t="s">
        <v>7</v>
      </c>
      <c r="B21" s="13">
        <f t="shared" ref="B21:M21" si="2">SUM(B3:B20)</f>
        <v>70380</v>
      </c>
      <c r="C21" s="13">
        <f t="shared" si="2"/>
        <v>8550</v>
      </c>
      <c r="D21" s="13">
        <f t="shared" si="2"/>
        <v>15</v>
      </c>
      <c r="E21" s="12">
        <f t="shared" si="2"/>
        <v>17539</v>
      </c>
      <c r="F21" s="14">
        <f t="shared" si="2"/>
        <v>19807</v>
      </c>
      <c r="G21" s="15">
        <f t="shared" si="2"/>
        <v>33</v>
      </c>
      <c r="H21" s="12">
        <f t="shared" si="2"/>
        <v>17614</v>
      </c>
      <c r="I21" s="14">
        <f t="shared" si="2"/>
        <v>19406</v>
      </c>
      <c r="J21" s="15">
        <f t="shared" si="2"/>
        <v>32</v>
      </c>
      <c r="K21" s="12">
        <f t="shared" si="2"/>
        <v>17570</v>
      </c>
      <c r="L21" s="14">
        <f t="shared" si="2"/>
        <v>19674</v>
      </c>
      <c r="M21" s="15">
        <f t="shared" si="2"/>
        <v>32</v>
      </c>
      <c r="N21" s="12">
        <f t="shared" ref="N21:P21" si="3">SUM(N3:N20)</f>
        <v>17657</v>
      </c>
      <c r="O21" s="14">
        <f t="shared" si="3"/>
        <v>19538</v>
      </c>
      <c r="P21" s="15">
        <f t="shared" si="3"/>
        <v>32</v>
      </c>
      <c r="Q21" s="16">
        <f>SUM(Q3:Q20)</f>
        <v>0</v>
      </c>
    </row>
    <row r="23" spans="1:17" x14ac:dyDescent="0.25">
      <c r="B23">
        <f>B21/17500</f>
        <v>4.0217142857142854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2026-10-28T11:40:28Z</dcterms:modified>
</cp:coreProperties>
</file>