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B4D97B6-AC9C-4C6E-B5F2-CC6DCE4FF8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N114" i="1"/>
  <c r="BM114" i="1"/>
  <c r="Z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37" i="1"/>
  <c r="Y25" i="1"/>
  <c r="Z28" i="1"/>
  <c r="Z32" i="1" s="1"/>
  <c r="BN28" i="1"/>
  <c r="BP28" i="1"/>
  <c r="Z30" i="1"/>
  <c r="BN30" i="1"/>
  <c r="C543" i="1"/>
  <c r="Z42" i="1"/>
  <c r="Z46" i="1" s="1"/>
  <c r="BN42" i="1"/>
  <c r="BP42" i="1"/>
  <c r="Z44" i="1"/>
  <c r="BN44" i="1"/>
  <c r="Y47" i="1"/>
  <c r="D543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09" i="1" s="1"/>
  <c r="BN103" i="1"/>
  <c r="BP103" i="1"/>
  <c r="Z105" i="1"/>
  <c r="BN105" i="1"/>
  <c r="Z107" i="1"/>
  <c r="BN107" i="1"/>
  <c r="Y110" i="1"/>
  <c r="Y119" i="1"/>
  <c r="Z113" i="1"/>
  <c r="Z119" i="1" s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4" i="1"/>
  <c r="BP181" i="1"/>
  <c r="BN181" i="1"/>
  <c r="Z181" i="1"/>
  <c r="BP199" i="1"/>
  <c r="BN199" i="1"/>
  <c r="Z199" i="1"/>
  <c r="Z205" i="1" s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H9" i="1"/>
  <c r="Y24" i="1"/>
  <c r="Y67" i="1"/>
  <c r="Y92" i="1"/>
  <c r="Y109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Z154" i="1" s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Z235" i="1" s="1"/>
  <c r="BP234" i="1"/>
  <c r="BN234" i="1"/>
  <c r="Z234" i="1"/>
  <c r="Y236" i="1"/>
  <c r="Y241" i="1"/>
  <c r="BP238" i="1"/>
  <c r="BN238" i="1"/>
  <c r="Z238" i="1"/>
  <c r="Z241" i="1" s="1"/>
  <c r="BP261" i="1"/>
  <c r="BN261" i="1"/>
  <c r="Z261" i="1"/>
  <c r="BP265" i="1"/>
  <c r="BN265" i="1"/>
  <c r="Z265" i="1"/>
  <c r="BP294" i="1"/>
  <c r="BN294" i="1"/>
  <c r="Z294" i="1"/>
  <c r="Y298" i="1"/>
  <c r="H543" i="1"/>
  <c r="Y136" i="1"/>
  <c r="J543" i="1"/>
  <c r="Y160" i="1"/>
  <c r="K543" i="1"/>
  <c r="Y206" i="1"/>
  <c r="L543" i="1"/>
  <c r="Y211" i="1"/>
  <c r="BP255" i="1"/>
  <c r="BN255" i="1"/>
  <c r="Z255" i="1"/>
  <c r="Z256" i="1" s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Z298" i="1" s="1"/>
  <c r="Y313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Z312" i="1"/>
  <c r="BP310" i="1"/>
  <c r="BN310" i="1"/>
  <c r="Z310" i="1"/>
  <c r="BP319" i="1"/>
  <c r="BN319" i="1"/>
  <c r="Z319" i="1"/>
  <c r="Z321" i="1" s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Z381" i="1"/>
  <c r="BP379" i="1"/>
  <c r="BN379" i="1"/>
  <c r="Z379" i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502" i="1"/>
  <c r="Z445" i="1"/>
  <c r="Z420" i="1"/>
  <c r="Z401" i="1"/>
  <c r="Z388" i="1"/>
  <c r="Z368" i="1"/>
  <c r="Z358" i="1"/>
  <c r="Z184" i="1"/>
  <c r="Z126" i="1"/>
  <c r="Y534" i="1"/>
  <c r="Z414" i="1"/>
  <c r="Z472" i="1"/>
  <c r="Z282" i="1"/>
  <c r="Z178" i="1"/>
  <c r="Y537" i="1"/>
  <c r="Z92" i="1"/>
  <c r="Z67" i="1"/>
  <c r="Y533" i="1"/>
  <c r="Y535" i="1"/>
  <c r="Z538" i="1"/>
  <c r="Y536" i="1" l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<sst xmlns="http://schemas.openxmlformats.org/spreadsheetml/2006/main" count="2407" uniqueCount="872">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</sst>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700</v>
      </c>
      <c r="Y51" s="606">
        <f>IFERROR(IF(X51="",0,CEILING((X51/$H51),1)*$H51),"")</f>
        <v>702</v>
      </c>
      <c r="Z51" s="36">
        <f>IFERROR(IF(Y51=0,"",ROUNDUP(Y51/H51,0)*0.01898),"")</f>
        <v>1.2337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726.57407407407413</v>
      </c>
      <c r="BN51" s="64">
        <f>IFERROR(Y51*I51/H51,"0")</f>
        <v>728.65000000000009</v>
      </c>
      <c r="BO51" s="64">
        <f>IFERROR(1/J51*(X51/H51),"0")</f>
        <v>1.0127314814814814</v>
      </c>
      <c r="BP51" s="64">
        <f>IFERROR(1/J51*(Y51/H51),"0")</f>
        <v>1.015625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37</v>
      </c>
      <c r="Y54" s="606">
        <f>IFERROR(IF(X54="",0,CEILING((X54/$H54),1)*$H54),"")</f>
        <v>37</v>
      </c>
      <c r="Z54" s="36">
        <f>IFERROR(IF(Y54=0,"",ROUNDUP(Y54/H54,0)*0.00902),"")</f>
        <v>9.0200000000000002E-2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38.9</v>
      </c>
      <c r="BN54" s="64">
        <f>IFERROR(Y54*I54/H54,"0")</f>
        <v>38.9</v>
      </c>
      <c r="BO54" s="64">
        <f>IFERROR(1/J54*(X54/H54),"0")</f>
        <v>7.575757575757576E-2</v>
      </c>
      <c r="BP54" s="64">
        <f>IFERROR(1/J54*(Y54/H54),"0")</f>
        <v>7.575757575757576E-2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74.81481481481481</v>
      </c>
      <c r="Y55" s="607">
        <f>IFERROR(Y51/H51,"0")+IFERROR(Y52/H52,"0")+IFERROR(Y53/H53,"0")+IFERROR(Y54/H54,"0")</f>
        <v>75</v>
      </c>
      <c r="Z55" s="607">
        <f>IFERROR(IF(Z51="",0,Z51),"0")+IFERROR(IF(Z52="",0,Z52),"0")+IFERROR(IF(Z53="",0,Z53),"0")+IFERROR(IF(Z54="",0,Z54),"0")</f>
        <v>1.3239000000000001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737</v>
      </c>
      <c r="Y56" s="607">
        <f>IFERROR(SUM(Y51:Y54),"0")</f>
        <v>739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150</v>
      </c>
      <c r="Y61" s="606">
        <f t="shared" si="0"/>
        <v>151.20000000000002</v>
      </c>
      <c r="Z61" s="36">
        <f>IFERROR(IF(Y61=0,"",ROUNDUP(Y61/H61,0)*0.01898),"")</f>
        <v>0.26572000000000001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155.69444444444446</v>
      </c>
      <c r="BN61" s="64">
        <f t="shared" si="2"/>
        <v>156.94</v>
      </c>
      <c r="BO61" s="64">
        <f t="shared" si="3"/>
        <v>0.21701388888888887</v>
      </c>
      <c r="BP61" s="64">
        <f t="shared" si="4"/>
        <v>0.21875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45</v>
      </c>
      <c r="Y66" s="60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23.888888888888886</v>
      </c>
      <c r="Y67" s="607">
        <f>IFERROR(Y59/H59,"0")+IFERROR(Y60/H60,"0")+IFERROR(Y61/H61,"0")+IFERROR(Y62/H62,"0")+IFERROR(Y63/H63,"0")+IFERROR(Y64/H64,"0")+IFERROR(Y65/H65,"0")+IFERROR(Y66/H66,"0")</f>
        <v>24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0.35592000000000001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195</v>
      </c>
      <c r="Y68" s="607">
        <f>IFERROR(SUM(Y59:Y66),"0")</f>
        <v>196.20000000000002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150</v>
      </c>
      <c r="Y70" s="606">
        <f>IFERROR(IF(X70="",0,CEILING((X70/$H70),1)*$H70),"")</f>
        <v>151.20000000000002</v>
      </c>
      <c r="Z70" s="36">
        <f>IFERROR(IF(Y70=0,"",ROUNDUP(Y70/H70,0)*0.01898),"")</f>
        <v>0.26572000000000001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155.69444444444446</v>
      </c>
      <c r="BN70" s="64">
        <f>IFERROR(Y70*I70/H70,"0")</f>
        <v>156.94</v>
      </c>
      <c r="BO70" s="64">
        <f>IFERROR(1/J70*(X70/H70),"0")</f>
        <v>0.21701388888888887</v>
      </c>
      <c r="BP70" s="64">
        <f>IFERROR(1/J70*(Y70/H70),"0")</f>
        <v>0.21875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13.888888888888888</v>
      </c>
      <c r="Y74" s="607">
        <f>IFERROR(Y70/H70,"0")+IFERROR(Y71/H71,"0")+IFERROR(Y72/H72,"0")+IFERROR(Y73/H73,"0")</f>
        <v>14</v>
      </c>
      <c r="Z74" s="607">
        <f>IFERROR(IF(Z70="",0,Z70),"0")+IFERROR(IF(Z71="",0,Z71),"0")+IFERROR(IF(Z72="",0,Z72),"0")+IFERROR(IF(Z73="",0,Z73),"0")</f>
        <v>0.26572000000000001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150</v>
      </c>
      <c r="Y75" s="607">
        <f>IFERROR(SUM(Y70:Y73),"0")</f>
        <v>151.20000000000002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100</v>
      </c>
      <c r="Y88" s="606">
        <f>IFERROR(IF(X88="",0,CEILING((X88/$H88),1)*$H88),"")</f>
        <v>108</v>
      </c>
      <c r="Z88" s="36">
        <f>IFERROR(IF(Y88=0,"",ROUNDUP(Y88/H88,0)*0.01898),"")</f>
        <v>0.1898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103.79629629629629</v>
      </c>
      <c r="BN88" s="64">
        <f>IFERROR(Y88*I88/H88,"0")</f>
        <v>112.1</v>
      </c>
      <c r="BO88" s="64">
        <f>IFERROR(1/J88*(X88/H88),"0")</f>
        <v>0.14467592592592593</v>
      </c>
      <c r="BP88" s="64">
        <f>IFERROR(1/J88*(Y88/H88),"0")</f>
        <v>0.15625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45</v>
      </c>
      <c r="Y91" s="606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46.900000000000006</v>
      </c>
      <c r="BN91" s="64">
        <f>IFERROR(Y91*I91/H91,"0")</f>
        <v>46.900000000000006</v>
      </c>
      <c r="BO91" s="64">
        <f>IFERROR(1/J91*(X91/H91),"0")</f>
        <v>7.575757575757576E-2</v>
      </c>
      <c r="BP91" s="64">
        <f>IFERROR(1/J91*(Y91/H91),"0")</f>
        <v>7.575757575757576E-2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19.25925925925926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0.28000000000000003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145</v>
      </c>
      <c r="Y93" s="607">
        <f>IFERROR(SUM(Y88:Y91),"0")</f>
        <v>153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500</v>
      </c>
      <c r="Y95" s="606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530.49382716049388</v>
      </c>
      <c r="BN95" s="64">
        <f>IFERROR(Y95*I95/H95,"0")</f>
        <v>532.82799999999997</v>
      </c>
      <c r="BO95" s="64">
        <f>IFERROR(1/J95*(X95/H95),"0")</f>
        <v>0.96450617283950624</v>
      </c>
      <c r="BP95" s="64">
        <f>IFERROR(1/J95*(Y95/H95),"0")</f>
        <v>0.96875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61.728395061728399</v>
      </c>
      <c r="Y99" s="607">
        <f>IFERROR(Y95/H95,"0")+IFERROR(Y96/H96,"0")+IFERROR(Y97/H97,"0")+IFERROR(Y98/H98,"0")</f>
        <v>62</v>
      </c>
      <c r="Z99" s="607">
        <f>IFERROR(IF(Z95="",0,Z95),"0")+IFERROR(IF(Z96="",0,Z96),"0")+IFERROR(IF(Z97="",0,Z97),"0")+IFERROR(IF(Z98="",0,Z98),"0")</f>
        <v>1.17676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500</v>
      </c>
      <c r="Y100" s="607">
        <f>IFERROR(SUM(Y95:Y98),"0")</f>
        <v>502.2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200</v>
      </c>
      <c r="Y103" s="606">
        <f t="shared" ref="Y103:Y108" si="5">IFERROR(IF(X103="",0,CEILING((X103/$H103),1)*$H103),"")</f>
        <v>205.20000000000002</v>
      </c>
      <c r="Z103" s="36">
        <f>IFERROR(IF(Y103=0,"",ROUNDUP(Y103/H103,0)*0.01898),"")</f>
        <v>0.36062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207.59259259259258</v>
      </c>
      <c r="BN103" s="64">
        <f t="shared" ref="BN103:BN108" si="7">IFERROR(Y103*I103/H103,"0")</f>
        <v>212.99</v>
      </c>
      <c r="BO103" s="64">
        <f t="shared" ref="BO103:BO108" si="8">IFERROR(1/J103*(X103/H103),"0")</f>
        <v>0.28935185185185186</v>
      </c>
      <c r="BP103" s="64">
        <f t="shared" ref="BP103:BP108" si="9">IFERROR(1/J103*(Y103/H103),"0")</f>
        <v>0.296875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18.518518518518519</v>
      </c>
      <c r="Y109" s="607">
        <f>IFERROR(Y103/H103,"0")+IFERROR(Y104/H104,"0")+IFERROR(Y105/H105,"0")+IFERROR(Y106/H106,"0")+IFERROR(Y107/H107,"0")+IFERROR(Y108/H108,"0")</f>
        <v>19</v>
      </c>
      <c r="Z109" s="607">
        <f>IFERROR(IF(Z103="",0,Z103),"0")+IFERROR(IF(Z104="",0,Z104),"0")+IFERROR(IF(Z105="",0,Z105),"0")+IFERROR(IF(Z106="",0,Z106),"0")+IFERROR(IF(Z107="",0,Z107),"0")+IFERROR(IF(Z108="",0,Z108),"0")</f>
        <v>0.36062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200</v>
      </c>
      <c r="Y110" s="607">
        <f>IFERROR(SUM(Y103:Y108),"0")</f>
        <v>205.20000000000002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500</v>
      </c>
      <c r="Y122" s="606">
        <f>IFERROR(IF(X122="",0,CEILING((X122/$H122),1)*$H122),"")</f>
        <v>502.2</v>
      </c>
      <c r="Z122" s="36">
        <f>IFERROR(IF(Y122=0,"",ROUNDUP(Y122/H122,0)*0.01898),"")</f>
        <v>1.17676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530.12345679012344</v>
      </c>
      <c r="BN122" s="64">
        <f>IFERROR(Y122*I122/H122,"0")</f>
        <v>532.4559999999999</v>
      </c>
      <c r="BO122" s="64">
        <f>IFERROR(1/J122*(X122/H122),"0")</f>
        <v>0.96450617283950624</v>
      </c>
      <c r="BP122" s="64">
        <f>IFERROR(1/J122*(Y122/H122),"0")</f>
        <v>0.96875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61.728395061728399</v>
      </c>
      <c r="Y126" s="607">
        <f>IFERROR(Y122/H122,"0")+IFERROR(Y123/H123,"0")+IFERROR(Y124/H124,"0")+IFERROR(Y125/H125,"0")</f>
        <v>62</v>
      </c>
      <c r="Z126" s="607">
        <f>IFERROR(IF(Z122="",0,Z122),"0")+IFERROR(IF(Z123="",0,Z123),"0")+IFERROR(IF(Z124="",0,Z124),"0")+IFERROR(IF(Z125="",0,Z125),"0")</f>
        <v>1.17676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500</v>
      </c>
      <c r="Y127" s="607">
        <f>IFERROR(SUM(Y122:Y125),"0")</f>
        <v>502.2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200</v>
      </c>
      <c r="Y167" s="606">
        <f t="shared" ref="Y167:Y177" si="15">IFERROR(IF(X167="",0,CEILING((X167/$H167),1)*$H167),"")</f>
        <v>203</v>
      </c>
      <c r="Z167" s="36">
        <f>IFERROR(IF(Y167=0,"",ROUNDUP(Y167/H167,0)*0.00902),"")</f>
        <v>0.52316000000000007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210.85714285714286</v>
      </c>
      <c r="BN167" s="64">
        <f t="shared" ref="BN167:BN177" si="17">IFERROR(Y167*I167/H167,"0")</f>
        <v>214.01999999999998</v>
      </c>
      <c r="BO167" s="64">
        <f t="shared" ref="BO167:BO177" si="18">IFERROR(1/J167*(X167/H167),"0")</f>
        <v>0.43290043290043295</v>
      </c>
      <c r="BP167" s="64">
        <f t="shared" ref="BP167:BP177" si="19">IFERROR(1/J167*(Y167/H167),"0")</f>
        <v>0.43939393939393939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150</v>
      </c>
      <c r="Y170" s="606">
        <f t="shared" si="15"/>
        <v>150.5</v>
      </c>
      <c r="Z170" s="36">
        <f>IFERROR(IF(Y170=0,"",ROUNDUP(Y170/H170,0)*0.00902),"")</f>
        <v>0.38785999999999998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158.14285714285714</v>
      </c>
      <c r="BN170" s="64">
        <f t="shared" si="17"/>
        <v>158.67000000000002</v>
      </c>
      <c r="BO170" s="64">
        <f t="shared" si="18"/>
        <v>0.32467532467532467</v>
      </c>
      <c r="BP170" s="64">
        <f t="shared" si="19"/>
        <v>0.32575757575757575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100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101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0.91102000000000005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350</v>
      </c>
      <c r="Y179" s="607">
        <f>IFERROR(SUM(Y167:Y177),"0")</f>
        <v>353.5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175</v>
      </c>
      <c r="Y224" s="606">
        <f t="shared" si="26"/>
        <v>176.4</v>
      </c>
      <c r="Z224" s="36">
        <f>IFERROR(IF(Y224=0,"",ROUNDUP(Y224/H224,0)*0.00502),"")</f>
        <v>0.42168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183.33333333333334</v>
      </c>
      <c r="BN224" s="64">
        <f t="shared" si="28"/>
        <v>184.8</v>
      </c>
      <c r="BO224" s="64">
        <f t="shared" si="29"/>
        <v>0.35612535612535612</v>
      </c>
      <c r="BP224" s="64">
        <f t="shared" si="30"/>
        <v>0.35897435897435903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83.333333333333329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0.42168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175</v>
      </c>
      <c r="Y228" s="607">
        <f>IFERROR(SUM(Y213:Y226),"0")</f>
        <v>176.4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100</v>
      </c>
      <c r="Y259" s="606">
        <f t="shared" ref="Y259:Y266" si="32">IFERROR(IF(X259="",0,CEILING((X259/$H259),1)*$H259),"")</f>
        <v>102.60000000000001</v>
      </c>
      <c r="Z259" s="36">
        <f>IFERROR(IF(Y259=0,"",ROUNDUP(Y259/H259,0)*0.00902),"")</f>
        <v>0.17138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103.5185185185185</v>
      </c>
      <c r="BN259" s="64">
        <f t="shared" ref="BN259:BN266" si="34">IFERROR(Y259*I259/H259,"0")</f>
        <v>106.21</v>
      </c>
      <c r="BO259" s="64">
        <f t="shared" ref="BO259:BO266" si="35">IFERROR(1/J259*(X259/H259),"0")</f>
        <v>0.14029180695847362</v>
      </c>
      <c r="BP259" s="64">
        <f t="shared" ref="BP259:BP266" si="36">IFERROR(1/J259*(Y259/H259),"0")</f>
        <v>0.14393939393939395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100</v>
      </c>
      <c r="Y260" s="606">
        <f t="shared" si="32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103.5185185185185</v>
      </c>
      <c r="BN260" s="64">
        <f t="shared" si="34"/>
        <v>106.21</v>
      </c>
      <c r="BO260" s="64">
        <f t="shared" si="35"/>
        <v>0.14029180695847362</v>
      </c>
      <c r="BP260" s="64">
        <f t="shared" si="36"/>
        <v>0.14393939393939395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200</v>
      </c>
      <c r="Y261" s="606">
        <f t="shared" si="32"/>
        <v>205.20000000000002</v>
      </c>
      <c r="Z261" s="36">
        <f>IFERROR(IF(Y261=0,"",ROUNDUP(Y261/H261,0)*0.00902),"")</f>
        <v>0.34276000000000001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207.03703703703701</v>
      </c>
      <c r="BN261" s="64">
        <f t="shared" si="34"/>
        <v>212.42</v>
      </c>
      <c r="BO261" s="64">
        <f t="shared" si="35"/>
        <v>0.28058361391694725</v>
      </c>
      <c r="BP261" s="64">
        <f t="shared" si="36"/>
        <v>0.2878787878787879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150</v>
      </c>
      <c r="Y262" s="606">
        <f t="shared" si="32"/>
        <v>151.20000000000002</v>
      </c>
      <c r="Z262" s="36">
        <f>IFERROR(IF(Y262=0,"",ROUNDUP(Y262/H262,0)*0.00902),"")</f>
        <v>0.25256000000000001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155.27777777777777</v>
      </c>
      <c r="BN262" s="64">
        <f t="shared" si="34"/>
        <v>156.52000000000001</v>
      </c>
      <c r="BO262" s="64">
        <f t="shared" si="35"/>
        <v>0.21043771043771042</v>
      </c>
      <c r="BP262" s="64">
        <f t="shared" si="36"/>
        <v>0.21212121212121213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101.85185185185185</v>
      </c>
      <c r="Y267" s="607">
        <f>IFERROR(Y259/H259,"0")+IFERROR(Y260/H260,"0")+IFERROR(Y261/H261,"0")+IFERROR(Y262/H262,"0")+IFERROR(Y263/H263,"0")+IFERROR(Y264/H264,"0")+IFERROR(Y265/H265,"0")+IFERROR(Y266/H266,"0")</f>
        <v>104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0.93808000000000002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550</v>
      </c>
      <c r="Y268" s="607">
        <f>IFERROR(SUM(Y259:Y266),"0")</f>
        <v>561.6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40</v>
      </c>
      <c r="Y273" s="606">
        <f t="shared" si="37"/>
        <v>40.799999999999997</v>
      </c>
      <c r="Z273" s="36">
        <f>IFERROR(IF(Y273=0,"",ROUNDUP(Y273/H273,0)*0.00651),"")</f>
        <v>0.11067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44.5</v>
      </c>
      <c r="BN273" s="64">
        <f t="shared" si="39"/>
        <v>45.39</v>
      </c>
      <c r="BO273" s="64">
        <f t="shared" si="40"/>
        <v>9.1575091575091583E-2</v>
      </c>
      <c r="BP273" s="64">
        <f t="shared" si="41"/>
        <v>9.3406593406593408E-2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520</v>
      </c>
      <c r="Y276" s="606">
        <f t="shared" si="37"/>
        <v>520.79999999999995</v>
      </c>
      <c r="Z276" s="36">
        <f>IFERROR(IF(Y276=0,"",ROUNDUP(Y276/H276,0)*0.00651),"")</f>
        <v>1.4126700000000001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574.6</v>
      </c>
      <c r="BN276" s="64">
        <f t="shared" si="39"/>
        <v>575.48400000000004</v>
      </c>
      <c r="BO276" s="64">
        <f t="shared" si="40"/>
        <v>1.1904761904761907</v>
      </c>
      <c r="BP276" s="64">
        <f t="shared" si="41"/>
        <v>1.1923076923076923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200</v>
      </c>
      <c r="Y278" s="606">
        <f t="shared" si="37"/>
        <v>201.6</v>
      </c>
      <c r="Z278" s="36">
        <f>IFERROR(IF(Y278=0,"",ROUNDUP(Y278/H278,0)*0.00651),"")</f>
        <v>0.54683999999999999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221</v>
      </c>
      <c r="BN278" s="64">
        <f t="shared" si="39"/>
        <v>222.768</v>
      </c>
      <c r="BO278" s="64">
        <f t="shared" si="40"/>
        <v>0.45787545787545797</v>
      </c>
      <c r="BP278" s="64">
        <f t="shared" si="41"/>
        <v>0.46153846153846156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40</v>
      </c>
      <c r="Y279" s="606">
        <f t="shared" si="37"/>
        <v>40.799999999999997</v>
      </c>
      <c r="Z279" s="36">
        <f>IFERROR(IF(Y279=0,"",ROUNDUP(Y279/H279,0)*0.00651),"")</f>
        <v>0.11067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44.20000000000001</v>
      </c>
      <c r="BN279" s="64">
        <f t="shared" si="39"/>
        <v>45.084000000000003</v>
      </c>
      <c r="BO279" s="64">
        <f t="shared" si="40"/>
        <v>9.1575091575091583E-2</v>
      </c>
      <c r="BP279" s="64">
        <f t="shared" si="41"/>
        <v>9.3406593406593408E-2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60</v>
      </c>
      <c r="Y280" s="606">
        <f t="shared" si="37"/>
        <v>60</v>
      </c>
      <c r="Z280" s="36">
        <f>IFERROR(IF(Y280=0,"",ROUNDUP(Y280/H280,0)*0.00651),"")</f>
        <v>0.16275000000000001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66.45</v>
      </c>
      <c r="BN280" s="64">
        <f t="shared" si="39"/>
        <v>66.45</v>
      </c>
      <c r="BO280" s="64">
        <f t="shared" si="40"/>
        <v>0.13736263736263737</v>
      </c>
      <c r="BP280" s="64">
        <f t="shared" si="41"/>
        <v>0.13736263736263737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358.33333333333337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360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2.3435999999999999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860</v>
      </c>
      <c r="Y283" s="607">
        <f>IFERROR(SUM(Y270:Y281),"0")</f>
        <v>863.99999999999989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100</v>
      </c>
      <c r="Y347" s="60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12.820512820512821</v>
      </c>
      <c r="Y349" s="607">
        <f>IFERROR(Y346/H346,"0")+IFERROR(Y347/H347,"0")+IFERROR(Y348/H348,"0")</f>
        <v>13</v>
      </c>
      <c r="Z349" s="607">
        <f>IFERROR(IF(Z346="",0,Z346),"0")+IFERROR(IF(Z347="",0,Z347),"0")+IFERROR(IF(Z348="",0,Z348),"0")</f>
        <v>0.24674000000000001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100</v>
      </c>
      <c r="Y350" s="607">
        <f>IFERROR(SUM(Y346:Y348),"0")</f>
        <v>101.39999999999999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100</v>
      </c>
      <c r="Y378" s="606">
        <f>IFERROR(IF(X378="",0,CEILING((X378/$H378),1)*$H378),"")</f>
        <v>100.80000000000001</v>
      </c>
      <c r="Z378" s="36">
        <f>IFERROR(IF(Y378=0,"",ROUNDUP(Y378/H378,0)*0.01898),"")</f>
        <v>0.22776000000000002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105.88095238095238</v>
      </c>
      <c r="BN378" s="64">
        <f>IFERROR(Y378*I378/H378,"0")</f>
        <v>106.72800000000001</v>
      </c>
      <c r="BO378" s="64">
        <f>IFERROR(1/J378*(X378/H378),"0")</f>
        <v>0.18601190476190477</v>
      </c>
      <c r="BP378" s="64">
        <f>IFERROR(1/J378*(Y378/H378),"0")</f>
        <v>0.1875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500</v>
      </c>
      <c r="Y379" s="606">
        <f>IFERROR(IF(X379="",0,CEILING((X379/$H379),1)*$H379),"")</f>
        <v>507</v>
      </c>
      <c r="Z379" s="36">
        <f>IFERROR(IF(Y379=0,"",ROUNDUP(Y379/H379,0)*0.01898),"")</f>
        <v>1.2337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531.66666666666663</v>
      </c>
      <c r="BN379" s="64">
        <f>IFERROR(Y379*I379/H379,"0")</f>
        <v>539.11</v>
      </c>
      <c r="BO379" s="64">
        <f>IFERROR(1/J379*(X379/H379),"0")</f>
        <v>1.0016025641025641</v>
      </c>
      <c r="BP379" s="64">
        <f>IFERROR(1/J379*(Y379/H379),"0")</f>
        <v>1.015625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76.007326007326014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600</v>
      </c>
      <c r="Y382" s="607">
        <f>IFERROR(SUM(Y378:Y380),"0")</f>
        <v>607.79999999999995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1000</v>
      </c>
      <c r="Y407" s="606">
        <f t="shared" si="52"/>
        <v>1005</v>
      </c>
      <c r="Z407" s="36">
        <f>IFERROR(IF(Y407=0,"",ROUNDUP(Y407/H407,0)*0.02175),"")</f>
        <v>1.4572499999999999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1031.3333333333333</v>
      </c>
      <c r="BN407" s="64">
        <f t="shared" si="54"/>
        <v>1036.49</v>
      </c>
      <c r="BO407" s="64">
        <f t="shared" si="55"/>
        <v>1.3888888888888888</v>
      </c>
      <c r="BP407" s="64">
        <f t="shared" si="56"/>
        <v>1.3958333333333333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700</v>
      </c>
      <c r="Y408" s="606">
        <f t="shared" si="52"/>
        <v>705</v>
      </c>
      <c r="Z408" s="36">
        <f>IFERROR(IF(Y408=0,"",ROUNDUP(Y408/H408,0)*0.02175),"")</f>
        <v>1.0222499999999999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721.93333333333328</v>
      </c>
      <c r="BN408" s="64">
        <f t="shared" si="54"/>
        <v>727.09</v>
      </c>
      <c r="BO408" s="64">
        <f t="shared" si="55"/>
        <v>0.9722222222222221</v>
      </c>
      <c r="BP408" s="64">
        <f t="shared" si="56"/>
        <v>0.97916666666666663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800</v>
      </c>
      <c r="Y409" s="606">
        <f t="shared" si="52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825.06666666666672</v>
      </c>
      <c r="BN409" s="64">
        <f t="shared" si="54"/>
        <v>835.38</v>
      </c>
      <c r="BO409" s="64">
        <f t="shared" si="55"/>
        <v>1.1111111111111112</v>
      </c>
      <c r="BP409" s="64">
        <f t="shared" si="56"/>
        <v>1.125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700</v>
      </c>
      <c r="Y410" s="606">
        <f t="shared" si="52"/>
        <v>705</v>
      </c>
      <c r="Z410" s="36">
        <f>IFERROR(IF(Y410=0,"",ROUNDUP(Y410/H410,0)*0.02175),"")</f>
        <v>1.0222499999999999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721.93333333333328</v>
      </c>
      <c r="BN410" s="64">
        <f t="shared" si="54"/>
        <v>727.09</v>
      </c>
      <c r="BO410" s="64">
        <f t="shared" si="55"/>
        <v>0.9722222222222221</v>
      </c>
      <c r="BP410" s="64">
        <f t="shared" si="56"/>
        <v>0.97916666666666663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213.33333333333334</v>
      </c>
      <c r="Y414" s="607">
        <f>IFERROR(Y406/H406,"0")+IFERROR(Y407/H407,"0")+IFERROR(Y408/H408,"0")+IFERROR(Y409/H409,"0")+IFERROR(Y410/H410,"0")+IFERROR(Y411/H411,"0")+IFERROR(Y412/H412,"0")+IFERROR(Y413/H413,"0")</f>
        <v>215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4.6762499999999996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3200</v>
      </c>
      <c r="Y415" s="607">
        <f>IFERROR(SUM(Y406:Y413),"0")</f>
        <v>3225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1000</v>
      </c>
      <c r="Y417" s="606">
        <f>IFERROR(IF(X417="",0,CEILING((X417/$H417),1)*$H417),"")</f>
        <v>1005</v>
      </c>
      <c r="Z417" s="36">
        <f>IFERROR(IF(Y417=0,"",ROUNDUP(Y417/H417,0)*0.02175),"")</f>
        <v>1.4572499999999999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1031.3333333333333</v>
      </c>
      <c r="BN417" s="64">
        <f>IFERROR(Y417*I417/H417,"0")</f>
        <v>1036.49</v>
      </c>
      <c r="BO417" s="64">
        <f>IFERROR(1/J417*(X417/H417),"0")</f>
        <v>1.3888888888888888</v>
      </c>
      <c r="BP417" s="64">
        <f>IFERROR(1/J417*(Y417/H417),"0")</f>
        <v>1.3958333333333333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66.666666666666671</v>
      </c>
      <c r="Y420" s="607">
        <f>IFERROR(Y417/H417,"0")+IFERROR(Y418/H418,"0")+IFERROR(Y419/H419,"0")</f>
        <v>67</v>
      </c>
      <c r="Z420" s="607">
        <f>IFERROR(IF(Z417="",0,Z417),"0")+IFERROR(IF(Z418="",0,Z418),"0")+IFERROR(IF(Z419="",0,Z419),"0")</f>
        <v>1.4572499999999999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1000</v>
      </c>
      <c r="Y421" s="607">
        <f>IFERROR(SUM(Y417:Y419),"0")</f>
        <v>1005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1300</v>
      </c>
      <c r="Y442" s="606">
        <f>IFERROR(IF(X442="",0,CEILING((X442/$H442),1)*$H442),"")</f>
        <v>1305</v>
      </c>
      <c r="Z442" s="36">
        <f>IFERROR(IF(Y442=0,"",ROUNDUP(Y442/H442,0)*0.01898),"")</f>
        <v>2.7521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1371.3555555555554</v>
      </c>
      <c r="BN442" s="64">
        <f>IFERROR(Y442*I442/H442,"0")</f>
        <v>1376.63</v>
      </c>
      <c r="BO442" s="64">
        <f>IFERROR(1/J442*(X442/H442),"0")</f>
        <v>2.2569444444444446</v>
      </c>
      <c r="BP442" s="64">
        <f>IFERROR(1/J442*(Y442/H442),"0")</f>
        <v>2.265625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144.44444444444446</v>
      </c>
      <c r="Y445" s="607">
        <f>IFERROR(Y442/H442,"0")+IFERROR(Y443/H443,"0")+IFERROR(Y444/H444,"0")</f>
        <v>145</v>
      </c>
      <c r="Z445" s="607">
        <f>IFERROR(IF(Z442="",0,Z442),"0")+IFERROR(IF(Z443="",0,Z443),"0")+IFERROR(IF(Z444="",0,Z444),"0")</f>
        <v>2.7521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1300</v>
      </c>
      <c r="Y446" s="607">
        <f>IFERROR(SUM(Y442:Y444),"0")</f>
        <v>1305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250</v>
      </c>
      <c r="Y480" s="606">
        <f t="shared" si="62"/>
        <v>253.44</v>
      </c>
      <c r="Z480" s="36">
        <f t="shared" si="63"/>
        <v>0.57408000000000003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266.57196969696969</v>
      </c>
      <c r="BN480" s="64">
        <f t="shared" si="65"/>
        <v>270.23999999999995</v>
      </c>
      <c r="BO480" s="64">
        <f t="shared" si="66"/>
        <v>0.45527389277389274</v>
      </c>
      <c r="BP480" s="64">
        <f t="shared" si="67"/>
        <v>0.46153846153846156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700</v>
      </c>
      <c r="Y482" s="606">
        <f t="shared" si="62"/>
        <v>702.24</v>
      </c>
      <c r="Z482" s="36">
        <f t="shared" si="63"/>
        <v>1.5906800000000001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746.40151515151513</v>
      </c>
      <c r="BN482" s="64">
        <f t="shared" si="65"/>
        <v>748.79</v>
      </c>
      <c r="BO482" s="64">
        <f t="shared" si="66"/>
        <v>1.2747668997668997</v>
      </c>
      <c r="BP482" s="64">
        <f t="shared" si="67"/>
        <v>1.278846153846154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179.92424242424241</v>
      </c>
      <c r="Y486" s="607">
        <f>IFERROR(Y477/H477,"0")+IFERROR(Y478/H478,"0")+IFERROR(Y479/H479,"0")+IFERROR(Y480/H480,"0")+IFERROR(Y481/H481,"0")+IFERROR(Y482/H482,"0")+IFERROR(Y483/H483,"0")+IFERROR(Y484/H484,"0")+IFERROR(Y485/H485,"0")</f>
        <v>181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2.1647600000000002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950</v>
      </c>
      <c r="Y487" s="607">
        <f>IFERROR(SUM(Y477:Y485),"0")</f>
        <v>955.68000000000006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500</v>
      </c>
      <c r="Y489" s="606">
        <f>IFERROR(IF(X489="",0,CEILING((X489/$H489),1)*$H489),"")</f>
        <v>501.6</v>
      </c>
      <c r="Z489" s="36">
        <f>IFERROR(IF(Y489=0,"",ROUNDUP(Y489/H489,0)*0.01196),"")</f>
        <v>1.1362000000000001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533.14393939393938</v>
      </c>
      <c r="BN489" s="64">
        <f>IFERROR(Y489*I489/H489,"0")</f>
        <v>534.85</v>
      </c>
      <c r="BO489" s="64">
        <f>IFERROR(1/J489*(X489/H489),"0")</f>
        <v>0.91054778554778548</v>
      </c>
      <c r="BP489" s="64">
        <f>IFERROR(1/J489*(Y489/H489),"0")</f>
        <v>0.91346153846153855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94.696969696969688</v>
      </c>
      <c r="Y492" s="607">
        <f>IFERROR(Y489/H489,"0")+IFERROR(Y490/H490,"0")+IFERROR(Y491/H491,"0")</f>
        <v>95</v>
      </c>
      <c r="Z492" s="607">
        <f>IFERROR(IF(Z489="",0,Z489),"0")+IFERROR(IF(Z490="",0,Z490),"0")+IFERROR(IF(Z491="",0,Z491),"0")</f>
        <v>1.1362000000000001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500</v>
      </c>
      <c r="Y493" s="607">
        <f>IFERROR(SUM(Y489:Y491),"0")</f>
        <v>501.6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200</v>
      </c>
      <c r="Y497" s="606">
        <f t="shared" si="68"/>
        <v>200.64000000000001</v>
      </c>
      <c r="Z497" s="36">
        <f>IFERROR(IF(Y497=0,"",ROUNDUP(Y497/H497,0)*0.01196),"")</f>
        <v>0.45448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213.25757575757575</v>
      </c>
      <c r="BN497" s="64">
        <f t="shared" si="70"/>
        <v>213.94</v>
      </c>
      <c r="BO497" s="64">
        <f t="shared" si="71"/>
        <v>0.36421911421911418</v>
      </c>
      <c r="BP497" s="64">
        <f t="shared" si="72"/>
        <v>0.36538461538461542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37.878787878787875</v>
      </c>
      <c r="Y502" s="607">
        <f>IFERROR(Y495/H495,"0")+IFERROR(Y496/H496,"0")+IFERROR(Y497/H497,"0")+IFERROR(Y498/H498,"0")+IFERROR(Y499/H499,"0")+IFERROR(Y500/H500,"0")+IFERROR(Y501/H501,"0")</f>
        <v>38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0.45448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200</v>
      </c>
      <c r="Y503" s="607">
        <f>IFERROR(SUM(Y495:Y501),"0")</f>
        <v>200.64000000000001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12212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12306.62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12820.238905847242</v>
      </c>
      <c r="Y534" s="607">
        <f>IFERROR(SUM(BN22:BN530),"0")</f>
        <v>12919.187999999998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21</v>
      </c>
      <c r="Y535" s="38">
        <f>ROUNDUP(SUM(BP22:BP530),0)</f>
        <v>21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13345.238905847242</v>
      </c>
      <c r="Y536" s="607">
        <f>GrossWeightTotalR+PalletQtyTotalR*25</f>
        <v>13444.187999999998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1743.1179622846289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1756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23.903299999999998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739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347.40000000000003</v>
      </c>
      <c r="F543" s="46">
        <f>IFERROR(Y88*1,"0")+IFERROR(Y89*1,"0")+IFERROR(Y90*1,"0")+IFERROR(Y91*1,"0")+IFERROR(Y95*1,"0")+IFERROR(Y96*1,"0")+IFERROR(Y97*1,"0")+IFERROR(Y98*1,"0")</f>
        <v>655.20000000000005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707.4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353.5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176.4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1425.5999999999997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101.39999999999999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607.79999999999995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4230</v>
      </c>
      <c r="W543" s="46">
        <f>IFERROR(Y433*1,"0")+IFERROR(Y434*1,"0")+IFERROR(Y438*1,"0")+IFERROR(Y442*1,"0")+IFERROR(Y443*1,"0")+IFERROR(Y444*1,"0")</f>
        <v>1305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1657.9200000000003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