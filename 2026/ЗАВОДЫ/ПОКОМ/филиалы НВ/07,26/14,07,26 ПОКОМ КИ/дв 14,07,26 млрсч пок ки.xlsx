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14,07,26 ПОКОМ КИ\"/>
    </mc:Choice>
  </mc:AlternateContent>
  <xr:revisionPtr revIDLastSave="0" documentId="13_ncr:1_{6003BEEE-1032-405C-ABC1-3494587903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6" i="1"/>
  <c r="S9" i="1" l="1"/>
  <c r="AG9" i="1" s="1"/>
  <c r="S13" i="1"/>
  <c r="AG13" i="1" s="1"/>
  <c r="S14" i="1"/>
  <c r="AG14" i="1" s="1"/>
  <c r="S17" i="1"/>
  <c r="AG17" i="1" s="1"/>
  <c r="S18" i="1"/>
  <c r="AG18" i="1" s="1"/>
  <c r="S29" i="1"/>
  <c r="AG29" i="1" s="1"/>
  <c r="S30" i="1"/>
  <c r="AG30" i="1" s="1"/>
  <c r="S31" i="1"/>
  <c r="AG31" i="1" s="1"/>
  <c r="S32" i="1"/>
  <c r="AG32" i="1" s="1"/>
  <c r="S33" i="1"/>
  <c r="AG33" i="1" s="1"/>
  <c r="S35" i="1"/>
  <c r="AG35" i="1" s="1"/>
  <c r="S37" i="1"/>
  <c r="AG37" i="1" s="1"/>
  <c r="S38" i="1"/>
  <c r="AG38" i="1" s="1"/>
  <c r="S39" i="1"/>
  <c r="AG39" i="1" s="1"/>
  <c r="S40" i="1"/>
  <c r="AG40" i="1" s="1"/>
  <c r="S43" i="1"/>
  <c r="AG43" i="1" s="1"/>
  <c r="S44" i="1"/>
  <c r="AG44" i="1" s="1"/>
  <c r="S53" i="1"/>
  <c r="AG53" i="1" s="1"/>
  <c r="S54" i="1"/>
  <c r="AG54" i="1" s="1"/>
  <c r="S55" i="1"/>
  <c r="AG55" i="1" s="1"/>
  <c r="S62" i="1"/>
  <c r="AG62" i="1" s="1"/>
  <c r="S67" i="1"/>
  <c r="AG67" i="1" s="1"/>
  <c r="S70" i="1"/>
  <c r="AG70" i="1" s="1"/>
  <c r="S71" i="1"/>
  <c r="AG71" i="1" s="1"/>
  <c r="S73" i="1"/>
  <c r="AG73" i="1" s="1"/>
  <c r="S74" i="1"/>
  <c r="AG74" i="1" s="1"/>
  <c r="S75" i="1"/>
  <c r="AG75" i="1" s="1"/>
  <c r="S76" i="1"/>
  <c r="AG76" i="1" s="1"/>
  <c r="S77" i="1"/>
  <c r="AG77" i="1" s="1"/>
  <c r="S78" i="1"/>
  <c r="AG78" i="1" s="1"/>
  <c r="S79" i="1"/>
  <c r="AG79" i="1" s="1"/>
  <c r="S80" i="1"/>
  <c r="AG80" i="1" s="1"/>
  <c r="S81" i="1"/>
  <c r="AG81" i="1" s="1"/>
  <c r="S89" i="1"/>
  <c r="AG89" i="1" s="1"/>
  <c r="S90" i="1"/>
  <c r="AG90" i="1" s="1"/>
  <c r="S91" i="1"/>
  <c r="AG91" i="1" s="1"/>
  <c r="S92" i="1"/>
  <c r="AG92" i="1" s="1"/>
  <c r="S93" i="1"/>
  <c r="AG93" i="1" s="1"/>
  <c r="S100" i="1"/>
  <c r="AG100" i="1" s="1"/>
  <c r="S102" i="1"/>
  <c r="AG102" i="1" s="1"/>
  <c r="S106" i="1"/>
  <c r="AG106" i="1" s="1"/>
  <c r="S107" i="1"/>
  <c r="AG107" i="1" s="1"/>
  <c r="S109" i="1"/>
  <c r="AG109" i="1" s="1"/>
  <c r="S112" i="1"/>
  <c r="AG112" i="1" s="1"/>
  <c r="S6" i="1"/>
  <c r="AG6" i="1" s="1"/>
  <c r="Q7" i="1" l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R25" i="1" s="1"/>
  <c r="S25" i="1" s="1"/>
  <c r="AG25" i="1" s="1"/>
  <c r="Q26" i="1"/>
  <c r="R26" i="1" s="1"/>
  <c r="S26" i="1" s="1"/>
  <c r="AG26" i="1" s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R88" i="1" s="1"/>
  <c r="S88" i="1" s="1"/>
  <c r="AG88" i="1" s="1"/>
  <c r="Q89" i="1"/>
  <c r="Q90" i="1"/>
  <c r="Q91" i="1"/>
  <c r="Q92" i="1"/>
  <c r="U92" i="1" s="1"/>
  <c r="Q93" i="1"/>
  <c r="U93" i="1" s="1"/>
  <c r="Q94" i="1"/>
  <c r="Q95" i="1"/>
  <c r="U95" i="1" s="1"/>
  <c r="Q96" i="1"/>
  <c r="Q97" i="1"/>
  <c r="U97" i="1" s="1"/>
  <c r="Q98" i="1"/>
  <c r="Q99" i="1"/>
  <c r="U99" i="1" s="1"/>
  <c r="Q100" i="1"/>
  <c r="Q101" i="1"/>
  <c r="U101" i="1" s="1"/>
  <c r="Q102" i="1"/>
  <c r="Q103" i="1"/>
  <c r="U103" i="1" s="1"/>
  <c r="Q104" i="1"/>
  <c r="R104" i="1" s="1"/>
  <c r="S104" i="1" s="1"/>
  <c r="AG104" i="1" s="1"/>
  <c r="Q105" i="1"/>
  <c r="U105" i="1" s="1"/>
  <c r="Q106" i="1"/>
  <c r="Q107" i="1"/>
  <c r="U107" i="1" s="1"/>
  <c r="Q108" i="1"/>
  <c r="Q109" i="1"/>
  <c r="U109" i="1" s="1"/>
  <c r="Q110" i="1"/>
  <c r="Q111" i="1"/>
  <c r="U111" i="1" s="1"/>
  <c r="Q112" i="1"/>
  <c r="Q6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R99" i="1" l="1"/>
  <c r="S99" i="1" s="1"/>
  <c r="AG99" i="1" s="1"/>
  <c r="R101" i="1"/>
  <c r="S101" i="1" s="1"/>
  <c r="AG101" i="1" s="1"/>
  <c r="R97" i="1"/>
  <c r="S97" i="1" s="1"/>
  <c r="AG97" i="1" s="1"/>
  <c r="R105" i="1"/>
  <c r="S105" i="1" s="1"/>
  <c r="AG105" i="1" s="1"/>
  <c r="U112" i="1"/>
  <c r="U110" i="1"/>
  <c r="R110" i="1"/>
  <c r="S110" i="1" s="1"/>
  <c r="AG110" i="1" s="1"/>
  <c r="U108" i="1"/>
  <c r="R108" i="1"/>
  <c r="S108" i="1" s="1"/>
  <c r="AG108" i="1" s="1"/>
  <c r="U106" i="1"/>
  <c r="U104" i="1"/>
  <c r="U102" i="1"/>
  <c r="U100" i="1"/>
  <c r="U98" i="1"/>
  <c r="R98" i="1"/>
  <c r="S98" i="1" s="1"/>
  <c r="AG98" i="1" s="1"/>
  <c r="U96" i="1"/>
  <c r="R96" i="1"/>
  <c r="S96" i="1" s="1"/>
  <c r="AG96" i="1" s="1"/>
  <c r="U94" i="1"/>
  <c r="R94" i="1"/>
  <c r="S94" i="1" s="1"/>
  <c r="AG94" i="1" s="1"/>
  <c r="R10" i="1"/>
  <c r="S10" i="1" s="1"/>
  <c r="AG10" i="1" s="1"/>
  <c r="R22" i="1"/>
  <c r="S22" i="1" s="1"/>
  <c r="AG22" i="1" s="1"/>
  <c r="R34" i="1"/>
  <c r="S34" i="1" s="1"/>
  <c r="R42" i="1"/>
  <c r="S42" i="1" s="1"/>
  <c r="AG42" i="1" s="1"/>
  <c r="R46" i="1"/>
  <c r="R50" i="1"/>
  <c r="S50" i="1" s="1"/>
  <c r="AG50" i="1" s="1"/>
  <c r="R58" i="1"/>
  <c r="S58" i="1" s="1"/>
  <c r="AG58" i="1" s="1"/>
  <c r="R66" i="1"/>
  <c r="S66" i="1" s="1"/>
  <c r="AG66" i="1" s="1"/>
  <c r="R82" i="1"/>
  <c r="S82" i="1" s="1"/>
  <c r="AG82" i="1" s="1"/>
  <c r="R86" i="1"/>
  <c r="S86" i="1" s="1"/>
  <c r="AG86" i="1" s="1"/>
  <c r="R87" i="1"/>
  <c r="S87" i="1" s="1"/>
  <c r="AG87" i="1" s="1"/>
  <c r="R85" i="1"/>
  <c r="S85" i="1" s="1"/>
  <c r="R83" i="1"/>
  <c r="S83" i="1" s="1"/>
  <c r="R8" i="1"/>
  <c r="S8" i="1" s="1"/>
  <c r="R12" i="1"/>
  <c r="S12" i="1" s="1"/>
  <c r="AG12" i="1" s="1"/>
  <c r="R16" i="1"/>
  <c r="S16" i="1" s="1"/>
  <c r="AG16" i="1" s="1"/>
  <c r="R20" i="1"/>
  <c r="S20" i="1" s="1"/>
  <c r="AG20" i="1" s="1"/>
  <c r="R24" i="1"/>
  <c r="S24" i="1" s="1"/>
  <c r="AG24" i="1" s="1"/>
  <c r="R28" i="1"/>
  <c r="S28" i="1" s="1"/>
  <c r="R36" i="1"/>
  <c r="R48" i="1"/>
  <c r="S48" i="1" s="1"/>
  <c r="AG48" i="1" s="1"/>
  <c r="R52" i="1"/>
  <c r="S52" i="1" s="1"/>
  <c r="AG52" i="1" s="1"/>
  <c r="R56" i="1"/>
  <c r="S56" i="1" s="1"/>
  <c r="AG56" i="1" s="1"/>
  <c r="R60" i="1"/>
  <c r="S60" i="1" s="1"/>
  <c r="AG60" i="1" s="1"/>
  <c r="R64" i="1"/>
  <c r="S64" i="1" s="1"/>
  <c r="AG64" i="1" s="1"/>
  <c r="R68" i="1"/>
  <c r="S68" i="1" s="1"/>
  <c r="AG68" i="1" s="1"/>
  <c r="R72" i="1"/>
  <c r="S72" i="1" s="1"/>
  <c r="AG72" i="1" s="1"/>
  <c r="R84" i="1"/>
  <c r="S84" i="1" s="1"/>
  <c r="R95" i="1"/>
  <c r="S95" i="1" s="1"/>
  <c r="AG95" i="1" s="1"/>
  <c r="R103" i="1"/>
  <c r="S103" i="1" s="1"/>
  <c r="AG103" i="1" s="1"/>
  <c r="R111" i="1"/>
  <c r="S111" i="1" s="1"/>
  <c r="AG111" i="1" s="1"/>
  <c r="R7" i="1"/>
  <c r="S7" i="1" s="1"/>
  <c r="R11" i="1"/>
  <c r="R15" i="1"/>
  <c r="S15" i="1" s="1"/>
  <c r="R19" i="1"/>
  <c r="S19" i="1" s="1"/>
  <c r="R21" i="1"/>
  <c r="S21" i="1" s="1"/>
  <c r="AG21" i="1" s="1"/>
  <c r="R23" i="1"/>
  <c r="S23" i="1" s="1"/>
  <c r="AG23" i="1" s="1"/>
  <c r="R27" i="1"/>
  <c r="S27" i="1" s="1"/>
  <c r="AG27" i="1" s="1"/>
  <c r="R41" i="1"/>
  <c r="S41" i="1" s="1"/>
  <c r="AG41" i="1" s="1"/>
  <c r="R45" i="1"/>
  <c r="S45" i="1" s="1"/>
  <c r="AG45" i="1" s="1"/>
  <c r="R47" i="1"/>
  <c r="S47" i="1" s="1"/>
  <c r="AG47" i="1" s="1"/>
  <c r="R49" i="1"/>
  <c r="S49" i="1" s="1"/>
  <c r="AG49" i="1" s="1"/>
  <c r="R51" i="1"/>
  <c r="S51" i="1" s="1"/>
  <c r="AG51" i="1" s="1"/>
  <c r="R57" i="1"/>
  <c r="S57" i="1" s="1"/>
  <c r="AG57" i="1" s="1"/>
  <c r="R59" i="1"/>
  <c r="S59" i="1" s="1"/>
  <c r="AG59" i="1" s="1"/>
  <c r="R61" i="1"/>
  <c r="S61" i="1" s="1"/>
  <c r="AG61" i="1" s="1"/>
  <c r="R63" i="1"/>
  <c r="S63" i="1" s="1"/>
  <c r="R65" i="1"/>
  <c r="S65" i="1" s="1"/>
  <c r="AG65" i="1" s="1"/>
  <c r="R69" i="1"/>
  <c r="S69" i="1" s="1"/>
  <c r="AG69" i="1" s="1"/>
  <c r="U86" i="1"/>
  <c r="U78" i="1"/>
  <c r="U70" i="1"/>
  <c r="U62" i="1"/>
  <c r="U54" i="1"/>
  <c r="U46" i="1"/>
  <c r="U38" i="1"/>
  <c r="U30" i="1"/>
  <c r="U22" i="1"/>
  <c r="U14" i="1"/>
  <c r="Q5" i="1"/>
  <c r="U90" i="1"/>
  <c r="U82" i="1"/>
  <c r="U74" i="1"/>
  <c r="U66" i="1"/>
  <c r="U58" i="1"/>
  <c r="U50" i="1"/>
  <c r="U42" i="1"/>
  <c r="U34" i="1"/>
  <c r="U26" i="1"/>
  <c r="U18" i="1"/>
  <c r="U10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L5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AG46" i="1" l="1"/>
  <c r="S46" i="1"/>
  <c r="AG11" i="1"/>
  <c r="S11" i="1"/>
  <c r="AG36" i="1"/>
  <c r="S36" i="1"/>
  <c r="AG63" i="1"/>
  <c r="AG19" i="1"/>
  <c r="AG84" i="1"/>
  <c r="AG8" i="1"/>
  <c r="AG83" i="1"/>
  <c r="AG15" i="1"/>
  <c r="AG28" i="1"/>
  <c r="AG85" i="1"/>
  <c r="AG34" i="1"/>
  <c r="AG7" i="1"/>
  <c r="S5" i="1"/>
  <c r="R5" i="1"/>
  <c r="AG5" i="1" l="1"/>
</calcChain>
</file>

<file path=xl/sharedStrings.xml><?xml version="1.0" encoding="utf-8"?>
<sst xmlns="http://schemas.openxmlformats.org/spreadsheetml/2006/main" count="370" uniqueCount="253">
  <si>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</si>
  <si>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</si>
  <si>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</si>
  <si>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</si>
  <si>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</si>
  <si>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</si>
  <si>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</si>
  <si>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</si>
  <si>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</si>
  <si>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</si>
  <si>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</si>
  <si>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</si>
  <si>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</si>
  <si>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</si>
  <si>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</si>
  <si>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</si>
  <si>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</si>
  <si>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</si>
  <si>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</si>
  <si>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</si>
  <si>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</si>
  <si>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</si>
  <si>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12,07,</t>
  </si>
  <si>
    <t>14,07,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</si>
  <si>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</si>
  <si>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</si>
  <si>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</si>
  <si>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</si>
  <si>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</si>
  <si>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</si>
  <si>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</si>
  <si>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</si>
  <si>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</si>
  <si>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</si>
  <si>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</si>
  <si>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</si>
  <si>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</si>
  <si>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</si>
  <si>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</si>
  <si>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</si>
  <si>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</si>
  <si>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</si>
  <si>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</si>
  <si>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</si>
  <si>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</si>
  <si>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</si>
  <si>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</si>
  <si>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</si>
  <si>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</si>
  <si>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</si>
  <si>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</si>
  <si>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</si>
  <si>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</si>
  <si>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</si>
  <si>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</si>
  <si>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</si>
  <si>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</si>
  <si>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</si>
  <si>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</si>
  <si>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</si>
  <si>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</si>
  <si>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</si>
  <si>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</si>
  <si>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</si>
  <si>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</si>
  <si>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</si>
  <si>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</si>
  <si>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</si>
  <si>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</si>
  <si>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</si>
  <si>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</si>
  <si>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</si>
  <si>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</si>
  <si>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</si>
  <si>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</si>
  <si>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</si>
  <si>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</si>
  <si>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</si>
  <si>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</si>
  <si>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</si>
  <si>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</si>
  <si>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</si>
  <si>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</si>
  <si>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</si>
  <si>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</si>
  <si>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</si>
  <si>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</si>
  <si>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</si>
  <si>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</si>
  <si>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</si>
  <si>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</si>
  <si>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</si>
  <si>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</si>
  <si>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</si>
  <si>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</si>
  <si>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</si>
  <si>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</si>
  <si>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</si>
  <si>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</si>
  <si>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</si>
  <si>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</si>
  <si>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</si>
  <si>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</si>
  <si>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</si>
  <si>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</si>
  <si>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</si>
  <si>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</si>
  <si>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</si>
  <si>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</si>
  <si>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</si>
  <si>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</si>
  <si>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</si>
  <si>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</si>
  <si>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</si>
  <si>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</si>
  <si>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</si>
  <si>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</si>
  <si>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</si>
  <si>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</si>
  <si>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</si>
  <si>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</si>
  <si>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</si>
  <si>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</si>
  <si>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</si>
  <si>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</si>
  <si>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</si>
  <si>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</si>
  <si>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</si>
  <si>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</si>
  <si>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</si>
  <si>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</si>
  <si>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</si>
  <si>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</si>
  <si>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</si>
  <si>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</si>
  <si>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</si>
  <si>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</si>
  <si>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</si>
  <si>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</si>
  <si>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</si>
  <si>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</si>
  <si>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</si>
  <si>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</si>
  <si>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</si>
  <si>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</si>
  <si>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</si>
  <si>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</si>
  <si>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</si>
  <si>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</si>
  <si>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</si>
  <si>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</si>
  <si>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</si>
  <si>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</si>
  <si>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</si>
  <si>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</si>
  <si>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</si>
  <si>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</si>
  <si>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</si>
  <si>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</si>
  <si>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</si>
  <si>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</si>
  <si>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</si>
  <si>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</si>
  <si>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</si>
  <si>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</si>
  <si>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</si>
  <si>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</si>
  <si>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</si>
  <si>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</si>
  <si>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</si>
  <si>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</si>
  <si>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</si>
  <si>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</si>
  <si>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</si>
  <si>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</si>
  <si>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</si>
  <si>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</si>
  <si>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</si>
  <si>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</si>
  <si>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</si>
  <si>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</si>
  <si>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</si>
  <si>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</si>
  <si>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</si>
  <si>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</si>
  <si>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</si>
  <si>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</si>
  <si>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</si>
  <si>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</si>
  <si>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</si>
  <si>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</si>
  <si>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</si>
  <si>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</si>
  <si>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</si>
  <si>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</si>
  <si>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</si>
  <si>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</si>
  <si>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</si>
  <si>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</si>
  <si>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</si>
  <si>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</si>
  <si>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</si>
  <si>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</si>
  <si>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</si>
  <si>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</si>
  <si>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</si>
  <si>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</si>
  <si>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</si>
  <si>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</si>
  <si>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</si>
  <si>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</si>
  <si>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</si>
  <si>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</si>
  <si>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</si>
  <si>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</si>
  <si>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</si>
  <si>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</si>
  <si>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</si>
  <si>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</si>
  <si>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</si>
  <si>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</si>
  <si>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</si>
  <si>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</si>
  <si>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</si>
  <si>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</si>
  <si>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</si>
  <si>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</si>
  <si>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</si>
  <si>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</si>
  <si>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</si>
  <si>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</si>
  <si>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</si>
  <si>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</si>
  <si>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</si>
  <si>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</si>
  <si>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</si>
  <si>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</si>
  <si>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</si>
  <si>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</si>
  <si>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</si>
  <si>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</si>
  <si>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</si>
  <si>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159 шт списание (04,07,26 - инвентаризация)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</si>
  <si>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</si>
  <si>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</si>
  <si>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</si>
  <si>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</si>
  <si>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</si>
  <si>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</si>
  <si>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вместо 219</t>
  </si>
  <si>
    <t>заказ</t>
  </si>
  <si>
    <t>18,07,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</si>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</sst>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" sqref="V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" customWidth="1"/>
    <col min="32" max="32" width="39.14062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7">
        <v>-0.8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252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250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6" t="s">
        <v>251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28405.699000000004</v>
      </c>
      <c r="F5" s="4">
        <f>SUM(F6:F498)</f>
        <v>37457.550000000003</v>
      </c>
      <c r="G5" s="7"/>
      <c r="H5" s="1"/>
      <c r="I5" s="1"/>
      <c r="J5" s="1"/>
      <c r="K5" s="4">
        <f t="shared" ref="K5:S5" si="0">SUM(K6:K498)</f>
        <v>26026.038</v>
      </c>
      <c r="L5" s="4">
        <f t="shared" si="0"/>
        <v>2379.661000000001</v>
      </c>
      <c r="M5" s="4">
        <f t="shared" si="0"/>
        <v>0</v>
      </c>
      <c r="N5" s="4">
        <f t="shared" si="0"/>
        <v>0</v>
      </c>
      <c r="O5" s="4">
        <f t="shared" si="0"/>
        <v>4415.19846856</v>
      </c>
      <c r="P5" s="4">
        <f t="shared" si="0"/>
        <v>7355.6278694400035</v>
      </c>
      <c r="Q5" s="4">
        <f t="shared" si="0"/>
        <v>5681.1398000000008</v>
      </c>
      <c r="R5" s="4">
        <f t="shared" si="0"/>
        <v>16545.391613999993</v>
      </c>
      <c r="S5" s="4">
        <f t="shared" si="0"/>
        <v>14044.124733999995</v>
      </c>
      <c r="T5" s="1"/>
      <c r="U5" s="1"/>
      <c r="V5" s="4">
        <f t="shared" ref="V5:AE5" si="1">SUM(V6:V498)</f>
        <v>4551.0276000000013</v>
      </c>
      <c r="W5" s="4">
        <f t="shared" si="1"/>
        <v>4055.5027999999998</v>
      </c>
      <c r="X5" s="4">
        <f t="shared" si="1"/>
        <v>4899.2521999999981</v>
      </c>
      <c r="Y5" s="4">
        <f t="shared" si="1"/>
        <v>4551.299799999997</v>
      </c>
      <c r="Z5" s="4">
        <f t="shared" si="1"/>
        <v>4262.4295999999977</v>
      </c>
      <c r="AA5" s="4">
        <f t="shared" si="1"/>
        <v>4449.9754000000012</v>
      </c>
      <c r="AB5" s="4">
        <f t="shared" si="1"/>
        <v>4569.6715999999988</v>
      </c>
      <c r="AC5" s="4">
        <f t="shared" si="1"/>
        <v>3542.7732000000005</v>
      </c>
      <c r="AD5" s="4">
        <f t="shared" si="1"/>
        <v>4222.9649999999992</v>
      </c>
      <c r="AE5" s="4">
        <f t="shared" si="1"/>
        <v>4229.6840000000011</v>
      </c>
      <c r="AF5" s="1"/>
      <c r="AG5" s="4">
        <f>SUM(AG6:AG498)</f>
        <v>11437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646.21900000000005</v>
      </c>
      <c r="D6" s="1">
        <v>612.67899999999997</v>
      </c>
      <c r="E6" s="1">
        <v>411.47</v>
      </c>
      <c r="F6" s="1">
        <v>896.81</v>
      </c>
      <c r="G6" s="7">
        <v>1</v>
      </c>
      <c r="H6" s="1">
        <v>50</v>
      </c>
      <c r="I6" s="1" t="s">
        <v>36</v>
      </c>
      <c r="J6" s="1"/>
      <c r="K6" s="1">
        <v>319.45</v>
      </c>
      <c r="L6" s="1">
        <f t="shared" ref="L6:L37" si="2">E6-K6</f>
        <v>92.020000000000039</v>
      </c>
      <c r="M6" s="1"/>
      <c r="N6" s="1"/>
      <c r="O6" s="1"/>
      <c r="P6" s="1"/>
      <c r="Q6" s="1">
        <f>E6/5</f>
        <v>82.294000000000011</v>
      </c>
      <c r="R6" s="5"/>
      <c r="S6" s="5">
        <f>R6</f>
        <v>0</v>
      </c>
      <c r="T6" s="1">
        <f>(F6+O6+P6+S6)/Q6</f>
        <v>10.897635307555834</v>
      </c>
      <c r="U6" s="1">
        <f>(F6+O6+P6)/Q6</f>
        <v>10.897635307555834</v>
      </c>
      <c r="V6" s="1">
        <v>60.082000000000008</v>
      </c>
      <c r="W6" s="1">
        <v>55.816999999999993</v>
      </c>
      <c r="X6" s="1">
        <v>53.811199999999999</v>
      </c>
      <c r="Y6" s="1">
        <v>54.4542</v>
      </c>
      <c r="Z6" s="1">
        <v>78.643600000000006</v>
      </c>
      <c r="AA6" s="1">
        <v>81.141999999999996</v>
      </c>
      <c r="AB6" s="1">
        <v>56.725999999999999</v>
      </c>
      <c r="AC6" s="1">
        <v>56.728200000000001</v>
      </c>
      <c r="AD6" s="1">
        <v>58.592599999999997</v>
      </c>
      <c r="AE6" s="1">
        <v>59.230600000000003</v>
      </c>
      <c r="AF6" s="1"/>
      <c r="AG6" s="1">
        <f>ROUND(G6*S6,0)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434.44499999999999</v>
      </c>
      <c r="D7" s="1">
        <v>1556.6669999999999</v>
      </c>
      <c r="E7" s="1">
        <v>894.24099999999999</v>
      </c>
      <c r="F7" s="1">
        <v>1189.3979999999999</v>
      </c>
      <c r="G7" s="7">
        <v>1</v>
      </c>
      <c r="H7" s="1">
        <v>45</v>
      </c>
      <c r="I7" s="1" t="s">
        <v>38</v>
      </c>
      <c r="J7" s="1"/>
      <c r="K7" s="1">
        <v>702.3</v>
      </c>
      <c r="L7" s="1">
        <f t="shared" si="2"/>
        <v>191.94100000000003</v>
      </c>
      <c r="M7" s="1"/>
      <c r="N7" s="1"/>
      <c r="O7" s="1"/>
      <c r="P7" s="1">
        <v>302.76372000000049</v>
      </c>
      <c r="Q7" s="1">
        <f t="shared" ref="Q7:Q69" si="3">E7/5</f>
        <v>178.84819999999999</v>
      </c>
      <c r="R7" s="5">
        <f t="shared" ref="R7:R69" si="4">11*Q7-P7-O7-F7</f>
        <v>475.16847999999959</v>
      </c>
      <c r="S7" s="5">
        <f>R7+$S$1*Q7</f>
        <v>332.08991999999955</v>
      </c>
      <c r="T7" s="1">
        <f t="shared" ref="T7:T70" si="5">(F7+O7+P7+S7)/Q7</f>
        <v>10.200000000000001</v>
      </c>
      <c r="U7" s="1">
        <f t="shared" ref="U7:U69" si="6">(F7+O7+P7)/Q7</f>
        <v>8.3431743791662463</v>
      </c>
      <c r="V7" s="1">
        <v>149.67179999999999</v>
      </c>
      <c r="W7" s="1">
        <v>148.21080000000001</v>
      </c>
      <c r="X7" s="1">
        <v>187.27260000000001</v>
      </c>
      <c r="Y7" s="1">
        <v>139.0446</v>
      </c>
      <c r="Z7" s="1">
        <v>77.631399999999999</v>
      </c>
      <c r="AA7" s="1">
        <v>85.131200000000007</v>
      </c>
      <c r="AB7" s="1">
        <v>120.83459999999999</v>
      </c>
      <c r="AC7" s="1">
        <v>53.919400000000003</v>
      </c>
      <c r="AD7" s="1">
        <v>103.55159999999999</v>
      </c>
      <c r="AE7" s="1">
        <v>110.9192</v>
      </c>
      <c r="AF7" s="1"/>
      <c r="AG7" s="1">
        <f t="shared" ref="AG7:AG70" si="7">ROUND(G7*S7,0)</f>
        <v>332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35</v>
      </c>
      <c r="C8" s="1">
        <v>426.98200000000003</v>
      </c>
      <c r="D8" s="1">
        <v>1507.203</v>
      </c>
      <c r="E8" s="1">
        <v>948.54899999999998</v>
      </c>
      <c r="F8" s="1">
        <v>1122.5119999999999</v>
      </c>
      <c r="G8" s="7">
        <v>1</v>
      </c>
      <c r="H8" s="1">
        <v>45</v>
      </c>
      <c r="I8" s="1" t="s">
        <v>40</v>
      </c>
      <c r="J8" s="1"/>
      <c r="K8" s="1">
        <v>763.95</v>
      </c>
      <c r="L8" s="1">
        <f t="shared" si="2"/>
        <v>184.59899999999993</v>
      </c>
      <c r="M8" s="1"/>
      <c r="N8" s="1"/>
      <c r="O8" s="1"/>
      <c r="P8" s="1">
        <v>450.35723999999999</v>
      </c>
      <c r="Q8" s="1">
        <f t="shared" si="3"/>
        <v>189.7098</v>
      </c>
      <c r="R8" s="5">
        <f t="shared" si="4"/>
        <v>513.93856000000005</v>
      </c>
      <c r="S8" s="5">
        <f>R8+$S$1*Q8</f>
        <v>362.17072000000007</v>
      </c>
      <c r="T8" s="1">
        <f t="shared" si="5"/>
        <v>10.200000000000001</v>
      </c>
      <c r="U8" s="1">
        <f t="shared" si="6"/>
        <v>8.2909224510278321</v>
      </c>
      <c r="V8" s="1">
        <v>156.5736</v>
      </c>
      <c r="W8" s="1">
        <v>142.0624</v>
      </c>
      <c r="X8" s="1">
        <v>183.81639999999999</v>
      </c>
      <c r="Y8" s="1">
        <v>143.90119999999999</v>
      </c>
      <c r="Z8" s="1">
        <v>28.558599999999998</v>
      </c>
      <c r="AA8" s="1">
        <v>19.2348</v>
      </c>
      <c r="AB8" s="1">
        <v>136.8586</v>
      </c>
      <c r="AC8" s="1">
        <v>61.915200000000013</v>
      </c>
      <c r="AD8" s="1">
        <v>120.94499999999999</v>
      </c>
      <c r="AE8" s="1">
        <v>110.595</v>
      </c>
      <c r="AF8" s="1"/>
      <c r="AG8" s="1">
        <f t="shared" si="7"/>
        <v>362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2" t="s">
        <v>41</v>
      </c>
      <c r="B9" s="1" t="s">
        <v>42</v>
      </c>
      <c r="C9" s="1"/>
      <c r="D9" s="1"/>
      <c r="E9" s="1"/>
      <c r="F9" s="1"/>
      <c r="G9" s="7">
        <v>0.4</v>
      </c>
      <c r="H9" s="1">
        <v>50</v>
      </c>
      <c r="I9" s="1"/>
      <c r="J9" s="1"/>
      <c r="K9" s="1"/>
      <c r="L9" s="1">
        <f t="shared" si="2"/>
        <v>0</v>
      </c>
      <c r="M9" s="1"/>
      <c r="N9" s="1"/>
      <c r="O9" s="1">
        <v>16</v>
      </c>
      <c r="P9" s="1"/>
      <c r="Q9" s="1">
        <f t="shared" si="3"/>
        <v>0</v>
      </c>
      <c r="R9" s="5"/>
      <c r="S9" s="5">
        <f t="shared" ref="S9:S70" si="8">R9</f>
        <v>0</v>
      </c>
      <c r="T9" s="1" t="e">
        <f t="shared" si="5"/>
        <v>#DIV/0!</v>
      </c>
      <c r="U9" s="1" t="e">
        <f t="shared" si="6"/>
        <v>#DIV/0!</v>
      </c>
      <c r="V9" s="1">
        <v>0</v>
      </c>
      <c r="W9" s="1">
        <v>0.4</v>
      </c>
      <c r="X9" s="1">
        <v>1.4</v>
      </c>
      <c r="Y9" s="1">
        <v>2</v>
      </c>
      <c r="Z9" s="1">
        <v>2.2000000000000002</v>
      </c>
      <c r="AA9" s="1">
        <v>1.2</v>
      </c>
      <c r="AB9" s="1">
        <v>1</v>
      </c>
      <c r="AC9" s="1">
        <v>0</v>
      </c>
      <c r="AD9" s="1">
        <v>0</v>
      </c>
      <c r="AE9" s="1">
        <v>0</v>
      </c>
      <c r="AF9" s="1" t="s">
        <v>43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255</v>
      </c>
      <c r="D10" s="1">
        <v>559</v>
      </c>
      <c r="E10" s="1">
        <v>322</v>
      </c>
      <c r="F10" s="1">
        <v>462</v>
      </c>
      <c r="G10" s="7">
        <v>0.45</v>
      </c>
      <c r="H10" s="1">
        <v>45</v>
      </c>
      <c r="I10" s="1" t="s">
        <v>45</v>
      </c>
      <c r="J10" s="1"/>
      <c r="K10" s="1">
        <v>344</v>
      </c>
      <c r="L10" s="1">
        <f t="shared" si="2"/>
        <v>-22</v>
      </c>
      <c r="M10" s="1"/>
      <c r="N10" s="1"/>
      <c r="O10" s="1"/>
      <c r="P10" s="1">
        <v>32.400000000000027</v>
      </c>
      <c r="Q10" s="1">
        <f t="shared" si="3"/>
        <v>64.400000000000006</v>
      </c>
      <c r="R10" s="5">
        <f t="shared" si="4"/>
        <v>214.00000000000011</v>
      </c>
      <c r="S10" s="5">
        <f t="shared" si="8"/>
        <v>214.00000000000011</v>
      </c>
      <c r="T10" s="1">
        <f t="shared" si="5"/>
        <v>11</v>
      </c>
      <c r="U10" s="1">
        <f t="shared" si="6"/>
        <v>7.6770186335403725</v>
      </c>
      <c r="V10" s="1">
        <v>51.8</v>
      </c>
      <c r="W10" s="1">
        <v>54</v>
      </c>
      <c r="X10" s="1">
        <v>66.599999999999994</v>
      </c>
      <c r="Y10" s="1">
        <v>69</v>
      </c>
      <c r="Z10" s="1">
        <v>72.599999999999994</v>
      </c>
      <c r="AA10" s="1">
        <v>51</v>
      </c>
      <c r="AB10" s="1">
        <v>59.6</v>
      </c>
      <c r="AC10" s="1">
        <v>-0.4</v>
      </c>
      <c r="AD10" s="1">
        <v>12.8</v>
      </c>
      <c r="AE10" s="1">
        <v>48</v>
      </c>
      <c r="AF10" s="1"/>
      <c r="AG10" s="1">
        <f t="shared" si="7"/>
        <v>96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42</v>
      </c>
      <c r="C11" s="1">
        <v>846</v>
      </c>
      <c r="D11" s="1">
        <v>66</v>
      </c>
      <c r="E11" s="1">
        <v>453</v>
      </c>
      <c r="F11" s="1">
        <v>441</v>
      </c>
      <c r="G11" s="7">
        <v>0.45</v>
      </c>
      <c r="H11" s="1">
        <v>45</v>
      </c>
      <c r="I11" s="1" t="s">
        <v>47</v>
      </c>
      <c r="J11" s="1"/>
      <c r="K11" s="1">
        <v>458</v>
      </c>
      <c r="L11" s="1">
        <f t="shared" si="2"/>
        <v>-5</v>
      </c>
      <c r="M11" s="1"/>
      <c r="N11" s="1"/>
      <c r="O11" s="1">
        <v>99.940000000000055</v>
      </c>
      <c r="P11" s="1">
        <v>113.86</v>
      </c>
      <c r="Q11" s="1">
        <f t="shared" si="3"/>
        <v>90.6</v>
      </c>
      <c r="R11" s="5">
        <f t="shared" si="4"/>
        <v>341.79999999999984</v>
      </c>
      <c r="S11" s="5">
        <f>R11+$S$1*Q11</f>
        <v>269.31999999999982</v>
      </c>
      <c r="T11" s="1">
        <f t="shared" si="5"/>
        <v>10.199999999999999</v>
      </c>
      <c r="U11" s="1">
        <f t="shared" si="6"/>
        <v>7.227373068432672</v>
      </c>
      <c r="V11" s="1">
        <v>71.400000000000006</v>
      </c>
      <c r="W11" s="1">
        <v>71.8</v>
      </c>
      <c r="X11" s="1">
        <v>78</v>
      </c>
      <c r="Y11" s="1">
        <v>73.2</v>
      </c>
      <c r="Z11" s="1">
        <v>69</v>
      </c>
      <c r="AA11" s="1">
        <v>81.8</v>
      </c>
      <c r="AB11" s="1">
        <v>64.8</v>
      </c>
      <c r="AC11" s="1">
        <v>39.799999999999997</v>
      </c>
      <c r="AD11" s="1">
        <v>75.599999999999994</v>
      </c>
      <c r="AE11" s="1">
        <v>77</v>
      </c>
      <c r="AF11" s="1"/>
      <c r="AG11" s="1">
        <f t="shared" si="7"/>
        <v>121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42</v>
      </c>
      <c r="C12" s="1">
        <v>115</v>
      </c>
      <c r="D12" s="1">
        <v>127</v>
      </c>
      <c r="E12" s="1">
        <v>128</v>
      </c>
      <c r="F12" s="1">
        <v>115</v>
      </c>
      <c r="G12" s="7">
        <v>0.3</v>
      </c>
      <c r="H12" s="1">
        <v>40</v>
      </c>
      <c r="I12" s="1" t="s">
        <v>49</v>
      </c>
      <c r="J12" s="1"/>
      <c r="K12" s="1">
        <v>123</v>
      </c>
      <c r="L12" s="1">
        <f t="shared" si="2"/>
        <v>5</v>
      </c>
      <c r="M12" s="1"/>
      <c r="N12" s="1"/>
      <c r="O12" s="1"/>
      <c r="P12" s="1">
        <v>112.8</v>
      </c>
      <c r="Q12" s="1">
        <f t="shared" si="3"/>
        <v>25.6</v>
      </c>
      <c r="R12" s="5">
        <f t="shared" si="4"/>
        <v>53.800000000000011</v>
      </c>
      <c r="S12" s="5">
        <f t="shared" si="8"/>
        <v>53.800000000000011</v>
      </c>
      <c r="T12" s="1">
        <f t="shared" si="5"/>
        <v>11</v>
      </c>
      <c r="U12" s="1">
        <f t="shared" si="6"/>
        <v>8.8984375</v>
      </c>
      <c r="V12" s="1">
        <v>22.4</v>
      </c>
      <c r="W12" s="1">
        <v>14</v>
      </c>
      <c r="X12" s="1">
        <v>18</v>
      </c>
      <c r="Y12" s="1">
        <v>14.4</v>
      </c>
      <c r="Z12" s="1">
        <v>9.4</v>
      </c>
      <c r="AA12" s="1">
        <v>11.6</v>
      </c>
      <c r="AB12" s="1">
        <v>16</v>
      </c>
      <c r="AC12" s="1">
        <v>8.6</v>
      </c>
      <c r="AD12" s="1">
        <v>17.2</v>
      </c>
      <c r="AE12" s="1">
        <v>11.4</v>
      </c>
      <c r="AF12" s="1"/>
      <c r="AG12" s="1">
        <f t="shared" si="7"/>
        <v>16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50</v>
      </c>
      <c r="B13" s="1" t="s">
        <v>42</v>
      </c>
      <c r="C13" s="1">
        <v>104</v>
      </c>
      <c r="D13" s="1">
        <v>300</v>
      </c>
      <c r="E13" s="1">
        <v>103</v>
      </c>
      <c r="F13" s="1">
        <v>338</v>
      </c>
      <c r="G13" s="7">
        <v>0.17</v>
      </c>
      <c r="H13" s="1">
        <v>180</v>
      </c>
      <c r="I13" s="1" t="s">
        <v>51</v>
      </c>
      <c r="J13" s="1"/>
      <c r="K13" s="1">
        <v>66</v>
      </c>
      <c r="L13" s="1">
        <f t="shared" si="2"/>
        <v>37</v>
      </c>
      <c r="M13" s="1"/>
      <c r="N13" s="1"/>
      <c r="O13" s="1"/>
      <c r="P13" s="1"/>
      <c r="Q13" s="1">
        <f t="shared" si="3"/>
        <v>20.6</v>
      </c>
      <c r="R13" s="5"/>
      <c r="S13" s="5">
        <f t="shared" si="8"/>
        <v>0</v>
      </c>
      <c r="T13" s="1">
        <f t="shared" si="5"/>
        <v>16.407766990291261</v>
      </c>
      <c r="U13" s="1">
        <f t="shared" si="6"/>
        <v>16.407766990291261</v>
      </c>
      <c r="V13" s="1">
        <v>21.8</v>
      </c>
      <c r="W13" s="1">
        <v>18.2</v>
      </c>
      <c r="X13" s="1">
        <v>30.6</v>
      </c>
      <c r="Y13" s="1">
        <v>32.799999999999997</v>
      </c>
      <c r="Z13" s="1">
        <v>24.6</v>
      </c>
      <c r="AA13" s="1">
        <v>22.6</v>
      </c>
      <c r="AB13" s="1">
        <v>25</v>
      </c>
      <c r="AC13" s="1">
        <v>14.8</v>
      </c>
      <c r="AD13" s="1">
        <v>12</v>
      </c>
      <c r="AE13" s="1">
        <v>10.4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52</v>
      </c>
      <c r="B14" s="1" t="s">
        <v>35</v>
      </c>
      <c r="C14" s="1">
        <v>21.164999999999999</v>
      </c>
      <c r="D14" s="1">
        <v>507.149</v>
      </c>
      <c r="E14" s="1">
        <v>331.11099999999999</v>
      </c>
      <c r="F14" s="1">
        <v>290.08600000000001</v>
      </c>
      <c r="G14" s="7">
        <v>1</v>
      </c>
      <c r="H14" s="1">
        <v>70</v>
      </c>
      <c r="I14" s="1" t="s">
        <v>53</v>
      </c>
      <c r="J14" s="1"/>
      <c r="K14" s="1">
        <v>272.39999999999998</v>
      </c>
      <c r="L14" s="1">
        <f t="shared" si="2"/>
        <v>58.711000000000013</v>
      </c>
      <c r="M14" s="1"/>
      <c r="N14" s="1"/>
      <c r="O14" s="1">
        <v>626.31640000000016</v>
      </c>
      <c r="P14" s="1">
        <v>66.298200000000065</v>
      </c>
      <c r="Q14" s="1">
        <f t="shared" si="3"/>
        <v>66.222200000000001</v>
      </c>
      <c r="R14" s="5"/>
      <c r="S14" s="5">
        <f t="shared" si="8"/>
        <v>0</v>
      </c>
      <c r="T14" s="1">
        <f t="shared" si="5"/>
        <v>14.83944357028308</v>
      </c>
      <c r="U14" s="1">
        <f t="shared" si="6"/>
        <v>14.83944357028308</v>
      </c>
      <c r="V14" s="1">
        <v>84.409000000000006</v>
      </c>
      <c r="W14" s="1">
        <v>85.927999999999997</v>
      </c>
      <c r="X14" s="1">
        <v>52.177999999999997</v>
      </c>
      <c r="Y14" s="1">
        <v>15.4452</v>
      </c>
      <c r="Z14" s="1">
        <v>54.483400000000003</v>
      </c>
      <c r="AA14" s="1">
        <v>91.662400000000005</v>
      </c>
      <c r="AB14" s="1">
        <v>84.409599999999998</v>
      </c>
      <c r="AC14" s="1">
        <v>76.513199999999998</v>
      </c>
      <c r="AD14" s="1">
        <v>84.661199999999994</v>
      </c>
      <c r="AE14" s="1">
        <v>73.17</v>
      </c>
      <c r="AF14" s="1"/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54</v>
      </c>
      <c r="B15" s="1" t="s">
        <v>35</v>
      </c>
      <c r="C15" s="1">
        <v>645.33699999999999</v>
      </c>
      <c r="D15" s="1">
        <v>2817.9459999999999</v>
      </c>
      <c r="E15" s="1">
        <v>1984.82</v>
      </c>
      <c r="F15" s="1">
        <v>1593.7380000000001</v>
      </c>
      <c r="G15" s="7">
        <v>1</v>
      </c>
      <c r="H15" s="1">
        <v>50</v>
      </c>
      <c r="I15" s="1" t="s">
        <v>55</v>
      </c>
      <c r="J15" s="1"/>
      <c r="K15" s="1">
        <v>1968.65</v>
      </c>
      <c r="L15" s="1">
        <f t="shared" si="2"/>
        <v>16.169999999999845</v>
      </c>
      <c r="M15" s="1"/>
      <c r="N15" s="1"/>
      <c r="O15" s="1">
        <v>1211.9890399999999</v>
      </c>
      <c r="P15" s="1">
        <v>937.00008000000071</v>
      </c>
      <c r="Q15" s="1">
        <f t="shared" si="3"/>
        <v>396.964</v>
      </c>
      <c r="R15" s="5">
        <f t="shared" si="4"/>
        <v>623.87687999999957</v>
      </c>
      <c r="S15" s="5">
        <f>R15+$S$1*Q15</f>
        <v>306.30567999999954</v>
      </c>
      <c r="T15" s="1">
        <f t="shared" si="5"/>
        <v>10.199999999999999</v>
      </c>
      <c r="U15" s="1">
        <f t="shared" si="6"/>
        <v>9.4283791981136833</v>
      </c>
      <c r="V15" s="1">
        <v>364.63580000000002</v>
      </c>
      <c r="W15" s="1">
        <v>341.27480000000003</v>
      </c>
      <c r="X15" s="1">
        <v>267.3186</v>
      </c>
      <c r="Y15" s="1">
        <v>211.0538</v>
      </c>
      <c r="Z15" s="1">
        <v>419.64319999999998</v>
      </c>
      <c r="AA15" s="1">
        <v>440.71100000000001</v>
      </c>
      <c r="AB15" s="1">
        <v>273.9434</v>
      </c>
      <c r="AC15" s="1">
        <v>349.3664</v>
      </c>
      <c r="AD15" s="1">
        <v>403.61200000000002</v>
      </c>
      <c r="AE15" s="1">
        <v>369.06459999999998</v>
      </c>
      <c r="AF15" s="1"/>
      <c r="AG15" s="1">
        <f t="shared" si="7"/>
        <v>306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56</v>
      </c>
      <c r="B16" s="1" t="s">
        <v>35</v>
      </c>
      <c r="C16" s="1">
        <v>65.7</v>
      </c>
      <c r="D16" s="1">
        <v>177.20699999999999</v>
      </c>
      <c r="E16" s="1">
        <v>92.078000000000003</v>
      </c>
      <c r="F16" s="1">
        <v>132.18899999999999</v>
      </c>
      <c r="G16" s="7">
        <v>1</v>
      </c>
      <c r="H16" s="1">
        <v>60</v>
      </c>
      <c r="I16" s="1" t="s">
        <v>57</v>
      </c>
      <c r="J16" s="1"/>
      <c r="K16" s="1">
        <v>82</v>
      </c>
      <c r="L16" s="1">
        <f t="shared" si="2"/>
        <v>10.078000000000003</v>
      </c>
      <c r="M16" s="1"/>
      <c r="N16" s="1"/>
      <c r="O16" s="1"/>
      <c r="P16" s="1"/>
      <c r="Q16" s="1">
        <f t="shared" si="3"/>
        <v>18.415600000000001</v>
      </c>
      <c r="R16" s="5">
        <f t="shared" si="4"/>
        <v>70.382600000000025</v>
      </c>
      <c r="S16" s="5">
        <f t="shared" si="8"/>
        <v>70.382600000000025</v>
      </c>
      <c r="T16" s="1">
        <f t="shared" si="5"/>
        <v>11</v>
      </c>
      <c r="U16" s="1">
        <f t="shared" si="6"/>
        <v>7.1780990030191782</v>
      </c>
      <c r="V16" s="1">
        <v>10.8032</v>
      </c>
      <c r="W16" s="1">
        <v>8.2970000000000006</v>
      </c>
      <c r="X16" s="1">
        <v>16.942399999999999</v>
      </c>
      <c r="Y16" s="1">
        <v>19.0762</v>
      </c>
      <c r="Z16" s="1">
        <v>18.809999999999999</v>
      </c>
      <c r="AA16" s="1">
        <v>20.7744</v>
      </c>
      <c r="AB16" s="1">
        <v>21.4712</v>
      </c>
      <c r="AC16" s="1">
        <v>20.5778</v>
      </c>
      <c r="AD16" s="1">
        <v>18.390999999999998</v>
      </c>
      <c r="AE16" s="1">
        <v>21.386600000000001</v>
      </c>
      <c r="AF16" s="1"/>
      <c r="AG16" s="1">
        <f t="shared" si="7"/>
        <v>70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58</v>
      </c>
      <c r="B17" s="1" t="s">
        <v>35</v>
      </c>
      <c r="C17" s="1">
        <v>23.716999999999999</v>
      </c>
      <c r="D17" s="1">
        <v>163.53299999999999</v>
      </c>
      <c r="E17" s="1">
        <v>33.628</v>
      </c>
      <c r="F17" s="1">
        <v>106.929</v>
      </c>
      <c r="G17" s="7">
        <v>1</v>
      </c>
      <c r="H17" s="1">
        <v>60</v>
      </c>
      <c r="I17" s="1" t="s">
        <v>59</v>
      </c>
      <c r="J17" s="1"/>
      <c r="K17" s="1">
        <v>27.3</v>
      </c>
      <c r="L17" s="1">
        <f t="shared" si="2"/>
        <v>6.3279999999999994</v>
      </c>
      <c r="M17" s="1"/>
      <c r="N17" s="1"/>
      <c r="O17" s="1"/>
      <c r="P17" s="1"/>
      <c r="Q17" s="1">
        <f t="shared" si="3"/>
        <v>6.7256</v>
      </c>
      <c r="R17" s="5"/>
      <c r="S17" s="5">
        <f t="shared" si="8"/>
        <v>0</v>
      </c>
      <c r="T17" s="1">
        <f t="shared" si="5"/>
        <v>15.89880456762222</v>
      </c>
      <c r="U17" s="1">
        <f t="shared" si="6"/>
        <v>15.89880456762222</v>
      </c>
      <c r="V17" s="1">
        <v>4.0734000000000004</v>
      </c>
      <c r="W17" s="1">
        <v>4.6054000000000004</v>
      </c>
      <c r="X17" s="1">
        <v>12.081200000000001</v>
      </c>
      <c r="Y17" s="1">
        <v>12.433199999999999</v>
      </c>
      <c r="Z17" s="1">
        <v>2.8418000000000001</v>
      </c>
      <c r="AA17" s="1">
        <v>0</v>
      </c>
      <c r="AB17" s="1">
        <v>7.9376000000000007</v>
      </c>
      <c r="AC17" s="1">
        <v>1.6040000000000001</v>
      </c>
      <c r="AD17" s="1">
        <v>3.9266000000000001</v>
      </c>
      <c r="AE17" s="1">
        <v>2.3201999999999998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60</v>
      </c>
      <c r="B18" s="1" t="s">
        <v>35</v>
      </c>
      <c r="C18" s="1">
        <v>18.521000000000001</v>
      </c>
      <c r="D18" s="1">
        <v>73.992000000000004</v>
      </c>
      <c r="E18" s="1">
        <v>29.331</v>
      </c>
      <c r="F18" s="1">
        <v>61.563000000000002</v>
      </c>
      <c r="G18" s="7">
        <v>1</v>
      </c>
      <c r="H18" s="1">
        <v>180</v>
      </c>
      <c r="I18" s="1" t="s">
        <v>61</v>
      </c>
      <c r="J18" s="1"/>
      <c r="K18" s="1">
        <v>28.42</v>
      </c>
      <c r="L18" s="1">
        <f t="shared" si="2"/>
        <v>0.91099999999999781</v>
      </c>
      <c r="M18" s="1"/>
      <c r="N18" s="1"/>
      <c r="O18" s="1"/>
      <c r="P18" s="1"/>
      <c r="Q18" s="1">
        <f t="shared" si="3"/>
        <v>5.8662000000000001</v>
      </c>
      <c r="R18" s="5">
        <v>4</v>
      </c>
      <c r="S18" s="5">
        <f t="shared" si="8"/>
        <v>4</v>
      </c>
      <c r="T18" s="1">
        <f t="shared" si="5"/>
        <v>11.176400395486004</v>
      </c>
      <c r="U18" s="1">
        <f t="shared" si="6"/>
        <v>10.494527973816099</v>
      </c>
      <c r="V18" s="1">
        <v>3.2307999999999999</v>
      </c>
      <c r="W18" s="1">
        <v>3.8264</v>
      </c>
      <c r="X18" s="1">
        <v>6.4126000000000003</v>
      </c>
      <c r="Y18" s="1">
        <v>4.5920000000000014</v>
      </c>
      <c r="Z18" s="1">
        <v>0.43180000000000002</v>
      </c>
      <c r="AA18" s="1">
        <v>1.2968</v>
      </c>
      <c r="AB18" s="1">
        <v>3.1156000000000001</v>
      </c>
      <c r="AC18" s="1">
        <v>1.7052</v>
      </c>
      <c r="AD18" s="1">
        <v>3.2547999999999999</v>
      </c>
      <c r="AE18" s="1">
        <v>3.6768000000000001</v>
      </c>
      <c r="AF18" s="1"/>
      <c r="AG18" s="1">
        <f t="shared" si="7"/>
        <v>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62</v>
      </c>
      <c r="B19" s="1" t="s">
        <v>35</v>
      </c>
      <c r="C19" s="1">
        <v>414.33</v>
      </c>
      <c r="D19" s="1">
        <v>822.29</v>
      </c>
      <c r="E19" s="1">
        <v>642.33000000000004</v>
      </c>
      <c r="F19" s="1">
        <v>663.524</v>
      </c>
      <c r="G19" s="7">
        <v>1</v>
      </c>
      <c r="H19" s="1">
        <v>60</v>
      </c>
      <c r="I19" s="1" t="s">
        <v>63</v>
      </c>
      <c r="J19" s="1"/>
      <c r="K19" s="1">
        <v>506.63</v>
      </c>
      <c r="L19" s="1">
        <f t="shared" si="2"/>
        <v>135.70000000000005</v>
      </c>
      <c r="M19" s="1"/>
      <c r="N19" s="1"/>
      <c r="O19" s="1"/>
      <c r="P19" s="1">
        <v>171.70972000000009</v>
      </c>
      <c r="Q19" s="1">
        <f t="shared" si="3"/>
        <v>128.46600000000001</v>
      </c>
      <c r="R19" s="5">
        <f t="shared" si="4"/>
        <v>577.89228000000014</v>
      </c>
      <c r="S19" s="5">
        <f>R19+$S$1*Q19</f>
        <v>475.11948000000012</v>
      </c>
      <c r="T19" s="1">
        <f t="shared" si="5"/>
        <v>10.200000000000001</v>
      </c>
      <c r="U19" s="1">
        <f t="shared" si="6"/>
        <v>6.5015935733968524</v>
      </c>
      <c r="V19" s="1">
        <v>94.878799999999998</v>
      </c>
      <c r="W19" s="1">
        <v>92.316800000000001</v>
      </c>
      <c r="X19" s="1">
        <v>112.2612</v>
      </c>
      <c r="Y19" s="1">
        <v>109.2184</v>
      </c>
      <c r="Z19" s="1">
        <v>102.24079999999999</v>
      </c>
      <c r="AA19" s="1">
        <v>114.7664</v>
      </c>
      <c r="AB19" s="1">
        <v>94.618399999999994</v>
      </c>
      <c r="AC19" s="1">
        <v>100.66679999999999</v>
      </c>
      <c r="AD19" s="1">
        <v>104.90519999999999</v>
      </c>
      <c r="AE19" s="1">
        <v>78.773400000000009</v>
      </c>
      <c r="AF19" s="1"/>
      <c r="AG19" s="1">
        <f t="shared" si="7"/>
        <v>475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64</v>
      </c>
      <c r="B20" s="1" t="s">
        <v>35</v>
      </c>
      <c r="C20" s="1">
        <v>11.864000000000001</v>
      </c>
      <c r="D20" s="1">
        <v>178.798</v>
      </c>
      <c r="E20" s="1">
        <v>126.027</v>
      </c>
      <c r="F20" s="1">
        <v>58.607999999999997</v>
      </c>
      <c r="G20" s="7">
        <v>1</v>
      </c>
      <c r="H20" s="1">
        <v>70</v>
      </c>
      <c r="I20" s="1" t="s">
        <v>65</v>
      </c>
      <c r="J20" s="1"/>
      <c r="K20" s="1">
        <v>128</v>
      </c>
      <c r="L20" s="1">
        <f t="shared" si="2"/>
        <v>-1.972999999999999</v>
      </c>
      <c r="M20" s="1"/>
      <c r="N20" s="1"/>
      <c r="O20" s="1"/>
      <c r="P20" s="1">
        <v>86.773599999999988</v>
      </c>
      <c r="Q20" s="1">
        <f t="shared" si="3"/>
        <v>25.205400000000001</v>
      </c>
      <c r="R20" s="5">
        <f t="shared" si="4"/>
        <v>131.87780000000004</v>
      </c>
      <c r="S20" s="5">
        <f t="shared" si="8"/>
        <v>131.87780000000004</v>
      </c>
      <c r="T20" s="1">
        <f t="shared" si="5"/>
        <v>11</v>
      </c>
      <c r="U20" s="1">
        <f t="shared" si="6"/>
        <v>5.7678751378672821</v>
      </c>
      <c r="V20" s="1">
        <v>18.808800000000002</v>
      </c>
      <c r="W20" s="1">
        <v>8.6364000000000001</v>
      </c>
      <c r="X20" s="1">
        <v>5.4560000000000004</v>
      </c>
      <c r="Y20" s="1">
        <v>17.258400000000002</v>
      </c>
      <c r="Z20" s="1">
        <v>23.96</v>
      </c>
      <c r="AA20" s="1">
        <v>16.3932</v>
      </c>
      <c r="AB20" s="1">
        <v>14.417999999999999</v>
      </c>
      <c r="AC20" s="1">
        <v>13.342599999999999</v>
      </c>
      <c r="AD20" s="1">
        <v>12.1364</v>
      </c>
      <c r="AE20" s="1">
        <v>18.9848</v>
      </c>
      <c r="AF20" s="1"/>
      <c r="AG20" s="1">
        <f t="shared" si="7"/>
        <v>132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66</v>
      </c>
      <c r="B21" s="1" t="s">
        <v>35</v>
      </c>
      <c r="C21" s="1">
        <v>267.935</v>
      </c>
      <c r="D21" s="1">
        <v>387.43599999999998</v>
      </c>
      <c r="E21" s="1">
        <v>255.601</v>
      </c>
      <c r="F21" s="1">
        <v>399.21199999999999</v>
      </c>
      <c r="G21" s="7">
        <v>1</v>
      </c>
      <c r="H21" s="1">
        <v>70</v>
      </c>
      <c r="I21" s="1" t="s">
        <v>67</v>
      </c>
      <c r="J21" s="1"/>
      <c r="K21" s="1">
        <v>221.5</v>
      </c>
      <c r="L21" s="1">
        <f t="shared" si="2"/>
        <v>34.100999999999999</v>
      </c>
      <c r="M21" s="1"/>
      <c r="N21" s="1"/>
      <c r="O21" s="1"/>
      <c r="P21" s="1"/>
      <c r="Q21" s="1">
        <f t="shared" si="3"/>
        <v>51.120199999999997</v>
      </c>
      <c r="R21" s="5">
        <f t="shared" si="4"/>
        <v>163.11019999999996</v>
      </c>
      <c r="S21" s="5">
        <f t="shared" si="8"/>
        <v>163.11019999999996</v>
      </c>
      <c r="T21" s="1">
        <f t="shared" si="5"/>
        <v>11</v>
      </c>
      <c r="U21" s="1">
        <f t="shared" si="6"/>
        <v>7.8092808713580935</v>
      </c>
      <c r="V21" s="1">
        <v>36.6006</v>
      </c>
      <c r="W21" s="1">
        <v>37.357199999999999</v>
      </c>
      <c r="X21" s="1">
        <v>53.085400000000007</v>
      </c>
      <c r="Y21" s="1">
        <v>53.475800000000007</v>
      </c>
      <c r="Z21" s="1">
        <v>57.174599999999998</v>
      </c>
      <c r="AA21" s="1">
        <v>54.511600000000001</v>
      </c>
      <c r="AB21" s="1">
        <v>38.178800000000003</v>
      </c>
      <c r="AC21" s="1">
        <v>33.288400000000003</v>
      </c>
      <c r="AD21" s="1">
        <v>42.434199999999997</v>
      </c>
      <c r="AE21" s="1">
        <v>31.876799999999999</v>
      </c>
      <c r="AF21" s="1"/>
      <c r="AG21" s="1">
        <f t="shared" si="7"/>
        <v>163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68</v>
      </c>
      <c r="B22" s="1" t="s">
        <v>35</v>
      </c>
      <c r="C22" s="1">
        <v>19.172000000000001</v>
      </c>
      <c r="D22" s="1">
        <v>24.181999999999999</v>
      </c>
      <c r="E22" s="1">
        <v>22.552</v>
      </c>
      <c r="F22" s="1">
        <v>23.864999999999998</v>
      </c>
      <c r="G22" s="7">
        <v>1</v>
      </c>
      <c r="H22" s="1">
        <v>180</v>
      </c>
      <c r="I22" s="1" t="s">
        <v>69</v>
      </c>
      <c r="J22" s="1"/>
      <c r="K22" s="1">
        <v>21.17</v>
      </c>
      <c r="L22" s="1">
        <f t="shared" si="2"/>
        <v>1.3819999999999979</v>
      </c>
      <c r="M22" s="1"/>
      <c r="N22" s="1"/>
      <c r="O22" s="1"/>
      <c r="P22" s="1"/>
      <c r="Q22" s="1">
        <f t="shared" si="3"/>
        <v>4.5103999999999997</v>
      </c>
      <c r="R22" s="5">
        <f t="shared" si="4"/>
        <v>25.749399999999998</v>
      </c>
      <c r="S22" s="5">
        <f t="shared" si="8"/>
        <v>25.749399999999998</v>
      </c>
      <c r="T22" s="1">
        <f t="shared" si="5"/>
        <v>11</v>
      </c>
      <c r="U22" s="1">
        <f t="shared" si="6"/>
        <v>5.2911050017736789</v>
      </c>
      <c r="V22" s="1">
        <v>4.2845999999999993</v>
      </c>
      <c r="W22" s="1">
        <v>3.5438000000000001</v>
      </c>
      <c r="X22" s="1">
        <v>6.9477999999999991</v>
      </c>
      <c r="Y22" s="1">
        <v>5.1381999999999994</v>
      </c>
      <c r="Z22" s="1">
        <v>0.43819999999999998</v>
      </c>
      <c r="AA22" s="1">
        <v>0.87339999999999995</v>
      </c>
      <c r="AB22" s="1">
        <v>3.0621999999999998</v>
      </c>
      <c r="AC22" s="1">
        <v>3.3464</v>
      </c>
      <c r="AD22" s="1">
        <v>1.7766</v>
      </c>
      <c r="AE22" s="1">
        <v>2.7141999999999999</v>
      </c>
      <c r="AF22" s="1"/>
      <c r="AG22" s="1">
        <f t="shared" si="7"/>
        <v>26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70</v>
      </c>
      <c r="B23" s="1" t="s">
        <v>35</v>
      </c>
      <c r="C23" s="1">
        <v>399.05</v>
      </c>
      <c r="D23" s="1">
        <v>421.435</v>
      </c>
      <c r="E23" s="1">
        <v>293.39999999999998</v>
      </c>
      <c r="F23" s="1">
        <v>530.56200000000001</v>
      </c>
      <c r="G23" s="7">
        <v>1</v>
      </c>
      <c r="H23" s="1">
        <v>70</v>
      </c>
      <c r="I23" s="1" t="s">
        <v>71</v>
      </c>
      <c r="J23" s="1"/>
      <c r="K23" s="1">
        <v>249.02</v>
      </c>
      <c r="L23" s="1">
        <f t="shared" si="2"/>
        <v>44.379999999999967</v>
      </c>
      <c r="M23" s="1"/>
      <c r="N23" s="1"/>
      <c r="O23" s="1"/>
      <c r="P23" s="1"/>
      <c r="Q23" s="1">
        <f t="shared" si="3"/>
        <v>58.679999999999993</v>
      </c>
      <c r="R23" s="5">
        <f t="shared" si="4"/>
        <v>114.91799999999989</v>
      </c>
      <c r="S23" s="5">
        <f t="shared" si="8"/>
        <v>114.91799999999989</v>
      </c>
      <c r="T23" s="1">
        <f t="shared" si="5"/>
        <v>11</v>
      </c>
      <c r="U23" s="1">
        <f t="shared" si="6"/>
        <v>9.0416155419222921</v>
      </c>
      <c r="V23" s="1">
        <v>46.426400000000001</v>
      </c>
      <c r="W23" s="1">
        <v>46.136600000000001</v>
      </c>
      <c r="X23" s="1">
        <v>69.900199999999998</v>
      </c>
      <c r="Y23" s="1">
        <v>60.441600000000008</v>
      </c>
      <c r="Z23" s="1">
        <v>43.510000000000012</v>
      </c>
      <c r="AA23" s="1">
        <v>49.888800000000003</v>
      </c>
      <c r="AB23" s="1">
        <v>52.990400000000001</v>
      </c>
      <c r="AC23" s="1">
        <v>39.368600000000001</v>
      </c>
      <c r="AD23" s="1">
        <v>52.986800000000002</v>
      </c>
      <c r="AE23" s="1">
        <v>42.601999999999997</v>
      </c>
      <c r="AF23" s="1"/>
      <c r="AG23" s="1">
        <f t="shared" si="7"/>
        <v>115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72</v>
      </c>
      <c r="B24" s="1" t="s">
        <v>35</v>
      </c>
      <c r="C24" s="1">
        <v>30.015000000000001</v>
      </c>
      <c r="D24" s="1">
        <v>29.469000000000001</v>
      </c>
      <c r="E24" s="1">
        <v>35.121000000000002</v>
      </c>
      <c r="F24" s="1">
        <v>27.827999999999999</v>
      </c>
      <c r="G24" s="7">
        <v>1</v>
      </c>
      <c r="H24" s="1">
        <v>35</v>
      </c>
      <c r="I24" s="1" t="s">
        <v>73</v>
      </c>
      <c r="J24" s="1"/>
      <c r="K24" s="1">
        <v>30.097999999999999</v>
      </c>
      <c r="L24" s="1">
        <f t="shared" si="2"/>
        <v>5.0230000000000032</v>
      </c>
      <c r="M24" s="1"/>
      <c r="N24" s="1"/>
      <c r="O24" s="1"/>
      <c r="P24" s="1">
        <v>24.03291999999999</v>
      </c>
      <c r="Q24" s="1">
        <f t="shared" si="3"/>
        <v>7.0242000000000004</v>
      </c>
      <c r="R24" s="5">
        <f t="shared" si="4"/>
        <v>25.405280000000008</v>
      </c>
      <c r="S24" s="5">
        <f t="shared" si="8"/>
        <v>25.405280000000008</v>
      </c>
      <c r="T24" s="1">
        <f t="shared" si="5"/>
        <v>10.999999999999998</v>
      </c>
      <c r="U24" s="1">
        <f t="shared" si="6"/>
        <v>7.383178155519488</v>
      </c>
      <c r="V24" s="1">
        <v>5.6067999999999998</v>
      </c>
      <c r="W24" s="1">
        <v>2.6564000000000001</v>
      </c>
      <c r="X24" s="1">
        <v>4.1875999999999998</v>
      </c>
      <c r="Y24" s="1">
        <v>4.7523999999999997</v>
      </c>
      <c r="Z24" s="1">
        <v>1.1226</v>
      </c>
      <c r="AA24" s="1">
        <v>4.2080000000000002</v>
      </c>
      <c r="AB24" s="1">
        <v>8.168000000000001</v>
      </c>
      <c r="AC24" s="1">
        <v>2.4500000000000002</v>
      </c>
      <c r="AD24" s="1">
        <v>3.4954000000000001</v>
      </c>
      <c r="AE24" s="1">
        <v>9.4819999999999993</v>
      </c>
      <c r="AF24" s="1"/>
      <c r="AG24" s="1">
        <f t="shared" si="7"/>
        <v>25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74</v>
      </c>
      <c r="B25" s="1" t="s">
        <v>35</v>
      </c>
      <c r="C25" s="1">
        <v>3.8340000000000001</v>
      </c>
      <c r="D25" s="1">
        <v>429.97899999999998</v>
      </c>
      <c r="E25" s="1">
        <v>203.25700000000001</v>
      </c>
      <c r="F25" s="1">
        <v>237.45099999999999</v>
      </c>
      <c r="G25" s="7">
        <v>1</v>
      </c>
      <c r="H25" s="1">
        <v>30</v>
      </c>
      <c r="I25" s="1" t="s">
        <v>75</v>
      </c>
      <c r="J25" s="1"/>
      <c r="K25" s="1">
        <v>178.4</v>
      </c>
      <c r="L25" s="1">
        <f t="shared" si="2"/>
        <v>24.856999999999999</v>
      </c>
      <c r="M25" s="1"/>
      <c r="N25" s="1"/>
      <c r="O25" s="1"/>
      <c r="P25" s="1"/>
      <c r="Q25" s="1">
        <f t="shared" si="3"/>
        <v>40.651400000000002</v>
      </c>
      <c r="R25" s="5">
        <f t="shared" si="4"/>
        <v>209.71440000000004</v>
      </c>
      <c r="S25" s="5">
        <f t="shared" si="8"/>
        <v>209.71440000000004</v>
      </c>
      <c r="T25" s="1">
        <f t="shared" si="5"/>
        <v>11</v>
      </c>
      <c r="U25" s="1">
        <f t="shared" si="6"/>
        <v>5.8411518422489745</v>
      </c>
      <c r="V25" s="1">
        <v>18.385000000000002</v>
      </c>
      <c r="W25" s="1">
        <v>6.2451999999999996</v>
      </c>
      <c r="X25" s="1">
        <v>23.9664</v>
      </c>
      <c r="Y25" s="1">
        <v>38.5518</v>
      </c>
      <c r="Z25" s="1">
        <v>15.353400000000001</v>
      </c>
      <c r="AA25" s="1">
        <v>1.7964</v>
      </c>
      <c r="AB25" s="1">
        <v>17.0366</v>
      </c>
      <c r="AC25" s="1">
        <v>5.8121999999999998</v>
      </c>
      <c r="AD25" s="1">
        <v>19.634599999999999</v>
      </c>
      <c r="AE25" s="1">
        <v>21.001200000000001</v>
      </c>
      <c r="AF25" s="1"/>
      <c r="AG25" s="1">
        <f t="shared" si="7"/>
        <v>210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76</v>
      </c>
      <c r="B26" s="1" t="s">
        <v>35</v>
      </c>
      <c r="C26" s="1">
        <v>18.739000000000001</v>
      </c>
      <c r="D26" s="1">
        <v>791.44200000000001</v>
      </c>
      <c r="E26" s="1">
        <v>399.327</v>
      </c>
      <c r="F26" s="1">
        <v>385.74599999999998</v>
      </c>
      <c r="G26" s="7">
        <v>1</v>
      </c>
      <c r="H26" s="1">
        <v>40</v>
      </c>
      <c r="I26" s="1" t="s">
        <v>77</v>
      </c>
      <c r="J26" s="1"/>
      <c r="K26" s="1">
        <v>313.5</v>
      </c>
      <c r="L26" s="1">
        <f t="shared" si="2"/>
        <v>85.826999999999998</v>
      </c>
      <c r="M26" s="1"/>
      <c r="N26" s="1"/>
      <c r="O26" s="1"/>
      <c r="P26" s="1">
        <v>44.541760000000181</v>
      </c>
      <c r="Q26" s="1">
        <f t="shared" si="3"/>
        <v>79.865399999999994</v>
      </c>
      <c r="R26" s="5">
        <f t="shared" si="4"/>
        <v>448.23163999999974</v>
      </c>
      <c r="S26" s="5">
        <f t="shared" si="8"/>
        <v>448.23163999999974</v>
      </c>
      <c r="T26" s="1">
        <f t="shared" si="5"/>
        <v>11</v>
      </c>
      <c r="U26" s="1">
        <f t="shared" si="6"/>
        <v>5.3876617408790315</v>
      </c>
      <c r="V26" s="1">
        <v>55.552999999999997</v>
      </c>
      <c r="W26" s="1">
        <v>47.498399999999997</v>
      </c>
      <c r="X26" s="1">
        <v>64.634600000000006</v>
      </c>
      <c r="Y26" s="1">
        <v>63.067999999999998</v>
      </c>
      <c r="Z26" s="1">
        <v>57.167600000000007</v>
      </c>
      <c r="AA26" s="1">
        <v>56.127000000000002</v>
      </c>
      <c r="AB26" s="1">
        <v>46.794800000000002</v>
      </c>
      <c r="AC26" s="1">
        <v>46.891800000000003</v>
      </c>
      <c r="AD26" s="1">
        <v>38.828800000000001</v>
      </c>
      <c r="AE26" s="1">
        <v>52.742199999999997</v>
      </c>
      <c r="AF26" s="1"/>
      <c r="AG26" s="1">
        <f t="shared" si="7"/>
        <v>448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78</v>
      </c>
      <c r="B27" s="1" t="s">
        <v>35</v>
      </c>
      <c r="C27" s="1">
        <v>-7.0940000000000003</v>
      </c>
      <c r="D27" s="1">
        <v>799.91800000000001</v>
      </c>
      <c r="E27" s="1">
        <v>358.851</v>
      </c>
      <c r="F27" s="1">
        <v>473.51499999999999</v>
      </c>
      <c r="G27" s="7">
        <v>1</v>
      </c>
      <c r="H27" s="1">
        <v>30</v>
      </c>
      <c r="I27" s="1" t="s">
        <v>79</v>
      </c>
      <c r="J27" s="1"/>
      <c r="K27" s="1">
        <v>341.75</v>
      </c>
      <c r="L27" s="1">
        <f t="shared" si="2"/>
        <v>17.100999999999999</v>
      </c>
      <c r="M27" s="1"/>
      <c r="N27" s="1"/>
      <c r="O27" s="1"/>
      <c r="P27" s="1">
        <v>116.4957999999999</v>
      </c>
      <c r="Q27" s="1">
        <f t="shared" si="3"/>
        <v>71.770200000000003</v>
      </c>
      <c r="R27" s="5">
        <f t="shared" si="4"/>
        <v>199.46140000000014</v>
      </c>
      <c r="S27" s="5">
        <f t="shared" si="8"/>
        <v>199.46140000000014</v>
      </c>
      <c r="T27" s="1">
        <f t="shared" si="5"/>
        <v>11</v>
      </c>
      <c r="U27" s="1">
        <f t="shared" si="6"/>
        <v>8.2208326018319564</v>
      </c>
      <c r="V27" s="1">
        <v>57.282799999999988</v>
      </c>
      <c r="W27" s="1">
        <v>54.650399999999998</v>
      </c>
      <c r="X27" s="1">
        <v>63.486400000000003</v>
      </c>
      <c r="Y27" s="1">
        <v>25.735800000000001</v>
      </c>
      <c r="Z27" s="1">
        <v>17.547999999999998</v>
      </c>
      <c r="AA27" s="1">
        <v>63.722400000000007</v>
      </c>
      <c r="AB27" s="1">
        <v>111.14619999999999</v>
      </c>
      <c r="AC27" s="1">
        <v>73.176400000000001</v>
      </c>
      <c r="AD27" s="1">
        <v>86.483800000000002</v>
      </c>
      <c r="AE27" s="1">
        <v>88.993200000000002</v>
      </c>
      <c r="AF27" s="1"/>
      <c r="AG27" s="1">
        <f t="shared" si="7"/>
        <v>199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80</v>
      </c>
      <c r="B28" s="1" t="s">
        <v>35</v>
      </c>
      <c r="C28" s="1"/>
      <c r="D28" s="1">
        <v>2333.2979999999998</v>
      </c>
      <c r="E28" s="1">
        <v>961.07799999999997</v>
      </c>
      <c r="F28" s="1">
        <v>1297.8140000000001</v>
      </c>
      <c r="G28" s="7">
        <v>1</v>
      </c>
      <c r="H28" s="1">
        <v>40</v>
      </c>
      <c r="I28" s="1" t="s">
        <v>81</v>
      </c>
      <c r="J28" s="1"/>
      <c r="K28" s="1">
        <v>902.75</v>
      </c>
      <c r="L28" s="1">
        <f t="shared" si="2"/>
        <v>58.327999999999975</v>
      </c>
      <c r="M28" s="1"/>
      <c r="N28" s="1"/>
      <c r="O28" s="1"/>
      <c r="P28" s="1"/>
      <c r="Q28" s="1">
        <f t="shared" si="3"/>
        <v>192.21559999999999</v>
      </c>
      <c r="R28" s="5">
        <f t="shared" si="4"/>
        <v>816.55759999999987</v>
      </c>
      <c r="S28" s="5">
        <f>R28+$S$1*Q28</f>
        <v>662.78511999999989</v>
      </c>
      <c r="T28" s="1">
        <f t="shared" si="5"/>
        <v>10.199999999999999</v>
      </c>
      <c r="U28" s="1">
        <f t="shared" si="6"/>
        <v>6.7518661336540848</v>
      </c>
      <c r="V28" s="1">
        <v>70.557199999999995</v>
      </c>
      <c r="W28" s="1">
        <v>-0.49800000000000011</v>
      </c>
      <c r="X28" s="1">
        <v>74.856799999999993</v>
      </c>
      <c r="Y28" s="1">
        <v>185.2568</v>
      </c>
      <c r="Z28" s="1">
        <v>162.31219999999999</v>
      </c>
      <c r="AA28" s="1">
        <v>71.218600000000009</v>
      </c>
      <c r="AB28" s="1">
        <v>218.88560000000001</v>
      </c>
      <c r="AC28" s="1">
        <v>80.849599999999995</v>
      </c>
      <c r="AD28" s="1">
        <v>144.97579999999999</v>
      </c>
      <c r="AE28" s="1">
        <v>140.4692</v>
      </c>
      <c r="AF28" s="1"/>
      <c r="AG28" s="1">
        <f t="shared" si="7"/>
        <v>663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82</v>
      </c>
      <c r="B29" s="1" t="s">
        <v>35</v>
      </c>
      <c r="C29" s="1"/>
      <c r="D29" s="1">
        <v>43.122</v>
      </c>
      <c r="E29" s="1">
        <v>-2.1139999999999999</v>
      </c>
      <c r="F29" s="1">
        <v>43.122</v>
      </c>
      <c r="G29" s="7">
        <v>1</v>
      </c>
      <c r="H29" s="1">
        <v>40</v>
      </c>
      <c r="I29" s="1" t="s">
        <v>83</v>
      </c>
      <c r="J29" s="1"/>
      <c r="K29" s="1"/>
      <c r="L29" s="1">
        <f t="shared" si="2"/>
        <v>-2.1139999999999999</v>
      </c>
      <c r="M29" s="1"/>
      <c r="N29" s="1"/>
      <c r="O29" s="1"/>
      <c r="P29" s="1"/>
      <c r="Q29" s="1">
        <f t="shared" si="3"/>
        <v>-0.42279999999999995</v>
      </c>
      <c r="R29" s="5"/>
      <c r="S29" s="5">
        <f t="shared" si="8"/>
        <v>0</v>
      </c>
      <c r="T29" s="1">
        <f t="shared" si="5"/>
        <v>-101.99148533585621</v>
      </c>
      <c r="U29" s="1">
        <f t="shared" si="6"/>
        <v>-101.99148533585621</v>
      </c>
      <c r="V29" s="1">
        <v>-0.42280000000000001</v>
      </c>
      <c r="W29" s="1">
        <v>0</v>
      </c>
      <c r="X29" s="1">
        <v>0</v>
      </c>
      <c r="Y29" s="1">
        <v>0.64379999999999993</v>
      </c>
      <c r="Z29" s="1">
        <v>5.3945999999999996</v>
      </c>
      <c r="AA29" s="1">
        <v>16.281400000000001</v>
      </c>
      <c r="AB29" s="1">
        <v>15.133800000000001</v>
      </c>
      <c r="AC29" s="1">
        <v>11.8508</v>
      </c>
      <c r="AD29" s="1">
        <v>11.727399999999999</v>
      </c>
      <c r="AE29" s="1">
        <v>17.645800000000001</v>
      </c>
      <c r="AF29" s="1"/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84</v>
      </c>
      <c r="B30" s="1" t="s">
        <v>35</v>
      </c>
      <c r="C30" s="1">
        <v>4.0000000000000001E-3</v>
      </c>
      <c r="D30" s="1">
        <v>94.712000000000003</v>
      </c>
      <c r="E30" s="1">
        <v>45.15</v>
      </c>
      <c r="F30" s="1">
        <v>53.817999999999998</v>
      </c>
      <c r="G30" s="7">
        <v>1</v>
      </c>
      <c r="H30" s="1">
        <v>30</v>
      </c>
      <c r="I30" s="1" t="s">
        <v>85</v>
      </c>
      <c r="J30" s="1"/>
      <c r="K30" s="1">
        <v>53.2</v>
      </c>
      <c r="L30" s="1">
        <f t="shared" si="2"/>
        <v>-8.0500000000000043</v>
      </c>
      <c r="M30" s="1"/>
      <c r="N30" s="1"/>
      <c r="O30" s="1">
        <v>27.91271200000002</v>
      </c>
      <c r="P30" s="1">
        <v>82.287799999999976</v>
      </c>
      <c r="Q30" s="1">
        <f t="shared" si="3"/>
        <v>9.0299999999999994</v>
      </c>
      <c r="R30" s="5"/>
      <c r="S30" s="5">
        <f t="shared" si="8"/>
        <v>0</v>
      </c>
      <c r="T30" s="1">
        <f t="shared" si="5"/>
        <v>18.163733333333333</v>
      </c>
      <c r="U30" s="1">
        <f t="shared" si="6"/>
        <v>18.163733333333333</v>
      </c>
      <c r="V30" s="1">
        <v>13.668799999999999</v>
      </c>
      <c r="W30" s="1">
        <v>10.4878</v>
      </c>
      <c r="X30" s="1">
        <v>6.930200000000001</v>
      </c>
      <c r="Y30" s="1">
        <v>4.702</v>
      </c>
      <c r="Z30" s="1">
        <v>11.2216</v>
      </c>
      <c r="AA30" s="1">
        <v>18.107199999999999</v>
      </c>
      <c r="AB30" s="1">
        <v>2.2928000000000002</v>
      </c>
      <c r="AC30" s="1">
        <v>11.4916</v>
      </c>
      <c r="AD30" s="1">
        <v>10.300800000000001</v>
      </c>
      <c r="AE30" s="1">
        <v>11.0518</v>
      </c>
      <c r="AF30" s="1"/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86</v>
      </c>
      <c r="B31" s="1" t="s">
        <v>35</v>
      </c>
      <c r="C31" s="1">
        <v>20.146999999999998</v>
      </c>
      <c r="D31" s="1">
        <v>269.21499999999997</v>
      </c>
      <c r="E31" s="1">
        <v>58.716999999999999</v>
      </c>
      <c r="F31" s="1">
        <v>238.023</v>
      </c>
      <c r="G31" s="7">
        <v>1</v>
      </c>
      <c r="H31" s="1">
        <v>50</v>
      </c>
      <c r="I31" s="1" t="s">
        <v>87</v>
      </c>
      <c r="J31" s="1"/>
      <c r="K31" s="1">
        <v>50.8</v>
      </c>
      <c r="L31" s="1">
        <f t="shared" si="2"/>
        <v>7.9170000000000016</v>
      </c>
      <c r="M31" s="1"/>
      <c r="N31" s="1"/>
      <c r="O31" s="1"/>
      <c r="P31" s="1"/>
      <c r="Q31" s="1">
        <f t="shared" si="3"/>
        <v>11.743399999999999</v>
      </c>
      <c r="R31" s="5"/>
      <c r="S31" s="5">
        <f t="shared" si="8"/>
        <v>0</v>
      </c>
      <c r="T31" s="1">
        <f t="shared" si="5"/>
        <v>20.268661546059914</v>
      </c>
      <c r="U31" s="1">
        <f t="shared" si="6"/>
        <v>20.268661546059914</v>
      </c>
      <c r="V31" s="1">
        <v>12.266</v>
      </c>
      <c r="W31" s="1">
        <v>12.967599999999999</v>
      </c>
      <c r="X31" s="1">
        <v>22.8354</v>
      </c>
      <c r="Y31" s="1">
        <v>18.087</v>
      </c>
      <c r="Z31" s="1">
        <v>8.8298000000000005</v>
      </c>
      <c r="AA31" s="1">
        <v>14.561199999999999</v>
      </c>
      <c r="AB31" s="1">
        <v>13.348000000000001</v>
      </c>
      <c r="AC31" s="1">
        <v>11</v>
      </c>
      <c r="AD31" s="1">
        <v>17.146799999999999</v>
      </c>
      <c r="AE31" s="1">
        <v>11.792199999999999</v>
      </c>
      <c r="AF31" s="1"/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88</v>
      </c>
      <c r="B32" s="1" t="s">
        <v>35</v>
      </c>
      <c r="C32" s="1">
        <v>25.995000000000001</v>
      </c>
      <c r="D32" s="1">
        <v>218.28899999999999</v>
      </c>
      <c r="E32" s="1">
        <v>45.62</v>
      </c>
      <c r="F32" s="1">
        <v>203.24</v>
      </c>
      <c r="G32" s="7">
        <v>1</v>
      </c>
      <c r="H32" s="1">
        <v>50</v>
      </c>
      <c r="I32" s="1" t="s">
        <v>89</v>
      </c>
      <c r="J32" s="1"/>
      <c r="K32" s="1">
        <v>37.299999999999997</v>
      </c>
      <c r="L32" s="1">
        <f t="shared" si="2"/>
        <v>8.32</v>
      </c>
      <c r="M32" s="1"/>
      <c r="N32" s="1"/>
      <c r="O32" s="1"/>
      <c r="P32" s="1"/>
      <c r="Q32" s="1">
        <f t="shared" si="3"/>
        <v>9.1239999999999988</v>
      </c>
      <c r="R32" s="5"/>
      <c r="S32" s="5">
        <f t="shared" si="8"/>
        <v>0</v>
      </c>
      <c r="T32" s="1">
        <f t="shared" si="5"/>
        <v>22.275317843051297</v>
      </c>
      <c r="U32" s="1">
        <f t="shared" si="6"/>
        <v>22.275317843051297</v>
      </c>
      <c r="V32" s="1">
        <v>9.2742000000000004</v>
      </c>
      <c r="W32" s="1">
        <v>7.9944000000000006</v>
      </c>
      <c r="X32" s="1">
        <v>17.6374</v>
      </c>
      <c r="Y32" s="1">
        <v>15.8256</v>
      </c>
      <c r="Z32" s="1">
        <v>2.5464000000000002</v>
      </c>
      <c r="AA32" s="1">
        <v>3.4506000000000001</v>
      </c>
      <c r="AB32" s="1">
        <v>11.9902</v>
      </c>
      <c r="AC32" s="1">
        <v>6.7331999999999992</v>
      </c>
      <c r="AD32" s="1">
        <v>7.7528000000000006</v>
      </c>
      <c r="AE32" s="1">
        <v>11.283200000000001</v>
      </c>
      <c r="AF32" s="1"/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90</v>
      </c>
      <c r="B33" s="1" t="s">
        <v>35</v>
      </c>
      <c r="C33" s="1">
        <v>25.053000000000001</v>
      </c>
      <c r="D33" s="1">
        <v>160.20400000000001</v>
      </c>
      <c r="E33" s="1">
        <v>45.628999999999998</v>
      </c>
      <c r="F33" s="1">
        <v>144.21600000000001</v>
      </c>
      <c r="G33" s="7">
        <v>1</v>
      </c>
      <c r="H33" s="1">
        <v>50</v>
      </c>
      <c r="I33" s="1" t="s">
        <v>91</v>
      </c>
      <c r="J33" s="1"/>
      <c r="K33" s="1">
        <v>38.9</v>
      </c>
      <c r="L33" s="1">
        <f t="shared" si="2"/>
        <v>6.7289999999999992</v>
      </c>
      <c r="M33" s="1"/>
      <c r="N33" s="1"/>
      <c r="O33" s="1"/>
      <c r="P33" s="1"/>
      <c r="Q33" s="1">
        <f t="shared" si="3"/>
        <v>9.1257999999999999</v>
      </c>
      <c r="R33" s="5"/>
      <c r="S33" s="5">
        <f t="shared" si="8"/>
        <v>0</v>
      </c>
      <c r="T33" s="1">
        <f t="shared" si="5"/>
        <v>15.803107672751979</v>
      </c>
      <c r="U33" s="1">
        <f t="shared" si="6"/>
        <v>15.803107672751979</v>
      </c>
      <c r="V33" s="1">
        <v>9.4567999999999994</v>
      </c>
      <c r="W33" s="1">
        <v>7.2782</v>
      </c>
      <c r="X33" s="1">
        <v>13.0936</v>
      </c>
      <c r="Y33" s="1">
        <v>11.2852</v>
      </c>
      <c r="Z33" s="1">
        <v>0.90340000000000009</v>
      </c>
      <c r="AA33" s="1">
        <v>1.6257999999999999</v>
      </c>
      <c r="AB33" s="1">
        <v>9.5920000000000005</v>
      </c>
      <c r="AC33" s="1">
        <v>4.7031999999999998</v>
      </c>
      <c r="AD33" s="1">
        <v>8.8510000000000009</v>
      </c>
      <c r="AE33" s="1">
        <v>6.9379999999999997</v>
      </c>
      <c r="AF33" s="1"/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92</v>
      </c>
      <c r="B34" s="1" t="s">
        <v>42</v>
      </c>
      <c r="C34" s="1">
        <v>666</v>
      </c>
      <c r="D34" s="1">
        <v>2227</v>
      </c>
      <c r="E34" s="1">
        <v>1333.8</v>
      </c>
      <c r="F34" s="1">
        <v>1653</v>
      </c>
      <c r="G34" s="7">
        <v>0.4</v>
      </c>
      <c r="H34" s="1">
        <v>45</v>
      </c>
      <c r="I34" s="1" t="s">
        <v>93</v>
      </c>
      <c r="J34" s="1"/>
      <c r="K34" s="1">
        <v>1218</v>
      </c>
      <c r="L34" s="1">
        <f t="shared" si="2"/>
        <v>115.79999999999995</v>
      </c>
      <c r="M34" s="1"/>
      <c r="N34" s="1"/>
      <c r="O34" s="1"/>
      <c r="P34" s="1">
        <v>693.34400000000005</v>
      </c>
      <c r="Q34" s="1">
        <f t="shared" si="3"/>
        <v>266.76</v>
      </c>
      <c r="R34" s="5">
        <f t="shared" si="4"/>
        <v>588.01599999999962</v>
      </c>
      <c r="S34" s="5">
        <f>R34+$S$1*Q34</f>
        <v>374.60799999999961</v>
      </c>
      <c r="T34" s="1">
        <f t="shared" si="5"/>
        <v>10.199999999999999</v>
      </c>
      <c r="U34" s="1">
        <f t="shared" si="6"/>
        <v>8.7957115009746598</v>
      </c>
      <c r="V34" s="1">
        <v>234.56</v>
      </c>
      <c r="W34" s="1">
        <v>209.4</v>
      </c>
      <c r="X34" s="1">
        <v>257.60000000000002</v>
      </c>
      <c r="Y34" s="1">
        <v>219.4</v>
      </c>
      <c r="Z34" s="1">
        <v>128</v>
      </c>
      <c r="AA34" s="1">
        <v>182.4</v>
      </c>
      <c r="AB34" s="1">
        <v>197.2</v>
      </c>
      <c r="AC34" s="1">
        <v>91.4</v>
      </c>
      <c r="AD34" s="1">
        <v>215.4</v>
      </c>
      <c r="AE34" s="1">
        <v>161.80000000000001</v>
      </c>
      <c r="AF34" s="1"/>
      <c r="AG34" s="1">
        <f t="shared" si="7"/>
        <v>150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94</v>
      </c>
      <c r="B35" s="1" t="s">
        <v>42</v>
      </c>
      <c r="C35" s="1">
        <v>115</v>
      </c>
      <c r="D35" s="1">
        <v>560</v>
      </c>
      <c r="E35" s="1">
        <v>202</v>
      </c>
      <c r="F35" s="1">
        <v>496</v>
      </c>
      <c r="G35" s="7">
        <v>0.45</v>
      </c>
      <c r="H35" s="1">
        <v>50</v>
      </c>
      <c r="I35" s="1" t="s">
        <v>95</v>
      </c>
      <c r="J35" s="1"/>
      <c r="K35" s="1">
        <v>179</v>
      </c>
      <c r="L35" s="1">
        <f t="shared" si="2"/>
        <v>23</v>
      </c>
      <c r="M35" s="1"/>
      <c r="N35" s="1"/>
      <c r="O35" s="1"/>
      <c r="P35" s="1">
        <v>15.39999999999986</v>
      </c>
      <c r="Q35" s="1">
        <f t="shared" si="3"/>
        <v>40.4</v>
      </c>
      <c r="R35" s="5"/>
      <c r="S35" s="5">
        <f t="shared" si="8"/>
        <v>0</v>
      </c>
      <c r="T35" s="1">
        <f t="shared" si="5"/>
        <v>12.658415841584155</v>
      </c>
      <c r="U35" s="1">
        <f t="shared" si="6"/>
        <v>12.658415841584155</v>
      </c>
      <c r="V35" s="1">
        <v>47.8</v>
      </c>
      <c r="W35" s="1">
        <v>42.4</v>
      </c>
      <c r="X35" s="1">
        <v>58.6</v>
      </c>
      <c r="Y35" s="1">
        <v>62.8</v>
      </c>
      <c r="Z35" s="1">
        <v>53</v>
      </c>
      <c r="AA35" s="1">
        <v>51.6</v>
      </c>
      <c r="AB35" s="1">
        <v>32.6</v>
      </c>
      <c r="AC35" s="1">
        <v>47</v>
      </c>
      <c r="AD35" s="1">
        <v>33</v>
      </c>
      <c r="AE35" s="1">
        <v>54.6</v>
      </c>
      <c r="AF35" s="1"/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96</v>
      </c>
      <c r="B36" s="1" t="s">
        <v>42</v>
      </c>
      <c r="C36" s="1">
        <v>19</v>
      </c>
      <c r="D36" s="1">
        <v>858</v>
      </c>
      <c r="E36" s="1">
        <v>433</v>
      </c>
      <c r="F36" s="1">
        <v>476</v>
      </c>
      <c r="G36" s="7">
        <v>0.4</v>
      </c>
      <c r="H36" s="1">
        <v>45</v>
      </c>
      <c r="I36" s="1" t="s">
        <v>97</v>
      </c>
      <c r="J36" s="1"/>
      <c r="K36" s="1">
        <v>397</v>
      </c>
      <c r="L36" s="1">
        <f t="shared" si="2"/>
        <v>36</v>
      </c>
      <c r="M36" s="1"/>
      <c r="N36" s="1"/>
      <c r="O36" s="1"/>
      <c r="P36" s="1"/>
      <c r="Q36" s="1">
        <f t="shared" si="3"/>
        <v>86.6</v>
      </c>
      <c r="R36" s="5">
        <f t="shared" si="4"/>
        <v>476.59999999999991</v>
      </c>
      <c r="S36" s="5">
        <f>R36+$S$1*Q36</f>
        <v>407.31999999999994</v>
      </c>
      <c r="T36" s="1">
        <f t="shared" si="5"/>
        <v>10.199999999999999</v>
      </c>
      <c r="U36" s="1">
        <f t="shared" si="6"/>
        <v>5.4965357967667439</v>
      </c>
      <c r="V36" s="1">
        <v>51.2</v>
      </c>
      <c r="W36" s="1">
        <v>34.200000000000003</v>
      </c>
      <c r="X36" s="1">
        <v>69.8</v>
      </c>
      <c r="Y36" s="1">
        <v>72.599999999999994</v>
      </c>
      <c r="Z36" s="1">
        <v>49.8</v>
      </c>
      <c r="AA36" s="1">
        <v>42.2</v>
      </c>
      <c r="AB36" s="1">
        <v>54.6</v>
      </c>
      <c r="AC36" s="1">
        <v>24.8</v>
      </c>
      <c r="AD36" s="1">
        <v>36.6</v>
      </c>
      <c r="AE36" s="1">
        <v>65</v>
      </c>
      <c r="AF36" s="1"/>
      <c r="AG36" s="1">
        <f t="shared" si="7"/>
        <v>163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98</v>
      </c>
      <c r="B37" s="1" t="s">
        <v>42</v>
      </c>
      <c r="C37" s="1">
        <v>1</v>
      </c>
      <c r="D37" s="1">
        <v>150</v>
      </c>
      <c r="E37" s="1">
        <v>23</v>
      </c>
      <c r="F37" s="1">
        <v>128</v>
      </c>
      <c r="G37" s="7">
        <v>0.4</v>
      </c>
      <c r="H37" s="1">
        <v>40</v>
      </c>
      <c r="I37" s="1" t="s">
        <v>99</v>
      </c>
      <c r="J37" s="1"/>
      <c r="K37" s="1">
        <v>21</v>
      </c>
      <c r="L37" s="1">
        <f t="shared" si="2"/>
        <v>2</v>
      </c>
      <c r="M37" s="1"/>
      <c r="N37" s="1"/>
      <c r="O37" s="1"/>
      <c r="P37" s="1"/>
      <c r="Q37" s="1">
        <f t="shared" si="3"/>
        <v>4.5999999999999996</v>
      </c>
      <c r="R37" s="5"/>
      <c r="S37" s="5">
        <f t="shared" si="8"/>
        <v>0</v>
      </c>
      <c r="T37" s="1">
        <f t="shared" si="5"/>
        <v>27.826086956521742</v>
      </c>
      <c r="U37" s="1">
        <f t="shared" si="6"/>
        <v>27.826086956521742</v>
      </c>
      <c r="V37" s="1">
        <v>2.4</v>
      </c>
      <c r="W37" s="1">
        <v>0.6</v>
      </c>
      <c r="X37" s="1">
        <v>9.8000000000000007</v>
      </c>
      <c r="Y37" s="1">
        <v>11.2</v>
      </c>
      <c r="Z37" s="1">
        <v>12.6</v>
      </c>
      <c r="AA37" s="1">
        <v>11.2</v>
      </c>
      <c r="AB37" s="1">
        <v>2.8</v>
      </c>
      <c r="AC37" s="1">
        <v>3.2</v>
      </c>
      <c r="AD37" s="1">
        <v>3</v>
      </c>
      <c r="AE37" s="1">
        <v>5.4</v>
      </c>
      <c r="AF37" s="1"/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100</v>
      </c>
      <c r="B38" s="1" t="s">
        <v>35</v>
      </c>
      <c r="C38" s="1">
        <v>4.3499999999999996</v>
      </c>
      <c r="D38" s="1">
        <v>69.302999999999997</v>
      </c>
      <c r="E38" s="1">
        <v>14.388</v>
      </c>
      <c r="F38" s="1">
        <v>59.265000000000001</v>
      </c>
      <c r="G38" s="7">
        <v>1</v>
      </c>
      <c r="H38" s="1">
        <v>45</v>
      </c>
      <c r="I38" s="1" t="s">
        <v>101</v>
      </c>
      <c r="J38" s="1"/>
      <c r="K38" s="1">
        <v>11.9</v>
      </c>
      <c r="L38" s="1">
        <f t="shared" ref="L38:L68" si="9">E38-K38</f>
        <v>2.4879999999999995</v>
      </c>
      <c r="M38" s="1"/>
      <c r="N38" s="1"/>
      <c r="O38" s="1"/>
      <c r="P38" s="1"/>
      <c r="Q38" s="1">
        <f t="shared" si="3"/>
        <v>2.8776000000000002</v>
      </c>
      <c r="R38" s="5"/>
      <c r="S38" s="5">
        <f t="shared" si="8"/>
        <v>0</v>
      </c>
      <c r="T38" s="1">
        <f t="shared" si="5"/>
        <v>20.595287739783153</v>
      </c>
      <c r="U38" s="1">
        <f t="shared" si="6"/>
        <v>20.595287739783153</v>
      </c>
      <c r="V38" s="1">
        <v>1.722</v>
      </c>
      <c r="W38" s="1">
        <v>0</v>
      </c>
      <c r="X38" s="1">
        <v>1.1624000000000001</v>
      </c>
      <c r="Y38" s="1">
        <v>4.9401999999999999</v>
      </c>
      <c r="Z38" s="1">
        <v>3.7778</v>
      </c>
      <c r="AA38" s="1">
        <v>0</v>
      </c>
      <c r="AB38" s="1">
        <v>1.9923999999999999</v>
      </c>
      <c r="AC38" s="1">
        <v>5.5179999999999998</v>
      </c>
      <c r="AD38" s="1">
        <v>3.1657999999999999</v>
      </c>
      <c r="AE38" s="1">
        <v>2.5695999999999999</v>
      </c>
      <c r="AF38" s="1"/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102</v>
      </c>
      <c r="B39" s="1" t="s">
        <v>42</v>
      </c>
      <c r="C39" s="1">
        <v>31</v>
      </c>
      <c r="D39" s="1">
        <v>880</v>
      </c>
      <c r="E39" s="1">
        <v>235</v>
      </c>
      <c r="F39" s="1">
        <v>764</v>
      </c>
      <c r="G39" s="7">
        <v>0.1</v>
      </c>
      <c r="H39" s="1">
        <v>731</v>
      </c>
      <c r="I39" s="1" t="s">
        <v>103</v>
      </c>
      <c r="J39" s="1"/>
      <c r="K39" s="1">
        <v>120</v>
      </c>
      <c r="L39" s="1">
        <f t="shared" si="9"/>
        <v>115</v>
      </c>
      <c r="M39" s="1"/>
      <c r="N39" s="1"/>
      <c r="O39" s="1">
        <v>30.440000000000051</v>
      </c>
      <c r="P39" s="1"/>
      <c r="Q39" s="1">
        <f t="shared" si="3"/>
        <v>47</v>
      </c>
      <c r="R39" s="5"/>
      <c r="S39" s="5">
        <f t="shared" si="8"/>
        <v>0</v>
      </c>
      <c r="T39" s="1">
        <f t="shared" si="5"/>
        <v>16.902978723404257</v>
      </c>
      <c r="U39" s="1">
        <f t="shared" si="6"/>
        <v>16.902978723404257</v>
      </c>
      <c r="V39" s="1">
        <v>61</v>
      </c>
      <c r="W39" s="1">
        <v>70.8</v>
      </c>
      <c r="X39" s="1">
        <v>84.6</v>
      </c>
      <c r="Y39" s="1">
        <v>73.8</v>
      </c>
      <c r="Z39" s="1">
        <v>21.4</v>
      </c>
      <c r="AA39" s="1">
        <v>7.4</v>
      </c>
      <c r="AB39" s="1">
        <v>77.599999999999994</v>
      </c>
      <c r="AC39" s="1">
        <v>32.4</v>
      </c>
      <c r="AD39" s="1">
        <v>20.8</v>
      </c>
      <c r="AE39" s="1">
        <v>43.4</v>
      </c>
      <c r="AF39" s="1"/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104</v>
      </c>
      <c r="B40" s="1" t="s">
        <v>42</v>
      </c>
      <c r="C40" s="1">
        <v>87</v>
      </c>
      <c r="D40" s="1">
        <v>288</v>
      </c>
      <c r="E40" s="1">
        <v>169</v>
      </c>
      <c r="F40" s="1">
        <v>211</v>
      </c>
      <c r="G40" s="7">
        <v>0.35</v>
      </c>
      <c r="H40" s="1">
        <v>40</v>
      </c>
      <c r="I40" s="1" t="s">
        <v>105</v>
      </c>
      <c r="J40" s="1"/>
      <c r="K40" s="1">
        <v>191</v>
      </c>
      <c r="L40" s="1">
        <f t="shared" si="9"/>
        <v>-22</v>
      </c>
      <c r="M40" s="1"/>
      <c r="N40" s="1"/>
      <c r="O40" s="1"/>
      <c r="P40" s="1">
        <v>161.4</v>
      </c>
      <c r="Q40" s="1">
        <f t="shared" si="3"/>
        <v>33.799999999999997</v>
      </c>
      <c r="R40" s="5"/>
      <c r="S40" s="5">
        <f t="shared" si="8"/>
        <v>0</v>
      </c>
      <c r="T40" s="1">
        <f t="shared" si="5"/>
        <v>11.017751479289942</v>
      </c>
      <c r="U40" s="1">
        <f t="shared" si="6"/>
        <v>11.017751479289942</v>
      </c>
      <c r="V40" s="1">
        <v>35.200000000000003</v>
      </c>
      <c r="W40" s="1">
        <v>30.4</v>
      </c>
      <c r="X40" s="1">
        <v>34</v>
      </c>
      <c r="Y40" s="1">
        <v>27.4</v>
      </c>
      <c r="Z40" s="1">
        <v>7.6</v>
      </c>
      <c r="AA40" s="1">
        <v>13.6</v>
      </c>
      <c r="AB40" s="1">
        <v>27.2</v>
      </c>
      <c r="AC40" s="1">
        <v>18.2</v>
      </c>
      <c r="AD40" s="1">
        <v>25.4</v>
      </c>
      <c r="AE40" s="1">
        <v>23</v>
      </c>
      <c r="AF40" s="1"/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106</v>
      </c>
      <c r="B41" s="1" t="s">
        <v>35</v>
      </c>
      <c r="C41" s="1">
        <v>66.388000000000005</v>
      </c>
      <c r="D41" s="1">
        <v>213.35300000000001</v>
      </c>
      <c r="E41" s="1">
        <v>137.328</v>
      </c>
      <c r="F41" s="1">
        <v>149.02500000000001</v>
      </c>
      <c r="G41" s="7">
        <v>1</v>
      </c>
      <c r="H41" s="1">
        <v>40</v>
      </c>
      <c r="I41" s="1" t="s">
        <v>107</v>
      </c>
      <c r="J41" s="1"/>
      <c r="K41" s="1">
        <v>121.6</v>
      </c>
      <c r="L41" s="1">
        <f t="shared" si="9"/>
        <v>15.728000000000009</v>
      </c>
      <c r="M41" s="1"/>
      <c r="N41" s="1"/>
      <c r="O41" s="1"/>
      <c r="P41" s="1"/>
      <c r="Q41" s="1">
        <f t="shared" si="3"/>
        <v>27.465600000000002</v>
      </c>
      <c r="R41" s="5">
        <f t="shared" si="4"/>
        <v>153.0966</v>
      </c>
      <c r="S41" s="5">
        <f t="shared" si="8"/>
        <v>153.0966</v>
      </c>
      <c r="T41" s="1">
        <f t="shared" si="5"/>
        <v>11</v>
      </c>
      <c r="U41" s="1">
        <f t="shared" si="6"/>
        <v>5.4258781894442505</v>
      </c>
      <c r="V41" s="1">
        <v>16.9666</v>
      </c>
      <c r="W41" s="1">
        <v>11.3088</v>
      </c>
      <c r="X41" s="1">
        <v>21.493200000000002</v>
      </c>
      <c r="Y41" s="1">
        <v>20.497599999999998</v>
      </c>
      <c r="Z41" s="1">
        <v>6.5640000000000001</v>
      </c>
      <c r="AA41" s="1">
        <v>8.2590000000000003</v>
      </c>
      <c r="AB41" s="1">
        <v>17.3644</v>
      </c>
      <c r="AC41" s="1">
        <v>10.4474</v>
      </c>
      <c r="AD41" s="1">
        <v>16.349599999999999</v>
      </c>
      <c r="AE41" s="1">
        <v>13.042199999999999</v>
      </c>
      <c r="AF41" s="1"/>
      <c r="AG41" s="1">
        <f t="shared" si="7"/>
        <v>153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108</v>
      </c>
      <c r="B42" s="1" t="s">
        <v>42</v>
      </c>
      <c r="C42" s="1"/>
      <c r="D42" s="1">
        <v>200</v>
      </c>
      <c r="E42" s="1">
        <v>113</v>
      </c>
      <c r="F42" s="1">
        <v>84</v>
      </c>
      <c r="G42" s="7">
        <v>0.4</v>
      </c>
      <c r="H42" s="1">
        <v>40</v>
      </c>
      <c r="I42" s="1" t="s">
        <v>109</v>
      </c>
      <c r="J42" s="1"/>
      <c r="K42" s="1">
        <v>115</v>
      </c>
      <c r="L42" s="1">
        <f t="shared" si="9"/>
        <v>-2</v>
      </c>
      <c r="M42" s="1"/>
      <c r="N42" s="1"/>
      <c r="O42" s="1"/>
      <c r="P42" s="1"/>
      <c r="Q42" s="1">
        <f t="shared" si="3"/>
        <v>22.6</v>
      </c>
      <c r="R42" s="5">
        <f t="shared" si="4"/>
        <v>164.60000000000002</v>
      </c>
      <c r="S42" s="5">
        <f t="shared" si="8"/>
        <v>164.60000000000002</v>
      </c>
      <c r="T42" s="1">
        <f t="shared" si="5"/>
        <v>11</v>
      </c>
      <c r="U42" s="1">
        <f t="shared" si="6"/>
        <v>3.716814159292035</v>
      </c>
      <c r="V42" s="1">
        <v>12.6</v>
      </c>
      <c r="W42" s="1">
        <v>16.8</v>
      </c>
      <c r="X42" s="1">
        <v>27.2</v>
      </c>
      <c r="Y42" s="1">
        <v>28.8</v>
      </c>
      <c r="Z42" s="1">
        <v>33</v>
      </c>
      <c r="AA42" s="1">
        <v>28.78</v>
      </c>
      <c r="AB42" s="1">
        <v>18</v>
      </c>
      <c r="AC42" s="1">
        <v>15.6</v>
      </c>
      <c r="AD42" s="1">
        <v>21.8</v>
      </c>
      <c r="AE42" s="1">
        <v>30.2</v>
      </c>
      <c r="AF42" s="1"/>
      <c r="AG42" s="1">
        <f t="shared" si="7"/>
        <v>66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110</v>
      </c>
      <c r="B43" s="1" t="s">
        <v>42</v>
      </c>
      <c r="C43" s="1">
        <v>83</v>
      </c>
      <c r="D43" s="1">
        <v>276</v>
      </c>
      <c r="E43" s="1">
        <v>109</v>
      </c>
      <c r="F43" s="1">
        <v>251</v>
      </c>
      <c r="G43" s="7">
        <v>0.4</v>
      </c>
      <c r="H43" s="1">
        <v>45</v>
      </c>
      <c r="I43" s="1" t="s">
        <v>111</v>
      </c>
      <c r="J43" s="1"/>
      <c r="K43" s="1">
        <v>108</v>
      </c>
      <c r="L43" s="1">
        <f t="shared" si="9"/>
        <v>1</v>
      </c>
      <c r="M43" s="1"/>
      <c r="N43" s="1"/>
      <c r="O43" s="1"/>
      <c r="P43" s="1"/>
      <c r="Q43" s="1">
        <f t="shared" si="3"/>
        <v>21.8</v>
      </c>
      <c r="R43" s="5"/>
      <c r="S43" s="5">
        <f t="shared" si="8"/>
        <v>0</v>
      </c>
      <c r="T43" s="1">
        <f t="shared" si="5"/>
        <v>11.513761467889909</v>
      </c>
      <c r="U43" s="1">
        <f t="shared" si="6"/>
        <v>11.513761467889909</v>
      </c>
      <c r="V43" s="1">
        <v>19.600000000000001</v>
      </c>
      <c r="W43" s="1">
        <v>21.4</v>
      </c>
      <c r="X43" s="1">
        <v>24.4</v>
      </c>
      <c r="Y43" s="1">
        <v>27.8</v>
      </c>
      <c r="Z43" s="1">
        <v>42</v>
      </c>
      <c r="AA43" s="1">
        <v>32</v>
      </c>
      <c r="AB43" s="1">
        <v>16.8</v>
      </c>
      <c r="AC43" s="1">
        <v>16</v>
      </c>
      <c r="AD43" s="1">
        <v>12.2</v>
      </c>
      <c r="AE43" s="1">
        <v>37.6</v>
      </c>
      <c r="AF43" s="1"/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112</v>
      </c>
      <c r="B44" s="1" t="s">
        <v>35</v>
      </c>
      <c r="C44" s="1">
        <v>3.8</v>
      </c>
      <c r="D44" s="1">
        <v>169.45</v>
      </c>
      <c r="E44" s="1">
        <v>46.298000000000002</v>
      </c>
      <c r="F44" s="1">
        <v>141.44200000000001</v>
      </c>
      <c r="G44" s="7">
        <v>1</v>
      </c>
      <c r="H44" s="1">
        <v>40</v>
      </c>
      <c r="I44" s="1" t="s">
        <v>113</v>
      </c>
      <c r="J44" s="1"/>
      <c r="K44" s="1">
        <v>48</v>
      </c>
      <c r="L44" s="1">
        <f t="shared" si="9"/>
        <v>-1.7019999999999982</v>
      </c>
      <c r="M44" s="1"/>
      <c r="N44" s="1"/>
      <c r="O44" s="1"/>
      <c r="P44" s="1"/>
      <c r="Q44" s="1">
        <f t="shared" si="3"/>
        <v>9.2596000000000007</v>
      </c>
      <c r="R44" s="5"/>
      <c r="S44" s="5">
        <f t="shared" si="8"/>
        <v>0</v>
      </c>
      <c r="T44" s="1">
        <f t="shared" si="5"/>
        <v>15.275173873601451</v>
      </c>
      <c r="U44" s="1">
        <f t="shared" si="6"/>
        <v>15.275173873601451</v>
      </c>
      <c r="V44" s="1">
        <v>9.5682000000000009</v>
      </c>
      <c r="W44" s="1">
        <v>11.018000000000001</v>
      </c>
      <c r="X44" s="1">
        <v>14.236800000000001</v>
      </c>
      <c r="Y44" s="1">
        <v>11.3324</v>
      </c>
      <c r="Z44" s="1">
        <v>1.7376</v>
      </c>
      <c r="AA44" s="1">
        <v>1.3106</v>
      </c>
      <c r="AB44" s="1">
        <v>10.1592</v>
      </c>
      <c r="AC44" s="1">
        <v>6.6159999999999997</v>
      </c>
      <c r="AD44" s="1">
        <v>7.5105999999999993</v>
      </c>
      <c r="AE44" s="1">
        <v>10.436199999999999</v>
      </c>
      <c r="AF44" s="1"/>
      <c r="AG44" s="1">
        <f t="shared" si="7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114</v>
      </c>
      <c r="B45" s="1" t="s">
        <v>35</v>
      </c>
      <c r="C45" s="1">
        <v>62.098999999999997</v>
      </c>
      <c r="D45" s="1">
        <v>251.13800000000001</v>
      </c>
      <c r="E45" s="1">
        <v>143.22999999999999</v>
      </c>
      <c r="F45" s="1">
        <v>180.19200000000001</v>
      </c>
      <c r="G45" s="7">
        <v>1</v>
      </c>
      <c r="H45" s="1">
        <v>40</v>
      </c>
      <c r="I45" s="1" t="s">
        <v>115</v>
      </c>
      <c r="J45" s="1"/>
      <c r="K45" s="1">
        <v>120.1</v>
      </c>
      <c r="L45" s="1">
        <f t="shared" si="9"/>
        <v>23.129999999999995</v>
      </c>
      <c r="M45" s="1"/>
      <c r="N45" s="1"/>
      <c r="O45" s="1"/>
      <c r="P45" s="1"/>
      <c r="Q45" s="1">
        <f t="shared" si="3"/>
        <v>28.645999999999997</v>
      </c>
      <c r="R45" s="5">
        <f t="shared" si="4"/>
        <v>134.91399999999999</v>
      </c>
      <c r="S45" s="5">
        <f t="shared" si="8"/>
        <v>134.91399999999999</v>
      </c>
      <c r="T45" s="1">
        <f t="shared" si="5"/>
        <v>11</v>
      </c>
      <c r="U45" s="1">
        <f t="shared" si="6"/>
        <v>6.2903023109683733</v>
      </c>
      <c r="V45" s="1">
        <v>20.747199999999999</v>
      </c>
      <c r="W45" s="1">
        <v>18.888000000000002</v>
      </c>
      <c r="X45" s="1">
        <v>24.991</v>
      </c>
      <c r="Y45" s="1">
        <v>20.183199999999999</v>
      </c>
      <c r="Z45" s="1">
        <v>12.035600000000001</v>
      </c>
      <c r="AA45" s="1">
        <v>17.441600000000001</v>
      </c>
      <c r="AB45" s="1">
        <v>20.315000000000001</v>
      </c>
      <c r="AC45" s="1">
        <v>4.5293999999999999</v>
      </c>
      <c r="AD45" s="1">
        <v>18.5532</v>
      </c>
      <c r="AE45" s="1">
        <v>18.1004</v>
      </c>
      <c r="AF45" s="1"/>
      <c r="AG45" s="1">
        <f t="shared" si="7"/>
        <v>135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116</v>
      </c>
      <c r="B46" s="1" t="s">
        <v>42</v>
      </c>
      <c r="C46" s="1">
        <v>329</v>
      </c>
      <c r="D46" s="1">
        <v>540</v>
      </c>
      <c r="E46" s="1">
        <v>478</v>
      </c>
      <c r="F46" s="1">
        <v>412</v>
      </c>
      <c r="G46" s="7">
        <v>0.35</v>
      </c>
      <c r="H46" s="1">
        <v>40</v>
      </c>
      <c r="I46" s="1" t="s">
        <v>117</v>
      </c>
      <c r="J46" s="1"/>
      <c r="K46" s="1">
        <v>436</v>
      </c>
      <c r="L46" s="1">
        <f t="shared" si="9"/>
        <v>42</v>
      </c>
      <c r="M46" s="1"/>
      <c r="N46" s="1"/>
      <c r="O46" s="1">
        <v>109.54</v>
      </c>
      <c r="P46" s="1">
        <v>297.26</v>
      </c>
      <c r="Q46" s="1">
        <f t="shared" si="3"/>
        <v>95.6</v>
      </c>
      <c r="R46" s="5">
        <f t="shared" si="4"/>
        <v>232.79999999999995</v>
      </c>
      <c r="S46" s="5">
        <f>R46+$S$1*Q46</f>
        <v>156.31999999999994</v>
      </c>
      <c r="T46" s="1">
        <f t="shared" si="5"/>
        <v>10.199999999999999</v>
      </c>
      <c r="U46" s="1">
        <f t="shared" si="6"/>
        <v>8.564853556485355</v>
      </c>
      <c r="V46" s="1">
        <v>83</v>
      </c>
      <c r="W46" s="1">
        <v>71.8</v>
      </c>
      <c r="X46" s="1">
        <v>77.2</v>
      </c>
      <c r="Y46" s="1">
        <v>67.97999999999999</v>
      </c>
      <c r="Z46" s="1">
        <v>25.58</v>
      </c>
      <c r="AA46" s="1">
        <v>37.4</v>
      </c>
      <c r="AB46" s="1">
        <v>78</v>
      </c>
      <c r="AC46" s="1">
        <v>40</v>
      </c>
      <c r="AD46" s="1">
        <v>84.2</v>
      </c>
      <c r="AE46" s="1">
        <v>87.8</v>
      </c>
      <c r="AF46" s="1"/>
      <c r="AG46" s="1">
        <f t="shared" si="7"/>
        <v>55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118</v>
      </c>
      <c r="B47" s="1" t="s">
        <v>42</v>
      </c>
      <c r="C47" s="1">
        <v>32</v>
      </c>
      <c r="D47" s="1">
        <v>414</v>
      </c>
      <c r="E47" s="1">
        <v>398</v>
      </c>
      <c r="F47" s="1">
        <v>68</v>
      </c>
      <c r="G47" s="7">
        <v>0.4</v>
      </c>
      <c r="H47" s="1">
        <v>40</v>
      </c>
      <c r="I47" s="1" t="s">
        <v>119</v>
      </c>
      <c r="J47" s="1"/>
      <c r="K47" s="1">
        <v>377</v>
      </c>
      <c r="L47" s="1">
        <f t="shared" si="9"/>
        <v>21</v>
      </c>
      <c r="M47" s="1"/>
      <c r="N47" s="1"/>
      <c r="O47" s="1">
        <v>124.6</v>
      </c>
      <c r="P47" s="1">
        <v>363.4</v>
      </c>
      <c r="Q47" s="1">
        <f t="shared" si="3"/>
        <v>79.599999999999994</v>
      </c>
      <c r="R47" s="5">
        <f t="shared" si="4"/>
        <v>319.59999999999991</v>
      </c>
      <c r="S47" s="5">
        <f t="shared" si="8"/>
        <v>319.59999999999991</v>
      </c>
      <c r="T47" s="1">
        <f t="shared" si="5"/>
        <v>11</v>
      </c>
      <c r="U47" s="1">
        <f t="shared" si="6"/>
        <v>6.9849246231155782</v>
      </c>
      <c r="V47" s="1">
        <v>60</v>
      </c>
      <c r="W47" s="1">
        <v>42</v>
      </c>
      <c r="X47" s="1">
        <v>28.6</v>
      </c>
      <c r="Y47" s="1">
        <v>26.6</v>
      </c>
      <c r="Z47" s="1">
        <v>50.2</v>
      </c>
      <c r="AA47" s="1">
        <v>51.4</v>
      </c>
      <c r="AB47" s="1">
        <v>73.400000000000006</v>
      </c>
      <c r="AC47" s="1">
        <v>46.6</v>
      </c>
      <c r="AD47" s="1">
        <v>53</v>
      </c>
      <c r="AE47" s="1">
        <v>77</v>
      </c>
      <c r="AF47" s="1"/>
      <c r="AG47" s="1">
        <f t="shared" si="7"/>
        <v>128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120</v>
      </c>
      <c r="B48" s="1" t="s">
        <v>35</v>
      </c>
      <c r="C48" s="1">
        <v>1.333</v>
      </c>
      <c r="D48" s="1">
        <v>108.35899999999999</v>
      </c>
      <c r="E48" s="1">
        <v>57.045000000000002</v>
      </c>
      <c r="F48" s="1">
        <v>63.414000000000001</v>
      </c>
      <c r="G48" s="7">
        <v>1</v>
      </c>
      <c r="H48" s="1">
        <v>50</v>
      </c>
      <c r="I48" s="1" t="s">
        <v>121</v>
      </c>
      <c r="J48" s="1"/>
      <c r="K48" s="1">
        <v>42.75</v>
      </c>
      <c r="L48" s="1">
        <f t="shared" si="9"/>
        <v>14.295000000000002</v>
      </c>
      <c r="M48" s="1"/>
      <c r="N48" s="1"/>
      <c r="O48" s="1"/>
      <c r="P48" s="1"/>
      <c r="Q48" s="1">
        <f t="shared" si="3"/>
        <v>11.409000000000001</v>
      </c>
      <c r="R48" s="5">
        <f t="shared" si="4"/>
        <v>62.085000000000008</v>
      </c>
      <c r="S48" s="5">
        <f t="shared" si="8"/>
        <v>62.085000000000008</v>
      </c>
      <c r="T48" s="1">
        <f t="shared" si="5"/>
        <v>11</v>
      </c>
      <c r="U48" s="1">
        <f t="shared" si="6"/>
        <v>5.5582434919800159</v>
      </c>
      <c r="V48" s="1">
        <v>5.1622000000000003</v>
      </c>
      <c r="W48" s="1">
        <v>2.6922000000000001</v>
      </c>
      <c r="X48" s="1">
        <v>6.4640000000000004</v>
      </c>
      <c r="Y48" s="1">
        <v>7.74</v>
      </c>
      <c r="Z48" s="1">
        <v>4.5076000000000001</v>
      </c>
      <c r="AA48" s="1">
        <v>6.4640000000000004</v>
      </c>
      <c r="AB48" s="1">
        <v>6.4567999999999994</v>
      </c>
      <c r="AC48" s="1">
        <v>6.7715999999999994</v>
      </c>
      <c r="AD48" s="1">
        <v>7.5808000000000009</v>
      </c>
      <c r="AE48" s="1">
        <v>7.5367999999999986</v>
      </c>
      <c r="AF48" s="1"/>
      <c r="AG48" s="1">
        <f t="shared" si="7"/>
        <v>62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122</v>
      </c>
      <c r="B49" s="1" t="s">
        <v>35</v>
      </c>
      <c r="C49" s="1">
        <v>103.599</v>
      </c>
      <c r="D49" s="1">
        <v>271.53800000000001</v>
      </c>
      <c r="E49" s="1">
        <v>162.38900000000001</v>
      </c>
      <c r="F49" s="1">
        <v>232.9</v>
      </c>
      <c r="G49" s="7">
        <v>1</v>
      </c>
      <c r="H49" s="1">
        <v>50</v>
      </c>
      <c r="I49" s="1" t="s">
        <v>123</v>
      </c>
      <c r="J49" s="1"/>
      <c r="K49" s="1">
        <v>133</v>
      </c>
      <c r="L49" s="1">
        <f t="shared" si="9"/>
        <v>29.38900000000001</v>
      </c>
      <c r="M49" s="1"/>
      <c r="N49" s="1"/>
      <c r="O49" s="1"/>
      <c r="P49" s="1"/>
      <c r="Q49" s="1">
        <f t="shared" si="3"/>
        <v>32.477800000000002</v>
      </c>
      <c r="R49" s="5">
        <f t="shared" si="4"/>
        <v>124.35580000000002</v>
      </c>
      <c r="S49" s="5">
        <f t="shared" si="8"/>
        <v>124.35580000000002</v>
      </c>
      <c r="T49" s="1">
        <f t="shared" si="5"/>
        <v>11</v>
      </c>
      <c r="U49" s="1">
        <f t="shared" si="6"/>
        <v>7.1710522264439094</v>
      </c>
      <c r="V49" s="1">
        <v>18.959</v>
      </c>
      <c r="W49" s="1">
        <v>17.484999999999999</v>
      </c>
      <c r="X49" s="1">
        <v>29.415600000000001</v>
      </c>
      <c r="Y49" s="1">
        <v>25.074000000000002</v>
      </c>
      <c r="Z49" s="1">
        <v>17.300999999999998</v>
      </c>
      <c r="AA49" s="1">
        <v>22.004999999999999</v>
      </c>
      <c r="AB49" s="1">
        <v>25.757400000000001</v>
      </c>
      <c r="AC49" s="1">
        <v>6.9251999999999994</v>
      </c>
      <c r="AD49" s="1">
        <v>16.209599999999998</v>
      </c>
      <c r="AE49" s="1">
        <v>15.2142</v>
      </c>
      <c r="AF49" s="1"/>
      <c r="AG49" s="1">
        <f t="shared" si="7"/>
        <v>124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124</v>
      </c>
      <c r="B50" s="1" t="s">
        <v>35</v>
      </c>
      <c r="C50" s="1"/>
      <c r="D50" s="1">
        <v>54.139000000000003</v>
      </c>
      <c r="E50" s="1">
        <v>53.198</v>
      </c>
      <c r="F50" s="1">
        <v>-0.17100000000000001</v>
      </c>
      <c r="G50" s="7">
        <v>1</v>
      </c>
      <c r="H50" s="1">
        <v>45</v>
      </c>
      <c r="I50" s="1" t="s">
        <v>125</v>
      </c>
      <c r="J50" s="1"/>
      <c r="K50" s="1">
        <v>83.7</v>
      </c>
      <c r="L50" s="1">
        <f t="shared" si="9"/>
        <v>-30.502000000000002</v>
      </c>
      <c r="M50" s="1"/>
      <c r="N50" s="1"/>
      <c r="O50" s="1"/>
      <c r="P50" s="1">
        <v>78.92580000000001</v>
      </c>
      <c r="Q50" s="1">
        <f t="shared" si="3"/>
        <v>10.6396</v>
      </c>
      <c r="R50" s="5">
        <f t="shared" si="4"/>
        <v>38.280799999999992</v>
      </c>
      <c r="S50" s="5">
        <f t="shared" si="8"/>
        <v>38.280799999999992</v>
      </c>
      <c r="T50" s="1">
        <f t="shared" si="5"/>
        <v>11</v>
      </c>
      <c r="U50" s="1">
        <f t="shared" si="6"/>
        <v>7.4020451896687849</v>
      </c>
      <c r="V50" s="1">
        <v>9.4252000000000002</v>
      </c>
      <c r="W50" s="1">
        <v>0</v>
      </c>
      <c r="X50" s="1">
        <v>0</v>
      </c>
      <c r="Y50" s="1">
        <v>0</v>
      </c>
      <c r="Z50" s="1">
        <v>-0.30359999999999998</v>
      </c>
      <c r="AA50" s="1">
        <v>2.0486</v>
      </c>
      <c r="AB50" s="1">
        <v>29.5078</v>
      </c>
      <c r="AC50" s="1">
        <v>3.2395999999999998</v>
      </c>
      <c r="AD50" s="1">
        <v>14.295199999999999</v>
      </c>
      <c r="AE50" s="1">
        <v>18.4956</v>
      </c>
      <c r="AF50" s="1"/>
      <c r="AG50" s="1">
        <f t="shared" si="7"/>
        <v>38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126</v>
      </c>
      <c r="B51" s="1" t="s">
        <v>42</v>
      </c>
      <c r="C51" s="1">
        <v>2</v>
      </c>
      <c r="D51" s="1">
        <v>260</v>
      </c>
      <c r="E51" s="1">
        <v>109</v>
      </c>
      <c r="F51" s="1">
        <v>149</v>
      </c>
      <c r="G51" s="7">
        <v>0.45</v>
      </c>
      <c r="H51" s="1">
        <v>50</v>
      </c>
      <c r="I51" s="1" t="s">
        <v>127</v>
      </c>
      <c r="J51" s="1"/>
      <c r="K51" s="1">
        <v>113</v>
      </c>
      <c r="L51" s="1">
        <f t="shared" si="9"/>
        <v>-4</v>
      </c>
      <c r="M51" s="1"/>
      <c r="N51" s="1"/>
      <c r="O51" s="1"/>
      <c r="P51" s="1">
        <v>65.600000000000023</v>
      </c>
      <c r="Q51" s="1">
        <f t="shared" si="3"/>
        <v>21.8</v>
      </c>
      <c r="R51" s="5">
        <f t="shared" si="4"/>
        <v>25.199999999999989</v>
      </c>
      <c r="S51" s="5">
        <f t="shared" si="8"/>
        <v>25.199999999999989</v>
      </c>
      <c r="T51" s="1">
        <f t="shared" si="5"/>
        <v>11</v>
      </c>
      <c r="U51" s="1">
        <f t="shared" si="6"/>
        <v>9.8440366972477076</v>
      </c>
      <c r="V51" s="1">
        <v>22.8</v>
      </c>
      <c r="W51" s="1">
        <v>20.8</v>
      </c>
      <c r="X51" s="1">
        <v>17.399999999999999</v>
      </c>
      <c r="Y51" s="1">
        <v>23</v>
      </c>
      <c r="Z51" s="1">
        <v>36</v>
      </c>
      <c r="AA51" s="1">
        <v>29</v>
      </c>
      <c r="AB51" s="1">
        <v>28</v>
      </c>
      <c r="AC51" s="1">
        <v>7.2</v>
      </c>
      <c r="AD51" s="1">
        <v>42.6</v>
      </c>
      <c r="AE51" s="1">
        <v>32</v>
      </c>
      <c r="AF51" s="1"/>
      <c r="AG51" s="1">
        <f t="shared" si="7"/>
        <v>11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128</v>
      </c>
      <c r="B52" s="1" t="s">
        <v>42</v>
      </c>
      <c r="C52" s="1">
        <v>133</v>
      </c>
      <c r="D52" s="1">
        <v>350</v>
      </c>
      <c r="E52" s="1">
        <v>243</v>
      </c>
      <c r="F52" s="1">
        <v>251</v>
      </c>
      <c r="G52" s="7">
        <v>0.45</v>
      </c>
      <c r="H52" s="1">
        <v>50</v>
      </c>
      <c r="I52" s="1" t="s">
        <v>129</v>
      </c>
      <c r="J52" s="1"/>
      <c r="K52" s="1">
        <v>227</v>
      </c>
      <c r="L52" s="1">
        <f t="shared" si="9"/>
        <v>16</v>
      </c>
      <c r="M52" s="1"/>
      <c r="N52" s="1"/>
      <c r="O52" s="1"/>
      <c r="P52" s="1">
        <v>120</v>
      </c>
      <c r="Q52" s="1">
        <f t="shared" si="3"/>
        <v>48.6</v>
      </c>
      <c r="R52" s="5">
        <f t="shared" si="4"/>
        <v>163.60000000000002</v>
      </c>
      <c r="S52" s="5">
        <f t="shared" si="8"/>
        <v>163.60000000000002</v>
      </c>
      <c r="T52" s="1">
        <f t="shared" si="5"/>
        <v>11</v>
      </c>
      <c r="U52" s="1">
        <f t="shared" si="6"/>
        <v>7.6337448559670777</v>
      </c>
      <c r="V52" s="1">
        <v>40.6</v>
      </c>
      <c r="W52" s="1">
        <v>35.6</v>
      </c>
      <c r="X52" s="1">
        <v>40.6</v>
      </c>
      <c r="Y52" s="1">
        <v>40.4</v>
      </c>
      <c r="Z52" s="1">
        <v>42.6</v>
      </c>
      <c r="AA52" s="1">
        <v>49.2</v>
      </c>
      <c r="AB52" s="1">
        <v>37</v>
      </c>
      <c r="AC52" s="1">
        <v>23.4</v>
      </c>
      <c r="AD52" s="1">
        <v>35.200000000000003</v>
      </c>
      <c r="AE52" s="1">
        <v>34.799999999999997</v>
      </c>
      <c r="AF52" s="1"/>
      <c r="AG52" s="1">
        <f t="shared" si="7"/>
        <v>74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130</v>
      </c>
      <c r="B53" s="1" t="s">
        <v>42</v>
      </c>
      <c r="C53" s="1">
        <v>9</v>
      </c>
      <c r="D53" s="1">
        <v>306</v>
      </c>
      <c r="E53" s="1">
        <v>95</v>
      </c>
      <c r="F53" s="1">
        <v>222</v>
      </c>
      <c r="G53" s="7">
        <v>0.4</v>
      </c>
      <c r="H53" s="1">
        <v>40</v>
      </c>
      <c r="I53" s="1" t="s">
        <v>131</v>
      </c>
      <c r="J53" s="1"/>
      <c r="K53" s="1">
        <v>93</v>
      </c>
      <c r="L53" s="1">
        <f t="shared" si="9"/>
        <v>2</v>
      </c>
      <c r="M53" s="1"/>
      <c r="N53" s="1"/>
      <c r="O53" s="1"/>
      <c r="P53" s="1"/>
      <c r="Q53" s="1">
        <f t="shared" si="3"/>
        <v>19</v>
      </c>
      <c r="R53" s="5"/>
      <c r="S53" s="5">
        <f t="shared" si="8"/>
        <v>0</v>
      </c>
      <c r="T53" s="1">
        <f t="shared" si="5"/>
        <v>11.684210526315789</v>
      </c>
      <c r="U53" s="1">
        <f t="shared" si="6"/>
        <v>11.684210526315789</v>
      </c>
      <c r="V53" s="1">
        <v>9.1999999999999993</v>
      </c>
      <c r="W53" s="1">
        <v>1.2</v>
      </c>
      <c r="X53" s="1">
        <v>11.8</v>
      </c>
      <c r="Y53" s="1">
        <v>23</v>
      </c>
      <c r="Z53" s="1">
        <v>16.399999999999999</v>
      </c>
      <c r="AA53" s="1">
        <v>12.2</v>
      </c>
      <c r="AB53" s="1">
        <v>18.399999999999999</v>
      </c>
      <c r="AC53" s="1">
        <v>16.2</v>
      </c>
      <c r="AD53" s="1">
        <v>23.8</v>
      </c>
      <c r="AE53" s="1">
        <v>30.2</v>
      </c>
      <c r="AF53" s="1"/>
      <c r="AG53" s="1">
        <f t="shared" si="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132</v>
      </c>
      <c r="B54" s="1" t="s">
        <v>42</v>
      </c>
      <c r="C54" s="1">
        <v>10</v>
      </c>
      <c r="D54" s="1">
        <v>24</v>
      </c>
      <c r="E54" s="1">
        <v>44</v>
      </c>
      <c r="F54" s="1"/>
      <c r="G54" s="7">
        <v>0.4</v>
      </c>
      <c r="H54" s="1">
        <v>40</v>
      </c>
      <c r="I54" s="1" t="s">
        <v>133</v>
      </c>
      <c r="J54" s="1"/>
      <c r="K54" s="1">
        <v>60</v>
      </c>
      <c r="L54" s="1">
        <f t="shared" si="9"/>
        <v>-16</v>
      </c>
      <c r="M54" s="1"/>
      <c r="N54" s="1"/>
      <c r="O54" s="1">
        <v>88.367999999999995</v>
      </c>
      <c r="P54" s="1">
        <v>93.399999999999991</v>
      </c>
      <c r="Q54" s="1">
        <f t="shared" si="3"/>
        <v>8.8000000000000007</v>
      </c>
      <c r="R54" s="5"/>
      <c r="S54" s="5">
        <f t="shared" si="8"/>
        <v>0</v>
      </c>
      <c r="T54" s="1">
        <f t="shared" si="5"/>
        <v>20.655454545454539</v>
      </c>
      <c r="U54" s="1">
        <f t="shared" si="6"/>
        <v>20.655454545454539</v>
      </c>
      <c r="V54" s="1">
        <v>15.6</v>
      </c>
      <c r="W54" s="1">
        <v>14.2</v>
      </c>
      <c r="X54" s="1">
        <v>6</v>
      </c>
      <c r="Y54" s="1">
        <v>0.4</v>
      </c>
      <c r="Z54" s="1">
        <v>11</v>
      </c>
      <c r="AA54" s="1">
        <v>18.8</v>
      </c>
      <c r="AB54" s="1">
        <v>16.600000000000001</v>
      </c>
      <c r="AC54" s="1">
        <v>18</v>
      </c>
      <c r="AD54" s="1">
        <v>25.2</v>
      </c>
      <c r="AE54" s="1">
        <v>27.6</v>
      </c>
      <c r="AF54" s="1"/>
      <c r="AG54" s="1">
        <f t="shared" si="7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134</v>
      </c>
      <c r="B55" s="1" t="s">
        <v>35</v>
      </c>
      <c r="C55" s="1">
        <v>9.2940000000000005</v>
      </c>
      <c r="D55" s="1">
        <v>363.61399999999998</v>
      </c>
      <c r="E55" s="1">
        <v>97.331000000000003</v>
      </c>
      <c r="F55" s="1">
        <v>295.69299999999998</v>
      </c>
      <c r="G55" s="7">
        <v>1</v>
      </c>
      <c r="H55" s="1">
        <v>50</v>
      </c>
      <c r="I55" s="1" t="s">
        <v>135</v>
      </c>
      <c r="J55" s="1"/>
      <c r="K55" s="1">
        <v>85.7</v>
      </c>
      <c r="L55" s="1">
        <f t="shared" si="9"/>
        <v>11.631</v>
      </c>
      <c r="M55" s="1"/>
      <c r="N55" s="1"/>
      <c r="O55" s="1"/>
      <c r="P55" s="1"/>
      <c r="Q55" s="1">
        <f t="shared" si="3"/>
        <v>19.466200000000001</v>
      </c>
      <c r="R55" s="5"/>
      <c r="S55" s="5">
        <f t="shared" si="8"/>
        <v>0</v>
      </c>
      <c r="T55" s="1">
        <f t="shared" si="5"/>
        <v>15.190073049696396</v>
      </c>
      <c r="U55" s="1">
        <f t="shared" si="6"/>
        <v>15.190073049696396</v>
      </c>
      <c r="V55" s="1">
        <v>19.613600000000002</v>
      </c>
      <c r="W55" s="1">
        <v>23.474799999999998</v>
      </c>
      <c r="X55" s="1">
        <v>30.131599999999999</v>
      </c>
      <c r="Y55" s="1">
        <v>27.6572</v>
      </c>
      <c r="Z55" s="1">
        <v>10.188000000000001</v>
      </c>
      <c r="AA55" s="1">
        <v>11.5906</v>
      </c>
      <c r="AB55" s="1">
        <v>24.2422</v>
      </c>
      <c r="AC55" s="1">
        <v>12.941000000000001</v>
      </c>
      <c r="AD55" s="1">
        <v>20.411799999999999</v>
      </c>
      <c r="AE55" s="1">
        <v>15.2996</v>
      </c>
      <c r="AF55" s="1"/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136</v>
      </c>
      <c r="B56" s="1" t="s">
        <v>42</v>
      </c>
      <c r="C56" s="1"/>
      <c r="D56" s="1">
        <v>700</v>
      </c>
      <c r="E56" s="1">
        <v>229</v>
      </c>
      <c r="F56" s="1">
        <v>471</v>
      </c>
      <c r="G56" s="7">
        <v>0.1</v>
      </c>
      <c r="H56" s="1">
        <v>731</v>
      </c>
      <c r="I56" s="1" t="s">
        <v>137</v>
      </c>
      <c r="J56" s="1"/>
      <c r="K56" s="1">
        <v>172</v>
      </c>
      <c r="L56" s="1">
        <f t="shared" si="9"/>
        <v>57</v>
      </c>
      <c r="M56" s="1"/>
      <c r="N56" s="1"/>
      <c r="O56" s="1"/>
      <c r="P56" s="1"/>
      <c r="Q56" s="1">
        <f t="shared" si="3"/>
        <v>45.8</v>
      </c>
      <c r="R56" s="5">
        <f t="shared" si="4"/>
        <v>32.799999999999955</v>
      </c>
      <c r="S56" s="5">
        <f t="shared" si="8"/>
        <v>32.799999999999955</v>
      </c>
      <c r="T56" s="1">
        <f t="shared" si="5"/>
        <v>11</v>
      </c>
      <c r="U56" s="1">
        <f t="shared" si="6"/>
        <v>10.283842794759826</v>
      </c>
      <c r="V56" s="1">
        <v>44</v>
      </c>
      <c r="W56" s="1">
        <v>22</v>
      </c>
      <c r="X56" s="1">
        <v>45</v>
      </c>
      <c r="Y56" s="1">
        <v>59.4</v>
      </c>
      <c r="Z56" s="1">
        <v>43.8</v>
      </c>
      <c r="AA56" s="1">
        <v>44</v>
      </c>
      <c r="AB56" s="1">
        <v>24.6</v>
      </c>
      <c r="AC56" s="1">
        <v>34.6</v>
      </c>
      <c r="AD56" s="1">
        <v>19.2</v>
      </c>
      <c r="AE56" s="1">
        <v>28.4</v>
      </c>
      <c r="AF56" s="1"/>
      <c r="AG56" s="1">
        <f t="shared" si="7"/>
        <v>3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138</v>
      </c>
      <c r="B57" s="1" t="s">
        <v>35</v>
      </c>
      <c r="C57" s="1">
        <v>18.981000000000002</v>
      </c>
      <c r="D57" s="1">
        <v>238.92</v>
      </c>
      <c r="E57" s="1">
        <v>108.57899999999999</v>
      </c>
      <c r="F57" s="1">
        <v>165.59100000000001</v>
      </c>
      <c r="G57" s="7">
        <v>1</v>
      </c>
      <c r="H57" s="1">
        <v>50</v>
      </c>
      <c r="I57" s="1" t="s">
        <v>139</v>
      </c>
      <c r="J57" s="1"/>
      <c r="K57" s="1">
        <v>78.849999999999994</v>
      </c>
      <c r="L57" s="1">
        <f t="shared" si="9"/>
        <v>29.728999999999999</v>
      </c>
      <c r="M57" s="1"/>
      <c r="N57" s="1"/>
      <c r="O57" s="1"/>
      <c r="P57" s="1"/>
      <c r="Q57" s="1">
        <f t="shared" si="3"/>
        <v>21.715799999999998</v>
      </c>
      <c r="R57" s="5">
        <f t="shared" si="4"/>
        <v>73.28279999999998</v>
      </c>
      <c r="S57" s="5">
        <f t="shared" si="8"/>
        <v>73.28279999999998</v>
      </c>
      <c r="T57" s="1">
        <f t="shared" si="5"/>
        <v>11</v>
      </c>
      <c r="U57" s="1">
        <f t="shared" si="6"/>
        <v>7.6253695465974092</v>
      </c>
      <c r="V57" s="1">
        <v>16.465399999999999</v>
      </c>
      <c r="W57" s="1">
        <v>16.174800000000001</v>
      </c>
      <c r="X57" s="1">
        <v>20.6662</v>
      </c>
      <c r="Y57" s="1">
        <v>20.6676</v>
      </c>
      <c r="Z57" s="1">
        <v>20.402799999999999</v>
      </c>
      <c r="AA57" s="1">
        <v>18.515999999999998</v>
      </c>
      <c r="AB57" s="1">
        <v>5.1243999999999996</v>
      </c>
      <c r="AC57" s="1">
        <v>12.113200000000001</v>
      </c>
      <c r="AD57" s="1">
        <v>9.4244000000000003</v>
      </c>
      <c r="AE57" s="1">
        <v>10.9678</v>
      </c>
      <c r="AF57" s="1"/>
      <c r="AG57" s="1">
        <f t="shared" si="7"/>
        <v>73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140</v>
      </c>
      <c r="B58" s="1" t="s">
        <v>35</v>
      </c>
      <c r="C58" s="1">
        <v>-5.8000000000000003E-2</v>
      </c>
      <c r="D58" s="1">
        <v>54.042999999999999</v>
      </c>
      <c r="E58" s="1">
        <v>27.018999999999998</v>
      </c>
      <c r="F58" s="1">
        <v>33.723999999999997</v>
      </c>
      <c r="G58" s="7">
        <v>1</v>
      </c>
      <c r="H58" s="1">
        <v>55</v>
      </c>
      <c r="I58" s="1" t="s">
        <v>141</v>
      </c>
      <c r="J58" s="1"/>
      <c r="K58" s="1">
        <v>19.45</v>
      </c>
      <c r="L58" s="1">
        <f t="shared" si="9"/>
        <v>7.5689999999999991</v>
      </c>
      <c r="M58" s="1"/>
      <c r="N58" s="1"/>
      <c r="O58" s="1"/>
      <c r="P58" s="1">
        <v>3.5927999999999969</v>
      </c>
      <c r="Q58" s="1">
        <f t="shared" si="3"/>
        <v>5.4037999999999995</v>
      </c>
      <c r="R58" s="5">
        <f t="shared" si="4"/>
        <v>22.125</v>
      </c>
      <c r="S58" s="5">
        <f t="shared" si="8"/>
        <v>22.125</v>
      </c>
      <c r="T58" s="1">
        <f t="shared" si="5"/>
        <v>11</v>
      </c>
      <c r="U58" s="1">
        <f t="shared" si="6"/>
        <v>6.9056589807172726</v>
      </c>
      <c r="V58" s="1">
        <v>4.0573999999999986</v>
      </c>
      <c r="W58" s="1">
        <v>2.7052</v>
      </c>
      <c r="X58" s="1">
        <v>1.0808</v>
      </c>
      <c r="Y58" s="1">
        <v>2.1631999999999998</v>
      </c>
      <c r="Z58" s="1">
        <v>5.6636000000000006</v>
      </c>
      <c r="AA58" s="1">
        <v>6.7619999999999996</v>
      </c>
      <c r="AB58" s="1">
        <v>3.774</v>
      </c>
      <c r="AC58" s="1">
        <v>3.25</v>
      </c>
      <c r="AD58" s="1">
        <v>3.2517999999999998</v>
      </c>
      <c r="AE58" s="1">
        <v>5.1604000000000001</v>
      </c>
      <c r="AF58" s="1"/>
      <c r="AG58" s="1">
        <f t="shared" si="7"/>
        <v>22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142</v>
      </c>
      <c r="B59" s="1" t="s">
        <v>42</v>
      </c>
      <c r="C59" s="1"/>
      <c r="D59" s="1">
        <v>600</v>
      </c>
      <c r="E59" s="1">
        <v>194</v>
      </c>
      <c r="F59" s="1">
        <v>411</v>
      </c>
      <c r="G59" s="7">
        <v>0.1</v>
      </c>
      <c r="H59" s="1">
        <v>731</v>
      </c>
      <c r="I59" s="1" t="s">
        <v>143</v>
      </c>
      <c r="J59" s="1"/>
      <c r="K59" s="1">
        <v>132</v>
      </c>
      <c r="L59" s="1">
        <f t="shared" si="9"/>
        <v>62</v>
      </c>
      <c r="M59" s="1"/>
      <c r="N59" s="1"/>
      <c r="O59" s="1"/>
      <c r="P59" s="1"/>
      <c r="Q59" s="1">
        <f t="shared" si="3"/>
        <v>38.799999999999997</v>
      </c>
      <c r="R59" s="5">
        <f t="shared" si="4"/>
        <v>15.799999999999955</v>
      </c>
      <c r="S59" s="5">
        <f t="shared" si="8"/>
        <v>15.799999999999955</v>
      </c>
      <c r="T59" s="1">
        <f t="shared" si="5"/>
        <v>11</v>
      </c>
      <c r="U59" s="1">
        <f t="shared" si="6"/>
        <v>10.592783505154641</v>
      </c>
      <c r="V59" s="1">
        <v>36</v>
      </c>
      <c r="W59" s="1">
        <v>32.6</v>
      </c>
      <c r="X59" s="1">
        <v>50.2</v>
      </c>
      <c r="Y59" s="1">
        <v>53</v>
      </c>
      <c r="Z59" s="1">
        <v>35.6</v>
      </c>
      <c r="AA59" s="1">
        <v>34</v>
      </c>
      <c r="AB59" s="1">
        <v>33</v>
      </c>
      <c r="AC59" s="1">
        <v>26.2</v>
      </c>
      <c r="AD59" s="1">
        <v>19.600000000000001</v>
      </c>
      <c r="AE59" s="1">
        <v>33.4</v>
      </c>
      <c r="AF59" s="1"/>
      <c r="AG59" s="1">
        <f t="shared" si="7"/>
        <v>2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144</v>
      </c>
      <c r="B60" s="1" t="s">
        <v>42</v>
      </c>
      <c r="C60" s="1">
        <v>1</v>
      </c>
      <c r="D60" s="1">
        <v>40</v>
      </c>
      <c r="E60" s="1">
        <v>38</v>
      </c>
      <c r="F60" s="1">
        <v>4</v>
      </c>
      <c r="G60" s="7">
        <v>0.4</v>
      </c>
      <c r="H60" s="1">
        <v>50</v>
      </c>
      <c r="I60" s="1" t="s">
        <v>145</v>
      </c>
      <c r="J60" s="1"/>
      <c r="K60" s="1">
        <v>37</v>
      </c>
      <c r="L60" s="1">
        <f t="shared" si="9"/>
        <v>1</v>
      </c>
      <c r="M60" s="1"/>
      <c r="N60" s="1"/>
      <c r="O60" s="1"/>
      <c r="P60" s="1">
        <v>32.599999999999987</v>
      </c>
      <c r="Q60" s="1">
        <f t="shared" si="3"/>
        <v>7.6</v>
      </c>
      <c r="R60" s="5">
        <f t="shared" si="4"/>
        <v>47.000000000000007</v>
      </c>
      <c r="S60" s="5">
        <f t="shared" si="8"/>
        <v>47.000000000000007</v>
      </c>
      <c r="T60" s="1">
        <f t="shared" si="5"/>
        <v>11</v>
      </c>
      <c r="U60" s="1">
        <f t="shared" si="6"/>
        <v>4.8157894736842088</v>
      </c>
      <c r="V60" s="1">
        <v>4.8</v>
      </c>
      <c r="W60" s="1">
        <v>3.6</v>
      </c>
      <c r="X60" s="1">
        <v>3</v>
      </c>
      <c r="Y60" s="1">
        <v>2.2000000000000002</v>
      </c>
      <c r="Z60" s="1">
        <v>5.2</v>
      </c>
      <c r="AA60" s="1">
        <v>5.4</v>
      </c>
      <c r="AB60" s="1">
        <v>4.2</v>
      </c>
      <c r="AC60" s="1">
        <v>4.4000000000000004</v>
      </c>
      <c r="AD60" s="1">
        <v>6.6</v>
      </c>
      <c r="AE60" s="1">
        <v>4</v>
      </c>
      <c r="AF60" s="1"/>
      <c r="AG60" s="1">
        <f t="shared" si="7"/>
        <v>19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146</v>
      </c>
      <c r="B61" s="1" t="s">
        <v>35</v>
      </c>
      <c r="C61" s="1"/>
      <c r="D61" s="1">
        <v>41.276000000000003</v>
      </c>
      <c r="E61" s="1">
        <v>15.305999999999999</v>
      </c>
      <c r="F61" s="1">
        <v>25.97</v>
      </c>
      <c r="G61" s="7">
        <v>1</v>
      </c>
      <c r="H61" s="1">
        <v>40</v>
      </c>
      <c r="I61" s="1" t="s">
        <v>147</v>
      </c>
      <c r="J61" s="1"/>
      <c r="K61" s="1">
        <v>16.7</v>
      </c>
      <c r="L61" s="1">
        <f t="shared" si="9"/>
        <v>-1.3940000000000001</v>
      </c>
      <c r="M61" s="1"/>
      <c r="N61" s="1"/>
      <c r="O61" s="1"/>
      <c r="P61" s="1"/>
      <c r="Q61" s="1">
        <f t="shared" si="3"/>
        <v>3.0611999999999999</v>
      </c>
      <c r="R61" s="5">
        <f t="shared" si="4"/>
        <v>7.7032000000000025</v>
      </c>
      <c r="S61" s="5">
        <f t="shared" si="8"/>
        <v>7.7032000000000025</v>
      </c>
      <c r="T61" s="1">
        <f t="shared" si="5"/>
        <v>11</v>
      </c>
      <c r="U61" s="1">
        <f t="shared" si="6"/>
        <v>8.4836012021429497</v>
      </c>
      <c r="V61" s="1">
        <v>0.83219999999999994</v>
      </c>
      <c r="W61" s="1">
        <v>0</v>
      </c>
      <c r="X61" s="1">
        <v>0</v>
      </c>
      <c r="Y61" s="1">
        <v>0</v>
      </c>
      <c r="Z61" s="1">
        <v>3.2136</v>
      </c>
      <c r="AA61" s="1">
        <v>3.2136</v>
      </c>
      <c r="AB61" s="1">
        <v>1.5266</v>
      </c>
      <c r="AC61" s="1">
        <v>2.9758</v>
      </c>
      <c r="AD61" s="1">
        <v>3.5434000000000001</v>
      </c>
      <c r="AE61" s="1">
        <v>2.2618</v>
      </c>
      <c r="AF61" s="1"/>
      <c r="AG61" s="1">
        <f t="shared" si="7"/>
        <v>8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148</v>
      </c>
      <c r="B62" s="1" t="s">
        <v>35</v>
      </c>
      <c r="C62" s="1">
        <v>80.212999999999994</v>
      </c>
      <c r="D62" s="1">
        <v>106.764</v>
      </c>
      <c r="E62" s="1">
        <v>45.725000000000001</v>
      </c>
      <c r="F62" s="1">
        <v>145.29400000000001</v>
      </c>
      <c r="G62" s="7">
        <v>1</v>
      </c>
      <c r="H62" s="1">
        <v>40</v>
      </c>
      <c r="I62" s="1" t="s">
        <v>149</v>
      </c>
      <c r="J62" s="1"/>
      <c r="K62" s="1">
        <v>41.8</v>
      </c>
      <c r="L62" s="1">
        <f t="shared" si="9"/>
        <v>3.9250000000000043</v>
      </c>
      <c r="M62" s="1"/>
      <c r="N62" s="1"/>
      <c r="O62" s="1"/>
      <c r="P62" s="1"/>
      <c r="Q62" s="1">
        <f t="shared" si="3"/>
        <v>9.1449999999999996</v>
      </c>
      <c r="R62" s="5"/>
      <c r="S62" s="5">
        <f t="shared" si="8"/>
        <v>0</v>
      </c>
      <c r="T62" s="1">
        <f t="shared" si="5"/>
        <v>15.887807545106618</v>
      </c>
      <c r="U62" s="1">
        <f t="shared" si="6"/>
        <v>15.887807545106618</v>
      </c>
      <c r="V62" s="1">
        <v>8.0937999999999999</v>
      </c>
      <c r="W62" s="1">
        <v>4.8628</v>
      </c>
      <c r="X62" s="1">
        <v>0</v>
      </c>
      <c r="Y62" s="1">
        <v>1.8466</v>
      </c>
      <c r="Z62" s="1">
        <v>17.136600000000001</v>
      </c>
      <c r="AA62" s="1">
        <v>19.513000000000002</v>
      </c>
      <c r="AB62" s="1">
        <v>-6.1999999999999998E-3</v>
      </c>
      <c r="AC62" s="1">
        <v>10.728199999999999</v>
      </c>
      <c r="AD62" s="1">
        <v>2.1617999999999999</v>
      </c>
      <c r="AE62" s="1">
        <v>3.5118</v>
      </c>
      <c r="AF62" s="1"/>
      <c r="AG62" s="1">
        <f t="shared" si="7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150</v>
      </c>
      <c r="B63" s="1" t="s">
        <v>42</v>
      </c>
      <c r="C63" s="1">
        <v>385</v>
      </c>
      <c r="D63" s="1">
        <v>855</v>
      </c>
      <c r="E63" s="1">
        <v>563</v>
      </c>
      <c r="F63" s="1">
        <v>715</v>
      </c>
      <c r="G63" s="7">
        <v>0.4</v>
      </c>
      <c r="H63" s="1">
        <v>40</v>
      </c>
      <c r="I63" s="1" t="s">
        <v>151</v>
      </c>
      <c r="J63" s="1"/>
      <c r="K63" s="1">
        <v>518</v>
      </c>
      <c r="L63" s="1">
        <f t="shared" si="9"/>
        <v>45</v>
      </c>
      <c r="M63" s="1"/>
      <c r="N63" s="1"/>
      <c r="O63" s="1"/>
      <c r="P63" s="1">
        <v>122.8400000000001</v>
      </c>
      <c r="Q63" s="1">
        <f t="shared" si="3"/>
        <v>112.6</v>
      </c>
      <c r="R63" s="5">
        <f t="shared" si="4"/>
        <v>400.75999999999976</v>
      </c>
      <c r="S63" s="5">
        <f>R63+$S$1*Q63</f>
        <v>310.67999999999978</v>
      </c>
      <c r="T63" s="1">
        <f t="shared" si="5"/>
        <v>10.200000000000001</v>
      </c>
      <c r="U63" s="1">
        <f t="shared" si="6"/>
        <v>7.4408525754884565</v>
      </c>
      <c r="V63" s="1">
        <v>85.6</v>
      </c>
      <c r="W63" s="1">
        <v>71.599999999999994</v>
      </c>
      <c r="X63" s="1">
        <v>109.6</v>
      </c>
      <c r="Y63" s="1">
        <v>96.8</v>
      </c>
      <c r="Z63" s="1">
        <v>28.4</v>
      </c>
      <c r="AA63" s="1">
        <v>40</v>
      </c>
      <c r="AB63" s="1">
        <v>106.4</v>
      </c>
      <c r="AC63" s="1">
        <v>50.4</v>
      </c>
      <c r="AD63" s="1">
        <v>89</v>
      </c>
      <c r="AE63" s="1">
        <v>75.8</v>
      </c>
      <c r="AF63" s="1"/>
      <c r="AG63" s="1">
        <f t="shared" si="7"/>
        <v>124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152</v>
      </c>
      <c r="B64" s="1" t="s">
        <v>42</v>
      </c>
      <c r="C64" s="1">
        <v>11</v>
      </c>
      <c r="D64" s="1">
        <v>916</v>
      </c>
      <c r="E64" s="1">
        <v>362</v>
      </c>
      <c r="F64" s="1">
        <v>578</v>
      </c>
      <c r="G64" s="7">
        <v>0.4</v>
      </c>
      <c r="H64" s="1">
        <v>40</v>
      </c>
      <c r="I64" s="1" t="s">
        <v>153</v>
      </c>
      <c r="J64" s="1"/>
      <c r="K64" s="1">
        <v>345</v>
      </c>
      <c r="L64" s="1">
        <f t="shared" si="9"/>
        <v>17</v>
      </c>
      <c r="M64" s="1"/>
      <c r="N64" s="1"/>
      <c r="O64" s="1"/>
      <c r="P64" s="1"/>
      <c r="Q64" s="1">
        <f t="shared" si="3"/>
        <v>72.400000000000006</v>
      </c>
      <c r="R64" s="5">
        <f t="shared" si="4"/>
        <v>218.40000000000009</v>
      </c>
      <c r="S64" s="5">
        <f t="shared" si="8"/>
        <v>218.40000000000009</v>
      </c>
      <c r="T64" s="1">
        <f t="shared" si="5"/>
        <v>11</v>
      </c>
      <c r="U64" s="1">
        <f t="shared" si="6"/>
        <v>7.9834254143646399</v>
      </c>
      <c r="V64" s="1">
        <v>47.8</v>
      </c>
      <c r="W64" s="1">
        <v>37.4</v>
      </c>
      <c r="X64" s="1">
        <v>71.599999999999994</v>
      </c>
      <c r="Y64" s="1">
        <v>76.599999999999994</v>
      </c>
      <c r="Z64" s="1">
        <v>54.2</v>
      </c>
      <c r="AA64" s="1">
        <v>24</v>
      </c>
      <c r="AB64" s="1">
        <v>59.8</v>
      </c>
      <c r="AC64" s="1">
        <v>28.2</v>
      </c>
      <c r="AD64" s="1">
        <v>41</v>
      </c>
      <c r="AE64" s="1">
        <v>67.8</v>
      </c>
      <c r="AF64" s="1"/>
      <c r="AG64" s="1">
        <f t="shared" si="7"/>
        <v>87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154</v>
      </c>
      <c r="B65" s="1" t="s">
        <v>35</v>
      </c>
      <c r="C65" s="1">
        <v>38.308999999999997</v>
      </c>
      <c r="D65" s="1">
        <v>204.666</v>
      </c>
      <c r="E65" s="1">
        <v>201.12899999999999</v>
      </c>
      <c r="F65" s="1">
        <v>40.917000000000002</v>
      </c>
      <c r="G65" s="7">
        <v>1</v>
      </c>
      <c r="H65" s="1">
        <v>40</v>
      </c>
      <c r="I65" s="1" t="s">
        <v>155</v>
      </c>
      <c r="J65" s="1"/>
      <c r="K65" s="1">
        <v>174.3</v>
      </c>
      <c r="L65" s="1">
        <f t="shared" si="9"/>
        <v>26.828999999999979</v>
      </c>
      <c r="M65" s="1"/>
      <c r="N65" s="1"/>
      <c r="O65" s="1"/>
      <c r="P65" s="1">
        <v>203.45</v>
      </c>
      <c r="Q65" s="1">
        <f t="shared" si="3"/>
        <v>40.2258</v>
      </c>
      <c r="R65" s="5">
        <f t="shared" si="4"/>
        <v>198.11679999999998</v>
      </c>
      <c r="S65" s="5">
        <f t="shared" si="8"/>
        <v>198.11679999999998</v>
      </c>
      <c r="T65" s="1">
        <f t="shared" si="5"/>
        <v>11</v>
      </c>
      <c r="U65" s="1">
        <f t="shared" si="6"/>
        <v>6.0748822894759087</v>
      </c>
      <c r="V65" s="1">
        <v>30.734999999999999</v>
      </c>
      <c r="W65" s="1">
        <v>15.739000000000001</v>
      </c>
      <c r="X65" s="1">
        <v>10.629</v>
      </c>
      <c r="Y65" s="1">
        <v>20.083200000000001</v>
      </c>
      <c r="Z65" s="1">
        <v>31.709599999999998</v>
      </c>
      <c r="AA65" s="1">
        <v>30.7652</v>
      </c>
      <c r="AB65" s="1">
        <v>27.3794</v>
      </c>
      <c r="AC65" s="1">
        <v>29.851400000000002</v>
      </c>
      <c r="AD65" s="1">
        <v>27.0808</v>
      </c>
      <c r="AE65" s="1">
        <v>20.95</v>
      </c>
      <c r="AF65" s="1"/>
      <c r="AG65" s="1">
        <f t="shared" si="7"/>
        <v>198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156</v>
      </c>
      <c r="B66" s="1" t="s">
        <v>35</v>
      </c>
      <c r="C66" s="1">
        <v>30.065000000000001</v>
      </c>
      <c r="D66" s="1">
        <v>353.67700000000002</v>
      </c>
      <c r="E66" s="1">
        <v>184.65100000000001</v>
      </c>
      <c r="F66" s="1">
        <v>206.185</v>
      </c>
      <c r="G66" s="7">
        <v>1</v>
      </c>
      <c r="H66" s="1">
        <v>40</v>
      </c>
      <c r="I66" s="1" t="s">
        <v>157</v>
      </c>
      <c r="J66" s="1"/>
      <c r="K66" s="1">
        <v>151.5</v>
      </c>
      <c r="L66" s="1">
        <f t="shared" si="9"/>
        <v>33.15100000000001</v>
      </c>
      <c r="M66" s="1"/>
      <c r="N66" s="1"/>
      <c r="O66" s="1"/>
      <c r="P66" s="1">
        <v>14.46888000000007</v>
      </c>
      <c r="Q66" s="1">
        <f t="shared" si="3"/>
        <v>36.930199999999999</v>
      </c>
      <c r="R66" s="5">
        <f t="shared" si="4"/>
        <v>185.57831999999991</v>
      </c>
      <c r="S66" s="5">
        <f t="shared" si="8"/>
        <v>185.57831999999991</v>
      </c>
      <c r="T66" s="1">
        <f t="shared" si="5"/>
        <v>11</v>
      </c>
      <c r="U66" s="1">
        <f t="shared" si="6"/>
        <v>5.9748899274848251</v>
      </c>
      <c r="V66" s="1">
        <v>26.832999999999998</v>
      </c>
      <c r="W66" s="1">
        <v>11.881</v>
      </c>
      <c r="X66" s="1">
        <v>23.1356</v>
      </c>
      <c r="Y66" s="1">
        <v>31.2576</v>
      </c>
      <c r="Z66" s="1">
        <v>30.326599999999999</v>
      </c>
      <c r="AA66" s="1">
        <v>27.802</v>
      </c>
      <c r="AB66" s="1">
        <v>26.757999999999999</v>
      </c>
      <c r="AC66" s="1">
        <v>25.724399999999999</v>
      </c>
      <c r="AD66" s="1">
        <v>24.2698</v>
      </c>
      <c r="AE66" s="1">
        <v>23.049399999999999</v>
      </c>
      <c r="AF66" s="1"/>
      <c r="AG66" s="1">
        <f t="shared" si="7"/>
        <v>186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158</v>
      </c>
      <c r="B67" s="1" t="s">
        <v>35</v>
      </c>
      <c r="C67" s="1">
        <v>147.63999999999999</v>
      </c>
      <c r="D67" s="1">
        <v>1174.712</v>
      </c>
      <c r="E67" s="1">
        <v>404.59899999999999</v>
      </c>
      <c r="F67" s="1">
        <v>940.79499999999996</v>
      </c>
      <c r="G67" s="7">
        <v>1</v>
      </c>
      <c r="H67" s="1">
        <v>40</v>
      </c>
      <c r="I67" s="1" t="s">
        <v>159</v>
      </c>
      <c r="J67" s="1"/>
      <c r="K67" s="1">
        <v>331.3</v>
      </c>
      <c r="L67" s="1">
        <f t="shared" si="9"/>
        <v>73.298999999999978</v>
      </c>
      <c r="M67" s="1"/>
      <c r="N67" s="1"/>
      <c r="O67" s="1"/>
      <c r="P67" s="1"/>
      <c r="Q67" s="1">
        <f t="shared" si="3"/>
        <v>80.919799999999995</v>
      </c>
      <c r="R67" s="5"/>
      <c r="S67" s="5">
        <f t="shared" si="8"/>
        <v>0</v>
      </c>
      <c r="T67" s="1">
        <f t="shared" si="5"/>
        <v>11.626264523639456</v>
      </c>
      <c r="U67" s="1">
        <f t="shared" si="6"/>
        <v>11.626264523639456</v>
      </c>
      <c r="V67" s="1">
        <v>73.772799999999989</v>
      </c>
      <c r="W67" s="1">
        <v>73.477000000000004</v>
      </c>
      <c r="X67" s="1">
        <v>111.7908</v>
      </c>
      <c r="Y67" s="1">
        <v>92.128999999999991</v>
      </c>
      <c r="Z67" s="1">
        <v>74.011400000000009</v>
      </c>
      <c r="AA67" s="1">
        <v>96.486999999999995</v>
      </c>
      <c r="AB67" s="1">
        <v>88.301000000000002</v>
      </c>
      <c r="AC67" s="1">
        <v>78.686999999999998</v>
      </c>
      <c r="AD67" s="1">
        <v>85.581600000000009</v>
      </c>
      <c r="AE67" s="1">
        <v>81.859200000000001</v>
      </c>
      <c r="AF67" s="1"/>
      <c r="AG67" s="1">
        <f t="shared" si="7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160</v>
      </c>
      <c r="B68" s="1" t="s">
        <v>35</v>
      </c>
      <c r="C68" s="1">
        <v>13.725</v>
      </c>
      <c r="D68" s="1">
        <v>369.803</v>
      </c>
      <c r="E68" s="1">
        <v>163.63300000000001</v>
      </c>
      <c r="F68" s="1">
        <v>218.982</v>
      </c>
      <c r="G68" s="7">
        <v>1</v>
      </c>
      <c r="H68" s="1">
        <v>40</v>
      </c>
      <c r="I68" s="1" t="s">
        <v>161</v>
      </c>
      <c r="J68" s="1"/>
      <c r="K68" s="1">
        <v>138.80000000000001</v>
      </c>
      <c r="L68" s="1">
        <f t="shared" si="9"/>
        <v>24.832999999999998</v>
      </c>
      <c r="M68" s="1"/>
      <c r="N68" s="1"/>
      <c r="O68" s="1"/>
      <c r="P68" s="1"/>
      <c r="Q68" s="1">
        <f t="shared" si="3"/>
        <v>32.726600000000005</v>
      </c>
      <c r="R68" s="5">
        <f t="shared" si="4"/>
        <v>141.01060000000004</v>
      </c>
      <c r="S68" s="5">
        <f t="shared" si="8"/>
        <v>141.01060000000004</v>
      </c>
      <c r="T68" s="1">
        <f t="shared" si="5"/>
        <v>11</v>
      </c>
      <c r="U68" s="1">
        <f t="shared" si="6"/>
        <v>6.6912542091142972</v>
      </c>
      <c r="V68" s="1">
        <v>26.318200000000001</v>
      </c>
      <c r="W68" s="1">
        <v>15.6272</v>
      </c>
      <c r="X68" s="1">
        <v>17.955400000000001</v>
      </c>
      <c r="Y68" s="1">
        <v>33.378999999999998</v>
      </c>
      <c r="Z68" s="1">
        <v>41.163799999999988</v>
      </c>
      <c r="AA68" s="1">
        <v>30.2788</v>
      </c>
      <c r="AB68" s="1">
        <v>22.077200000000001</v>
      </c>
      <c r="AC68" s="1">
        <v>26.0336</v>
      </c>
      <c r="AD68" s="1">
        <v>22.261199999999999</v>
      </c>
      <c r="AE68" s="1">
        <v>28.153199999999998</v>
      </c>
      <c r="AF68" s="1"/>
      <c r="AG68" s="1">
        <f t="shared" si="7"/>
        <v>141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162</v>
      </c>
      <c r="B69" s="1" t="s">
        <v>42</v>
      </c>
      <c r="C69" s="1">
        <v>28</v>
      </c>
      <c r="D69" s="1">
        <v>24</v>
      </c>
      <c r="E69" s="1">
        <v>27</v>
      </c>
      <c r="F69" s="1">
        <v>25</v>
      </c>
      <c r="G69" s="7">
        <v>0.6</v>
      </c>
      <c r="H69" s="1">
        <v>70</v>
      </c>
      <c r="I69" s="1" t="s">
        <v>163</v>
      </c>
      <c r="J69" s="1"/>
      <c r="K69" s="1">
        <v>24</v>
      </c>
      <c r="L69" s="1">
        <f t="shared" ref="L69:L100" si="10">E69-K69</f>
        <v>3</v>
      </c>
      <c r="M69" s="1"/>
      <c r="N69" s="1"/>
      <c r="O69" s="1"/>
      <c r="P69" s="1"/>
      <c r="Q69" s="1">
        <f t="shared" si="3"/>
        <v>5.4</v>
      </c>
      <c r="R69" s="5">
        <f t="shared" si="4"/>
        <v>34.400000000000006</v>
      </c>
      <c r="S69" s="5">
        <f t="shared" si="8"/>
        <v>34.400000000000006</v>
      </c>
      <c r="T69" s="1">
        <f t="shared" si="5"/>
        <v>11</v>
      </c>
      <c r="U69" s="1">
        <f t="shared" si="6"/>
        <v>4.6296296296296298</v>
      </c>
      <c r="V69" s="1">
        <v>2</v>
      </c>
      <c r="W69" s="1">
        <v>1.8</v>
      </c>
      <c r="X69" s="1">
        <v>2.8</v>
      </c>
      <c r="Y69" s="1">
        <v>2.2000000000000002</v>
      </c>
      <c r="Z69" s="1">
        <v>2</v>
      </c>
      <c r="AA69" s="1">
        <v>3</v>
      </c>
      <c r="AB69" s="1">
        <v>4.8</v>
      </c>
      <c r="AC69" s="1">
        <v>2.8</v>
      </c>
      <c r="AD69" s="1">
        <v>3.2</v>
      </c>
      <c r="AE69" s="1">
        <v>5</v>
      </c>
      <c r="AF69" s="1"/>
      <c r="AG69" s="1">
        <f t="shared" si="7"/>
        <v>21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164</v>
      </c>
      <c r="B70" s="1" t="s">
        <v>35</v>
      </c>
      <c r="C70" s="1">
        <v>176.72200000000001</v>
      </c>
      <c r="D70" s="1">
        <v>271.12200000000001</v>
      </c>
      <c r="E70" s="1">
        <v>243.17599999999999</v>
      </c>
      <c r="F70" s="1">
        <v>239.136</v>
      </c>
      <c r="G70" s="7">
        <v>1</v>
      </c>
      <c r="H70" s="1">
        <v>30</v>
      </c>
      <c r="I70" s="1" t="s">
        <v>165</v>
      </c>
      <c r="J70" s="1"/>
      <c r="K70" s="1">
        <v>357.75</v>
      </c>
      <c r="L70" s="1">
        <f t="shared" si="10"/>
        <v>-114.57400000000001</v>
      </c>
      <c r="M70" s="1"/>
      <c r="N70" s="1"/>
      <c r="O70" s="1">
        <v>613.61255999999992</v>
      </c>
      <c r="P70" s="1">
        <v>116.77908000000021</v>
      </c>
      <c r="Q70" s="1">
        <f t="shared" ref="Q70:Q112" si="11">E70/5</f>
        <v>48.635199999999998</v>
      </c>
      <c r="R70" s="5"/>
      <c r="S70" s="5">
        <f t="shared" si="8"/>
        <v>0</v>
      </c>
      <c r="T70" s="1">
        <f t="shared" si="5"/>
        <v>19.934690100996814</v>
      </c>
      <c r="U70" s="1">
        <f t="shared" ref="U70:U112" si="12">(F70+O70+P70)/Q70</f>
        <v>19.934690100996814</v>
      </c>
      <c r="V70" s="1">
        <v>81.170600000000007</v>
      </c>
      <c r="W70" s="1">
        <v>85.153199999999998</v>
      </c>
      <c r="X70" s="1">
        <v>45.728400000000001</v>
      </c>
      <c r="Y70" s="1">
        <v>6.1534000000000004</v>
      </c>
      <c r="Z70" s="1">
        <v>39.178400000000003</v>
      </c>
      <c r="AA70" s="1">
        <v>76.381600000000006</v>
      </c>
      <c r="AB70" s="1">
        <v>39.561799999999998</v>
      </c>
      <c r="AC70" s="1">
        <v>37.741399999999999</v>
      </c>
      <c r="AD70" s="1">
        <v>33.580399999999997</v>
      </c>
      <c r="AE70" s="1">
        <v>16.098800000000001</v>
      </c>
      <c r="AF70" s="1"/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166</v>
      </c>
      <c r="B71" s="1" t="s">
        <v>42</v>
      </c>
      <c r="C71" s="1">
        <v>3</v>
      </c>
      <c r="D71" s="1">
        <v>192</v>
      </c>
      <c r="E71" s="1">
        <v>59</v>
      </c>
      <c r="F71" s="1">
        <v>136</v>
      </c>
      <c r="G71" s="7">
        <v>0.6</v>
      </c>
      <c r="H71" s="1">
        <v>60</v>
      </c>
      <c r="I71" s="1" t="s">
        <v>167</v>
      </c>
      <c r="J71" s="1"/>
      <c r="K71" s="1">
        <v>50</v>
      </c>
      <c r="L71" s="1">
        <f t="shared" si="10"/>
        <v>9</v>
      </c>
      <c r="M71" s="1"/>
      <c r="N71" s="1"/>
      <c r="O71" s="1"/>
      <c r="P71" s="1"/>
      <c r="Q71" s="1">
        <f t="shared" si="11"/>
        <v>11.8</v>
      </c>
      <c r="R71" s="5"/>
      <c r="S71" s="5">
        <f t="shared" ref="S71:S112" si="13">R71</f>
        <v>0</v>
      </c>
      <c r="T71" s="1">
        <f t="shared" ref="T71:T112" si="14">(F71+O71+P71+S71)/Q71</f>
        <v>11.525423728813559</v>
      </c>
      <c r="U71" s="1">
        <f t="shared" si="12"/>
        <v>11.525423728813559</v>
      </c>
      <c r="V71" s="1">
        <v>3.8</v>
      </c>
      <c r="W71" s="1">
        <v>3.8</v>
      </c>
      <c r="X71" s="1">
        <v>12.6</v>
      </c>
      <c r="Y71" s="1">
        <v>15.2</v>
      </c>
      <c r="Z71" s="1">
        <v>13.6</v>
      </c>
      <c r="AA71" s="1">
        <v>12.6</v>
      </c>
      <c r="AB71" s="1">
        <v>14.2</v>
      </c>
      <c r="AC71" s="1">
        <v>5.8</v>
      </c>
      <c r="AD71" s="1">
        <v>16.600000000000001</v>
      </c>
      <c r="AE71" s="1">
        <v>10</v>
      </c>
      <c r="AF71" s="1"/>
      <c r="AG71" s="1">
        <f t="shared" ref="AG71:AG112" si="15">ROUND(G71*S71,0)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168</v>
      </c>
      <c r="B72" s="1" t="s">
        <v>42</v>
      </c>
      <c r="C72" s="1">
        <v>173</v>
      </c>
      <c r="D72" s="1">
        <v>192</v>
      </c>
      <c r="E72" s="1">
        <v>127</v>
      </c>
      <c r="F72" s="1">
        <v>244</v>
      </c>
      <c r="G72" s="7">
        <v>0.4</v>
      </c>
      <c r="H72" s="1">
        <v>90</v>
      </c>
      <c r="I72" s="1" t="s">
        <v>169</v>
      </c>
      <c r="J72" s="1"/>
      <c r="K72" s="1">
        <v>115</v>
      </c>
      <c r="L72" s="1">
        <f t="shared" si="10"/>
        <v>12</v>
      </c>
      <c r="M72" s="1"/>
      <c r="N72" s="1"/>
      <c r="O72" s="1"/>
      <c r="P72" s="1"/>
      <c r="Q72" s="1">
        <f t="shared" si="11"/>
        <v>25.4</v>
      </c>
      <c r="R72" s="5">
        <f t="shared" ref="R72:R87" si="16">11*Q72-P72-O72-F72</f>
        <v>35.399999999999977</v>
      </c>
      <c r="S72" s="5">
        <f t="shared" si="13"/>
        <v>35.399999999999977</v>
      </c>
      <c r="T72" s="1">
        <f t="shared" si="14"/>
        <v>11</v>
      </c>
      <c r="U72" s="1">
        <f t="shared" si="12"/>
        <v>9.6062992125984259</v>
      </c>
      <c r="V72" s="1">
        <v>19.2</v>
      </c>
      <c r="W72" s="1">
        <v>19.600000000000001</v>
      </c>
      <c r="X72" s="1">
        <v>29.2</v>
      </c>
      <c r="Y72" s="1">
        <v>21</v>
      </c>
      <c r="Z72" s="1">
        <v>5.2</v>
      </c>
      <c r="AA72" s="1">
        <v>7.6</v>
      </c>
      <c r="AB72" s="1">
        <v>17.2</v>
      </c>
      <c r="AC72" s="1">
        <v>7</v>
      </c>
      <c r="AD72" s="1">
        <v>15.8</v>
      </c>
      <c r="AE72" s="1">
        <v>14.8</v>
      </c>
      <c r="AF72" s="1"/>
      <c r="AG72" s="1">
        <f t="shared" si="15"/>
        <v>14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170</v>
      </c>
      <c r="B73" s="1" t="s">
        <v>42</v>
      </c>
      <c r="C73" s="1">
        <v>45</v>
      </c>
      <c r="D73" s="1">
        <v>400</v>
      </c>
      <c r="E73" s="1">
        <v>74</v>
      </c>
      <c r="F73" s="1">
        <v>376</v>
      </c>
      <c r="G73" s="7">
        <v>0.33</v>
      </c>
      <c r="H73" s="1">
        <v>60</v>
      </c>
      <c r="I73" s="1" t="s">
        <v>171</v>
      </c>
      <c r="J73" s="1"/>
      <c r="K73" s="1">
        <v>89</v>
      </c>
      <c r="L73" s="1">
        <f t="shared" si="10"/>
        <v>-15</v>
      </c>
      <c r="M73" s="1"/>
      <c r="N73" s="1"/>
      <c r="O73" s="1"/>
      <c r="P73" s="1"/>
      <c r="Q73" s="1">
        <f t="shared" si="11"/>
        <v>14.8</v>
      </c>
      <c r="R73" s="5"/>
      <c r="S73" s="5">
        <f t="shared" si="13"/>
        <v>0</v>
      </c>
      <c r="T73" s="1">
        <f t="shared" si="14"/>
        <v>25.405405405405403</v>
      </c>
      <c r="U73" s="1">
        <f t="shared" si="12"/>
        <v>25.405405405405403</v>
      </c>
      <c r="V73" s="1">
        <v>21</v>
      </c>
      <c r="W73" s="1">
        <v>30.8</v>
      </c>
      <c r="X73" s="1">
        <v>40.200000000000003</v>
      </c>
      <c r="Y73" s="1">
        <v>28.2</v>
      </c>
      <c r="Z73" s="1">
        <v>8</v>
      </c>
      <c r="AA73" s="1">
        <v>14</v>
      </c>
      <c r="AB73" s="1">
        <v>18.399999999999999</v>
      </c>
      <c r="AC73" s="1">
        <v>12.4</v>
      </c>
      <c r="AD73" s="1">
        <v>21.6</v>
      </c>
      <c r="AE73" s="1">
        <v>21</v>
      </c>
      <c r="AF73" s="1"/>
      <c r="AG73" s="1">
        <f t="shared" si="15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172</v>
      </c>
      <c r="B74" s="1" t="s">
        <v>42</v>
      </c>
      <c r="C74" s="1">
        <v>106</v>
      </c>
      <c r="D74" s="1">
        <v>80</v>
      </c>
      <c r="E74" s="1">
        <v>104</v>
      </c>
      <c r="F74" s="1">
        <v>82</v>
      </c>
      <c r="G74" s="7">
        <v>0.35</v>
      </c>
      <c r="H74" s="1">
        <v>90</v>
      </c>
      <c r="I74" s="1" t="s">
        <v>173</v>
      </c>
      <c r="J74" s="1"/>
      <c r="K74" s="1">
        <v>101</v>
      </c>
      <c r="L74" s="1">
        <f t="shared" si="10"/>
        <v>3</v>
      </c>
      <c r="M74" s="1"/>
      <c r="N74" s="1"/>
      <c r="O74" s="1">
        <v>26.199999999999989</v>
      </c>
      <c r="P74" s="1">
        <v>129.4</v>
      </c>
      <c r="Q74" s="1">
        <f t="shared" si="11"/>
        <v>20.8</v>
      </c>
      <c r="R74" s="5"/>
      <c r="S74" s="5">
        <f t="shared" si="13"/>
        <v>0</v>
      </c>
      <c r="T74" s="1">
        <f t="shared" si="14"/>
        <v>11.423076923076922</v>
      </c>
      <c r="U74" s="1">
        <f t="shared" si="12"/>
        <v>11.423076923076922</v>
      </c>
      <c r="V74" s="1">
        <v>21.8</v>
      </c>
      <c r="W74" s="1">
        <v>18.2</v>
      </c>
      <c r="X74" s="1">
        <v>15</v>
      </c>
      <c r="Y74" s="1">
        <v>7.4</v>
      </c>
      <c r="Z74" s="1">
        <v>9</v>
      </c>
      <c r="AA74" s="1">
        <v>16.2</v>
      </c>
      <c r="AB74" s="1">
        <v>9</v>
      </c>
      <c r="AC74" s="1">
        <v>5.8</v>
      </c>
      <c r="AD74" s="1">
        <v>14</v>
      </c>
      <c r="AE74" s="1">
        <v>15.2</v>
      </c>
      <c r="AF74" s="1"/>
      <c r="AG74" s="1">
        <f t="shared" si="15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174</v>
      </c>
      <c r="B75" s="1" t="s">
        <v>42</v>
      </c>
      <c r="C75" s="1">
        <v>58</v>
      </c>
      <c r="D75" s="1">
        <v>530</v>
      </c>
      <c r="E75" s="1">
        <v>154</v>
      </c>
      <c r="F75" s="1">
        <v>440</v>
      </c>
      <c r="G75" s="7">
        <v>0.37</v>
      </c>
      <c r="H75" s="1">
        <v>50</v>
      </c>
      <c r="I75" s="1" t="s">
        <v>175</v>
      </c>
      <c r="J75" s="1"/>
      <c r="K75" s="1">
        <v>148</v>
      </c>
      <c r="L75" s="1">
        <f t="shared" si="10"/>
        <v>6</v>
      </c>
      <c r="M75" s="1"/>
      <c r="N75" s="1"/>
      <c r="O75" s="1"/>
      <c r="P75" s="1"/>
      <c r="Q75" s="1">
        <f t="shared" si="11"/>
        <v>30.8</v>
      </c>
      <c r="R75" s="5"/>
      <c r="S75" s="5">
        <f t="shared" si="13"/>
        <v>0</v>
      </c>
      <c r="T75" s="1">
        <f t="shared" si="14"/>
        <v>14.285714285714285</v>
      </c>
      <c r="U75" s="1">
        <f t="shared" si="12"/>
        <v>14.285714285714285</v>
      </c>
      <c r="V75" s="1">
        <v>26.4</v>
      </c>
      <c r="W75" s="1">
        <v>18.2</v>
      </c>
      <c r="X75" s="1">
        <v>32.4</v>
      </c>
      <c r="Y75" s="1">
        <v>44</v>
      </c>
      <c r="Z75" s="1">
        <v>41.8</v>
      </c>
      <c r="AA75" s="1">
        <v>34</v>
      </c>
      <c r="AB75" s="1">
        <v>22.4</v>
      </c>
      <c r="AC75" s="1">
        <v>41.6</v>
      </c>
      <c r="AD75" s="1">
        <v>29.4</v>
      </c>
      <c r="AE75" s="1">
        <v>38.799999999999997</v>
      </c>
      <c r="AF75" s="1"/>
      <c r="AG75" s="1">
        <f t="shared" si="15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176</v>
      </c>
      <c r="B76" s="1" t="s">
        <v>42</v>
      </c>
      <c r="C76" s="1"/>
      <c r="D76" s="1">
        <v>156</v>
      </c>
      <c r="E76" s="1">
        <v>38</v>
      </c>
      <c r="F76" s="1">
        <v>118</v>
      </c>
      <c r="G76" s="7">
        <v>0.33</v>
      </c>
      <c r="H76" s="1">
        <v>40</v>
      </c>
      <c r="I76" s="1" t="s">
        <v>177</v>
      </c>
      <c r="J76" s="1"/>
      <c r="K76" s="1">
        <v>38</v>
      </c>
      <c r="L76" s="1">
        <f t="shared" si="10"/>
        <v>0</v>
      </c>
      <c r="M76" s="1"/>
      <c r="N76" s="1"/>
      <c r="O76" s="1"/>
      <c r="P76" s="1"/>
      <c r="Q76" s="1">
        <f t="shared" si="11"/>
        <v>7.6</v>
      </c>
      <c r="R76" s="5"/>
      <c r="S76" s="5">
        <f t="shared" si="13"/>
        <v>0</v>
      </c>
      <c r="T76" s="1">
        <f t="shared" si="14"/>
        <v>15.526315789473685</v>
      </c>
      <c r="U76" s="1">
        <f t="shared" si="12"/>
        <v>15.526315789473685</v>
      </c>
      <c r="V76" s="1">
        <v>6</v>
      </c>
      <c r="W76" s="1">
        <v>0.8</v>
      </c>
      <c r="X76" s="1">
        <v>7.4</v>
      </c>
      <c r="Y76" s="1">
        <v>11.2</v>
      </c>
      <c r="Z76" s="1">
        <v>12.2</v>
      </c>
      <c r="AA76" s="1">
        <v>8.1999999999999993</v>
      </c>
      <c r="AB76" s="1">
        <v>1</v>
      </c>
      <c r="AC76" s="1">
        <v>11.6</v>
      </c>
      <c r="AD76" s="1">
        <v>9.1999999999999993</v>
      </c>
      <c r="AE76" s="1">
        <v>10.8</v>
      </c>
      <c r="AF76" s="1"/>
      <c r="AG76" s="1">
        <f t="shared" si="15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178</v>
      </c>
      <c r="B77" s="1" t="s">
        <v>42</v>
      </c>
      <c r="C77" s="1">
        <v>22</v>
      </c>
      <c r="D77" s="1">
        <v>114</v>
      </c>
      <c r="E77" s="1">
        <v>21</v>
      </c>
      <c r="F77" s="1">
        <v>114</v>
      </c>
      <c r="G77" s="7">
        <v>0.4</v>
      </c>
      <c r="H77" s="1">
        <v>55</v>
      </c>
      <c r="I77" s="1" t="s">
        <v>179</v>
      </c>
      <c r="J77" s="1"/>
      <c r="K77" s="1">
        <v>96</v>
      </c>
      <c r="L77" s="1">
        <f t="shared" si="10"/>
        <v>-75</v>
      </c>
      <c r="M77" s="1"/>
      <c r="N77" s="1"/>
      <c r="O77" s="1">
        <v>117.6</v>
      </c>
      <c r="P77" s="1"/>
      <c r="Q77" s="1">
        <f t="shared" si="11"/>
        <v>4.2</v>
      </c>
      <c r="R77" s="5"/>
      <c r="S77" s="5">
        <f t="shared" si="13"/>
        <v>0</v>
      </c>
      <c r="T77" s="1">
        <f t="shared" si="14"/>
        <v>55.142857142857139</v>
      </c>
      <c r="U77" s="1">
        <f t="shared" si="12"/>
        <v>55.142857142857139</v>
      </c>
      <c r="V77" s="1">
        <v>14.8</v>
      </c>
      <c r="W77" s="1">
        <v>22.6</v>
      </c>
      <c r="X77" s="1">
        <v>18</v>
      </c>
      <c r="Y77" s="1">
        <v>12.6</v>
      </c>
      <c r="Z77" s="1">
        <v>8.1999999999999993</v>
      </c>
      <c r="AA77" s="1">
        <v>11.4</v>
      </c>
      <c r="AB77" s="1">
        <v>16.2</v>
      </c>
      <c r="AC77" s="1">
        <v>8.4</v>
      </c>
      <c r="AD77" s="1">
        <v>13.4</v>
      </c>
      <c r="AE77" s="1">
        <v>18.600000000000001</v>
      </c>
      <c r="AF77" s="1"/>
      <c r="AG77" s="1">
        <f t="shared" si="15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180</v>
      </c>
      <c r="B78" s="1" t="s">
        <v>42</v>
      </c>
      <c r="C78" s="1">
        <v>23</v>
      </c>
      <c r="D78" s="1"/>
      <c r="E78" s="1">
        <v>24</v>
      </c>
      <c r="F78" s="1">
        <v>2</v>
      </c>
      <c r="G78" s="7">
        <v>0.35</v>
      </c>
      <c r="H78" s="1">
        <v>40</v>
      </c>
      <c r="I78" s="1" t="s">
        <v>181</v>
      </c>
      <c r="J78" s="1"/>
      <c r="K78" s="1">
        <v>25</v>
      </c>
      <c r="L78" s="1">
        <f t="shared" si="10"/>
        <v>-1</v>
      </c>
      <c r="M78" s="1"/>
      <c r="N78" s="1"/>
      <c r="O78" s="1">
        <v>34.799999999999997</v>
      </c>
      <c r="P78" s="1">
        <v>60.000000000000007</v>
      </c>
      <c r="Q78" s="1">
        <f t="shared" si="11"/>
        <v>4.8</v>
      </c>
      <c r="R78" s="5"/>
      <c r="S78" s="5">
        <f t="shared" si="13"/>
        <v>0</v>
      </c>
      <c r="T78" s="1">
        <f t="shared" si="14"/>
        <v>20.166666666666671</v>
      </c>
      <c r="U78" s="1">
        <f t="shared" si="12"/>
        <v>20.166666666666671</v>
      </c>
      <c r="V78" s="1">
        <v>8.4</v>
      </c>
      <c r="W78" s="1">
        <v>6.2</v>
      </c>
      <c r="X78" s="1">
        <v>4.5999999999999996</v>
      </c>
      <c r="Y78" s="1">
        <v>7</v>
      </c>
      <c r="Z78" s="1">
        <v>11.8</v>
      </c>
      <c r="AA78" s="1">
        <v>13</v>
      </c>
      <c r="AB78" s="1">
        <v>0.6</v>
      </c>
      <c r="AC78" s="1">
        <v>5.8</v>
      </c>
      <c r="AD78" s="1">
        <v>5.4</v>
      </c>
      <c r="AE78" s="1">
        <v>2.8</v>
      </c>
      <c r="AF78" s="1"/>
      <c r="AG78" s="1">
        <f t="shared" si="15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182</v>
      </c>
      <c r="B79" s="1" t="s">
        <v>42</v>
      </c>
      <c r="C79" s="1">
        <v>-4</v>
      </c>
      <c r="D79" s="1">
        <v>138</v>
      </c>
      <c r="E79" s="1">
        <v>20</v>
      </c>
      <c r="F79" s="1">
        <v>117</v>
      </c>
      <c r="G79" s="7">
        <v>0.35</v>
      </c>
      <c r="H79" s="1">
        <v>45</v>
      </c>
      <c r="I79" s="1" t="s">
        <v>183</v>
      </c>
      <c r="J79" s="1"/>
      <c r="K79" s="1">
        <v>17</v>
      </c>
      <c r="L79" s="1">
        <f t="shared" si="10"/>
        <v>3</v>
      </c>
      <c r="M79" s="1"/>
      <c r="N79" s="1"/>
      <c r="O79" s="1"/>
      <c r="P79" s="1"/>
      <c r="Q79" s="1">
        <f t="shared" si="11"/>
        <v>4</v>
      </c>
      <c r="R79" s="5"/>
      <c r="S79" s="5">
        <f t="shared" si="13"/>
        <v>0</v>
      </c>
      <c r="T79" s="1">
        <f t="shared" si="14"/>
        <v>29.25</v>
      </c>
      <c r="U79" s="1">
        <f t="shared" si="12"/>
        <v>29.25</v>
      </c>
      <c r="V79" s="1">
        <v>2.6</v>
      </c>
      <c r="W79" s="1">
        <v>1.2</v>
      </c>
      <c r="X79" s="1">
        <v>0</v>
      </c>
      <c r="Y79" s="1">
        <v>6</v>
      </c>
      <c r="Z79" s="1">
        <v>13.2</v>
      </c>
      <c r="AA79" s="1">
        <v>11.8</v>
      </c>
      <c r="AB79" s="1">
        <v>4</v>
      </c>
      <c r="AC79" s="1">
        <v>-2.2000000000000002</v>
      </c>
      <c r="AD79" s="1">
        <v>10.8</v>
      </c>
      <c r="AE79" s="1">
        <v>8.6</v>
      </c>
      <c r="AF79" s="1"/>
      <c r="AG79" s="1">
        <f t="shared" si="15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184</v>
      </c>
      <c r="B80" s="1" t="s">
        <v>42</v>
      </c>
      <c r="C80" s="1">
        <v>2</v>
      </c>
      <c r="D80" s="1">
        <v>160</v>
      </c>
      <c r="E80" s="1">
        <v>72</v>
      </c>
      <c r="F80" s="1">
        <v>90</v>
      </c>
      <c r="G80" s="7">
        <v>0.4</v>
      </c>
      <c r="H80" s="1">
        <v>55</v>
      </c>
      <c r="I80" s="1" t="s">
        <v>185</v>
      </c>
      <c r="J80" s="1"/>
      <c r="K80" s="1">
        <v>92</v>
      </c>
      <c r="L80" s="1">
        <f t="shared" si="10"/>
        <v>-20</v>
      </c>
      <c r="M80" s="1"/>
      <c r="N80" s="1"/>
      <c r="O80" s="1">
        <v>8</v>
      </c>
      <c r="P80" s="1">
        <v>88.399999999999977</v>
      </c>
      <c r="Q80" s="1">
        <f t="shared" si="11"/>
        <v>14.4</v>
      </c>
      <c r="R80" s="5"/>
      <c r="S80" s="5">
        <f t="shared" si="13"/>
        <v>0</v>
      </c>
      <c r="T80" s="1">
        <f t="shared" si="14"/>
        <v>12.944444444444443</v>
      </c>
      <c r="U80" s="1">
        <f t="shared" si="12"/>
        <v>12.944444444444443</v>
      </c>
      <c r="V80" s="1">
        <v>16.2</v>
      </c>
      <c r="W80" s="1">
        <v>14.4</v>
      </c>
      <c r="X80" s="1">
        <v>13.8</v>
      </c>
      <c r="Y80" s="1">
        <v>10.6</v>
      </c>
      <c r="Z80" s="1">
        <v>13.8</v>
      </c>
      <c r="AA80" s="1">
        <v>12.8</v>
      </c>
      <c r="AB80" s="1">
        <v>11.4</v>
      </c>
      <c r="AC80" s="1">
        <v>6.6</v>
      </c>
      <c r="AD80" s="1">
        <v>11.8</v>
      </c>
      <c r="AE80" s="1">
        <v>17.600000000000001</v>
      </c>
      <c r="AF80" s="1"/>
      <c r="AG80" s="1">
        <f t="shared" si="15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186</v>
      </c>
      <c r="B81" s="1" t="s">
        <v>35</v>
      </c>
      <c r="C81" s="1"/>
      <c r="D81" s="1">
        <v>45.962000000000003</v>
      </c>
      <c r="E81" s="1">
        <v>7.2380000000000004</v>
      </c>
      <c r="F81" s="1">
        <v>38.723999999999997</v>
      </c>
      <c r="G81" s="7">
        <v>1</v>
      </c>
      <c r="H81" s="1">
        <v>55</v>
      </c>
      <c r="I81" s="1" t="s">
        <v>187</v>
      </c>
      <c r="J81" s="1"/>
      <c r="K81" s="1">
        <v>5.8</v>
      </c>
      <c r="L81" s="1">
        <f t="shared" si="10"/>
        <v>1.4380000000000006</v>
      </c>
      <c r="M81" s="1"/>
      <c r="N81" s="1"/>
      <c r="O81" s="1"/>
      <c r="P81" s="1"/>
      <c r="Q81" s="1">
        <f t="shared" si="11"/>
        <v>1.4476</v>
      </c>
      <c r="R81" s="5"/>
      <c r="S81" s="5">
        <f t="shared" si="13"/>
        <v>0</v>
      </c>
      <c r="T81" s="1">
        <f t="shared" si="14"/>
        <v>26.750483558994194</v>
      </c>
      <c r="U81" s="1">
        <f t="shared" si="12"/>
        <v>26.750483558994194</v>
      </c>
      <c r="V81" s="1">
        <v>0.86639999999999995</v>
      </c>
      <c r="W81" s="1">
        <v>0.28920000000000001</v>
      </c>
      <c r="X81" s="1">
        <v>0.57919999999999994</v>
      </c>
      <c r="Y81" s="1">
        <v>2.3048000000000002</v>
      </c>
      <c r="Z81" s="1">
        <v>1.7256</v>
      </c>
      <c r="AA81" s="1">
        <v>2.31</v>
      </c>
      <c r="AB81" s="1">
        <v>2.3452000000000002</v>
      </c>
      <c r="AC81" s="1">
        <v>1.4443999999999999</v>
      </c>
      <c r="AD81" s="1">
        <v>2.5912000000000002</v>
      </c>
      <c r="AE81" s="1">
        <v>3.7688000000000001</v>
      </c>
      <c r="AF81" s="1"/>
      <c r="AG81" s="1">
        <f t="shared" si="15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188</v>
      </c>
      <c r="B82" s="1" t="s">
        <v>35</v>
      </c>
      <c r="C82" s="1">
        <v>42.81</v>
      </c>
      <c r="D82" s="1">
        <v>712.94799999999998</v>
      </c>
      <c r="E82" s="1">
        <v>346.214</v>
      </c>
      <c r="F82" s="1">
        <v>420.11</v>
      </c>
      <c r="G82" s="7">
        <v>1</v>
      </c>
      <c r="H82" s="1">
        <v>60</v>
      </c>
      <c r="I82" s="1" t="s">
        <v>189</v>
      </c>
      <c r="J82" s="1"/>
      <c r="K82" s="1">
        <v>311.12</v>
      </c>
      <c r="L82" s="1">
        <f t="shared" si="10"/>
        <v>35.093999999999994</v>
      </c>
      <c r="M82" s="1"/>
      <c r="N82" s="1"/>
      <c r="O82" s="1"/>
      <c r="P82" s="1">
        <v>18.634907999999999</v>
      </c>
      <c r="Q82" s="1">
        <f t="shared" si="11"/>
        <v>69.242800000000003</v>
      </c>
      <c r="R82" s="5">
        <f t="shared" si="16"/>
        <v>322.92589199999998</v>
      </c>
      <c r="S82" s="5">
        <f t="shared" si="13"/>
        <v>322.92589199999998</v>
      </c>
      <c r="T82" s="1">
        <f t="shared" si="14"/>
        <v>11</v>
      </c>
      <c r="U82" s="1">
        <f t="shared" si="12"/>
        <v>6.3363253363526608</v>
      </c>
      <c r="V82" s="1">
        <v>51.0944</v>
      </c>
      <c r="W82" s="1">
        <v>33.292000000000002</v>
      </c>
      <c r="X82" s="1">
        <v>50.997199999999999</v>
      </c>
      <c r="Y82" s="1">
        <v>63.35</v>
      </c>
      <c r="Z82" s="1">
        <v>57.907600000000002</v>
      </c>
      <c r="AA82" s="1">
        <v>54.795200000000001</v>
      </c>
      <c r="AB82" s="1">
        <v>50.4236</v>
      </c>
      <c r="AC82" s="1">
        <v>37.101199999999999</v>
      </c>
      <c r="AD82" s="1">
        <v>60.118399999999987</v>
      </c>
      <c r="AE82" s="1">
        <v>40.016800000000003</v>
      </c>
      <c r="AF82" s="1"/>
      <c r="AG82" s="1">
        <f t="shared" si="15"/>
        <v>323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190</v>
      </c>
      <c r="B83" s="1" t="s">
        <v>35</v>
      </c>
      <c r="C83" s="1">
        <v>407.01799999999997</v>
      </c>
      <c r="D83" s="1">
        <v>2709.8380000000002</v>
      </c>
      <c r="E83" s="1">
        <v>1999.15</v>
      </c>
      <c r="F83" s="1">
        <v>1080.4580000000001</v>
      </c>
      <c r="G83" s="7">
        <v>1</v>
      </c>
      <c r="H83" s="1">
        <v>60</v>
      </c>
      <c r="I83" s="1" t="s">
        <v>191</v>
      </c>
      <c r="J83" s="1"/>
      <c r="K83" s="1">
        <v>1829.5630000000001</v>
      </c>
      <c r="L83" s="1">
        <f t="shared" si="10"/>
        <v>169.58699999999999</v>
      </c>
      <c r="M83" s="1"/>
      <c r="N83" s="1"/>
      <c r="O83" s="1">
        <v>823.6847919199995</v>
      </c>
      <c r="P83" s="1">
        <v>668.16195999999991</v>
      </c>
      <c r="Q83" s="1">
        <f t="shared" si="11"/>
        <v>399.83000000000004</v>
      </c>
      <c r="R83" s="5">
        <f t="shared" si="16"/>
        <v>1825.8252480800006</v>
      </c>
      <c r="S83" s="5">
        <f t="shared" ref="S83:S85" si="17">R83+$S$1*Q83</f>
        <v>1505.9612480800006</v>
      </c>
      <c r="T83" s="1">
        <f t="shared" si="14"/>
        <v>10.199999999999999</v>
      </c>
      <c r="U83" s="1">
        <f t="shared" si="12"/>
        <v>6.4334961156491488</v>
      </c>
      <c r="V83" s="1">
        <v>296.8424</v>
      </c>
      <c r="W83" s="1">
        <v>287.976</v>
      </c>
      <c r="X83" s="1">
        <v>270.93779999999998</v>
      </c>
      <c r="Y83" s="1">
        <v>197.911</v>
      </c>
      <c r="Z83" s="1">
        <v>281.72179999999997</v>
      </c>
      <c r="AA83" s="1">
        <v>365.83620000000002</v>
      </c>
      <c r="AB83" s="1">
        <v>364.94260000000003</v>
      </c>
      <c r="AC83" s="1">
        <v>298.39519999999999</v>
      </c>
      <c r="AD83" s="1">
        <v>305.68599999999998</v>
      </c>
      <c r="AE83" s="1">
        <v>315.7912</v>
      </c>
      <c r="AF83" s="1"/>
      <c r="AG83" s="1">
        <f t="shared" si="15"/>
        <v>1506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192</v>
      </c>
      <c r="B84" s="1" t="s">
        <v>35</v>
      </c>
      <c r="C84" s="1">
        <v>430.37299999999999</v>
      </c>
      <c r="D84" s="1">
        <v>4120.1459999999997</v>
      </c>
      <c r="E84" s="1">
        <v>2046.3109999999999</v>
      </c>
      <c r="F84" s="1">
        <v>2427.6260000000002</v>
      </c>
      <c r="G84" s="7">
        <v>1</v>
      </c>
      <c r="H84" s="1">
        <v>60</v>
      </c>
      <c r="I84" s="1" t="s">
        <v>193</v>
      </c>
      <c r="J84" s="1"/>
      <c r="K84" s="1">
        <v>1881.05</v>
      </c>
      <c r="L84" s="1">
        <f t="shared" si="10"/>
        <v>165.26099999999997</v>
      </c>
      <c r="M84" s="1"/>
      <c r="N84" s="1"/>
      <c r="O84" s="1">
        <v>254.10316464000061</v>
      </c>
      <c r="P84" s="1">
        <v>192.67155999999969</v>
      </c>
      <c r="Q84" s="1">
        <f t="shared" si="11"/>
        <v>409.26220000000001</v>
      </c>
      <c r="R84" s="5">
        <f t="shared" si="16"/>
        <v>1627.4834753599998</v>
      </c>
      <c r="S84" s="5">
        <f t="shared" si="17"/>
        <v>1300.0737153599998</v>
      </c>
      <c r="T84" s="1">
        <f t="shared" si="14"/>
        <v>10.199999999999999</v>
      </c>
      <c r="U84" s="1">
        <f t="shared" si="12"/>
        <v>7.0233721185098466</v>
      </c>
      <c r="V84" s="1">
        <v>319.29379999999998</v>
      </c>
      <c r="W84" s="1">
        <v>349.4932</v>
      </c>
      <c r="X84" s="1">
        <v>374.82220000000001</v>
      </c>
      <c r="Y84" s="1">
        <v>291.64859999999999</v>
      </c>
      <c r="Z84" s="1">
        <v>348.50799999999998</v>
      </c>
      <c r="AA84" s="1">
        <v>351.85340000000002</v>
      </c>
      <c r="AB84" s="1">
        <v>259.17039999999997</v>
      </c>
      <c r="AC84" s="1">
        <v>199.94980000000001</v>
      </c>
      <c r="AD84" s="1">
        <v>215.18979999999999</v>
      </c>
      <c r="AE84" s="1">
        <v>195.42420000000001</v>
      </c>
      <c r="AF84" s="1"/>
      <c r="AG84" s="1">
        <f t="shared" si="15"/>
        <v>1300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194</v>
      </c>
      <c r="B85" s="1" t="s">
        <v>35</v>
      </c>
      <c r="C85" s="1">
        <v>655.88199999999995</v>
      </c>
      <c r="D85" s="1">
        <v>6216.3490000000002</v>
      </c>
      <c r="E85" s="1">
        <v>2895.6390000000001</v>
      </c>
      <c r="F85" s="1">
        <v>4071.375</v>
      </c>
      <c r="G85" s="7">
        <v>1</v>
      </c>
      <c r="H85" s="1">
        <v>60</v>
      </c>
      <c r="I85" s="1" t="s">
        <v>195</v>
      </c>
      <c r="J85" s="1"/>
      <c r="K85" s="1">
        <v>2580.5160000000001</v>
      </c>
      <c r="L85" s="1">
        <f t="shared" si="10"/>
        <v>315.12300000000005</v>
      </c>
      <c r="M85" s="1"/>
      <c r="N85" s="1"/>
      <c r="O85" s="1"/>
      <c r="P85" s="1">
        <v>306.3101059200003</v>
      </c>
      <c r="Q85" s="1">
        <f t="shared" si="11"/>
        <v>579.12779999999998</v>
      </c>
      <c r="R85" s="5">
        <f t="shared" si="16"/>
        <v>1992.7206940799988</v>
      </c>
      <c r="S85" s="5">
        <f t="shared" si="17"/>
        <v>1529.4184540799988</v>
      </c>
      <c r="T85" s="1">
        <f t="shared" si="14"/>
        <v>10.199999999999998</v>
      </c>
      <c r="U85" s="1">
        <f t="shared" si="12"/>
        <v>7.559100264086787</v>
      </c>
      <c r="V85" s="1">
        <v>471.89260000000002</v>
      </c>
      <c r="W85" s="1">
        <v>469.8184</v>
      </c>
      <c r="X85" s="1">
        <v>607.09460000000001</v>
      </c>
      <c r="Y85" s="1">
        <v>618.89179999999999</v>
      </c>
      <c r="Z85" s="1">
        <v>622.35180000000003</v>
      </c>
      <c r="AA85" s="1">
        <v>606.17020000000002</v>
      </c>
      <c r="AB85" s="1">
        <v>528.50659999999993</v>
      </c>
      <c r="AC85" s="1">
        <v>517.31659999999999</v>
      </c>
      <c r="AD85" s="1">
        <v>479.43520000000001</v>
      </c>
      <c r="AE85" s="1">
        <v>457.28120000000001</v>
      </c>
      <c r="AF85" s="1"/>
      <c r="AG85" s="1">
        <f t="shared" si="15"/>
        <v>1529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196</v>
      </c>
      <c r="B86" s="1" t="s">
        <v>42</v>
      </c>
      <c r="C86" s="1">
        <v>-1</v>
      </c>
      <c r="D86" s="1">
        <v>216</v>
      </c>
      <c r="E86" s="1">
        <v>162</v>
      </c>
      <c r="F86" s="1">
        <v>45</v>
      </c>
      <c r="G86" s="7">
        <v>0.3</v>
      </c>
      <c r="H86" s="1">
        <v>40</v>
      </c>
      <c r="I86" s="1" t="s">
        <v>197</v>
      </c>
      <c r="J86" s="1"/>
      <c r="K86" s="1">
        <v>169</v>
      </c>
      <c r="L86" s="1">
        <f t="shared" si="10"/>
        <v>-7</v>
      </c>
      <c r="M86" s="1"/>
      <c r="N86" s="1"/>
      <c r="O86" s="1"/>
      <c r="P86" s="1">
        <v>196.2</v>
      </c>
      <c r="Q86" s="1">
        <f t="shared" si="11"/>
        <v>32.4</v>
      </c>
      <c r="R86" s="5">
        <f t="shared" si="16"/>
        <v>115.19999999999999</v>
      </c>
      <c r="S86" s="5">
        <f t="shared" si="13"/>
        <v>115.19999999999999</v>
      </c>
      <c r="T86" s="1">
        <f t="shared" si="14"/>
        <v>11</v>
      </c>
      <c r="U86" s="1">
        <f t="shared" si="12"/>
        <v>7.4444444444444446</v>
      </c>
      <c r="V86" s="1">
        <v>26.6</v>
      </c>
      <c r="W86" s="1">
        <v>8</v>
      </c>
      <c r="X86" s="1">
        <v>5</v>
      </c>
      <c r="Y86" s="1">
        <v>21</v>
      </c>
      <c r="Z86" s="1">
        <v>27.8</v>
      </c>
      <c r="AA86" s="1">
        <v>22.8</v>
      </c>
      <c r="AB86" s="1">
        <v>24</v>
      </c>
      <c r="AC86" s="1">
        <v>24.4</v>
      </c>
      <c r="AD86" s="1">
        <v>24</v>
      </c>
      <c r="AE86" s="1">
        <v>29.6</v>
      </c>
      <c r="AF86" s="1"/>
      <c r="AG86" s="1">
        <f t="shared" si="15"/>
        <v>35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198</v>
      </c>
      <c r="B87" s="1" t="s">
        <v>42</v>
      </c>
      <c r="C87" s="1">
        <v>65</v>
      </c>
      <c r="D87" s="1">
        <v>72</v>
      </c>
      <c r="E87" s="1">
        <v>75</v>
      </c>
      <c r="F87" s="1">
        <v>67</v>
      </c>
      <c r="G87" s="7">
        <v>7.0000000000000007E-2</v>
      </c>
      <c r="H87" s="1">
        <v>90</v>
      </c>
      <c r="I87" s="1" t="s">
        <v>199</v>
      </c>
      <c r="J87" s="1"/>
      <c r="K87" s="1">
        <v>70</v>
      </c>
      <c r="L87" s="1">
        <f t="shared" si="10"/>
        <v>5</v>
      </c>
      <c r="M87" s="1"/>
      <c r="N87" s="1"/>
      <c r="O87" s="1"/>
      <c r="P87" s="1">
        <v>20.199999999999989</v>
      </c>
      <c r="Q87" s="1">
        <f t="shared" si="11"/>
        <v>15</v>
      </c>
      <c r="R87" s="5">
        <f t="shared" si="16"/>
        <v>77.800000000000011</v>
      </c>
      <c r="S87" s="5">
        <f t="shared" si="13"/>
        <v>77.800000000000011</v>
      </c>
      <c r="T87" s="1">
        <f t="shared" si="14"/>
        <v>11</v>
      </c>
      <c r="U87" s="1">
        <f t="shared" si="12"/>
        <v>5.8133333333333326</v>
      </c>
      <c r="V87" s="1">
        <v>10</v>
      </c>
      <c r="W87" s="1">
        <v>9.1999999999999993</v>
      </c>
      <c r="X87" s="1">
        <v>11.4</v>
      </c>
      <c r="Y87" s="1">
        <v>6.8</v>
      </c>
      <c r="Z87" s="1">
        <v>7.6</v>
      </c>
      <c r="AA87" s="1">
        <v>13.6</v>
      </c>
      <c r="AB87" s="1">
        <v>8.4</v>
      </c>
      <c r="AC87" s="1">
        <v>7.6</v>
      </c>
      <c r="AD87" s="1">
        <v>9.1999999999999993</v>
      </c>
      <c r="AE87" s="1">
        <v>17.600000000000001</v>
      </c>
      <c r="AF87" s="1"/>
      <c r="AG87" s="1">
        <f t="shared" si="15"/>
        <v>5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200</v>
      </c>
      <c r="B88" s="1" t="s">
        <v>42</v>
      </c>
      <c r="C88" s="1">
        <v>45</v>
      </c>
      <c r="D88" s="1"/>
      <c r="E88" s="1">
        <v>52</v>
      </c>
      <c r="F88" s="1">
        <v>-2</v>
      </c>
      <c r="G88" s="7">
        <v>7.0000000000000007E-2</v>
      </c>
      <c r="H88" s="1">
        <v>90</v>
      </c>
      <c r="I88" s="1"/>
      <c r="J88" s="1"/>
      <c r="K88" s="1">
        <v>53</v>
      </c>
      <c r="L88" s="1">
        <f t="shared" si="10"/>
        <v>-1</v>
      </c>
      <c r="M88" s="1"/>
      <c r="N88" s="1"/>
      <c r="O88" s="1"/>
      <c r="P88" s="1"/>
      <c r="Q88" s="1">
        <f t="shared" si="11"/>
        <v>10.4</v>
      </c>
      <c r="R88" s="5">
        <f>7*Q88-P88-O88-F88</f>
        <v>74.8</v>
      </c>
      <c r="S88" s="5">
        <f t="shared" si="13"/>
        <v>74.8</v>
      </c>
      <c r="T88" s="1">
        <f t="shared" si="14"/>
        <v>6.9999999999999991</v>
      </c>
      <c r="U88" s="1">
        <f t="shared" si="12"/>
        <v>-0.19230769230769229</v>
      </c>
      <c r="V88" s="1">
        <v>9.8000000000000007</v>
      </c>
      <c r="W88" s="1">
        <v>10</v>
      </c>
      <c r="X88" s="1">
        <v>12.4</v>
      </c>
      <c r="Y88" s="1">
        <v>6.6</v>
      </c>
      <c r="Z88" s="1">
        <v>1.8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/>
      <c r="AG88" s="1">
        <f t="shared" si="15"/>
        <v>5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201</v>
      </c>
      <c r="B89" s="1" t="s">
        <v>42</v>
      </c>
      <c r="C89" s="1"/>
      <c r="D89" s="1">
        <v>162</v>
      </c>
      <c r="E89" s="1">
        <v>42</v>
      </c>
      <c r="F89" s="1">
        <v>117</v>
      </c>
      <c r="G89" s="7">
        <v>7.0000000000000007E-2</v>
      </c>
      <c r="H89" s="1">
        <v>90</v>
      </c>
      <c r="I89" s="1" t="s">
        <v>202</v>
      </c>
      <c r="J89" s="1"/>
      <c r="K89" s="1">
        <v>45</v>
      </c>
      <c r="L89" s="1">
        <f t="shared" si="10"/>
        <v>-3</v>
      </c>
      <c r="M89" s="1"/>
      <c r="N89" s="1"/>
      <c r="O89" s="1"/>
      <c r="P89" s="1"/>
      <c r="Q89" s="1">
        <f t="shared" si="11"/>
        <v>8.4</v>
      </c>
      <c r="R89" s="5"/>
      <c r="S89" s="5">
        <f t="shared" si="13"/>
        <v>0</v>
      </c>
      <c r="T89" s="1">
        <f t="shared" si="14"/>
        <v>13.928571428571429</v>
      </c>
      <c r="U89" s="1">
        <f t="shared" si="12"/>
        <v>13.928571428571429</v>
      </c>
      <c r="V89" s="1">
        <v>4.2</v>
      </c>
      <c r="W89" s="1">
        <v>5</v>
      </c>
      <c r="X89" s="1">
        <v>12.4</v>
      </c>
      <c r="Y89" s="1">
        <v>9</v>
      </c>
      <c r="Z89" s="1">
        <v>4.5999999999999996</v>
      </c>
      <c r="AA89" s="1">
        <v>7.2</v>
      </c>
      <c r="AB89" s="1">
        <v>6.8</v>
      </c>
      <c r="AC89" s="1">
        <v>7.4</v>
      </c>
      <c r="AD89" s="1">
        <v>7.6</v>
      </c>
      <c r="AE89" s="1">
        <v>11.6</v>
      </c>
      <c r="AF89" s="1"/>
      <c r="AG89" s="1">
        <f t="shared" si="15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203</v>
      </c>
      <c r="B90" s="1" t="s">
        <v>42</v>
      </c>
      <c r="C90" s="1">
        <v>25</v>
      </c>
      <c r="D90" s="1">
        <v>234</v>
      </c>
      <c r="E90" s="1">
        <v>46</v>
      </c>
      <c r="F90" s="1">
        <v>214</v>
      </c>
      <c r="G90" s="7">
        <v>0.05</v>
      </c>
      <c r="H90" s="1">
        <v>90</v>
      </c>
      <c r="I90" s="1" t="s">
        <v>204</v>
      </c>
      <c r="J90" s="1"/>
      <c r="K90" s="1">
        <v>66</v>
      </c>
      <c r="L90" s="1">
        <f t="shared" si="10"/>
        <v>-20</v>
      </c>
      <c r="M90" s="1"/>
      <c r="N90" s="1"/>
      <c r="O90" s="1"/>
      <c r="P90" s="1"/>
      <c r="Q90" s="1">
        <f t="shared" si="11"/>
        <v>9.1999999999999993</v>
      </c>
      <c r="R90" s="5"/>
      <c r="S90" s="5">
        <f t="shared" si="13"/>
        <v>0</v>
      </c>
      <c r="T90" s="1">
        <f t="shared" si="14"/>
        <v>23.260869565217394</v>
      </c>
      <c r="U90" s="1">
        <f t="shared" si="12"/>
        <v>23.260869565217394</v>
      </c>
      <c r="V90" s="1">
        <v>8.8000000000000007</v>
      </c>
      <c r="W90" s="1">
        <v>15.2</v>
      </c>
      <c r="X90" s="1">
        <v>20.2</v>
      </c>
      <c r="Y90" s="1">
        <v>10</v>
      </c>
      <c r="Z90" s="1">
        <v>3.6</v>
      </c>
      <c r="AA90" s="1">
        <v>5.4</v>
      </c>
      <c r="AB90" s="1">
        <v>10.4</v>
      </c>
      <c r="AC90" s="1">
        <v>6</v>
      </c>
      <c r="AD90" s="1">
        <v>9.4</v>
      </c>
      <c r="AE90" s="1">
        <v>10.6</v>
      </c>
      <c r="AF90" s="1"/>
      <c r="AG90" s="1">
        <f t="shared" si="15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9" t="s">
        <v>205</v>
      </c>
      <c r="B91" s="9" t="s">
        <v>42</v>
      </c>
      <c r="C91" s="9">
        <v>1</v>
      </c>
      <c r="D91" s="9"/>
      <c r="E91" s="9">
        <v>-2</v>
      </c>
      <c r="F91" s="9">
        <v>1</v>
      </c>
      <c r="G91" s="10">
        <v>5.5E-2</v>
      </c>
      <c r="H91" s="9"/>
      <c r="I91" s="9" t="s">
        <v>206</v>
      </c>
      <c r="J91" s="9"/>
      <c r="K91" s="9">
        <v>38</v>
      </c>
      <c r="L91" s="9">
        <f t="shared" si="10"/>
        <v>-40</v>
      </c>
      <c r="M91" s="9"/>
      <c r="N91" s="9"/>
      <c r="O91" s="9"/>
      <c r="P91" s="9"/>
      <c r="Q91" s="9">
        <f t="shared" si="11"/>
        <v>-0.4</v>
      </c>
      <c r="R91" s="11"/>
      <c r="S91" s="5">
        <f t="shared" si="13"/>
        <v>0</v>
      </c>
      <c r="T91" s="1">
        <f t="shared" si="14"/>
        <v>-2.5</v>
      </c>
      <c r="U91" s="9">
        <f t="shared" si="12"/>
        <v>-2.5</v>
      </c>
      <c r="V91" s="9">
        <v>-0.4</v>
      </c>
      <c r="W91" s="9">
        <v>-1</v>
      </c>
      <c r="X91" s="9">
        <v>2</v>
      </c>
      <c r="Y91" s="9">
        <v>6.4</v>
      </c>
      <c r="Z91" s="9">
        <v>11</v>
      </c>
      <c r="AA91" s="9">
        <v>12.8</v>
      </c>
      <c r="AB91" s="9">
        <v>7</v>
      </c>
      <c r="AC91" s="9">
        <v>11</v>
      </c>
      <c r="AD91" s="9">
        <v>11.8</v>
      </c>
      <c r="AE91" s="9">
        <v>12.6</v>
      </c>
      <c r="AF91" s="9" t="s">
        <v>207</v>
      </c>
      <c r="AG91" s="1">
        <f t="shared" si="15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9" t="s">
        <v>208</v>
      </c>
      <c r="B92" s="9" t="s">
        <v>42</v>
      </c>
      <c r="C92" s="9"/>
      <c r="D92" s="9">
        <v>54</v>
      </c>
      <c r="E92" s="9">
        <v>55</v>
      </c>
      <c r="F92" s="9"/>
      <c r="G92" s="10">
        <v>5.5E-2</v>
      </c>
      <c r="H92" s="9"/>
      <c r="I92" s="9" t="s">
        <v>209</v>
      </c>
      <c r="J92" s="9"/>
      <c r="K92" s="9">
        <v>57</v>
      </c>
      <c r="L92" s="9">
        <f t="shared" si="10"/>
        <v>-2</v>
      </c>
      <c r="M92" s="9"/>
      <c r="N92" s="9"/>
      <c r="O92" s="9"/>
      <c r="P92" s="9"/>
      <c r="Q92" s="9">
        <f t="shared" si="11"/>
        <v>11</v>
      </c>
      <c r="R92" s="11"/>
      <c r="S92" s="5">
        <f t="shared" si="13"/>
        <v>0</v>
      </c>
      <c r="T92" s="1">
        <f t="shared" si="14"/>
        <v>0</v>
      </c>
      <c r="U92" s="9">
        <f t="shared" si="12"/>
        <v>0</v>
      </c>
      <c r="V92" s="9">
        <v>10</v>
      </c>
      <c r="W92" s="9">
        <v>7.8</v>
      </c>
      <c r="X92" s="9">
        <v>12.6</v>
      </c>
      <c r="Y92" s="9">
        <v>9.4</v>
      </c>
      <c r="Z92" s="9">
        <v>9.4</v>
      </c>
      <c r="AA92" s="9">
        <v>7.8</v>
      </c>
      <c r="AB92" s="9">
        <v>0.8</v>
      </c>
      <c r="AC92" s="9">
        <v>11.2</v>
      </c>
      <c r="AD92" s="9">
        <v>7.4</v>
      </c>
      <c r="AE92" s="9">
        <v>10.8</v>
      </c>
      <c r="AF92" s="9" t="s">
        <v>207</v>
      </c>
      <c r="AG92" s="1">
        <f t="shared" si="15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3" t="s">
        <v>210</v>
      </c>
      <c r="B93" s="13" t="s">
        <v>35</v>
      </c>
      <c r="C93" s="13">
        <v>123.334</v>
      </c>
      <c r="D93" s="13"/>
      <c r="E93" s="13">
        <v>36.817</v>
      </c>
      <c r="F93" s="13">
        <v>100.93300000000001</v>
      </c>
      <c r="G93" s="14">
        <v>0</v>
      </c>
      <c r="H93" s="13"/>
      <c r="I93" s="13" t="s">
        <v>211</v>
      </c>
      <c r="J93" s="13"/>
      <c r="K93" s="13">
        <v>17.600000000000001</v>
      </c>
      <c r="L93" s="13">
        <f t="shared" si="10"/>
        <v>19.216999999999999</v>
      </c>
      <c r="M93" s="13"/>
      <c r="N93" s="13"/>
      <c r="O93" s="13"/>
      <c r="P93" s="13"/>
      <c r="Q93" s="13">
        <f t="shared" si="11"/>
        <v>7.3634000000000004</v>
      </c>
      <c r="R93" s="15"/>
      <c r="S93" s="5">
        <f t="shared" si="13"/>
        <v>0</v>
      </c>
      <c r="T93" s="1">
        <f t="shared" si="14"/>
        <v>13.70739060759975</v>
      </c>
      <c r="U93" s="13">
        <f t="shared" si="12"/>
        <v>13.70739060759975</v>
      </c>
      <c r="V93" s="13">
        <v>8.003400000000001</v>
      </c>
      <c r="W93" s="13">
        <v>10.226000000000001</v>
      </c>
      <c r="X93" s="13">
        <v>11.8124</v>
      </c>
      <c r="Y93" s="13">
        <v>7.6684000000000001</v>
      </c>
      <c r="Z93" s="13">
        <v>0.9608000000000001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 t="s">
        <v>212</v>
      </c>
      <c r="AG93" s="1">
        <f t="shared" si="15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213</v>
      </c>
      <c r="B94" s="1" t="s">
        <v>42</v>
      </c>
      <c r="C94" s="1"/>
      <c r="D94" s="1">
        <v>180</v>
      </c>
      <c r="E94" s="1">
        <v>86</v>
      </c>
      <c r="F94" s="1">
        <v>92</v>
      </c>
      <c r="G94" s="7">
        <v>0.08</v>
      </c>
      <c r="H94" s="1">
        <v>45</v>
      </c>
      <c r="I94" s="1" t="s">
        <v>214</v>
      </c>
      <c r="J94" s="1"/>
      <c r="K94" s="1">
        <v>82</v>
      </c>
      <c r="L94" s="1">
        <f t="shared" si="10"/>
        <v>4</v>
      </c>
      <c r="M94" s="1"/>
      <c r="N94" s="1"/>
      <c r="O94" s="1"/>
      <c r="P94" s="1"/>
      <c r="Q94" s="1">
        <f t="shared" si="11"/>
        <v>17.2</v>
      </c>
      <c r="R94" s="5">
        <f t="shared" ref="R94:R111" si="18">11*Q94-P94-O94-F94</f>
        <v>97.199999999999989</v>
      </c>
      <c r="S94" s="5">
        <f t="shared" si="13"/>
        <v>97.199999999999989</v>
      </c>
      <c r="T94" s="1">
        <f t="shared" si="14"/>
        <v>11</v>
      </c>
      <c r="U94" s="1">
        <f t="shared" si="12"/>
        <v>5.3488372093023262</v>
      </c>
      <c r="V94" s="1">
        <v>7.4</v>
      </c>
      <c r="W94" s="1">
        <v>1</v>
      </c>
      <c r="X94" s="1">
        <v>8.8000000000000007</v>
      </c>
      <c r="Y94" s="1">
        <v>14.2</v>
      </c>
      <c r="Z94" s="1">
        <v>14.6</v>
      </c>
      <c r="AA94" s="1">
        <v>11.6</v>
      </c>
      <c r="AB94" s="1">
        <v>6.2</v>
      </c>
      <c r="AC94" s="1">
        <v>13.2</v>
      </c>
      <c r="AD94" s="1">
        <v>10.8</v>
      </c>
      <c r="AE94" s="1">
        <v>7.8</v>
      </c>
      <c r="AF94" s="1"/>
      <c r="AG94" s="1">
        <f t="shared" si="15"/>
        <v>8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215</v>
      </c>
      <c r="B95" s="1" t="s">
        <v>42</v>
      </c>
      <c r="C95" s="1">
        <v>71</v>
      </c>
      <c r="D95" s="1">
        <v>134</v>
      </c>
      <c r="E95" s="1">
        <v>110</v>
      </c>
      <c r="F95" s="1">
        <v>98</v>
      </c>
      <c r="G95" s="7">
        <v>0.08</v>
      </c>
      <c r="H95" s="1">
        <v>45</v>
      </c>
      <c r="I95" s="1" t="s">
        <v>216</v>
      </c>
      <c r="J95" s="1"/>
      <c r="K95" s="1">
        <v>101</v>
      </c>
      <c r="L95" s="1">
        <f t="shared" si="10"/>
        <v>9</v>
      </c>
      <c r="M95" s="1"/>
      <c r="N95" s="1"/>
      <c r="O95" s="1"/>
      <c r="P95" s="1">
        <v>85.600000000000023</v>
      </c>
      <c r="Q95" s="1">
        <f t="shared" si="11"/>
        <v>22</v>
      </c>
      <c r="R95" s="5">
        <f t="shared" si="18"/>
        <v>58.399999999999977</v>
      </c>
      <c r="S95" s="5">
        <f t="shared" si="13"/>
        <v>58.399999999999977</v>
      </c>
      <c r="T95" s="1">
        <f t="shared" si="14"/>
        <v>11</v>
      </c>
      <c r="U95" s="1">
        <f t="shared" si="12"/>
        <v>8.3454545454545457</v>
      </c>
      <c r="V95" s="1">
        <v>19</v>
      </c>
      <c r="W95" s="1">
        <v>16.2</v>
      </c>
      <c r="X95" s="1">
        <v>17.2</v>
      </c>
      <c r="Y95" s="1">
        <v>13.8</v>
      </c>
      <c r="Z95" s="1">
        <v>19</v>
      </c>
      <c r="AA95" s="1">
        <v>20.8</v>
      </c>
      <c r="AB95" s="1">
        <v>6.4</v>
      </c>
      <c r="AC95" s="1">
        <v>16</v>
      </c>
      <c r="AD95" s="1">
        <v>10.6</v>
      </c>
      <c r="AE95" s="1">
        <v>11.2</v>
      </c>
      <c r="AF95" s="1"/>
      <c r="AG95" s="1">
        <f t="shared" si="15"/>
        <v>5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217</v>
      </c>
      <c r="B96" s="1" t="s">
        <v>35</v>
      </c>
      <c r="C96" s="1">
        <v>146.92699999999999</v>
      </c>
      <c r="D96" s="1">
        <v>478.10500000000002</v>
      </c>
      <c r="E96" s="1">
        <v>244.19200000000001</v>
      </c>
      <c r="F96" s="1">
        <v>420.06400000000002</v>
      </c>
      <c r="G96" s="7">
        <v>1</v>
      </c>
      <c r="H96" s="1">
        <v>40</v>
      </c>
      <c r="I96" s="1" t="s">
        <v>218</v>
      </c>
      <c r="J96" s="1"/>
      <c r="K96" s="1">
        <v>201.08</v>
      </c>
      <c r="L96" s="1">
        <f t="shared" si="10"/>
        <v>43.111999999999995</v>
      </c>
      <c r="M96" s="1"/>
      <c r="N96" s="1"/>
      <c r="O96" s="1"/>
      <c r="P96" s="1">
        <v>25.44159999999988</v>
      </c>
      <c r="Q96" s="1">
        <f t="shared" si="11"/>
        <v>48.8384</v>
      </c>
      <c r="R96" s="5">
        <f t="shared" si="18"/>
        <v>91.716800000000092</v>
      </c>
      <c r="S96" s="5">
        <f t="shared" si="13"/>
        <v>91.716800000000092</v>
      </c>
      <c r="T96" s="1">
        <f t="shared" si="14"/>
        <v>11</v>
      </c>
      <c r="U96" s="1">
        <f t="shared" si="12"/>
        <v>9.1220351199056466</v>
      </c>
      <c r="V96" s="1">
        <v>44.055</v>
      </c>
      <c r="W96" s="1">
        <v>44.2652</v>
      </c>
      <c r="X96" s="1">
        <v>54.242199999999997</v>
      </c>
      <c r="Y96" s="1">
        <v>42.4114</v>
      </c>
      <c r="Z96" s="1">
        <v>28.562200000000001</v>
      </c>
      <c r="AA96" s="1">
        <v>39.197200000000002</v>
      </c>
      <c r="AB96" s="1">
        <v>41.034799999999997</v>
      </c>
      <c r="AC96" s="1">
        <v>31.838200000000001</v>
      </c>
      <c r="AD96" s="1">
        <v>26.247199999999999</v>
      </c>
      <c r="AE96" s="1">
        <v>33.325800000000001</v>
      </c>
      <c r="AF96" s="1"/>
      <c r="AG96" s="1">
        <f t="shared" si="15"/>
        <v>92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219</v>
      </c>
      <c r="B97" s="1" t="s">
        <v>35</v>
      </c>
      <c r="C97" s="1">
        <v>74.900000000000006</v>
      </c>
      <c r="D97" s="1">
        <v>571.12599999999998</v>
      </c>
      <c r="E97" s="1">
        <v>281.60300000000001</v>
      </c>
      <c r="F97" s="1">
        <v>393.99599999999998</v>
      </c>
      <c r="G97" s="7">
        <v>1</v>
      </c>
      <c r="H97" s="1">
        <v>40</v>
      </c>
      <c r="I97" s="1" t="s">
        <v>220</v>
      </c>
      <c r="J97" s="1"/>
      <c r="K97" s="1">
        <v>242.29</v>
      </c>
      <c r="L97" s="1">
        <f t="shared" si="10"/>
        <v>39.313000000000017</v>
      </c>
      <c r="M97" s="1"/>
      <c r="N97" s="1"/>
      <c r="O97" s="1"/>
      <c r="P97" s="1">
        <v>60.93685552000008</v>
      </c>
      <c r="Q97" s="1">
        <f t="shared" si="11"/>
        <v>56.320599999999999</v>
      </c>
      <c r="R97" s="5">
        <f t="shared" si="18"/>
        <v>164.59374447999994</v>
      </c>
      <c r="S97" s="5">
        <f t="shared" si="13"/>
        <v>164.59374447999994</v>
      </c>
      <c r="T97" s="1">
        <f t="shared" si="14"/>
        <v>11</v>
      </c>
      <c r="U97" s="1">
        <f t="shared" si="12"/>
        <v>8.0775569777310636</v>
      </c>
      <c r="V97" s="1">
        <v>47.069200000000002</v>
      </c>
      <c r="W97" s="1">
        <v>42.101199999999999</v>
      </c>
      <c r="X97" s="1">
        <v>53.484000000000002</v>
      </c>
      <c r="Y97" s="1">
        <v>58.659000000000013</v>
      </c>
      <c r="Z97" s="1">
        <v>62.764200000000002</v>
      </c>
      <c r="AA97" s="1">
        <v>61.113199999999992</v>
      </c>
      <c r="AB97" s="1">
        <v>41.221800000000002</v>
      </c>
      <c r="AC97" s="1">
        <v>20.991399999999999</v>
      </c>
      <c r="AD97" s="1">
        <v>18.970800000000001</v>
      </c>
      <c r="AE97" s="1">
        <v>0</v>
      </c>
      <c r="AF97" s="1"/>
      <c r="AG97" s="1">
        <f t="shared" si="15"/>
        <v>165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221</v>
      </c>
      <c r="B98" s="1" t="s">
        <v>35</v>
      </c>
      <c r="C98" s="1">
        <v>84.438999999999993</v>
      </c>
      <c r="D98" s="1">
        <v>547.76700000000005</v>
      </c>
      <c r="E98" s="1">
        <v>352.86599999999999</v>
      </c>
      <c r="F98" s="1">
        <v>304.642</v>
      </c>
      <c r="G98" s="7">
        <v>1</v>
      </c>
      <c r="H98" s="1">
        <v>40</v>
      </c>
      <c r="I98" s="1" t="s">
        <v>222</v>
      </c>
      <c r="J98" s="1"/>
      <c r="K98" s="1">
        <v>319.89</v>
      </c>
      <c r="L98" s="1">
        <f t="shared" si="10"/>
        <v>32.975999999999999</v>
      </c>
      <c r="M98" s="1"/>
      <c r="N98" s="1"/>
      <c r="O98" s="1"/>
      <c r="P98" s="1">
        <v>308.42167999999998</v>
      </c>
      <c r="Q98" s="1">
        <f t="shared" si="11"/>
        <v>70.5732</v>
      </c>
      <c r="R98" s="5">
        <f t="shared" si="18"/>
        <v>163.24152000000004</v>
      </c>
      <c r="S98" s="5">
        <f t="shared" si="13"/>
        <v>163.24152000000004</v>
      </c>
      <c r="T98" s="1">
        <f t="shared" si="14"/>
        <v>11</v>
      </c>
      <c r="U98" s="1">
        <f t="shared" si="12"/>
        <v>8.6869191137712338</v>
      </c>
      <c r="V98" s="1">
        <v>62.651200000000003</v>
      </c>
      <c r="W98" s="1">
        <v>44.876600000000003</v>
      </c>
      <c r="X98" s="1">
        <v>53.498600000000003</v>
      </c>
      <c r="Y98" s="1">
        <v>56.879600000000003</v>
      </c>
      <c r="Z98" s="1">
        <v>47.910400000000003</v>
      </c>
      <c r="AA98" s="1">
        <v>60.2986</v>
      </c>
      <c r="AB98" s="1">
        <v>44.475000000000001</v>
      </c>
      <c r="AC98" s="1">
        <v>43.321599999999997</v>
      </c>
      <c r="AD98" s="1">
        <v>38.055599999999998</v>
      </c>
      <c r="AE98" s="1">
        <v>38.472799999999999</v>
      </c>
      <c r="AF98" s="1"/>
      <c r="AG98" s="1">
        <f t="shared" si="15"/>
        <v>163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223</v>
      </c>
      <c r="B99" s="1" t="s">
        <v>42</v>
      </c>
      <c r="C99" s="1"/>
      <c r="D99" s="1">
        <v>312</v>
      </c>
      <c r="E99" s="1">
        <v>194</v>
      </c>
      <c r="F99" s="1">
        <v>101</v>
      </c>
      <c r="G99" s="7">
        <v>0.28000000000000003</v>
      </c>
      <c r="H99" s="1">
        <v>40</v>
      </c>
      <c r="I99" s="1" t="s">
        <v>224</v>
      </c>
      <c r="J99" s="1"/>
      <c r="K99" s="1">
        <v>203</v>
      </c>
      <c r="L99" s="1">
        <f t="shared" si="10"/>
        <v>-9</v>
      </c>
      <c r="M99" s="1"/>
      <c r="N99" s="1"/>
      <c r="O99" s="1"/>
      <c r="P99" s="1"/>
      <c r="Q99" s="1">
        <f t="shared" si="11"/>
        <v>38.799999999999997</v>
      </c>
      <c r="R99" s="5">
        <f>10*Q99-P99-O99-F99</f>
        <v>287</v>
      </c>
      <c r="S99" s="5">
        <f t="shared" si="13"/>
        <v>287</v>
      </c>
      <c r="T99" s="1">
        <f t="shared" si="14"/>
        <v>10</v>
      </c>
      <c r="U99" s="1">
        <f t="shared" si="12"/>
        <v>2.6030927835051547</v>
      </c>
      <c r="V99" s="1">
        <v>14.8</v>
      </c>
      <c r="W99" s="1">
        <v>-2.6</v>
      </c>
      <c r="X99" s="1">
        <v>-1.8</v>
      </c>
      <c r="Y99" s="1">
        <v>10.4</v>
      </c>
      <c r="Z99" s="1">
        <v>23</v>
      </c>
      <c r="AA99" s="1">
        <v>12</v>
      </c>
      <c r="AB99" s="1">
        <v>46.2</v>
      </c>
      <c r="AC99" s="1">
        <v>35.4</v>
      </c>
      <c r="AD99" s="1">
        <v>47.4</v>
      </c>
      <c r="AE99" s="1">
        <v>51.4</v>
      </c>
      <c r="AF99" s="1"/>
      <c r="AG99" s="1">
        <f t="shared" si="15"/>
        <v>80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225</v>
      </c>
      <c r="B100" s="1" t="s">
        <v>42</v>
      </c>
      <c r="C100" s="1">
        <v>6</v>
      </c>
      <c r="D100" s="1">
        <v>480</v>
      </c>
      <c r="E100" s="1">
        <v>64</v>
      </c>
      <c r="F100" s="1">
        <v>434</v>
      </c>
      <c r="G100" s="7">
        <v>0.28000000000000003</v>
      </c>
      <c r="H100" s="1">
        <v>40</v>
      </c>
      <c r="I100" s="1"/>
      <c r="J100" s="1"/>
      <c r="K100" s="1">
        <v>80</v>
      </c>
      <c r="L100" s="1">
        <f t="shared" si="10"/>
        <v>-16</v>
      </c>
      <c r="M100" s="1"/>
      <c r="N100" s="1"/>
      <c r="O100" s="1"/>
      <c r="P100" s="1"/>
      <c r="Q100" s="1">
        <f t="shared" si="11"/>
        <v>12.8</v>
      </c>
      <c r="R100" s="5"/>
      <c r="S100" s="5">
        <f t="shared" si="13"/>
        <v>0</v>
      </c>
      <c r="T100" s="1">
        <f t="shared" si="14"/>
        <v>33.90625</v>
      </c>
      <c r="U100" s="1">
        <f t="shared" si="12"/>
        <v>33.90625</v>
      </c>
      <c r="V100" s="1">
        <v>8.6</v>
      </c>
      <c r="W100" s="1">
        <v>24</v>
      </c>
      <c r="X100" s="1">
        <v>42.6</v>
      </c>
      <c r="Y100" s="1">
        <v>28.8</v>
      </c>
      <c r="Z100" s="1">
        <v>4.2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/>
      <c r="AG100" s="1">
        <f t="shared" si="15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226</v>
      </c>
      <c r="B101" s="1" t="s">
        <v>42</v>
      </c>
      <c r="C101" s="1">
        <v>121</v>
      </c>
      <c r="D101" s="1">
        <v>397</v>
      </c>
      <c r="E101" s="1">
        <v>195</v>
      </c>
      <c r="F101" s="1">
        <v>326</v>
      </c>
      <c r="G101" s="7">
        <v>0.28000000000000003</v>
      </c>
      <c r="H101" s="1">
        <v>40</v>
      </c>
      <c r="I101" s="1" t="s">
        <v>227</v>
      </c>
      <c r="J101" s="1"/>
      <c r="K101" s="1">
        <v>192</v>
      </c>
      <c r="L101" s="1">
        <f t="shared" ref="L101:L112" si="19">E101-K101</f>
        <v>3</v>
      </c>
      <c r="M101" s="1"/>
      <c r="N101" s="1"/>
      <c r="O101" s="1"/>
      <c r="P101" s="1"/>
      <c r="Q101" s="1">
        <f t="shared" si="11"/>
        <v>39</v>
      </c>
      <c r="R101" s="5">
        <f t="shared" si="18"/>
        <v>103</v>
      </c>
      <c r="S101" s="5">
        <f t="shared" si="13"/>
        <v>103</v>
      </c>
      <c r="T101" s="1">
        <f t="shared" si="14"/>
        <v>11</v>
      </c>
      <c r="U101" s="1">
        <f t="shared" si="12"/>
        <v>8.3589743589743595</v>
      </c>
      <c r="V101" s="1">
        <v>32.200000000000003</v>
      </c>
      <c r="W101" s="1">
        <v>27.6</v>
      </c>
      <c r="X101" s="1">
        <v>42.8</v>
      </c>
      <c r="Y101" s="1">
        <v>38.6</v>
      </c>
      <c r="Z101" s="1">
        <v>32.6</v>
      </c>
      <c r="AA101" s="1">
        <v>34.200000000000003</v>
      </c>
      <c r="AB101" s="1">
        <v>36.799999999999997</v>
      </c>
      <c r="AC101" s="1">
        <v>29</v>
      </c>
      <c r="AD101" s="1">
        <v>35.799999999999997</v>
      </c>
      <c r="AE101" s="1">
        <v>39.799999999999997</v>
      </c>
      <c r="AF101" s="1"/>
      <c r="AG101" s="1">
        <f t="shared" si="15"/>
        <v>29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228</v>
      </c>
      <c r="B102" s="1" t="s">
        <v>35</v>
      </c>
      <c r="C102" s="1">
        <v>32.802</v>
      </c>
      <c r="D102" s="1">
        <v>315.02300000000002</v>
      </c>
      <c r="E102" s="1">
        <v>95.926000000000002</v>
      </c>
      <c r="F102" s="1">
        <v>263.99700000000001</v>
      </c>
      <c r="G102" s="7">
        <v>1</v>
      </c>
      <c r="H102" s="1">
        <v>60</v>
      </c>
      <c r="I102" s="1" t="s">
        <v>229</v>
      </c>
      <c r="J102" s="1"/>
      <c r="K102" s="1">
        <v>84.7</v>
      </c>
      <c r="L102" s="1">
        <f t="shared" si="19"/>
        <v>11.225999999999999</v>
      </c>
      <c r="M102" s="1"/>
      <c r="N102" s="1"/>
      <c r="O102" s="1"/>
      <c r="P102" s="1"/>
      <c r="Q102" s="1">
        <f t="shared" si="11"/>
        <v>19.185200000000002</v>
      </c>
      <c r="R102" s="5"/>
      <c r="S102" s="5">
        <f t="shared" si="13"/>
        <v>0</v>
      </c>
      <c r="T102" s="1">
        <f t="shared" si="14"/>
        <v>13.760450764130683</v>
      </c>
      <c r="U102" s="1">
        <f t="shared" si="12"/>
        <v>13.760450764130683</v>
      </c>
      <c r="V102" s="1">
        <v>9.5001999999999995</v>
      </c>
      <c r="W102" s="1">
        <v>4.1302000000000003</v>
      </c>
      <c r="X102" s="1">
        <v>29.898199999999999</v>
      </c>
      <c r="Y102" s="1">
        <v>29.849799999999998</v>
      </c>
      <c r="Z102" s="1">
        <v>3.4443999999999999</v>
      </c>
      <c r="AA102" s="1">
        <v>3.4984000000000002</v>
      </c>
      <c r="AB102" s="1">
        <v>23.016400000000001</v>
      </c>
      <c r="AC102" s="1">
        <v>18.604199999999999</v>
      </c>
      <c r="AD102" s="1">
        <v>18.595199999999998</v>
      </c>
      <c r="AE102" s="1">
        <v>22.053999999999998</v>
      </c>
      <c r="AF102" s="1"/>
      <c r="AG102" s="1">
        <f t="shared" si="15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230</v>
      </c>
      <c r="B103" s="1" t="s">
        <v>35</v>
      </c>
      <c r="C103" s="1">
        <v>90</v>
      </c>
      <c r="D103" s="1">
        <v>119.877</v>
      </c>
      <c r="E103" s="1">
        <v>78.209999999999994</v>
      </c>
      <c r="F103" s="1">
        <v>117.82899999999999</v>
      </c>
      <c r="G103" s="7">
        <v>1</v>
      </c>
      <c r="H103" s="1">
        <v>50</v>
      </c>
      <c r="I103" s="1" t="s">
        <v>231</v>
      </c>
      <c r="J103" s="1"/>
      <c r="K103" s="1">
        <v>92.05</v>
      </c>
      <c r="L103" s="1">
        <f t="shared" si="19"/>
        <v>-13.840000000000003</v>
      </c>
      <c r="M103" s="1"/>
      <c r="N103" s="1"/>
      <c r="O103" s="1"/>
      <c r="P103" s="1">
        <v>7.0870000000000184</v>
      </c>
      <c r="Q103" s="1">
        <f t="shared" si="11"/>
        <v>15.641999999999999</v>
      </c>
      <c r="R103" s="5">
        <f t="shared" si="18"/>
        <v>47.145999999999972</v>
      </c>
      <c r="S103" s="5">
        <f t="shared" si="13"/>
        <v>47.145999999999972</v>
      </c>
      <c r="T103" s="1">
        <f t="shared" si="14"/>
        <v>11</v>
      </c>
      <c r="U103" s="1">
        <f t="shared" si="12"/>
        <v>7.9859353023909998</v>
      </c>
      <c r="V103" s="1">
        <v>12.287000000000001</v>
      </c>
      <c r="W103" s="1">
        <v>4.1159999999999997</v>
      </c>
      <c r="X103" s="1">
        <v>7.7904</v>
      </c>
      <c r="Y103" s="1">
        <v>13.495799999999999</v>
      </c>
      <c r="Z103" s="1">
        <v>18.490400000000001</v>
      </c>
      <c r="AA103" s="1">
        <v>21.981000000000002</v>
      </c>
      <c r="AB103" s="1">
        <v>8.9923999999999999</v>
      </c>
      <c r="AC103" s="1">
        <v>14.0106</v>
      </c>
      <c r="AD103" s="1">
        <v>17.496600000000001</v>
      </c>
      <c r="AE103" s="1">
        <v>13.942</v>
      </c>
      <c r="AF103" s="1"/>
      <c r="AG103" s="1">
        <f t="shared" si="15"/>
        <v>47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232</v>
      </c>
      <c r="B104" s="1" t="s">
        <v>35</v>
      </c>
      <c r="C104" s="1"/>
      <c r="D104" s="1">
        <v>151.79</v>
      </c>
      <c r="E104" s="1">
        <v>105.892</v>
      </c>
      <c r="F104" s="1">
        <v>45.04</v>
      </c>
      <c r="G104" s="7">
        <v>1</v>
      </c>
      <c r="H104" s="1">
        <v>60</v>
      </c>
      <c r="I104" s="1"/>
      <c r="J104" s="1"/>
      <c r="K104" s="1">
        <v>90.4</v>
      </c>
      <c r="L104" s="1">
        <f t="shared" si="19"/>
        <v>15.49199999999999</v>
      </c>
      <c r="M104" s="1"/>
      <c r="N104" s="1"/>
      <c r="O104" s="1"/>
      <c r="P104" s="1">
        <v>15.557999999999989</v>
      </c>
      <c r="Q104" s="1">
        <f t="shared" si="11"/>
        <v>21.1784</v>
      </c>
      <c r="R104" s="5">
        <f>10*Q104-P104-O104-F104</f>
        <v>151.18600000000001</v>
      </c>
      <c r="S104" s="5">
        <f t="shared" si="13"/>
        <v>151.18600000000001</v>
      </c>
      <c r="T104" s="1">
        <f t="shared" si="14"/>
        <v>10</v>
      </c>
      <c r="U104" s="1">
        <f t="shared" si="12"/>
        <v>2.8613115249499481</v>
      </c>
      <c r="V104" s="1">
        <v>9.8439999999999994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12.7134</v>
      </c>
      <c r="AC104" s="1">
        <v>23.990600000000001</v>
      </c>
      <c r="AD104" s="1">
        <v>11.8384</v>
      </c>
      <c r="AE104" s="1">
        <v>0</v>
      </c>
      <c r="AF104" s="1"/>
      <c r="AG104" s="1">
        <f t="shared" si="15"/>
        <v>151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233</v>
      </c>
      <c r="B105" s="1" t="s">
        <v>35</v>
      </c>
      <c r="C105" s="1">
        <v>91.811000000000007</v>
      </c>
      <c r="D105" s="1">
        <v>207.65799999999999</v>
      </c>
      <c r="E105" s="1">
        <v>191.65100000000001</v>
      </c>
      <c r="F105" s="1">
        <v>144.34800000000001</v>
      </c>
      <c r="G105" s="7">
        <v>1</v>
      </c>
      <c r="H105" s="1">
        <v>60</v>
      </c>
      <c r="I105" s="1" t="s">
        <v>234</v>
      </c>
      <c r="J105" s="1"/>
      <c r="K105" s="1">
        <v>139.55000000000001</v>
      </c>
      <c r="L105" s="1">
        <f t="shared" si="19"/>
        <v>52.100999999999999</v>
      </c>
      <c r="M105" s="1"/>
      <c r="N105" s="1"/>
      <c r="O105" s="1">
        <v>122.09180000000001</v>
      </c>
      <c r="P105" s="1">
        <v>101.50279999999999</v>
      </c>
      <c r="Q105" s="1">
        <f t="shared" si="11"/>
        <v>38.330200000000005</v>
      </c>
      <c r="R105" s="5">
        <f t="shared" si="18"/>
        <v>53.68960000000007</v>
      </c>
      <c r="S105" s="5">
        <f t="shared" si="13"/>
        <v>53.68960000000007</v>
      </c>
      <c r="T105" s="1">
        <f t="shared" si="14"/>
        <v>10.999999999999998</v>
      </c>
      <c r="U105" s="1">
        <f t="shared" si="12"/>
        <v>9.5992872460879397</v>
      </c>
      <c r="V105" s="1">
        <v>36.979799999999997</v>
      </c>
      <c r="W105" s="1">
        <v>37.952800000000003</v>
      </c>
      <c r="X105" s="1">
        <v>20.715</v>
      </c>
      <c r="Y105" s="1">
        <v>10.0794</v>
      </c>
      <c r="Z105" s="1">
        <v>31.320399999999999</v>
      </c>
      <c r="AA105" s="1">
        <v>42.749200000000002</v>
      </c>
      <c r="AB105" s="1">
        <v>29.668399999999998</v>
      </c>
      <c r="AC105" s="1">
        <v>23.665400000000002</v>
      </c>
      <c r="AD105" s="1">
        <v>8.9771999999999998</v>
      </c>
      <c r="AE105" s="1">
        <v>0</v>
      </c>
      <c r="AF105" s="1"/>
      <c r="AG105" s="1">
        <f t="shared" si="15"/>
        <v>54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235</v>
      </c>
      <c r="B106" s="1" t="s">
        <v>35</v>
      </c>
      <c r="C106" s="1">
        <v>24.715</v>
      </c>
      <c r="D106" s="1">
        <v>171.02099999999999</v>
      </c>
      <c r="E106" s="1">
        <v>47.512999999999998</v>
      </c>
      <c r="F106" s="1">
        <v>135.52699999999999</v>
      </c>
      <c r="G106" s="7">
        <v>1</v>
      </c>
      <c r="H106" s="1">
        <v>60</v>
      </c>
      <c r="I106" s="1" t="s">
        <v>236</v>
      </c>
      <c r="J106" s="1"/>
      <c r="K106" s="1">
        <v>58.113</v>
      </c>
      <c r="L106" s="1">
        <f t="shared" si="19"/>
        <v>-10.600000000000001</v>
      </c>
      <c r="M106" s="1"/>
      <c r="N106" s="1"/>
      <c r="O106" s="1"/>
      <c r="P106" s="1"/>
      <c r="Q106" s="1">
        <f t="shared" si="11"/>
        <v>9.5025999999999993</v>
      </c>
      <c r="R106" s="5"/>
      <c r="S106" s="5">
        <f t="shared" si="13"/>
        <v>0</v>
      </c>
      <c r="T106" s="1">
        <f t="shared" si="14"/>
        <v>14.262096689327132</v>
      </c>
      <c r="U106" s="1">
        <f t="shared" si="12"/>
        <v>14.262096689327132</v>
      </c>
      <c r="V106" s="1">
        <v>9.9976000000000003</v>
      </c>
      <c r="W106" s="1">
        <v>8.3857999999999997</v>
      </c>
      <c r="X106" s="1">
        <v>12.8756</v>
      </c>
      <c r="Y106" s="1">
        <v>14.671799999999999</v>
      </c>
      <c r="Z106" s="1">
        <v>8.1275999999999993</v>
      </c>
      <c r="AA106" s="1">
        <v>5.9496000000000002</v>
      </c>
      <c r="AB106" s="1">
        <v>7.8940000000000001</v>
      </c>
      <c r="AC106" s="1">
        <v>7.8569999999999993</v>
      </c>
      <c r="AD106" s="1">
        <v>4.05</v>
      </c>
      <c r="AE106" s="1">
        <v>4.8860000000000001</v>
      </c>
      <c r="AF106" s="1"/>
      <c r="AG106" s="1">
        <f t="shared" si="15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237</v>
      </c>
      <c r="B107" s="1" t="s">
        <v>35</v>
      </c>
      <c r="C107" s="1">
        <v>1671.317</v>
      </c>
      <c r="D107" s="1">
        <v>703.27800000000002</v>
      </c>
      <c r="E107" s="1">
        <v>717.71299999999997</v>
      </c>
      <c r="F107" s="1">
        <v>1638.366</v>
      </c>
      <c r="G107" s="7">
        <v>1</v>
      </c>
      <c r="H107" s="1">
        <v>60</v>
      </c>
      <c r="I107" s="1"/>
      <c r="J107" s="1"/>
      <c r="K107" s="1">
        <v>727.02800000000002</v>
      </c>
      <c r="L107" s="1">
        <f t="shared" si="19"/>
        <v>-9.3150000000000546</v>
      </c>
      <c r="M107" s="1"/>
      <c r="N107" s="1"/>
      <c r="O107" s="1"/>
      <c r="P107" s="1"/>
      <c r="Q107" s="1">
        <f t="shared" si="11"/>
        <v>143.54259999999999</v>
      </c>
      <c r="R107" s="5"/>
      <c r="S107" s="5">
        <f t="shared" si="13"/>
        <v>0</v>
      </c>
      <c r="T107" s="1">
        <f t="shared" si="14"/>
        <v>11.413796322485451</v>
      </c>
      <c r="U107" s="1">
        <f t="shared" si="12"/>
        <v>11.413796322485451</v>
      </c>
      <c r="V107" s="1">
        <v>73.318599999999989</v>
      </c>
      <c r="W107" s="1">
        <v>37.800199999999997</v>
      </c>
      <c r="X107" s="1">
        <v>16.512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6" t="s">
        <v>249</v>
      </c>
      <c r="AG107" s="1">
        <f t="shared" si="15"/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238</v>
      </c>
      <c r="B108" s="1" t="s">
        <v>42</v>
      </c>
      <c r="C108" s="1">
        <v>2</v>
      </c>
      <c r="D108" s="1">
        <v>576</v>
      </c>
      <c r="E108" s="1">
        <v>222</v>
      </c>
      <c r="F108" s="1">
        <v>370</v>
      </c>
      <c r="G108" s="7">
        <v>0.3</v>
      </c>
      <c r="H108" s="1">
        <v>40</v>
      </c>
      <c r="I108" s="1" t="s">
        <v>239</v>
      </c>
      <c r="J108" s="1"/>
      <c r="K108" s="1">
        <v>208</v>
      </c>
      <c r="L108" s="1">
        <f t="shared" si="19"/>
        <v>14</v>
      </c>
      <c r="M108" s="1"/>
      <c r="N108" s="1"/>
      <c r="O108" s="1"/>
      <c r="P108" s="1">
        <v>15.00000000000006</v>
      </c>
      <c r="Q108" s="1">
        <f t="shared" si="11"/>
        <v>44.4</v>
      </c>
      <c r="R108" s="5">
        <f t="shared" si="18"/>
        <v>103.39999999999992</v>
      </c>
      <c r="S108" s="5">
        <f t="shared" si="13"/>
        <v>103.39999999999992</v>
      </c>
      <c r="T108" s="1">
        <f t="shared" si="14"/>
        <v>11</v>
      </c>
      <c r="U108" s="1">
        <f t="shared" si="12"/>
        <v>8.6711711711711725</v>
      </c>
      <c r="V108" s="1">
        <v>39</v>
      </c>
      <c r="W108" s="1">
        <v>37.200000000000003</v>
      </c>
      <c r="X108" s="1">
        <v>48.4</v>
      </c>
      <c r="Y108" s="1">
        <v>47.6</v>
      </c>
      <c r="Z108" s="1">
        <v>37.4</v>
      </c>
      <c r="AA108" s="1">
        <v>29</v>
      </c>
      <c r="AB108" s="1">
        <v>50.2</v>
      </c>
      <c r="AC108" s="1">
        <v>31.6</v>
      </c>
      <c r="AD108" s="1">
        <v>36.200000000000003</v>
      </c>
      <c r="AE108" s="1">
        <v>36.6</v>
      </c>
      <c r="AF108" s="1"/>
      <c r="AG108" s="1">
        <f t="shared" si="15"/>
        <v>31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240</v>
      </c>
      <c r="B109" s="1" t="s">
        <v>42</v>
      </c>
      <c r="C109" s="1"/>
      <c r="D109" s="1">
        <v>5</v>
      </c>
      <c r="E109" s="1">
        <v>-3</v>
      </c>
      <c r="F109" s="1">
        <v>5</v>
      </c>
      <c r="G109" s="7">
        <v>0.3</v>
      </c>
      <c r="H109" s="1">
        <v>40</v>
      </c>
      <c r="I109" s="1" t="s">
        <v>241</v>
      </c>
      <c r="J109" s="1"/>
      <c r="K109" s="1">
        <v>6</v>
      </c>
      <c r="L109" s="1">
        <f t="shared" si="19"/>
        <v>-9</v>
      </c>
      <c r="M109" s="1"/>
      <c r="N109" s="1"/>
      <c r="O109" s="1">
        <v>80</v>
      </c>
      <c r="P109" s="1"/>
      <c r="Q109" s="1">
        <f t="shared" si="11"/>
        <v>-0.6</v>
      </c>
      <c r="R109" s="5"/>
      <c r="S109" s="5">
        <f t="shared" si="13"/>
        <v>0</v>
      </c>
      <c r="T109" s="1">
        <f t="shared" si="14"/>
        <v>-141.66666666666669</v>
      </c>
      <c r="U109" s="1">
        <f t="shared" si="12"/>
        <v>-141.66666666666669</v>
      </c>
      <c r="V109" s="1">
        <v>-1.2</v>
      </c>
      <c r="W109" s="1">
        <v>-3.6</v>
      </c>
      <c r="X109" s="1">
        <v>-6.6</v>
      </c>
      <c r="Y109" s="1">
        <v>4.4000000000000004</v>
      </c>
      <c r="Z109" s="1">
        <v>6.8</v>
      </c>
      <c r="AA109" s="1">
        <v>2.8</v>
      </c>
      <c r="AB109" s="1">
        <v>20.399999999999999</v>
      </c>
      <c r="AC109" s="1">
        <v>27.2</v>
      </c>
      <c r="AD109" s="1">
        <v>29</v>
      </c>
      <c r="AE109" s="1">
        <v>15.2</v>
      </c>
      <c r="AF109" s="1" t="s">
        <v>242</v>
      </c>
      <c r="AG109" s="1">
        <f t="shared" si="15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243</v>
      </c>
      <c r="B110" s="1" t="s">
        <v>35</v>
      </c>
      <c r="C110" s="1"/>
      <c r="D110" s="1">
        <v>32.558</v>
      </c>
      <c r="E110" s="1">
        <v>12.166</v>
      </c>
      <c r="F110" s="1">
        <v>20.391999999999999</v>
      </c>
      <c r="G110" s="7">
        <v>1</v>
      </c>
      <c r="H110" s="1">
        <v>50</v>
      </c>
      <c r="I110" s="1" t="s">
        <v>244</v>
      </c>
      <c r="J110" s="1"/>
      <c r="K110" s="1">
        <v>11.6</v>
      </c>
      <c r="L110" s="1">
        <f t="shared" si="19"/>
        <v>0.56600000000000072</v>
      </c>
      <c r="M110" s="1"/>
      <c r="N110" s="1"/>
      <c r="O110" s="1"/>
      <c r="P110" s="1"/>
      <c r="Q110" s="1">
        <f t="shared" si="11"/>
        <v>2.4332000000000003</v>
      </c>
      <c r="R110" s="5">
        <f t="shared" si="18"/>
        <v>6.3732000000000042</v>
      </c>
      <c r="S110" s="5">
        <f t="shared" si="13"/>
        <v>6.3732000000000042</v>
      </c>
      <c r="T110" s="1">
        <f t="shared" si="14"/>
        <v>11</v>
      </c>
      <c r="U110" s="1">
        <f t="shared" si="12"/>
        <v>8.3807331908597718</v>
      </c>
      <c r="V110" s="1">
        <v>1.623</v>
      </c>
      <c r="W110" s="1">
        <v>0</v>
      </c>
      <c r="X110" s="1">
        <v>0</v>
      </c>
      <c r="Y110" s="1">
        <v>-4.7E-2</v>
      </c>
      <c r="Z110" s="1">
        <v>2.073</v>
      </c>
      <c r="AA110" s="1">
        <v>2.12</v>
      </c>
      <c r="AB110" s="1">
        <v>3.0232000000000001</v>
      </c>
      <c r="AC110" s="1">
        <v>2.4927999999999999</v>
      </c>
      <c r="AD110" s="1">
        <v>1.1104000000000001</v>
      </c>
      <c r="AE110" s="1">
        <v>3.3012000000000001</v>
      </c>
      <c r="AF110" s="1"/>
      <c r="AG110" s="1">
        <f t="shared" si="15"/>
        <v>6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245</v>
      </c>
      <c r="B111" s="1" t="s">
        <v>42</v>
      </c>
      <c r="C111" s="1">
        <v>6</v>
      </c>
      <c r="D111" s="1">
        <v>262</v>
      </c>
      <c r="E111" s="1">
        <v>213</v>
      </c>
      <c r="F111" s="1">
        <v>60</v>
      </c>
      <c r="G111" s="7">
        <v>0.3</v>
      </c>
      <c r="H111" s="1">
        <v>40</v>
      </c>
      <c r="I111" s="1" t="s">
        <v>246</v>
      </c>
      <c r="J111" s="1"/>
      <c r="K111" s="1">
        <v>206</v>
      </c>
      <c r="L111" s="1">
        <f t="shared" si="19"/>
        <v>7</v>
      </c>
      <c r="M111" s="1"/>
      <c r="N111" s="1"/>
      <c r="O111" s="1"/>
      <c r="P111" s="1">
        <v>132.32000000000011</v>
      </c>
      <c r="Q111" s="1">
        <f t="shared" si="11"/>
        <v>42.6</v>
      </c>
      <c r="R111" s="5">
        <f t="shared" si="18"/>
        <v>276.27999999999992</v>
      </c>
      <c r="S111" s="5">
        <f t="shared" si="13"/>
        <v>276.27999999999992</v>
      </c>
      <c r="T111" s="1">
        <f t="shared" si="14"/>
        <v>11</v>
      </c>
      <c r="U111" s="1">
        <f t="shared" si="12"/>
        <v>4.5145539906103309</v>
      </c>
      <c r="V111" s="1">
        <v>23.8</v>
      </c>
      <c r="W111" s="1">
        <v>8</v>
      </c>
      <c r="X111" s="1">
        <v>18.8</v>
      </c>
      <c r="Y111" s="1">
        <v>20.399999999999999</v>
      </c>
      <c r="Z111" s="1">
        <v>20.399999999999999</v>
      </c>
      <c r="AA111" s="1">
        <v>16.600000000000001</v>
      </c>
      <c r="AB111" s="1">
        <v>16</v>
      </c>
      <c r="AC111" s="1">
        <v>15.4</v>
      </c>
      <c r="AD111" s="1">
        <v>18.399999999999999</v>
      </c>
      <c r="AE111" s="1">
        <v>17.399999999999999</v>
      </c>
      <c r="AF111" s="1"/>
      <c r="AG111" s="1">
        <f t="shared" si="15"/>
        <v>83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247</v>
      </c>
      <c r="B112" s="1" t="s">
        <v>42</v>
      </c>
      <c r="C112" s="1">
        <v>3</v>
      </c>
      <c r="D112" s="1">
        <v>165</v>
      </c>
      <c r="E112" s="1">
        <v>18</v>
      </c>
      <c r="F112" s="1">
        <v>150</v>
      </c>
      <c r="G112" s="7">
        <v>0.12</v>
      </c>
      <c r="H112" s="1">
        <v>45</v>
      </c>
      <c r="I112" s="1" t="s">
        <v>248</v>
      </c>
      <c r="J112" s="1"/>
      <c r="K112" s="1">
        <v>18</v>
      </c>
      <c r="L112" s="1">
        <f t="shared" si="19"/>
        <v>0</v>
      </c>
      <c r="M112" s="1"/>
      <c r="N112" s="1"/>
      <c r="O112" s="1"/>
      <c r="P112" s="1"/>
      <c r="Q112" s="1">
        <f t="shared" si="11"/>
        <v>3.6</v>
      </c>
      <c r="R112" s="5"/>
      <c r="S112" s="5">
        <f t="shared" si="13"/>
        <v>0</v>
      </c>
      <c r="T112" s="1">
        <f t="shared" si="14"/>
        <v>41.666666666666664</v>
      </c>
      <c r="U112" s="1">
        <f t="shared" si="12"/>
        <v>41.666666666666664</v>
      </c>
      <c r="V112" s="1">
        <v>3.2</v>
      </c>
      <c r="W112" s="1">
        <v>6.2</v>
      </c>
      <c r="X112" s="1">
        <v>12.2</v>
      </c>
      <c r="Y112" s="1">
        <v>7.6</v>
      </c>
      <c r="Z112" s="1">
        <v>0.4</v>
      </c>
      <c r="AA112" s="1">
        <v>1.8</v>
      </c>
      <c r="AB112" s="1">
        <v>7.6</v>
      </c>
      <c r="AC112" s="1">
        <v>2.8</v>
      </c>
      <c r="AD112" s="1">
        <v>5</v>
      </c>
      <c r="AE112" s="1">
        <v>10</v>
      </c>
      <c r="AF112" s="1"/>
      <c r="AG112" s="1">
        <f t="shared" si="15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G112" xr:uid="{D269C9C0-2E18-43E6-86B8-4DE1DD78121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2026-07-14T11:56:58Z</dcterms:created>
  <dcterms:modified xsi:type="dcterms:W3CDTF">2026-07-16T09:43:59Z</dcterms:modified>
</cp:coreProperties>
</file>