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01FEEEE-B6AA-4327-A2ED-C405EC552E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8" i="1" s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Y205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N114" i="1"/>
  <c r="BM114" i="1"/>
  <c r="Z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43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43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X537" i="1" s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Z119" i="1" l="1"/>
  <c r="H9" i="1"/>
  <c r="A10" i="1"/>
  <c r="F9" i="1"/>
  <c r="J9" i="1"/>
  <c r="Z22" i="1"/>
  <c r="Z24" i="1" s="1"/>
  <c r="BN22" i="1"/>
  <c r="BP22" i="1"/>
  <c r="Y25" i="1"/>
  <c r="Z28" i="1"/>
  <c r="Z32" i="1" s="1"/>
  <c r="BN28" i="1"/>
  <c r="BP28" i="1"/>
  <c r="Z30" i="1"/>
  <c r="BN30" i="1"/>
  <c r="C543" i="1"/>
  <c r="Z42" i="1"/>
  <c r="Z46" i="1" s="1"/>
  <c r="BN42" i="1"/>
  <c r="BP42" i="1"/>
  <c r="Z44" i="1"/>
  <c r="BN44" i="1"/>
  <c r="Y47" i="1"/>
  <c r="D543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Z74" i="1" s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09" i="1" s="1"/>
  <c r="BN103" i="1"/>
  <c r="BP103" i="1"/>
  <c r="Z105" i="1"/>
  <c r="BN105" i="1"/>
  <c r="Z107" i="1"/>
  <c r="BN107" i="1"/>
  <c r="Y110" i="1"/>
  <c r="Y119" i="1"/>
  <c r="Z113" i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4" i="1"/>
  <c r="BP181" i="1"/>
  <c r="BN181" i="1"/>
  <c r="Z181" i="1"/>
  <c r="Z435" i="1"/>
  <c r="Y24" i="1"/>
  <c r="Y67" i="1"/>
  <c r="Y92" i="1"/>
  <c r="Y109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Z154" i="1" s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Z256" i="1"/>
  <c r="H543" i="1"/>
  <c r="Y136" i="1"/>
  <c r="J543" i="1"/>
  <c r="Y160" i="1"/>
  <c r="K543" i="1"/>
  <c r="Z199" i="1"/>
  <c r="Z205" i="1" s="1"/>
  <c r="BN199" i="1"/>
  <c r="BP199" i="1"/>
  <c r="Z201" i="1"/>
  <c r="BN201" i="1"/>
  <c r="Z203" i="1"/>
  <c r="BN203" i="1"/>
  <c r="Y206" i="1"/>
  <c r="L543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Z298" i="1" s="1"/>
  <c r="Y313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U543" i="1"/>
  <c r="Y401" i="1"/>
  <c r="BP398" i="1"/>
  <c r="BN398" i="1"/>
  <c r="Z398" i="1"/>
  <c r="Z401" i="1" s="1"/>
  <c r="O543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19" i="1"/>
  <c r="BN319" i="1"/>
  <c r="Z319" i="1"/>
  <c r="Z337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Z414" i="1" s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72" i="1" l="1"/>
  <c r="Z368" i="1"/>
  <c r="Z358" i="1"/>
  <c r="Z267" i="1"/>
  <c r="Z184" i="1"/>
  <c r="Z126" i="1"/>
  <c r="Y535" i="1"/>
  <c r="Z486" i="1"/>
  <c r="Z456" i="1"/>
  <c r="Z502" i="1"/>
  <c r="Z445" i="1"/>
  <c r="Z420" i="1"/>
  <c r="Z375" i="1"/>
  <c r="Z282" i="1"/>
  <c r="Z241" i="1"/>
  <c r="Z235" i="1"/>
  <c r="Z178" i="1"/>
  <c r="Y537" i="1"/>
  <c r="Z92" i="1"/>
  <c r="Z67" i="1"/>
  <c r="Z538" i="1" s="1"/>
  <c r="Y533" i="1"/>
  <c r="Y534" i="1"/>
  <c r="Y536" i="1" s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<sst xmlns="http://schemas.openxmlformats.org/spreadsheetml/2006/main" count="2407" uniqueCount="872">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</sst>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1486</v>
      </c>
      <c r="Y51" s="606">
        <f>IFERROR(IF(X51="",0,CEILING((X51/$H51),1)*$H51),"")</f>
        <v>1490.4</v>
      </c>
      <c r="Z51" s="36">
        <f>IFERROR(IF(Y51=0,"",ROUNDUP(Y51/H51,0)*0.01898),"")</f>
        <v>2.61924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1542.4129629629631</v>
      </c>
      <c r="BN51" s="64">
        <f>IFERROR(Y51*I51/H51,"0")</f>
        <v>1546.98</v>
      </c>
      <c r="BO51" s="64">
        <f>IFERROR(1/J51*(X51/H51),"0")</f>
        <v>2.1498842592592591</v>
      </c>
      <c r="BP51" s="64">
        <f>IFERROR(1/J51*(Y51/H51),"0")</f>
        <v>2.15625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137.59259259259258</v>
      </c>
      <c r="Y55" s="607">
        <f>IFERROR(Y51/H51,"0")+IFERROR(Y52/H52,"0")+IFERROR(Y53/H53,"0")+IFERROR(Y54/H54,"0")</f>
        <v>138</v>
      </c>
      <c r="Z55" s="607">
        <f>IFERROR(IF(Z51="",0,Z51),"0")+IFERROR(IF(Z52="",0,Z52),"0")+IFERROR(IF(Z53="",0,Z53),"0")+IFERROR(IF(Z54="",0,Z54),"0")</f>
        <v>2.61924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1486</v>
      </c>
      <c r="Y56" s="607">
        <f>IFERROR(SUM(Y51:Y54),"0")</f>
        <v>1490.4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0</v>
      </c>
      <c r="Y67" s="607">
        <f>IFERROR(Y59/H59,"0")+IFERROR(Y60/H60,"0")+IFERROR(Y61/H61,"0")+IFERROR(Y62/H62,"0")+IFERROR(Y63/H63,"0")+IFERROR(Y64/H64,"0")+IFERROR(Y65/H65,"0")+IFERROR(Y66/H66,"0")</f>
        <v>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0</v>
      </c>
      <c r="Y68" s="607">
        <f>IFERROR(SUM(Y59:Y66),"0")</f>
        <v>0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89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92.75777777777779</v>
      </c>
      <c r="BN91" s="64">
        <f>IFERROR(Y91*I91/H91,"0")</f>
        <v>93.800000000000011</v>
      </c>
      <c r="BO91" s="64">
        <f>IFERROR(1/J91*(X91/H91),"0")</f>
        <v>0.14983164983164984</v>
      </c>
      <c r="BP91" s="64">
        <f>IFERROR(1/J91*(Y91/H91),"0")</f>
        <v>0.15151515151515152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19.777777777777779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0.1804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89</v>
      </c>
      <c r="Y93" s="607">
        <f>IFERROR(SUM(Y88:Y91),"0")</f>
        <v>90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380</v>
      </c>
      <c r="Y95" s="606">
        <f>IFERROR(IF(X95="",0,CEILING((X95/$H95),1)*$H95),"")</f>
        <v>380.7</v>
      </c>
      <c r="Z95" s="36">
        <f>IFERROR(IF(Y95=0,"",ROUNDUP(Y95/H95,0)*0.01898),"")</f>
        <v>0.89205999999999996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403.17530864197528</v>
      </c>
      <c r="BN95" s="64">
        <f>IFERROR(Y95*I95/H95,"0")</f>
        <v>403.91799999999995</v>
      </c>
      <c r="BO95" s="64">
        <f>IFERROR(1/J95*(X95/H95),"0")</f>
        <v>0.73302469135802473</v>
      </c>
      <c r="BP95" s="64">
        <f>IFERROR(1/J95*(Y95/H95),"0")</f>
        <v>0.734375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46.913580246913583</v>
      </c>
      <c r="Y99" s="607">
        <f>IFERROR(Y95/H95,"0")+IFERROR(Y96/H96,"0")+IFERROR(Y97/H97,"0")+IFERROR(Y98/H98,"0")</f>
        <v>47</v>
      </c>
      <c r="Z99" s="607">
        <f>IFERROR(IF(Z95="",0,Z95),"0")+IFERROR(IF(Z96="",0,Z96),"0")+IFERROR(IF(Z97="",0,Z97),"0")+IFERROR(IF(Z98="",0,Z98),"0")</f>
        <v>0.89205999999999996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380</v>
      </c>
      <c r="Y100" s="607">
        <f>IFERROR(SUM(Y95:Y98),"0")</f>
        <v>380.7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1014</v>
      </c>
      <c r="Y122" s="606">
        <f>IFERROR(IF(X122="",0,CEILING((X122/$H122),1)*$H122),"")</f>
        <v>1020.5999999999999</v>
      </c>
      <c r="Z122" s="36">
        <f>IFERROR(IF(Y122=0,"",ROUNDUP(Y122/H122,0)*0.01898),"")</f>
        <v>2.3914800000000001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1075.0903703703705</v>
      </c>
      <c r="BN122" s="64">
        <f>IFERROR(Y122*I122/H122,"0")</f>
        <v>1082.0879999999997</v>
      </c>
      <c r="BO122" s="64">
        <f>IFERROR(1/J122*(X122/H122),"0")</f>
        <v>1.9560185185185186</v>
      </c>
      <c r="BP122" s="64">
        <f>IFERROR(1/J122*(Y122/H122),"0")</f>
        <v>1.96875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297</v>
      </c>
      <c r="Y124" s="606">
        <f>IFERROR(IF(X124="",0,CEILING((X124/$H124),1)*$H124),"")</f>
        <v>297</v>
      </c>
      <c r="Z124" s="36">
        <f>IFERROR(IF(Y124=0,"",ROUNDUP(Y124/H124,0)*0.00651),"")</f>
        <v>0.71610000000000007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324.71999999999997</v>
      </c>
      <c r="BN124" s="64">
        <f>IFERROR(Y124*I124/H124,"0")</f>
        <v>324.71999999999997</v>
      </c>
      <c r="BO124" s="64">
        <f>IFERROR(1/J124*(X124/H124),"0")</f>
        <v>0.60439560439560436</v>
      </c>
      <c r="BP124" s="64">
        <f>IFERROR(1/J124*(Y124/H124),"0")</f>
        <v>0.60439560439560436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235.18518518518516</v>
      </c>
      <c r="Y126" s="607">
        <f>IFERROR(Y122/H122,"0")+IFERROR(Y123/H123,"0")+IFERROR(Y124/H124,"0")+IFERROR(Y125/H125,"0")</f>
        <v>236</v>
      </c>
      <c r="Z126" s="607">
        <f>IFERROR(IF(Z122="",0,Z122),"0")+IFERROR(IF(Z123="",0,Z123),"0")+IFERROR(IF(Z124="",0,Z124),"0")+IFERROR(IF(Z125="",0,Z125),"0")</f>
        <v>3.10758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1311</v>
      </c>
      <c r="Y127" s="607">
        <f>IFERROR(SUM(Y122:Y125),"0")</f>
        <v>1317.6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78</v>
      </c>
      <c r="Y175" s="606">
        <f t="shared" si="15"/>
        <v>78.959999999999994</v>
      </c>
      <c r="Z175" s="36">
        <f>IFERROR(IF(Y175=0,"",ROUNDUP(Y175/H175,0)*0.00502),"")</f>
        <v>0.23594000000000001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82.642857142857153</v>
      </c>
      <c r="BN175" s="64">
        <f t="shared" si="17"/>
        <v>83.66</v>
      </c>
      <c r="BO175" s="64">
        <f t="shared" si="18"/>
        <v>0.19841269841269843</v>
      </c>
      <c r="BP175" s="64">
        <f t="shared" si="19"/>
        <v>0.20085470085470086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46.428571428571431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47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0.23594000000000001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78</v>
      </c>
      <c r="Y179" s="607">
        <f>IFERROR(SUM(Y167:Y177),"0")</f>
        <v>78.959999999999994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304</v>
      </c>
      <c r="Y261" s="606">
        <f t="shared" si="32"/>
        <v>307.8</v>
      </c>
      <c r="Z261" s="36">
        <f>IFERROR(IF(Y261=0,"",ROUNDUP(Y261/H261,0)*0.00902),"")</f>
        <v>0.51414000000000004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314.69629629629628</v>
      </c>
      <c r="BN261" s="64">
        <f t="shared" si="34"/>
        <v>318.63</v>
      </c>
      <c r="BO261" s="64">
        <f t="shared" si="35"/>
        <v>0.42648709315375977</v>
      </c>
      <c r="BP261" s="64">
        <f t="shared" si="36"/>
        <v>0.43181818181818182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56.296296296296291</v>
      </c>
      <c r="Y267" s="607">
        <f>IFERROR(Y259/H259,"0")+IFERROR(Y260/H260,"0")+IFERROR(Y261/H261,"0")+IFERROR(Y262/H262,"0")+IFERROR(Y263/H263,"0")+IFERROR(Y264/H264,"0")+IFERROR(Y265/H265,"0")+IFERROR(Y266/H266,"0")</f>
        <v>57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0.51414000000000004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304</v>
      </c>
      <c r="Y268" s="607">
        <f>IFERROR(SUM(Y259:Y266),"0")</f>
        <v>307.8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126</v>
      </c>
      <c r="Y273" s="606">
        <f t="shared" si="37"/>
        <v>127.19999999999999</v>
      </c>
      <c r="Z273" s="36">
        <f>IFERROR(IF(Y273=0,"",ROUNDUP(Y273/H273,0)*0.00651),"")</f>
        <v>0.34503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140.17500000000001</v>
      </c>
      <c r="BN273" s="64">
        <f t="shared" si="39"/>
        <v>141.51</v>
      </c>
      <c r="BO273" s="64">
        <f t="shared" si="40"/>
        <v>0.28846153846153849</v>
      </c>
      <c r="BP273" s="64">
        <f t="shared" si="41"/>
        <v>0.29120879120879123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413</v>
      </c>
      <c r="Y276" s="606">
        <f t="shared" si="37"/>
        <v>415.2</v>
      </c>
      <c r="Z276" s="36">
        <f>IFERROR(IF(Y276=0,"",ROUNDUP(Y276/H276,0)*0.00651),"")</f>
        <v>1.1262300000000001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456.36500000000007</v>
      </c>
      <c r="BN276" s="64">
        <f t="shared" si="39"/>
        <v>458.79600000000005</v>
      </c>
      <c r="BO276" s="64">
        <f t="shared" si="40"/>
        <v>0.9455128205128206</v>
      </c>
      <c r="BP276" s="64">
        <f t="shared" si="41"/>
        <v>0.95054945054945061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117</v>
      </c>
      <c r="Y278" s="606">
        <f t="shared" si="37"/>
        <v>117.6</v>
      </c>
      <c r="Z278" s="36">
        <f>IFERROR(IF(Y278=0,"",ROUNDUP(Y278/H278,0)*0.00651),"")</f>
        <v>0.31899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129.285</v>
      </c>
      <c r="BN278" s="64">
        <f t="shared" si="39"/>
        <v>129.94800000000001</v>
      </c>
      <c r="BO278" s="64">
        <f t="shared" si="40"/>
        <v>0.2678571428571429</v>
      </c>
      <c r="BP278" s="64">
        <f t="shared" si="41"/>
        <v>0.26923076923076927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273.33333333333337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275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1.7902499999999999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656</v>
      </c>
      <c r="Y283" s="607">
        <f>IFERROR(SUM(Y270:Y281),"0")</f>
        <v>660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700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744.33333333333337</v>
      </c>
      <c r="BN379" s="64">
        <f>IFERROR(Y379*I379/H379,"0")</f>
        <v>746.46</v>
      </c>
      <c r="BO379" s="64">
        <f>IFERROR(1/J379*(X379/H379),"0")</f>
        <v>1.4022435897435899</v>
      </c>
      <c r="BP379" s="64">
        <f>IFERROR(1/J379*(Y379/H379),"0")</f>
        <v>1.40625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89.743589743589752</v>
      </c>
      <c r="Y381" s="607">
        <f>IFERROR(Y378/H378,"0")+IFERROR(Y379/H379,"0")+IFERROR(Y380/H380,"0")</f>
        <v>90</v>
      </c>
      <c r="Z381" s="607">
        <f>IFERROR(IF(Z378="",0,Z378),"0")+IFERROR(IF(Z379="",0,Z379),"0")+IFERROR(IF(Z380="",0,Z380),"0")</f>
        <v>1.7081999999999999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700</v>
      </c>
      <c r="Y382" s="607">
        <f>IFERROR(SUM(Y378:Y380),"0")</f>
        <v>702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1388</v>
      </c>
      <c r="Y407" s="606">
        <f t="shared" si="52"/>
        <v>1395</v>
      </c>
      <c r="Z407" s="36">
        <f>IFERROR(IF(Y407=0,"",ROUNDUP(Y407/H407,0)*0.02175),"")</f>
        <v>2.0227499999999998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1431.4906666666668</v>
      </c>
      <c r="BN407" s="64">
        <f t="shared" si="54"/>
        <v>1438.71</v>
      </c>
      <c r="BO407" s="64">
        <f t="shared" si="55"/>
        <v>1.9277777777777776</v>
      </c>
      <c r="BP407" s="64">
        <f t="shared" si="56"/>
        <v>1.9375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590</v>
      </c>
      <c r="Y408" s="606">
        <f t="shared" si="52"/>
        <v>600</v>
      </c>
      <c r="Z408" s="36">
        <f>IFERROR(IF(Y408=0,"",ROUNDUP(Y408/H408,0)*0.02175),"")</f>
        <v>0.86999999999999988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608.48666666666679</v>
      </c>
      <c r="BN408" s="64">
        <f t="shared" si="54"/>
        <v>618.79999999999995</v>
      </c>
      <c r="BO408" s="64">
        <f t="shared" si="55"/>
        <v>0.81944444444444442</v>
      </c>
      <c r="BP408" s="64">
        <f t="shared" si="56"/>
        <v>0.83333333333333326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822</v>
      </c>
      <c r="Y409" s="606">
        <f t="shared" si="52"/>
        <v>825</v>
      </c>
      <c r="Z409" s="36">
        <f>IFERROR(IF(Y409=0,"",ROUNDUP(Y409/H409,0)*0.02175),"")</f>
        <v>1.1962499999999998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847.75599999999997</v>
      </c>
      <c r="BN409" s="64">
        <f t="shared" si="54"/>
        <v>850.85</v>
      </c>
      <c r="BO409" s="64">
        <f t="shared" si="55"/>
        <v>1.1416666666666666</v>
      </c>
      <c r="BP409" s="64">
        <f t="shared" si="56"/>
        <v>1.1458333333333333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271</v>
      </c>
      <c r="Y410" s="606">
        <f t="shared" si="52"/>
        <v>285</v>
      </c>
      <c r="Z410" s="36">
        <f>IFERROR(IF(Y410=0,"",ROUNDUP(Y410/H410,0)*0.02175),"")</f>
        <v>0.41324999999999995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279.49133333333333</v>
      </c>
      <c r="BN410" s="64">
        <f t="shared" si="54"/>
        <v>293.93</v>
      </c>
      <c r="BO410" s="64">
        <f t="shared" si="55"/>
        <v>0.37638888888888888</v>
      </c>
      <c r="BP410" s="64">
        <f t="shared" si="56"/>
        <v>0.39583333333333331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204.73333333333335</v>
      </c>
      <c r="Y414" s="607">
        <f>IFERROR(Y406/H406,"0")+IFERROR(Y407/H407,"0")+IFERROR(Y408/H408,"0")+IFERROR(Y409/H409,"0")+IFERROR(Y410/H410,"0")+IFERROR(Y411/H411,"0")+IFERROR(Y412/H412,"0")+IFERROR(Y413/H413,"0")</f>
        <v>207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4.5022499999999992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3071</v>
      </c>
      <c r="Y415" s="607">
        <f>IFERROR(SUM(Y406:Y413),"0")</f>
        <v>3105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940</v>
      </c>
      <c r="Y417" s="606">
        <f>IFERROR(IF(X417="",0,CEILING((X417/$H417),1)*$H417),"")</f>
        <v>945</v>
      </c>
      <c r="Z417" s="36">
        <f>IFERROR(IF(Y417=0,"",ROUNDUP(Y417/H417,0)*0.02175),"")</f>
        <v>1.37025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969.45333333333338</v>
      </c>
      <c r="BN417" s="64">
        <f>IFERROR(Y417*I417/H417,"0")</f>
        <v>974.61000000000013</v>
      </c>
      <c r="BO417" s="64">
        <f>IFERROR(1/J417*(X417/H417),"0")</f>
        <v>1.3055555555555554</v>
      </c>
      <c r="BP417" s="64">
        <f>IFERROR(1/J417*(Y417/H417),"0")</f>
        <v>1.3125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62.666666666666664</v>
      </c>
      <c r="Y420" s="607">
        <f>IFERROR(Y417/H417,"0")+IFERROR(Y418/H418,"0")+IFERROR(Y419/H419,"0")</f>
        <v>63</v>
      </c>
      <c r="Z420" s="607">
        <f>IFERROR(IF(Z417="",0,Z417),"0")+IFERROR(IF(Z418="",0,Z418),"0")+IFERROR(IF(Z419="",0,Z419),"0")</f>
        <v>1.37025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940</v>
      </c>
      <c r="Y421" s="607">
        <f>IFERROR(SUM(Y417:Y419),"0")</f>
        <v>945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2741</v>
      </c>
      <c r="Y442" s="606">
        <f>IFERROR(IF(X442="",0,CEILING((X442/$H442),1)*$H442),"")</f>
        <v>2745</v>
      </c>
      <c r="Z442" s="36">
        <f>IFERROR(IF(Y442=0,"",ROUNDUP(Y442/H442,0)*0.01898),"")</f>
        <v>5.7888999999999999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2891.4504444444447</v>
      </c>
      <c r="BN442" s="64">
        <f>IFERROR(Y442*I442/H442,"0")</f>
        <v>2895.67</v>
      </c>
      <c r="BO442" s="64">
        <f>IFERROR(1/J442*(X442/H442),"0")</f>
        <v>4.7586805555555554</v>
      </c>
      <c r="BP442" s="64">
        <f>IFERROR(1/J442*(Y442/H442),"0")</f>
        <v>4.765625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304.55555555555554</v>
      </c>
      <c r="Y445" s="607">
        <f>IFERROR(Y442/H442,"0")+IFERROR(Y443/H443,"0")+IFERROR(Y444/H444,"0")</f>
        <v>305</v>
      </c>
      <c r="Z445" s="607">
        <f>IFERROR(IF(Z442="",0,Z442),"0")+IFERROR(IF(Z443="",0,Z443),"0")+IFERROR(IF(Z444="",0,Z444),"0")</f>
        <v>5.7888999999999999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2741</v>
      </c>
      <c r="Y446" s="607">
        <f>IFERROR(SUM(Y442:Y444),"0")</f>
        <v>2745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502</v>
      </c>
      <c r="Y482" s="606">
        <f t="shared" si="62"/>
        <v>506.88</v>
      </c>
      <c r="Z482" s="36">
        <f t="shared" si="63"/>
        <v>1.1481600000000001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535.27651515151513</v>
      </c>
      <c r="BN482" s="64">
        <f t="shared" si="65"/>
        <v>540.4799999999999</v>
      </c>
      <c r="BO482" s="64">
        <f t="shared" si="66"/>
        <v>0.91418997668997681</v>
      </c>
      <c r="BP482" s="64">
        <f t="shared" si="67"/>
        <v>0.92307692307692313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148</v>
      </c>
      <c r="Y484" s="606">
        <f t="shared" si="62"/>
        <v>148.79999999999998</v>
      </c>
      <c r="Z484" s="36">
        <f>IFERROR(IF(Y484=0,"",ROUNDUP(Y484/H484,0)*0.00902),"")</f>
        <v>0.27961999999999998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213.05833333333337</v>
      </c>
      <c r="BN484" s="64">
        <f t="shared" si="65"/>
        <v>214.20999999999998</v>
      </c>
      <c r="BO484" s="64">
        <f t="shared" si="66"/>
        <v>0.23358585858585862</v>
      </c>
      <c r="BP484" s="64">
        <f t="shared" si="67"/>
        <v>0.23484848484848483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92</v>
      </c>
      <c r="Y485" s="606">
        <f t="shared" si="62"/>
        <v>96</v>
      </c>
      <c r="Z485" s="36">
        <f>IFERROR(IF(Y485=0,"",ROUNDUP(Y485/H485,0)*0.00902),"")</f>
        <v>0.1804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132.44166666666669</v>
      </c>
      <c r="BN485" s="64">
        <f t="shared" si="65"/>
        <v>138.20000000000002</v>
      </c>
      <c r="BO485" s="64">
        <f t="shared" si="66"/>
        <v>0.14520202020202022</v>
      </c>
      <c r="BP485" s="64">
        <f t="shared" si="67"/>
        <v>0.15151515151515152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145.07575757575756</v>
      </c>
      <c r="Y486" s="607">
        <f>IFERROR(Y477/H477,"0")+IFERROR(Y478/H478,"0")+IFERROR(Y479/H479,"0")+IFERROR(Y480/H480,"0")+IFERROR(Y481/H481,"0")+IFERROR(Y482/H482,"0")+IFERROR(Y483/H483,"0")+IFERROR(Y484/H484,"0")+IFERROR(Y485/H485,"0")</f>
        <v>147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1.6081799999999999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742</v>
      </c>
      <c r="Y487" s="607">
        <f>IFERROR(SUM(Y477:Y485),"0")</f>
        <v>751.68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661</v>
      </c>
      <c r="Y489" s="606">
        <f>IFERROR(IF(X489="",0,CEILING((X489/$H489),1)*$H489),"")</f>
        <v>665.28000000000009</v>
      </c>
      <c r="Z489" s="36">
        <f>IFERROR(IF(Y489=0,"",ROUNDUP(Y489/H489,0)*0.01196),"")</f>
        <v>1.5069600000000001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704.81628787878776</v>
      </c>
      <c r="BN489" s="64">
        <f>IFERROR(Y489*I489/H489,"0")</f>
        <v>709.38</v>
      </c>
      <c r="BO489" s="64">
        <f>IFERROR(1/J489*(X489/H489),"0")</f>
        <v>1.2037441724941726</v>
      </c>
      <c r="BP489" s="64">
        <f>IFERROR(1/J489*(Y489/H489),"0")</f>
        <v>1.2115384615384617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125.18939393939394</v>
      </c>
      <c r="Y492" s="607">
        <f>IFERROR(Y489/H489,"0")+IFERROR(Y490/H490,"0")+IFERROR(Y491/H491,"0")</f>
        <v>126.00000000000001</v>
      </c>
      <c r="Z492" s="607">
        <f>IFERROR(IF(Z489="",0,Z489),"0")+IFERROR(IF(Z490="",0,Z490),"0")+IFERROR(IF(Z491="",0,Z491),"0")</f>
        <v>1.5069600000000001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661</v>
      </c>
      <c r="Y493" s="607">
        <f>IFERROR(SUM(Y489:Y491),"0")</f>
        <v>665.28000000000009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264</v>
      </c>
      <c r="Y496" s="606">
        <f t="shared" si="68"/>
        <v>264</v>
      </c>
      <c r="Z496" s="36">
        <f>IFERROR(IF(Y496=0,"",ROUNDUP(Y496/H496,0)*0.01196),"")</f>
        <v>0.59799999999999998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281.5</v>
      </c>
      <c r="BN496" s="64">
        <f t="shared" si="70"/>
        <v>281.5</v>
      </c>
      <c r="BO496" s="64">
        <f t="shared" si="71"/>
        <v>0.48076923076923078</v>
      </c>
      <c r="BP496" s="64">
        <f t="shared" si="72"/>
        <v>0.48076923076923078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442</v>
      </c>
      <c r="Y497" s="606">
        <f t="shared" si="68"/>
        <v>443.52000000000004</v>
      </c>
      <c r="Z497" s="36">
        <f>IFERROR(IF(Y497=0,"",ROUNDUP(Y497/H497,0)*0.01196),"")</f>
        <v>1.00464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471.29924242424244</v>
      </c>
      <c r="BN497" s="64">
        <f t="shared" si="70"/>
        <v>472.92</v>
      </c>
      <c r="BO497" s="64">
        <f t="shared" si="71"/>
        <v>0.80492424242424243</v>
      </c>
      <c r="BP497" s="64">
        <f t="shared" si="72"/>
        <v>0.80769230769230771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133.71212121212119</v>
      </c>
      <c r="Y502" s="607">
        <f>IFERROR(Y495/H495,"0")+IFERROR(Y496/H496,"0")+IFERROR(Y497/H497,"0")+IFERROR(Y498/H498,"0")+IFERROR(Y499/H499,"0")+IFERROR(Y500/H500,"0")+IFERROR(Y501/H501,"0")</f>
        <v>134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1.6026400000000001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706</v>
      </c>
      <c r="Y503" s="607">
        <f>IFERROR(SUM(Y495:Y501),"0")</f>
        <v>707.52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13865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13946.94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14672.174396424563</v>
      </c>
      <c r="Y534" s="607">
        <f>IFERROR(SUM(BN22:BN530),"0")</f>
        <v>14759.77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24</v>
      </c>
      <c r="Y535" s="38">
        <f>ROUNDUP(SUM(BP22:BP530),0)</f>
        <v>24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15272.174396424563</v>
      </c>
      <c r="Y536" s="607">
        <f>GrossWeightTotalR+PalletQtyTotalR*25</f>
        <v>15359.77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1881.2037548870883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1892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27.42699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1490.4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470.7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1317.6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78.959999999999994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967.80000000000007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702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4050</v>
      </c>
      <c r="W543" s="46">
        <f>IFERROR(Y433*1,"0")+IFERROR(Y434*1,"0")+IFERROR(Y438*1,"0")+IFERROR(Y442*1,"0")+IFERROR(Y443*1,"0")+IFERROR(Y444*1,"0")</f>
        <v>2745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2124.48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