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62D6D780-9834-481E-9B7E-12A15C77E5E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P524" i="1"/>
  <c r="BO524" i="1"/>
  <c r="BN524" i="1"/>
  <c r="BM524" i="1"/>
  <c r="Z524" i="1"/>
  <c r="Y524" i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Y517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BP400" i="1" s="1"/>
  <c r="P400" i="1"/>
  <c r="BP399" i="1"/>
  <c r="BO399" i="1"/>
  <c r="BN399" i="1"/>
  <c r="BM399" i="1"/>
  <c r="Z399" i="1"/>
  <c r="Y399" i="1"/>
  <c r="P399" i="1"/>
  <c r="BO398" i="1"/>
  <c r="BM398" i="1"/>
  <c r="Y398" i="1"/>
  <c r="U543" i="1" s="1"/>
  <c r="P398" i="1"/>
  <c r="X395" i="1"/>
  <c r="X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Y394" i="1" s="1"/>
  <c r="P391" i="1"/>
  <c r="X389" i="1"/>
  <c r="X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BP385" i="1" s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Y382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Y376" i="1" s="1"/>
  <c r="P371" i="1"/>
  <c r="X369" i="1"/>
  <c r="X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BP363" i="1" s="1"/>
  <c r="P363" i="1"/>
  <c r="BP362" i="1"/>
  <c r="BO362" i="1"/>
  <c r="BN362" i="1"/>
  <c r="BM362" i="1"/>
  <c r="Z362" i="1"/>
  <c r="Y362" i="1"/>
  <c r="P362" i="1"/>
  <c r="BO361" i="1"/>
  <c r="BM361" i="1"/>
  <c r="Y361" i="1"/>
  <c r="Y368" i="1" s="1"/>
  <c r="P361" i="1"/>
  <c r="X359" i="1"/>
  <c r="X358" i="1"/>
  <c r="BO357" i="1"/>
  <c r="BM357" i="1"/>
  <c r="Y357" i="1"/>
  <c r="BP357" i="1" s="1"/>
  <c r="P357" i="1"/>
  <c r="BP356" i="1"/>
  <c r="BO356" i="1"/>
  <c r="BN356" i="1"/>
  <c r="BM356" i="1"/>
  <c r="Z356" i="1"/>
  <c r="Y356" i="1"/>
  <c r="P356" i="1"/>
  <c r="BO355" i="1"/>
  <c r="BM355" i="1"/>
  <c r="Y355" i="1"/>
  <c r="BP355" i="1" s="1"/>
  <c r="P355" i="1"/>
  <c r="BP354" i="1"/>
  <c r="BO354" i="1"/>
  <c r="BN354" i="1"/>
  <c r="BM354" i="1"/>
  <c r="Z354" i="1"/>
  <c r="Y354" i="1"/>
  <c r="P354" i="1"/>
  <c r="BO353" i="1"/>
  <c r="BM353" i="1"/>
  <c r="Y353" i="1"/>
  <c r="T543" i="1" s="1"/>
  <c r="P353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S543" i="1" s="1"/>
  <c r="P346" i="1"/>
  <c r="X343" i="1"/>
  <c r="X342" i="1"/>
  <c r="BO341" i="1"/>
  <c r="BM341" i="1"/>
  <c r="Y341" i="1"/>
  <c r="BP341" i="1" s="1"/>
  <c r="P341" i="1"/>
  <c r="BP340" i="1"/>
  <c r="BO340" i="1"/>
  <c r="BN340" i="1"/>
  <c r="BM340" i="1"/>
  <c r="Z340" i="1"/>
  <c r="Y340" i="1"/>
  <c r="Y342" i="1" s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BO333" i="1"/>
  <c r="BM333" i="1"/>
  <c r="Y333" i="1"/>
  <c r="BP333" i="1" s="1"/>
  <c r="P333" i="1"/>
  <c r="BP332" i="1"/>
  <c r="BO332" i="1"/>
  <c r="BN332" i="1"/>
  <c r="BM332" i="1"/>
  <c r="Z332" i="1"/>
  <c r="Y332" i="1"/>
  <c r="P332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BP326" i="1" s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BP319" i="1" s="1"/>
  <c r="P319" i="1"/>
  <c r="BP318" i="1"/>
  <c r="BO318" i="1"/>
  <c r="BN318" i="1"/>
  <c r="BM318" i="1"/>
  <c r="Z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Y312" i="1" s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Y299" i="1" s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Y251" i="1" s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Y242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Y236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Y228" i="1" s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Y189" i="1" s="1"/>
  <c r="P187" i="1"/>
  <c r="X185" i="1"/>
  <c r="X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Y185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Y179" i="1" s="1"/>
  <c r="P167" i="1"/>
  <c r="X165" i="1"/>
  <c r="X164" i="1"/>
  <c r="BO163" i="1"/>
  <c r="BM163" i="1"/>
  <c r="Y163" i="1"/>
  <c r="Y165" i="1" s="1"/>
  <c r="P163" i="1"/>
  <c r="X161" i="1"/>
  <c r="X160" i="1"/>
  <c r="BO159" i="1"/>
  <c r="BM159" i="1"/>
  <c r="Y159" i="1"/>
  <c r="Y161" i="1" s="1"/>
  <c r="P159" i="1"/>
  <c r="BP158" i="1"/>
  <c r="BO158" i="1"/>
  <c r="BN158" i="1"/>
  <c r="BM158" i="1"/>
  <c r="Z158" i="1"/>
  <c r="Y158" i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I543" i="1" s="1"/>
  <c r="P150" i="1"/>
  <c r="X147" i="1"/>
  <c r="X146" i="1"/>
  <c r="BO145" i="1"/>
  <c r="BM145" i="1"/>
  <c r="Y145" i="1"/>
  <c r="Y147" i="1" s="1"/>
  <c r="P145" i="1"/>
  <c r="BP144" i="1"/>
  <c r="BO144" i="1"/>
  <c r="BN144" i="1"/>
  <c r="BM144" i="1"/>
  <c r="Z144" i="1"/>
  <c r="Y144" i="1"/>
  <c r="Y146" i="1" s="1"/>
  <c r="P144" i="1"/>
  <c r="X142" i="1"/>
  <c r="X141" i="1"/>
  <c r="BP140" i="1"/>
  <c r="BO140" i="1"/>
  <c r="BN140" i="1"/>
  <c r="BM140" i="1"/>
  <c r="Z140" i="1"/>
  <c r="Y140" i="1"/>
  <c r="P140" i="1"/>
  <c r="BO139" i="1"/>
  <c r="BM139" i="1"/>
  <c r="Y139" i="1"/>
  <c r="Y141" i="1" s="1"/>
  <c r="P139" i="1"/>
  <c r="X137" i="1"/>
  <c r="X136" i="1"/>
  <c r="BO135" i="1"/>
  <c r="BM135" i="1"/>
  <c r="Y135" i="1"/>
  <c r="Y137" i="1" s="1"/>
  <c r="P135" i="1"/>
  <c r="BP134" i="1"/>
  <c r="BO134" i="1"/>
  <c r="BN134" i="1"/>
  <c r="BM134" i="1"/>
  <c r="Z134" i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BO122" i="1"/>
  <c r="BM122" i="1"/>
  <c r="Y122" i="1"/>
  <c r="Y126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BP105" i="1"/>
  <c r="BO105" i="1"/>
  <c r="BN105" i="1"/>
  <c r="BM105" i="1"/>
  <c r="Z105" i="1"/>
  <c r="Y105" i="1"/>
  <c r="P105" i="1"/>
  <c r="BO104" i="1"/>
  <c r="BM104" i="1"/>
  <c r="Y104" i="1"/>
  <c r="P104" i="1"/>
  <c r="BO103" i="1"/>
  <c r="BM103" i="1"/>
  <c r="Y103" i="1"/>
  <c r="Y110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Y100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43" i="1" s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43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6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Y46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533" i="1" s="1"/>
  <c r="X24" i="1"/>
  <c r="X537" i="1" s="1"/>
  <c r="BP23" i="1"/>
  <c r="BO23" i="1"/>
  <c r="BN23" i="1"/>
  <c r="BM23" i="1"/>
  <c r="Z23" i="1"/>
  <c r="Y23" i="1"/>
  <c r="P23" i="1"/>
  <c r="BO22" i="1"/>
  <c r="X535" i="1" s="1"/>
  <c r="BM22" i="1"/>
  <c r="X534" i="1" s="1"/>
  <c r="X536" i="1" s="1"/>
  <c r="Y22" i="1"/>
  <c r="B543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Y25" i="1"/>
  <c r="Z28" i="1"/>
  <c r="BN28" i="1"/>
  <c r="BP28" i="1"/>
  <c r="Z30" i="1"/>
  <c r="Z32" i="1" s="1"/>
  <c r="BN30" i="1"/>
  <c r="C543" i="1"/>
  <c r="Z42" i="1"/>
  <c r="BN42" i="1"/>
  <c r="BP42" i="1"/>
  <c r="Z44" i="1"/>
  <c r="Z46" i="1" s="1"/>
  <c r="BN44" i="1"/>
  <c r="Y47" i="1"/>
  <c r="D543" i="1"/>
  <c r="Z52" i="1"/>
  <c r="Z55" i="1" s="1"/>
  <c r="BN52" i="1"/>
  <c r="BP52" i="1"/>
  <c r="Z54" i="1"/>
  <c r="BN54" i="1"/>
  <c r="Y55" i="1"/>
  <c r="Z59" i="1"/>
  <c r="Z67" i="1" s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Z92" i="1" s="1"/>
  <c r="BN88" i="1"/>
  <c r="BP88" i="1"/>
  <c r="Z90" i="1"/>
  <c r="BN90" i="1"/>
  <c r="Y93" i="1"/>
  <c r="Z96" i="1"/>
  <c r="Z99" i="1" s="1"/>
  <c r="BN96" i="1"/>
  <c r="BP96" i="1"/>
  <c r="Z98" i="1"/>
  <c r="BN98" i="1"/>
  <c r="Z103" i="1"/>
  <c r="BN103" i="1"/>
  <c r="BP103" i="1"/>
  <c r="BP104" i="1"/>
  <c r="BN104" i="1"/>
  <c r="Z104" i="1"/>
  <c r="BP108" i="1"/>
  <c r="BN108" i="1"/>
  <c r="Z108" i="1"/>
  <c r="Y120" i="1"/>
  <c r="Y119" i="1"/>
  <c r="BP112" i="1"/>
  <c r="BN112" i="1"/>
  <c r="Z112" i="1"/>
  <c r="BP116" i="1"/>
  <c r="BN116" i="1"/>
  <c r="Z116" i="1"/>
  <c r="Z256" i="1"/>
  <c r="H9" i="1"/>
  <c r="Y24" i="1"/>
  <c r="Y67" i="1"/>
  <c r="Y92" i="1"/>
  <c r="G543" i="1"/>
  <c r="Y109" i="1"/>
  <c r="BP106" i="1"/>
  <c r="BN106" i="1"/>
  <c r="Z106" i="1"/>
  <c r="BP114" i="1"/>
  <c r="BN114" i="1"/>
  <c r="Z114" i="1"/>
  <c r="Z205" i="1"/>
  <c r="Z118" i="1"/>
  <c r="BN118" i="1"/>
  <c r="Z122" i="1"/>
  <c r="BN122" i="1"/>
  <c r="BP122" i="1"/>
  <c r="Z124" i="1"/>
  <c r="BN124" i="1"/>
  <c r="Y127" i="1"/>
  <c r="H543" i="1"/>
  <c r="Z135" i="1"/>
  <c r="Z136" i="1" s="1"/>
  <c r="BN135" i="1"/>
  <c r="BP135" i="1"/>
  <c r="Y136" i="1"/>
  <c r="Z139" i="1"/>
  <c r="Z141" i="1" s="1"/>
  <c r="BN139" i="1"/>
  <c r="BP139" i="1"/>
  <c r="Y142" i="1"/>
  <c r="Z145" i="1"/>
  <c r="Z146" i="1" s="1"/>
  <c r="BN145" i="1"/>
  <c r="BP145" i="1"/>
  <c r="Z150" i="1"/>
  <c r="BN150" i="1"/>
  <c r="BP150" i="1"/>
  <c r="Z152" i="1"/>
  <c r="BN152" i="1"/>
  <c r="Y155" i="1"/>
  <c r="J543" i="1"/>
  <c r="Z159" i="1"/>
  <c r="Z160" i="1" s="1"/>
  <c r="BN159" i="1"/>
  <c r="BP159" i="1"/>
  <c r="Y160" i="1"/>
  <c r="Z163" i="1"/>
  <c r="Z164" i="1" s="1"/>
  <c r="BN163" i="1"/>
  <c r="BP163" i="1"/>
  <c r="Y164" i="1"/>
  <c r="Z167" i="1"/>
  <c r="Z178" i="1" s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Y178" i="1"/>
  <c r="Z181" i="1"/>
  <c r="Z184" i="1" s="1"/>
  <c r="BN181" i="1"/>
  <c r="BP181" i="1"/>
  <c r="Z183" i="1"/>
  <c r="BN183" i="1"/>
  <c r="Y184" i="1"/>
  <c r="Z187" i="1"/>
  <c r="Z189" i="1" s="1"/>
  <c r="BN187" i="1"/>
  <c r="BP187" i="1"/>
  <c r="Y190" i="1"/>
  <c r="K543" i="1"/>
  <c r="Z199" i="1"/>
  <c r="BN199" i="1"/>
  <c r="Z201" i="1"/>
  <c r="BN201" i="1"/>
  <c r="Z203" i="1"/>
  <c r="BN203" i="1"/>
  <c r="Y206" i="1"/>
  <c r="L543" i="1"/>
  <c r="Y211" i="1"/>
  <c r="Z214" i="1"/>
  <c r="Z227" i="1" s="1"/>
  <c r="BN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Y227" i="1"/>
  <c r="Z230" i="1"/>
  <c r="BN230" i="1"/>
  <c r="BP230" i="1"/>
  <c r="Z232" i="1"/>
  <c r="BN232" i="1"/>
  <c r="Z234" i="1"/>
  <c r="BN234" i="1"/>
  <c r="Y235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Z251" i="1" s="1"/>
  <c r="BN249" i="1"/>
  <c r="BP255" i="1"/>
  <c r="BN255" i="1"/>
  <c r="Z255" i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BP296" i="1"/>
  <c r="BN296" i="1"/>
  <c r="Z296" i="1"/>
  <c r="Y313" i="1"/>
  <c r="Z435" i="1"/>
  <c r="Y154" i="1"/>
  <c r="Y205" i="1"/>
  <c r="M543" i="1"/>
  <c r="Y252" i="1"/>
  <c r="BP249" i="1"/>
  <c r="BP261" i="1"/>
  <c r="BN261" i="1"/>
  <c r="Z261" i="1"/>
  <c r="BP265" i="1"/>
  <c r="BN265" i="1"/>
  <c r="Z265" i="1"/>
  <c r="BP273" i="1"/>
  <c r="BN273" i="1"/>
  <c r="Z273" i="1"/>
  <c r="Z282" i="1" s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BP294" i="1"/>
  <c r="BN294" i="1"/>
  <c r="Z294" i="1"/>
  <c r="Z298" i="1" s="1"/>
  <c r="Y298" i="1"/>
  <c r="Z312" i="1"/>
  <c r="BP310" i="1"/>
  <c r="BN310" i="1"/>
  <c r="Z310" i="1"/>
  <c r="Z381" i="1"/>
  <c r="Y321" i="1"/>
  <c r="Y328" i="1"/>
  <c r="Y337" i="1"/>
  <c r="Y343" i="1"/>
  <c r="Y350" i="1"/>
  <c r="Y359" i="1"/>
  <c r="Y369" i="1"/>
  <c r="Y375" i="1"/>
  <c r="Y381" i="1"/>
  <c r="Y389" i="1"/>
  <c r="Y395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BP434" i="1"/>
  <c r="BN434" i="1"/>
  <c r="Z434" i="1"/>
  <c r="Y436" i="1"/>
  <c r="Y439" i="1"/>
  <c r="BP438" i="1"/>
  <c r="BN438" i="1"/>
  <c r="Z438" i="1"/>
  <c r="Z439" i="1" s="1"/>
  <c r="Y440" i="1"/>
  <c r="Y445" i="1"/>
  <c r="BP442" i="1"/>
  <c r="BN442" i="1"/>
  <c r="Z442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Y527" i="1"/>
  <c r="AB543" i="1"/>
  <c r="Y531" i="1"/>
  <c r="BP530" i="1"/>
  <c r="BN530" i="1"/>
  <c r="Z530" i="1"/>
  <c r="Z531" i="1" s="1"/>
  <c r="Y532" i="1"/>
  <c r="O543" i="1"/>
  <c r="W543" i="1"/>
  <c r="P543" i="1"/>
  <c r="Z317" i="1"/>
  <c r="Z321" i="1" s="1"/>
  <c r="BN317" i="1"/>
  <c r="Z319" i="1"/>
  <c r="BN319" i="1"/>
  <c r="Y322" i="1"/>
  <c r="Q543" i="1"/>
  <c r="Z326" i="1"/>
  <c r="Z328" i="1" s="1"/>
  <c r="BN326" i="1"/>
  <c r="Y329" i="1"/>
  <c r="R543" i="1"/>
  <c r="Z333" i="1"/>
  <c r="Z337" i="1" s="1"/>
  <c r="BN333" i="1"/>
  <c r="Z335" i="1"/>
  <c r="BN335" i="1"/>
  <c r="Y338" i="1"/>
  <c r="Z341" i="1"/>
  <c r="Z342" i="1" s="1"/>
  <c r="BN341" i="1"/>
  <c r="Z346" i="1"/>
  <c r="BN346" i="1"/>
  <c r="BP346" i="1"/>
  <c r="Z348" i="1"/>
  <c r="BN348" i="1"/>
  <c r="Y349" i="1"/>
  <c r="Z353" i="1"/>
  <c r="BN353" i="1"/>
  <c r="BP353" i="1"/>
  <c r="Z355" i="1"/>
  <c r="BN355" i="1"/>
  <c r="Z357" i="1"/>
  <c r="BN357" i="1"/>
  <c r="Y358" i="1"/>
  <c r="Z361" i="1"/>
  <c r="BN361" i="1"/>
  <c r="BP361" i="1"/>
  <c r="Z363" i="1"/>
  <c r="BN363" i="1"/>
  <c r="Z365" i="1"/>
  <c r="BN365" i="1"/>
  <c r="Z367" i="1"/>
  <c r="BN367" i="1"/>
  <c r="Z371" i="1"/>
  <c r="Z375" i="1" s="1"/>
  <c r="BN371" i="1"/>
  <c r="BP371" i="1"/>
  <c r="Z373" i="1"/>
  <c r="BN373" i="1"/>
  <c r="Z379" i="1"/>
  <c r="BN379" i="1"/>
  <c r="Z385" i="1"/>
  <c r="Z388" i="1" s="1"/>
  <c r="BN385" i="1"/>
  <c r="Z387" i="1"/>
  <c r="BN387" i="1"/>
  <c r="Z391" i="1"/>
  <c r="BN391" i="1"/>
  <c r="BP391" i="1"/>
  <c r="Z393" i="1"/>
  <c r="BN393" i="1"/>
  <c r="Z398" i="1"/>
  <c r="Z401" i="1" s="1"/>
  <c r="BN398" i="1"/>
  <c r="BP398" i="1"/>
  <c r="Z400" i="1"/>
  <c r="BN400" i="1"/>
  <c r="Y401" i="1"/>
  <c r="BP407" i="1"/>
  <c r="BN407" i="1"/>
  <c r="Z407" i="1"/>
  <c r="Z414" i="1" s="1"/>
  <c r="BP411" i="1"/>
  <c r="BN411" i="1"/>
  <c r="Z411" i="1"/>
  <c r="BP419" i="1"/>
  <c r="BN419" i="1"/>
  <c r="Z419" i="1"/>
  <c r="Y421" i="1"/>
  <c r="Y426" i="1"/>
  <c r="BP423" i="1"/>
  <c r="BN423" i="1"/>
  <c r="Z423" i="1"/>
  <c r="Z425" i="1" s="1"/>
  <c r="Y435" i="1"/>
  <c r="BP444" i="1"/>
  <c r="BN444" i="1"/>
  <c r="Z444" i="1"/>
  <c r="Y446" i="1"/>
  <c r="X543" i="1"/>
  <c r="Y457" i="1"/>
  <c r="BP450" i="1"/>
  <c r="BN450" i="1"/>
  <c r="Z450" i="1"/>
  <c r="BP454" i="1"/>
  <c r="BN454" i="1"/>
  <c r="Z454" i="1"/>
  <c r="Y461" i="1"/>
  <c r="AA543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Z492" i="1" s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486" i="1" l="1"/>
  <c r="Z502" i="1"/>
  <c r="Z420" i="1"/>
  <c r="Z267" i="1"/>
  <c r="Y537" i="1"/>
  <c r="Z119" i="1"/>
  <c r="Y533" i="1"/>
  <c r="Y534" i="1"/>
  <c r="Z456" i="1"/>
  <c r="Z394" i="1"/>
  <c r="Z368" i="1"/>
  <c r="Z358" i="1"/>
  <c r="Z349" i="1"/>
  <c r="Z472" i="1"/>
  <c r="Z445" i="1"/>
  <c r="Z241" i="1"/>
  <c r="Z235" i="1"/>
  <c r="Z154" i="1"/>
  <c r="Z126" i="1"/>
  <c r="Z538" i="1" s="1"/>
  <c r="Z109" i="1"/>
  <c r="Y535" i="1"/>
  <c r="Y536" i="1" l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<sst xmlns="http://schemas.openxmlformats.org/spreadsheetml/2006/main" count="2407" uniqueCount="872">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</sst>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86" t="s">
        <v>0</v>
      </c>
      <c r="E1" s="638"/>
      <c r="F1" s="638"/>
      <c r="G1" s="12" t="s">
        <v>1</v>
      </c>
      <c r="H1" s="686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7"/>
      <c r="R2" s="617"/>
      <c r="S2" s="617"/>
      <c r="T2" s="617"/>
      <c r="U2" s="617"/>
      <c r="V2" s="617"/>
      <c r="W2" s="617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7"/>
      <c r="Q3" s="617"/>
      <c r="R3" s="617"/>
      <c r="S3" s="617"/>
      <c r="T3" s="617"/>
      <c r="U3" s="617"/>
      <c r="V3" s="617"/>
      <c r="W3" s="617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1" t="s">
        <v>8</v>
      </c>
      <c r="B5" s="655"/>
      <c r="C5" s="656"/>
      <c r="D5" s="690"/>
      <c r="E5" s="691"/>
      <c r="F5" s="915" t="s">
        <v>9</v>
      </c>
      <c r="G5" s="656"/>
      <c r="H5" s="690"/>
      <c r="I5" s="847"/>
      <c r="J5" s="847"/>
      <c r="K5" s="847"/>
      <c r="L5" s="847"/>
      <c r="M5" s="691"/>
      <c r="N5" s="58"/>
      <c r="P5" s="24" t="s">
        <v>10</v>
      </c>
      <c r="Q5" s="927">
        <v>46216</v>
      </c>
      <c r="R5" s="730"/>
      <c r="T5" s="775" t="s">
        <v>11</v>
      </c>
      <c r="U5" s="776"/>
      <c r="V5" s="777" t="s">
        <v>12</v>
      </c>
      <c r="W5" s="730"/>
      <c r="AB5" s="51"/>
      <c r="AC5" s="51"/>
      <c r="AD5" s="51"/>
      <c r="AE5" s="51"/>
    </row>
    <row r="6" spans="1:32" s="602" customFormat="1" ht="24" customHeight="1" x14ac:dyDescent="0.2">
      <c r="A6" s="731" t="s">
        <v>13</v>
      </c>
      <c r="B6" s="655"/>
      <c r="C6" s="656"/>
      <c r="D6" s="850"/>
      <c r="E6" s="851"/>
      <c r="F6" s="851"/>
      <c r="G6" s="851"/>
      <c r="H6" s="851"/>
      <c r="I6" s="851"/>
      <c r="J6" s="851"/>
      <c r="K6" s="851"/>
      <c r="L6" s="851"/>
      <c r="M6" s="730"/>
      <c r="N6" s="59"/>
      <c r="P6" s="24" t="s">
        <v>14</v>
      </c>
      <c r="Q6" s="940" t="str">
        <f>IF(Q5=0," ",CHOOSE(WEEKDAY(Q5,2),"Понедельник","Вторник","Среда","Четверг","Пятница","Суббота","Воскресенье"))</f>
        <v>Понедельник</v>
      </c>
      <c r="R6" s="610"/>
      <c r="T6" s="785" t="s">
        <v>15</v>
      </c>
      <c r="U6" s="776"/>
      <c r="V6" s="836" t="s">
        <v>16</v>
      </c>
      <c r="W6" s="658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60"/>
      <c r="P7" s="24"/>
      <c r="Q7" s="42"/>
      <c r="R7" s="42"/>
      <c r="T7" s="617"/>
      <c r="U7" s="776"/>
      <c r="V7" s="837"/>
      <c r="W7" s="838"/>
      <c r="AB7" s="51"/>
      <c r="AC7" s="51"/>
      <c r="AD7" s="51"/>
      <c r="AE7" s="51"/>
    </row>
    <row r="8" spans="1:32" s="602" customFormat="1" ht="25.5" customHeight="1" x14ac:dyDescent="0.2">
      <c r="A8" s="953" t="s">
        <v>17</v>
      </c>
      <c r="B8" s="622"/>
      <c r="C8" s="623"/>
      <c r="D8" s="678"/>
      <c r="E8" s="679"/>
      <c r="F8" s="679"/>
      <c r="G8" s="679"/>
      <c r="H8" s="679"/>
      <c r="I8" s="679"/>
      <c r="J8" s="679"/>
      <c r="K8" s="679"/>
      <c r="L8" s="679"/>
      <c r="M8" s="680"/>
      <c r="N8" s="61"/>
      <c r="P8" s="24" t="s">
        <v>18</v>
      </c>
      <c r="Q8" s="738">
        <v>0.41666666666666669</v>
      </c>
      <c r="R8" s="672"/>
      <c r="T8" s="617"/>
      <c r="U8" s="776"/>
      <c r="V8" s="837"/>
      <c r="W8" s="838"/>
      <c r="AB8" s="51"/>
      <c r="AC8" s="51"/>
      <c r="AD8" s="51"/>
      <c r="AE8" s="51"/>
    </row>
    <row r="9" spans="1:32" s="602" customFormat="1" ht="39.950000000000003" customHeight="1" x14ac:dyDescent="0.2">
      <c r="A9" s="7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7"/>
      <c r="C9" s="617"/>
      <c r="D9" s="749"/>
      <c r="E9" s="625"/>
      <c r="F9" s="7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7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603"/>
      <c r="P9" s="26" t="s">
        <v>19</v>
      </c>
      <c r="Q9" s="726"/>
      <c r="R9" s="727"/>
      <c r="T9" s="617"/>
      <c r="U9" s="77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7"/>
      <c r="C10" s="617"/>
      <c r="D10" s="749"/>
      <c r="E10" s="625"/>
      <c r="F10" s="7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7"/>
      <c r="H10" s="825" t="str">
        <f>IFERROR(VLOOKUP($D$10,Proxy,2,FALSE),"")</f>
        <v/>
      </c>
      <c r="I10" s="617"/>
      <c r="J10" s="617"/>
      <c r="K10" s="617"/>
      <c r="L10" s="617"/>
      <c r="M10" s="617"/>
      <c r="N10" s="601"/>
      <c r="P10" s="26" t="s">
        <v>20</v>
      </c>
      <c r="Q10" s="786"/>
      <c r="R10" s="787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9"/>
      <c r="R11" s="730"/>
      <c r="U11" s="24" t="s">
        <v>25</v>
      </c>
      <c r="V11" s="874" t="s">
        <v>26</v>
      </c>
      <c r="W11" s="727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9" t="s">
        <v>27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28</v>
      </c>
      <c r="Q12" s="738"/>
      <c r="R12" s="672"/>
      <c r="S12" s="23"/>
      <c r="U12" s="24"/>
      <c r="V12" s="638"/>
      <c r="W12" s="617"/>
      <c r="AB12" s="51"/>
      <c r="AC12" s="51"/>
      <c r="AD12" s="51"/>
      <c r="AE12" s="51"/>
    </row>
    <row r="13" spans="1:32" s="602" customFormat="1" ht="23.25" customHeight="1" x14ac:dyDescent="0.2">
      <c r="A13" s="769" t="s">
        <v>29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30</v>
      </c>
      <c r="Q13" s="874"/>
      <c r="R13" s="7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9" t="s">
        <v>31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806" t="s">
        <v>32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58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9"/>
      <c r="Q16" s="759"/>
      <c r="R16" s="759"/>
      <c r="S16" s="759"/>
      <c r="T16" s="7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46" t="s">
        <v>36</v>
      </c>
      <c r="D17" s="652" t="s">
        <v>37</v>
      </c>
      <c r="E17" s="70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08"/>
      <c r="R17" s="708"/>
      <c r="S17" s="708"/>
      <c r="T17" s="709"/>
      <c r="U17" s="949" t="s">
        <v>49</v>
      </c>
      <c r="V17" s="656"/>
      <c r="W17" s="652" t="s">
        <v>50</v>
      </c>
      <c r="X17" s="652" t="s">
        <v>51</v>
      </c>
      <c r="Y17" s="950" t="s">
        <v>52</v>
      </c>
      <c r="Z17" s="845" t="s">
        <v>53</v>
      </c>
      <c r="AA17" s="826" t="s">
        <v>54</v>
      </c>
      <c r="AB17" s="826" t="s">
        <v>55</v>
      </c>
      <c r="AC17" s="826" t="s">
        <v>56</v>
      </c>
      <c r="AD17" s="826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10"/>
      <c r="E18" s="71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10"/>
      <c r="Q18" s="711"/>
      <c r="R18" s="711"/>
      <c r="S18" s="711"/>
      <c r="T18" s="712"/>
      <c r="U18" s="67" t="s">
        <v>59</v>
      </c>
      <c r="V18" s="67" t="s">
        <v>60</v>
      </c>
      <c r="W18" s="653"/>
      <c r="X18" s="653"/>
      <c r="Y18" s="951"/>
      <c r="Z18" s="846"/>
      <c r="AA18" s="827"/>
      <c r="AB18" s="827"/>
      <c r="AC18" s="827"/>
      <c r="AD18" s="912"/>
      <c r="AE18" s="913"/>
      <c r="AF18" s="914"/>
      <c r="AG18" s="66"/>
      <c r="BD18" s="65"/>
    </row>
    <row r="19" spans="1:68" ht="27.75" customHeight="1" x14ac:dyDescent="0.2">
      <c r="A19" s="667" t="s">
        <v>61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customHeight="1" x14ac:dyDescent="0.25">
      <c r="A20" s="626" t="s">
        <v>61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00"/>
      <c r="AB20" s="600"/>
      <c r="AC20" s="600"/>
    </row>
    <row r="21" spans="1:68" ht="14.25" customHeight="1" x14ac:dyDescent="0.25">
      <c r="A21" s="616" t="s">
        <v>62</v>
      </c>
      <c r="B21" s="617"/>
      <c r="C21" s="617"/>
      <c r="D21" s="617"/>
      <c r="E21" s="617"/>
      <c r="F21" s="617"/>
      <c r="G21" s="617"/>
      <c r="H21" s="617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7"/>
      <c r="AA21" s="599"/>
      <c r="AB21" s="599"/>
      <c r="AC21" s="59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8"/>
      <c r="B24" s="617"/>
      <c r="C24" s="617"/>
      <c r="D24" s="617"/>
      <c r="E24" s="617"/>
      <c r="F24" s="617"/>
      <c r="G24" s="617"/>
      <c r="H24" s="617"/>
      <c r="I24" s="617"/>
      <c r="J24" s="617"/>
      <c r="K24" s="617"/>
      <c r="L24" s="617"/>
      <c r="M24" s="617"/>
      <c r="N24" s="617"/>
      <c r="O24" s="629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7"/>
      <c r="B25" s="617"/>
      <c r="C25" s="617"/>
      <c r="D25" s="617"/>
      <c r="E25" s="617"/>
      <c r="F25" s="617"/>
      <c r="G25" s="617"/>
      <c r="H25" s="617"/>
      <c r="I25" s="617"/>
      <c r="J25" s="617"/>
      <c r="K25" s="617"/>
      <c r="L25" s="617"/>
      <c r="M25" s="617"/>
      <c r="N25" s="617"/>
      <c r="O25" s="629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6" t="s">
        <v>74</v>
      </c>
      <c r="B26" s="617"/>
      <c r="C26" s="617"/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7"/>
      <c r="AA26" s="599"/>
      <c r="AB26" s="599"/>
      <c r="AC26" s="59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09">
        <v>4680115887619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8"/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29"/>
      <c r="P32" s="621" t="s">
        <v>72</v>
      </c>
      <c r="Q32" s="622"/>
      <c r="R32" s="622"/>
      <c r="S32" s="622"/>
      <c r="T32" s="622"/>
      <c r="U32" s="622"/>
      <c r="V32" s="623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x14ac:dyDescent="0.2">
      <c r="A33" s="617"/>
      <c r="B33" s="617"/>
      <c r="C33" s="617"/>
      <c r="D33" s="617"/>
      <c r="E33" s="617"/>
      <c r="F33" s="617"/>
      <c r="G33" s="617"/>
      <c r="H33" s="617"/>
      <c r="I33" s="617"/>
      <c r="J33" s="617"/>
      <c r="K33" s="617"/>
      <c r="L33" s="617"/>
      <c r="M33" s="617"/>
      <c r="N33" s="617"/>
      <c r="O33" s="629"/>
      <c r="P33" s="621" t="s">
        <v>72</v>
      </c>
      <c r="Q33" s="622"/>
      <c r="R33" s="622"/>
      <c r="S33" s="622"/>
      <c r="T33" s="622"/>
      <c r="U33" s="622"/>
      <c r="V33" s="623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customHeight="1" x14ac:dyDescent="0.25">
      <c r="A34" s="616" t="s">
        <v>92</v>
      </c>
      <c r="B34" s="617"/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  <c r="Y34" s="617"/>
      <c r="Z34" s="617"/>
      <c r="AA34" s="599"/>
      <c r="AB34" s="599"/>
      <c r="AC34" s="599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09">
        <v>4607091388503</v>
      </c>
      <c r="E35" s="610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2"/>
      <c r="R35" s="612"/>
      <c r="S35" s="612"/>
      <c r="T35" s="613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8"/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17"/>
      <c r="O36" s="629"/>
      <c r="P36" s="621" t="s">
        <v>72</v>
      </c>
      <c r="Q36" s="622"/>
      <c r="R36" s="622"/>
      <c r="S36" s="622"/>
      <c r="T36" s="622"/>
      <c r="U36" s="622"/>
      <c r="V36" s="623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x14ac:dyDescent="0.2">
      <c r="A37" s="617"/>
      <c r="B37" s="617"/>
      <c r="C37" s="617"/>
      <c r="D37" s="617"/>
      <c r="E37" s="617"/>
      <c r="F37" s="617"/>
      <c r="G37" s="617"/>
      <c r="H37" s="617"/>
      <c r="I37" s="617"/>
      <c r="J37" s="617"/>
      <c r="K37" s="617"/>
      <c r="L37" s="617"/>
      <c r="M37" s="617"/>
      <c r="N37" s="617"/>
      <c r="O37" s="629"/>
      <c r="P37" s="621" t="s">
        <v>72</v>
      </c>
      <c r="Q37" s="622"/>
      <c r="R37" s="622"/>
      <c r="S37" s="622"/>
      <c r="T37" s="622"/>
      <c r="U37" s="622"/>
      <c r="V37" s="623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customHeight="1" x14ac:dyDescent="0.2">
      <c r="A38" s="667" t="s">
        <v>98</v>
      </c>
      <c r="B38" s="668"/>
      <c r="C38" s="668"/>
      <c r="D38" s="668"/>
      <c r="E38" s="668"/>
      <c r="F38" s="668"/>
      <c r="G38" s="668"/>
      <c r="H38" s="668"/>
      <c r="I38" s="668"/>
      <c r="J38" s="668"/>
      <c r="K38" s="668"/>
      <c r="L38" s="668"/>
      <c r="M38" s="668"/>
      <c r="N38" s="668"/>
      <c r="O38" s="668"/>
      <c r="P38" s="668"/>
      <c r="Q38" s="668"/>
      <c r="R38" s="668"/>
      <c r="S38" s="668"/>
      <c r="T38" s="668"/>
      <c r="U38" s="668"/>
      <c r="V38" s="668"/>
      <c r="W38" s="668"/>
      <c r="X38" s="668"/>
      <c r="Y38" s="668"/>
      <c r="Z38" s="668"/>
      <c r="AA38" s="48"/>
      <c r="AB38" s="48"/>
      <c r="AC38" s="48"/>
    </row>
    <row r="39" spans="1:68" ht="16.5" customHeight="1" x14ac:dyDescent="0.25">
      <c r="A39" s="626" t="s">
        <v>99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00"/>
      <c r="AB39" s="600"/>
      <c r="AC39" s="600"/>
    </row>
    <row r="40" spans="1:68" ht="14.25" customHeight="1" x14ac:dyDescent="0.25">
      <c r="A40" s="616" t="s">
        <v>74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599"/>
      <c r="AB40" s="599"/>
      <c r="AC40" s="599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09">
        <v>4680115889354</v>
      </c>
      <c r="E41" s="610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7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2"/>
      <c r="R41" s="612"/>
      <c r="S41" s="612"/>
      <c r="T41" s="613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104</v>
      </c>
      <c r="B42" s="54" t="s">
        <v>105</v>
      </c>
      <c r="C42" s="31">
        <v>4301052198</v>
      </c>
      <c r="D42" s="609">
        <v>4680115888463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4301052202</v>
      </c>
      <c r="D43" s="609">
        <v>4680115888494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4301052184</v>
      </c>
      <c r="D44" s="609">
        <v>4680115888272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4301052188</v>
      </c>
      <c r="D45" s="609">
        <v>4680115888364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8"/>
      <c r="B46" s="617"/>
      <c r="C46" s="617"/>
      <c r="D46" s="617"/>
      <c r="E46" s="617"/>
      <c r="F46" s="617"/>
      <c r="G46" s="617"/>
      <c r="H46" s="617"/>
      <c r="I46" s="617"/>
      <c r="J46" s="617"/>
      <c r="K46" s="617"/>
      <c r="L46" s="617"/>
      <c r="M46" s="617"/>
      <c r="N46" s="617"/>
      <c r="O46" s="629"/>
      <c r="P46" s="621" t="s">
        <v>72</v>
      </c>
      <c r="Q46" s="622"/>
      <c r="R46" s="622"/>
      <c r="S46" s="622"/>
      <c r="T46" s="622"/>
      <c r="U46" s="622"/>
      <c r="V46" s="623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x14ac:dyDescent="0.2">
      <c r="A47" s="617"/>
      <c r="B47" s="617"/>
      <c r="C47" s="617"/>
      <c r="D47" s="617"/>
      <c r="E47" s="617"/>
      <c r="F47" s="617"/>
      <c r="G47" s="617"/>
      <c r="H47" s="617"/>
      <c r="I47" s="617"/>
      <c r="J47" s="617"/>
      <c r="K47" s="617"/>
      <c r="L47" s="617"/>
      <c r="M47" s="617"/>
      <c r="N47" s="617"/>
      <c r="O47" s="629"/>
      <c r="P47" s="621" t="s">
        <v>72</v>
      </c>
      <c r="Q47" s="622"/>
      <c r="R47" s="622"/>
      <c r="S47" s="622"/>
      <c r="T47" s="622"/>
      <c r="U47" s="622"/>
      <c r="V47" s="623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customHeight="1" x14ac:dyDescent="0.2">
      <c r="A48" s="667" t="s">
        <v>116</v>
      </c>
      <c r="B48" s="668"/>
      <c r="C48" s="668"/>
      <c r="D48" s="668"/>
      <c r="E48" s="668"/>
      <c r="F48" s="668"/>
      <c r="G48" s="668"/>
      <c r="H48" s="668"/>
      <c r="I48" s="668"/>
      <c r="J48" s="668"/>
      <c r="K48" s="668"/>
      <c r="L48" s="668"/>
      <c r="M48" s="668"/>
      <c r="N48" s="668"/>
      <c r="O48" s="668"/>
      <c r="P48" s="668"/>
      <c r="Q48" s="668"/>
      <c r="R48" s="668"/>
      <c r="S48" s="668"/>
      <c r="T48" s="668"/>
      <c r="U48" s="668"/>
      <c r="V48" s="668"/>
      <c r="W48" s="668"/>
      <c r="X48" s="668"/>
      <c r="Y48" s="668"/>
      <c r="Z48" s="668"/>
      <c r="AA48" s="48"/>
      <c r="AB48" s="48"/>
      <c r="AC48" s="48"/>
    </row>
    <row r="49" spans="1:68" ht="16.5" customHeight="1" x14ac:dyDescent="0.25">
      <c r="A49" s="626" t="s">
        <v>117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00"/>
      <c r="AB49" s="600"/>
      <c r="AC49" s="600"/>
    </row>
    <row r="50" spans="1:68" ht="14.25" customHeight="1" x14ac:dyDescent="0.25">
      <c r="A50" s="616" t="s">
        <v>118</v>
      </c>
      <c r="B50" s="617"/>
      <c r="C50" s="617"/>
      <c r="D50" s="617"/>
      <c r="E50" s="617"/>
      <c r="F50" s="617"/>
      <c r="G50" s="617"/>
      <c r="H50" s="617"/>
      <c r="I50" s="617"/>
      <c r="J50" s="617"/>
      <c r="K50" s="617"/>
      <c r="L50" s="617"/>
      <c r="M50" s="617"/>
      <c r="N50" s="617"/>
      <c r="O50" s="617"/>
      <c r="P50" s="617"/>
      <c r="Q50" s="617"/>
      <c r="R50" s="617"/>
      <c r="S50" s="617"/>
      <c r="T50" s="617"/>
      <c r="U50" s="617"/>
      <c r="V50" s="617"/>
      <c r="W50" s="617"/>
      <c r="X50" s="617"/>
      <c r="Y50" s="617"/>
      <c r="Z50" s="617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09">
        <v>4607091385670</v>
      </c>
      <c r="E51" s="610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80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2"/>
      <c r="R51" s="612"/>
      <c r="S51" s="612"/>
      <c r="T51" s="613"/>
      <c r="U51" s="34"/>
      <c r="V51" s="34"/>
      <c r="W51" s="35" t="s">
        <v>67</v>
      </c>
      <c r="X51" s="605">
        <v>1000</v>
      </c>
      <c r="Y51" s="606">
        <f>IFERROR(IF(X51="",0,CEILING((X51/$H51),1)*$H51),"")</f>
        <v>1004.4000000000001</v>
      </c>
      <c r="Z51" s="36">
        <f>IFERROR(IF(Y51=0,"",ROUNDUP(Y51/H51,0)*0.01898),"")</f>
        <v>1.7651399999999999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1037.9629629629628</v>
      </c>
      <c r="BN51" s="64">
        <f>IFERROR(Y51*I51/H51,"0")</f>
        <v>1042.5300000000002</v>
      </c>
      <c r="BO51" s="64">
        <f>IFERROR(1/J51*(X51/H51),"0")</f>
        <v>1.4467592592592591</v>
      </c>
      <c r="BP51" s="64">
        <f>IFERROR(1/J51*(Y51/H51),"0")</f>
        <v>1.453125</v>
      </c>
    </row>
    <row r="52" spans="1:68" ht="27" customHeight="1" x14ac:dyDescent="0.25">
      <c r="A52" s="54" t="s">
        <v>124</v>
      </c>
      <c r="B52" s="54" t="s">
        <v>125</v>
      </c>
      <c r="C52" s="31">
        <v>4301012053</v>
      </c>
      <c r="D52" s="609">
        <v>4680115887725</v>
      </c>
      <c r="E52" s="610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128</v>
      </c>
      <c r="B53" s="54" t="s">
        <v>129</v>
      </c>
      <c r="C53" s="31">
        <v>4301011382</v>
      </c>
      <c r="D53" s="609">
        <v>4607091385687</v>
      </c>
      <c r="E53" s="610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09">
        <v>4680115882539</v>
      </c>
      <c r="E54" s="610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8"/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29"/>
      <c r="P55" s="621" t="s">
        <v>72</v>
      </c>
      <c r="Q55" s="622"/>
      <c r="R55" s="622"/>
      <c r="S55" s="622"/>
      <c r="T55" s="622"/>
      <c r="U55" s="622"/>
      <c r="V55" s="623"/>
      <c r="W55" s="37" t="s">
        <v>73</v>
      </c>
      <c r="X55" s="607">
        <f>IFERROR(X51/H51,"0")+IFERROR(X52/H52,"0")+IFERROR(X53/H53,"0")+IFERROR(X54/H54,"0")</f>
        <v>92.592592592592581</v>
      </c>
      <c r="Y55" s="607">
        <f>IFERROR(Y51/H51,"0")+IFERROR(Y52/H52,"0")+IFERROR(Y53/H53,"0")+IFERROR(Y54/H54,"0")</f>
        <v>93</v>
      </c>
      <c r="Z55" s="607">
        <f>IFERROR(IF(Z51="",0,Z51),"0")+IFERROR(IF(Z52="",0,Z52),"0")+IFERROR(IF(Z53="",0,Z53),"0")+IFERROR(IF(Z54="",0,Z54),"0")</f>
        <v>1.7651399999999999</v>
      </c>
      <c r="AA55" s="608"/>
      <c r="AB55" s="608"/>
      <c r="AC55" s="608"/>
    </row>
    <row r="56" spans="1:68" x14ac:dyDescent="0.2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  <c r="M56" s="617"/>
      <c r="N56" s="617"/>
      <c r="O56" s="629"/>
      <c r="P56" s="621" t="s">
        <v>72</v>
      </c>
      <c r="Q56" s="622"/>
      <c r="R56" s="622"/>
      <c r="S56" s="622"/>
      <c r="T56" s="622"/>
      <c r="U56" s="622"/>
      <c r="V56" s="623"/>
      <c r="W56" s="37" t="s">
        <v>67</v>
      </c>
      <c r="X56" s="607">
        <f>IFERROR(SUM(X51:X54),"0")</f>
        <v>1000</v>
      </c>
      <c r="Y56" s="607">
        <f>IFERROR(SUM(Y51:Y54),"0")</f>
        <v>1004.4000000000001</v>
      </c>
      <c r="Z56" s="37"/>
      <c r="AA56" s="608"/>
      <c r="AB56" s="608"/>
      <c r="AC56" s="608"/>
    </row>
    <row r="57" spans="1:68" ht="16.5" customHeight="1" x14ac:dyDescent="0.25">
      <c r="A57" s="626" t="s">
        <v>133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00"/>
      <c r="AB57" s="600"/>
      <c r="AC57" s="600"/>
    </row>
    <row r="58" spans="1:68" ht="14.25" customHeight="1" x14ac:dyDescent="0.25">
      <c r="A58" s="616" t="s">
        <v>118</v>
      </c>
      <c r="B58" s="617"/>
      <c r="C58" s="617"/>
      <c r="D58" s="617"/>
      <c r="E58" s="617"/>
      <c r="F58" s="617"/>
      <c r="G58" s="617"/>
      <c r="H58" s="617"/>
      <c r="I58" s="617"/>
      <c r="J58" s="617"/>
      <c r="K58" s="617"/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599"/>
      <c r="AB58" s="599"/>
      <c r="AC58" s="599"/>
    </row>
    <row r="59" spans="1:68" ht="27" customHeight="1" x14ac:dyDescent="0.25">
      <c r="A59" s="54" t="s">
        <v>134</v>
      </c>
      <c r="B59" s="54" t="s">
        <v>135</v>
      </c>
      <c r="C59" s="31">
        <v>4301012030</v>
      </c>
      <c r="D59" s="609">
        <v>4680115885882</v>
      </c>
      <c r="E59" s="610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2"/>
      <c r="R59" s="612"/>
      <c r="S59" s="612"/>
      <c r="T59" s="613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134</v>
      </c>
      <c r="B60" s="54" t="s">
        <v>137</v>
      </c>
      <c r="C60" s="31">
        <v>4301012161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09">
        <v>4680115881426</v>
      </c>
      <c r="E61" s="610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0</v>
      </c>
      <c r="Y61" s="60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4301011386</v>
      </c>
      <c r="D62" s="609">
        <v>4680115880283</v>
      </c>
      <c r="E62" s="610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8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142</v>
      </c>
      <c r="B63" s="54" t="s">
        <v>145</v>
      </c>
      <c r="C63" s="31">
        <v>4301012259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71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2"/>
      <c r="R63" s="612"/>
      <c r="S63" s="612"/>
      <c r="T63" s="613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0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0</v>
      </c>
      <c r="Y64" s="60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150</v>
      </c>
      <c r="B65" s="54" t="s">
        <v>151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0</v>
      </c>
      <c r="Y66" s="60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28"/>
      <c r="B67" s="617"/>
      <c r="C67" s="617"/>
      <c r="D67" s="617"/>
      <c r="E67" s="617"/>
      <c r="F67" s="617"/>
      <c r="G67" s="617"/>
      <c r="H67" s="617"/>
      <c r="I67" s="617"/>
      <c r="J67" s="617"/>
      <c r="K67" s="617"/>
      <c r="L67" s="617"/>
      <c r="M67" s="617"/>
      <c r="N67" s="617"/>
      <c r="O67" s="629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0</v>
      </c>
      <c r="Y67" s="607">
        <f>IFERROR(Y59/H59,"0")+IFERROR(Y60/H60,"0")+IFERROR(Y61/H61,"0")+IFERROR(Y62/H62,"0")+IFERROR(Y63/H63,"0")+IFERROR(Y64/H64,"0")+IFERROR(Y65/H65,"0")+IFERROR(Y66/H66,"0")</f>
        <v>0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08"/>
      <c r="AB67" s="608"/>
      <c r="AC67" s="608"/>
    </row>
    <row r="68" spans="1:68" x14ac:dyDescent="0.2">
      <c r="A68" s="617"/>
      <c r="B68" s="617"/>
      <c r="C68" s="617"/>
      <c r="D68" s="617"/>
      <c r="E68" s="617"/>
      <c r="F68" s="617"/>
      <c r="G68" s="617"/>
      <c r="H68" s="617"/>
      <c r="I68" s="617"/>
      <c r="J68" s="617"/>
      <c r="K68" s="617"/>
      <c r="L68" s="617"/>
      <c r="M68" s="617"/>
      <c r="N68" s="617"/>
      <c r="O68" s="629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IFERROR(SUM(X59:X66),"0")</f>
        <v>0</v>
      </c>
      <c r="Y68" s="607">
        <f>IFERROR(SUM(Y59:Y66),"0")</f>
        <v>0</v>
      </c>
      <c r="Z68" s="37"/>
      <c r="AA68" s="608"/>
      <c r="AB68" s="608"/>
      <c r="AC68" s="608"/>
    </row>
    <row r="69" spans="1:68" ht="14.25" customHeight="1" x14ac:dyDescent="0.25">
      <c r="A69" s="616" t="s">
        <v>155</v>
      </c>
      <c r="B69" s="617"/>
      <c r="C69" s="617"/>
      <c r="D69" s="617"/>
      <c r="E69" s="617"/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159</v>
      </c>
      <c r="B71" s="54" t="s">
        <v>160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161</v>
      </c>
      <c r="B72" s="54" t="s">
        <v>162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164</v>
      </c>
      <c r="B73" s="54" t="s">
        <v>165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8"/>
      <c r="B74" s="617"/>
      <c r="C74" s="617"/>
      <c r="D74" s="617"/>
      <c r="E74" s="617"/>
      <c r="F74" s="617"/>
      <c r="G74" s="617"/>
      <c r="H74" s="617"/>
      <c r="I74" s="617"/>
      <c r="J74" s="617"/>
      <c r="K74" s="617"/>
      <c r="L74" s="617"/>
      <c r="M74" s="617"/>
      <c r="N74" s="617"/>
      <c r="O74" s="629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x14ac:dyDescent="0.2">
      <c r="A75" s="617"/>
      <c r="B75" s="617"/>
      <c r="C75" s="617"/>
      <c r="D75" s="617"/>
      <c r="E75" s="617"/>
      <c r="F75" s="617"/>
      <c r="G75" s="617"/>
      <c r="H75" s="617"/>
      <c r="I75" s="617"/>
      <c r="J75" s="617"/>
      <c r="K75" s="617"/>
      <c r="L75" s="617"/>
      <c r="M75" s="617"/>
      <c r="N75" s="617"/>
      <c r="O75" s="629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customHeight="1" x14ac:dyDescent="0.25">
      <c r="A76" s="616" t="s">
        <v>74</v>
      </c>
      <c r="B76" s="617"/>
      <c r="C76" s="617"/>
      <c r="D76" s="617"/>
      <c r="E76" s="617"/>
      <c r="F76" s="617"/>
      <c r="G76" s="617"/>
      <c r="H76" s="617"/>
      <c r="I76" s="617"/>
      <c r="J76" s="617"/>
      <c r="K76" s="617"/>
      <c r="L76" s="617"/>
      <c r="M76" s="617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  <c r="Y76" s="617"/>
      <c r="Z76" s="617"/>
      <c r="AA76" s="599"/>
      <c r="AB76" s="599"/>
      <c r="AC76" s="599"/>
    </row>
    <row r="77" spans="1:68" ht="16.5" customHeight="1" x14ac:dyDescent="0.25">
      <c r="A77" s="54" t="s">
        <v>166</v>
      </c>
      <c r="B77" s="54" t="s">
        <v>167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169</v>
      </c>
      <c r="B78" s="54" t="s">
        <v>170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8"/>
      <c r="B79" s="617"/>
      <c r="C79" s="617"/>
      <c r="D79" s="617"/>
      <c r="E79" s="617"/>
      <c r="F79" s="617"/>
      <c r="G79" s="617"/>
      <c r="H79" s="617"/>
      <c r="I79" s="617"/>
      <c r="J79" s="617"/>
      <c r="K79" s="617"/>
      <c r="L79" s="617"/>
      <c r="M79" s="617"/>
      <c r="N79" s="617"/>
      <c r="O79" s="629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x14ac:dyDescent="0.2">
      <c r="A80" s="617"/>
      <c r="B80" s="617"/>
      <c r="C80" s="617"/>
      <c r="D80" s="617"/>
      <c r="E80" s="617"/>
      <c r="F80" s="617"/>
      <c r="G80" s="617"/>
      <c r="H80" s="617"/>
      <c r="I80" s="617"/>
      <c r="J80" s="617"/>
      <c r="K80" s="617"/>
      <c r="L80" s="617"/>
      <c r="M80" s="617"/>
      <c r="N80" s="617"/>
      <c r="O80" s="629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customHeight="1" x14ac:dyDescent="0.25">
      <c r="A81" s="616" t="s">
        <v>172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617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176</v>
      </c>
      <c r="B83" s="54" t="s">
        <v>177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8"/>
      <c r="B84" s="617"/>
      <c r="C84" s="617"/>
      <c r="D84" s="617"/>
      <c r="E84" s="617"/>
      <c r="F84" s="617"/>
      <c r="G84" s="617"/>
      <c r="H84" s="617"/>
      <c r="I84" s="617"/>
      <c r="J84" s="617"/>
      <c r="K84" s="617"/>
      <c r="L84" s="617"/>
      <c r="M84" s="617"/>
      <c r="N84" s="617"/>
      <c r="O84" s="629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x14ac:dyDescent="0.2">
      <c r="A85" s="617"/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29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customHeight="1" x14ac:dyDescent="0.25">
      <c r="A86" s="626" t="s">
        <v>179</v>
      </c>
      <c r="B86" s="617"/>
      <c r="C86" s="617"/>
      <c r="D86" s="617"/>
      <c r="E86" s="617"/>
      <c r="F86" s="617"/>
      <c r="G86" s="617"/>
      <c r="H86" s="617"/>
      <c r="I86" s="617"/>
      <c r="J86" s="617"/>
      <c r="K86" s="617"/>
      <c r="L86" s="617"/>
      <c r="M86" s="617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  <c r="Y86" s="617"/>
      <c r="Z86" s="617"/>
      <c r="AA86" s="600"/>
      <c r="AB86" s="600"/>
      <c r="AC86" s="600"/>
    </row>
    <row r="87" spans="1:68" ht="14.25" customHeight="1" x14ac:dyDescent="0.25">
      <c r="A87" s="616" t="s">
        <v>118</v>
      </c>
      <c r="B87" s="617"/>
      <c r="C87" s="617"/>
      <c r="D87" s="617"/>
      <c r="E87" s="617"/>
      <c r="F87" s="617"/>
      <c r="G87" s="617"/>
      <c r="H87" s="617"/>
      <c r="I87" s="617"/>
      <c r="J87" s="617"/>
      <c r="K87" s="617"/>
      <c r="L87" s="617"/>
      <c r="M87" s="617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  <c r="Y87" s="617"/>
      <c r="Z87" s="617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8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186</v>
      </c>
      <c r="B90" s="54" t="s">
        <v>187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0</v>
      </c>
      <c r="Y91" s="60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28"/>
      <c r="B92" s="617"/>
      <c r="C92" s="617"/>
      <c r="D92" s="617"/>
      <c r="E92" s="617"/>
      <c r="F92" s="617"/>
      <c r="G92" s="617"/>
      <c r="H92" s="617"/>
      <c r="I92" s="617"/>
      <c r="J92" s="617"/>
      <c r="K92" s="617"/>
      <c r="L92" s="617"/>
      <c r="M92" s="617"/>
      <c r="N92" s="617"/>
      <c r="O92" s="629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0</v>
      </c>
      <c r="Y92" s="607">
        <f>IFERROR(Y88/H88,"0")+IFERROR(Y89/H89,"0")+IFERROR(Y90/H90,"0")+IFERROR(Y91/H91,"0")</f>
        <v>0</v>
      </c>
      <c r="Z92" s="607">
        <f>IFERROR(IF(Z88="",0,Z88),"0")+IFERROR(IF(Z89="",0,Z89),"0")+IFERROR(IF(Z90="",0,Z90),"0")+IFERROR(IF(Z91="",0,Z91),"0")</f>
        <v>0</v>
      </c>
      <c r="AA92" s="608"/>
      <c r="AB92" s="608"/>
      <c r="AC92" s="608"/>
    </row>
    <row r="93" spans="1:68" x14ac:dyDescent="0.2">
      <c r="A93" s="617"/>
      <c r="B93" s="617"/>
      <c r="C93" s="617"/>
      <c r="D93" s="617"/>
      <c r="E93" s="617"/>
      <c r="F93" s="617"/>
      <c r="G93" s="617"/>
      <c r="H93" s="617"/>
      <c r="I93" s="617"/>
      <c r="J93" s="617"/>
      <c r="K93" s="617"/>
      <c r="L93" s="617"/>
      <c r="M93" s="617"/>
      <c r="N93" s="617"/>
      <c r="O93" s="629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0</v>
      </c>
      <c r="Y93" s="607">
        <f>IFERROR(SUM(Y88:Y91),"0")</f>
        <v>0</v>
      </c>
      <c r="Z93" s="37"/>
      <c r="AA93" s="608"/>
      <c r="AB93" s="608"/>
      <c r="AC93" s="608"/>
    </row>
    <row r="94" spans="1:68" ht="14.25" customHeight="1" x14ac:dyDescent="0.25">
      <c r="A94" s="616" t="s">
        <v>74</v>
      </c>
      <c r="B94" s="617"/>
      <c r="C94" s="617"/>
      <c r="D94" s="617"/>
      <c r="E94" s="617"/>
      <c r="F94" s="617"/>
      <c r="G94" s="617"/>
      <c r="H94" s="617"/>
      <c r="I94" s="617"/>
      <c r="J94" s="617"/>
      <c r="K94" s="617"/>
      <c r="L94" s="617"/>
      <c r="M94" s="617"/>
      <c r="N94" s="617"/>
      <c r="O94" s="617"/>
      <c r="P94" s="617"/>
      <c r="Q94" s="617"/>
      <c r="R94" s="617"/>
      <c r="S94" s="617"/>
      <c r="T94" s="617"/>
      <c r="U94" s="617"/>
      <c r="V94" s="617"/>
      <c r="W94" s="617"/>
      <c r="X94" s="617"/>
      <c r="Y94" s="617"/>
      <c r="Z94" s="617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8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0</v>
      </c>
      <c r="Y95" s="60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193</v>
      </c>
      <c r="B96" s="54" t="s">
        <v>194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0</v>
      </c>
      <c r="Y97" s="60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197</v>
      </c>
      <c r="B98" s="54" t="s">
        <v>198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8"/>
      <c r="B99" s="617"/>
      <c r="C99" s="617"/>
      <c r="D99" s="617"/>
      <c r="E99" s="617"/>
      <c r="F99" s="617"/>
      <c r="G99" s="617"/>
      <c r="H99" s="617"/>
      <c r="I99" s="617"/>
      <c r="J99" s="617"/>
      <c r="K99" s="617"/>
      <c r="L99" s="617"/>
      <c r="M99" s="617"/>
      <c r="N99" s="617"/>
      <c r="O99" s="629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0</v>
      </c>
      <c r="Y99" s="607">
        <f>IFERROR(Y95/H95,"0")+IFERROR(Y96/H96,"0")+IFERROR(Y97/H97,"0")+IFERROR(Y98/H98,"0")</f>
        <v>0</v>
      </c>
      <c r="Z99" s="607">
        <f>IFERROR(IF(Z95="",0,Z95),"0")+IFERROR(IF(Z96="",0,Z96),"0")+IFERROR(IF(Z97="",0,Z97),"0")+IFERROR(IF(Z98="",0,Z98),"0")</f>
        <v>0</v>
      </c>
      <c r="AA99" s="608"/>
      <c r="AB99" s="608"/>
      <c r="AC99" s="608"/>
    </row>
    <row r="100" spans="1:68" x14ac:dyDescent="0.2">
      <c r="A100" s="617"/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29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0</v>
      </c>
      <c r="Y100" s="607">
        <f>IFERROR(SUM(Y95:Y98),"0")</f>
        <v>0</v>
      </c>
      <c r="Z100" s="37"/>
      <c r="AA100" s="608"/>
      <c r="AB100" s="608"/>
      <c r="AC100" s="608"/>
    </row>
    <row r="101" spans="1:68" ht="16.5" customHeight="1" x14ac:dyDescent="0.25">
      <c r="A101" s="626" t="s">
        <v>200</v>
      </c>
      <c r="B101" s="617"/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00"/>
      <c r="AB101" s="600"/>
      <c r="AC101" s="600"/>
    </row>
    <row r="102" spans="1:68" ht="14.25" customHeight="1" x14ac:dyDescent="0.25">
      <c r="A102" s="616" t="s">
        <v>118</v>
      </c>
      <c r="B102" s="617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  <c r="P102" s="617"/>
      <c r="Q102" s="617"/>
      <c r="R102" s="617"/>
      <c r="S102" s="617"/>
      <c r="T102" s="617"/>
      <c r="U102" s="617"/>
      <c r="V102" s="617"/>
      <c r="W102" s="617"/>
      <c r="X102" s="617"/>
      <c r="Y102" s="617"/>
      <c r="Z102" s="617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0</v>
      </c>
      <c r="Y103" s="60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204</v>
      </c>
      <c r="B104" s="54" t="s">
        <v>205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204</v>
      </c>
      <c r="B105" s="54" t="s">
        <v>207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8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208</v>
      </c>
      <c r="B106" s="54" t="s">
        <v>209</v>
      </c>
      <c r="C106" s="31">
        <v>4301011417</v>
      </c>
      <c r="D106" s="609">
        <v>4680115880269</v>
      </c>
      <c r="E106" s="610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09">
        <v>4680115880429</v>
      </c>
      <c r="E107" s="610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9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0</v>
      </c>
      <c r="Y107" s="60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212</v>
      </c>
      <c r="B108" s="54" t="s">
        <v>213</v>
      </c>
      <c r="C108" s="31">
        <v>4301011462</v>
      </c>
      <c r="D108" s="609">
        <v>4680115881457</v>
      </c>
      <c r="E108" s="610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8"/>
      <c r="B109" s="617"/>
      <c r="C109" s="617"/>
      <c r="D109" s="617"/>
      <c r="E109" s="617"/>
      <c r="F109" s="617"/>
      <c r="G109" s="617"/>
      <c r="H109" s="617"/>
      <c r="I109" s="617"/>
      <c r="J109" s="617"/>
      <c r="K109" s="617"/>
      <c r="L109" s="617"/>
      <c r="M109" s="617"/>
      <c r="N109" s="617"/>
      <c r="O109" s="629"/>
      <c r="P109" s="621" t="s">
        <v>72</v>
      </c>
      <c r="Q109" s="622"/>
      <c r="R109" s="622"/>
      <c r="S109" s="622"/>
      <c r="T109" s="622"/>
      <c r="U109" s="622"/>
      <c r="V109" s="623"/>
      <c r="W109" s="37" t="s">
        <v>73</v>
      </c>
      <c r="X109" s="607">
        <f>IFERROR(X103/H103,"0")+IFERROR(X104/H104,"0")+IFERROR(X105/H105,"0")+IFERROR(X106/H106,"0")+IFERROR(X107/H107,"0")+IFERROR(X108/H108,"0")</f>
        <v>0</v>
      </c>
      <c r="Y109" s="607">
        <f>IFERROR(Y103/H103,"0")+IFERROR(Y104/H104,"0")+IFERROR(Y105/H105,"0")+IFERROR(Y106/H106,"0")+IFERROR(Y107/H107,"0")+IFERROR(Y108/H108,"0")</f>
        <v>0</v>
      </c>
      <c r="Z109" s="607">
        <f>IFERROR(IF(Z103="",0,Z103),"0")+IFERROR(IF(Z104="",0,Z104),"0")+IFERROR(IF(Z105="",0,Z105),"0")+IFERROR(IF(Z106="",0,Z106),"0")+IFERROR(IF(Z107="",0,Z107),"0")+IFERROR(IF(Z108="",0,Z108),"0")</f>
        <v>0</v>
      </c>
      <c r="AA109" s="608"/>
      <c r="AB109" s="608"/>
      <c r="AC109" s="608"/>
    </row>
    <row r="110" spans="1:68" x14ac:dyDescent="0.2">
      <c r="A110" s="617"/>
      <c r="B110" s="617"/>
      <c r="C110" s="617"/>
      <c r="D110" s="617"/>
      <c r="E110" s="617"/>
      <c r="F110" s="617"/>
      <c r="G110" s="617"/>
      <c r="H110" s="617"/>
      <c r="I110" s="617"/>
      <c r="J110" s="617"/>
      <c r="K110" s="617"/>
      <c r="L110" s="617"/>
      <c r="M110" s="617"/>
      <c r="N110" s="617"/>
      <c r="O110" s="629"/>
      <c r="P110" s="621" t="s">
        <v>72</v>
      </c>
      <c r="Q110" s="622"/>
      <c r="R110" s="622"/>
      <c r="S110" s="622"/>
      <c r="T110" s="622"/>
      <c r="U110" s="622"/>
      <c r="V110" s="623"/>
      <c r="W110" s="37" t="s">
        <v>67</v>
      </c>
      <c r="X110" s="607">
        <f>IFERROR(SUM(X103:X108),"0")</f>
        <v>0</v>
      </c>
      <c r="Y110" s="607">
        <f>IFERROR(SUM(Y103:Y108),"0")</f>
        <v>0</v>
      </c>
      <c r="Z110" s="37"/>
      <c r="AA110" s="608"/>
      <c r="AB110" s="608"/>
      <c r="AC110" s="608"/>
    </row>
    <row r="111" spans="1:68" ht="14.25" customHeight="1" x14ac:dyDescent="0.25">
      <c r="A111" s="616" t="s">
        <v>155</v>
      </c>
      <c r="B111" s="617"/>
      <c r="C111" s="617"/>
      <c r="D111" s="617"/>
      <c r="E111" s="617"/>
      <c r="F111" s="617"/>
      <c r="G111" s="617"/>
      <c r="H111" s="617"/>
      <c r="I111" s="617"/>
      <c r="J111" s="617"/>
      <c r="K111" s="617"/>
      <c r="L111" s="617"/>
      <c r="M111" s="617"/>
      <c r="N111" s="617"/>
      <c r="O111" s="617"/>
      <c r="P111" s="617"/>
      <c r="Q111" s="617"/>
      <c r="R111" s="617"/>
      <c r="S111" s="617"/>
      <c r="T111" s="617"/>
      <c r="U111" s="617"/>
      <c r="V111" s="617"/>
      <c r="W111" s="617"/>
      <c r="X111" s="617"/>
      <c r="Y111" s="617"/>
      <c r="Z111" s="617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09">
        <v>4680115881488</v>
      </c>
      <c r="E112" s="610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2"/>
      <c r="R112" s="612"/>
      <c r="S112" s="612"/>
      <c r="T112" s="613"/>
      <c r="U112" s="34"/>
      <c r="V112" s="34"/>
      <c r="W112" s="35" t="s">
        <v>67</v>
      </c>
      <c r="X112" s="605">
        <v>0</v>
      </c>
      <c r="Y112" s="606">
        <f t="shared" ref="Y112:Y118" si="10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0</v>
      </c>
      <c r="BN112" s="64">
        <f t="shared" ref="BN112:BN118" si="12">IFERROR(Y112*I112/H112,"0")</f>
        <v>0</v>
      </c>
      <c r="BO112" s="64">
        <f t="shared" ref="BO112:BO118" si="13">IFERROR(1/J112*(X112/H112),"0")</f>
        <v>0</v>
      </c>
      <c r="BP112" s="64">
        <f t="shared" ref="BP112:BP118" si="14">IFERROR(1/J112*(Y112/H112),"0")</f>
        <v>0</v>
      </c>
    </row>
    <row r="113" spans="1:68" ht="27" customHeight="1" x14ac:dyDescent="0.25">
      <c r="A113" s="54" t="s">
        <v>214</v>
      </c>
      <c r="B113" s="54" t="s">
        <v>217</v>
      </c>
      <c r="C113" s="31">
        <v>4301020391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7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customHeight="1" x14ac:dyDescent="0.25">
      <c r="A114" s="54" t="s">
        <v>219</v>
      </c>
      <c r="B114" s="54" t="s">
        <v>220</v>
      </c>
      <c r="C114" s="31">
        <v>4301020186</v>
      </c>
      <c r="D114" s="609">
        <v>4680115887664</v>
      </c>
      <c r="E114" s="610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customHeight="1" x14ac:dyDescent="0.25">
      <c r="A115" s="54" t="s">
        <v>219</v>
      </c>
      <c r="B115" s="54" t="s">
        <v>223</v>
      </c>
      <c r="C115" s="31">
        <v>4301020430</v>
      </c>
      <c r="D115" s="609">
        <v>4680115887664</v>
      </c>
      <c r="E115" s="610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4301020393</v>
      </c>
      <c r="D116" s="609">
        <v>4680115882775</v>
      </c>
      <c r="E116" s="610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09">
        <v>4680115880658</v>
      </c>
      <c r="E117" s="610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customHeight="1" x14ac:dyDescent="0.25">
      <c r="A118" s="54" t="s">
        <v>226</v>
      </c>
      <c r="B118" s="54" t="s">
        <v>228</v>
      </c>
      <c r="C118" s="31">
        <v>4301020392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3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28"/>
      <c r="B119" s="617"/>
      <c r="C119" s="617"/>
      <c r="D119" s="617"/>
      <c r="E119" s="617"/>
      <c r="F119" s="617"/>
      <c r="G119" s="617"/>
      <c r="H119" s="617"/>
      <c r="I119" s="617"/>
      <c r="J119" s="617"/>
      <c r="K119" s="617"/>
      <c r="L119" s="617"/>
      <c r="M119" s="617"/>
      <c r="N119" s="617"/>
      <c r="O119" s="629"/>
      <c r="P119" s="621" t="s">
        <v>72</v>
      </c>
      <c r="Q119" s="622"/>
      <c r="R119" s="622"/>
      <c r="S119" s="622"/>
      <c r="T119" s="622"/>
      <c r="U119" s="622"/>
      <c r="V119" s="623"/>
      <c r="W119" s="37" t="s">
        <v>73</v>
      </c>
      <c r="X119" s="607">
        <f>IFERROR(X112/H112,"0")+IFERROR(X113/H113,"0")+IFERROR(X114/H114,"0")+IFERROR(X115/H115,"0")+IFERROR(X116/H116,"0")+IFERROR(X117/H117,"0")+IFERROR(X118/H118,"0")</f>
        <v>0</v>
      </c>
      <c r="Y119" s="607">
        <f>IFERROR(Y112/H112,"0")+IFERROR(Y113/H113,"0")+IFERROR(Y114/H114,"0")+IFERROR(Y115/H115,"0")+IFERROR(Y116/H116,"0")+IFERROR(Y117/H117,"0")+IFERROR(Y118/H118,"0")</f>
        <v>0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8"/>
      <c r="AB119" s="608"/>
      <c r="AC119" s="608"/>
    </row>
    <row r="120" spans="1:68" x14ac:dyDescent="0.2">
      <c r="A120" s="617"/>
      <c r="B120" s="617"/>
      <c r="C120" s="617"/>
      <c r="D120" s="617"/>
      <c r="E120" s="617"/>
      <c r="F120" s="617"/>
      <c r="G120" s="617"/>
      <c r="H120" s="617"/>
      <c r="I120" s="617"/>
      <c r="J120" s="617"/>
      <c r="K120" s="617"/>
      <c r="L120" s="617"/>
      <c r="M120" s="617"/>
      <c r="N120" s="617"/>
      <c r="O120" s="629"/>
      <c r="P120" s="621" t="s">
        <v>72</v>
      </c>
      <c r="Q120" s="622"/>
      <c r="R120" s="622"/>
      <c r="S120" s="622"/>
      <c r="T120" s="622"/>
      <c r="U120" s="622"/>
      <c r="V120" s="623"/>
      <c r="W120" s="37" t="s">
        <v>67</v>
      </c>
      <c r="X120" s="607">
        <f>IFERROR(SUM(X112:X118),"0")</f>
        <v>0</v>
      </c>
      <c r="Y120" s="607">
        <f>IFERROR(SUM(Y112:Y118),"0")</f>
        <v>0</v>
      </c>
      <c r="Z120" s="37"/>
      <c r="AA120" s="608"/>
      <c r="AB120" s="608"/>
      <c r="AC120" s="608"/>
    </row>
    <row r="121" spans="1:68" ht="14.25" customHeight="1" x14ac:dyDescent="0.25">
      <c r="A121" s="616" t="s">
        <v>74</v>
      </c>
      <c r="B121" s="617"/>
      <c r="C121" s="617"/>
      <c r="D121" s="617"/>
      <c r="E121" s="617"/>
      <c r="F121" s="617"/>
      <c r="G121" s="617"/>
      <c r="H121" s="617"/>
      <c r="I121" s="617"/>
      <c r="J121" s="617"/>
      <c r="K121" s="617"/>
      <c r="L121" s="617"/>
      <c r="M121" s="617"/>
      <c r="N121" s="617"/>
      <c r="O121" s="617"/>
      <c r="P121" s="617"/>
      <c r="Q121" s="617"/>
      <c r="R121" s="617"/>
      <c r="S121" s="617"/>
      <c r="T121" s="617"/>
      <c r="U121" s="617"/>
      <c r="V121" s="617"/>
      <c r="W121" s="617"/>
      <c r="X121" s="617"/>
      <c r="Y121" s="617"/>
      <c r="Z121" s="617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09">
        <v>4607091385168</v>
      </c>
      <c r="E122" s="610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2"/>
      <c r="R122" s="612"/>
      <c r="S122" s="612"/>
      <c r="T122" s="613"/>
      <c r="U122" s="34"/>
      <c r="V122" s="34"/>
      <c r="W122" s="35" t="s">
        <v>67</v>
      </c>
      <c r="X122" s="605">
        <v>0</v>
      </c>
      <c r="Y122" s="606">
        <f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customHeight="1" x14ac:dyDescent="0.25">
      <c r="A123" s="54" t="s">
        <v>232</v>
      </c>
      <c r="B123" s="54" t="s">
        <v>233</v>
      </c>
      <c r="C123" s="31">
        <v>4301051730</v>
      </c>
      <c r="D123" s="609">
        <v>4607091383256</v>
      </c>
      <c r="E123" s="610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09">
        <v>4607091385748</v>
      </c>
      <c r="E124" s="610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0</v>
      </c>
      <c r="Y124" s="60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16.5" customHeight="1" x14ac:dyDescent="0.25">
      <c r="A125" s="54" t="s">
        <v>236</v>
      </c>
      <c r="B125" s="54" t="s">
        <v>237</v>
      </c>
      <c r="C125" s="31">
        <v>4301051740</v>
      </c>
      <c r="D125" s="609">
        <v>4680115884533</v>
      </c>
      <c r="E125" s="610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28"/>
      <c r="B126" s="617"/>
      <c r="C126" s="617"/>
      <c r="D126" s="617"/>
      <c r="E126" s="617"/>
      <c r="F126" s="617"/>
      <c r="G126" s="617"/>
      <c r="H126" s="617"/>
      <c r="I126" s="617"/>
      <c r="J126" s="617"/>
      <c r="K126" s="617"/>
      <c r="L126" s="617"/>
      <c r="M126" s="617"/>
      <c r="N126" s="617"/>
      <c r="O126" s="629"/>
      <c r="P126" s="621" t="s">
        <v>72</v>
      </c>
      <c r="Q126" s="622"/>
      <c r="R126" s="622"/>
      <c r="S126" s="622"/>
      <c r="T126" s="622"/>
      <c r="U126" s="622"/>
      <c r="V126" s="623"/>
      <c r="W126" s="37" t="s">
        <v>73</v>
      </c>
      <c r="X126" s="607">
        <f>IFERROR(X122/H122,"0")+IFERROR(X123/H123,"0")+IFERROR(X124/H124,"0")+IFERROR(X125/H125,"0")</f>
        <v>0</v>
      </c>
      <c r="Y126" s="607">
        <f>IFERROR(Y122/H122,"0")+IFERROR(Y123/H123,"0")+IFERROR(Y124/H124,"0")+IFERROR(Y125/H125,"0")</f>
        <v>0</v>
      </c>
      <c r="Z126" s="607">
        <f>IFERROR(IF(Z122="",0,Z122),"0")+IFERROR(IF(Z123="",0,Z123),"0")+IFERROR(IF(Z124="",0,Z124),"0")+IFERROR(IF(Z125="",0,Z125),"0")</f>
        <v>0</v>
      </c>
      <c r="AA126" s="608"/>
      <c r="AB126" s="608"/>
      <c r="AC126" s="608"/>
    </row>
    <row r="127" spans="1:68" x14ac:dyDescent="0.2">
      <c r="A127" s="617"/>
      <c r="B127" s="617"/>
      <c r="C127" s="617"/>
      <c r="D127" s="617"/>
      <c r="E127" s="617"/>
      <c r="F127" s="617"/>
      <c r="G127" s="617"/>
      <c r="H127" s="617"/>
      <c r="I127" s="617"/>
      <c r="J127" s="617"/>
      <c r="K127" s="617"/>
      <c r="L127" s="617"/>
      <c r="M127" s="617"/>
      <c r="N127" s="617"/>
      <c r="O127" s="629"/>
      <c r="P127" s="621" t="s">
        <v>72</v>
      </c>
      <c r="Q127" s="622"/>
      <c r="R127" s="622"/>
      <c r="S127" s="622"/>
      <c r="T127" s="622"/>
      <c r="U127" s="622"/>
      <c r="V127" s="623"/>
      <c r="W127" s="37" t="s">
        <v>67</v>
      </c>
      <c r="X127" s="607">
        <f>IFERROR(SUM(X122:X125),"0")</f>
        <v>0</v>
      </c>
      <c r="Y127" s="607">
        <f>IFERROR(SUM(Y122:Y125),"0")</f>
        <v>0</v>
      </c>
      <c r="Z127" s="37"/>
      <c r="AA127" s="608"/>
      <c r="AB127" s="608"/>
      <c r="AC127" s="608"/>
    </row>
    <row r="128" spans="1:68" ht="14.25" customHeight="1" x14ac:dyDescent="0.25">
      <c r="A128" s="616" t="s">
        <v>172</v>
      </c>
      <c r="B128" s="617"/>
      <c r="C128" s="617"/>
      <c r="D128" s="617"/>
      <c r="E128" s="617"/>
      <c r="F128" s="617"/>
      <c r="G128" s="617"/>
      <c r="H128" s="617"/>
      <c r="I128" s="617"/>
      <c r="J128" s="617"/>
      <c r="K128" s="617"/>
      <c r="L128" s="617"/>
      <c r="M128" s="617"/>
      <c r="N128" s="617"/>
      <c r="O128" s="617"/>
      <c r="P128" s="617"/>
      <c r="Q128" s="617"/>
      <c r="R128" s="617"/>
      <c r="S128" s="617"/>
      <c r="T128" s="617"/>
      <c r="U128" s="617"/>
      <c r="V128" s="617"/>
      <c r="W128" s="617"/>
      <c r="X128" s="617"/>
      <c r="Y128" s="617"/>
      <c r="Z128" s="617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09">
        <v>4680115880238</v>
      </c>
      <c r="E129" s="610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2"/>
      <c r="R129" s="612"/>
      <c r="S129" s="612"/>
      <c r="T129" s="613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628"/>
      <c r="B130" s="617"/>
      <c r="C130" s="617"/>
      <c r="D130" s="617"/>
      <c r="E130" s="617"/>
      <c r="F130" s="617"/>
      <c r="G130" s="617"/>
      <c r="H130" s="617"/>
      <c r="I130" s="617"/>
      <c r="J130" s="617"/>
      <c r="K130" s="617"/>
      <c r="L130" s="617"/>
      <c r="M130" s="617"/>
      <c r="N130" s="617"/>
      <c r="O130" s="629"/>
      <c r="P130" s="621" t="s">
        <v>72</v>
      </c>
      <c r="Q130" s="622"/>
      <c r="R130" s="622"/>
      <c r="S130" s="622"/>
      <c r="T130" s="622"/>
      <c r="U130" s="622"/>
      <c r="V130" s="623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x14ac:dyDescent="0.2">
      <c r="A131" s="617"/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29"/>
      <c r="P131" s="621" t="s">
        <v>72</v>
      </c>
      <c r="Q131" s="622"/>
      <c r="R131" s="622"/>
      <c r="S131" s="622"/>
      <c r="T131" s="622"/>
      <c r="U131" s="622"/>
      <c r="V131" s="623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customHeight="1" x14ac:dyDescent="0.25">
      <c r="A132" s="626" t="s">
        <v>242</v>
      </c>
      <c r="B132" s="617"/>
      <c r="C132" s="617"/>
      <c r="D132" s="617"/>
      <c r="E132" s="617"/>
      <c r="F132" s="617"/>
      <c r="G132" s="617"/>
      <c r="H132" s="617"/>
      <c r="I132" s="617"/>
      <c r="J132" s="617"/>
      <c r="K132" s="617"/>
      <c r="L132" s="617"/>
      <c r="M132" s="617"/>
      <c r="N132" s="617"/>
      <c r="O132" s="617"/>
      <c r="P132" s="617"/>
      <c r="Q132" s="617"/>
      <c r="R132" s="617"/>
      <c r="S132" s="617"/>
      <c r="T132" s="617"/>
      <c r="U132" s="617"/>
      <c r="V132" s="617"/>
      <c r="W132" s="617"/>
      <c r="X132" s="617"/>
      <c r="Y132" s="617"/>
      <c r="Z132" s="617"/>
      <c r="AA132" s="600"/>
      <c r="AB132" s="600"/>
      <c r="AC132" s="600"/>
    </row>
    <row r="133" spans="1:68" ht="14.25" customHeight="1" x14ac:dyDescent="0.25">
      <c r="A133" s="616" t="s">
        <v>118</v>
      </c>
      <c r="B133" s="617"/>
      <c r="C133" s="617"/>
      <c r="D133" s="617"/>
      <c r="E133" s="617"/>
      <c r="F133" s="617"/>
      <c r="G133" s="617"/>
      <c r="H133" s="617"/>
      <c r="I133" s="617"/>
      <c r="J133" s="617"/>
      <c r="K133" s="617"/>
      <c r="L133" s="617"/>
      <c r="M133" s="617"/>
      <c r="N133" s="617"/>
      <c r="O133" s="617"/>
      <c r="P133" s="617"/>
      <c r="Q133" s="617"/>
      <c r="R133" s="617"/>
      <c r="S133" s="617"/>
      <c r="T133" s="617"/>
      <c r="U133" s="617"/>
      <c r="V133" s="617"/>
      <c r="W133" s="617"/>
      <c r="X133" s="617"/>
      <c r="Y133" s="617"/>
      <c r="Z133" s="617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09">
        <v>4680115882577</v>
      </c>
      <c r="E134" s="610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2"/>
      <c r="R134" s="612"/>
      <c r="S134" s="612"/>
      <c r="T134" s="613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246</v>
      </c>
      <c r="C135" s="31">
        <v>4301011564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0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28"/>
      <c r="B136" s="617"/>
      <c r="C136" s="617"/>
      <c r="D136" s="617"/>
      <c r="E136" s="617"/>
      <c r="F136" s="617"/>
      <c r="G136" s="617"/>
      <c r="H136" s="617"/>
      <c r="I136" s="617"/>
      <c r="J136" s="617"/>
      <c r="K136" s="617"/>
      <c r="L136" s="617"/>
      <c r="M136" s="617"/>
      <c r="N136" s="617"/>
      <c r="O136" s="629"/>
      <c r="P136" s="621" t="s">
        <v>72</v>
      </c>
      <c r="Q136" s="622"/>
      <c r="R136" s="622"/>
      <c r="S136" s="622"/>
      <c r="T136" s="622"/>
      <c r="U136" s="622"/>
      <c r="V136" s="623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x14ac:dyDescent="0.2">
      <c r="A137" s="617"/>
      <c r="B137" s="617"/>
      <c r="C137" s="617"/>
      <c r="D137" s="617"/>
      <c r="E137" s="617"/>
      <c r="F137" s="617"/>
      <c r="G137" s="617"/>
      <c r="H137" s="617"/>
      <c r="I137" s="617"/>
      <c r="J137" s="617"/>
      <c r="K137" s="617"/>
      <c r="L137" s="617"/>
      <c r="M137" s="617"/>
      <c r="N137" s="617"/>
      <c r="O137" s="629"/>
      <c r="P137" s="621" t="s">
        <v>72</v>
      </c>
      <c r="Q137" s="622"/>
      <c r="R137" s="622"/>
      <c r="S137" s="622"/>
      <c r="T137" s="622"/>
      <c r="U137" s="622"/>
      <c r="V137" s="623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customHeight="1" x14ac:dyDescent="0.25">
      <c r="A138" s="616" t="s">
        <v>62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09">
        <v>4680115883444</v>
      </c>
      <c r="E139" s="610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2"/>
      <c r="R139" s="612"/>
      <c r="S139" s="612"/>
      <c r="T139" s="613"/>
      <c r="U139" s="34"/>
      <c r="V139" s="34"/>
      <c r="W139" s="35" t="s">
        <v>67</v>
      </c>
      <c r="X139" s="605">
        <v>0</v>
      </c>
      <c r="Y139" s="60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customHeight="1" x14ac:dyDescent="0.25">
      <c r="A140" s="54" t="s">
        <v>247</v>
      </c>
      <c r="B140" s="54" t="s">
        <v>250</v>
      </c>
      <c r="C140" s="31">
        <v>4301031235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28"/>
      <c r="B141" s="617"/>
      <c r="C141" s="617"/>
      <c r="D141" s="617"/>
      <c r="E141" s="617"/>
      <c r="F141" s="617"/>
      <c r="G141" s="617"/>
      <c r="H141" s="617"/>
      <c r="I141" s="617"/>
      <c r="J141" s="617"/>
      <c r="K141" s="617"/>
      <c r="L141" s="617"/>
      <c r="M141" s="617"/>
      <c r="N141" s="617"/>
      <c r="O141" s="629"/>
      <c r="P141" s="621" t="s">
        <v>72</v>
      </c>
      <c r="Q141" s="622"/>
      <c r="R141" s="622"/>
      <c r="S141" s="622"/>
      <c r="T141" s="622"/>
      <c r="U141" s="622"/>
      <c r="V141" s="623"/>
      <c r="W141" s="37" t="s">
        <v>73</v>
      </c>
      <c r="X141" s="607">
        <f>IFERROR(X139/H139,"0")+IFERROR(X140/H140,"0")</f>
        <v>0</v>
      </c>
      <c r="Y141" s="607">
        <f>IFERROR(Y139/H139,"0")+IFERROR(Y140/H140,"0")</f>
        <v>0</v>
      </c>
      <c r="Z141" s="607">
        <f>IFERROR(IF(Z139="",0,Z139),"0")+IFERROR(IF(Z140="",0,Z140),"0")</f>
        <v>0</v>
      </c>
      <c r="AA141" s="608"/>
      <c r="AB141" s="608"/>
      <c r="AC141" s="608"/>
    </row>
    <row r="142" spans="1:68" x14ac:dyDescent="0.2">
      <c r="A142" s="617"/>
      <c r="B142" s="617"/>
      <c r="C142" s="617"/>
      <c r="D142" s="617"/>
      <c r="E142" s="617"/>
      <c r="F142" s="617"/>
      <c r="G142" s="617"/>
      <c r="H142" s="617"/>
      <c r="I142" s="617"/>
      <c r="J142" s="617"/>
      <c r="K142" s="617"/>
      <c r="L142" s="617"/>
      <c r="M142" s="617"/>
      <c r="N142" s="617"/>
      <c r="O142" s="629"/>
      <c r="P142" s="621" t="s">
        <v>72</v>
      </c>
      <c r="Q142" s="622"/>
      <c r="R142" s="622"/>
      <c r="S142" s="622"/>
      <c r="T142" s="622"/>
      <c r="U142" s="622"/>
      <c r="V142" s="623"/>
      <c r="W142" s="37" t="s">
        <v>67</v>
      </c>
      <c r="X142" s="607">
        <f>IFERROR(SUM(X139:X140),"0")</f>
        <v>0</v>
      </c>
      <c r="Y142" s="607">
        <f>IFERROR(SUM(Y139:Y140),"0")</f>
        <v>0</v>
      </c>
      <c r="Z142" s="37"/>
      <c r="AA142" s="608"/>
      <c r="AB142" s="608"/>
      <c r="AC142" s="608"/>
    </row>
    <row r="143" spans="1:68" ht="14.25" customHeight="1" x14ac:dyDescent="0.25">
      <c r="A143" s="616" t="s">
        <v>74</v>
      </c>
      <c r="B143" s="617"/>
      <c r="C143" s="617"/>
      <c r="D143" s="617"/>
      <c r="E143" s="617"/>
      <c r="F143" s="617"/>
      <c r="G143" s="617"/>
      <c r="H143" s="617"/>
      <c r="I143" s="617"/>
      <c r="J143" s="617"/>
      <c r="K143" s="617"/>
      <c r="L143" s="617"/>
      <c r="M143" s="617"/>
      <c r="N143" s="617"/>
      <c r="O143" s="617"/>
      <c r="P143" s="617"/>
      <c r="Q143" s="617"/>
      <c r="R143" s="617"/>
      <c r="S143" s="617"/>
      <c r="T143" s="617"/>
      <c r="U143" s="617"/>
      <c r="V143" s="617"/>
      <c r="W143" s="617"/>
      <c r="X143" s="617"/>
      <c r="Y143" s="617"/>
      <c r="Z143" s="617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09">
        <v>4680115882584</v>
      </c>
      <c r="E144" s="610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2"/>
      <c r="R144" s="612"/>
      <c r="S144" s="612"/>
      <c r="T144" s="613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customHeight="1" x14ac:dyDescent="0.25">
      <c r="A145" s="54" t="s">
        <v>251</v>
      </c>
      <c r="B145" s="54" t="s">
        <v>253</v>
      </c>
      <c r="C145" s="31">
        <v>4301051477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28"/>
      <c r="B146" s="617"/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29"/>
      <c r="P146" s="621" t="s">
        <v>72</v>
      </c>
      <c r="Q146" s="622"/>
      <c r="R146" s="622"/>
      <c r="S146" s="622"/>
      <c r="T146" s="622"/>
      <c r="U146" s="622"/>
      <c r="V146" s="623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x14ac:dyDescent="0.2">
      <c r="A147" s="617"/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29"/>
      <c r="P147" s="621" t="s">
        <v>72</v>
      </c>
      <c r="Q147" s="622"/>
      <c r="R147" s="622"/>
      <c r="S147" s="622"/>
      <c r="T147" s="622"/>
      <c r="U147" s="622"/>
      <c r="V147" s="623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customHeight="1" x14ac:dyDescent="0.25">
      <c r="A148" s="626" t="s">
        <v>254</v>
      </c>
      <c r="B148" s="617"/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  <c r="P148" s="617"/>
      <c r="Q148" s="617"/>
      <c r="R148" s="617"/>
      <c r="S148" s="617"/>
      <c r="T148" s="617"/>
      <c r="U148" s="617"/>
      <c r="V148" s="617"/>
      <c r="W148" s="617"/>
      <c r="X148" s="617"/>
      <c r="Y148" s="617"/>
      <c r="Z148" s="617"/>
      <c r="AA148" s="600"/>
      <c r="AB148" s="600"/>
      <c r="AC148" s="600"/>
    </row>
    <row r="149" spans="1:68" ht="14.25" customHeight="1" x14ac:dyDescent="0.25">
      <c r="A149" s="616" t="s">
        <v>74</v>
      </c>
      <c r="B149" s="617"/>
      <c r="C149" s="617"/>
      <c r="D149" s="617"/>
      <c r="E149" s="617"/>
      <c r="F149" s="617"/>
      <c r="G149" s="617"/>
      <c r="H149" s="617"/>
      <c r="I149" s="617"/>
      <c r="J149" s="617"/>
      <c r="K149" s="617"/>
      <c r="L149" s="617"/>
      <c r="M149" s="617"/>
      <c r="N149" s="617"/>
      <c r="O149" s="617"/>
      <c r="P149" s="617"/>
      <c r="Q149" s="617"/>
      <c r="R149" s="617"/>
      <c r="S149" s="617"/>
      <c r="T149" s="617"/>
      <c r="U149" s="617"/>
      <c r="V149" s="617"/>
      <c r="W149" s="617"/>
      <c r="X149" s="617"/>
      <c r="Y149" s="617"/>
      <c r="Z149" s="617"/>
      <c r="AA149" s="599"/>
      <c r="AB149" s="599"/>
      <c r="AC149" s="599"/>
    </row>
    <row r="150" spans="1:68" ht="27" customHeight="1" x14ac:dyDescent="0.25">
      <c r="A150" s="54" t="s">
        <v>255</v>
      </c>
      <c r="B150" s="54" t="s">
        <v>256</v>
      </c>
      <c r="C150" s="31">
        <v>4301052174</v>
      </c>
      <c r="D150" s="609">
        <v>4680115888203</v>
      </c>
      <c r="E150" s="610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2"/>
      <c r="R150" s="612"/>
      <c r="S150" s="612"/>
      <c r="T150" s="613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258</v>
      </c>
      <c r="B151" s="54" t="s">
        <v>259</v>
      </c>
      <c r="C151" s="31">
        <v>4301052172</v>
      </c>
      <c r="D151" s="609">
        <v>4680115888180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4301052173</v>
      </c>
      <c r="D152" s="609">
        <v>4680115888197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4301052175</v>
      </c>
      <c r="D153" s="609">
        <v>4680115888210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28"/>
      <c r="B154" s="617"/>
      <c r="C154" s="617"/>
      <c r="D154" s="617"/>
      <c r="E154" s="617"/>
      <c r="F154" s="617"/>
      <c r="G154" s="617"/>
      <c r="H154" s="617"/>
      <c r="I154" s="617"/>
      <c r="J154" s="617"/>
      <c r="K154" s="617"/>
      <c r="L154" s="617"/>
      <c r="M154" s="617"/>
      <c r="N154" s="617"/>
      <c r="O154" s="629"/>
      <c r="P154" s="621" t="s">
        <v>72</v>
      </c>
      <c r="Q154" s="622"/>
      <c r="R154" s="622"/>
      <c r="S154" s="622"/>
      <c r="T154" s="622"/>
      <c r="U154" s="622"/>
      <c r="V154" s="623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x14ac:dyDescent="0.2">
      <c r="A155" s="617"/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29"/>
      <c r="P155" s="621" t="s">
        <v>72</v>
      </c>
      <c r="Q155" s="622"/>
      <c r="R155" s="622"/>
      <c r="S155" s="622"/>
      <c r="T155" s="622"/>
      <c r="U155" s="622"/>
      <c r="V155" s="623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customHeight="1" x14ac:dyDescent="0.25">
      <c r="A156" s="626" t="s">
        <v>116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00"/>
      <c r="AB156" s="600"/>
      <c r="AC156" s="600"/>
    </row>
    <row r="157" spans="1:68" ht="14.25" customHeight="1" x14ac:dyDescent="0.25">
      <c r="A157" s="616" t="s">
        <v>118</v>
      </c>
      <c r="B157" s="617"/>
      <c r="C157" s="617"/>
      <c r="D157" s="617"/>
      <c r="E157" s="617"/>
      <c r="F157" s="617"/>
      <c r="G157" s="617"/>
      <c r="H157" s="617"/>
      <c r="I157" s="617"/>
      <c r="J157" s="617"/>
      <c r="K157" s="617"/>
      <c r="L157" s="617"/>
      <c r="M157" s="617"/>
      <c r="N157" s="617"/>
      <c r="O157" s="617"/>
      <c r="P157" s="617"/>
      <c r="Q157" s="617"/>
      <c r="R157" s="617"/>
      <c r="S157" s="617"/>
      <c r="T157" s="617"/>
      <c r="U157" s="617"/>
      <c r="V157" s="617"/>
      <c r="W157" s="617"/>
      <c r="X157" s="617"/>
      <c r="Y157" s="617"/>
      <c r="Z157" s="617"/>
      <c r="AA157" s="599"/>
      <c r="AB157" s="599"/>
      <c r="AC157" s="599"/>
    </row>
    <row r="158" spans="1:68" ht="27" customHeight="1" x14ac:dyDescent="0.25">
      <c r="A158" s="54" t="s">
        <v>267</v>
      </c>
      <c r="B158" s="54" t="s">
        <v>268</v>
      </c>
      <c r="C158" s="31">
        <v>4301012244</v>
      </c>
      <c r="D158" s="609">
        <v>4680115887374</v>
      </c>
      <c r="E158" s="610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2"/>
      <c r="R158" s="612"/>
      <c r="S158" s="612"/>
      <c r="T158" s="613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270</v>
      </c>
      <c r="B159" s="54" t="s">
        <v>271</v>
      </c>
      <c r="C159" s="31">
        <v>4301011705</v>
      </c>
      <c r="D159" s="609">
        <v>4607091384604</v>
      </c>
      <c r="E159" s="610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28"/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29"/>
      <c r="P160" s="621" t="s">
        <v>72</v>
      </c>
      <c r="Q160" s="622"/>
      <c r="R160" s="622"/>
      <c r="S160" s="622"/>
      <c r="T160" s="622"/>
      <c r="U160" s="622"/>
      <c r="V160" s="623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x14ac:dyDescent="0.2">
      <c r="A161" s="617"/>
      <c r="B161" s="617"/>
      <c r="C161" s="617"/>
      <c r="D161" s="617"/>
      <c r="E161" s="617"/>
      <c r="F161" s="617"/>
      <c r="G161" s="617"/>
      <c r="H161" s="617"/>
      <c r="I161" s="617"/>
      <c r="J161" s="617"/>
      <c r="K161" s="617"/>
      <c r="L161" s="617"/>
      <c r="M161" s="617"/>
      <c r="N161" s="617"/>
      <c r="O161" s="629"/>
      <c r="P161" s="621" t="s">
        <v>72</v>
      </c>
      <c r="Q161" s="622"/>
      <c r="R161" s="622"/>
      <c r="S161" s="622"/>
      <c r="T161" s="622"/>
      <c r="U161" s="622"/>
      <c r="V161" s="623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customHeight="1" x14ac:dyDescent="0.25">
      <c r="A162" s="616" t="s">
        <v>155</v>
      </c>
      <c r="B162" s="617"/>
      <c r="C162" s="617"/>
      <c r="D162" s="617"/>
      <c r="E162" s="617"/>
      <c r="F162" s="617"/>
      <c r="G162" s="617"/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  <c r="T162" s="617"/>
      <c r="U162" s="617"/>
      <c r="V162" s="617"/>
      <c r="W162" s="617"/>
      <c r="X162" s="617"/>
      <c r="Y162" s="617"/>
      <c r="Z162" s="617"/>
      <c r="AA162" s="599"/>
      <c r="AB162" s="599"/>
      <c r="AC162" s="599"/>
    </row>
    <row r="163" spans="1:68" ht="16.5" customHeight="1" x14ac:dyDescent="0.25">
      <c r="A163" s="54" t="s">
        <v>273</v>
      </c>
      <c r="B163" s="54" t="s">
        <v>274</v>
      </c>
      <c r="C163" s="31">
        <v>4301020410</v>
      </c>
      <c r="D163" s="609">
        <v>4680115887695</v>
      </c>
      <c r="E163" s="610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2"/>
      <c r="R163" s="612"/>
      <c r="S163" s="612"/>
      <c r="T163" s="613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28"/>
      <c r="B164" s="617"/>
      <c r="C164" s="617"/>
      <c r="D164" s="617"/>
      <c r="E164" s="617"/>
      <c r="F164" s="617"/>
      <c r="G164" s="617"/>
      <c r="H164" s="617"/>
      <c r="I164" s="617"/>
      <c r="J164" s="617"/>
      <c r="K164" s="617"/>
      <c r="L164" s="617"/>
      <c r="M164" s="617"/>
      <c r="N164" s="617"/>
      <c r="O164" s="629"/>
      <c r="P164" s="621" t="s">
        <v>72</v>
      </c>
      <c r="Q164" s="622"/>
      <c r="R164" s="622"/>
      <c r="S164" s="622"/>
      <c r="T164" s="622"/>
      <c r="U164" s="622"/>
      <c r="V164" s="623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x14ac:dyDescent="0.2">
      <c r="A165" s="617"/>
      <c r="B165" s="617"/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29"/>
      <c r="P165" s="621" t="s">
        <v>72</v>
      </c>
      <c r="Q165" s="622"/>
      <c r="R165" s="622"/>
      <c r="S165" s="622"/>
      <c r="T165" s="622"/>
      <c r="U165" s="622"/>
      <c r="V165" s="623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customHeight="1" x14ac:dyDescent="0.25">
      <c r="A166" s="616" t="s">
        <v>62</v>
      </c>
      <c r="B166" s="617"/>
      <c r="C166" s="617"/>
      <c r="D166" s="617"/>
      <c r="E166" s="617"/>
      <c r="F166" s="617"/>
      <c r="G166" s="617"/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  <c r="T166" s="617"/>
      <c r="U166" s="617"/>
      <c r="V166" s="617"/>
      <c r="W166" s="617"/>
      <c r="X166" s="617"/>
      <c r="Y166" s="617"/>
      <c r="Z166" s="617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09">
        <v>4680115887428</v>
      </c>
      <c r="E167" s="610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3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2"/>
      <c r="R167" s="612"/>
      <c r="S167" s="612"/>
      <c r="T167" s="613"/>
      <c r="U167" s="34"/>
      <c r="V167" s="34"/>
      <c r="W167" s="35" t="s">
        <v>67</v>
      </c>
      <c r="X167" s="605">
        <v>0</v>
      </c>
      <c r="Y167" s="606">
        <f t="shared" ref="Y167:Y177" si="15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0</v>
      </c>
      <c r="BN167" s="64">
        <f t="shared" ref="BN167:BN177" si="17">IFERROR(Y167*I167/H167,"0")</f>
        <v>0</v>
      </c>
      <c r="BO167" s="64">
        <f t="shared" ref="BO167:BO177" si="18">IFERROR(1/J167*(X167/H167),"0")</f>
        <v>0</v>
      </c>
      <c r="BP167" s="64">
        <f t="shared" ref="BP167:BP177" si="19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4301030963</v>
      </c>
      <c r="D168" s="609">
        <v>4607091382426</v>
      </c>
      <c r="E168" s="610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09">
        <v>4680115887398</v>
      </c>
      <c r="E169" s="610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15"/>
        <v>0</v>
      </c>
      <c r="Z169" s="36" t="str">
        <f>IFERROR(IF(Y169=0,"",ROUNDUP(Y169/H169,0)*0.00902),"")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0</v>
      </c>
      <c r="BN169" s="64">
        <f t="shared" si="17"/>
        <v>0</v>
      </c>
      <c r="BO169" s="64">
        <f t="shared" si="18"/>
        <v>0</v>
      </c>
      <c r="BP169" s="64">
        <f t="shared" si="19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09">
        <v>4680115887336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0</v>
      </c>
      <c r="Y170" s="606">
        <f t="shared" si="15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0</v>
      </c>
      <c r="BN170" s="64">
        <f t="shared" si="17"/>
        <v>0</v>
      </c>
      <c r="BO170" s="64">
        <f t="shared" si="18"/>
        <v>0</v>
      </c>
      <c r="BP170" s="64">
        <f t="shared" si="19"/>
        <v>0</v>
      </c>
    </row>
    <row r="171" spans="1:68" ht="16.5" customHeight="1" x14ac:dyDescent="0.25">
      <c r="A171" s="54" t="s">
        <v>288</v>
      </c>
      <c r="B171" s="54" t="s">
        <v>289</v>
      </c>
      <c r="C171" s="31">
        <v>4301032049</v>
      </c>
      <c r="D171" s="609">
        <v>4680115887787</v>
      </c>
      <c r="E171" s="610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8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09">
        <v>4680115887503</v>
      </c>
      <c r="E172" s="610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0</v>
      </c>
      <c r="Y172" s="606">
        <f t="shared" si="15"/>
        <v>0</v>
      </c>
      <c r="Z172" s="36" t="str">
        <f>IFERROR(IF(Y172=0,"",ROUNDUP(Y172/H172,0)*0.00502),"")</f>
        <v/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293</v>
      </c>
      <c r="B173" s="54" t="s">
        <v>294</v>
      </c>
      <c r="C173" s="31">
        <v>4301031389</v>
      </c>
      <c r="D173" s="609">
        <v>4680115887763</v>
      </c>
      <c r="E173" s="610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293</v>
      </c>
      <c r="B174" s="54" t="s">
        <v>296</v>
      </c>
      <c r="C174" s="31">
        <v>4301031510</v>
      </c>
      <c r="D174" s="609">
        <v>4680115887763</v>
      </c>
      <c r="E174" s="610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4301031454</v>
      </c>
      <c r="D175" s="609">
        <v>4680115887480</v>
      </c>
      <c r="E175" s="610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4301031434</v>
      </c>
      <c r="D176" s="609">
        <v>4680115888067</v>
      </c>
      <c r="E176" s="610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09">
        <v>4680115887435</v>
      </c>
      <c r="E177" s="610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5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0</v>
      </c>
      <c r="Y177" s="606">
        <f t="shared" si="15"/>
        <v>0</v>
      </c>
      <c r="Z177" s="36" t="str">
        <f>IFERROR(IF(Y177=0,"",ROUNDUP(Y177/H177,0)*0.00502),"")</f>
        <v/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x14ac:dyDescent="0.2">
      <c r="A178" s="628"/>
      <c r="B178" s="617"/>
      <c r="C178" s="617"/>
      <c r="D178" s="617"/>
      <c r="E178" s="617"/>
      <c r="F178" s="617"/>
      <c r="G178" s="617"/>
      <c r="H178" s="617"/>
      <c r="I178" s="617"/>
      <c r="J178" s="617"/>
      <c r="K178" s="617"/>
      <c r="L178" s="617"/>
      <c r="M178" s="617"/>
      <c r="N178" s="617"/>
      <c r="O178" s="629"/>
      <c r="P178" s="621" t="s">
        <v>72</v>
      </c>
      <c r="Q178" s="622"/>
      <c r="R178" s="622"/>
      <c r="S178" s="622"/>
      <c r="T178" s="622"/>
      <c r="U178" s="622"/>
      <c r="V178" s="623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08"/>
      <c r="AB178" s="608"/>
      <c r="AC178" s="608"/>
    </row>
    <row r="179" spans="1:68" x14ac:dyDescent="0.2">
      <c r="A179" s="617"/>
      <c r="B179" s="617"/>
      <c r="C179" s="617"/>
      <c r="D179" s="617"/>
      <c r="E179" s="617"/>
      <c r="F179" s="617"/>
      <c r="G179" s="617"/>
      <c r="H179" s="617"/>
      <c r="I179" s="617"/>
      <c r="J179" s="617"/>
      <c r="K179" s="617"/>
      <c r="L179" s="617"/>
      <c r="M179" s="617"/>
      <c r="N179" s="617"/>
      <c r="O179" s="629"/>
      <c r="P179" s="621" t="s">
        <v>72</v>
      </c>
      <c r="Q179" s="622"/>
      <c r="R179" s="622"/>
      <c r="S179" s="622"/>
      <c r="T179" s="622"/>
      <c r="U179" s="622"/>
      <c r="V179" s="623"/>
      <c r="W179" s="37" t="s">
        <v>67</v>
      </c>
      <c r="X179" s="607">
        <f>IFERROR(SUM(X167:X177),"0")</f>
        <v>0</v>
      </c>
      <c r="Y179" s="607">
        <f>IFERROR(SUM(Y167:Y177),"0")</f>
        <v>0</v>
      </c>
      <c r="Z179" s="37"/>
      <c r="AA179" s="608"/>
      <c r="AB179" s="608"/>
      <c r="AC179" s="608"/>
    </row>
    <row r="180" spans="1:68" ht="14.25" customHeight="1" x14ac:dyDescent="0.25">
      <c r="A180" s="616" t="s">
        <v>74</v>
      </c>
      <c r="B180" s="617"/>
      <c r="C180" s="617"/>
      <c r="D180" s="617"/>
      <c r="E180" s="617"/>
      <c r="F180" s="617"/>
      <c r="G180" s="617"/>
      <c r="H180" s="617"/>
      <c r="I180" s="617"/>
      <c r="J180" s="617"/>
      <c r="K180" s="617"/>
      <c r="L180" s="617"/>
      <c r="M180" s="617"/>
      <c r="N180" s="617"/>
      <c r="O180" s="617"/>
      <c r="P180" s="617"/>
      <c r="Q180" s="617"/>
      <c r="R180" s="617"/>
      <c r="S180" s="617"/>
      <c r="T180" s="617"/>
      <c r="U180" s="617"/>
      <c r="V180" s="617"/>
      <c r="W180" s="617"/>
      <c r="X180" s="617"/>
      <c r="Y180" s="617"/>
      <c r="Z180" s="617"/>
      <c r="AA180" s="599"/>
      <c r="AB180" s="599"/>
      <c r="AC180" s="599"/>
    </row>
    <row r="181" spans="1:68" ht="16.5" customHeight="1" x14ac:dyDescent="0.25">
      <c r="A181" s="54" t="s">
        <v>304</v>
      </c>
      <c r="B181" s="54" t="s">
        <v>305</v>
      </c>
      <c r="C181" s="31">
        <v>4301052193</v>
      </c>
      <c r="D181" s="609">
        <v>4680115888395</v>
      </c>
      <c r="E181" s="610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2"/>
      <c r="R181" s="612"/>
      <c r="S181" s="612"/>
      <c r="T181" s="613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307</v>
      </c>
      <c r="B182" s="54" t="s">
        <v>308</v>
      </c>
      <c r="C182" s="31">
        <v>4301052191</v>
      </c>
      <c r="D182" s="609">
        <v>4680115888371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4301052064</v>
      </c>
      <c r="D183" s="609">
        <v>4680115887459</v>
      </c>
      <c r="E183" s="610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8"/>
      <c r="B184" s="617"/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29"/>
      <c r="P184" s="621" t="s">
        <v>72</v>
      </c>
      <c r="Q184" s="622"/>
      <c r="R184" s="622"/>
      <c r="S184" s="622"/>
      <c r="T184" s="622"/>
      <c r="U184" s="622"/>
      <c r="V184" s="623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x14ac:dyDescent="0.2">
      <c r="A185" s="617"/>
      <c r="B185" s="617"/>
      <c r="C185" s="617"/>
      <c r="D185" s="617"/>
      <c r="E185" s="617"/>
      <c r="F185" s="617"/>
      <c r="G185" s="617"/>
      <c r="H185" s="617"/>
      <c r="I185" s="617"/>
      <c r="J185" s="617"/>
      <c r="K185" s="617"/>
      <c r="L185" s="617"/>
      <c r="M185" s="617"/>
      <c r="N185" s="617"/>
      <c r="O185" s="629"/>
      <c r="P185" s="621" t="s">
        <v>72</v>
      </c>
      <c r="Q185" s="622"/>
      <c r="R185" s="622"/>
      <c r="S185" s="622"/>
      <c r="T185" s="622"/>
      <c r="U185" s="622"/>
      <c r="V185" s="623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customHeight="1" x14ac:dyDescent="0.25">
      <c r="A186" s="616" t="s">
        <v>92</v>
      </c>
      <c r="B186" s="617"/>
      <c r="C186" s="617"/>
      <c r="D186" s="617"/>
      <c r="E186" s="617"/>
      <c r="F186" s="617"/>
      <c r="G186" s="617"/>
      <c r="H186" s="617"/>
      <c r="I186" s="617"/>
      <c r="J186" s="617"/>
      <c r="K186" s="617"/>
      <c r="L186" s="617"/>
      <c r="M186" s="617"/>
      <c r="N186" s="617"/>
      <c r="O186" s="617"/>
      <c r="P186" s="617"/>
      <c r="Q186" s="617"/>
      <c r="R186" s="617"/>
      <c r="S186" s="617"/>
      <c r="T186" s="617"/>
      <c r="U186" s="617"/>
      <c r="V186" s="617"/>
      <c r="W186" s="617"/>
      <c r="X186" s="617"/>
      <c r="Y186" s="617"/>
      <c r="Z186" s="617"/>
      <c r="AA186" s="599"/>
      <c r="AB186" s="599"/>
      <c r="AC186" s="599"/>
    </row>
    <row r="187" spans="1:68" ht="16.5" customHeight="1" x14ac:dyDescent="0.25">
      <c r="A187" s="54" t="s">
        <v>313</v>
      </c>
      <c r="B187" s="54" t="s">
        <v>314</v>
      </c>
      <c r="C187" s="31">
        <v>4301032058</v>
      </c>
      <c r="D187" s="609">
        <v>4680115889026</v>
      </c>
      <c r="E187" s="610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2"/>
      <c r="R187" s="612"/>
      <c r="S187" s="612"/>
      <c r="T187" s="613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318</v>
      </c>
      <c r="B188" s="54" t="s">
        <v>319</v>
      </c>
      <c r="C188" s="31">
        <v>4301032057</v>
      </c>
      <c r="D188" s="609">
        <v>4680115889088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6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8"/>
      <c r="B189" s="617"/>
      <c r="C189" s="617"/>
      <c r="D189" s="617"/>
      <c r="E189" s="617"/>
      <c r="F189" s="617"/>
      <c r="G189" s="617"/>
      <c r="H189" s="617"/>
      <c r="I189" s="617"/>
      <c r="J189" s="617"/>
      <c r="K189" s="617"/>
      <c r="L189" s="617"/>
      <c r="M189" s="617"/>
      <c r="N189" s="617"/>
      <c r="O189" s="629"/>
      <c r="P189" s="621" t="s">
        <v>72</v>
      </c>
      <c r="Q189" s="622"/>
      <c r="R189" s="622"/>
      <c r="S189" s="622"/>
      <c r="T189" s="622"/>
      <c r="U189" s="622"/>
      <c r="V189" s="623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x14ac:dyDescent="0.2">
      <c r="A190" s="617"/>
      <c r="B190" s="617"/>
      <c r="C190" s="617"/>
      <c r="D190" s="617"/>
      <c r="E190" s="617"/>
      <c r="F190" s="617"/>
      <c r="G190" s="617"/>
      <c r="H190" s="617"/>
      <c r="I190" s="617"/>
      <c r="J190" s="617"/>
      <c r="K190" s="617"/>
      <c r="L190" s="617"/>
      <c r="M190" s="617"/>
      <c r="N190" s="617"/>
      <c r="O190" s="629"/>
      <c r="P190" s="621" t="s">
        <v>72</v>
      </c>
      <c r="Q190" s="622"/>
      <c r="R190" s="622"/>
      <c r="S190" s="622"/>
      <c r="T190" s="622"/>
      <c r="U190" s="622"/>
      <c r="V190" s="623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customHeight="1" x14ac:dyDescent="0.25">
      <c r="A191" s="616" t="s">
        <v>321</v>
      </c>
      <c r="B191" s="617"/>
      <c r="C191" s="617"/>
      <c r="D191" s="617"/>
      <c r="E191" s="617"/>
      <c r="F191" s="617"/>
      <c r="G191" s="617"/>
      <c r="H191" s="617"/>
      <c r="I191" s="617"/>
      <c r="J191" s="617"/>
      <c r="K191" s="617"/>
      <c r="L191" s="617"/>
      <c r="M191" s="617"/>
      <c r="N191" s="617"/>
      <c r="O191" s="617"/>
      <c r="P191" s="617"/>
      <c r="Q191" s="617"/>
      <c r="R191" s="617"/>
      <c r="S191" s="617"/>
      <c r="T191" s="617"/>
      <c r="U191" s="617"/>
      <c r="V191" s="617"/>
      <c r="W191" s="617"/>
      <c r="X191" s="617"/>
      <c r="Y191" s="617"/>
      <c r="Z191" s="617"/>
      <c r="AA191" s="599"/>
      <c r="AB191" s="599"/>
      <c r="AC191" s="599"/>
    </row>
    <row r="192" spans="1:68" ht="27" customHeight="1" x14ac:dyDescent="0.25">
      <c r="A192" s="54" t="s">
        <v>322</v>
      </c>
      <c r="B192" s="54" t="s">
        <v>323</v>
      </c>
      <c r="C192" s="31">
        <v>4301041009</v>
      </c>
      <c r="D192" s="609">
        <v>4680115889033</v>
      </c>
      <c r="E192" s="610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2"/>
      <c r="R192" s="612"/>
      <c r="S192" s="612"/>
      <c r="T192" s="613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8"/>
      <c r="B193" s="617"/>
      <c r="C193" s="617"/>
      <c r="D193" s="617"/>
      <c r="E193" s="617"/>
      <c r="F193" s="617"/>
      <c r="G193" s="617"/>
      <c r="H193" s="617"/>
      <c r="I193" s="617"/>
      <c r="J193" s="617"/>
      <c r="K193" s="617"/>
      <c r="L193" s="617"/>
      <c r="M193" s="617"/>
      <c r="N193" s="617"/>
      <c r="O193" s="629"/>
      <c r="P193" s="621" t="s">
        <v>72</v>
      </c>
      <c r="Q193" s="622"/>
      <c r="R193" s="622"/>
      <c r="S193" s="622"/>
      <c r="T193" s="622"/>
      <c r="U193" s="622"/>
      <c r="V193" s="623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x14ac:dyDescent="0.2">
      <c r="A194" s="617"/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29"/>
      <c r="P194" s="621" t="s">
        <v>72</v>
      </c>
      <c r="Q194" s="622"/>
      <c r="R194" s="622"/>
      <c r="S194" s="622"/>
      <c r="T194" s="622"/>
      <c r="U194" s="622"/>
      <c r="V194" s="623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customHeight="1" x14ac:dyDescent="0.2">
      <c r="A195" s="667" t="s">
        <v>325</v>
      </c>
      <c r="B195" s="668"/>
      <c r="C195" s="668"/>
      <c r="D195" s="668"/>
      <c r="E195" s="668"/>
      <c r="F195" s="668"/>
      <c r="G195" s="668"/>
      <c r="H195" s="668"/>
      <c r="I195" s="668"/>
      <c r="J195" s="668"/>
      <c r="K195" s="668"/>
      <c r="L195" s="668"/>
      <c r="M195" s="668"/>
      <c r="N195" s="668"/>
      <c r="O195" s="668"/>
      <c r="P195" s="668"/>
      <c r="Q195" s="668"/>
      <c r="R195" s="668"/>
      <c r="S195" s="668"/>
      <c r="T195" s="668"/>
      <c r="U195" s="668"/>
      <c r="V195" s="668"/>
      <c r="W195" s="668"/>
      <c r="X195" s="668"/>
      <c r="Y195" s="668"/>
      <c r="Z195" s="668"/>
      <c r="AA195" s="48"/>
      <c r="AB195" s="48"/>
      <c r="AC195" s="48"/>
    </row>
    <row r="196" spans="1:68" ht="16.5" customHeight="1" x14ac:dyDescent="0.25">
      <c r="A196" s="626" t="s">
        <v>326</v>
      </c>
      <c r="B196" s="617"/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  <c r="Y196" s="617"/>
      <c r="Z196" s="617"/>
      <c r="AA196" s="600"/>
      <c r="AB196" s="600"/>
      <c r="AC196" s="600"/>
    </row>
    <row r="197" spans="1:68" ht="14.25" customHeight="1" x14ac:dyDescent="0.25">
      <c r="A197" s="616" t="s">
        <v>118</v>
      </c>
      <c r="B197" s="617"/>
      <c r="C197" s="617"/>
      <c r="D197" s="617"/>
      <c r="E197" s="617"/>
      <c r="F197" s="617"/>
      <c r="G197" s="617"/>
      <c r="H197" s="617"/>
      <c r="I197" s="617"/>
      <c r="J197" s="617"/>
      <c r="K197" s="617"/>
      <c r="L197" s="617"/>
      <c r="M197" s="617"/>
      <c r="N197" s="617"/>
      <c r="O197" s="617"/>
      <c r="P197" s="617"/>
      <c r="Q197" s="617"/>
      <c r="R197" s="617"/>
      <c r="S197" s="617"/>
      <c r="T197" s="617"/>
      <c r="U197" s="617"/>
      <c r="V197" s="617"/>
      <c r="W197" s="617"/>
      <c r="X197" s="617"/>
      <c r="Y197" s="617"/>
      <c r="Z197" s="617"/>
      <c r="AA197" s="599"/>
      <c r="AB197" s="599"/>
      <c r="AC197" s="599"/>
    </row>
    <row r="198" spans="1:68" ht="27" customHeight="1" x14ac:dyDescent="0.25">
      <c r="A198" s="54" t="s">
        <v>327</v>
      </c>
      <c r="B198" s="54" t="s">
        <v>328</v>
      </c>
      <c r="C198" s="31">
        <v>4301012340</v>
      </c>
      <c r="D198" s="609">
        <v>4680115888760</v>
      </c>
      <c r="E198" s="610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2"/>
      <c r="R198" s="612"/>
      <c r="S198" s="612"/>
      <c r="T198" s="613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customHeight="1" x14ac:dyDescent="0.25">
      <c r="A199" s="54" t="s">
        <v>330</v>
      </c>
      <c r="B199" s="54" t="s">
        <v>331</v>
      </c>
      <c r="C199" s="31">
        <v>4301012341</v>
      </c>
      <c r="D199" s="609">
        <v>4680115888807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4301012342</v>
      </c>
      <c r="D200" s="609">
        <v>4680115888852</v>
      </c>
      <c r="E200" s="610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4301011223</v>
      </c>
      <c r="D201" s="609">
        <v>4607091383423</v>
      </c>
      <c r="E201" s="610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customHeight="1" x14ac:dyDescent="0.25">
      <c r="A202" s="54" t="s">
        <v>338</v>
      </c>
      <c r="B202" s="54" t="s">
        <v>339</v>
      </c>
      <c r="C202" s="31">
        <v>4301012370</v>
      </c>
      <c r="D202" s="609">
        <v>4680115886957</v>
      </c>
      <c r="E202" s="610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4301012098</v>
      </c>
      <c r="D203" s="609">
        <v>4680115885660</v>
      </c>
      <c r="E203" s="610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4301012369</v>
      </c>
      <c r="D204" s="609">
        <v>4680115886773</v>
      </c>
      <c r="E204" s="610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x14ac:dyDescent="0.2">
      <c r="A205" s="628"/>
      <c r="B205" s="617"/>
      <c r="C205" s="617"/>
      <c r="D205" s="617"/>
      <c r="E205" s="617"/>
      <c r="F205" s="617"/>
      <c r="G205" s="617"/>
      <c r="H205" s="617"/>
      <c r="I205" s="617"/>
      <c r="J205" s="617"/>
      <c r="K205" s="617"/>
      <c r="L205" s="617"/>
      <c r="M205" s="617"/>
      <c r="N205" s="617"/>
      <c r="O205" s="629"/>
      <c r="P205" s="621" t="s">
        <v>72</v>
      </c>
      <c r="Q205" s="622"/>
      <c r="R205" s="622"/>
      <c r="S205" s="622"/>
      <c r="T205" s="622"/>
      <c r="U205" s="622"/>
      <c r="V205" s="623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x14ac:dyDescent="0.2">
      <c r="A206" s="617"/>
      <c r="B206" s="617"/>
      <c r="C206" s="617"/>
      <c r="D206" s="617"/>
      <c r="E206" s="617"/>
      <c r="F206" s="617"/>
      <c r="G206" s="617"/>
      <c r="H206" s="617"/>
      <c r="I206" s="617"/>
      <c r="J206" s="617"/>
      <c r="K206" s="617"/>
      <c r="L206" s="617"/>
      <c r="M206" s="617"/>
      <c r="N206" s="617"/>
      <c r="O206" s="629"/>
      <c r="P206" s="621" t="s">
        <v>72</v>
      </c>
      <c r="Q206" s="622"/>
      <c r="R206" s="622"/>
      <c r="S206" s="622"/>
      <c r="T206" s="622"/>
      <c r="U206" s="622"/>
      <c r="V206" s="623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customHeight="1" x14ac:dyDescent="0.25">
      <c r="A207" s="626" t="s">
        <v>347</v>
      </c>
      <c r="B207" s="617"/>
      <c r="C207" s="617"/>
      <c r="D207" s="617"/>
      <c r="E207" s="617"/>
      <c r="F207" s="617"/>
      <c r="G207" s="617"/>
      <c r="H207" s="617"/>
      <c r="I207" s="617"/>
      <c r="J207" s="617"/>
      <c r="K207" s="617"/>
      <c r="L207" s="617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  <c r="Y207" s="617"/>
      <c r="Z207" s="617"/>
      <c r="AA207" s="600"/>
      <c r="AB207" s="600"/>
      <c r="AC207" s="600"/>
    </row>
    <row r="208" spans="1:68" ht="14.25" customHeight="1" x14ac:dyDescent="0.25">
      <c r="A208" s="616" t="s">
        <v>155</v>
      </c>
      <c r="B208" s="617"/>
      <c r="C208" s="617"/>
      <c r="D208" s="617"/>
      <c r="E208" s="617"/>
      <c r="F208" s="617"/>
      <c r="G208" s="617"/>
      <c r="H208" s="617"/>
      <c r="I208" s="617"/>
      <c r="J208" s="617"/>
      <c r="K208" s="617"/>
      <c r="L208" s="617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  <c r="Y208" s="617"/>
      <c r="Z208" s="617"/>
      <c r="AA208" s="599"/>
      <c r="AB208" s="599"/>
      <c r="AC208" s="599"/>
    </row>
    <row r="209" spans="1:68" ht="27" customHeight="1" x14ac:dyDescent="0.25">
      <c r="A209" s="54" t="s">
        <v>348</v>
      </c>
      <c r="B209" s="54" t="s">
        <v>349</v>
      </c>
      <c r="C209" s="31">
        <v>4301020323</v>
      </c>
      <c r="D209" s="609">
        <v>4680115886223</v>
      </c>
      <c r="E209" s="610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2"/>
      <c r="R209" s="612"/>
      <c r="S209" s="612"/>
      <c r="T209" s="613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8"/>
      <c r="B210" s="617"/>
      <c r="C210" s="617"/>
      <c r="D210" s="617"/>
      <c r="E210" s="617"/>
      <c r="F210" s="617"/>
      <c r="G210" s="617"/>
      <c r="H210" s="617"/>
      <c r="I210" s="617"/>
      <c r="J210" s="617"/>
      <c r="K210" s="617"/>
      <c r="L210" s="617"/>
      <c r="M210" s="617"/>
      <c r="N210" s="617"/>
      <c r="O210" s="629"/>
      <c r="P210" s="621" t="s">
        <v>72</v>
      </c>
      <c r="Q210" s="622"/>
      <c r="R210" s="622"/>
      <c r="S210" s="622"/>
      <c r="T210" s="622"/>
      <c r="U210" s="622"/>
      <c r="V210" s="623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x14ac:dyDescent="0.2">
      <c r="A211" s="617"/>
      <c r="B211" s="617"/>
      <c r="C211" s="617"/>
      <c r="D211" s="617"/>
      <c r="E211" s="617"/>
      <c r="F211" s="617"/>
      <c r="G211" s="617"/>
      <c r="H211" s="617"/>
      <c r="I211" s="617"/>
      <c r="J211" s="617"/>
      <c r="K211" s="617"/>
      <c r="L211" s="617"/>
      <c r="M211" s="617"/>
      <c r="N211" s="617"/>
      <c r="O211" s="629"/>
      <c r="P211" s="621" t="s">
        <v>72</v>
      </c>
      <c r="Q211" s="622"/>
      <c r="R211" s="622"/>
      <c r="S211" s="622"/>
      <c r="T211" s="622"/>
      <c r="U211" s="622"/>
      <c r="V211" s="623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customHeight="1" x14ac:dyDescent="0.25">
      <c r="A212" s="616" t="s">
        <v>62</v>
      </c>
      <c r="B212" s="617"/>
      <c r="C212" s="617"/>
      <c r="D212" s="617"/>
      <c r="E212" s="617"/>
      <c r="F212" s="617"/>
      <c r="G212" s="617"/>
      <c r="H212" s="617"/>
      <c r="I212" s="617"/>
      <c r="J212" s="617"/>
      <c r="K212" s="617"/>
      <c r="L212" s="617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  <c r="Y212" s="617"/>
      <c r="Z212" s="617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09">
        <v>4680115880993</v>
      </c>
      <c r="E213" s="610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2"/>
      <c r="R213" s="612"/>
      <c r="S213" s="612"/>
      <c r="T213" s="613"/>
      <c r="U213" s="34"/>
      <c r="V213" s="34"/>
      <c r="W213" s="35" t="s">
        <v>67</v>
      </c>
      <c r="X213" s="605">
        <v>0</v>
      </c>
      <c r="Y213" s="606">
        <f t="shared" ref="Y213:Y226" si="26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0</v>
      </c>
      <c r="BN213" s="64">
        <f t="shared" ref="BN213:BN226" si="28">IFERROR(Y213*I213/H213,"0")</f>
        <v>0</v>
      </c>
      <c r="BO213" s="64">
        <f t="shared" ref="BO213:BO226" si="29">IFERROR(1/J213*(X213/H213),"0")</f>
        <v>0</v>
      </c>
      <c r="BP213" s="64">
        <f t="shared" ref="BP213:BP226" si="30">IFERROR(1/J213*(Y213/H213),"0")</f>
        <v>0</v>
      </c>
    </row>
    <row r="214" spans="1:68" ht="27" customHeight="1" x14ac:dyDescent="0.25">
      <c r="A214" s="54" t="s">
        <v>354</v>
      </c>
      <c r="B214" s="54" t="s">
        <v>355</v>
      </c>
      <c r="C214" s="31">
        <v>4301031204</v>
      </c>
      <c r="D214" s="609">
        <v>4680115881761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09">
        <v>4680115881563</v>
      </c>
      <c r="E215" s="610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09">
        <v>4680115887565</v>
      </c>
      <c r="E216" s="610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0</v>
      </c>
      <c r="Y216" s="606">
        <f t="shared" si="26"/>
        <v>0</v>
      </c>
      <c r="Z216" s="36" t="str">
        <f>IFERROR(IF(Y216=0,"",ROUNDUP(Y216/H216,0)*0.00556),"")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09">
        <v>4680115880986</v>
      </c>
      <c r="E217" s="610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0</v>
      </c>
      <c r="Y217" s="606">
        <f t="shared" si="26"/>
        <v>0</v>
      </c>
      <c r="Z217" s="36" t="str">
        <f t="shared" ref="Z217:Z222" si="31">IFERROR(IF(Y217=0,"",ROUNDUP(Y217/H217,0)*0.00502),"")</f>
        <v/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customHeight="1" x14ac:dyDescent="0.25">
      <c r="A218" s="54" t="s">
        <v>365</v>
      </c>
      <c r="B218" s="54" t="s">
        <v>366</v>
      </c>
      <c r="C218" s="31">
        <v>4301031443</v>
      </c>
      <c r="D218" s="609">
        <v>4680115887213</v>
      </c>
      <c r="E218" s="610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4301031205</v>
      </c>
      <c r="D219" s="609">
        <v>4680115881785</v>
      </c>
      <c r="E219" s="610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4301031499</v>
      </c>
      <c r="D220" s="609">
        <v>4680115888432</v>
      </c>
      <c r="E220" s="610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4301031427</v>
      </c>
      <c r="D221" s="609">
        <v>4680115888104</v>
      </c>
      <c r="E221" s="610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09">
        <v>4680115886537</v>
      </c>
      <c r="E222" s="610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26"/>
        <v>0</v>
      </c>
      <c r="Z222" s="36" t="str">
        <f t="shared" si="31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09">
        <v>4680115887596</v>
      </c>
      <c r="E223" s="610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0</v>
      </c>
      <c r="Y223" s="60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09">
        <v>4680115881679</v>
      </c>
      <c r="E224" s="610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0</v>
      </c>
      <c r="Y224" s="60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customHeight="1" x14ac:dyDescent="0.25">
      <c r="A225" s="54" t="s">
        <v>384</v>
      </c>
      <c r="B225" s="54" t="s">
        <v>385</v>
      </c>
      <c r="C225" s="31">
        <v>4301031158</v>
      </c>
      <c r="D225" s="609">
        <v>4680115880191</v>
      </c>
      <c r="E225" s="610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customHeight="1" x14ac:dyDescent="0.25">
      <c r="A226" s="54" t="s">
        <v>386</v>
      </c>
      <c r="B226" s="54" t="s">
        <v>387</v>
      </c>
      <c r="C226" s="31">
        <v>4301031245</v>
      </c>
      <c r="D226" s="609">
        <v>4680115883963</v>
      </c>
      <c r="E226" s="610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28"/>
      <c r="B227" s="617"/>
      <c r="C227" s="617"/>
      <c r="D227" s="617"/>
      <c r="E227" s="617"/>
      <c r="F227" s="617"/>
      <c r="G227" s="617"/>
      <c r="H227" s="617"/>
      <c r="I227" s="617"/>
      <c r="J227" s="617"/>
      <c r="K227" s="617"/>
      <c r="L227" s="617"/>
      <c r="M227" s="617"/>
      <c r="N227" s="617"/>
      <c r="O227" s="629"/>
      <c r="P227" s="621" t="s">
        <v>72</v>
      </c>
      <c r="Q227" s="622"/>
      <c r="R227" s="622"/>
      <c r="S227" s="622"/>
      <c r="T227" s="622"/>
      <c r="U227" s="622"/>
      <c r="V227" s="623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08"/>
      <c r="AB227" s="608"/>
      <c r="AC227" s="608"/>
    </row>
    <row r="228" spans="1:68" x14ac:dyDescent="0.2">
      <c r="A228" s="617"/>
      <c r="B228" s="617"/>
      <c r="C228" s="617"/>
      <c r="D228" s="617"/>
      <c r="E228" s="617"/>
      <c r="F228" s="617"/>
      <c r="G228" s="617"/>
      <c r="H228" s="617"/>
      <c r="I228" s="617"/>
      <c r="J228" s="617"/>
      <c r="K228" s="617"/>
      <c r="L228" s="617"/>
      <c r="M228" s="617"/>
      <c r="N228" s="617"/>
      <c r="O228" s="629"/>
      <c r="P228" s="621" t="s">
        <v>72</v>
      </c>
      <c r="Q228" s="622"/>
      <c r="R228" s="622"/>
      <c r="S228" s="622"/>
      <c r="T228" s="622"/>
      <c r="U228" s="622"/>
      <c r="V228" s="623"/>
      <c r="W228" s="37" t="s">
        <v>67</v>
      </c>
      <c r="X228" s="607">
        <f>IFERROR(SUM(X213:X226),"0")</f>
        <v>0</v>
      </c>
      <c r="Y228" s="607">
        <f>IFERROR(SUM(Y213:Y226),"0")</f>
        <v>0</v>
      </c>
      <c r="Z228" s="37"/>
      <c r="AA228" s="608"/>
      <c r="AB228" s="608"/>
      <c r="AC228" s="608"/>
    </row>
    <row r="229" spans="1:68" ht="14.25" customHeight="1" x14ac:dyDescent="0.25">
      <c r="A229" s="616" t="s">
        <v>74</v>
      </c>
      <c r="B229" s="617"/>
      <c r="C229" s="617"/>
      <c r="D229" s="617"/>
      <c r="E229" s="617"/>
      <c r="F229" s="617"/>
      <c r="G229" s="617"/>
      <c r="H229" s="617"/>
      <c r="I229" s="617"/>
      <c r="J229" s="617"/>
      <c r="K229" s="617"/>
      <c r="L229" s="617"/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  <c r="Y229" s="617"/>
      <c r="Z229" s="617"/>
      <c r="AA229" s="599"/>
      <c r="AB229" s="599"/>
      <c r="AC229" s="599"/>
    </row>
    <row r="230" spans="1:68" ht="27" customHeight="1" x14ac:dyDescent="0.25">
      <c r="A230" s="54" t="s">
        <v>389</v>
      </c>
      <c r="B230" s="54" t="s">
        <v>390</v>
      </c>
      <c r="C230" s="31">
        <v>4301052178</v>
      </c>
      <c r="D230" s="609">
        <v>4680115888975</v>
      </c>
      <c r="E230" s="610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2"/>
      <c r="R230" s="612"/>
      <c r="S230" s="612"/>
      <c r="T230" s="613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2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8"/>
      <c r="B235" s="617"/>
      <c r="C235" s="617"/>
      <c r="D235" s="617"/>
      <c r="E235" s="617"/>
      <c r="F235" s="617"/>
      <c r="G235" s="617"/>
      <c r="H235" s="617"/>
      <c r="I235" s="617"/>
      <c r="J235" s="617"/>
      <c r="K235" s="617"/>
      <c r="L235" s="617"/>
      <c r="M235" s="617"/>
      <c r="N235" s="617"/>
      <c r="O235" s="629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7"/>
      <c r="B236" s="617"/>
      <c r="C236" s="617"/>
      <c r="D236" s="617"/>
      <c r="E236" s="617"/>
      <c r="F236" s="617"/>
      <c r="G236" s="617"/>
      <c r="H236" s="617"/>
      <c r="I236" s="617"/>
      <c r="J236" s="617"/>
      <c r="K236" s="617"/>
      <c r="L236" s="617"/>
      <c r="M236" s="617"/>
      <c r="N236" s="617"/>
      <c r="O236" s="629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customHeight="1" x14ac:dyDescent="0.25">
      <c r="A237" s="616" t="s">
        <v>92</v>
      </c>
      <c r="B237" s="617"/>
      <c r="C237" s="617"/>
      <c r="D237" s="617"/>
      <c r="E237" s="617"/>
      <c r="F237" s="617"/>
      <c r="G237" s="617"/>
      <c r="H237" s="617"/>
      <c r="I237" s="617"/>
      <c r="J237" s="617"/>
      <c r="K237" s="617"/>
      <c r="L237" s="617"/>
      <c r="M237" s="617"/>
      <c r="N237" s="617"/>
      <c r="O237" s="617"/>
      <c r="P237" s="617"/>
      <c r="Q237" s="617"/>
      <c r="R237" s="617"/>
      <c r="S237" s="617"/>
      <c r="T237" s="617"/>
      <c r="U237" s="617"/>
      <c r="V237" s="617"/>
      <c r="W237" s="617"/>
      <c r="X237" s="617"/>
      <c r="Y237" s="617"/>
      <c r="Z237" s="617"/>
      <c r="AA237" s="599"/>
      <c r="AB237" s="599"/>
      <c r="AC237" s="599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6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28"/>
      <c r="B241" s="617"/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29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0</v>
      </c>
      <c r="Y241" s="607">
        <f>IFERROR(Y238/H238,"0")+IFERROR(Y239/H239,"0")+IFERROR(Y240/H240,"0")</f>
        <v>0</v>
      </c>
      <c r="Z241" s="607">
        <f>IFERROR(IF(Z238="",0,Z238),"0")+IFERROR(IF(Z239="",0,Z239),"0")+IFERROR(IF(Z240="",0,Z240),"0")</f>
        <v>0</v>
      </c>
      <c r="AA241" s="608"/>
      <c r="AB241" s="608"/>
      <c r="AC241" s="608"/>
    </row>
    <row r="242" spans="1:68" x14ac:dyDescent="0.2">
      <c r="A242" s="617"/>
      <c r="B242" s="617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29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0</v>
      </c>
      <c r="Y242" s="607">
        <f>IFERROR(SUM(Y238:Y240),"0")</f>
        <v>0</v>
      </c>
      <c r="Z242" s="37"/>
      <c r="AA242" s="608"/>
      <c r="AB242" s="608"/>
      <c r="AC242" s="608"/>
    </row>
    <row r="243" spans="1:68" ht="14.25" customHeight="1" x14ac:dyDescent="0.25">
      <c r="A243" s="616" t="s">
        <v>411</v>
      </c>
      <c r="B243" s="617"/>
      <c r="C243" s="617"/>
      <c r="D243" s="617"/>
      <c r="E243" s="617"/>
      <c r="F243" s="617"/>
      <c r="G243" s="617"/>
      <c r="H243" s="617"/>
      <c r="I243" s="617"/>
      <c r="J243" s="617"/>
      <c r="K243" s="617"/>
      <c r="L243" s="617"/>
      <c r="M243" s="617"/>
      <c r="N243" s="617"/>
      <c r="O243" s="617"/>
      <c r="P243" s="617"/>
      <c r="Q243" s="617"/>
      <c r="R243" s="617"/>
      <c r="S243" s="617"/>
      <c r="T243" s="617"/>
      <c r="U243" s="617"/>
      <c r="V243" s="617"/>
      <c r="W243" s="617"/>
      <c r="X243" s="617"/>
      <c r="Y243" s="617"/>
      <c r="Z243" s="617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28"/>
      <c r="B245" s="617"/>
      <c r="C245" s="617"/>
      <c r="D245" s="617"/>
      <c r="E245" s="617"/>
      <c r="F245" s="617"/>
      <c r="G245" s="617"/>
      <c r="H245" s="617"/>
      <c r="I245" s="617"/>
      <c r="J245" s="617"/>
      <c r="K245" s="617"/>
      <c r="L245" s="617"/>
      <c r="M245" s="617"/>
      <c r="N245" s="617"/>
      <c r="O245" s="629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x14ac:dyDescent="0.2">
      <c r="A246" s="617"/>
      <c r="B246" s="617"/>
      <c r="C246" s="617"/>
      <c r="D246" s="617"/>
      <c r="E246" s="617"/>
      <c r="F246" s="617"/>
      <c r="G246" s="617"/>
      <c r="H246" s="617"/>
      <c r="I246" s="617"/>
      <c r="J246" s="617"/>
      <c r="K246" s="617"/>
      <c r="L246" s="617"/>
      <c r="M246" s="617"/>
      <c r="N246" s="617"/>
      <c r="O246" s="629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customHeight="1" x14ac:dyDescent="0.25">
      <c r="A247" s="626" t="s">
        <v>414</v>
      </c>
      <c r="B247" s="617"/>
      <c r="C247" s="617"/>
      <c r="D247" s="617"/>
      <c r="E247" s="617"/>
      <c r="F247" s="617"/>
      <c r="G247" s="617"/>
      <c r="H247" s="617"/>
      <c r="I247" s="617"/>
      <c r="J247" s="617"/>
      <c r="K247" s="617"/>
      <c r="L247" s="617"/>
      <c r="M247" s="617"/>
      <c r="N247" s="617"/>
      <c r="O247" s="617"/>
      <c r="P247" s="617"/>
      <c r="Q247" s="617"/>
      <c r="R247" s="617"/>
      <c r="S247" s="617"/>
      <c r="T247" s="617"/>
      <c r="U247" s="617"/>
      <c r="V247" s="617"/>
      <c r="W247" s="617"/>
      <c r="X247" s="617"/>
      <c r="Y247" s="617"/>
      <c r="Z247" s="617"/>
      <c r="AA247" s="600"/>
      <c r="AB247" s="600"/>
      <c r="AC247" s="600"/>
    </row>
    <row r="248" spans="1:68" ht="14.25" customHeight="1" x14ac:dyDescent="0.25">
      <c r="A248" s="616" t="s">
        <v>118</v>
      </c>
      <c r="B248" s="617"/>
      <c r="C248" s="617"/>
      <c r="D248" s="617"/>
      <c r="E248" s="617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617"/>
      <c r="S248" s="617"/>
      <c r="T248" s="617"/>
      <c r="U248" s="617"/>
      <c r="V248" s="617"/>
      <c r="W248" s="617"/>
      <c r="X248" s="617"/>
      <c r="Y248" s="617"/>
      <c r="Z248" s="617"/>
      <c r="AA248" s="599"/>
      <c r="AB248" s="599"/>
      <c r="AC248" s="599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7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8"/>
      <c r="B251" s="617"/>
      <c r="C251" s="617"/>
      <c r="D251" s="617"/>
      <c r="E251" s="617"/>
      <c r="F251" s="617"/>
      <c r="G251" s="617"/>
      <c r="H251" s="617"/>
      <c r="I251" s="617"/>
      <c r="J251" s="617"/>
      <c r="K251" s="617"/>
      <c r="L251" s="617"/>
      <c r="M251" s="617"/>
      <c r="N251" s="617"/>
      <c r="O251" s="629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7"/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29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6" t="s">
        <v>155</v>
      </c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  <c r="Y253" s="617"/>
      <c r="Z253" s="617"/>
      <c r="AA253" s="599"/>
      <c r="AB253" s="599"/>
      <c r="AC253" s="599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8"/>
      <c r="B256" s="617"/>
      <c r="C256" s="617"/>
      <c r="D256" s="617"/>
      <c r="E256" s="617"/>
      <c r="F256" s="617"/>
      <c r="G256" s="617"/>
      <c r="H256" s="617"/>
      <c r="I256" s="617"/>
      <c r="J256" s="617"/>
      <c r="K256" s="617"/>
      <c r="L256" s="617"/>
      <c r="M256" s="617"/>
      <c r="N256" s="617"/>
      <c r="O256" s="629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7"/>
      <c r="B257" s="617"/>
      <c r="C257" s="617"/>
      <c r="D257" s="617"/>
      <c r="E257" s="617"/>
      <c r="F257" s="617"/>
      <c r="G257" s="617"/>
      <c r="H257" s="617"/>
      <c r="I257" s="617"/>
      <c r="J257" s="617"/>
      <c r="K257" s="617"/>
      <c r="L257" s="617"/>
      <c r="M257" s="617"/>
      <c r="N257" s="617"/>
      <c r="O257" s="629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6" t="s">
        <v>62</v>
      </c>
      <c r="B258" s="617"/>
      <c r="C258" s="617"/>
      <c r="D258" s="617"/>
      <c r="E258" s="617"/>
      <c r="F258" s="617"/>
      <c r="G258" s="617"/>
      <c r="H258" s="617"/>
      <c r="I258" s="617"/>
      <c r="J258" s="617"/>
      <c r="K258" s="617"/>
      <c r="L258" s="617"/>
      <c r="M258" s="617"/>
      <c r="N258" s="617"/>
      <c r="O258" s="617"/>
      <c r="P258" s="617"/>
      <c r="Q258" s="617"/>
      <c r="R258" s="617"/>
      <c r="S258" s="617"/>
      <c r="T258" s="617"/>
      <c r="U258" s="617"/>
      <c r="V258" s="617"/>
      <c r="W258" s="617"/>
      <c r="X258" s="617"/>
      <c r="Y258" s="617"/>
      <c r="Z258" s="617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0</v>
      </c>
      <c r="Y259" s="606">
        <f t="shared" ref="Y259:Y266" si="32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0</v>
      </c>
      <c r="BN259" s="64">
        <f t="shared" ref="BN259:BN266" si="34">IFERROR(Y259*I259/H259,"0")</f>
        <v>0</v>
      </c>
      <c r="BO259" s="64">
        <f t="shared" ref="BO259:BO266" si="35">IFERROR(1/J259*(X259/H259),"0")</f>
        <v>0</v>
      </c>
      <c r="BP259" s="64">
        <f t="shared" ref="BP259:BP266" si="36">IFERROR(1/J259*(Y259/H259),"0")</f>
        <v>0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0</v>
      </c>
      <c r="Y260" s="606">
        <f t="shared" si="32"/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0</v>
      </c>
      <c r="Y261" s="606">
        <f t="shared" si="32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0</v>
      </c>
      <c r="Y262" s="606">
        <f t="shared" si="32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0</v>
      </c>
      <c r="Y263" s="606">
        <f t="shared" si="32"/>
        <v>0</v>
      </c>
      <c r="Z263" s="36" t="str">
        <f>IFERROR(IF(Y263=0,"",ROUNDUP(Y263/H263,0)*0.00502),"")</f>
        <v/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0</v>
      </c>
      <c r="BN263" s="64">
        <f t="shared" si="34"/>
        <v>0</v>
      </c>
      <c r="BO263" s="64">
        <f t="shared" si="35"/>
        <v>0</v>
      </c>
      <c r="BP263" s="64">
        <f t="shared" si="36"/>
        <v>0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0</v>
      </c>
      <c r="Y264" s="606">
        <f t="shared" si="32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0</v>
      </c>
      <c r="BN264" s="64">
        <f t="shared" si="34"/>
        <v>0</v>
      </c>
      <c r="BO264" s="64">
        <f t="shared" si="35"/>
        <v>0</v>
      </c>
      <c r="BP264" s="64">
        <f t="shared" si="36"/>
        <v>0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0</v>
      </c>
      <c r="Y266" s="606">
        <f t="shared" si="32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x14ac:dyDescent="0.2">
      <c r="A267" s="628"/>
      <c r="B267" s="617"/>
      <c r="C267" s="617"/>
      <c r="D267" s="617"/>
      <c r="E267" s="617"/>
      <c r="F267" s="617"/>
      <c r="G267" s="617"/>
      <c r="H267" s="617"/>
      <c r="I267" s="617"/>
      <c r="J267" s="617"/>
      <c r="K267" s="617"/>
      <c r="L267" s="617"/>
      <c r="M267" s="617"/>
      <c r="N267" s="617"/>
      <c r="O267" s="629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0</v>
      </c>
      <c r="Y267" s="607">
        <f>IFERROR(Y259/H259,"0")+IFERROR(Y260/H260,"0")+IFERROR(Y261/H261,"0")+IFERROR(Y262/H262,"0")+IFERROR(Y263/H263,"0")+IFERROR(Y264/H264,"0")+IFERROR(Y265/H265,"0")+IFERROR(Y266/H266,"0")</f>
        <v>0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08"/>
      <c r="AB267" s="608"/>
      <c r="AC267" s="608"/>
    </row>
    <row r="268" spans="1:68" x14ac:dyDescent="0.2">
      <c r="A268" s="617"/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29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0</v>
      </c>
      <c r="Y268" s="607">
        <f>IFERROR(SUM(Y259:Y266),"0")</f>
        <v>0</v>
      </c>
      <c r="Z268" s="37"/>
      <c r="AA268" s="608"/>
      <c r="AB268" s="608"/>
      <c r="AC268" s="608"/>
    </row>
    <row r="269" spans="1:68" ht="14.25" customHeight="1" x14ac:dyDescent="0.25">
      <c r="A269" s="616" t="s">
        <v>74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0</v>
      </c>
      <c r="Y270" s="606">
        <f t="shared" ref="Y270:Y281" si="37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0</v>
      </c>
      <c r="BN270" s="64">
        <f t="shared" ref="BN270:BN281" si="39">IFERROR(Y270*I270/H270,"0")</f>
        <v>0</v>
      </c>
      <c r="BO270" s="64">
        <f t="shared" ref="BO270:BO281" si="40">IFERROR(1/J270*(X270/H270),"0")</f>
        <v>0</v>
      </c>
      <c r="BP270" s="64">
        <f t="shared" ref="BP270:BP281" si="41">IFERROR(1/J270*(Y270/H270),"0")</f>
        <v>0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6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0</v>
      </c>
      <c r="Y273" s="606">
        <f t="shared" si="37"/>
        <v>0</v>
      </c>
      <c r="Z273" s="36" t="str">
        <f>IFERROR(IF(Y273=0,"",ROUNDUP(Y273/H273,0)*0.00651),"")</f>
        <v/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5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400</v>
      </c>
      <c r="Y276" s="606">
        <f t="shared" si="37"/>
        <v>400.8</v>
      </c>
      <c r="Z276" s="36">
        <f>IFERROR(IF(Y276=0,"",ROUNDUP(Y276/H276,0)*0.00651),"")</f>
        <v>1.08717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442</v>
      </c>
      <c r="BN276" s="64">
        <f t="shared" si="39"/>
        <v>442.88400000000007</v>
      </c>
      <c r="BO276" s="64">
        <f t="shared" si="40"/>
        <v>0.91575091575091594</v>
      </c>
      <c r="BP276" s="64">
        <f t="shared" si="41"/>
        <v>0.91758241758241765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7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0</v>
      </c>
      <c r="Y278" s="606">
        <f t="shared" si="37"/>
        <v>0</v>
      </c>
      <c r="Z278" s="36" t="str">
        <f>IFERROR(IF(Y278=0,"",ROUNDUP(Y278/H278,0)*0.00651),"")</f>
        <v/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0</v>
      </c>
      <c r="BN278" s="64">
        <f t="shared" si="39"/>
        <v>0</v>
      </c>
      <c r="BO278" s="64">
        <f t="shared" si="40"/>
        <v>0</v>
      </c>
      <c r="BP278" s="64">
        <f t="shared" si="41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0</v>
      </c>
      <c r="Y279" s="606">
        <f t="shared" si="37"/>
        <v>0</v>
      </c>
      <c r="Z279" s="36" t="str">
        <f>IFERROR(IF(Y279=0,"",ROUNDUP(Y279/H279,0)*0.00651),"")</f>
        <v/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0</v>
      </c>
      <c r="BN279" s="64">
        <f t="shared" si="39"/>
        <v>0</v>
      </c>
      <c r="BO279" s="64">
        <f t="shared" si="40"/>
        <v>0</v>
      </c>
      <c r="BP279" s="64">
        <f t="shared" si="41"/>
        <v>0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0</v>
      </c>
      <c r="Y280" s="606">
        <f t="shared" si="37"/>
        <v>0</v>
      </c>
      <c r="Z280" s="36" t="str">
        <f>IFERROR(IF(Y280=0,"",ROUNDUP(Y280/H280,0)*0.00651),"")</f>
        <v/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0</v>
      </c>
      <c r="BN280" s="64">
        <f t="shared" si="39"/>
        <v>0</v>
      </c>
      <c r="BO280" s="64">
        <f t="shared" si="40"/>
        <v>0</v>
      </c>
      <c r="BP280" s="64">
        <f t="shared" si="41"/>
        <v>0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28"/>
      <c r="B282" s="617"/>
      <c r="C282" s="617"/>
      <c r="D282" s="617"/>
      <c r="E282" s="617"/>
      <c r="F282" s="617"/>
      <c r="G282" s="617"/>
      <c r="H282" s="617"/>
      <c r="I282" s="617"/>
      <c r="J282" s="617"/>
      <c r="K282" s="617"/>
      <c r="L282" s="617"/>
      <c r="M282" s="617"/>
      <c r="N282" s="617"/>
      <c r="O282" s="629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166.66666666666669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167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1.08717</v>
      </c>
      <c r="AA282" s="608"/>
      <c r="AB282" s="608"/>
      <c r="AC282" s="608"/>
    </row>
    <row r="283" spans="1:68" x14ac:dyDescent="0.2">
      <c r="A283" s="617"/>
      <c r="B283" s="617"/>
      <c r="C283" s="617"/>
      <c r="D283" s="617"/>
      <c r="E283" s="617"/>
      <c r="F283" s="617"/>
      <c r="G283" s="617"/>
      <c r="H283" s="617"/>
      <c r="I283" s="617"/>
      <c r="J283" s="617"/>
      <c r="K283" s="617"/>
      <c r="L283" s="617"/>
      <c r="M283" s="617"/>
      <c r="N283" s="617"/>
      <c r="O283" s="629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400</v>
      </c>
      <c r="Y283" s="607">
        <f>IFERROR(SUM(Y270:Y281),"0")</f>
        <v>400.8</v>
      </c>
      <c r="Z283" s="37"/>
      <c r="AA283" s="608"/>
      <c r="AB283" s="608"/>
      <c r="AC283" s="608"/>
    </row>
    <row r="284" spans="1:68" ht="14.25" customHeight="1" x14ac:dyDescent="0.25">
      <c r="A284" s="616" t="s">
        <v>172</v>
      </c>
      <c r="B284" s="617"/>
      <c r="C284" s="617"/>
      <c r="D284" s="617"/>
      <c r="E284" s="617"/>
      <c r="F284" s="617"/>
      <c r="G284" s="617"/>
      <c r="H284" s="617"/>
      <c r="I284" s="617"/>
      <c r="J284" s="617"/>
      <c r="K284" s="617"/>
      <c r="L284" s="617"/>
      <c r="M284" s="617"/>
      <c r="N284" s="617"/>
      <c r="O284" s="617"/>
      <c r="P284" s="617"/>
      <c r="Q284" s="617"/>
      <c r="R284" s="617"/>
      <c r="S284" s="617"/>
      <c r="T284" s="617"/>
      <c r="U284" s="617"/>
      <c r="V284" s="617"/>
      <c r="W284" s="617"/>
      <c r="X284" s="617"/>
      <c r="Y284" s="617"/>
      <c r="Z284" s="617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8"/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29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x14ac:dyDescent="0.2">
      <c r="A288" s="617"/>
      <c r="B288" s="617"/>
      <c r="C288" s="617"/>
      <c r="D288" s="617"/>
      <c r="E288" s="617"/>
      <c r="F288" s="617"/>
      <c r="G288" s="617"/>
      <c r="H288" s="617"/>
      <c r="I288" s="617"/>
      <c r="J288" s="617"/>
      <c r="K288" s="617"/>
      <c r="L288" s="617"/>
      <c r="M288" s="617"/>
      <c r="N288" s="617"/>
      <c r="O288" s="629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customHeight="1" x14ac:dyDescent="0.25">
      <c r="A289" s="626" t="s">
        <v>482</v>
      </c>
      <c r="B289" s="617"/>
      <c r="C289" s="617"/>
      <c r="D289" s="617"/>
      <c r="E289" s="617"/>
      <c r="F289" s="617"/>
      <c r="G289" s="617"/>
      <c r="H289" s="617"/>
      <c r="I289" s="617"/>
      <c r="J289" s="617"/>
      <c r="K289" s="617"/>
      <c r="L289" s="617"/>
      <c r="M289" s="617"/>
      <c r="N289" s="617"/>
      <c r="O289" s="617"/>
      <c r="P289" s="617"/>
      <c r="Q289" s="617"/>
      <c r="R289" s="617"/>
      <c r="S289" s="617"/>
      <c r="T289" s="617"/>
      <c r="U289" s="617"/>
      <c r="V289" s="617"/>
      <c r="W289" s="617"/>
      <c r="X289" s="617"/>
      <c r="Y289" s="617"/>
      <c r="Z289" s="617"/>
      <c r="AA289" s="600"/>
      <c r="AB289" s="600"/>
      <c r="AC289" s="600"/>
    </row>
    <row r="290" spans="1:68" ht="14.25" customHeight="1" x14ac:dyDescent="0.25">
      <c r="A290" s="616" t="s">
        <v>118</v>
      </c>
      <c r="B290" s="617"/>
      <c r="C290" s="617"/>
      <c r="D290" s="617"/>
      <c r="E290" s="617"/>
      <c r="F290" s="617"/>
      <c r="G290" s="617"/>
      <c r="H290" s="617"/>
      <c r="I290" s="617"/>
      <c r="J290" s="617"/>
      <c r="K290" s="617"/>
      <c r="L290" s="617"/>
      <c r="M290" s="617"/>
      <c r="N290" s="617"/>
      <c r="O290" s="617"/>
      <c r="P290" s="617"/>
      <c r="Q290" s="617"/>
      <c r="R290" s="617"/>
      <c r="S290" s="617"/>
      <c r="T290" s="617"/>
      <c r="U290" s="617"/>
      <c r="V290" s="617"/>
      <c r="W290" s="617"/>
      <c r="X290" s="617"/>
      <c r="Y290" s="617"/>
      <c r="Z290" s="617"/>
      <c r="AA290" s="599"/>
      <c r="AB290" s="599"/>
      <c r="AC290" s="599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x14ac:dyDescent="0.2">
      <c r="A298" s="628"/>
      <c r="B298" s="617"/>
      <c r="C298" s="617"/>
      <c r="D298" s="617"/>
      <c r="E298" s="617"/>
      <c r="F298" s="617"/>
      <c r="G298" s="617"/>
      <c r="H298" s="617"/>
      <c r="I298" s="617"/>
      <c r="J298" s="617"/>
      <c r="K298" s="617"/>
      <c r="L298" s="617"/>
      <c r="M298" s="617"/>
      <c r="N298" s="617"/>
      <c r="O298" s="629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x14ac:dyDescent="0.2">
      <c r="A299" s="617"/>
      <c r="B299" s="617"/>
      <c r="C299" s="617"/>
      <c r="D299" s="617"/>
      <c r="E299" s="617"/>
      <c r="F299" s="617"/>
      <c r="G299" s="617"/>
      <c r="H299" s="617"/>
      <c r="I299" s="617"/>
      <c r="J299" s="617"/>
      <c r="K299" s="617"/>
      <c r="L299" s="617"/>
      <c r="M299" s="617"/>
      <c r="N299" s="617"/>
      <c r="O299" s="629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customHeight="1" x14ac:dyDescent="0.25">
      <c r="A300" s="616" t="s">
        <v>155</v>
      </c>
      <c r="B300" s="617"/>
      <c r="C300" s="617"/>
      <c r="D300" s="617"/>
      <c r="E300" s="617"/>
      <c r="F300" s="617"/>
      <c r="G300" s="617"/>
      <c r="H300" s="617"/>
      <c r="I300" s="617"/>
      <c r="J300" s="617"/>
      <c r="K300" s="617"/>
      <c r="L300" s="617"/>
      <c r="M300" s="617"/>
      <c r="N300" s="617"/>
      <c r="O300" s="617"/>
      <c r="P300" s="617"/>
      <c r="Q300" s="617"/>
      <c r="R300" s="617"/>
      <c r="S300" s="617"/>
      <c r="T300" s="617"/>
      <c r="U300" s="617"/>
      <c r="V300" s="617"/>
      <c r="W300" s="617"/>
      <c r="X300" s="617"/>
      <c r="Y300" s="617"/>
      <c r="Z300" s="617"/>
      <c r="AA300" s="599"/>
      <c r="AB300" s="599"/>
      <c r="AC300" s="599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8"/>
      <c r="B302" s="617"/>
      <c r="C302" s="617"/>
      <c r="D302" s="617"/>
      <c r="E302" s="617"/>
      <c r="F302" s="617"/>
      <c r="G302" s="617"/>
      <c r="H302" s="617"/>
      <c r="I302" s="617"/>
      <c r="J302" s="617"/>
      <c r="K302" s="617"/>
      <c r="L302" s="617"/>
      <c r="M302" s="617"/>
      <c r="N302" s="617"/>
      <c r="O302" s="629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7"/>
      <c r="B303" s="617"/>
      <c r="C303" s="617"/>
      <c r="D303" s="617"/>
      <c r="E303" s="617"/>
      <c r="F303" s="617"/>
      <c r="G303" s="617"/>
      <c r="H303" s="617"/>
      <c r="I303" s="617"/>
      <c r="J303" s="617"/>
      <c r="K303" s="617"/>
      <c r="L303" s="617"/>
      <c r="M303" s="617"/>
      <c r="N303" s="617"/>
      <c r="O303" s="629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6" t="s">
        <v>504</v>
      </c>
      <c r="B304" s="617"/>
      <c r="C304" s="617"/>
      <c r="D304" s="617"/>
      <c r="E304" s="617"/>
      <c r="F304" s="617"/>
      <c r="G304" s="617"/>
      <c r="H304" s="617"/>
      <c r="I304" s="617"/>
      <c r="J304" s="617"/>
      <c r="K304" s="617"/>
      <c r="L304" s="617"/>
      <c r="M304" s="617"/>
      <c r="N304" s="617"/>
      <c r="O304" s="617"/>
      <c r="P304" s="617"/>
      <c r="Q304" s="617"/>
      <c r="R304" s="617"/>
      <c r="S304" s="617"/>
      <c r="T304" s="617"/>
      <c r="U304" s="617"/>
      <c r="V304" s="617"/>
      <c r="W304" s="617"/>
      <c r="X304" s="617"/>
      <c r="Y304" s="617"/>
      <c r="Z304" s="617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8"/>
      <c r="B306" s="617"/>
      <c r="C306" s="617"/>
      <c r="D306" s="617"/>
      <c r="E306" s="617"/>
      <c r="F306" s="617"/>
      <c r="G306" s="617"/>
      <c r="H306" s="617"/>
      <c r="I306" s="617"/>
      <c r="J306" s="617"/>
      <c r="K306" s="617"/>
      <c r="L306" s="617"/>
      <c r="M306" s="617"/>
      <c r="N306" s="617"/>
      <c r="O306" s="629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x14ac:dyDescent="0.2">
      <c r="A307" s="617"/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29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customHeight="1" x14ac:dyDescent="0.25">
      <c r="A308" s="616" t="s">
        <v>321</v>
      </c>
      <c r="B308" s="617"/>
      <c r="C308" s="617"/>
      <c r="D308" s="617"/>
      <c r="E308" s="617"/>
      <c r="F308" s="617"/>
      <c r="G308" s="617"/>
      <c r="H308" s="617"/>
      <c r="I308" s="617"/>
      <c r="J308" s="617"/>
      <c r="K308" s="617"/>
      <c r="L308" s="617"/>
      <c r="M308" s="617"/>
      <c r="N308" s="617"/>
      <c r="O308" s="617"/>
      <c r="P308" s="617"/>
      <c r="Q308" s="617"/>
      <c r="R308" s="617"/>
      <c r="S308" s="617"/>
      <c r="T308" s="617"/>
      <c r="U308" s="617"/>
      <c r="V308" s="617"/>
      <c r="W308" s="617"/>
      <c r="X308" s="617"/>
      <c r="Y308" s="617"/>
      <c r="Z308" s="617"/>
      <c r="AA308" s="599"/>
      <c r="AB308" s="599"/>
      <c r="AC308" s="599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8"/>
      <c r="B312" s="617"/>
      <c r="C312" s="617"/>
      <c r="D312" s="617"/>
      <c r="E312" s="617"/>
      <c r="F312" s="617"/>
      <c r="G312" s="617"/>
      <c r="H312" s="617"/>
      <c r="I312" s="617"/>
      <c r="J312" s="617"/>
      <c r="K312" s="617"/>
      <c r="L312" s="617"/>
      <c r="M312" s="617"/>
      <c r="N312" s="617"/>
      <c r="O312" s="629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x14ac:dyDescent="0.2">
      <c r="A313" s="617"/>
      <c r="B313" s="617"/>
      <c r="C313" s="617"/>
      <c r="D313" s="617"/>
      <c r="E313" s="617"/>
      <c r="F313" s="617"/>
      <c r="G313" s="617"/>
      <c r="H313" s="617"/>
      <c r="I313" s="617"/>
      <c r="J313" s="617"/>
      <c r="K313" s="617"/>
      <c r="L313" s="617"/>
      <c r="M313" s="617"/>
      <c r="N313" s="617"/>
      <c r="O313" s="629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customHeight="1" x14ac:dyDescent="0.25">
      <c r="A314" s="626" t="s">
        <v>515</v>
      </c>
      <c r="B314" s="617"/>
      <c r="C314" s="617"/>
      <c r="D314" s="617"/>
      <c r="E314" s="617"/>
      <c r="F314" s="617"/>
      <c r="G314" s="617"/>
      <c r="H314" s="617"/>
      <c r="I314" s="617"/>
      <c r="J314" s="617"/>
      <c r="K314" s="617"/>
      <c r="L314" s="617"/>
      <c r="M314" s="617"/>
      <c r="N314" s="617"/>
      <c r="O314" s="617"/>
      <c r="P314" s="617"/>
      <c r="Q314" s="617"/>
      <c r="R314" s="617"/>
      <c r="S314" s="617"/>
      <c r="T314" s="617"/>
      <c r="U314" s="617"/>
      <c r="V314" s="617"/>
      <c r="W314" s="617"/>
      <c r="X314" s="617"/>
      <c r="Y314" s="617"/>
      <c r="Z314" s="617"/>
      <c r="AA314" s="600"/>
      <c r="AB314" s="600"/>
      <c r="AC314" s="600"/>
    </row>
    <row r="315" spans="1:68" ht="14.25" customHeight="1" x14ac:dyDescent="0.25">
      <c r="A315" s="616" t="s">
        <v>118</v>
      </c>
      <c r="B315" s="617"/>
      <c r="C315" s="617"/>
      <c r="D315" s="617"/>
      <c r="E315" s="617"/>
      <c r="F315" s="617"/>
      <c r="G315" s="617"/>
      <c r="H315" s="617"/>
      <c r="I315" s="617"/>
      <c r="J315" s="617"/>
      <c r="K315" s="617"/>
      <c r="L315" s="617"/>
      <c r="M315" s="617"/>
      <c r="N315" s="617"/>
      <c r="O315" s="617"/>
      <c r="P315" s="617"/>
      <c r="Q315" s="617"/>
      <c r="R315" s="617"/>
      <c r="S315" s="617"/>
      <c r="T315" s="617"/>
      <c r="U315" s="617"/>
      <c r="V315" s="617"/>
      <c r="W315" s="617"/>
      <c r="X315" s="617"/>
      <c r="Y315" s="617"/>
      <c r="Z315" s="617"/>
      <c r="AA315" s="599"/>
      <c r="AB315" s="599"/>
      <c r="AC315" s="599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6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8"/>
      <c r="B321" s="617"/>
      <c r="C321" s="617"/>
      <c r="D321" s="617"/>
      <c r="E321" s="617"/>
      <c r="F321" s="617"/>
      <c r="G321" s="617"/>
      <c r="H321" s="617"/>
      <c r="I321" s="617"/>
      <c r="J321" s="617"/>
      <c r="K321" s="617"/>
      <c r="L321" s="617"/>
      <c r="M321" s="617"/>
      <c r="N321" s="617"/>
      <c r="O321" s="629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x14ac:dyDescent="0.2">
      <c r="A322" s="617"/>
      <c r="B322" s="617"/>
      <c r="C322" s="617"/>
      <c r="D322" s="617"/>
      <c r="E322" s="617"/>
      <c r="F322" s="617"/>
      <c r="G322" s="617"/>
      <c r="H322" s="617"/>
      <c r="I322" s="617"/>
      <c r="J322" s="617"/>
      <c r="K322" s="617"/>
      <c r="L322" s="617"/>
      <c r="M322" s="617"/>
      <c r="N322" s="617"/>
      <c r="O322" s="629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customHeight="1" x14ac:dyDescent="0.25">
      <c r="A323" s="626" t="s">
        <v>531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00"/>
      <c r="AB323" s="600"/>
      <c r="AC323" s="600"/>
    </row>
    <row r="324" spans="1:68" ht="14.25" customHeight="1" x14ac:dyDescent="0.25">
      <c r="A324" s="616" t="s">
        <v>74</v>
      </c>
      <c r="B324" s="617"/>
      <c r="C324" s="617"/>
      <c r="D324" s="617"/>
      <c r="E324" s="617"/>
      <c r="F324" s="617"/>
      <c r="G324" s="617"/>
      <c r="H324" s="617"/>
      <c r="I324" s="617"/>
      <c r="J324" s="617"/>
      <c r="K324" s="617"/>
      <c r="L324" s="617"/>
      <c r="M324" s="617"/>
      <c r="N324" s="617"/>
      <c r="O324" s="617"/>
      <c r="P324" s="617"/>
      <c r="Q324" s="617"/>
      <c r="R324" s="617"/>
      <c r="S324" s="617"/>
      <c r="T324" s="617"/>
      <c r="U324" s="617"/>
      <c r="V324" s="617"/>
      <c r="W324" s="617"/>
      <c r="X324" s="617"/>
      <c r="Y324" s="617"/>
      <c r="Z324" s="617"/>
      <c r="AA324" s="599"/>
      <c r="AB324" s="599"/>
      <c r="AC324" s="599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0</v>
      </c>
      <c r="Y327" s="60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28"/>
      <c r="B328" s="617"/>
      <c r="C328" s="617"/>
      <c r="D328" s="617"/>
      <c r="E328" s="617"/>
      <c r="F328" s="617"/>
      <c r="G328" s="617"/>
      <c r="H328" s="617"/>
      <c r="I328" s="617"/>
      <c r="J328" s="617"/>
      <c r="K328" s="617"/>
      <c r="L328" s="617"/>
      <c r="M328" s="617"/>
      <c r="N328" s="617"/>
      <c r="O328" s="629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0</v>
      </c>
      <c r="Y328" s="607">
        <f>IFERROR(Y325/H325,"0")+IFERROR(Y326/H326,"0")+IFERROR(Y327/H327,"0")</f>
        <v>0</v>
      </c>
      <c r="Z328" s="607">
        <f>IFERROR(IF(Z325="",0,Z325),"0")+IFERROR(IF(Z326="",0,Z326),"0")+IFERROR(IF(Z327="",0,Z327),"0")</f>
        <v>0</v>
      </c>
      <c r="AA328" s="608"/>
      <c r="AB328" s="608"/>
      <c r="AC328" s="608"/>
    </row>
    <row r="329" spans="1:68" x14ac:dyDescent="0.2">
      <c r="A329" s="617"/>
      <c r="B329" s="617"/>
      <c r="C329" s="617"/>
      <c r="D329" s="617"/>
      <c r="E329" s="617"/>
      <c r="F329" s="617"/>
      <c r="G329" s="617"/>
      <c r="H329" s="617"/>
      <c r="I329" s="617"/>
      <c r="J329" s="617"/>
      <c r="K329" s="617"/>
      <c r="L329" s="617"/>
      <c r="M329" s="617"/>
      <c r="N329" s="617"/>
      <c r="O329" s="629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0</v>
      </c>
      <c r="Y329" s="607">
        <f>IFERROR(SUM(Y325:Y327),"0")</f>
        <v>0</v>
      </c>
      <c r="Z329" s="37"/>
      <c r="AA329" s="608"/>
      <c r="AB329" s="608"/>
      <c r="AC329" s="608"/>
    </row>
    <row r="330" spans="1:68" ht="16.5" customHeight="1" x14ac:dyDescent="0.25">
      <c r="A330" s="626" t="s">
        <v>540</v>
      </c>
      <c r="B330" s="617"/>
      <c r="C330" s="617"/>
      <c r="D330" s="617"/>
      <c r="E330" s="617"/>
      <c r="F330" s="617"/>
      <c r="G330" s="617"/>
      <c r="H330" s="617"/>
      <c r="I330" s="617"/>
      <c r="J330" s="617"/>
      <c r="K330" s="617"/>
      <c r="L330" s="617"/>
      <c r="M330" s="617"/>
      <c r="N330" s="617"/>
      <c r="O330" s="617"/>
      <c r="P330" s="617"/>
      <c r="Q330" s="617"/>
      <c r="R330" s="617"/>
      <c r="S330" s="617"/>
      <c r="T330" s="617"/>
      <c r="U330" s="617"/>
      <c r="V330" s="617"/>
      <c r="W330" s="617"/>
      <c r="X330" s="617"/>
      <c r="Y330" s="617"/>
      <c r="Z330" s="617"/>
      <c r="AA330" s="600"/>
      <c r="AB330" s="600"/>
      <c r="AC330" s="600"/>
    </row>
    <row r="331" spans="1:68" ht="14.25" customHeight="1" x14ac:dyDescent="0.25">
      <c r="A331" s="616" t="s">
        <v>62</v>
      </c>
      <c r="B331" s="617"/>
      <c r="C331" s="617"/>
      <c r="D331" s="617"/>
      <c r="E331" s="617"/>
      <c r="F331" s="617"/>
      <c r="G331" s="617"/>
      <c r="H331" s="617"/>
      <c r="I331" s="617"/>
      <c r="J331" s="617"/>
      <c r="K331" s="617"/>
      <c r="L331" s="617"/>
      <c r="M331" s="617"/>
      <c r="N331" s="617"/>
      <c r="O331" s="617"/>
      <c r="P331" s="617"/>
      <c r="Q331" s="617"/>
      <c r="R331" s="617"/>
      <c r="S331" s="617"/>
      <c r="T331" s="617"/>
      <c r="U331" s="617"/>
      <c r="V331" s="617"/>
      <c r="W331" s="617"/>
      <c r="X331" s="617"/>
      <c r="Y331" s="617"/>
      <c r="Z331" s="617"/>
      <c r="AA331" s="599"/>
      <c r="AB331" s="599"/>
      <c r="AC331" s="599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8"/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29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7"/>
      <c r="B338" s="617"/>
      <c r="C338" s="617"/>
      <c r="D338" s="617"/>
      <c r="E338" s="617"/>
      <c r="F338" s="617"/>
      <c r="G338" s="617"/>
      <c r="H338" s="617"/>
      <c r="I338" s="617"/>
      <c r="J338" s="617"/>
      <c r="K338" s="617"/>
      <c r="L338" s="617"/>
      <c r="M338" s="617"/>
      <c r="N338" s="617"/>
      <c r="O338" s="629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6" t="s">
        <v>74</v>
      </c>
      <c r="B339" s="617"/>
      <c r="C339" s="617"/>
      <c r="D339" s="617"/>
      <c r="E339" s="617"/>
      <c r="F339" s="617"/>
      <c r="G339" s="617"/>
      <c r="H339" s="617"/>
      <c r="I339" s="617"/>
      <c r="J339" s="617"/>
      <c r="K339" s="617"/>
      <c r="L339" s="617"/>
      <c r="M339" s="617"/>
      <c r="N339" s="617"/>
      <c r="O339" s="617"/>
      <c r="P339" s="617"/>
      <c r="Q339" s="617"/>
      <c r="R339" s="617"/>
      <c r="S339" s="617"/>
      <c r="T339" s="617"/>
      <c r="U339" s="617"/>
      <c r="V339" s="617"/>
      <c r="W339" s="617"/>
      <c r="X339" s="617"/>
      <c r="Y339" s="617"/>
      <c r="Z339" s="617"/>
      <c r="AA339" s="599"/>
      <c r="AB339" s="599"/>
      <c r="AC339" s="599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8"/>
      <c r="B342" s="617"/>
      <c r="C342" s="617"/>
      <c r="D342" s="617"/>
      <c r="E342" s="617"/>
      <c r="F342" s="617"/>
      <c r="G342" s="617"/>
      <c r="H342" s="617"/>
      <c r="I342" s="617"/>
      <c r="J342" s="617"/>
      <c r="K342" s="617"/>
      <c r="L342" s="617"/>
      <c r="M342" s="617"/>
      <c r="N342" s="617"/>
      <c r="O342" s="629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7"/>
      <c r="B343" s="617"/>
      <c r="C343" s="617"/>
      <c r="D343" s="617"/>
      <c r="E343" s="617"/>
      <c r="F343" s="617"/>
      <c r="G343" s="617"/>
      <c r="H343" s="617"/>
      <c r="I343" s="617"/>
      <c r="J343" s="617"/>
      <c r="K343" s="617"/>
      <c r="L343" s="617"/>
      <c r="M343" s="617"/>
      <c r="N343" s="617"/>
      <c r="O343" s="629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26" t="s">
        <v>561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00"/>
      <c r="AB344" s="600"/>
      <c r="AC344" s="600"/>
    </row>
    <row r="345" spans="1:68" ht="14.25" customHeight="1" x14ac:dyDescent="0.25">
      <c r="A345" s="616" t="s">
        <v>118</v>
      </c>
      <c r="B345" s="617"/>
      <c r="C345" s="617"/>
      <c r="D345" s="617"/>
      <c r="E345" s="617"/>
      <c r="F345" s="617"/>
      <c r="G345" s="617"/>
      <c r="H345" s="617"/>
      <c r="I345" s="617"/>
      <c r="J345" s="617"/>
      <c r="K345" s="617"/>
      <c r="L345" s="617"/>
      <c r="M345" s="617"/>
      <c r="N345" s="617"/>
      <c r="O345" s="617"/>
      <c r="P345" s="617"/>
      <c r="Q345" s="617"/>
      <c r="R345" s="617"/>
      <c r="S345" s="617"/>
      <c r="T345" s="617"/>
      <c r="U345" s="617"/>
      <c r="V345" s="617"/>
      <c r="W345" s="617"/>
      <c r="X345" s="617"/>
      <c r="Y345" s="617"/>
      <c r="Z345" s="617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0</v>
      </c>
      <c r="Y347" s="60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8"/>
      <c r="B349" s="617"/>
      <c r="C349" s="617"/>
      <c r="D349" s="617"/>
      <c r="E349" s="617"/>
      <c r="F349" s="617"/>
      <c r="G349" s="617"/>
      <c r="H349" s="617"/>
      <c r="I349" s="617"/>
      <c r="J349" s="617"/>
      <c r="K349" s="617"/>
      <c r="L349" s="617"/>
      <c r="M349" s="617"/>
      <c r="N349" s="617"/>
      <c r="O349" s="629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0</v>
      </c>
      <c r="Y349" s="607">
        <f>IFERROR(Y346/H346,"0")+IFERROR(Y347/H347,"0")+IFERROR(Y348/H348,"0")</f>
        <v>0</v>
      </c>
      <c r="Z349" s="607">
        <f>IFERROR(IF(Z346="",0,Z346),"0")+IFERROR(IF(Z347="",0,Z347),"0")+IFERROR(IF(Z348="",0,Z348),"0")</f>
        <v>0</v>
      </c>
      <c r="AA349" s="608"/>
      <c r="AB349" s="608"/>
      <c r="AC349" s="608"/>
    </row>
    <row r="350" spans="1:68" x14ac:dyDescent="0.2">
      <c r="A350" s="617"/>
      <c r="B350" s="617"/>
      <c r="C350" s="617"/>
      <c r="D350" s="617"/>
      <c r="E350" s="617"/>
      <c r="F350" s="617"/>
      <c r="G350" s="617"/>
      <c r="H350" s="617"/>
      <c r="I350" s="617"/>
      <c r="J350" s="617"/>
      <c r="K350" s="617"/>
      <c r="L350" s="617"/>
      <c r="M350" s="617"/>
      <c r="N350" s="617"/>
      <c r="O350" s="629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0</v>
      </c>
      <c r="Y350" s="607">
        <f>IFERROR(SUM(Y346:Y348),"0")</f>
        <v>0</v>
      </c>
      <c r="Z350" s="37"/>
      <c r="AA350" s="608"/>
      <c r="AB350" s="608"/>
      <c r="AC350" s="608"/>
    </row>
    <row r="351" spans="1:68" ht="16.5" customHeight="1" x14ac:dyDescent="0.25">
      <c r="A351" s="626" t="s">
        <v>570</v>
      </c>
      <c r="B351" s="617"/>
      <c r="C351" s="617"/>
      <c r="D351" s="617"/>
      <c r="E351" s="617"/>
      <c r="F351" s="617"/>
      <c r="G351" s="617"/>
      <c r="H351" s="617"/>
      <c r="I351" s="617"/>
      <c r="J351" s="617"/>
      <c r="K351" s="617"/>
      <c r="L351" s="617"/>
      <c r="M351" s="617"/>
      <c r="N351" s="617"/>
      <c r="O351" s="617"/>
      <c r="P351" s="617"/>
      <c r="Q351" s="617"/>
      <c r="R351" s="617"/>
      <c r="S351" s="617"/>
      <c r="T351" s="617"/>
      <c r="U351" s="617"/>
      <c r="V351" s="617"/>
      <c r="W351" s="617"/>
      <c r="X351" s="617"/>
      <c r="Y351" s="617"/>
      <c r="Z351" s="617"/>
      <c r="AA351" s="600"/>
      <c r="AB351" s="600"/>
      <c r="AC351" s="600"/>
    </row>
    <row r="352" spans="1:68" ht="14.25" customHeight="1" x14ac:dyDescent="0.25">
      <c r="A352" s="616" t="s">
        <v>118</v>
      </c>
      <c r="B352" s="617"/>
      <c r="C352" s="617"/>
      <c r="D352" s="617"/>
      <c r="E352" s="617"/>
      <c r="F352" s="617"/>
      <c r="G352" s="617"/>
      <c r="H352" s="617"/>
      <c r="I352" s="617"/>
      <c r="J352" s="617"/>
      <c r="K352" s="617"/>
      <c r="L352" s="617"/>
      <c r="M352" s="617"/>
      <c r="N352" s="617"/>
      <c r="O352" s="617"/>
      <c r="P352" s="617"/>
      <c r="Q352" s="617"/>
      <c r="R352" s="617"/>
      <c r="S352" s="617"/>
      <c r="T352" s="617"/>
      <c r="U352" s="617"/>
      <c r="V352" s="617"/>
      <c r="W352" s="617"/>
      <c r="X352" s="617"/>
      <c r="Y352" s="617"/>
      <c r="Z352" s="617"/>
      <c r="AA352" s="599"/>
      <c r="AB352" s="599"/>
      <c r="AC352" s="599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78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8"/>
      <c r="B358" s="617"/>
      <c r="C358" s="617"/>
      <c r="D358" s="617"/>
      <c r="E358" s="617"/>
      <c r="F358" s="617"/>
      <c r="G358" s="617"/>
      <c r="H358" s="617"/>
      <c r="I358" s="617"/>
      <c r="J358" s="617"/>
      <c r="K358" s="617"/>
      <c r="L358" s="617"/>
      <c r="M358" s="617"/>
      <c r="N358" s="617"/>
      <c r="O358" s="629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x14ac:dyDescent="0.2">
      <c r="A359" s="617"/>
      <c r="B359" s="617"/>
      <c r="C359" s="617"/>
      <c r="D359" s="617"/>
      <c r="E359" s="617"/>
      <c r="F359" s="617"/>
      <c r="G359" s="617"/>
      <c r="H359" s="617"/>
      <c r="I359" s="617"/>
      <c r="J359" s="617"/>
      <c r="K359" s="617"/>
      <c r="L359" s="617"/>
      <c r="M359" s="617"/>
      <c r="N359" s="617"/>
      <c r="O359" s="629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customHeight="1" x14ac:dyDescent="0.25">
      <c r="A360" s="616" t="s">
        <v>62</v>
      </c>
      <c r="B360" s="617"/>
      <c r="C360" s="617"/>
      <c r="D360" s="617"/>
      <c r="E360" s="617"/>
      <c r="F360" s="617"/>
      <c r="G360" s="617"/>
      <c r="H360" s="617"/>
      <c r="I360" s="617"/>
      <c r="J360" s="617"/>
      <c r="K360" s="617"/>
      <c r="L360" s="617"/>
      <c r="M360" s="617"/>
      <c r="N360" s="617"/>
      <c r="O360" s="617"/>
      <c r="P360" s="617"/>
      <c r="Q360" s="617"/>
      <c r="R360" s="617"/>
      <c r="S360" s="617"/>
      <c r="T360" s="617"/>
      <c r="U360" s="617"/>
      <c r="V360" s="617"/>
      <c r="W360" s="617"/>
      <c r="X360" s="617"/>
      <c r="Y360" s="617"/>
      <c r="Z360" s="617"/>
      <c r="AA360" s="599"/>
      <c r="AB360" s="599"/>
      <c r="AC360" s="599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0</v>
      </c>
      <c r="Y367" s="606">
        <f t="shared" si="47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0</v>
      </c>
      <c r="BN367" s="64">
        <f t="shared" si="49"/>
        <v>0</v>
      </c>
      <c r="BO367" s="64">
        <f t="shared" si="50"/>
        <v>0</v>
      </c>
      <c r="BP367" s="64">
        <f t="shared" si="51"/>
        <v>0</v>
      </c>
    </row>
    <row r="368" spans="1:68" x14ac:dyDescent="0.2">
      <c r="A368" s="628"/>
      <c r="B368" s="617"/>
      <c r="C368" s="617"/>
      <c r="D368" s="617"/>
      <c r="E368" s="617"/>
      <c r="F368" s="617"/>
      <c r="G368" s="617"/>
      <c r="H368" s="617"/>
      <c r="I368" s="617"/>
      <c r="J368" s="617"/>
      <c r="K368" s="617"/>
      <c r="L368" s="617"/>
      <c r="M368" s="617"/>
      <c r="N368" s="617"/>
      <c r="O368" s="629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x14ac:dyDescent="0.2">
      <c r="A369" s="617"/>
      <c r="B369" s="617"/>
      <c r="C369" s="617"/>
      <c r="D369" s="617"/>
      <c r="E369" s="617"/>
      <c r="F369" s="617"/>
      <c r="G369" s="617"/>
      <c r="H369" s="617"/>
      <c r="I369" s="617"/>
      <c r="J369" s="617"/>
      <c r="K369" s="617"/>
      <c r="L369" s="617"/>
      <c r="M369" s="617"/>
      <c r="N369" s="617"/>
      <c r="O369" s="629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customHeight="1" x14ac:dyDescent="0.25">
      <c r="A370" s="616" t="s">
        <v>74</v>
      </c>
      <c r="B370" s="617"/>
      <c r="C370" s="617"/>
      <c r="D370" s="617"/>
      <c r="E370" s="617"/>
      <c r="F370" s="617"/>
      <c r="G370" s="617"/>
      <c r="H370" s="617"/>
      <c r="I370" s="617"/>
      <c r="J370" s="617"/>
      <c r="K370" s="617"/>
      <c r="L370" s="617"/>
      <c r="M370" s="617"/>
      <c r="N370" s="617"/>
      <c r="O370" s="617"/>
      <c r="P370" s="617"/>
      <c r="Q370" s="617"/>
      <c r="R370" s="617"/>
      <c r="S370" s="617"/>
      <c r="T370" s="617"/>
      <c r="U370" s="617"/>
      <c r="V370" s="617"/>
      <c r="W370" s="617"/>
      <c r="X370" s="617"/>
      <c r="Y370" s="617"/>
      <c r="Z370" s="617"/>
      <c r="AA370" s="599"/>
      <c r="AB370" s="599"/>
      <c r="AC370" s="599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8"/>
      <c r="B375" s="617"/>
      <c r="C375" s="617"/>
      <c r="D375" s="617"/>
      <c r="E375" s="617"/>
      <c r="F375" s="617"/>
      <c r="G375" s="617"/>
      <c r="H375" s="617"/>
      <c r="I375" s="617"/>
      <c r="J375" s="617"/>
      <c r="K375" s="617"/>
      <c r="L375" s="617"/>
      <c r="M375" s="617"/>
      <c r="N375" s="617"/>
      <c r="O375" s="629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x14ac:dyDescent="0.2">
      <c r="A376" s="617"/>
      <c r="B376" s="617"/>
      <c r="C376" s="617"/>
      <c r="D376" s="617"/>
      <c r="E376" s="617"/>
      <c r="F376" s="617"/>
      <c r="G376" s="617"/>
      <c r="H376" s="617"/>
      <c r="I376" s="617"/>
      <c r="J376" s="617"/>
      <c r="K376" s="617"/>
      <c r="L376" s="617"/>
      <c r="M376" s="617"/>
      <c r="N376" s="617"/>
      <c r="O376" s="629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customHeight="1" x14ac:dyDescent="0.25">
      <c r="A377" s="616" t="s">
        <v>172</v>
      </c>
      <c r="B377" s="617"/>
      <c r="C377" s="617"/>
      <c r="D377" s="617"/>
      <c r="E377" s="617"/>
      <c r="F377" s="617"/>
      <c r="G377" s="617"/>
      <c r="H377" s="617"/>
      <c r="I377" s="617"/>
      <c r="J377" s="617"/>
      <c r="K377" s="617"/>
      <c r="L377" s="617"/>
      <c r="M377" s="617"/>
      <c r="N377" s="617"/>
      <c r="O377" s="617"/>
      <c r="P377" s="617"/>
      <c r="Q377" s="617"/>
      <c r="R377" s="617"/>
      <c r="S377" s="617"/>
      <c r="T377" s="617"/>
      <c r="U377" s="617"/>
      <c r="V377" s="617"/>
      <c r="W377" s="617"/>
      <c r="X377" s="617"/>
      <c r="Y377" s="617"/>
      <c r="Z377" s="617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1000</v>
      </c>
      <c r="Y379" s="606">
        <f>IFERROR(IF(X379="",0,CEILING((X379/$H379),1)*$H379),"")</f>
        <v>1006.1999999999999</v>
      </c>
      <c r="Z379" s="36">
        <f>IFERROR(IF(Y379=0,"",ROUNDUP(Y379/H379,0)*0.01898),"")</f>
        <v>2.44842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1063.3333333333333</v>
      </c>
      <c r="BN379" s="64">
        <f>IFERROR(Y379*I379/H379,"0")</f>
        <v>1069.9260000000002</v>
      </c>
      <c r="BO379" s="64">
        <f>IFERROR(1/J379*(X379/H379),"0")</f>
        <v>2.0032051282051282</v>
      </c>
      <c r="BP379" s="64">
        <f>IFERROR(1/J379*(Y379/H379),"0")</f>
        <v>2.015625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8"/>
      <c r="B381" s="617"/>
      <c r="C381" s="617"/>
      <c r="D381" s="617"/>
      <c r="E381" s="617"/>
      <c r="F381" s="617"/>
      <c r="G381" s="617"/>
      <c r="H381" s="617"/>
      <c r="I381" s="617"/>
      <c r="J381" s="617"/>
      <c r="K381" s="617"/>
      <c r="L381" s="617"/>
      <c r="M381" s="617"/>
      <c r="N381" s="617"/>
      <c r="O381" s="629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128.2051282051282</v>
      </c>
      <c r="Y381" s="607">
        <f>IFERROR(Y378/H378,"0")+IFERROR(Y379/H379,"0")+IFERROR(Y380/H380,"0")</f>
        <v>129</v>
      </c>
      <c r="Z381" s="607">
        <f>IFERROR(IF(Z378="",0,Z378),"0")+IFERROR(IF(Z379="",0,Z379),"0")+IFERROR(IF(Z380="",0,Z380),"0")</f>
        <v>2.44842</v>
      </c>
      <c r="AA381" s="608"/>
      <c r="AB381" s="608"/>
      <c r="AC381" s="608"/>
    </row>
    <row r="382" spans="1:68" x14ac:dyDescent="0.2">
      <c r="A382" s="617"/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29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1000</v>
      </c>
      <c r="Y382" s="607">
        <f>IFERROR(SUM(Y378:Y380),"0")</f>
        <v>1006.1999999999999</v>
      </c>
      <c r="Z382" s="37"/>
      <c r="AA382" s="608"/>
      <c r="AB382" s="608"/>
      <c r="AC382" s="608"/>
    </row>
    <row r="383" spans="1:68" ht="14.25" customHeight="1" x14ac:dyDescent="0.25">
      <c r="A383" s="616" t="s">
        <v>92</v>
      </c>
      <c r="B383" s="617"/>
      <c r="C383" s="617"/>
      <c r="D383" s="617"/>
      <c r="E383" s="617"/>
      <c r="F383" s="617"/>
      <c r="G383" s="617"/>
      <c r="H383" s="617"/>
      <c r="I383" s="617"/>
      <c r="J383" s="617"/>
      <c r="K383" s="617"/>
      <c r="L383" s="617"/>
      <c r="M383" s="617"/>
      <c r="N383" s="617"/>
      <c r="O383" s="617"/>
      <c r="P383" s="617"/>
      <c r="Q383" s="617"/>
      <c r="R383" s="617"/>
      <c r="S383" s="617"/>
      <c r="T383" s="617"/>
      <c r="U383" s="617"/>
      <c r="V383" s="617"/>
      <c r="W383" s="617"/>
      <c r="X383" s="617"/>
      <c r="Y383" s="617"/>
      <c r="Z383" s="617"/>
      <c r="AA383" s="599"/>
      <c r="AB383" s="599"/>
      <c r="AC383" s="599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28"/>
      <c r="B388" s="617"/>
      <c r="C388" s="617"/>
      <c r="D388" s="617"/>
      <c r="E388" s="617"/>
      <c r="F388" s="617"/>
      <c r="G388" s="617"/>
      <c r="H388" s="617"/>
      <c r="I388" s="617"/>
      <c r="J388" s="617"/>
      <c r="K388" s="617"/>
      <c r="L388" s="617"/>
      <c r="M388" s="617"/>
      <c r="N388" s="617"/>
      <c r="O388" s="629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0</v>
      </c>
      <c r="Y388" s="607">
        <f>IFERROR(Y384/H384,"0")+IFERROR(Y385/H385,"0")+IFERROR(Y386/H386,"0")+IFERROR(Y387/H387,"0")</f>
        <v>0</v>
      </c>
      <c r="Z388" s="607">
        <f>IFERROR(IF(Z384="",0,Z384),"0")+IFERROR(IF(Z385="",0,Z385),"0")+IFERROR(IF(Z386="",0,Z386),"0")+IFERROR(IF(Z387="",0,Z387),"0")</f>
        <v>0</v>
      </c>
      <c r="AA388" s="608"/>
      <c r="AB388" s="608"/>
      <c r="AC388" s="608"/>
    </row>
    <row r="389" spans="1:68" x14ac:dyDescent="0.2">
      <c r="A389" s="617"/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29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0</v>
      </c>
      <c r="Y389" s="607">
        <f>IFERROR(SUM(Y384:Y387),"0")</f>
        <v>0</v>
      </c>
      <c r="Z389" s="37"/>
      <c r="AA389" s="608"/>
      <c r="AB389" s="608"/>
      <c r="AC389" s="608"/>
    </row>
    <row r="390" spans="1:68" ht="14.25" customHeight="1" x14ac:dyDescent="0.25">
      <c r="A390" s="616" t="s">
        <v>633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599"/>
      <c r="AB390" s="599"/>
      <c r="AC390" s="599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8"/>
      <c r="B394" s="617"/>
      <c r="C394" s="617"/>
      <c r="D394" s="617"/>
      <c r="E394" s="617"/>
      <c r="F394" s="617"/>
      <c r="G394" s="617"/>
      <c r="H394" s="617"/>
      <c r="I394" s="617"/>
      <c r="J394" s="617"/>
      <c r="K394" s="617"/>
      <c r="L394" s="617"/>
      <c r="M394" s="617"/>
      <c r="N394" s="617"/>
      <c r="O394" s="629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x14ac:dyDescent="0.2">
      <c r="A395" s="617"/>
      <c r="B395" s="617"/>
      <c r="C395" s="617"/>
      <c r="D395" s="617"/>
      <c r="E395" s="617"/>
      <c r="F395" s="617"/>
      <c r="G395" s="617"/>
      <c r="H395" s="617"/>
      <c r="I395" s="617"/>
      <c r="J395" s="617"/>
      <c r="K395" s="617"/>
      <c r="L395" s="617"/>
      <c r="M395" s="617"/>
      <c r="N395" s="617"/>
      <c r="O395" s="629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customHeight="1" x14ac:dyDescent="0.25">
      <c r="A396" s="626" t="s">
        <v>642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600"/>
      <c r="AB396" s="600"/>
      <c r="AC396" s="600"/>
    </row>
    <row r="397" spans="1:68" ht="14.25" customHeight="1" x14ac:dyDescent="0.25">
      <c r="A397" s="616" t="s">
        <v>74</v>
      </c>
      <c r="B397" s="617"/>
      <c r="C397" s="617"/>
      <c r="D397" s="617"/>
      <c r="E397" s="617"/>
      <c r="F397" s="617"/>
      <c r="G397" s="617"/>
      <c r="H397" s="617"/>
      <c r="I397" s="617"/>
      <c r="J397" s="617"/>
      <c r="K397" s="617"/>
      <c r="L397" s="617"/>
      <c r="M397" s="617"/>
      <c r="N397" s="617"/>
      <c r="O397" s="617"/>
      <c r="P397" s="617"/>
      <c r="Q397" s="617"/>
      <c r="R397" s="617"/>
      <c r="S397" s="617"/>
      <c r="T397" s="617"/>
      <c r="U397" s="617"/>
      <c r="V397" s="617"/>
      <c r="W397" s="617"/>
      <c r="X397" s="617"/>
      <c r="Y397" s="617"/>
      <c r="Z397" s="617"/>
      <c r="AA397" s="599"/>
      <c r="AB397" s="599"/>
      <c r="AC397" s="599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28"/>
      <c r="B401" s="617"/>
      <c r="C401" s="617"/>
      <c r="D401" s="617"/>
      <c r="E401" s="617"/>
      <c r="F401" s="617"/>
      <c r="G401" s="617"/>
      <c r="H401" s="617"/>
      <c r="I401" s="617"/>
      <c r="J401" s="617"/>
      <c r="K401" s="617"/>
      <c r="L401" s="617"/>
      <c r="M401" s="617"/>
      <c r="N401" s="617"/>
      <c r="O401" s="629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x14ac:dyDescent="0.2">
      <c r="A402" s="617"/>
      <c r="B402" s="617"/>
      <c r="C402" s="617"/>
      <c r="D402" s="617"/>
      <c r="E402" s="617"/>
      <c r="F402" s="617"/>
      <c r="G402" s="617"/>
      <c r="H402" s="617"/>
      <c r="I402" s="617"/>
      <c r="J402" s="617"/>
      <c r="K402" s="617"/>
      <c r="L402" s="617"/>
      <c r="M402" s="617"/>
      <c r="N402" s="617"/>
      <c r="O402" s="629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customHeight="1" x14ac:dyDescent="0.2">
      <c r="A403" s="667" t="s">
        <v>652</v>
      </c>
      <c r="B403" s="668"/>
      <c r="C403" s="668"/>
      <c r="D403" s="668"/>
      <c r="E403" s="668"/>
      <c r="F403" s="668"/>
      <c r="G403" s="668"/>
      <c r="H403" s="668"/>
      <c r="I403" s="668"/>
      <c r="J403" s="668"/>
      <c r="K403" s="668"/>
      <c r="L403" s="668"/>
      <c r="M403" s="668"/>
      <c r="N403" s="668"/>
      <c r="O403" s="668"/>
      <c r="P403" s="668"/>
      <c r="Q403" s="668"/>
      <c r="R403" s="668"/>
      <c r="S403" s="668"/>
      <c r="T403" s="668"/>
      <c r="U403" s="668"/>
      <c r="V403" s="668"/>
      <c r="W403" s="668"/>
      <c r="X403" s="668"/>
      <c r="Y403" s="668"/>
      <c r="Z403" s="668"/>
      <c r="AA403" s="48"/>
      <c r="AB403" s="48"/>
      <c r="AC403" s="48"/>
    </row>
    <row r="404" spans="1:68" ht="16.5" customHeight="1" x14ac:dyDescent="0.25">
      <c r="A404" s="626" t="s">
        <v>653</v>
      </c>
      <c r="B404" s="617"/>
      <c r="C404" s="617"/>
      <c r="D404" s="617"/>
      <c r="E404" s="617"/>
      <c r="F404" s="617"/>
      <c r="G404" s="617"/>
      <c r="H404" s="617"/>
      <c r="I404" s="617"/>
      <c r="J404" s="617"/>
      <c r="K404" s="617"/>
      <c r="L404" s="617"/>
      <c r="M404" s="617"/>
      <c r="N404" s="617"/>
      <c r="O404" s="617"/>
      <c r="P404" s="617"/>
      <c r="Q404" s="617"/>
      <c r="R404" s="617"/>
      <c r="S404" s="617"/>
      <c r="T404" s="617"/>
      <c r="U404" s="617"/>
      <c r="V404" s="617"/>
      <c r="W404" s="617"/>
      <c r="X404" s="617"/>
      <c r="Y404" s="617"/>
      <c r="Z404" s="617"/>
      <c r="AA404" s="600"/>
      <c r="AB404" s="600"/>
      <c r="AC404" s="600"/>
    </row>
    <row r="405" spans="1:68" ht="14.25" customHeight="1" x14ac:dyDescent="0.25">
      <c r="A405" s="616" t="s">
        <v>118</v>
      </c>
      <c r="B405" s="617"/>
      <c r="C405" s="617"/>
      <c r="D405" s="617"/>
      <c r="E405" s="617"/>
      <c r="F405" s="617"/>
      <c r="G405" s="617"/>
      <c r="H405" s="617"/>
      <c r="I405" s="617"/>
      <c r="J405" s="617"/>
      <c r="K405" s="617"/>
      <c r="L405" s="617"/>
      <c r="M405" s="617"/>
      <c r="N405" s="617"/>
      <c r="O405" s="617"/>
      <c r="P405" s="617"/>
      <c r="Q405" s="617"/>
      <c r="R405" s="617"/>
      <c r="S405" s="617"/>
      <c r="T405" s="617"/>
      <c r="U405" s="617"/>
      <c r="V405" s="617"/>
      <c r="W405" s="617"/>
      <c r="X405" s="617"/>
      <c r="Y405" s="617"/>
      <c r="Z405" s="617"/>
      <c r="AA405" s="599"/>
      <c r="AB405" s="599"/>
      <c r="AC405" s="599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1000</v>
      </c>
      <c r="Y407" s="606">
        <f t="shared" si="52"/>
        <v>1005</v>
      </c>
      <c r="Z407" s="36">
        <f>IFERROR(IF(Y407=0,"",ROUNDUP(Y407/H407,0)*0.02175),"")</f>
        <v>1.4572499999999999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1031.3333333333333</v>
      </c>
      <c r="BN407" s="64">
        <f t="shared" si="54"/>
        <v>1036.49</v>
      </c>
      <c r="BO407" s="64">
        <f t="shared" si="55"/>
        <v>1.3888888888888888</v>
      </c>
      <c r="BP407" s="64">
        <f t="shared" si="56"/>
        <v>1.3958333333333333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1000</v>
      </c>
      <c r="Y408" s="606">
        <f t="shared" si="52"/>
        <v>1005</v>
      </c>
      <c r="Z408" s="36">
        <f>IFERROR(IF(Y408=0,"",ROUNDUP(Y408/H408,0)*0.02175),"")</f>
        <v>1.4572499999999999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1031.3333333333333</v>
      </c>
      <c r="BN408" s="64">
        <f t="shared" si="54"/>
        <v>1036.49</v>
      </c>
      <c r="BO408" s="64">
        <f t="shared" si="55"/>
        <v>1.3888888888888888</v>
      </c>
      <c r="BP408" s="64">
        <f t="shared" si="56"/>
        <v>1.3958333333333333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0</v>
      </c>
      <c r="Y409" s="606">
        <f t="shared" si="52"/>
        <v>0</v>
      </c>
      <c r="Z409" s="36" t="str">
        <f>IFERROR(IF(Y409=0,"",ROUNDUP(Y409/H409,0)*0.02175),"")</f>
        <v/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9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2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0</v>
      </c>
      <c r="BN410" s="64">
        <f t="shared" si="54"/>
        <v>0</v>
      </c>
      <c r="BO410" s="64">
        <f t="shared" si="55"/>
        <v>0</v>
      </c>
      <c r="BP410" s="64">
        <f t="shared" si="56"/>
        <v>0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28"/>
      <c r="B414" s="617"/>
      <c r="C414" s="617"/>
      <c r="D414" s="617"/>
      <c r="E414" s="617"/>
      <c r="F414" s="617"/>
      <c r="G414" s="617"/>
      <c r="H414" s="617"/>
      <c r="I414" s="617"/>
      <c r="J414" s="617"/>
      <c r="K414" s="617"/>
      <c r="L414" s="617"/>
      <c r="M414" s="617"/>
      <c r="N414" s="617"/>
      <c r="O414" s="629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133.33333333333334</v>
      </c>
      <c r="Y414" s="607">
        <f>IFERROR(Y406/H406,"0")+IFERROR(Y407/H407,"0")+IFERROR(Y408/H408,"0")+IFERROR(Y409/H409,"0")+IFERROR(Y410/H410,"0")+IFERROR(Y411/H411,"0")+IFERROR(Y412/H412,"0")+IFERROR(Y413/H413,"0")</f>
        <v>134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2.9144999999999999</v>
      </c>
      <c r="AA414" s="608"/>
      <c r="AB414" s="608"/>
      <c r="AC414" s="608"/>
    </row>
    <row r="415" spans="1:68" x14ac:dyDescent="0.2">
      <c r="A415" s="617"/>
      <c r="B415" s="617"/>
      <c r="C415" s="617"/>
      <c r="D415" s="617"/>
      <c r="E415" s="617"/>
      <c r="F415" s="617"/>
      <c r="G415" s="617"/>
      <c r="H415" s="617"/>
      <c r="I415" s="617"/>
      <c r="J415" s="617"/>
      <c r="K415" s="617"/>
      <c r="L415" s="617"/>
      <c r="M415" s="617"/>
      <c r="N415" s="617"/>
      <c r="O415" s="629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2000</v>
      </c>
      <c r="Y415" s="607">
        <f>IFERROR(SUM(Y406:Y413),"0")</f>
        <v>2010</v>
      </c>
      <c r="Z415" s="37"/>
      <c r="AA415" s="608"/>
      <c r="AB415" s="608"/>
      <c r="AC415" s="608"/>
    </row>
    <row r="416" spans="1:68" ht="14.25" customHeight="1" x14ac:dyDescent="0.25">
      <c r="A416" s="616" t="s">
        <v>155</v>
      </c>
      <c r="B416" s="617"/>
      <c r="C416" s="617"/>
      <c r="D416" s="617"/>
      <c r="E416" s="617"/>
      <c r="F416" s="617"/>
      <c r="G416" s="617"/>
      <c r="H416" s="617"/>
      <c r="I416" s="617"/>
      <c r="J416" s="617"/>
      <c r="K416" s="617"/>
      <c r="L416" s="617"/>
      <c r="M416" s="617"/>
      <c r="N416" s="617"/>
      <c r="O416" s="617"/>
      <c r="P416" s="617"/>
      <c r="Q416" s="617"/>
      <c r="R416" s="617"/>
      <c r="S416" s="617"/>
      <c r="T416" s="617"/>
      <c r="U416" s="617"/>
      <c r="V416" s="617"/>
      <c r="W416" s="617"/>
      <c r="X416" s="617"/>
      <c r="Y416" s="617"/>
      <c r="Z416" s="617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2000</v>
      </c>
      <c r="Y417" s="606">
        <f>IFERROR(IF(X417="",0,CEILING((X417/$H417),1)*$H417),"")</f>
        <v>2010</v>
      </c>
      <c r="Z417" s="36">
        <f>IFERROR(IF(Y417=0,"",ROUNDUP(Y417/H417,0)*0.02175),"")</f>
        <v>2.9144999999999999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2062.6666666666665</v>
      </c>
      <c r="BN417" s="64">
        <f>IFERROR(Y417*I417/H417,"0")</f>
        <v>2072.98</v>
      </c>
      <c r="BO417" s="64">
        <f>IFERROR(1/J417*(X417/H417),"0")</f>
        <v>2.7777777777777777</v>
      </c>
      <c r="BP417" s="64">
        <f>IFERROR(1/J417*(Y417/H417),"0")</f>
        <v>2.7916666666666665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28"/>
      <c r="B420" s="617"/>
      <c r="C420" s="617"/>
      <c r="D420" s="617"/>
      <c r="E420" s="617"/>
      <c r="F420" s="617"/>
      <c r="G420" s="617"/>
      <c r="H420" s="617"/>
      <c r="I420" s="617"/>
      <c r="J420" s="617"/>
      <c r="K420" s="617"/>
      <c r="L420" s="617"/>
      <c r="M420" s="617"/>
      <c r="N420" s="617"/>
      <c r="O420" s="629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133.33333333333334</v>
      </c>
      <c r="Y420" s="607">
        <f>IFERROR(Y417/H417,"0")+IFERROR(Y418/H418,"0")+IFERROR(Y419/H419,"0")</f>
        <v>134</v>
      </c>
      <c r="Z420" s="607">
        <f>IFERROR(IF(Z417="",0,Z417),"0")+IFERROR(IF(Z418="",0,Z418),"0")+IFERROR(IF(Z419="",0,Z419),"0")</f>
        <v>2.9144999999999999</v>
      </c>
      <c r="AA420" s="608"/>
      <c r="AB420" s="608"/>
      <c r="AC420" s="608"/>
    </row>
    <row r="421" spans="1:68" x14ac:dyDescent="0.2">
      <c r="A421" s="617"/>
      <c r="B421" s="617"/>
      <c r="C421" s="617"/>
      <c r="D421" s="617"/>
      <c r="E421" s="617"/>
      <c r="F421" s="617"/>
      <c r="G421" s="617"/>
      <c r="H421" s="617"/>
      <c r="I421" s="617"/>
      <c r="J421" s="617"/>
      <c r="K421" s="617"/>
      <c r="L421" s="617"/>
      <c r="M421" s="617"/>
      <c r="N421" s="617"/>
      <c r="O421" s="629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2000</v>
      </c>
      <c r="Y421" s="607">
        <f>IFERROR(SUM(Y417:Y419),"0")</f>
        <v>2010</v>
      </c>
      <c r="Z421" s="37"/>
      <c r="AA421" s="608"/>
      <c r="AB421" s="608"/>
      <c r="AC421" s="608"/>
    </row>
    <row r="422" spans="1:68" ht="14.25" customHeight="1" x14ac:dyDescent="0.25">
      <c r="A422" s="616" t="s">
        <v>74</v>
      </c>
      <c r="B422" s="617"/>
      <c r="C422" s="617"/>
      <c r="D422" s="617"/>
      <c r="E422" s="617"/>
      <c r="F422" s="617"/>
      <c r="G422" s="617"/>
      <c r="H422" s="617"/>
      <c r="I422" s="617"/>
      <c r="J422" s="617"/>
      <c r="K422" s="617"/>
      <c r="L422" s="617"/>
      <c r="M422" s="617"/>
      <c r="N422" s="617"/>
      <c r="O422" s="617"/>
      <c r="P422" s="617"/>
      <c r="Q422" s="617"/>
      <c r="R422" s="617"/>
      <c r="S422" s="617"/>
      <c r="T422" s="617"/>
      <c r="U422" s="617"/>
      <c r="V422" s="617"/>
      <c r="W422" s="617"/>
      <c r="X422" s="617"/>
      <c r="Y422" s="617"/>
      <c r="Z422" s="617"/>
      <c r="AA422" s="599"/>
      <c r="AB422" s="599"/>
      <c r="AC422" s="599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28"/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29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7"/>
      <c r="B426" s="617"/>
      <c r="C426" s="617"/>
      <c r="D426" s="617"/>
      <c r="E426" s="617"/>
      <c r="F426" s="617"/>
      <c r="G426" s="617"/>
      <c r="H426" s="617"/>
      <c r="I426" s="617"/>
      <c r="J426" s="617"/>
      <c r="K426" s="617"/>
      <c r="L426" s="617"/>
      <c r="M426" s="617"/>
      <c r="N426" s="617"/>
      <c r="O426" s="629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6" t="s">
        <v>172</v>
      </c>
      <c r="B427" s="617"/>
      <c r="C427" s="617"/>
      <c r="D427" s="617"/>
      <c r="E427" s="617"/>
      <c r="F427" s="617"/>
      <c r="G427" s="617"/>
      <c r="H427" s="617"/>
      <c r="I427" s="617"/>
      <c r="J427" s="617"/>
      <c r="K427" s="617"/>
      <c r="L427" s="617"/>
      <c r="M427" s="617"/>
      <c r="N427" s="617"/>
      <c r="O427" s="617"/>
      <c r="P427" s="617"/>
      <c r="Q427" s="617"/>
      <c r="R427" s="617"/>
      <c r="S427" s="617"/>
      <c r="T427" s="617"/>
      <c r="U427" s="617"/>
      <c r="V427" s="617"/>
      <c r="W427" s="617"/>
      <c r="X427" s="617"/>
      <c r="Y427" s="617"/>
      <c r="Z427" s="617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x14ac:dyDescent="0.2">
      <c r="A429" s="628"/>
      <c r="B429" s="617"/>
      <c r="C429" s="617"/>
      <c r="D429" s="617"/>
      <c r="E429" s="617"/>
      <c r="F429" s="617"/>
      <c r="G429" s="617"/>
      <c r="H429" s="617"/>
      <c r="I429" s="617"/>
      <c r="J429" s="617"/>
      <c r="K429" s="617"/>
      <c r="L429" s="617"/>
      <c r="M429" s="617"/>
      <c r="N429" s="617"/>
      <c r="O429" s="629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x14ac:dyDescent="0.2">
      <c r="A430" s="617"/>
      <c r="B430" s="617"/>
      <c r="C430" s="617"/>
      <c r="D430" s="617"/>
      <c r="E430" s="617"/>
      <c r="F430" s="617"/>
      <c r="G430" s="617"/>
      <c r="H430" s="617"/>
      <c r="I430" s="617"/>
      <c r="J430" s="617"/>
      <c r="K430" s="617"/>
      <c r="L430" s="617"/>
      <c r="M430" s="617"/>
      <c r="N430" s="617"/>
      <c r="O430" s="629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customHeight="1" x14ac:dyDescent="0.25">
      <c r="A431" s="626" t="s">
        <v>696</v>
      </c>
      <c r="B431" s="617"/>
      <c r="C431" s="617"/>
      <c r="D431" s="617"/>
      <c r="E431" s="617"/>
      <c r="F431" s="617"/>
      <c r="G431" s="617"/>
      <c r="H431" s="617"/>
      <c r="I431" s="617"/>
      <c r="J431" s="617"/>
      <c r="K431" s="617"/>
      <c r="L431" s="617"/>
      <c r="M431" s="617"/>
      <c r="N431" s="617"/>
      <c r="O431" s="617"/>
      <c r="P431" s="617"/>
      <c r="Q431" s="617"/>
      <c r="R431" s="617"/>
      <c r="S431" s="617"/>
      <c r="T431" s="617"/>
      <c r="U431" s="617"/>
      <c r="V431" s="617"/>
      <c r="W431" s="617"/>
      <c r="X431" s="617"/>
      <c r="Y431" s="617"/>
      <c r="Z431" s="617"/>
      <c r="AA431" s="600"/>
      <c r="AB431" s="600"/>
      <c r="AC431" s="600"/>
    </row>
    <row r="432" spans="1:68" ht="14.25" customHeight="1" x14ac:dyDescent="0.25">
      <c r="A432" s="616" t="s">
        <v>118</v>
      </c>
      <c r="B432" s="617"/>
      <c r="C432" s="617"/>
      <c r="D432" s="617"/>
      <c r="E432" s="617"/>
      <c r="F432" s="617"/>
      <c r="G432" s="617"/>
      <c r="H432" s="617"/>
      <c r="I432" s="617"/>
      <c r="J432" s="617"/>
      <c r="K432" s="617"/>
      <c r="L432" s="617"/>
      <c r="M432" s="617"/>
      <c r="N432" s="617"/>
      <c r="O432" s="617"/>
      <c r="P432" s="617"/>
      <c r="Q432" s="617"/>
      <c r="R432" s="617"/>
      <c r="S432" s="617"/>
      <c r="T432" s="617"/>
      <c r="U432" s="617"/>
      <c r="V432" s="617"/>
      <c r="W432" s="617"/>
      <c r="X432" s="617"/>
      <c r="Y432" s="617"/>
      <c r="Z432" s="617"/>
      <c r="AA432" s="599"/>
      <c r="AB432" s="599"/>
      <c r="AC432" s="599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28"/>
      <c r="B435" s="617"/>
      <c r="C435" s="617"/>
      <c r="D435" s="617"/>
      <c r="E435" s="617"/>
      <c r="F435" s="617"/>
      <c r="G435" s="617"/>
      <c r="H435" s="617"/>
      <c r="I435" s="617"/>
      <c r="J435" s="617"/>
      <c r="K435" s="617"/>
      <c r="L435" s="617"/>
      <c r="M435" s="617"/>
      <c r="N435" s="617"/>
      <c r="O435" s="629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7"/>
      <c r="B436" s="617"/>
      <c r="C436" s="617"/>
      <c r="D436" s="617"/>
      <c r="E436" s="617"/>
      <c r="F436" s="617"/>
      <c r="G436" s="617"/>
      <c r="H436" s="617"/>
      <c r="I436" s="617"/>
      <c r="J436" s="617"/>
      <c r="K436" s="617"/>
      <c r="L436" s="617"/>
      <c r="M436" s="617"/>
      <c r="N436" s="617"/>
      <c r="O436" s="629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6" t="s">
        <v>62</v>
      </c>
      <c r="B437" s="617"/>
      <c r="C437" s="617"/>
      <c r="D437" s="617"/>
      <c r="E437" s="617"/>
      <c r="F437" s="617"/>
      <c r="G437" s="617"/>
      <c r="H437" s="617"/>
      <c r="I437" s="617"/>
      <c r="J437" s="617"/>
      <c r="K437" s="617"/>
      <c r="L437" s="617"/>
      <c r="M437" s="617"/>
      <c r="N437" s="617"/>
      <c r="O437" s="617"/>
      <c r="P437" s="617"/>
      <c r="Q437" s="617"/>
      <c r="R437" s="617"/>
      <c r="S437" s="617"/>
      <c r="T437" s="617"/>
      <c r="U437" s="617"/>
      <c r="V437" s="617"/>
      <c r="W437" s="617"/>
      <c r="X437" s="617"/>
      <c r="Y437" s="617"/>
      <c r="Z437" s="617"/>
      <c r="AA437" s="599"/>
      <c r="AB437" s="599"/>
      <c r="AC437" s="599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28"/>
      <c r="B439" s="617"/>
      <c r="C439" s="617"/>
      <c r="D439" s="617"/>
      <c r="E439" s="617"/>
      <c r="F439" s="617"/>
      <c r="G439" s="617"/>
      <c r="H439" s="617"/>
      <c r="I439" s="617"/>
      <c r="J439" s="617"/>
      <c r="K439" s="617"/>
      <c r="L439" s="617"/>
      <c r="M439" s="617"/>
      <c r="N439" s="617"/>
      <c r="O439" s="629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7"/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29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6" t="s">
        <v>74</v>
      </c>
      <c r="B441" s="617"/>
      <c r="C441" s="617"/>
      <c r="D441" s="617"/>
      <c r="E441" s="617"/>
      <c r="F441" s="617"/>
      <c r="G441" s="617"/>
      <c r="H441" s="617"/>
      <c r="I441" s="617"/>
      <c r="J441" s="617"/>
      <c r="K441" s="617"/>
      <c r="L441" s="617"/>
      <c r="M441" s="617"/>
      <c r="N441" s="617"/>
      <c r="O441" s="617"/>
      <c r="P441" s="617"/>
      <c r="Q441" s="617"/>
      <c r="R441" s="617"/>
      <c r="S441" s="617"/>
      <c r="T441" s="617"/>
      <c r="U441" s="617"/>
      <c r="V441" s="617"/>
      <c r="W441" s="617"/>
      <c r="X441" s="617"/>
      <c r="Y441" s="617"/>
      <c r="Z441" s="617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2000</v>
      </c>
      <c r="Y442" s="606">
        <f>IFERROR(IF(X442="",0,CEILING((X442/$H442),1)*$H442),"")</f>
        <v>2007</v>
      </c>
      <c r="Z442" s="36">
        <f>IFERROR(IF(Y442=0,"",ROUNDUP(Y442/H442,0)*0.01898),"")</f>
        <v>4.2325400000000002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2109.7777777777778</v>
      </c>
      <c r="BN442" s="64">
        <f>IFERROR(Y442*I442/H442,"0")</f>
        <v>2117.1619999999998</v>
      </c>
      <c r="BO442" s="64">
        <f>IFERROR(1/J442*(X442/H442),"0")</f>
        <v>3.4722222222222223</v>
      </c>
      <c r="BP442" s="64">
        <f>IFERROR(1/J442*(Y442/H442),"0")</f>
        <v>3.484375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28"/>
      <c r="B445" s="617"/>
      <c r="C445" s="617"/>
      <c r="D445" s="617"/>
      <c r="E445" s="617"/>
      <c r="F445" s="617"/>
      <c r="G445" s="617"/>
      <c r="H445" s="617"/>
      <c r="I445" s="617"/>
      <c r="J445" s="617"/>
      <c r="K445" s="617"/>
      <c r="L445" s="617"/>
      <c r="M445" s="617"/>
      <c r="N445" s="617"/>
      <c r="O445" s="629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222.22222222222223</v>
      </c>
      <c r="Y445" s="607">
        <f>IFERROR(Y442/H442,"0")+IFERROR(Y443/H443,"0")+IFERROR(Y444/H444,"0")</f>
        <v>223</v>
      </c>
      <c r="Z445" s="607">
        <f>IFERROR(IF(Z442="",0,Z442),"0")+IFERROR(IF(Z443="",0,Z443),"0")+IFERROR(IF(Z444="",0,Z444),"0")</f>
        <v>4.2325400000000002</v>
      </c>
      <c r="AA445" s="608"/>
      <c r="AB445" s="608"/>
      <c r="AC445" s="608"/>
    </row>
    <row r="446" spans="1:68" x14ac:dyDescent="0.2">
      <c r="A446" s="617"/>
      <c r="B446" s="617"/>
      <c r="C446" s="617"/>
      <c r="D446" s="617"/>
      <c r="E446" s="617"/>
      <c r="F446" s="617"/>
      <c r="G446" s="617"/>
      <c r="H446" s="617"/>
      <c r="I446" s="617"/>
      <c r="J446" s="617"/>
      <c r="K446" s="617"/>
      <c r="L446" s="617"/>
      <c r="M446" s="617"/>
      <c r="N446" s="617"/>
      <c r="O446" s="629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2000</v>
      </c>
      <c r="Y446" s="607">
        <f>IFERROR(SUM(Y442:Y444),"0")</f>
        <v>2007</v>
      </c>
      <c r="Z446" s="37"/>
      <c r="AA446" s="608"/>
      <c r="AB446" s="608"/>
      <c r="AC446" s="608"/>
    </row>
    <row r="447" spans="1:68" ht="27.75" customHeight="1" x14ac:dyDescent="0.2">
      <c r="A447" s="667" t="s">
        <v>712</v>
      </c>
      <c r="B447" s="668"/>
      <c r="C447" s="668"/>
      <c r="D447" s="668"/>
      <c r="E447" s="668"/>
      <c r="F447" s="668"/>
      <c r="G447" s="668"/>
      <c r="H447" s="668"/>
      <c r="I447" s="668"/>
      <c r="J447" s="668"/>
      <c r="K447" s="668"/>
      <c r="L447" s="668"/>
      <c r="M447" s="668"/>
      <c r="N447" s="668"/>
      <c r="O447" s="668"/>
      <c r="P447" s="668"/>
      <c r="Q447" s="668"/>
      <c r="R447" s="668"/>
      <c r="S447" s="668"/>
      <c r="T447" s="668"/>
      <c r="U447" s="668"/>
      <c r="V447" s="668"/>
      <c r="W447" s="668"/>
      <c r="X447" s="668"/>
      <c r="Y447" s="668"/>
      <c r="Z447" s="668"/>
      <c r="AA447" s="48"/>
      <c r="AB447" s="48"/>
      <c r="AC447" s="48"/>
    </row>
    <row r="448" spans="1:68" ht="16.5" customHeight="1" x14ac:dyDescent="0.25">
      <c r="A448" s="626" t="s">
        <v>713</v>
      </c>
      <c r="B448" s="617"/>
      <c r="C448" s="617"/>
      <c r="D448" s="617"/>
      <c r="E448" s="617"/>
      <c r="F448" s="617"/>
      <c r="G448" s="617"/>
      <c r="H448" s="617"/>
      <c r="I448" s="617"/>
      <c r="J448" s="617"/>
      <c r="K448" s="617"/>
      <c r="L448" s="617"/>
      <c r="M448" s="617"/>
      <c r="N448" s="617"/>
      <c r="O448" s="617"/>
      <c r="P448" s="617"/>
      <c r="Q448" s="617"/>
      <c r="R448" s="617"/>
      <c r="S448" s="617"/>
      <c r="T448" s="617"/>
      <c r="U448" s="617"/>
      <c r="V448" s="617"/>
      <c r="W448" s="617"/>
      <c r="X448" s="617"/>
      <c r="Y448" s="617"/>
      <c r="Z448" s="617"/>
      <c r="AA448" s="600"/>
      <c r="AB448" s="600"/>
      <c r="AC448" s="600"/>
    </row>
    <row r="449" spans="1:68" ht="14.25" customHeight="1" x14ac:dyDescent="0.25">
      <c r="A449" s="616" t="s">
        <v>62</v>
      </c>
      <c r="B449" s="617"/>
      <c r="C449" s="617"/>
      <c r="D449" s="617"/>
      <c r="E449" s="617"/>
      <c r="F449" s="617"/>
      <c r="G449" s="617"/>
      <c r="H449" s="617"/>
      <c r="I449" s="617"/>
      <c r="J449" s="617"/>
      <c r="K449" s="617"/>
      <c r="L449" s="617"/>
      <c r="M449" s="617"/>
      <c r="N449" s="617"/>
      <c r="O449" s="617"/>
      <c r="P449" s="617"/>
      <c r="Q449" s="617"/>
      <c r="R449" s="617"/>
      <c r="S449" s="617"/>
      <c r="T449" s="617"/>
      <c r="U449" s="617"/>
      <c r="V449" s="617"/>
      <c r="W449" s="617"/>
      <c r="X449" s="617"/>
      <c r="Y449" s="617"/>
      <c r="Z449" s="617"/>
      <c r="AA449" s="599"/>
      <c r="AB449" s="599"/>
      <c r="AC449" s="599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x14ac:dyDescent="0.2">
      <c r="A456" s="628"/>
      <c r="B456" s="617"/>
      <c r="C456" s="617"/>
      <c r="D456" s="617"/>
      <c r="E456" s="617"/>
      <c r="F456" s="617"/>
      <c r="G456" s="617"/>
      <c r="H456" s="617"/>
      <c r="I456" s="617"/>
      <c r="J456" s="617"/>
      <c r="K456" s="617"/>
      <c r="L456" s="617"/>
      <c r="M456" s="617"/>
      <c r="N456" s="617"/>
      <c r="O456" s="629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x14ac:dyDescent="0.2">
      <c r="A457" s="617"/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29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customHeight="1" x14ac:dyDescent="0.25">
      <c r="A458" s="616" t="s">
        <v>74</v>
      </c>
      <c r="B458" s="617"/>
      <c r="C458" s="617"/>
      <c r="D458" s="617"/>
      <c r="E458" s="617"/>
      <c r="F458" s="617"/>
      <c r="G458" s="617"/>
      <c r="H458" s="617"/>
      <c r="I458" s="617"/>
      <c r="J458" s="617"/>
      <c r="K458" s="617"/>
      <c r="L458" s="617"/>
      <c r="M458" s="617"/>
      <c r="N458" s="617"/>
      <c r="O458" s="617"/>
      <c r="P458" s="617"/>
      <c r="Q458" s="617"/>
      <c r="R458" s="617"/>
      <c r="S458" s="617"/>
      <c r="T458" s="617"/>
      <c r="U458" s="617"/>
      <c r="V458" s="617"/>
      <c r="W458" s="617"/>
      <c r="X458" s="617"/>
      <c r="Y458" s="617"/>
      <c r="Z458" s="617"/>
      <c r="AA458" s="599"/>
      <c r="AB458" s="599"/>
      <c r="AC458" s="599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28"/>
      <c r="B461" s="617"/>
      <c r="C461" s="617"/>
      <c r="D461" s="617"/>
      <c r="E461" s="617"/>
      <c r="F461" s="617"/>
      <c r="G461" s="617"/>
      <c r="H461" s="617"/>
      <c r="I461" s="617"/>
      <c r="J461" s="617"/>
      <c r="K461" s="617"/>
      <c r="L461" s="617"/>
      <c r="M461" s="617"/>
      <c r="N461" s="617"/>
      <c r="O461" s="629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7"/>
      <c r="B462" s="617"/>
      <c r="C462" s="617"/>
      <c r="D462" s="617"/>
      <c r="E462" s="617"/>
      <c r="F462" s="617"/>
      <c r="G462" s="617"/>
      <c r="H462" s="617"/>
      <c r="I462" s="617"/>
      <c r="J462" s="617"/>
      <c r="K462" s="617"/>
      <c r="L462" s="617"/>
      <c r="M462" s="617"/>
      <c r="N462" s="617"/>
      <c r="O462" s="629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26" t="s">
        <v>736</v>
      </c>
      <c r="B463" s="617"/>
      <c r="C463" s="617"/>
      <c r="D463" s="617"/>
      <c r="E463" s="617"/>
      <c r="F463" s="617"/>
      <c r="G463" s="617"/>
      <c r="H463" s="617"/>
      <c r="I463" s="617"/>
      <c r="J463" s="617"/>
      <c r="K463" s="617"/>
      <c r="L463" s="617"/>
      <c r="M463" s="617"/>
      <c r="N463" s="617"/>
      <c r="O463" s="617"/>
      <c r="P463" s="617"/>
      <c r="Q463" s="617"/>
      <c r="R463" s="617"/>
      <c r="S463" s="617"/>
      <c r="T463" s="617"/>
      <c r="U463" s="617"/>
      <c r="V463" s="617"/>
      <c r="W463" s="617"/>
      <c r="X463" s="617"/>
      <c r="Y463" s="617"/>
      <c r="Z463" s="617"/>
      <c r="AA463" s="600"/>
      <c r="AB463" s="600"/>
      <c r="AC463" s="600"/>
    </row>
    <row r="464" spans="1:68" ht="14.25" customHeight="1" x14ac:dyDescent="0.25">
      <c r="A464" s="616" t="s">
        <v>155</v>
      </c>
      <c r="B464" s="617"/>
      <c r="C464" s="617"/>
      <c r="D464" s="617"/>
      <c r="E464" s="617"/>
      <c r="F464" s="617"/>
      <c r="G464" s="617"/>
      <c r="H464" s="617"/>
      <c r="I464" s="617"/>
      <c r="J464" s="617"/>
      <c r="K464" s="617"/>
      <c r="L464" s="617"/>
      <c r="M464" s="617"/>
      <c r="N464" s="617"/>
      <c r="O464" s="617"/>
      <c r="P464" s="617"/>
      <c r="Q464" s="617"/>
      <c r="R464" s="617"/>
      <c r="S464" s="617"/>
      <c r="T464" s="617"/>
      <c r="U464" s="617"/>
      <c r="V464" s="617"/>
      <c r="W464" s="617"/>
      <c r="X464" s="617"/>
      <c r="Y464" s="617"/>
      <c r="Z464" s="617"/>
      <c r="AA464" s="599"/>
      <c r="AB464" s="599"/>
      <c r="AC464" s="599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28"/>
      <c r="B466" s="617"/>
      <c r="C466" s="617"/>
      <c r="D466" s="617"/>
      <c r="E466" s="617"/>
      <c r="F466" s="617"/>
      <c r="G466" s="617"/>
      <c r="H466" s="617"/>
      <c r="I466" s="617"/>
      <c r="J466" s="617"/>
      <c r="K466" s="617"/>
      <c r="L466" s="617"/>
      <c r="M466" s="617"/>
      <c r="N466" s="617"/>
      <c r="O466" s="629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7"/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29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6" t="s">
        <v>62</v>
      </c>
      <c r="B468" s="617"/>
      <c r="C468" s="617"/>
      <c r="D468" s="617"/>
      <c r="E468" s="617"/>
      <c r="F468" s="617"/>
      <c r="G468" s="617"/>
      <c r="H468" s="617"/>
      <c r="I468" s="617"/>
      <c r="J468" s="617"/>
      <c r="K468" s="617"/>
      <c r="L468" s="617"/>
      <c r="M468" s="617"/>
      <c r="N468" s="617"/>
      <c r="O468" s="617"/>
      <c r="P468" s="617"/>
      <c r="Q468" s="617"/>
      <c r="R468" s="617"/>
      <c r="S468" s="617"/>
      <c r="T468" s="617"/>
      <c r="U468" s="617"/>
      <c r="V468" s="617"/>
      <c r="W468" s="617"/>
      <c r="X468" s="617"/>
      <c r="Y468" s="617"/>
      <c r="Z468" s="617"/>
      <c r="AA468" s="599"/>
      <c r="AB468" s="599"/>
      <c r="AC468" s="599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4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28"/>
      <c r="B472" s="617"/>
      <c r="C472" s="617"/>
      <c r="D472" s="617"/>
      <c r="E472" s="617"/>
      <c r="F472" s="617"/>
      <c r="G472" s="617"/>
      <c r="H472" s="617"/>
      <c r="I472" s="617"/>
      <c r="J472" s="617"/>
      <c r="K472" s="617"/>
      <c r="L472" s="617"/>
      <c r="M472" s="617"/>
      <c r="N472" s="617"/>
      <c r="O472" s="629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x14ac:dyDescent="0.2">
      <c r="A473" s="617"/>
      <c r="B473" s="617"/>
      <c r="C473" s="617"/>
      <c r="D473" s="617"/>
      <c r="E473" s="617"/>
      <c r="F473" s="617"/>
      <c r="G473" s="617"/>
      <c r="H473" s="617"/>
      <c r="I473" s="617"/>
      <c r="J473" s="617"/>
      <c r="K473" s="617"/>
      <c r="L473" s="617"/>
      <c r="M473" s="617"/>
      <c r="N473" s="617"/>
      <c r="O473" s="629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customHeight="1" x14ac:dyDescent="0.2">
      <c r="A474" s="667" t="s">
        <v>748</v>
      </c>
      <c r="B474" s="668"/>
      <c r="C474" s="668"/>
      <c r="D474" s="668"/>
      <c r="E474" s="668"/>
      <c r="F474" s="668"/>
      <c r="G474" s="668"/>
      <c r="H474" s="668"/>
      <c r="I474" s="668"/>
      <c r="J474" s="668"/>
      <c r="K474" s="668"/>
      <c r="L474" s="668"/>
      <c r="M474" s="668"/>
      <c r="N474" s="668"/>
      <c r="O474" s="668"/>
      <c r="P474" s="668"/>
      <c r="Q474" s="668"/>
      <c r="R474" s="668"/>
      <c r="S474" s="668"/>
      <c r="T474" s="668"/>
      <c r="U474" s="668"/>
      <c r="V474" s="668"/>
      <c r="W474" s="668"/>
      <c r="X474" s="668"/>
      <c r="Y474" s="668"/>
      <c r="Z474" s="668"/>
      <c r="AA474" s="48"/>
      <c r="AB474" s="48"/>
      <c r="AC474" s="48"/>
    </row>
    <row r="475" spans="1:68" ht="16.5" customHeight="1" x14ac:dyDescent="0.25">
      <c r="A475" s="626" t="s">
        <v>748</v>
      </c>
      <c r="B475" s="617"/>
      <c r="C475" s="617"/>
      <c r="D475" s="617"/>
      <c r="E475" s="617"/>
      <c r="F475" s="617"/>
      <c r="G475" s="617"/>
      <c r="H475" s="617"/>
      <c r="I475" s="617"/>
      <c r="J475" s="617"/>
      <c r="K475" s="617"/>
      <c r="L475" s="617"/>
      <c r="M475" s="617"/>
      <c r="N475" s="617"/>
      <c r="O475" s="617"/>
      <c r="P475" s="617"/>
      <c r="Q475" s="617"/>
      <c r="R475" s="617"/>
      <c r="S475" s="617"/>
      <c r="T475" s="617"/>
      <c r="U475" s="617"/>
      <c r="V475" s="617"/>
      <c r="W475" s="617"/>
      <c r="X475" s="617"/>
      <c r="Y475" s="617"/>
      <c r="Z475" s="617"/>
      <c r="AA475" s="600"/>
      <c r="AB475" s="600"/>
      <c r="AC475" s="600"/>
    </row>
    <row r="476" spans="1:68" ht="14.25" customHeight="1" x14ac:dyDescent="0.25">
      <c r="A476" s="616" t="s">
        <v>118</v>
      </c>
      <c r="B476" s="617"/>
      <c r="C476" s="617"/>
      <c r="D476" s="617"/>
      <c r="E476" s="617"/>
      <c r="F476" s="617"/>
      <c r="G476" s="617"/>
      <c r="H476" s="617"/>
      <c r="I476" s="617"/>
      <c r="J476" s="617"/>
      <c r="K476" s="617"/>
      <c r="L476" s="617"/>
      <c r="M476" s="617"/>
      <c r="N476" s="617"/>
      <c r="O476" s="617"/>
      <c r="P476" s="617"/>
      <c r="Q476" s="617"/>
      <c r="R476" s="617"/>
      <c r="S476" s="617"/>
      <c r="T476" s="617"/>
      <c r="U476" s="617"/>
      <c r="V476" s="617"/>
      <c r="W476" s="617"/>
      <c r="X476" s="617"/>
      <c r="Y476" s="617"/>
      <c r="Z476" s="617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0</v>
      </c>
      <c r="Y477" s="606">
        <f t="shared" ref="Y477:Y485" si="62">IFERROR(IF(X477="",0,CEILING((X477/$H477),1)*$H477),"")</f>
        <v>0</v>
      </c>
      <c r="Z477" s="36" t="str">
        <f t="shared" ref="Z477:Z482" si="63">IFERROR(IF(Y477=0,"",ROUNDUP(Y477/H477,0)*0.01196),"")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0</v>
      </c>
      <c r="BN477" s="64">
        <f t="shared" ref="BN477:BN485" si="65">IFERROR(Y477*I477/H477,"0")</f>
        <v>0</v>
      </c>
      <c r="BO477" s="64">
        <f t="shared" ref="BO477:BO485" si="66">IFERROR(1/J477*(X477/H477),"0")</f>
        <v>0</v>
      </c>
      <c r="BP477" s="64">
        <f t="shared" ref="BP477:BP485" si="67">IFERROR(1/J477*(Y477/H477),"0")</f>
        <v>0</v>
      </c>
    </row>
    <row r="478" spans="1:68" ht="16.5" customHeight="1" x14ac:dyDescent="0.25">
      <c r="A478" s="54" t="s">
        <v>751</v>
      </c>
      <c r="B478" s="54" t="s">
        <v>752</v>
      </c>
      <c r="C478" s="31">
        <v>4301012380</v>
      </c>
      <c r="D478" s="609">
        <v>4680115889576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0</v>
      </c>
      <c r="Y480" s="606">
        <f t="shared" si="62"/>
        <v>0</v>
      </c>
      <c r="Z480" s="36" t="str">
        <f t="shared" si="63"/>
        <v/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0</v>
      </c>
      <c r="Y482" s="606">
        <f t="shared" si="62"/>
        <v>0</v>
      </c>
      <c r="Z482" s="36" t="str">
        <f t="shared" si="63"/>
        <v/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0</v>
      </c>
      <c r="BN482" s="64">
        <f t="shared" si="65"/>
        <v>0</v>
      </c>
      <c r="BO482" s="64">
        <f t="shared" si="66"/>
        <v>0</v>
      </c>
      <c r="BP482" s="64">
        <f t="shared" si="67"/>
        <v>0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0</v>
      </c>
      <c r="Y484" s="606">
        <f t="shared" si="62"/>
        <v>0</v>
      </c>
      <c r="Z484" s="36" t="str">
        <f>IFERROR(IF(Y484=0,"",ROUNDUP(Y484/H484,0)*0.00902),"")</f>
        <v/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0</v>
      </c>
      <c r="BN484" s="64">
        <f t="shared" si="65"/>
        <v>0</v>
      </c>
      <c r="BO484" s="64">
        <f t="shared" si="66"/>
        <v>0</v>
      </c>
      <c r="BP484" s="64">
        <f t="shared" si="67"/>
        <v>0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0</v>
      </c>
      <c r="Y485" s="606">
        <f t="shared" si="62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0</v>
      </c>
      <c r="BN485" s="64">
        <f t="shared" si="65"/>
        <v>0</v>
      </c>
      <c r="BO485" s="64">
        <f t="shared" si="66"/>
        <v>0</v>
      </c>
      <c r="BP485" s="64">
        <f t="shared" si="67"/>
        <v>0</v>
      </c>
    </row>
    <row r="486" spans="1:68" x14ac:dyDescent="0.2">
      <c r="A486" s="628"/>
      <c r="B486" s="617"/>
      <c r="C486" s="617"/>
      <c r="D486" s="617"/>
      <c r="E486" s="617"/>
      <c r="F486" s="617"/>
      <c r="G486" s="617"/>
      <c r="H486" s="617"/>
      <c r="I486" s="617"/>
      <c r="J486" s="617"/>
      <c r="K486" s="617"/>
      <c r="L486" s="617"/>
      <c r="M486" s="617"/>
      <c r="N486" s="617"/>
      <c r="O486" s="629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0</v>
      </c>
      <c r="Y486" s="607">
        <f>IFERROR(Y477/H477,"0")+IFERROR(Y478/H478,"0")+IFERROR(Y479/H479,"0")+IFERROR(Y480/H480,"0")+IFERROR(Y481/H481,"0")+IFERROR(Y482/H482,"0")+IFERROR(Y483/H483,"0")+IFERROR(Y484/H484,"0")+IFERROR(Y485/H485,"0")</f>
        <v>0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0</v>
      </c>
      <c r="AA486" s="608"/>
      <c r="AB486" s="608"/>
      <c r="AC486" s="608"/>
    </row>
    <row r="487" spans="1:68" x14ac:dyDescent="0.2">
      <c r="A487" s="617"/>
      <c r="B487" s="617"/>
      <c r="C487" s="617"/>
      <c r="D487" s="617"/>
      <c r="E487" s="617"/>
      <c r="F487" s="617"/>
      <c r="G487" s="617"/>
      <c r="H487" s="617"/>
      <c r="I487" s="617"/>
      <c r="J487" s="617"/>
      <c r="K487" s="617"/>
      <c r="L487" s="617"/>
      <c r="M487" s="617"/>
      <c r="N487" s="617"/>
      <c r="O487" s="629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0</v>
      </c>
      <c r="Y487" s="607">
        <f>IFERROR(SUM(Y477:Y485),"0")</f>
        <v>0</v>
      </c>
      <c r="Z487" s="37"/>
      <c r="AA487" s="608"/>
      <c r="AB487" s="608"/>
      <c r="AC487" s="608"/>
    </row>
    <row r="488" spans="1:68" ht="14.25" customHeight="1" x14ac:dyDescent="0.25">
      <c r="A488" s="616" t="s">
        <v>155</v>
      </c>
      <c r="B488" s="617"/>
      <c r="C488" s="617"/>
      <c r="D488" s="617"/>
      <c r="E488" s="617"/>
      <c r="F488" s="617"/>
      <c r="G488" s="617"/>
      <c r="H488" s="617"/>
      <c r="I488" s="617"/>
      <c r="J488" s="617"/>
      <c r="K488" s="617"/>
      <c r="L488" s="617"/>
      <c r="M488" s="617"/>
      <c r="N488" s="617"/>
      <c r="O488" s="617"/>
      <c r="P488" s="617"/>
      <c r="Q488" s="617"/>
      <c r="R488" s="617"/>
      <c r="S488" s="617"/>
      <c r="T488" s="617"/>
      <c r="U488" s="617"/>
      <c r="V488" s="617"/>
      <c r="W488" s="617"/>
      <c r="X488" s="617"/>
      <c r="Y488" s="617"/>
      <c r="Z488" s="617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0</v>
      </c>
      <c r="Y489" s="606">
        <f>IFERROR(IF(X489="",0,CEILING((X489/$H489),1)*$H489),"")</f>
        <v>0</v>
      </c>
      <c r="Z489" s="36" t="str">
        <f>IFERROR(IF(Y489=0,"",ROUNDUP(Y489/H489,0)*0.01196),"")</f>
        <v/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9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28"/>
      <c r="B492" s="617"/>
      <c r="C492" s="617"/>
      <c r="D492" s="617"/>
      <c r="E492" s="617"/>
      <c r="F492" s="617"/>
      <c r="G492" s="617"/>
      <c r="H492" s="617"/>
      <c r="I492" s="617"/>
      <c r="J492" s="617"/>
      <c r="K492" s="617"/>
      <c r="L492" s="617"/>
      <c r="M492" s="617"/>
      <c r="N492" s="617"/>
      <c r="O492" s="629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0</v>
      </c>
      <c r="Y492" s="607">
        <f>IFERROR(Y489/H489,"0")+IFERROR(Y490/H490,"0")+IFERROR(Y491/H491,"0")</f>
        <v>0</v>
      </c>
      <c r="Z492" s="607">
        <f>IFERROR(IF(Z489="",0,Z489),"0")+IFERROR(IF(Z490="",0,Z490),"0")+IFERROR(IF(Z491="",0,Z491),"0")</f>
        <v>0</v>
      </c>
      <c r="AA492" s="608"/>
      <c r="AB492" s="608"/>
      <c r="AC492" s="608"/>
    </row>
    <row r="493" spans="1:68" x14ac:dyDescent="0.2">
      <c r="A493" s="617"/>
      <c r="B493" s="617"/>
      <c r="C493" s="617"/>
      <c r="D493" s="617"/>
      <c r="E493" s="617"/>
      <c r="F493" s="617"/>
      <c r="G493" s="617"/>
      <c r="H493" s="617"/>
      <c r="I493" s="617"/>
      <c r="J493" s="617"/>
      <c r="K493" s="617"/>
      <c r="L493" s="617"/>
      <c r="M493" s="617"/>
      <c r="N493" s="617"/>
      <c r="O493" s="629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0</v>
      </c>
      <c r="Y493" s="607">
        <f>IFERROR(SUM(Y489:Y491),"0")</f>
        <v>0</v>
      </c>
      <c r="Z493" s="37"/>
      <c r="AA493" s="608"/>
      <c r="AB493" s="608"/>
      <c r="AC493" s="608"/>
    </row>
    <row r="494" spans="1:68" ht="14.25" customHeight="1" x14ac:dyDescent="0.25">
      <c r="A494" s="616" t="s">
        <v>62</v>
      </c>
      <c r="B494" s="617"/>
      <c r="C494" s="617"/>
      <c r="D494" s="617"/>
      <c r="E494" s="617"/>
      <c r="F494" s="617"/>
      <c r="G494" s="617"/>
      <c r="H494" s="617"/>
      <c r="I494" s="617"/>
      <c r="J494" s="617"/>
      <c r="K494" s="617"/>
      <c r="L494" s="617"/>
      <c r="M494" s="617"/>
      <c r="N494" s="617"/>
      <c r="O494" s="617"/>
      <c r="P494" s="617"/>
      <c r="Q494" s="617"/>
      <c r="R494" s="617"/>
      <c r="S494" s="617"/>
      <c r="T494" s="617"/>
      <c r="U494" s="617"/>
      <c r="V494" s="617"/>
      <c r="W494" s="617"/>
      <c r="X494" s="617"/>
      <c r="Y494" s="617"/>
      <c r="Z494" s="617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0</v>
      </c>
      <c r="Y495" s="606">
        <f t="shared" ref="Y495:Y501" si="68">IFERROR(IF(X495="",0,CEILING((X495/$H495),1)*$H495),"")</f>
        <v>0</v>
      </c>
      <c r="Z495" s="36" t="str">
        <f>IFERROR(IF(Y495=0,"",ROUNDUP(Y495/H495,0)*0.01196),"")</f>
        <v/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0</v>
      </c>
      <c r="BN495" s="64">
        <f t="shared" ref="BN495:BN501" si="70">IFERROR(Y495*I495/H495,"0")</f>
        <v>0</v>
      </c>
      <c r="BO495" s="64">
        <f t="shared" ref="BO495:BO501" si="71">IFERROR(1/J495*(X495/H495),"0")</f>
        <v>0</v>
      </c>
      <c r="BP495" s="64">
        <f t="shared" ref="BP495:BP501" si="72">IFERROR(1/J495*(Y495/H495),"0")</f>
        <v>0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0</v>
      </c>
      <c r="Y496" s="606">
        <f t="shared" si="68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0</v>
      </c>
      <c r="Y497" s="606">
        <f t="shared" si="68"/>
        <v>0</v>
      </c>
      <c r="Z497" s="36" t="str">
        <f>IFERROR(IF(Y497=0,"",ROUNDUP(Y497/H497,0)*0.01196),"")</f>
        <v/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28"/>
      <c r="B502" s="617"/>
      <c r="C502" s="617"/>
      <c r="D502" s="617"/>
      <c r="E502" s="617"/>
      <c r="F502" s="617"/>
      <c r="G502" s="617"/>
      <c r="H502" s="617"/>
      <c r="I502" s="617"/>
      <c r="J502" s="617"/>
      <c r="K502" s="617"/>
      <c r="L502" s="617"/>
      <c r="M502" s="617"/>
      <c r="N502" s="617"/>
      <c r="O502" s="629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0</v>
      </c>
      <c r="Y502" s="607">
        <f>IFERROR(Y495/H495,"0")+IFERROR(Y496/H496,"0")+IFERROR(Y497/H497,"0")+IFERROR(Y498/H498,"0")+IFERROR(Y499/H499,"0")+IFERROR(Y500/H500,"0")+IFERROR(Y501/H501,"0")</f>
        <v>0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</v>
      </c>
      <c r="AA502" s="608"/>
      <c r="AB502" s="608"/>
      <c r="AC502" s="608"/>
    </row>
    <row r="503" spans="1:68" x14ac:dyDescent="0.2">
      <c r="A503" s="617"/>
      <c r="B503" s="617"/>
      <c r="C503" s="617"/>
      <c r="D503" s="617"/>
      <c r="E503" s="617"/>
      <c r="F503" s="617"/>
      <c r="G503" s="617"/>
      <c r="H503" s="617"/>
      <c r="I503" s="617"/>
      <c r="J503" s="617"/>
      <c r="K503" s="617"/>
      <c r="L503" s="617"/>
      <c r="M503" s="617"/>
      <c r="N503" s="617"/>
      <c r="O503" s="629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0</v>
      </c>
      <c r="Y503" s="607">
        <f>IFERROR(SUM(Y495:Y501),"0")</f>
        <v>0</v>
      </c>
      <c r="Z503" s="37"/>
      <c r="AA503" s="608"/>
      <c r="AB503" s="608"/>
      <c r="AC503" s="608"/>
    </row>
    <row r="504" spans="1:68" ht="27.75" customHeight="1" x14ac:dyDescent="0.2">
      <c r="A504" s="667" t="s">
        <v>795</v>
      </c>
      <c r="B504" s="668"/>
      <c r="C504" s="668"/>
      <c r="D504" s="668"/>
      <c r="E504" s="668"/>
      <c r="F504" s="668"/>
      <c r="G504" s="668"/>
      <c r="H504" s="668"/>
      <c r="I504" s="668"/>
      <c r="J504" s="668"/>
      <c r="K504" s="668"/>
      <c r="L504" s="668"/>
      <c r="M504" s="668"/>
      <c r="N504" s="668"/>
      <c r="O504" s="668"/>
      <c r="P504" s="668"/>
      <c r="Q504" s="668"/>
      <c r="R504" s="668"/>
      <c r="S504" s="668"/>
      <c r="T504" s="668"/>
      <c r="U504" s="668"/>
      <c r="V504" s="668"/>
      <c r="W504" s="668"/>
      <c r="X504" s="668"/>
      <c r="Y504" s="668"/>
      <c r="Z504" s="668"/>
      <c r="AA504" s="48"/>
      <c r="AB504" s="48"/>
      <c r="AC504" s="48"/>
    </row>
    <row r="505" spans="1:68" ht="16.5" customHeight="1" x14ac:dyDescent="0.25">
      <c r="A505" s="626" t="s">
        <v>795</v>
      </c>
      <c r="B505" s="617"/>
      <c r="C505" s="617"/>
      <c r="D505" s="617"/>
      <c r="E505" s="617"/>
      <c r="F505" s="617"/>
      <c r="G505" s="617"/>
      <c r="H505" s="617"/>
      <c r="I505" s="617"/>
      <c r="J505" s="617"/>
      <c r="K505" s="617"/>
      <c r="L505" s="617"/>
      <c r="M505" s="617"/>
      <c r="N505" s="617"/>
      <c r="O505" s="617"/>
      <c r="P505" s="617"/>
      <c r="Q505" s="617"/>
      <c r="R505" s="617"/>
      <c r="S505" s="617"/>
      <c r="T505" s="617"/>
      <c r="U505" s="617"/>
      <c r="V505" s="617"/>
      <c r="W505" s="617"/>
      <c r="X505" s="617"/>
      <c r="Y505" s="617"/>
      <c r="Z505" s="617"/>
      <c r="AA505" s="600"/>
      <c r="AB505" s="600"/>
      <c r="AC505" s="600"/>
    </row>
    <row r="506" spans="1:68" ht="14.25" customHeight="1" x14ac:dyDescent="0.25">
      <c r="A506" s="616" t="s">
        <v>118</v>
      </c>
      <c r="B506" s="617"/>
      <c r="C506" s="617"/>
      <c r="D506" s="617"/>
      <c r="E506" s="617"/>
      <c r="F506" s="617"/>
      <c r="G506" s="617"/>
      <c r="H506" s="617"/>
      <c r="I506" s="617"/>
      <c r="J506" s="617"/>
      <c r="K506" s="617"/>
      <c r="L506" s="617"/>
      <c r="M506" s="617"/>
      <c r="N506" s="617"/>
      <c r="O506" s="617"/>
      <c r="P506" s="617"/>
      <c r="Q506" s="617"/>
      <c r="R506" s="617"/>
      <c r="S506" s="617"/>
      <c r="T506" s="617"/>
      <c r="U506" s="617"/>
      <c r="V506" s="617"/>
      <c r="W506" s="617"/>
      <c r="X506" s="617"/>
      <c r="Y506" s="617"/>
      <c r="Z506" s="617"/>
      <c r="AA506" s="599"/>
      <c r="AB506" s="599"/>
      <c r="AC506" s="599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28"/>
      <c r="B508" s="617"/>
      <c r="C508" s="617"/>
      <c r="D508" s="617"/>
      <c r="E508" s="617"/>
      <c r="F508" s="617"/>
      <c r="G508" s="617"/>
      <c r="H508" s="617"/>
      <c r="I508" s="617"/>
      <c r="J508" s="617"/>
      <c r="K508" s="617"/>
      <c r="L508" s="617"/>
      <c r="M508" s="617"/>
      <c r="N508" s="617"/>
      <c r="O508" s="629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7"/>
      <c r="B509" s="617"/>
      <c r="C509" s="617"/>
      <c r="D509" s="617"/>
      <c r="E509" s="617"/>
      <c r="F509" s="617"/>
      <c r="G509" s="617"/>
      <c r="H509" s="617"/>
      <c r="I509" s="617"/>
      <c r="J509" s="617"/>
      <c r="K509" s="617"/>
      <c r="L509" s="617"/>
      <c r="M509" s="617"/>
      <c r="N509" s="617"/>
      <c r="O509" s="629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6" t="s">
        <v>155</v>
      </c>
      <c r="B510" s="617"/>
      <c r="C510" s="617"/>
      <c r="D510" s="617"/>
      <c r="E510" s="617"/>
      <c r="F510" s="617"/>
      <c r="G510" s="617"/>
      <c r="H510" s="617"/>
      <c r="I510" s="617"/>
      <c r="J510" s="617"/>
      <c r="K510" s="617"/>
      <c r="L510" s="617"/>
      <c r="M510" s="617"/>
      <c r="N510" s="617"/>
      <c r="O510" s="617"/>
      <c r="P510" s="617"/>
      <c r="Q510" s="617"/>
      <c r="R510" s="617"/>
      <c r="S510" s="617"/>
      <c r="T510" s="617"/>
      <c r="U510" s="617"/>
      <c r="V510" s="617"/>
      <c r="W510" s="617"/>
      <c r="X510" s="617"/>
      <c r="Y510" s="617"/>
      <c r="Z510" s="617"/>
      <c r="AA510" s="599"/>
      <c r="AB510" s="599"/>
      <c r="AC510" s="599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28"/>
      <c r="B512" s="617"/>
      <c r="C512" s="617"/>
      <c r="D512" s="617"/>
      <c r="E512" s="617"/>
      <c r="F512" s="617"/>
      <c r="G512" s="617"/>
      <c r="H512" s="617"/>
      <c r="I512" s="617"/>
      <c r="J512" s="617"/>
      <c r="K512" s="617"/>
      <c r="L512" s="617"/>
      <c r="M512" s="617"/>
      <c r="N512" s="617"/>
      <c r="O512" s="629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7"/>
      <c r="B513" s="617"/>
      <c r="C513" s="617"/>
      <c r="D513" s="617"/>
      <c r="E513" s="617"/>
      <c r="F513" s="617"/>
      <c r="G513" s="617"/>
      <c r="H513" s="617"/>
      <c r="I513" s="617"/>
      <c r="J513" s="617"/>
      <c r="K513" s="617"/>
      <c r="L513" s="617"/>
      <c r="M513" s="617"/>
      <c r="N513" s="617"/>
      <c r="O513" s="629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6" t="s">
        <v>62</v>
      </c>
      <c r="B514" s="617"/>
      <c r="C514" s="617"/>
      <c r="D514" s="617"/>
      <c r="E514" s="617"/>
      <c r="F514" s="617"/>
      <c r="G514" s="617"/>
      <c r="H514" s="617"/>
      <c r="I514" s="617"/>
      <c r="J514" s="617"/>
      <c r="K514" s="617"/>
      <c r="L514" s="617"/>
      <c r="M514" s="617"/>
      <c r="N514" s="617"/>
      <c r="O514" s="617"/>
      <c r="P514" s="617"/>
      <c r="Q514" s="617"/>
      <c r="R514" s="617"/>
      <c r="S514" s="617"/>
      <c r="T514" s="617"/>
      <c r="U514" s="617"/>
      <c r="V514" s="617"/>
      <c r="W514" s="617"/>
      <c r="X514" s="617"/>
      <c r="Y514" s="617"/>
      <c r="Z514" s="617"/>
      <c r="AA514" s="599"/>
      <c r="AB514" s="599"/>
      <c r="AC514" s="599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28"/>
      <c r="B517" s="617"/>
      <c r="C517" s="617"/>
      <c r="D517" s="617"/>
      <c r="E517" s="617"/>
      <c r="F517" s="617"/>
      <c r="G517" s="617"/>
      <c r="H517" s="617"/>
      <c r="I517" s="617"/>
      <c r="J517" s="617"/>
      <c r="K517" s="617"/>
      <c r="L517" s="617"/>
      <c r="M517" s="617"/>
      <c r="N517" s="617"/>
      <c r="O517" s="629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7"/>
      <c r="B518" s="617"/>
      <c r="C518" s="617"/>
      <c r="D518" s="617"/>
      <c r="E518" s="617"/>
      <c r="F518" s="617"/>
      <c r="G518" s="617"/>
      <c r="H518" s="617"/>
      <c r="I518" s="617"/>
      <c r="J518" s="617"/>
      <c r="K518" s="617"/>
      <c r="L518" s="617"/>
      <c r="M518" s="617"/>
      <c r="N518" s="617"/>
      <c r="O518" s="629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6" t="s">
        <v>74</v>
      </c>
      <c r="B519" s="617"/>
      <c r="C519" s="617"/>
      <c r="D519" s="617"/>
      <c r="E519" s="617"/>
      <c r="F519" s="617"/>
      <c r="G519" s="617"/>
      <c r="H519" s="617"/>
      <c r="I519" s="617"/>
      <c r="J519" s="617"/>
      <c r="K519" s="617"/>
      <c r="L519" s="617"/>
      <c r="M519" s="617"/>
      <c r="N519" s="617"/>
      <c r="O519" s="617"/>
      <c r="P519" s="617"/>
      <c r="Q519" s="617"/>
      <c r="R519" s="617"/>
      <c r="S519" s="617"/>
      <c r="T519" s="617"/>
      <c r="U519" s="617"/>
      <c r="V519" s="617"/>
      <c r="W519" s="617"/>
      <c r="X519" s="617"/>
      <c r="Y519" s="617"/>
      <c r="Z519" s="617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x14ac:dyDescent="0.2">
      <c r="A521" s="628"/>
      <c r="B521" s="617"/>
      <c r="C521" s="617"/>
      <c r="D521" s="617"/>
      <c r="E521" s="617"/>
      <c r="F521" s="617"/>
      <c r="G521" s="617"/>
      <c r="H521" s="617"/>
      <c r="I521" s="617"/>
      <c r="J521" s="617"/>
      <c r="K521" s="617"/>
      <c r="L521" s="617"/>
      <c r="M521" s="617"/>
      <c r="N521" s="617"/>
      <c r="O521" s="629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x14ac:dyDescent="0.2">
      <c r="A522" s="617"/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29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customHeight="1" x14ac:dyDescent="0.25">
      <c r="A523" s="616" t="s">
        <v>172</v>
      </c>
      <c r="B523" s="617"/>
      <c r="C523" s="617"/>
      <c r="D523" s="617"/>
      <c r="E523" s="617"/>
      <c r="F523" s="617"/>
      <c r="G523" s="617"/>
      <c r="H523" s="617"/>
      <c r="I523" s="617"/>
      <c r="J523" s="617"/>
      <c r="K523" s="617"/>
      <c r="L523" s="617"/>
      <c r="M523" s="617"/>
      <c r="N523" s="617"/>
      <c r="O523" s="617"/>
      <c r="P523" s="617"/>
      <c r="Q523" s="617"/>
      <c r="R523" s="617"/>
      <c r="S523" s="617"/>
      <c r="T523" s="617"/>
      <c r="U523" s="617"/>
      <c r="V523" s="617"/>
      <c r="W523" s="617"/>
      <c r="X523" s="617"/>
      <c r="Y523" s="617"/>
      <c r="Z523" s="617"/>
      <c r="AA523" s="599"/>
      <c r="AB523" s="599"/>
      <c r="AC523" s="599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5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28"/>
      <c r="B526" s="617"/>
      <c r="C526" s="617"/>
      <c r="D526" s="617"/>
      <c r="E526" s="617"/>
      <c r="F526" s="617"/>
      <c r="G526" s="617"/>
      <c r="H526" s="617"/>
      <c r="I526" s="617"/>
      <c r="J526" s="617"/>
      <c r="K526" s="617"/>
      <c r="L526" s="617"/>
      <c r="M526" s="617"/>
      <c r="N526" s="617"/>
      <c r="O526" s="629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7"/>
      <c r="B527" s="617"/>
      <c r="C527" s="617"/>
      <c r="D527" s="617"/>
      <c r="E527" s="617"/>
      <c r="F527" s="617"/>
      <c r="G527" s="617"/>
      <c r="H527" s="617"/>
      <c r="I527" s="617"/>
      <c r="J527" s="617"/>
      <c r="K527" s="617"/>
      <c r="L527" s="617"/>
      <c r="M527" s="617"/>
      <c r="N527" s="617"/>
      <c r="O527" s="629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26" t="s">
        <v>816</v>
      </c>
      <c r="B528" s="617"/>
      <c r="C528" s="617"/>
      <c r="D528" s="617"/>
      <c r="E528" s="617"/>
      <c r="F528" s="617"/>
      <c r="G528" s="617"/>
      <c r="H528" s="617"/>
      <c r="I528" s="617"/>
      <c r="J528" s="617"/>
      <c r="K528" s="617"/>
      <c r="L528" s="617"/>
      <c r="M528" s="617"/>
      <c r="N528" s="617"/>
      <c r="O528" s="617"/>
      <c r="P528" s="617"/>
      <c r="Q528" s="617"/>
      <c r="R528" s="617"/>
      <c r="S528" s="617"/>
      <c r="T528" s="617"/>
      <c r="U528" s="617"/>
      <c r="V528" s="617"/>
      <c r="W528" s="617"/>
      <c r="X528" s="617"/>
      <c r="Y528" s="617"/>
      <c r="Z528" s="617"/>
      <c r="AA528" s="600"/>
      <c r="AB528" s="600"/>
      <c r="AC528" s="600"/>
    </row>
    <row r="529" spans="1:68" ht="14.25" customHeight="1" x14ac:dyDescent="0.25">
      <c r="A529" s="616" t="s">
        <v>155</v>
      </c>
      <c r="B529" s="617"/>
      <c r="C529" s="617"/>
      <c r="D529" s="617"/>
      <c r="E529" s="617"/>
      <c r="F529" s="617"/>
      <c r="G529" s="617"/>
      <c r="H529" s="617"/>
      <c r="I529" s="617"/>
      <c r="J529" s="617"/>
      <c r="K529" s="617"/>
      <c r="L529" s="617"/>
      <c r="M529" s="617"/>
      <c r="N529" s="617"/>
      <c r="O529" s="617"/>
      <c r="P529" s="617"/>
      <c r="Q529" s="617"/>
      <c r="R529" s="617"/>
      <c r="S529" s="617"/>
      <c r="T529" s="617"/>
      <c r="U529" s="617"/>
      <c r="V529" s="617"/>
      <c r="W529" s="617"/>
      <c r="X529" s="617"/>
      <c r="Y529" s="617"/>
      <c r="Z529" s="617"/>
      <c r="AA529" s="599"/>
      <c r="AB529" s="599"/>
      <c r="AC529" s="599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28"/>
      <c r="B531" s="617"/>
      <c r="C531" s="617"/>
      <c r="D531" s="617"/>
      <c r="E531" s="617"/>
      <c r="F531" s="617"/>
      <c r="G531" s="617"/>
      <c r="H531" s="617"/>
      <c r="I531" s="617"/>
      <c r="J531" s="617"/>
      <c r="K531" s="617"/>
      <c r="L531" s="617"/>
      <c r="M531" s="617"/>
      <c r="N531" s="617"/>
      <c r="O531" s="629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7"/>
      <c r="B532" s="617"/>
      <c r="C532" s="617"/>
      <c r="D532" s="617"/>
      <c r="E532" s="617"/>
      <c r="F532" s="617"/>
      <c r="G532" s="617"/>
      <c r="H532" s="617"/>
      <c r="I532" s="617"/>
      <c r="J532" s="617"/>
      <c r="K532" s="617"/>
      <c r="L532" s="617"/>
      <c r="M532" s="617"/>
      <c r="N532" s="617"/>
      <c r="O532" s="629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6"/>
      <c r="B533" s="617"/>
      <c r="C533" s="617"/>
      <c r="D533" s="617"/>
      <c r="E533" s="617"/>
      <c r="F533" s="617"/>
      <c r="G533" s="617"/>
      <c r="H533" s="617"/>
      <c r="I533" s="617"/>
      <c r="J533" s="617"/>
      <c r="K533" s="617"/>
      <c r="L533" s="617"/>
      <c r="M533" s="617"/>
      <c r="N533" s="617"/>
      <c r="O533" s="776"/>
      <c r="P533" s="654" t="s">
        <v>820</v>
      </c>
      <c r="Q533" s="655"/>
      <c r="R533" s="655"/>
      <c r="S533" s="655"/>
      <c r="T533" s="655"/>
      <c r="U533" s="655"/>
      <c r="V533" s="656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8400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8438.4</v>
      </c>
      <c r="Z533" s="37"/>
      <c r="AA533" s="608"/>
      <c r="AB533" s="608"/>
      <c r="AC533" s="608"/>
    </row>
    <row r="534" spans="1:68" x14ac:dyDescent="0.2">
      <c r="A534" s="617"/>
      <c r="B534" s="617"/>
      <c r="C534" s="617"/>
      <c r="D534" s="617"/>
      <c r="E534" s="617"/>
      <c r="F534" s="617"/>
      <c r="G534" s="617"/>
      <c r="H534" s="617"/>
      <c r="I534" s="617"/>
      <c r="J534" s="617"/>
      <c r="K534" s="617"/>
      <c r="L534" s="617"/>
      <c r="M534" s="617"/>
      <c r="N534" s="617"/>
      <c r="O534" s="776"/>
      <c r="P534" s="654" t="s">
        <v>821</v>
      </c>
      <c r="Q534" s="655"/>
      <c r="R534" s="655"/>
      <c r="S534" s="655"/>
      <c r="T534" s="655"/>
      <c r="U534" s="655"/>
      <c r="V534" s="656"/>
      <c r="W534" s="37" t="s">
        <v>67</v>
      </c>
      <c r="X534" s="607">
        <f>IFERROR(SUM(BM22:BM530),"0")</f>
        <v>8778.4074074074069</v>
      </c>
      <c r="Y534" s="607">
        <f>IFERROR(SUM(BN22:BN530),"0")</f>
        <v>8818.4619999999995</v>
      </c>
      <c r="Z534" s="37"/>
      <c r="AA534" s="608"/>
      <c r="AB534" s="608"/>
      <c r="AC534" s="608"/>
    </row>
    <row r="535" spans="1:68" x14ac:dyDescent="0.2">
      <c r="A535" s="617"/>
      <c r="B535" s="617"/>
      <c r="C535" s="617"/>
      <c r="D535" s="617"/>
      <c r="E535" s="617"/>
      <c r="F535" s="617"/>
      <c r="G535" s="617"/>
      <c r="H535" s="617"/>
      <c r="I535" s="617"/>
      <c r="J535" s="617"/>
      <c r="K535" s="617"/>
      <c r="L535" s="617"/>
      <c r="M535" s="617"/>
      <c r="N535" s="617"/>
      <c r="O535" s="776"/>
      <c r="P535" s="654" t="s">
        <v>822</v>
      </c>
      <c r="Q535" s="655"/>
      <c r="R535" s="655"/>
      <c r="S535" s="655"/>
      <c r="T535" s="655"/>
      <c r="U535" s="655"/>
      <c r="V535" s="656"/>
      <c r="W535" s="37" t="s">
        <v>823</v>
      </c>
      <c r="X535" s="38">
        <f>ROUNDUP(SUM(BO22:BO530),0)</f>
        <v>14</v>
      </c>
      <c r="Y535" s="38">
        <f>ROUNDUP(SUM(BP22:BP530),0)</f>
        <v>14</v>
      </c>
      <c r="Z535" s="37"/>
      <c r="AA535" s="608"/>
      <c r="AB535" s="608"/>
      <c r="AC535" s="608"/>
    </row>
    <row r="536" spans="1:68" x14ac:dyDescent="0.2">
      <c r="A536" s="617"/>
      <c r="B536" s="617"/>
      <c r="C536" s="617"/>
      <c r="D536" s="617"/>
      <c r="E536" s="617"/>
      <c r="F536" s="617"/>
      <c r="G536" s="617"/>
      <c r="H536" s="617"/>
      <c r="I536" s="617"/>
      <c r="J536" s="617"/>
      <c r="K536" s="617"/>
      <c r="L536" s="617"/>
      <c r="M536" s="617"/>
      <c r="N536" s="617"/>
      <c r="O536" s="776"/>
      <c r="P536" s="654" t="s">
        <v>824</v>
      </c>
      <c r="Q536" s="655"/>
      <c r="R536" s="655"/>
      <c r="S536" s="655"/>
      <c r="T536" s="655"/>
      <c r="U536" s="655"/>
      <c r="V536" s="656"/>
      <c r="W536" s="37" t="s">
        <v>67</v>
      </c>
      <c r="X536" s="607">
        <f>GrossWeightTotal+PalletQtyTotal*25</f>
        <v>9128.4074074074069</v>
      </c>
      <c r="Y536" s="607">
        <f>GrossWeightTotalR+PalletQtyTotalR*25</f>
        <v>9168.4619999999995</v>
      </c>
      <c r="Z536" s="37"/>
      <c r="AA536" s="608"/>
      <c r="AB536" s="608"/>
      <c r="AC536" s="608"/>
    </row>
    <row r="537" spans="1:68" x14ac:dyDescent="0.2">
      <c r="A537" s="617"/>
      <c r="B537" s="617"/>
      <c r="C537" s="617"/>
      <c r="D537" s="617"/>
      <c r="E537" s="617"/>
      <c r="F537" s="617"/>
      <c r="G537" s="617"/>
      <c r="H537" s="617"/>
      <c r="I537" s="617"/>
      <c r="J537" s="617"/>
      <c r="K537" s="617"/>
      <c r="L537" s="617"/>
      <c r="M537" s="617"/>
      <c r="N537" s="617"/>
      <c r="O537" s="776"/>
      <c r="P537" s="654" t="s">
        <v>825</v>
      </c>
      <c r="Q537" s="655"/>
      <c r="R537" s="655"/>
      <c r="S537" s="655"/>
      <c r="T537" s="655"/>
      <c r="U537" s="655"/>
      <c r="V537" s="656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876.35327635327644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880</v>
      </c>
      <c r="Z537" s="37"/>
      <c r="AA537" s="608"/>
      <c r="AB537" s="608"/>
      <c r="AC537" s="608"/>
    </row>
    <row r="538" spans="1:68" ht="14.25" customHeight="1" x14ac:dyDescent="0.2">
      <c r="A538" s="617"/>
      <c r="B538" s="617"/>
      <c r="C538" s="617"/>
      <c r="D538" s="617"/>
      <c r="E538" s="617"/>
      <c r="F538" s="617"/>
      <c r="G538" s="617"/>
      <c r="H538" s="617"/>
      <c r="I538" s="617"/>
      <c r="J538" s="617"/>
      <c r="K538" s="617"/>
      <c r="L538" s="617"/>
      <c r="M538" s="617"/>
      <c r="N538" s="617"/>
      <c r="O538" s="776"/>
      <c r="P538" s="654" t="s">
        <v>826</v>
      </c>
      <c r="Q538" s="655"/>
      <c r="R538" s="655"/>
      <c r="S538" s="655"/>
      <c r="T538" s="655"/>
      <c r="U538" s="655"/>
      <c r="V538" s="656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15.362270000000001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8" t="s">
        <v>116</v>
      </c>
      <c r="E540" s="835"/>
      <c r="F540" s="835"/>
      <c r="G540" s="835"/>
      <c r="H540" s="835"/>
      <c r="I540" s="835"/>
      <c r="J540" s="662"/>
      <c r="K540" s="618" t="s">
        <v>325</v>
      </c>
      <c r="L540" s="835"/>
      <c r="M540" s="835"/>
      <c r="N540" s="835"/>
      <c r="O540" s="835"/>
      <c r="P540" s="835"/>
      <c r="Q540" s="835"/>
      <c r="R540" s="835"/>
      <c r="S540" s="835"/>
      <c r="T540" s="835"/>
      <c r="U540" s="662"/>
      <c r="V540" s="618" t="s">
        <v>652</v>
      </c>
      <c r="W540" s="662"/>
      <c r="X540" s="618" t="s">
        <v>712</v>
      </c>
      <c r="Y540" s="662"/>
      <c r="Z540" s="597" t="s">
        <v>748</v>
      </c>
      <c r="AA540" s="618" t="s">
        <v>795</v>
      </c>
      <c r="AB540" s="662"/>
      <c r="AC540" s="52"/>
      <c r="AF540" s="598"/>
    </row>
    <row r="541" spans="1:68" ht="14.25" customHeight="1" thickTop="1" x14ac:dyDescent="0.2">
      <c r="A541" s="872" t="s">
        <v>829</v>
      </c>
      <c r="B541" s="618" t="s">
        <v>61</v>
      </c>
      <c r="C541" s="618" t="s">
        <v>99</v>
      </c>
      <c r="D541" s="618" t="s">
        <v>117</v>
      </c>
      <c r="E541" s="618" t="s">
        <v>133</v>
      </c>
      <c r="F541" s="618" t="s">
        <v>179</v>
      </c>
      <c r="G541" s="618" t="s">
        <v>200</v>
      </c>
      <c r="H541" s="618" t="s">
        <v>242</v>
      </c>
      <c r="I541" s="618" t="s">
        <v>254</v>
      </c>
      <c r="J541" s="618" t="s">
        <v>116</v>
      </c>
      <c r="K541" s="618" t="s">
        <v>326</v>
      </c>
      <c r="L541" s="618" t="s">
        <v>347</v>
      </c>
      <c r="M541" s="618" t="s">
        <v>414</v>
      </c>
      <c r="N541" s="598"/>
      <c r="O541" s="618" t="s">
        <v>482</v>
      </c>
      <c r="P541" s="618" t="s">
        <v>515</v>
      </c>
      <c r="Q541" s="618" t="s">
        <v>531</v>
      </c>
      <c r="R541" s="618" t="s">
        <v>540</v>
      </c>
      <c r="S541" s="618" t="s">
        <v>561</v>
      </c>
      <c r="T541" s="618" t="s">
        <v>570</v>
      </c>
      <c r="U541" s="618" t="s">
        <v>642</v>
      </c>
      <c r="V541" s="618" t="s">
        <v>653</v>
      </c>
      <c r="W541" s="618" t="s">
        <v>696</v>
      </c>
      <c r="X541" s="618" t="s">
        <v>713</v>
      </c>
      <c r="Y541" s="618" t="s">
        <v>736</v>
      </c>
      <c r="Z541" s="618" t="s">
        <v>748</v>
      </c>
      <c r="AA541" s="618" t="s">
        <v>795</v>
      </c>
      <c r="AB541" s="618" t="s">
        <v>816</v>
      </c>
      <c r="AC541" s="52"/>
      <c r="AF541" s="598"/>
    </row>
    <row r="542" spans="1:68" ht="13.5" customHeight="1" thickBot="1" x14ac:dyDescent="0.25">
      <c r="A542" s="873"/>
      <c r="B542" s="619"/>
      <c r="C542" s="619"/>
      <c r="D542" s="619"/>
      <c r="E542" s="619"/>
      <c r="F542" s="619"/>
      <c r="G542" s="619"/>
      <c r="H542" s="619"/>
      <c r="I542" s="619"/>
      <c r="J542" s="619"/>
      <c r="K542" s="619"/>
      <c r="L542" s="619"/>
      <c r="M542" s="619"/>
      <c r="N542" s="598"/>
      <c r="O542" s="619"/>
      <c r="P542" s="619"/>
      <c r="Q542" s="619"/>
      <c r="R542" s="619"/>
      <c r="S542" s="619"/>
      <c r="T542" s="619"/>
      <c r="U542" s="619"/>
      <c r="V542" s="619"/>
      <c r="W542" s="619"/>
      <c r="X542" s="619"/>
      <c r="Y542" s="619"/>
      <c r="Z542" s="619"/>
      <c r="AA542" s="619"/>
      <c r="AB542" s="619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1004.4000000000001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3" s="46">
        <f>IFERROR(Y88*1,"0")+IFERROR(Y89*1,"0")+IFERROR(Y90*1,"0")+IFERROR(Y91*1,"0")+IFERROR(Y95*1,"0")+IFERROR(Y96*1,"0")+IFERROR(Y97*1,"0")+IFERROR(Y98*1,"0")</f>
        <v>0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3" s="46">
        <f>IFERROR(Y134*1,"0")+IFERROR(Y135*1,"0")+IFERROR(Y139*1,"0")+IFERROR(Y140*1,"0")+IFERROR(Y144*1,"0")+IFERROR(Y145*1,"0")</f>
        <v>0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400.8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0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0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1006.1999999999999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4020</v>
      </c>
      <c r="W543" s="46">
        <f>IFERROR(Y433*1,"0")+IFERROR(Y434*1,"0")+IFERROR(Y438*1,"0")+IFERROR(Y442*1,"0")+IFERROR(Y443*1,"0")+IFERROR(Y444*1,"0")</f>
        <v>2007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0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07:T507"/>
    <mergeCell ref="P363:T363"/>
    <mergeCell ref="P527:V527"/>
    <mergeCell ref="D17:E18"/>
    <mergeCell ref="D173:E173"/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Y541:Y542"/>
    <mergeCell ref="P83:T83"/>
    <mergeCell ref="D271:E271"/>
    <mergeCell ref="P319:T319"/>
    <mergeCell ref="D262:E262"/>
    <mergeCell ref="D433:E433"/>
    <mergeCell ref="A506:Z506"/>
    <mergeCell ref="P541:P542"/>
    <mergeCell ref="P60:T60"/>
    <mergeCell ref="D291:E291"/>
    <mergeCell ref="D239:E239"/>
    <mergeCell ref="D95:E95"/>
    <mergeCell ref="P174:T174"/>
    <mergeCell ref="P74:V74"/>
    <mergeCell ref="D266:E266"/>
    <mergeCell ref="A339:Z339"/>
    <mergeCell ref="P385:T385"/>
    <mergeCell ref="P499:T499"/>
    <mergeCell ref="P293:T293"/>
    <mergeCell ref="D336:E336"/>
    <mergeCell ref="D407:E407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P137:V137"/>
    <mergeCell ref="D218:E218"/>
    <mergeCell ref="K540:U540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D341:E341"/>
    <mergeCell ref="A476:Z476"/>
    <mergeCell ref="P303:V303"/>
    <mergeCell ref="P72:T72"/>
    <mergeCell ref="P199:T199"/>
    <mergeCell ref="A315:Z315"/>
    <mergeCell ref="P497:T497"/>
    <mergeCell ref="P297:T297"/>
    <mergeCell ref="AD17:AF18"/>
    <mergeCell ref="P142:V142"/>
    <mergeCell ref="A337:O338"/>
    <mergeCell ref="A132:Z132"/>
    <mergeCell ref="F5:G5"/>
    <mergeCell ref="P55:V55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A36:O37"/>
    <mergeCell ref="P82:T82"/>
    <mergeCell ref="D221:E22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D450:E450"/>
    <mergeCell ref="P181:T181"/>
    <mergeCell ref="P357:T357"/>
    <mergeCell ref="D29:E29"/>
    <mergeCell ref="D23:E23"/>
    <mergeCell ref="D216:E216"/>
    <mergeCell ref="D265:E265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183:T183"/>
    <mergeCell ref="D226:E226"/>
    <mergeCell ref="P354:T354"/>
    <mergeCell ref="A404:Z404"/>
    <mergeCell ref="P365:T365"/>
    <mergeCell ref="P62:T62"/>
    <mergeCell ref="P70:T70"/>
    <mergeCell ref="P263:T263"/>
    <mergeCell ref="D244:E244"/>
    <mergeCell ref="A358:O359"/>
    <mergeCell ref="A429:O430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A9:C9"/>
    <mergeCell ref="P125:T125"/>
    <mergeCell ref="D202:E202"/>
    <mergeCell ref="D373:E373"/>
    <mergeCell ref="P112:T112"/>
    <mergeCell ref="D500:E500"/>
    <mergeCell ref="D294:E294"/>
    <mergeCell ref="P348:T348"/>
    <mergeCell ref="D231:E231"/>
    <mergeCell ref="P337:V337"/>
    <mergeCell ref="A156:Z156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P483:T483"/>
    <mergeCell ref="D22:E22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V6:W9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22:T22"/>
    <mergeCell ref="D65:E65"/>
    <mergeCell ref="P320:T320"/>
    <mergeCell ref="D428:E428"/>
    <mergeCell ref="P236:V236"/>
    <mergeCell ref="P92:V92"/>
    <mergeCell ref="P394:V394"/>
    <mergeCell ref="P521:V521"/>
    <mergeCell ref="P100:V100"/>
    <mergeCell ref="A212:Z212"/>
    <mergeCell ref="A448:Z448"/>
    <mergeCell ref="A519:Z519"/>
    <mergeCell ref="D367:E367"/>
    <mergeCell ref="H10:M10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H17:H18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P27:T27"/>
    <mergeCell ref="P56:V56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8:Z38"/>
    <mergeCell ref="A302:O303"/>
    <mergeCell ref="A432:Z432"/>
    <mergeCell ref="A40:Z40"/>
    <mergeCell ref="P393:T393"/>
    <mergeCell ref="P457:V457"/>
    <mergeCell ref="D203:E203"/>
    <mergeCell ref="D374:E374"/>
    <mergeCell ref="P165:V165"/>
    <mergeCell ref="A186:Z186"/>
    <mergeCell ref="P232:T232"/>
    <mergeCell ref="P159:T159"/>
    <mergeCell ref="D140:E140"/>
    <mergeCell ref="D438:E438"/>
    <mergeCell ref="P96:T96"/>
    <mergeCell ref="P270:T270"/>
    <mergeCell ref="D213:E213"/>
    <mergeCell ref="P341:T341"/>
    <mergeCell ref="D151:E151"/>
    <mergeCell ref="D384:E384"/>
    <mergeCell ref="P204:T204"/>
    <mergeCell ref="J9:M9"/>
    <mergeCell ref="D112:E112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D51:E51"/>
    <mergeCell ref="P477:T477"/>
    <mergeCell ref="A138:Z138"/>
    <mergeCell ref="P307:V307"/>
    <mergeCell ref="P380:T380"/>
    <mergeCell ref="A13:M13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Q10:R10"/>
    <mergeCell ref="P368:V368"/>
    <mergeCell ref="D41:E41"/>
    <mergeCell ref="P296:T296"/>
    <mergeCell ref="A486:O487"/>
    <mergeCell ref="P25:V25"/>
    <mergeCell ref="D277:E277"/>
    <mergeCell ref="P85:V85"/>
    <mergeCell ref="P256:V256"/>
    <mergeCell ref="P356:T356"/>
    <mergeCell ref="A208:Z208"/>
    <mergeCell ref="D371:E371"/>
    <mergeCell ref="D43:E43"/>
    <mergeCell ref="P84:V84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228:V228"/>
    <mergeCell ref="A12:M12"/>
    <mergeCell ref="A253:Z253"/>
    <mergeCell ref="A324:Z324"/>
    <mergeCell ref="A180:Z18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P450:T450"/>
    <mergeCell ref="D116:E116"/>
    <mergeCell ref="P419:T419"/>
    <mergeCell ref="D91:E91"/>
    <mergeCell ref="P23:T23"/>
    <mergeCell ref="P219:T219"/>
    <mergeCell ref="P272:T272"/>
    <mergeCell ref="D327:E327"/>
    <mergeCell ref="D398:E398"/>
    <mergeCell ref="P439:V439"/>
    <mergeCell ref="A267:O268"/>
    <mergeCell ref="D106:E106"/>
    <mergeCell ref="A146:O147"/>
    <mergeCell ref="D264:E264"/>
    <mergeCell ref="P277:T277"/>
    <mergeCell ref="D220:E220"/>
    <mergeCell ref="D391:E391"/>
    <mergeCell ref="A195:Z195"/>
    <mergeCell ref="A394:O395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D31:E31"/>
    <mergeCell ref="A166:Z166"/>
    <mergeCell ref="D158:E158"/>
    <mergeCell ref="P286:T286"/>
    <mergeCell ref="D400:E400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43:T43"/>
    <mergeCell ref="P285:T285"/>
    <mergeCell ref="P136:V136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P462:V462"/>
    <mergeCell ref="A458:Z458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D479:E479"/>
    <mergeCell ref="A437:Z437"/>
    <mergeCell ref="P235:V235"/>
    <mergeCell ref="A431:Z431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X541:X542"/>
    <mergeCell ref="Z541:Z542"/>
    <mergeCell ref="A46:O47"/>
    <mergeCell ref="D98:E98"/>
    <mergeCell ref="P30:T30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A34:Z34"/>
    <mergeCell ref="D410:E410"/>
    <mergeCell ref="P245:V245"/>
    <mergeCell ref="A441:Z441"/>
    <mergeCell ref="C541:C542"/>
    <mergeCell ref="E541:E542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499:E499"/>
    <mergeCell ref="D60:E60"/>
    <mergeCell ref="P73:T73"/>
    <mergeCell ref="P244:T244"/>
    <mergeCell ref="P144:T144"/>
    <mergeCell ref="D187:E187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2026-07-15T09:38:34Z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