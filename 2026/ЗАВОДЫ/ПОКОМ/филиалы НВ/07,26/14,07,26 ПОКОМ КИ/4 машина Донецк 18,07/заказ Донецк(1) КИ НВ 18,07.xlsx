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4E9296A-5321-442B-8215-B056732F26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8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43" i="1" s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S543" i="1" s="1"/>
  <c r="P346" i="1"/>
  <c r="X343" i="1"/>
  <c r="X342" i="1"/>
  <c r="BO341" i="1"/>
  <c r="BM341" i="1"/>
  <c r="Y341" i="1"/>
  <c r="BP341" i="1" s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Y298" i="1" s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83" i="1" s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N249" i="1"/>
  <c r="BM249" i="1"/>
  <c r="Z249" i="1"/>
  <c r="Z251" i="1" s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1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5" i="1" s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Y227" i="1" s="1"/>
  <c r="P213" i="1"/>
  <c r="X211" i="1"/>
  <c r="X210" i="1"/>
  <c r="BO209" i="1"/>
  <c r="BM209" i="1"/>
  <c r="Y209" i="1"/>
  <c r="L543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43" i="1" s="1"/>
  <c r="P198" i="1"/>
  <c r="X194" i="1"/>
  <c r="X193" i="1"/>
  <c r="BO192" i="1"/>
  <c r="BM192" i="1"/>
  <c r="Y192" i="1"/>
  <c r="Y194" i="1" s="1"/>
  <c r="P192" i="1"/>
  <c r="X190" i="1"/>
  <c r="X189" i="1"/>
  <c r="BO188" i="1"/>
  <c r="BM188" i="1"/>
  <c r="Y188" i="1"/>
  <c r="Y190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Y184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8" i="1" s="1"/>
  <c r="P167" i="1"/>
  <c r="X165" i="1"/>
  <c r="Y164" i="1"/>
  <c r="X164" i="1"/>
  <c r="BP163" i="1"/>
  <c r="BO163" i="1"/>
  <c r="BN163" i="1"/>
  <c r="BM163" i="1"/>
  <c r="Z163" i="1"/>
  <c r="Z164" i="1" s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J543" i="1" s="1"/>
  <c r="P158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Y155" i="1" s="1"/>
  <c r="P151" i="1"/>
  <c r="BP150" i="1"/>
  <c r="BO150" i="1"/>
  <c r="BN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6" i="1" s="1"/>
  <c r="P144" i="1"/>
  <c r="X142" i="1"/>
  <c r="X141" i="1"/>
  <c r="BO140" i="1"/>
  <c r="BM140" i="1"/>
  <c r="Y140" i="1"/>
  <c r="Y142" i="1" s="1"/>
  <c r="P140" i="1"/>
  <c r="BP139" i="1"/>
  <c r="BO139" i="1"/>
  <c r="BN139" i="1"/>
  <c r="BM139" i="1"/>
  <c r="Z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H543" i="1" s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Y127" i="1" s="1"/>
  <c r="P123" i="1"/>
  <c r="BP122" i="1"/>
  <c r="BO122" i="1"/>
  <c r="BN122" i="1"/>
  <c r="BM122" i="1"/>
  <c r="Z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9" i="1" s="1"/>
  <c r="P113" i="1"/>
  <c r="BP112" i="1"/>
  <c r="BO112" i="1"/>
  <c r="BN112" i="1"/>
  <c r="BM112" i="1"/>
  <c r="Z112" i="1"/>
  <c r="Y112" i="1"/>
  <c r="Y120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P95" i="1"/>
  <c r="X93" i="1"/>
  <c r="Y92" i="1"/>
  <c r="X92" i="1"/>
  <c r="BP91" i="1"/>
  <c r="BO91" i="1"/>
  <c r="BN91" i="1"/>
  <c r="BM91" i="1"/>
  <c r="Z91" i="1"/>
  <c r="Y91" i="1"/>
  <c r="P91" i="1"/>
  <c r="BO90" i="1"/>
  <c r="BM90" i="1"/>
  <c r="Y90" i="1"/>
  <c r="P90" i="1"/>
  <c r="BP89" i="1"/>
  <c r="BO89" i="1"/>
  <c r="BN89" i="1"/>
  <c r="BM89" i="1"/>
  <c r="Z89" i="1"/>
  <c r="Y89" i="1"/>
  <c r="P89" i="1"/>
  <c r="BO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43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33" i="1" s="1"/>
  <c r="X24" i="1"/>
  <c r="X537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43" i="1"/>
  <c r="X534" i="1"/>
  <c r="X535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34" i="1" s="1"/>
  <c r="Y536" i="1" s="1"/>
  <c r="Y56" i="1"/>
  <c r="E543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Y93" i="1"/>
  <c r="BP88" i="1"/>
  <c r="BN88" i="1"/>
  <c r="BP90" i="1"/>
  <c r="BN90" i="1"/>
  <c r="Z90" i="1"/>
  <c r="Y99" i="1"/>
  <c r="BP98" i="1"/>
  <c r="BN98" i="1"/>
  <c r="Z98" i="1"/>
  <c r="G543" i="1"/>
  <c r="Y109" i="1"/>
  <c r="Y110" i="1"/>
  <c r="BP103" i="1"/>
  <c r="BN103" i="1"/>
  <c r="Z103" i="1"/>
  <c r="Z178" i="1"/>
  <c r="Z189" i="1"/>
  <c r="F9" i="1"/>
  <c r="J9" i="1"/>
  <c r="Y47" i="1"/>
  <c r="Y533" i="1" s="1"/>
  <c r="Y55" i="1"/>
  <c r="Y68" i="1"/>
  <c r="Z92" i="1"/>
  <c r="BP96" i="1"/>
  <c r="BN96" i="1"/>
  <c r="Z96" i="1"/>
  <c r="Z99" i="1" s="1"/>
  <c r="BP105" i="1"/>
  <c r="Y535" i="1" s="1"/>
  <c r="BN105" i="1"/>
  <c r="Z105" i="1"/>
  <c r="Z107" i="1"/>
  <c r="BN107" i="1"/>
  <c r="Z113" i="1"/>
  <c r="BN113" i="1"/>
  <c r="BP113" i="1"/>
  <c r="Z115" i="1"/>
  <c r="Z119" i="1" s="1"/>
  <c r="BN115" i="1"/>
  <c r="Z117" i="1"/>
  <c r="BN117" i="1"/>
  <c r="Z123" i="1"/>
  <c r="Z126" i="1" s="1"/>
  <c r="BN123" i="1"/>
  <c r="BP123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Z141" i="1" s="1"/>
  <c r="BN140" i="1"/>
  <c r="BP140" i="1"/>
  <c r="Z144" i="1"/>
  <c r="Z146" i="1" s="1"/>
  <c r="BN144" i="1"/>
  <c r="BP144" i="1"/>
  <c r="Y147" i="1"/>
  <c r="I543" i="1"/>
  <c r="Z151" i="1"/>
  <c r="BN151" i="1"/>
  <c r="BP151" i="1"/>
  <c r="Z153" i="1"/>
  <c r="Z154" i="1" s="1"/>
  <c r="BN153" i="1"/>
  <c r="Y154" i="1"/>
  <c r="Z158" i="1"/>
  <c r="Z160" i="1" s="1"/>
  <c r="BN158" i="1"/>
  <c r="BP158" i="1"/>
  <c r="Y161" i="1"/>
  <c r="Z168" i="1"/>
  <c r="BN168" i="1"/>
  <c r="Z170" i="1"/>
  <c r="BN170" i="1"/>
  <c r="Z172" i="1"/>
  <c r="BN172" i="1"/>
  <c r="Z174" i="1"/>
  <c r="BN174" i="1"/>
  <c r="Z176" i="1"/>
  <c r="BN176" i="1"/>
  <c r="Y179" i="1"/>
  <c r="Z182" i="1"/>
  <c r="Z184" i="1" s="1"/>
  <c r="BN182" i="1"/>
  <c r="BP182" i="1"/>
  <c r="Z188" i="1"/>
  <c r="BN188" i="1"/>
  <c r="BP188" i="1"/>
  <c r="Z192" i="1"/>
  <c r="Z193" i="1" s="1"/>
  <c r="BN192" i="1"/>
  <c r="BP192" i="1"/>
  <c r="Y193" i="1"/>
  <c r="Z198" i="1"/>
  <c r="Z205" i="1" s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Z227" i="1" s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Z235" i="1" s="1"/>
  <c r="BN231" i="1"/>
  <c r="Z233" i="1"/>
  <c r="BN233" i="1"/>
  <c r="Y236" i="1"/>
  <c r="Z239" i="1"/>
  <c r="Z241" i="1" s="1"/>
  <c r="BN239" i="1"/>
  <c r="Y242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8" i="1"/>
  <c r="BP285" i="1"/>
  <c r="BN285" i="1"/>
  <c r="Z285" i="1"/>
  <c r="Z287" i="1" s="1"/>
  <c r="BP294" i="1"/>
  <c r="BN294" i="1"/>
  <c r="Z294" i="1"/>
  <c r="Z435" i="1"/>
  <c r="Y136" i="1"/>
  <c r="Y160" i="1"/>
  <c r="Y206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Z282" i="1" s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Z298" i="1" s="1"/>
  <c r="Z388" i="1"/>
  <c r="Z526" i="1"/>
  <c r="Y312" i="1"/>
  <c r="Y321" i="1"/>
  <c r="Y328" i="1"/>
  <c r="Y337" i="1"/>
  <c r="Y343" i="1"/>
  <c r="Y350" i="1"/>
  <c r="Y359" i="1"/>
  <c r="Y369" i="1"/>
  <c r="Y375" i="1"/>
  <c r="Y381" i="1"/>
  <c r="Y389" i="1"/>
  <c r="Y395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Y527" i="1"/>
  <c r="AB543" i="1"/>
  <c r="Y531" i="1"/>
  <c r="BP530" i="1"/>
  <c r="BN530" i="1"/>
  <c r="Z530" i="1"/>
  <c r="Z531" i="1" s="1"/>
  <c r="Y532" i="1"/>
  <c r="O543" i="1"/>
  <c r="W543" i="1"/>
  <c r="Z310" i="1"/>
  <c r="Z312" i="1" s="1"/>
  <c r="BN310" i="1"/>
  <c r="P543" i="1"/>
  <c r="Z317" i="1"/>
  <c r="Z321" i="1" s="1"/>
  <c r="BN317" i="1"/>
  <c r="Z319" i="1"/>
  <c r="BN319" i="1"/>
  <c r="Y322" i="1"/>
  <c r="Q543" i="1"/>
  <c r="Z326" i="1"/>
  <c r="Z328" i="1" s="1"/>
  <c r="BN326" i="1"/>
  <c r="Y329" i="1"/>
  <c r="R543" i="1"/>
  <c r="Z333" i="1"/>
  <c r="Z337" i="1" s="1"/>
  <c r="BN333" i="1"/>
  <c r="Z335" i="1"/>
  <c r="BN335" i="1"/>
  <c r="Y338" i="1"/>
  <c r="Z341" i="1"/>
  <c r="Z342" i="1" s="1"/>
  <c r="BN341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Z375" i="1" s="1"/>
  <c r="BN371" i="1"/>
  <c r="BP371" i="1"/>
  <c r="Z373" i="1"/>
  <c r="BN373" i="1"/>
  <c r="Z379" i="1"/>
  <c r="Z381" i="1" s="1"/>
  <c r="BN379" i="1"/>
  <c r="Z385" i="1"/>
  <c r="BN385" i="1"/>
  <c r="Z387" i="1"/>
  <c r="BN387" i="1"/>
  <c r="Z391" i="1"/>
  <c r="BN391" i="1"/>
  <c r="BP391" i="1"/>
  <c r="Z393" i="1"/>
  <c r="BN393" i="1"/>
  <c r="Z398" i="1"/>
  <c r="Z401" i="1" s="1"/>
  <c r="BN398" i="1"/>
  <c r="BP398" i="1"/>
  <c r="Z400" i="1"/>
  <c r="BN400" i="1"/>
  <c r="Y401" i="1"/>
  <c r="BP407" i="1"/>
  <c r="BN407" i="1"/>
  <c r="Z407" i="1"/>
  <c r="Z414" i="1" s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502" i="1"/>
  <c r="Z420" i="1"/>
  <c r="Z456" i="1"/>
  <c r="Z394" i="1"/>
  <c r="Z368" i="1"/>
  <c r="Z358" i="1"/>
  <c r="Z349" i="1"/>
  <c r="Z472" i="1"/>
  <c r="Z445" i="1"/>
  <c r="Z267" i="1"/>
  <c r="Z109" i="1"/>
  <c r="Y537" i="1"/>
  <c r="Z46" i="1"/>
  <c r="Z538" i="1" s="1"/>
  <c r="Z32" i="1"/>
  <c r="X536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<sst xmlns="http://schemas.openxmlformats.org/spreadsheetml/2006/main" count="2407" uniqueCount="872">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</sst>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1463</v>
      </c>
      <c r="Y51" s="606">
        <f>IFERROR(IF(X51="",0,CEILING((X51/$H51),1)*$H51),"")</f>
        <v>1468.8000000000002</v>
      </c>
      <c r="Z51" s="36">
        <f>IFERROR(IF(Y51=0,"",ROUNDUP(Y51/H51,0)*0.01898),"")</f>
        <v>2.58128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1518.5398148148147</v>
      </c>
      <c r="BN51" s="64">
        <f>IFERROR(Y51*I51/H51,"0")</f>
        <v>1524.5600000000002</v>
      </c>
      <c r="BO51" s="64">
        <f>IFERROR(1/J51*(X51/H51),"0")</f>
        <v>2.1166087962962963</v>
      </c>
      <c r="BP51" s="64">
        <f>IFERROR(1/J51*(Y51/H51),"0")</f>
        <v>2.125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6</v>
      </c>
      <c r="Y53" s="606">
        <f>IFERROR(IF(X53="",0,CEILING((X53/$H53),1)*$H53),"")</f>
        <v>8</v>
      </c>
      <c r="Z53" s="36">
        <f>IFERROR(IF(Y53=0,"",ROUNDUP(Y53/H53,0)*0.00902),"")</f>
        <v>1.804E-2</v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6.2850000000000001</v>
      </c>
      <c r="BN53" s="64">
        <f>IFERROR(Y53*I53/H53,"0")</f>
        <v>8.3800000000000008</v>
      </c>
      <c r="BO53" s="64">
        <f>IFERROR(1/J53*(X53/H53),"0")</f>
        <v>1.1363636363636364E-2</v>
      </c>
      <c r="BP53" s="64">
        <f>IFERROR(1/J53*(Y53/H53),"0")</f>
        <v>1.5151515151515152E-2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136.96296296296296</v>
      </c>
      <c r="Y55" s="607">
        <f>IFERROR(Y51/H51,"0")+IFERROR(Y52/H52,"0")+IFERROR(Y53/H53,"0")+IFERROR(Y54/H54,"0")</f>
        <v>138</v>
      </c>
      <c r="Z55" s="607">
        <f>IFERROR(IF(Z51="",0,Z51),"0")+IFERROR(IF(Z52="",0,Z52),"0")+IFERROR(IF(Z53="",0,Z53),"0")+IFERROR(IF(Z54="",0,Z54),"0")</f>
        <v>2.5993200000000001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1469</v>
      </c>
      <c r="Y56" s="607">
        <f>IFERROR(SUM(Y51:Y54),"0")</f>
        <v>1476.8000000000002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298</v>
      </c>
      <c r="Y61" s="606">
        <f t="shared" si="0"/>
        <v>302.40000000000003</v>
      </c>
      <c r="Z61" s="36">
        <f>IFERROR(IF(Y61=0,"",ROUNDUP(Y61/H61,0)*0.01898),"")</f>
        <v>0.53144000000000002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309.31296296296296</v>
      </c>
      <c r="BN61" s="64">
        <f t="shared" si="2"/>
        <v>313.88</v>
      </c>
      <c r="BO61" s="64">
        <f t="shared" si="3"/>
        <v>0.43113425925925924</v>
      </c>
      <c r="BP61" s="64">
        <f t="shared" si="4"/>
        <v>0.4375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7</v>
      </c>
      <c r="Y64" s="606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7.3325000000000005</v>
      </c>
      <c r="BN64" s="64">
        <f t="shared" si="2"/>
        <v>8.3800000000000008</v>
      </c>
      <c r="BO64" s="64">
        <f t="shared" si="3"/>
        <v>1.3257575757575758E-2</v>
      </c>
      <c r="BP64" s="64">
        <f t="shared" si="4"/>
        <v>1.5151515151515152E-2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88</v>
      </c>
      <c r="Y66" s="606">
        <f t="shared" si="0"/>
        <v>90</v>
      </c>
      <c r="Z66" s="36">
        <f>IFERROR(IF(Y66=0,"",ROUNDUP(Y66/H66,0)*0.00902),"")</f>
        <v>0.1804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91.715555555555568</v>
      </c>
      <c r="BN66" s="64">
        <f t="shared" si="2"/>
        <v>93.800000000000011</v>
      </c>
      <c r="BO66" s="64">
        <f t="shared" si="3"/>
        <v>0.14814814814814817</v>
      </c>
      <c r="BP66" s="64">
        <f t="shared" si="4"/>
        <v>0.15151515151515152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48.898148148148152</v>
      </c>
      <c r="Y67" s="607">
        <f>IFERROR(Y59/H59,"0")+IFERROR(Y60/H60,"0")+IFERROR(Y61/H61,"0")+IFERROR(Y62/H62,"0")+IFERROR(Y63/H63,"0")+IFERROR(Y64/H64,"0")+IFERROR(Y65/H65,"0")+IFERROR(Y66/H66,"0")</f>
        <v>50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0.72987999999999997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393</v>
      </c>
      <c r="Y68" s="607">
        <f>IFERROR(SUM(Y59:Y66),"0")</f>
        <v>400.40000000000003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16</v>
      </c>
      <c r="Y70" s="606">
        <f>IFERROR(IF(X70="",0,CEILING((X70/$H70),1)*$H70),"")</f>
        <v>21.6</v>
      </c>
      <c r="Z70" s="36">
        <f>IFERROR(IF(Y70=0,"",ROUNDUP(Y70/H70,0)*0.01898),"")</f>
        <v>3.7960000000000001E-2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16.607407407407408</v>
      </c>
      <c r="BN70" s="64">
        <f>IFERROR(Y70*I70/H70,"0")</f>
        <v>22.42</v>
      </c>
      <c r="BO70" s="64">
        <f>IFERROR(1/J70*(X70/H70),"0")</f>
        <v>2.3148148148148147E-2</v>
      </c>
      <c r="BP70" s="64">
        <f>IFERROR(1/J70*(Y70/H70),"0")</f>
        <v>3.125E-2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1.4814814814814814</v>
      </c>
      <c r="Y74" s="607">
        <f>IFERROR(Y70/H70,"0")+IFERROR(Y71/H71,"0")+IFERROR(Y72/H72,"0")+IFERROR(Y73/H73,"0")</f>
        <v>2</v>
      </c>
      <c r="Z74" s="607">
        <f>IFERROR(IF(Z70="",0,Z70),"0")+IFERROR(IF(Z71="",0,Z71),"0")+IFERROR(IF(Z72="",0,Z72),"0")+IFERROR(IF(Z73="",0,Z73),"0")</f>
        <v>3.7960000000000001E-2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16</v>
      </c>
      <c r="Y75" s="607">
        <f>IFERROR(SUM(Y70:Y73),"0")</f>
        <v>21.6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6</v>
      </c>
      <c r="Y77" s="606">
        <f>IFERROR(IF(X77="",0,CEILING((X77/$H77),1)*$H77),"")</f>
        <v>7.2</v>
      </c>
      <c r="Z77" s="36">
        <f>IFERROR(IF(Y77=0,"",ROUNDUP(Y77/H77,0)*0.00651),"")</f>
        <v>2.6040000000000001E-2</v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6.8199999999999994</v>
      </c>
      <c r="BN77" s="64">
        <f>IFERROR(Y77*I77/H77,"0")</f>
        <v>8.1839999999999993</v>
      </c>
      <c r="BO77" s="64">
        <f>IFERROR(1/J77*(X77/H77),"0")</f>
        <v>1.8315018315018316E-2</v>
      </c>
      <c r="BP77" s="64">
        <f>IFERROR(1/J77*(Y77/H77),"0")</f>
        <v>2.197802197802198E-2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3.333333333333333</v>
      </c>
      <c r="Y79" s="607">
        <f>IFERROR(Y77/H77,"0")+IFERROR(Y78/H78,"0")</f>
        <v>4</v>
      </c>
      <c r="Z79" s="607">
        <f>IFERROR(IF(Z77="",0,Z77),"0")+IFERROR(IF(Z78="",0,Z78),"0")</f>
        <v>2.6040000000000001E-2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6</v>
      </c>
      <c r="Y80" s="607">
        <f>IFERROR(SUM(Y77:Y78),"0")</f>
        <v>7.2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280</v>
      </c>
      <c r="Y88" s="606">
        <f>IFERROR(IF(X88="",0,CEILING((X88/$H88),1)*$H88),"")</f>
        <v>280.8</v>
      </c>
      <c r="Z88" s="36">
        <f>IFERROR(IF(Y88=0,"",ROUNDUP(Y88/H88,0)*0.01898),"")</f>
        <v>0.49348000000000003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290.62962962962962</v>
      </c>
      <c r="BN88" s="64">
        <f>IFERROR(Y88*I88/H88,"0")</f>
        <v>291.46000000000004</v>
      </c>
      <c r="BO88" s="64">
        <f>IFERROR(1/J88*(X88/H88),"0")</f>
        <v>0.40509259259259256</v>
      </c>
      <c r="BP88" s="64">
        <f>IFERROR(1/J88*(Y88/H88),"0")</f>
        <v>0.40625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8</v>
      </c>
      <c r="Y89" s="606">
        <f>IFERROR(IF(X89="",0,CEILING((X89/$H89),1)*$H89),"")</f>
        <v>8.5</v>
      </c>
      <c r="Z89" s="36">
        <f>IFERROR(IF(Y89=0,"",ROUNDUP(Y89/H89,0)*0.00726),"")</f>
        <v>3.6299999999999999E-2</v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8.4705882352941178</v>
      </c>
      <c r="BN89" s="64">
        <f>IFERROR(Y89*I89/H89,"0")</f>
        <v>9</v>
      </c>
      <c r="BO89" s="64">
        <f>IFERROR(1/J89*(X89/H89),"0")</f>
        <v>2.4509803921568627E-2</v>
      </c>
      <c r="BP89" s="64">
        <f>IFERROR(1/J89*(Y89/H89),"0")</f>
        <v>2.6041666666666664E-2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88</v>
      </c>
      <c r="Y91" s="606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91.715555555555568</v>
      </c>
      <c r="BN91" s="64">
        <f>IFERROR(Y91*I91/H91,"0")</f>
        <v>93.800000000000011</v>
      </c>
      <c r="BO91" s="64">
        <f>IFERROR(1/J91*(X91/H91),"0")</f>
        <v>0.14814814814814817</v>
      </c>
      <c r="BP91" s="64">
        <f>IFERROR(1/J91*(Y91/H91),"0")</f>
        <v>0.15151515151515152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50.187363834422655</v>
      </c>
      <c r="Y92" s="607">
        <f>IFERROR(Y88/H88,"0")+IFERROR(Y89/H89,"0")+IFERROR(Y90/H90,"0")+IFERROR(Y91/H91,"0")</f>
        <v>51</v>
      </c>
      <c r="Z92" s="607">
        <f>IFERROR(IF(Z88="",0,Z88),"0")+IFERROR(IF(Z89="",0,Z89),"0")+IFERROR(IF(Z90="",0,Z90),"0")+IFERROR(IF(Z91="",0,Z91),"0")</f>
        <v>0.71018000000000003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376</v>
      </c>
      <c r="Y93" s="607">
        <f>IFERROR(SUM(Y88:Y91),"0")</f>
        <v>379.3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374</v>
      </c>
      <c r="Y95" s="606">
        <f>IFERROR(IF(X95="",0,CEILING((X95/$H95),1)*$H95),"")</f>
        <v>380.7</v>
      </c>
      <c r="Z95" s="36">
        <f>IFERROR(IF(Y95=0,"",ROUNDUP(Y95/H95,0)*0.01898),"")</f>
        <v>0.89205999999999996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396.80938271604941</v>
      </c>
      <c r="BN95" s="64">
        <f>IFERROR(Y95*I95/H95,"0")</f>
        <v>403.91799999999995</v>
      </c>
      <c r="BO95" s="64">
        <f>IFERROR(1/J95*(X95/H95),"0")</f>
        <v>0.72145061728395066</v>
      </c>
      <c r="BP95" s="64">
        <f>IFERROR(1/J95*(Y95/H95),"0")</f>
        <v>0.734375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450</v>
      </c>
      <c r="Y97" s="606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212.83950617283949</v>
      </c>
      <c r="Y99" s="607">
        <f>IFERROR(Y95/H95,"0")+IFERROR(Y96/H96,"0")+IFERROR(Y97/H97,"0")+IFERROR(Y98/H98,"0")</f>
        <v>214</v>
      </c>
      <c r="Z99" s="607">
        <f>IFERROR(IF(Z95="",0,Z95),"0")+IFERROR(IF(Z96="",0,Z96),"0")+IFERROR(IF(Z97="",0,Z97),"0")+IFERROR(IF(Z98="",0,Z98),"0")</f>
        <v>1.9792299999999998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824</v>
      </c>
      <c r="Y100" s="607">
        <f>IFERROR(SUM(Y95:Y98),"0")</f>
        <v>831.6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0</v>
      </c>
      <c r="Y109" s="607">
        <f>IFERROR(Y103/H103,"0")+IFERROR(Y104/H104,"0")+IFERROR(Y105/H105,"0")+IFERROR(Y106/H106,"0")+IFERROR(Y107/H107,"0")+IFERROR(Y108/H108,"0")</f>
        <v>0</v>
      </c>
      <c r="Z109" s="607">
        <f>IFERROR(IF(Z103="",0,Z103),"0")+IFERROR(IF(Z104="",0,Z104),"0")+IFERROR(IF(Z105="",0,Z105),"0")+IFERROR(IF(Z106="",0,Z106),"0")+IFERROR(IF(Z107="",0,Z107),"0")+IFERROR(IF(Z108="",0,Z108),"0")</f>
        <v>0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0</v>
      </c>
      <c r="Y110" s="607">
        <f>IFERROR(SUM(Y103:Y108),"0")</f>
        <v>0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998</v>
      </c>
      <c r="Y122" s="606">
        <f>IFERROR(IF(X122="",0,CEILING((X122/$H122),1)*$H122),"")</f>
        <v>1004.4</v>
      </c>
      <c r="Z122" s="36">
        <f>IFERROR(IF(Y122=0,"",ROUNDUP(Y122/H122,0)*0.01898),"")</f>
        <v>2.3535200000000001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1058.1264197530863</v>
      </c>
      <c r="BN122" s="64">
        <f>IFERROR(Y122*I122/H122,"0")</f>
        <v>1064.9119999999998</v>
      </c>
      <c r="BO122" s="64">
        <f>IFERROR(1/J122*(X122/H122),"0")</f>
        <v>1.9251543209876545</v>
      </c>
      <c r="BP122" s="64">
        <f>IFERROR(1/J122*(Y122/H122),"0")</f>
        <v>1.9375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292</v>
      </c>
      <c r="Y124" s="606">
        <f>IFERROR(IF(X124="",0,CEILING((X124/$H124),1)*$H124),"")</f>
        <v>294.3</v>
      </c>
      <c r="Z124" s="36">
        <f>IFERROR(IF(Y124=0,"",ROUNDUP(Y124/H124,0)*0.00651),"")</f>
        <v>0.70959000000000005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319.25333333333333</v>
      </c>
      <c r="BN124" s="64">
        <f>IFERROR(Y124*I124/H124,"0")</f>
        <v>321.76799999999997</v>
      </c>
      <c r="BO124" s="64">
        <f>IFERROR(1/J124*(X124/H124),"0")</f>
        <v>0.59422059422059426</v>
      </c>
      <c r="BP124" s="64">
        <f>IFERROR(1/J124*(Y124/H124),"0")</f>
        <v>0.59890109890109899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231.35802469135803</v>
      </c>
      <c r="Y126" s="607">
        <f>IFERROR(Y122/H122,"0")+IFERROR(Y123/H123,"0")+IFERROR(Y124/H124,"0")+IFERROR(Y125/H125,"0")</f>
        <v>233</v>
      </c>
      <c r="Z126" s="607">
        <f>IFERROR(IF(Z122="",0,Z122),"0")+IFERROR(IF(Z123="",0,Z123),"0")+IFERROR(IF(Z124="",0,Z124),"0")+IFERROR(IF(Z125="",0,Z125),"0")</f>
        <v>3.06311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1290</v>
      </c>
      <c r="Y127" s="607">
        <f>IFERROR(SUM(Y122:Y125),"0")</f>
        <v>1298.7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18</v>
      </c>
      <c r="Y129" s="606">
        <f>IFERROR(IF(X129="",0,CEILING((X129/$H129),1)*$H129),"")</f>
        <v>19.8</v>
      </c>
      <c r="Z129" s="36">
        <f>IFERROR(IF(Y129=0,"",ROUNDUP(Y129/H129,0)*0.00651),"")</f>
        <v>6.5100000000000005E-2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20.345454545454544</v>
      </c>
      <c r="BN129" s="64">
        <f>IFERROR(Y129*I129/H129,"0")</f>
        <v>22.380000000000003</v>
      </c>
      <c r="BO129" s="64">
        <f>IFERROR(1/J129*(X129/H129),"0")</f>
        <v>4.9950049950049959E-2</v>
      </c>
      <c r="BP129" s="64">
        <f>IFERROR(1/J129*(Y129/H129),"0")</f>
        <v>5.4945054945054951E-2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9.0909090909090917</v>
      </c>
      <c r="Y130" s="607">
        <f>IFERROR(Y129/H129,"0")</f>
        <v>10</v>
      </c>
      <c r="Z130" s="607">
        <f>IFERROR(IF(Z129="",0,Z129),"0")</f>
        <v>6.5100000000000005E-2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18</v>
      </c>
      <c r="Y131" s="607">
        <f>IFERROR(SUM(Y129:Y129),"0")</f>
        <v>19.8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24</v>
      </c>
      <c r="Y139" s="606">
        <f>IFERROR(IF(X139="",0,CEILING((X139/$H139),1)*$H139),"")</f>
        <v>25.2</v>
      </c>
      <c r="Z139" s="36">
        <f>IFERROR(IF(Y139=0,"",ROUNDUP(Y139/H139,0)*0.00651),"")</f>
        <v>5.8590000000000003E-2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26.297142857142859</v>
      </c>
      <c r="BN139" s="64">
        <f>IFERROR(Y139*I139/H139,"0")</f>
        <v>27.611999999999998</v>
      </c>
      <c r="BO139" s="64">
        <f>IFERROR(1/J139*(X139/H139),"0")</f>
        <v>4.709576138147567E-2</v>
      </c>
      <c r="BP139" s="64">
        <f>IFERROR(1/J139*(Y139/H139),"0")</f>
        <v>4.9450549450549455E-2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8.5714285714285712</v>
      </c>
      <c r="Y141" s="607">
        <f>IFERROR(Y139/H139,"0")+IFERROR(Y140/H140,"0")</f>
        <v>9</v>
      </c>
      <c r="Z141" s="607">
        <f>IFERROR(IF(Z139="",0,Z139),"0")+IFERROR(IF(Z140="",0,Z140),"0")</f>
        <v>5.8590000000000003E-2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24</v>
      </c>
      <c r="Y142" s="607">
        <f>IFERROR(SUM(Y139:Y140),"0")</f>
        <v>25.2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32</v>
      </c>
      <c r="Y167" s="606">
        <f t="shared" ref="Y167:Y177" si="15">IFERROR(IF(X167="",0,CEILING((X167/$H167),1)*$H167),"")</f>
        <v>35</v>
      </c>
      <c r="Z167" s="36">
        <f>IFERROR(IF(Y167=0,"",ROUNDUP(Y167/H167,0)*0.00902),"")</f>
        <v>9.0200000000000002E-2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33.737142857142857</v>
      </c>
      <c r="BN167" s="64">
        <f t="shared" ref="BN167:BN177" si="17">IFERROR(Y167*I167/H167,"0")</f>
        <v>36.9</v>
      </c>
      <c r="BO167" s="64">
        <f t="shared" ref="BO167:BO177" si="18">IFERROR(1/J167*(X167/H167),"0")</f>
        <v>6.9264069264069264E-2</v>
      </c>
      <c r="BP167" s="64">
        <f t="shared" ref="BP167:BP177" si="19">IFERROR(1/J167*(Y167/H167),"0")</f>
        <v>7.575757575757576E-2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40</v>
      </c>
      <c r="Y169" s="606">
        <f t="shared" si="15"/>
        <v>42</v>
      </c>
      <c r="Z169" s="36">
        <f>IFERROR(IF(Y169=0,"",ROUNDUP(Y169/H169,0)*0.00902),"")</f>
        <v>0.10824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42.171428571428571</v>
      </c>
      <c r="BN169" s="64">
        <f t="shared" si="17"/>
        <v>44.279999999999994</v>
      </c>
      <c r="BO169" s="64">
        <f t="shared" si="18"/>
        <v>8.658008658008659E-2</v>
      </c>
      <c r="BP169" s="64">
        <f t="shared" si="19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176</v>
      </c>
      <c r="Y170" s="606">
        <f t="shared" si="15"/>
        <v>178.5</v>
      </c>
      <c r="Z170" s="36">
        <f>IFERROR(IF(Y170=0,"",ROUNDUP(Y170/H170,0)*0.00902),"")</f>
        <v>0.46001999999999998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185.5542857142857</v>
      </c>
      <c r="BN170" s="64">
        <f t="shared" si="17"/>
        <v>188.19</v>
      </c>
      <c r="BO170" s="64">
        <f t="shared" si="18"/>
        <v>0.38095238095238093</v>
      </c>
      <c r="BP170" s="64">
        <f t="shared" si="19"/>
        <v>0.38636363636363635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20</v>
      </c>
      <c r="Y172" s="606">
        <f t="shared" si="15"/>
        <v>20.16</v>
      </c>
      <c r="Z172" s="36">
        <f>IFERROR(IF(Y172=0,"",ROUNDUP(Y172/H172,0)*0.00502),"")</f>
        <v>6.0240000000000002E-2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21.190476190476193</v>
      </c>
      <c r="BN172" s="64">
        <f t="shared" si="17"/>
        <v>21.36</v>
      </c>
      <c r="BO172" s="64">
        <f t="shared" si="18"/>
        <v>5.0875050875050884E-2</v>
      </c>
      <c r="BP172" s="64">
        <f t="shared" si="19"/>
        <v>5.1282051282051287E-2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77</v>
      </c>
      <c r="Y175" s="606">
        <f t="shared" si="15"/>
        <v>77.28</v>
      </c>
      <c r="Z175" s="36">
        <f>IFERROR(IF(Y175=0,"",ROUNDUP(Y175/H175,0)*0.00502),"")</f>
        <v>0.23092000000000001</v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81.583333333333343</v>
      </c>
      <c r="BN175" s="64">
        <f t="shared" si="17"/>
        <v>81.88000000000001</v>
      </c>
      <c r="BO175" s="64">
        <f t="shared" si="18"/>
        <v>0.1958689458689459</v>
      </c>
      <c r="BP175" s="64">
        <f t="shared" si="19"/>
        <v>0.1965811965811966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3</v>
      </c>
      <c r="Y176" s="606">
        <f t="shared" si="15"/>
        <v>3.6</v>
      </c>
      <c r="Z176" s="36">
        <f>IFERROR(IF(Y176=0,"",ROUNDUP(Y176/H176,0)*0.00417),"")</f>
        <v>1.668E-2</v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3.333333333333333</v>
      </c>
      <c r="BN176" s="64">
        <f t="shared" si="17"/>
        <v>4</v>
      </c>
      <c r="BO176" s="64">
        <f t="shared" si="18"/>
        <v>9.9206349206349183E-3</v>
      </c>
      <c r="BP176" s="64">
        <f t="shared" si="19"/>
        <v>1.1904761904761904E-2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49</v>
      </c>
      <c r="Y177" s="606">
        <f t="shared" si="15"/>
        <v>50.4</v>
      </c>
      <c r="Z177" s="36">
        <f>IFERROR(IF(Y177=0,"",ROUNDUP(Y177/H177,0)*0.00502),"")</f>
        <v>0.15060000000000001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51.916666666666671</v>
      </c>
      <c r="BN177" s="64">
        <f t="shared" si="17"/>
        <v>53.400000000000006</v>
      </c>
      <c r="BO177" s="64">
        <f t="shared" si="18"/>
        <v>0.12464387464387466</v>
      </c>
      <c r="BP177" s="64">
        <f t="shared" si="19"/>
        <v>0.12820512820512822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161.0952380952381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165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1.1169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397</v>
      </c>
      <c r="Y179" s="607">
        <f>IFERROR(SUM(Y167:Y177),"0")</f>
        <v>406.94000000000005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7</v>
      </c>
      <c r="Y183" s="606">
        <f>IFERROR(IF(X183="",0,CEILING((X183/$H183),1)*$H183),"")</f>
        <v>7.2</v>
      </c>
      <c r="Z183" s="36">
        <f>IFERROR(IF(Y183=0,"",ROUNDUP(Y183/H183,0)*0.00651),"")</f>
        <v>2.6040000000000001E-2</v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8.0033333333333321</v>
      </c>
      <c r="BN183" s="64">
        <f>IFERROR(Y183*I183/H183,"0")</f>
        <v>8.2319999999999993</v>
      </c>
      <c r="BO183" s="64">
        <f>IFERROR(1/J183*(X183/H183),"0")</f>
        <v>2.1367521367521368E-2</v>
      </c>
      <c r="BP183" s="64">
        <f>IFERROR(1/J183*(Y183/H183),"0")</f>
        <v>2.197802197802198E-2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3.8888888888888888</v>
      </c>
      <c r="Y184" s="607">
        <f>IFERROR(Y181/H181,"0")+IFERROR(Y182/H182,"0")+IFERROR(Y183/H183,"0")</f>
        <v>4</v>
      </c>
      <c r="Z184" s="607">
        <f>IFERROR(IF(Z181="",0,Z181),"0")+IFERROR(IF(Z182="",0,Z182),"0")+IFERROR(IF(Z183="",0,Z183),"0")</f>
        <v>2.6040000000000001E-2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7</v>
      </c>
      <c r="Y185" s="607">
        <f>IFERROR(SUM(Y181:Y183),"0")</f>
        <v>7.2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18</v>
      </c>
      <c r="Y215" s="606">
        <f t="shared" si="26"/>
        <v>21</v>
      </c>
      <c r="Z215" s="36">
        <f>IFERROR(IF(Y215=0,"",ROUNDUP(Y215/H215,0)*0.00902),"")</f>
        <v>4.5100000000000001E-2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18.814285714285713</v>
      </c>
      <c r="BN215" s="64">
        <f t="shared" si="28"/>
        <v>21.95</v>
      </c>
      <c r="BO215" s="64">
        <f t="shared" si="29"/>
        <v>3.2467532467532464E-2</v>
      </c>
      <c r="BP215" s="64">
        <f t="shared" si="30"/>
        <v>3.787878787878788E-2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5</v>
      </c>
      <c r="Y216" s="606">
        <f t="shared" si="26"/>
        <v>5.6000000000000005</v>
      </c>
      <c r="Z216" s="36">
        <f>IFERROR(IF(Y216=0,"",ROUNDUP(Y216/H216,0)*0.00556),"")</f>
        <v>3.8919999999999996E-2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5.8125</v>
      </c>
      <c r="BN216" s="64">
        <f t="shared" si="28"/>
        <v>6.5100000000000007</v>
      </c>
      <c r="BO216" s="64">
        <f t="shared" si="29"/>
        <v>2.48015873015873E-2</v>
      </c>
      <c r="BP216" s="64">
        <f t="shared" si="30"/>
        <v>2.7777777777777776E-2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41</v>
      </c>
      <c r="Y217" s="606">
        <f t="shared" si="26"/>
        <v>42</v>
      </c>
      <c r="Z217" s="36">
        <f t="shared" ref="Z217:Z222" si="31">IFERROR(IF(Y217=0,"",ROUNDUP(Y217/H217,0)*0.00502),"")</f>
        <v>0.1004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43.538095238095231</v>
      </c>
      <c r="BN217" s="64">
        <f t="shared" si="28"/>
        <v>44.599999999999994</v>
      </c>
      <c r="BO217" s="64">
        <f t="shared" si="29"/>
        <v>8.3435083435083435E-2</v>
      </c>
      <c r="BP217" s="64">
        <f t="shared" si="30"/>
        <v>8.5470085470085472E-2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70</v>
      </c>
      <c r="Y224" s="606">
        <f t="shared" si="26"/>
        <v>71.400000000000006</v>
      </c>
      <c r="Z224" s="36">
        <f>IFERROR(IF(Y224=0,"",ROUNDUP(Y224/H224,0)*0.00502),"")</f>
        <v>0.17068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73.333333333333329</v>
      </c>
      <c r="BN224" s="64">
        <f t="shared" si="28"/>
        <v>74.8</v>
      </c>
      <c r="BO224" s="64">
        <f t="shared" si="29"/>
        <v>0.14245014245014245</v>
      </c>
      <c r="BP224" s="64">
        <f t="shared" si="30"/>
        <v>0.14529914529914531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63.392857142857139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66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0.35509999999999997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134</v>
      </c>
      <c r="Y228" s="607">
        <f>IFERROR(SUM(Y213:Y226),"0")</f>
        <v>140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5</v>
      </c>
      <c r="Y239" s="60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3.9682539682539684</v>
      </c>
      <c r="Y241" s="607">
        <f>IFERROR(Y238/H238,"0")+IFERROR(Y239/H239,"0")+IFERROR(Y240/H240,"0")</f>
        <v>4</v>
      </c>
      <c r="Z241" s="607">
        <f>IFERROR(IF(Z238="",0,Z238),"0")+IFERROR(IF(Z239="",0,Z239),"0")+IFERROR(IF(Z240="",0,Z240),"0")</f>
        <v>2.3599999999999999E-2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5</v>
      </c>
      <c r="Y242" s="607">
        <f>IFERROR(SUM(Y238:Y240),"0")</f>
        <v>5.04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299</v>
      </c>
      <c r="Y261" s="606">
        <f t="shared" si="32"/>
        <v>302.40000000000003</v>
      </c>
      <c r="Z261" s="36">
        <f>IFERROR(IF(Y261=0,"",ROUNDUP(Y261/H261,0)*0.00902),"")</f>
        <v>0.50512000000000001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309.5203703703703</v>
      </c>
      <c r="BN261" s="64">
        <f t="shared" si="34"/>
        <v>313.04000000000002</v>
      </c>
      <c r="BO261" s="64">
        <f t="shared" si="35"/>
        <v>0.41947250280583614</v>
      </c>
      <c r="BP261" s="64">
        <f t="shared" si="36"/>
        <v>0.42424242424242425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75</v>
      </c>
      <c r="Y262" s="606">
        <f t="shared" si="32"/>
        <v>75.600000000000009</v>
      </c>
      <c r="Z262" s="36">
        <f>IFERROR(IF(Y262=0,"",ROUNDUP(Y262/H262,0)*0.00902),"")</f>
        <v>0.12628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77.638888888888886</v>
      </c>
      <c r="BN262" s="64">
        <f t="shared" si="34"/>
        <v>78.260000000000005</v>
      </c>
      <c r="BO262" s="64">
        <f t="shared" si="35"/>
        <v>0.10521885521885521</v>
      </c>
      <c r="BP262" s="64">
        <f t="shared" si="36"/>
        <v>0.10606060606060606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25</v>
      </c>
      <c r="Y263" s="606">
        <f t="shared" si="32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26.805555555555554</v>
      </c>
      <c r="BN263" s="64">
        <f t="shared" si="34"/>
        <v>27.019999999999996</v>
      </c>
      <c r="BO263" s="64">
        <f t="shared" si="35"/>
        <v>5.9354226020892693E-2</v>
      </c>
      <c r="BP263" s="64">
        <f t="shared" si="36"/>
        <v>5.9829059829059839E-2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28</v>
      </c>
      <c r="Y264" s="606">
        <f t="shared" si="32"/>
        <v>28.8</v>
      </c>
      <c r="Z264" s="36">
        <f>IFERROR(IF(Y264=0,"",ROUNDUP(Y264/H264,0)*0.00502),"")</f>
        <v>8.0320000000000003E-2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29.555555555555554</v>
      </c>
      <c r="BN264" s="64">
        <f t="shared" si="34"/>
        <v>30.4</v>
      </c>
      <c r="BO264" s="64">
        <f t="shared" si="35"/>
        <v>6.6476733143399816E-2</v>
      </c>
      <c r="BP264" s="64">
        <f t="shared" si="36"/>
        <v>6.8376068376068383E-2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98.703703703703695</v>
      </c>
      <c r="Y267" s="607">
        <f>IFERROR(Y259/H259,"0")+IFERROR(Y260/H260,"0")+IFERROR(Y261/H261,"0")+IFERROR(Y262/H262,"0")+IFERROR(Y263/H263,"0")+IFERROR(Y264/H264,"0")+IFERROR(Y265/H265,"0")+IFERROR(Y266/H266,"0")</f>
        <v>100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0.78200000000000003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427</v>
      </c>
      <c r="Y268" s="607">
        <f>IFERROR(SUM(Y259:Y266),"0")</f>
        <v>432.00000000000006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39</v>
      </c>
      <c r="Y270" s="606">
        <f t="shared" ref="Y270:Y281" si="37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41.378518518518518</v>
      </c>
      <c r="BN270" s="64">
        <f t="shared" ref="BN270:BN281" si="39">IFERROR(Y270*I270/H270,"0")</f>
        <v>42.97</v>
      </c>
      <c r="BO270" s="64">
        <f t="shared" ref="BO270:BO281" si="40">IFERROR(1/J270*(X270/H270),"0")</f>
        <v>7.5231481481481483E-2</v>
      </c>
      <c r="BP270" s="64">
        <f t="shared" ref="BP270:BP281" si="41">IFERROR(1/J270*(Y270/H270),"0")</f>
        <v>7.8125E-2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124</v>
      </c>
      <c r="Y273" s="606">
        <f t="shared" si="37"/>
        <v>124.8</v>
      </c>
      <c r="Z273" s="36">
        <f>IFERROR(IF(Y273=0,"",ROUNDUP(Y273/H273,0)*0.00651),"")</f>
        <v>0.33851999999999999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137.94999999999999</v>
      </c>
      <c r="BN273" s="64">
        <f t="shared" si="39"/>
        <v>138.84</v>
      </c>
      <c r="BO273" s="64">
        <f t="shared" si="40"/>
        <v>0.28388278388278393</v>
      </c>
      <c r="BP273" s="64">
        <f t="shared" si="41"/>
        <v>0.28571428571428575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406</v>
      </c>
      <c r="Y276" s="606">
        <f t="shared" si="37"/>
        <v>408</v>
      </c>
      <c r="Z276" s="36">
        <f>IFERROR(IF(Y276=0,"",ROUNDUP(Y276/H276,0)*0.00651),"")</f>
        <v>1.1067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448.63</v>
      </c>
      <c r="BN276" s="64">
        <f t="shared" si="39"/>
        <v>450.84000000000003</v>
      </c>
      <c r="BO276" s="64">
        <f t="shared" si="40"/>
        <v>0.92948717948717963</v>
      </c>
      <c r="BP276" s="64">
        <f t="shared" si="41"/>
        <v>0.93406593406593419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115</v>
      </c>
      <c r="Y278" s="606">
        <f t="shared" si="37"/>
        <v>115.19999999999999</v>
      </c>
      <c r="Z278" s="36">
        <f>IFERROR(IF(Y278=0,"",ROUNDUP(Y278/H278,0)*0.00651),"")</f>
        <v>0.31247999999999998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127.07500000000002</v>
      </c>
      <c r="BN278" s="64">
        <f t="shared" si="39"/>
        <v>127.29600000000001</v>
      </c>
      <c r="BO278" s="64">
        <f t="shared" si="40"/>
        <v>0.26327838827838834</v>
      </c>
      <c r="BP278" s="64">
        <f t="shared" si="41"/>
        <v>0.26373626373626374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101</v>
      </c>
      <c r="Y279" s="606">
        <f t="shared" si="37"/>
        <v>103.2</v>
      </c>
      <c r="Z279" s="36">
        <f>IFERROR(IF(Y279=0,"",ROUNDUP(Y279/H279,0)*0.00651),"")</f>
        <v>0.27993000000000001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111.60500000000002</v>
      </c>
      <c r="BN279" s="64">
        <f t="shared" si="39"/>
        <v>114.03600000000003</v>
      </c>
      <c r="BO279" s="64">
        <f t="shared" si="40"/>
        <v>0.23122710622710627</v>
      </c>
      <c r="BP279" s="64">
        <f t="shared" si="41"/>
        <v>0.23626373626373628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77</v>
      </c>
      <c r="Y280" s="606">
        <f t="shared" si="37"/>
        <v>79.2</v>
      </c>
      <c r="Z280" s="36">
        <f>IFERROR(IF(Y280=0,"",ROUNDUP(Y280/H280,0)*0.00651),"")</f>
        <v>0.21482999999999999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85.277500000000003</v>
      </c>
      <c r="BN280" s="64">
        <f t="shared" si="39"/>
        <v>87.713999999999999</v>
      </c>
      <c r="BO280" s="64">
        <f t="shared" si="40"/>
        <v>0.17628205128205132</v>
      </c>
      <c r="BP280" s="64">
        <f t="shared" si="41"/>
        <v>0.18131868131868134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347.73148148148147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351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2.3473600000000001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862</v>
      </c>
      <c r="Y283" s="607">
        <f>IFERROR(SUM(Y270:Y281),"0")</f>
        <v>870.90000000000009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6</v>
      </c>
      <c r="Y297" s="606">
        <f t="shared" si="42"/>
        <v>8</v>
      </c>
      <c r="Z297" s="36">
        <f>IFERROR(IF(Y297=0,"",ROUNDUP(Y297/H297,0)*0.00902),"")</f>
        <v>1.804E-2</v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6.2850000000000001</v>
      </c>
      <c r="BN297" s="64">
        <f t="shared" si="44"/>
        <v>8.3800000000000008</v>
      </c>
      <c r="BO297" s="64">
        <f t="shared" si="45"/>
        <v>1.1363636363636364E-2</v>
      </c>
      <c r="BP297" s="64">
        <f t="shared" si="46"/>
        <v>1.5151515151515152E-2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1.5</v>
      </c>
      <c r="Y298" s="607">
        <f>IFERROR(Y291/H291,"0")+IFERROR(Y292/H292,"0")+IFERROR(Y293/H293,"0")+IFERROR(Y294/H294,"0")+IFERROR(Y295/H295,"0")+IFERROR(Y296/H296,"0")+IFERROR(Y297/H297,"0")</f>
        <v>2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1.804E-2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6</v>
      </c>
      <c r="Y299" s="607">
        <f>IFERROR(SUM(Y291:Y297),"0")</f>
        <v>8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5</v>
      </c>
      <c r="Y305" s="606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5.4861111111111107</v>
      </c>
      <c r="BN305" s="64">
        <f>IFERROR(Y305*I305/H305,"0")</f>
        <v>5.9250000000000007</v>
      </c>
      <c r="BO305" s="64">
        <f>IFERROR(1/J305*(X305/H305),"0")</f>
        <v>1.2860082304526748E-2</v>
      </c>
      <c r="BP305" s="64">
        <f>IFERROR(1/J305*(Y305/H305),"0")</f>
        <v>1.3888888888888888E-2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2.7777777777777777</v>
      </c>
      <c r="Y306" s="607">
        <f>IFERROR(Y305/H305,"0")</f>
        <v>3</v>
      </c>
      <c r="Z306" s="607">
        <f>IFERROR(IF(Z305="",0,Z305),"0")</f>
        <v>1.77E-2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5</v>
      </c>
      <c r="Y307" s="607">
        <f>IFERROR(SUM(Y305:Y305),"0")</f>
        <v>5.4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4</v>
      </c>
      <c r="Y311" s="606">
        <f>IFERROR(IF(X311="",0,CEILING((X311/$H311),1)*$H311),"")</f>
        <v>4.5</v>
      </c>
      <c r="Z311" s="36">
        <f>IFERROR(IF(Y311=0,"",ROUNDUP(Y311/H311,0)*0.0059),"")</f>
        <v>2.9499999999999998E-2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4.844444444444445</v>
      </c>
      <c r="BN311" s="64">
        <f>IFERROR(Y311*I311/H311,"0")</f>
        <v>5.45</v>
      </c>
      <c r="BO311" s="64">
        <f>IFERROR(1/J311*(X311/H311),"0")</f>
        <v>2.0576131687242798E-2</v>
      </c>
      <c r="BP311" s="64">
        <f>IFERROR(1/J311*(Y311/H311),"0")</f>
        <v>2.3148148148148147E-2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4.4444444444444446</v>
      </c>
      <c r="Y312" s="607">
        <f>IFERROR(Y309/H309,"0")+IFERROR(Y310/H310,"0")+IFERROR(Y311/H311,"0")</f>
        <v>5</v>
      </c>
      <c r="Z312" s="607">
        <f>IFERROR(IF(Z309="",0,Z309),"0")+IFERROR(IF(Z310="",0,Z310),"0")+IFERROR(IF(Z311="",0,Z311),"0")</f>
        <v>2.9499999999999998E-2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4</v>
      </c>
      <c r="Y313" s="607">
        <f>IFERROR(SUM(Y309:Y311),"0")</f>
        <v>4.5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120</v>
      </c>
      <c r="Y326" s="606">
        <f>IFERROR(IF(X326="",0,CEILING((X326/$H326),1)*$H326),"")</f>
        <v>120</v>
      </c>
      <c r="Z326" s="36">
        <f>IFERROR(IF(Y326=0,"",ROUNDUP(Y326/H326,0)*0.00651),"")</f>
        <v>0.32550000000000001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132.60000000000002</v>
      </c>
      <c r="BN326" s="64">
        <f>IFERROR(Y326*I326/H326,"0")</f>
        <v>132.60000000000002</v>
      </c>
      <c r="BO326" s="64">
        <f>IFERROR(1/J326*(X326/H326),"0")</f>
        <v>0.27472527472527475</v>
      </c>
      <c r="BP326" s="64">
        <f>IFERROR(1/J326*(Y326/H326),"0")</f>
        <v>0.27472527472527475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50</v>
      </c>
      <c r="Y328" s="607">
        <f>IFERROR(Y325/H325,"0")+IFERROR(Y326/H326,"0")+IFERROR(Y327/H327,"0")</f>
        <v>50</v>
      </c>
      <c r="Z328" s="607">
        <f>IFERROR(IF(Z325="",0,Z325),"0")+IFERROR(IF(Z326="",0,Z326),"0")+IFERROR(IF(Z327="",0,Z327),"0")</f>
        <v>0.32550000000000001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120</v>
      </c>
      <c r="Y329" s="607">
        <f>IFERROR(SUM(Y325:Y327),"0")</f>
        <v>120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277</v>
      </c>
      <c r="Y347" s="606">
        <f>IFERROR(IF(X347="",0,CEILING((X347/$H347),1)*$H347),"")</f>
        <v>280.8</v>
      </c>
      <c r="Z347" s="36">
        <f>IFERROR(IF(Y347=0,"",ROUNDUP(Y347/H347,0)*0.01898),"")</f>
        <v>0.68328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291.56025641025644</v>
      </c>
      <c r="BN347" s="64">
        <f>IFERROR(Y347*I347/H347,"0")</f>
        <v>295.56000000000006</v>
      </c>
      <c r="BO347" s="64">
        <f>IFERROR(1/J347*(X347/H347),"0")</f>
        <v>0.55488782051282048</v>
      </c>
      <c r="BP347" s="64">
        <f>IFERROR(1/J347*(Y347/H347),"0")</f>
        <v>0.5625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35.512820512820511</v>
      </c>
      <c r="Y349" s="607">
        <f>IFERROR(Y346/H346,"0")+IFERROR(Y347/H347,"0")+IFERROR(Y348/H348,"0")</f>
        <v>36</v>
      </c>
      <c r="Z349" s="607">
        <f>IFERROR(IF(Z346="",0,Z346),"0")+IFERROR(IF(Z347="",0,Z347),"0")+IFERROR(IF(Z348="",0,Z348),"0")</f>
        <v>0.68328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277</v>
      </c>
      <c r="Y350" s="607">
        <f>IFERROR(SUM(Y346:Y348),"0")</f>
        <v>280.8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4</v>
      </c>
      <c r="Y354" s="606">
        <f>IFERROR(IF(X354="",0,CEILING((X354/$H354),1)*$H354),"")</f>
        <v>10.8</v>
      </c>
      <c r="Z354" s="36">
        <f>IFERROR(IF(Y354=0,"",ROUNDUP(Y354/H354,0)*0.01898),"")</f>
        <v>1.898E-2</v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4.1518518518518519</v>
      </c>
      <c r="BN354" s="64">
        <f>IFERROR(Y354*I354/H354,"0")</f>
        <v>11.21</v>
      </c>
      <c r="BO354" s="64">
        <f>IFERROR(1/J354*(X354/H354),"0")</f>
        <v>5.7870370370370367E-3</v>
      </c>
      <c r="BP354" s="64">
        <f>IFERROR(1/J354*(Y354/H354),"0")</f>
        <v>1.5625E-2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0.37037037037037035</v>
      </c>
      <c r="Y358" s="607">
        <f>IFERROR(Y353/H353,"0")+IFERROR(Y354/H354,"0")+IFERROR(Y355/H355,"0")+IFERROR(Y356/H356,"0")+IFERROR(Y357/H357,"0")</f>
        <v>1</v>
      </c>
      <c r="Z358" s="607">
        <f>IFERROR(IF(Z353="",0,Z353),"0")+IFERROR(IF(Z354="",0,Z354),"0")+IFERROR(IF(Z355="",0,Z355),"0")+IFERROR(IF(Z356="",0,Z356),"0")+IFERROR(IF(Z357="",0,Z357),"0")</f>
        <v>1.898E-2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4</v>
      </c>
      <c r="Y359" s="607">
        <f>IFERROR(SUM(Y353:Y357),"0")</f>
        <v>10.8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25</v>
      </c>
      <c r="Y367" s="606">
        <f t="shared" si="47"/>
        <v>25.2</v>
      </c>
      <c r="Z367" s="36">
        <f>IFERROR(IF(Y367=0,"",ROUNDUP(Y367/H367,0)*0.00651),"")</f>
        <v>9.1139999999999999E-2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28.166666666666668</v>
      </c>
      <c r="BN367" s="64">
        <f t="shared" si="49"/>
        <v>28.391999999999999</v>
      </c>
      <c r="BO367" s="64">
        <f t="shared" si="50"/>
        <v>7.6312576312576319E-2</v>
      </c>
      <c r="BP367" s="64">
        <f t="shared" si="51"/>
        <v>7.6923076923076927E-2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13.888888888888889</v>
      </c>
      <c r="Y368" s="607">
        <f>IFERROR(Y361/H361,"0")+IFERROR(Y362/H362,"0")+IFERROR(Y363/H363,"0")+IFERROR(Y364/H364,"0")+IFERROR(Y365/H365,"0")+IFERROR(Y366/H366,"0")+IFERROR(Y367/H367,"0")</f>
        <v>14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9.1139999999999999E-2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25</v>
      </c>
      <c r="Y369" s="607">
        <f>IFERROR(SUM(Y361:Y367),"0")</f>
        <v>25.2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700</v>
      </c>
      <c r="Y379" s="60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744.33333333333337</v>
      </c>
      <c r="BN379" s="64">
        <f>IFERROR(Y379*I379/H379,"0")</f>
        <v>746.46</v>
      </c>
      <c r="BO379" s="64">
        <f>IFERROR(1/J379*(X379/H379),"0")</f>
        <v>1.4022435897435899</v>
      </c>
      <c r="BP379" s="64">
        <f>IFERROR(1/J379*(Y379/H379),"0")</f>
        <v>1.40625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89.743589743589752</v>
      </c>
      <c r="Y381" s="607">
        <f>IFERROR(Y378/H378,"0")+IFERROR(Y379/H379,"0")+IFERROR(Y380/H380,"0")</f>
        <v>90</v>
      </c>
      <c r="Z381" s="607">
        <f>IFERROR(IF(Z378="",0,Z378),"0")+IFERROR(IF(Z379="",0,Z379),"0")+IFERROR(IF(Z380="",0,Z380),"0")</f>
        <v>1.7081999999999999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700</v>
      </c>
      <c r="Y382" s="607">
        <f>IFERROR(SUM(Y378:Y380),"0")</f>
        <v>702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4</v>
      </c>
      <c r="Y385" s="60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4.3026315789473681</v>
      </c>
      <c r="BN385" s="64">
        <f>IFERROR(Y385*I385/H385,"0")</f>
        <v>6.5399999999999991</v>
      </c>
      <c r="BO385" s="64">
        <f>IFERROR(1/J385*(X385/H385),"0")</f>
        <v>9.9681020733652318E-3</v>
      </c>
      <c r="BP385" s="64">
        <f>IFERROR(1/J385*(Y385/H385),"0")</f>
        <v>1.5151515151515152E-2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19</v>
      </c>
      <c r="Y386" s="606">
        <f>IFERROR(IF(X386="",0,CEILING((X386/$H386),1)*$H386),"")</f>
        <v>20.399999999999999</v>
      </c>
      <c r="Z386" s="36">
        <f>IFERROR(IF(Y386=0,"",ROUNDUP(Y386/H386,0)*0.00651),"")</f>
        <v>5.2080000000000001E-2</v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22.017647058823531</v>
      </c>
      <c r="BN386" s="64">
        <f>IFERROR(Y386*I386/H386,"0")</f>
        <v>23.64</v>
      </c>
      <c r="BO386" s="64">
        <f>IFERROR(1/J386*(X386/H386),"0")</f>
        <v>4.0939452704158594E-2</v>
      </c>
      <c r="BP386" s="64">
        <f>IFERROR(1/J386*(Y386/H386),"0")</f>
        <v>4.3956043956043959E-2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9</v>
      </c>
      <c r="Y387" s="606">
        <f>IFERROR(IF(X387="",0,CEILING((X387/$H387),1)*$H387),"")</f>
        <v>10.199999999999999</v>
      </c>
      <c r="Z387" s="36">
        <f>IFERROR(IF(Y387=0,"",ROUNDUP(Y387/H387,0)*0.00651),"")</f>
        <v>2.6040000000000001E-2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10.164705882352941</v>
      </c>
      <c r="BN387" s="64">
        <f>IFERROR(Y387*I387/H387,"0")</f>
        <v>11.52</v>
      </c>
      <c r="BO387" s="64">
        <f>IFERROR(1/J387*(X387/H387),"0")</f>
        <v>1.9392372333548808E-2</v>
      </c>
      <c r="BP387" s="64">
        <f>IFERROR(1/J387*(Y387/H387),"0")</f>
        <v>2.197802197802198E-2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12.296181630546956</v>
      </c>
      <c r="Y388" s="607">
        <f>IFERROR(Y384/H384,"0")+IFERROR(Y385/H385,"0")+IFERROR(Y386/H386,"0")+IFERROR(Y387/H387,"0")</f>
        <v>14</v>
      </c>
      <c r="Z388" s="607">
        <f>IFERROR(IF(Z384="",0,Z384),"0")+IFERROR(IF(Z385="",0,Z385),"0")+IFERROR(IF(Z386="",0,Z386),"0")+IFERROR(IF(Z387="",0,Z387),"0")</f>
        <v>9.6159999999999995E-2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32</v>
      </c>
      <c r="Y389" s="607">
        <f>IFERROR(SUM(Y384:Y387),"0")</f>
        <v>36.679999999999993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4</v>
      </c>
      <c r="Y391" s="606">
        <f>IFERROR(IF(X391="",0,CEILING((X391/$H391),1)*$H391),"")</f>
        <v>4</v>
      </c>
      <c r="Z391" s="36">
        <f>IFERROR(IF(Y391=0,"",ROUNDUP(Y391/H391,0)*0.00474),"")</f>
        <v>9.4800000000000006E-3</v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4.4800000000000004</v>
      </c>
      <c r="BN391" s="64">
        <f>IFERROR(Y391*I391/H391,"0")</f>
        <v>4.4800000000000004</v>
      </c>
      <c r="BO391" s="64">
        <f>IFERROR(1/J391*(X391/H391),"0")</f>
        <v>8.4033613445378148E-3</v>
      </c>
      <c r="BP391" s="64">
        <f>IFERROR(1/J391*(Y391/H391),"0")</f>
        <v>8.4033613445378148E-3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1</v>
      </c>
      <c r="Y392" s="606">
        <f>IFERROR(IF(X392="",0,CEILING((X392/$H392),1)*$H392),"")</f>
        <v>2</v>
      </c>
      <c r="Z392" s="36">
        <f>IFERROR(IF(Y392=0,"",ROUNDUP(Y392/H392,0)*0.00474),"")</f>
        <v>4.7400000000000003E-3</v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1.1200000000000001</v>
      </c>
      <c r="BN392" s="64">
        <f>IFERROR(Y392*I392/H392,"0")</f>
        <v>2.2400000000000002</v>
      </c>
      <c r="BO392" s="64">
        <f>IFERROR(1/J392*(X392/H392),"0")</f>
        <v>2.1008403361344537E-3</v>
      </c>
      <c r="BP392" s="64">
        <f>IFERROR(1/J392*(Y392/H392),"0")</f>
        <v>4.2016806722689074E-3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1</v>
      </c>
      <c r="Y393" s="606">
        <f>IFERROR(IF(X393="",0,CEILING((X393/$H393),1)*$H393),"")</f>
        <v>2</v>
      </c>
      <c r="Z393" s="36">
        <f>IFERROR(IF(Y393=0,"",ROUNDUP(Y393/H393,0)*0.00474),"")</f>
        <v>4.7400000000000003E-3</v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1.1200000000000001</v>
      </c>
      <c r="BN393" s="64">
        <f>IFERROR(Y393*I393/H393,"0")</f>
        <v>2.2400000000000002</v>
      </c>
      <c r="BO393" s="64">
        <f>IFERROR(1/J393*(X393/H393),"0")</f>
        <v>2.1008403361344537E-3</v>
      </c>
      <c r="BP393" s="64">
        <f>IFERROR(1/J393*(Y393/H393),"0")</f>
        <v>4.2016806722689074E-3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3</v>
      </c>
      <c r="Y394" s="607">
        <f>IFERROR(Y391/H391,"0")+IFERROR(Y392/H392,"0")+IFERROR(Y393/H393,"0")</f>
        <v>4</v>
      </c>
      <c r="Z394" s="607">
        <f>IFERROR(IF(Z391="",0,Z391),"0")+IFERROR(IF(Z392="",0,Z392),"0")+IFERROR(IF(Z393="",0,Z393),"0")</f>
        <v>1.8960000000000001E-2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6</v>
      </c>
      <c r="Y395" s="607">
        <f>IFERROR(SUM(Y391:Y393),"0")</f>
        <v>8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75</v>
      </c>
      <c r="Y399" s="606">
        <f>IFERROR(IF(X399="",0,CEILING((X399/$H399),1)*$H399),"")</f>
        <v>75.600000000000009</v>
      </c>
      <c r="Z399" s="36">
        <f>IFERROR(IF(Y399=0,"",ROUNDUP(Y399/H399,0)*0.00651),"")</f>
        <v>0.23436000000000001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83.999999999999986</v>
      </c>
      <c r="BN399" s="64">
        <f>IFERROR(Y399*I399/H399,"0")</f>
        <v>84.671999999999997</v>
      </c>
      <c r="BO399" s="64">
        <f>IFERROR(1/J399*(X399/H399),"0")</f>
        <v>0.19623233908948196</v>
      </c>
      <c r="BP399" s="64">
        <f>IFERROR(1/J399*(Y399/H399),"0")</f>
        <v>0.19780219780219782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22</v>
      </c>
      <c r="Y400" s="606">
        <f>IFERROR(IF(X400="",0,CEILING((X400/$H400),1)*$H400),"")</f>
        <v>23.1</v>
      </c>
      <c r="Z400" s="36">
        <f>IFERROR(IF(Y400=0,"",ROUNDUP(Y400/H400,0)*0.00651),"")</f>
        <v>7.1610000000000007E-2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24.514285714285712</v>
      </c>
      <c r="BN400" s="64">
        <f>IFERROR(Y400*I400/H400,"0")</f>
        <v>25.74</v>
      </c>
      <c r="BO400" s="64">
        <f>IFERROR(1/J400*(X400/H400),"0")</f>
        <v>5.7561486132914709E-2</v>
      </c>
      <c r="BP400" s="64">
        <f>IFERROR(1/J400*(Y400/H400),"0")</f>
        <v>6.0439560439560447E-2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46.19047619047619</v>
      </c>
      <c r="Y401" s="607">
        <f>IFERROR(Y398/H398,"0")+IFERROR(Y399/H399,"0")+IFERROR(Y400/H400,"0")</f>
        <v>47</v>
      </c>
      <c r="Z401" s="607">
        <f>IFERROR(IF(Z398="",0,Z398),"0")+IFERROR(IF(Z399="",0,Z399),"0")+IFERROR(IF(Z400="",0,Z400),"0")</f>
        <v>0.30597000000000002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97</v>
      </c>
      <c r="Y402" s="607">
        <f>IFERROR(SUM(Y398:Y400),"0")</f>
        <v>98.700000000000017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1366</v>
      </c>
      <c r="Y407" s="606">
        <f t="shared" si="52"/>
        <v>1380</v>
      </c>
      <c r="Z407" s="36">
        <f>IFERROR(IF(Y407=0,"",ROUNDUP(Y407/H407,0)*0.02175),"")</f>
        <v>2.0009999999999999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1408.8013333333333</v>
      </c>
      <c r="BN407" s="64">
        <f t="shared" si="54"/>
        <v>1423.2400000000002</v>
      </c>
      <c r="BO407" s="64">
        <f t="shared" si="55"/>
        <v>1.8972222222222221</v>
      </c>
      <c r="BP407" s="64">
        <f t="shared" si="56"/>
        <v>1.9166666666666665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581</v>
      </c>
      <c r="Y408" s="606">
        <f t="shared" si="52"/>
        <v>585</v>
      </c>
      <c r="Z408" s="36">
        <f>IFERROR(IF(Y408=0,"",ROUNDUP(Y408/H408,0)*0.02175),"")</f>
        <v>0.84824999999999995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599.20466666666664</v>
      </c>
      <c r="BN408" s="64">
        <f t="shared" si="54"/>
        <v>603.33000000000004</v>
      </c>
      <c r="BO408" s="64">
        <f t="shared" si="55"/>
        <v>0.80694444444444446</v>
      </c>
      <c r="BP408" s="64">
        <f t="shared" si="56"/>
        <v>0.8125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809</v>
      </c>
      <c r="Y409" s="606">
        <f t="shared" si="52"/>
        <v>810</v>
      </c>
      <c r="Z409" s="36">
        <f>IFERROR(IF(Y409=0,"",ROUNDUP(Y409/H409,0)*0.02175),"")</f>
        <v>1.1744999999999999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834.34866666666676</v>
      </c>
      <c r="BN409" s="64">
        <f t="shared" si="54"/>
        <v>835.38</v>
      </c>
      <c r="BO409" s="64">
        <f t="shared" si="55"/>
        <v>1.1236111111111109</v>
      </c>
      <c r="BP409" s="64">
        <f t="shared" si="56"/>
        <v>1.125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267</v>
      </c>
      <c r="Y410" s="606">
        <f t="shared" si="52"/>
        <v>270</v>
      </c>
      <c r="Z410" s="36">
        <f>IFERROR(IF(Y410=0,"",ROUNDUP(Y410/H410,0)*0.02175),"")</f>
        <v>0.39149999999999996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275.36599999999999</v>
      </c>
      <c r="BN410" s="64">
        <f t="shared" si="54"/>
        <v>278.46000000000004</v>
      </c>
      <c r="BO410" s="64">
        <f t="shared" si="55"/>
        <v>0.37083333333333335</v>
      </c>
      <c r="BP410" s="64">
        <f t="shared" si="56"/>
        <v>0.375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201.53333333333336</v>
      </c>
      <c r="Y414" s="607">
        <f>IFERROR(Y406/H406,"0")+IFERROR(Y407/H407,"0")+IFERROR(Y408/H408,"0")+IFERROR(Y409/H409,"0")+IFERROR(Y410/H410,"0")+IFERROR(Y411/H411,"0")+IFERROR(Y412/H412,"0")+IFERROR(Y413/H413,"0")</f>
        <v>203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4.4152499999999995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3023</v>
      </c>
      <c r="Y415" s="607">
        <f>IFERROR(SUM(Y406:Y413),"0")</f>
        <v>3045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925</v>
      </c>
      <c r="Y417" s="606">
        <f>IFERROR(IF(X417="",0,CEILING((X417/$H417),1)*$H417),"")</f>
        <v>930</v>
      </c>
      <c r="Z417" s="36">
        <f>IFERROR(IF(Y417=0,"",ROUNDUP(Y417/H417,0)*0.02175),"")</f>
        <v>1.3484999999999998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953.98333333333335</v>
      </c>
      <c r="BN417" s="64">
        <f>IFERROR(Y417*I417/H417,"0")</f>
        <v>959.14</v>
      </c>
      <c r="BO417" s="64">
        <f>IFERROR(1/J417*(X417/H417),"0")</f>
        <v>1.2847222222222221</v>
      </c>
      <c r="BP417" s="64">
        <f>IFERROR(1/J417*(Y417/H417),"0")</f>
        <v>1.2916666666666665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61.666666666666664</v>
      </c>
      <c r="Y420" s="607">
        <f>IFERROR(Y417/H417,"0")+IFERROR(Y418/H418,"0")+IFERROR(Y419/H419,"0")</f>
        <v>62</v>
      </c>
      <c r="Z420" s="607">
        <f>IFERROR(IF(Z417="",0,Z417),"0")+IFERROR(IF(Z418="",0,Z418),"0")+IFERROR(IF(Z419="",0,Z419),"0")</f>
        <v>1.3484999999999998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925</v>
      </c>
      <c r="Y421" s="607">
        <f>IFERROR(SUM(Y417:Y419),"0")</f>
        <v>930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2697</v>
      </c>
      <c r="Y442" s="606">
        <f>IFERROR(IF(X442="",0,CEILING((X442/$H442),1)*$H442),"")</f>
        <v>2700</v>
      </c>
      <c r="Z442" s="36">
        <f>IFERROR(IF(Y442=0,"",ROUNDUP(Y442/H442,0)*0.01898),"")</f>
        <v>5.694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2845.0353333333333</v>
      </c>
      <c r="BN442" s="64">
        <f>IFERROR(Y442*I442/H442,"0")</f>
        <v>2848.2</v>
      </c>
      <c r="BO442" s="64">
        <f>IFERROR(1/J442*(X442/H442),"0")</f>
        <v>4.682291666666667</v>
      </c>
      <c r="BP442" s="64">
        <f>IFERROR(1/J442*(Y442/H442),"0")</f>
        <v>4.6875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299.66666666666669</v>
      </c>
      <c r="Y445" s="607">
        <f>IFERROR(Y442/H442,"0")+IFERROR(Y443/H443,"0")+IFERROR(Y444/H444,"0")</f>
        <v>300</v>
      </c>
      <c r="Z445" s="607">
        <f>IFERROR(IF(Z442="",0,Z442),"0")+IFERROR(IF(Z443="",0,Z443),"0")+IFERROR(IF(Z444="",0,Z444),"0")</f>
        <v>5.694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2697</v>
      </c>
      <c r="Y446" s="607">
        <f>IFERROR(SUM(Y442:Y444),"0")</f>
        <v>2700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657</v>
      </c>
      <c r="Y480" s="606">
        <f t="shared" si="62"/>
        <v>660</v>
      </c>
      <c r="Z480" s="36">
        <f t="shared" si="63"/>
        <v>1.4950000000000001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700.55113636363626</v>
      </c>
      <c r="BN480" s="64">
        <f t="shared" si="65"/>
        <v>703.74999999999989</v>
      </c>
      <c r="BO480" s="64">
        <f t="shared" si="66"/>
        <v>1.1964597902097902</v>
      </c>
      <c r="BP480" s="64">
        <f t="shared" si="67"/>
        <v>1.2019230769230771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494</v>
      </c>
      <c r="Y482" s="606">
        <f t="shared" si="62"/>
        <v>496.32000000000005</v>
      </c>
      <c r="Z482" s="36">
        <f t="shared" si="63"/>
        <v>1.1242399999999999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526.74621212121201</v>
      </c>
      <c r="BN482" s="64">
        <f t="shared" si="65"/>
        <v>529.22</v>
      </c>
      <c r="BO482" s="64">
        <f t="shared" si="66"/>
        <v>0.89962121212121215</v>
      </c>
      <c r="BP482" s="64">
        <f t="shared" si="67"/>
        <v>0.90384615384615385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146</v>
      </c>
      <c r="Y484" s="606">
        <f t="shared" si="62"/>
        <v>148.79999999999998</v>
      </c>
      <c r="Z484" s="36">
        <f>IFERROR(IF(Y484=0,"",ROUNDUP(Y484/H484,0)*0.00902),"")</f>
        <v>0.27961999999999998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210.17916666666667</v>
      </c>
      <c r="BN484" s="64">
        <f t="shared" si="65"/>
        <v>214.20999999999998</v>
      </c>
      <c r="BO484" s="64">
        <f t="shared" si="66"/>
        <v>0.23042929292929296</v>
      </c>
      <c r="BP484" s="64">
        <f t="shared" si="67"/>
        <v>0.23484848484848483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91</v>
      </c>
      <c r="Y485" s="606">
        <f t="shared" si="62"/>
        <v>91.2</v>
      </c>
      <c r="Z485" s="36">
        <f>IFERROR(IF(Y485=0,"",ROUNDUP(Y485/H485,0)*0.00902),"")</f>
        <v>0.17138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131.00208333333336</v>
      </c>
      <c r="BN485" s="64">
        <f t="shared" si="65"/>
        <v>131.29000000000002</v>
      </c>
      <c r="BO485" s="64">
        <f t="shared" si="66"/>
        <v>0.1436237373737374</v>
      </c>
      <c r="BP485" s="64">
        <f t="shared" si="67"/>
        <v>0.14393939393939395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267.36742424242425</v>
      </c>
      <c r="Y486" s="607">
        <f>IFERROR(Y477/H477,"0")+IFERROR(Y478/H478,"0")+IFERROR(Y479/H479,"0")+IFERROR(Y480/H480,"0")+IFERROR(Y481/H481,"0")+IFERROR(Y482/H482,"0")+IFERROR(Y483/H483,"0")+IFERROR(Y484/H484,"0")+IFERROR(Y485/H485,"0")</f>
        <v>269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3.0702400000000001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1388</v>
      </c>
      <c r="Y487" s="607">
        <f>IFERROR(SUM(Y477:Y485),"0")</f>
        <v>1396.3200000000002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650</v>
      </c>
      <c r="Y489" s="606">
        <f>IFERROR(IF(X489="",0,CEILING((X489/$H489),1)*$H489),"")</f>
        <v>654.72</v>
      </c>
      <c r="Z489" s="36">
        <f>IFERROR(IF(Y489=0,"",ROUNDUP(Y489/H489,0)*0.01196),"")</f>
        <v>1.4830399999999999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693.08712121212113</v>
      </c>
      <c r="BN489" s="64">
        <f>IFERROR(Y489*I489/H489,"0")</f>
        <v>698.12</v>
      </c>
      <c r="BO489" s="64">
        <f>IFERROR(1/J489*(X489/H489),"0")</f>
        <v>1.1837121212121211</v>
      </c>
      <c r="BP489" s="64">
        <f>IFERROR(1/J489*(Y489/H489),"0")</f>
        <v>1.1923076923076923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300</v>
      </c>
      <c r="Y491" s="606">
        <f>IFERROR(IF(X491="",0,CEILING((X491/$H491),1)*$H491),"")</f>
        <v>302.39999999999998</v>
      </c>
      <c r="Z491" s="36">
        <f>IFERROR(IF(Y491=0,"",ROUNDUP(Y491/H491,0)*0.00902),"")</f>
        <v>0.56825999999999999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431.875</v>
      </c>
      <c r="BN491" s="64">
        <f>IFERROR(Y491*I491/H491,"0")</f>
        <v>435.33</v>
      </c>
      <c r="BO491" s="64">
        <f>IFERROR(1/J491*(X491/H491),"0")</f>
        <v>0.47348484848484851</v>
      </c>
      <c r="BP491" s="64">
        <f>IFERROR(1/J491*(Y491/H491),"0")</f>
        <v>0.47727272727272729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185.60606060606059</v>
      </c>
      <c r="Y492" s="607">
        <f>IFERROR(Y489/H489,"0")+IFERROR(Y490/H490,"0")+IFERROR(Y491/H491,"0")</f>
        <v>187</v>
      </c>
      <c r="Z492" s="607">
        <f>IFERROR(IF(Z489="",0,Z489),"0")+IFERROR(IF(Z490="",0,Z490),"0")+IFERROR(IF(Z491="",0,Z491),"0")</f>
        <v>2.0512999999999999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950</v>
      </c>
      <c r="Y493" s="607">
        <f>IFERROR(SUM(Y489:Y491),"0")</f>
        <v>957.12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260</v>
      </c>
      <c r="Y496" s="606">
        <f t="shared" si="68"/>
        <v>264</v>
      </c>
      <c r="Z496" s="36">
        <f>IFERROR(IF(Y496=0,"",ROUNDUP(Y496/H496,0)*0.01196),"")</f>
        <v>0.59799999999999998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277.23484848484844</v>
      </c>
      <c r="BN496" s="64">
        <f t="shared" si="70"/>
        <v>281.5</v>
      </c>
      <c r="BO496" s="64">
        <f t="shared" si="71"/>
        <v>0.47348484848484851</v>
      </c>
      <c r="BP496" s="64">
        <f t="shared" si="72"/>
        <v>0.48076923076923078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435</v>
      </c>
      <c r="Y497" s="606">
        <f t="shared" si="68"/>
        <v>438.24</v>
      </c>
      <c r="Z497" s="36">
        <f>IFERROR(IF(Y497=0,"",ROUNDUP(Y497/H497,0)*0.01196),"")</f>
        <v>0.99268000000000001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463.8352272727272</v>
      </c>
      <c r="BN497" s="64">
        <f t="shared" si="70"/>
        <v>467.29</v>
      </c>
      <c r="BO497" s="64">
        <f t="shared" si="71"/>
        <v>0.79217657342657333</v>
      </c>
      <c r="BP497" s="64">
        <f t="shared" si="72"/>
        <v>0.79807692307692313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131.62878787878788</v>
      </c>
      <c r="Y502" s="607">
        <f>IFERROR(Y495/H495,"0")+IFERROR(Y496/H496,"0")+IFERROR(Y497/H497,"0")+IFERROR(Y498/H498,"0")+IFERROR(Y499/H499,"0")+IFERROR(Y500/H500,"0")+IFERROR(Y501/H501,"0")</f>
        <v>133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1.5906799999999999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695</v>
      </c>
      <c r="Y503" s="607">
        <f>IFERROR(SUM(Y495:Y501),"0")</f>
        <v>702.24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17202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17353.440000000002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18350.83638163481</v>
      </c>
      <c r="Y534" s="607">
        <f>IFERROR(SUM(BN22:BN530),"0")</f>
        <v>18513.265000000003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30</v>
      </c>
      <c r="Y535" s="38">
        <f>ROUNDUP(SUM(BP22:BP530),0)</f>
        <v>30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19100.83638163481</v>
      </c>
      <c r="Y536" s="607">
        <f>GrossWeightTotalR+PalletQtyTotalR*25</f>
        <v>19263.265000000003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2788.6970705201616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2821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35.40381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1476.8000000000002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429.20000000000005</v>
      </c>
      <c r="F543" s="46">
        <f>IFERROR(Y88*1,"0")+IFERROR(Y89*1,"0")+IFERROR(Y90*1,"0")+IFERROR(Y91*1,"0")+IFERROR(Y95*1,"0")+IFERROR(Y96*1,"0")+IFERROR(Y97*1,"0")+IFERROR(Y98*1,"0")</f>
        <v>1210.9000000000001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1318.5</v>
      </c>
      <c r="H543" s="46">
        <f>IFERROR(Y134*1,"0")+IFERROR(Y135*1,"0")+IFERROR(Y139*1,"0")+IFERROR(Y140*1,"0")+IFERROR(Y144*1,"0")+IFERROR(Y145*1,"0")</f>
        <v>25.2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414.14000000000004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145.04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1302.9000000000001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17.899999999999999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120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280.8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782.68000000000006</v>
      </c>
      <c r="U543" s="46">
        <f>IFERROR(Y398*1,"0")+IFERROR(Y399*1,"0")+IFERROR(Y400*1,"0")</f>
        <v>98.700000000000017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3975</v>
      </c>
      <c r="W543" s="46">
        <f>IFERROR(Y433*1,"0")+IFERROR(Y434*1,"0")+IFERROR(Y438*1,"0")+IFERROR(Y442*1,"0")+IFERROR(Y443*1,"0")+IFERROR(Y444*1,"0")</f>
        <v>2700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3055.6800000000003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