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CC5852B3-D3E5-45F5-AC07-CDD1032D47E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заказа'!$B$186:$B$186</definedName>
    <definedName name="ProductId67">'Бланк заказа'!$B$191:$B$191</definedName>
    <definedName name="ProductId68">'Бланк заказа'!$B$197:$B$197</definedName>
    <definedName name="ProductId69">'Бланк заказа'!$B$198:$B$198</definedName>
    <definedName name="ProductId7">'Бланк заказа'!$B$28:$B$28</definedName>
    <definedName name="ProductId70">'Бланк заказа'!$B$199:$B$199</definedName>
    <definedName name="ProductId71">'Бланк заказа'!$B$200:$B$200</definedName>
    <definedName name="ProductId72">'Бланк заказа'!$B$206:$B$206</definedName>
    <definedName name="ProductId73">'Бланк заказа'!$B$210:$B$210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заказа'!$B$223:$B$223</definedName>
    <definedName name="ProductId79">'Бланк заказа'!$B$228:$B$228</definedName>
    <definedName name="ProductId8">'Бланк заказа'!$B$29:$B$29</definedName>
    <definedName name="ProductId80">'Бланк заказа'!$B$234:$B$234</definedName>
    <definedName name="ProductId81">'Бланк заказа'!$B$240:$B$240</definedName>
    <definedName name="ProductId82">'Бланк заказа'!$B$244:$B$244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заказа'!$B$265:$B$265</definedName>
    <definedName name="ProductId88">'Бланк заказа'!$B$266:$B$266</definedName>
    <definedName name="ProductId89">'Бланк заказа'!$B$267:$B$267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заказа'!$X$186:$X$186</definedName>
    <definedName name="SalesQty67">'Бланк заказа'!$X$191:$X$191</definedName>
    <definedName name="SalesQty68">'Бланк заказа'!$X$197:$X$197</definedName>
    <definedName name="SalesQty69">'Бланк заказа'!$X$198:$X$198</definedName>
    <definedName name="SalesQty7">'Бланк заказа'!$X$28:$X$28</definedName>
    <definedName name="SalesQty70">'Бланк заказа'!$X$199:$X$199</definedName>
    <definedName name="SalesQty71">'Бланк заказа'!$X$200:$X$200</definedName>
    <definedName name="SalesQty72">'Бланк заказа'!$X$206:$X$206</definedName>
    <definedName name="SalesQty73">'Бланк заказа'!$X$210:$X$210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заказа'!$X$223:$X$223</definedName>
    <definedName name="SalesQty79">'Бланк заказа'!$X$228:$X$228</definedName>
    <definedName name="SalesQty8">'Бланк заказа'!$X$29:$X$29</definedName>
    <definedName name="SalesQty80">'Бланк заказа'!$X$234:$X$234</definedName>
    <definedName name="SalesQty81">'Бланк заказа'!$X$240:$X$240</definedName>
    <definedName name="SalesQty82">'Бланк заказа'!$X$244:$X$244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заказа'!$X$265:$X$265</definedName>
    <definedName name="SalesQty88">'Бланк заказа'!$X$266:$X$266</definedName>
    <definedName name="SalesQty89">'Бланк заказа'!$X$267:$X$267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заказа'!$Y$186:$Y$186</definedName>
    <definedName name="SalesRoundBox67">'Бланк заказа'!$Y$191:$Y$191</definedName>
    <definedName name="SalesRoundBox68">'Бланк заказа'!$Y$197:$Y$197</definedName>
    <definedName name="SalesRoundBox69">'Бланк заказа'!$Y$198:$Y$198</definedName>
    <definedName name="SalesRoundBox7">'Бланк заказа'!$Y$28:$Y$28</definedName>
    <definedName name="SalesRoundBox70">'Бланк заказа'!$Y$199:$Y$199</definedName>
    <definedName name="SalesRoundBox71">'Бланк заказа'!$Y$200:$Y$200</definedName>
    <definedName name="SalesRoundBox72">'Бланк заказа'!$Y$206:$Y$206</definedName>
    <definedName name="SalesRoundBox73">'Бланк заказа'!$Y$210:$Y$210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заказа'!$Y$223:$Y$223</definedName>
    <definedName name="SalesRoundBox79">'Бланк заказа'!$Y$228:$Y$228</definedName>
    <definedName name="SalesRoundBox8">'Бланк заказа'!$Y$29:$Y$29</definedName>
    <definedName name="SalesRoundBox80">'Бланк заказа'!$Y$234:$Y$234</definedName>
    <definedName name="SalesRoundBox81">'Бланк заказа'!$Y$240:$Y$240</definedName>
    <definedName name="SalesRoundBox82">'Бланк заказа'!$Y$244:$Y$244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заказа'!$Y$265:$Y$265</definedName>
    <definedName name="SalesRoundBox88">'Бланк заказа'!$Y$266:$Y$266</definedName>
    <definedName name="SalesRoundBox89">'Бланк заказа'!$Y$267:$Y$267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заказа'!$W$186:$W$186</definedName>
    <definedName name="UnitOfMeasure67">'Бланк заказа'!$W$191:$W$191</definedName>
    <definedName name="UnitOfMeasure68">'Бланк заказа'!$W$197:$W$197</definedName>
    <definedName name="UnitOfMeasure69">'Бланк заказа'!$W$198:$W$198</definedName>
    <definedName name="UnitOfMeasure7">'Бланк заказа'!$W$28:$W$28</definedName>
    <definedName name="UnitOfMeasure70">'Бланк заказа'!$W$199:$W$199</definedName>
    <definedName name="UnitOfMeasure71">'Бланк заказа'!$W$200:$W$200</definedName>
    <definedName name="UnitOfMeasure72">'Бланк заказа'!$W$206:$W$206</definedName>
    <definedName name="UnitOfMeasure73">'Бланк заказа'!$W$210:$W$210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заказа'!$W$223:$W$223</definedName>
    <definedName name="UnitOfMeasure79">'Бланк заказа'!$W$228:$W$228</definedName>
    <definedName name="UnitOfMeasure8">'Бланк заказа'!$W$29:$W$29</definedName>
    <definedName name="UnitOfMeasure80">'Бланк заказа'!$W$234:$W$234</definedName>
    <definedName name="UnitOfMeasure81">'Бланк заказа'!$W$240:$W$240</definedName>
    <definedName name="UnitOfMeasure82">'Бланк заказа'!$W$244:$W$244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заказа'!$W$265:$W$265</definedName>
    <definedName name="UnitOfMeasure88">'Бланк заказа'!$W$266:$W$266</definedName>
    <definedName name="UnitOfMeasure89">'Бланк заказа'!$W$267:$W$267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P228" i="1"/>
  <c r="Y225" i="1"/>
  <c r="X225" i="1"/>
  <c r="Z224" i="1"/>
  <c r="X224" i="1"/>
  <c r="BO223" i="1"/>
  <c r="BM223" i="1"/>
  <c r="Z223" i="1"/>
  <c r="Y223" i="1"/>
  <c r="P223" i="1"/>
  <c r="X220" i="1"/>
  <c r="X219" i="1"/>
  <c r="BO218" i="1"/>
  <c r="BM218" i="1"/>
  <c r="Z218" i="1"/>
  <c r="Y218" i="1"/>
  <c r="P218" i="1"/>
  <c r="BP217" i="1"/>
  <c r="BO217" i="1"/>
  <c r="BN217" i="1"/>
  <c r="BM217" i="1"/>
  <c r="Z217" i="1"/>
  <c r="Z219" i="1" s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Z211" i="1"/>
  <c r="Y211" i="1"/>
  <c r="P211" i="1"/>
  <c r="BP210" i="1"/>
  <c r="BO210" i="1"/>
  <c r="BN210" i="1"/>
  <c r="BM210" i="1"/>
  <c r="Z210" i="1"/>
  <c r="Z213" i="1" s="1"/>
  <c r="Y210" i="1"/>
  <c r="P210" i="1"/>
  <c r="X208" i="1"/>
  <c r="Y207" i="1"/>
  <c r="X207" i="1"/>
  <c r="BP206" i="1"/>
  <c r="BO206" i="1"/>
  <c r="BN206" i="1"/>
  <c r="BM206" i="1"/>
  <c r="Z206" i="1"/>
  <c r="Z207" i="1" s="1"/>
  <c r="Y206" i="1"/>
  <c r="Y208" i="1" s="1"/>
  <c r="P206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Y193" i="1"/>
  <c r="X193" i="1"/>
  <c r="Z192" i="1"/>
  <c r="X192" i="1"/>
  <c r="BO191" i="1"/>
  <c r="BM191" i="1"/>
  <c r="Z191" i="1"/>
  <c r="Y191" i="1"/>
  <c r="P191" i="1"/>
  <c r="X188" i="1"/>
  <c r="Z187" i="1"/>
  <c r="X187" i="1"/>
  <c r="BO186" i="1"/>
  <c r="BM186" i="1"/>
  <c r="Z186" i="1"/>
  <c r="Y186" i="1"/>
  <c r="P186" i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Y183" i="1" s="1"/>
  <c r="P181" i="1"/>
  <c r="X177" i="1"/>
  <c r="Y176" i="1"/>
  <c r="X176" i="1"/>
  <c r="BP175" i="1"/>
  <c r="BO175" i="1"/>
  <c r="BN175" i="1"/>
  <c r="BM175" i="1"/>
  <c r="Z175" i="1"/>
  <c r="Z176" i="1" s="1"/>
  <c r="Y175" i="1"/>
  <c r="Y177" i="1" s="1"/>
  <c r="P175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7" i="1"/>
  <c r="Y166" i="1"/>
  <c r="X166" i="1"/>
  <c r="BP165" i="1"/>
  <c r="BO165" i="1"/>
  <c r="BN165" i="1"/>
  <c r="BM165" i="1"/>
  <c r="Z165" i="1"/>
  <c r="Z166" i="1" s="1"/>
  <c r="Y165" i="1"/>
  <c r="Y167" i="1" s="1"/>
  <c r="P165" i="1"/>
  <c r="X162" i="1"/>
  <c r="X161" i="1"/>
  <c r="BP160" i="1"/>
  <c r="BO160" i="1"/>
  <c r="BN160" i="1"/>
  <c r="BM160" i="1"/>
  <c r="Z160" i="1"/>
  <c r="Y160" i="1"/>
  <c r="P160" i="1"/>
  <c r="BO159" i="1"/>
  <c r="BM159" i="1"/>
  <c r="Z159" i="1"/>
  <c r="Z161" i="1" s="1"/>
  <c r="Y159" i="1"/>
  <c r="P159" i="1"/>
  <c r="X156" i="1"/>
  <c r="X155" i="1"/>
  <c r="BO154" i="1"/>
  <c r="BM154" i="1"/>
  <c r="Z154" i="1"/>
  <c r="Y154" i="1"/>
  <c r="P154" i="1"/>
  <c r="BP153" i="1"/>
  <c r="BO153" i="1"/>
  <c r="BN153" i="1"/>
  <c r="BM153" i="1"/>
  <c r="Z153" i="1"/>
  <c r="Z155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Z147" i="1"/>
  <c r="Y147" i="1"/>
  <c r="Y150" i="1" s="1"/>
  <c r="P147" i="1"/>
  <c r="X144" i="1"/>
  <c r="X143" i="1"/>
  <c r="BO142" i="1"/>
  <c r="BM142" i="1"/>
  <c r="Z142" i="1"/>
  <c r="Y142" i="1"/>
  <c r="BP142" i="1" s="1"/>
  <c r="P142" i="1"/>
  <c r="BP141" i="1"/>
  <c r="BO141" i="1"/>
  <c r="BN141" i="1"/>
  <c r="BM141" i="1"/>
  <c r="Z141" i="1"/>
  <c r="Z143" i="1" s="1"/>
  <c r="Y141" i="1"/>
  <c r="P141" i="1"/>
  <c r="BO140" i="1"/>
  <c r="BM140" i="1"/>
  <c r="Z140" i="1"/>
  <c r="Y140" i="1"/>
  <c r="Y143" i="1" s="1"/>
  <c r="P140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P135" i="1"/>
  <c r="BO134" i="1"/>
  <c r="BM134" i="1"/>
  <c r="Z134" i="1"/>
  <c r="Y134" i="1"/>
  <c r="Y137" i="1" s="1"/>
  <c r="P134" i="1"/>
  <c r="X131" i="1"/>
  <c r="Z130" i="1"/>
  <c r="X130" i="1"/>
  <c r="BO129" i="1"/>
  <c r="BM129" i="1"/>
  <c r="Z129" i="1"/>
  <c r="Y129" i="1"/>
  <c r="Y130" i="1" s="1"/>
  <c r="P129" i="1"/>
  <c r="X127" i="1"/>
  <c r="Z126" i="1"/>
  <c r="X126" i="1"/>
  <c r="BO125" i="1"/>
  <c r="BM125" i="1"/>
  <c r="Z125" i="1"/>
  <c r="Y125" i="1"/>
  <c r="Y126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Z122" i="1" s="1"/>
  <c r="Y116" i="1"/>
  <c r="P116" i="1"/>
  <c r="BO115" i="1"/>
  <c r="BM115" i="1"/>
  <c r="Z115" i="1"/>
  <c r="Y115" i="1"/>
  <c r="Y122" i="1" s="1"/>
  <c r="P115" i="1"/>
  <c r="X112" i="1"/>
  <c r="X111" i="1"/>
  <c r="BO110" i="1"/>
  <c r="BM110" i="1"/>
  <c r="Z110" i="1"/>
  <c r="Y110" i="1"/>
  <c r="BP110" i="1" s="1"/>
  <c r="P110" i="1"/>
  <c r="BP109" i="1"/>
  <c r="BO109" i="1"/>
  <c r="BN109" i="1"/>
  <c r="BM109" i="1"/>
  <c r="Z109" i="1"/>
  <c r="Z111" i="1" s="1"/>
  <c r="Y109" i="1"/>
  <c r="Y111" i="1" s="1"/>
  <c r="P109" i="1"/>
  <c r="X106" i="1"/>
  <c r="X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Z105" i="1" s="1"/>
  <c r="Y99" i="1"/>
  <c r="Y106" i="1" s="1"/>
  <c r="P99" i="1"/>
  <c r="X96" i="1"/>
  <c r="X95" i="1"/>
  <c r="BO94" i="1"/>
  <c r="BM94" i="1"/>
  <c r="Z94" i="1"/>
  <c r="Y94" i="1"/>
  <c r="BP94" i="1" s="1"/>
  <c r="P94" i="1"/>
  <c r="BP93" i="1"/>
  <c r="BO93" i="1"/>
  <c r="BN93" i="1"/>
  <c r="BM93" i="1"/>
  <c r="Z93" i="1"/>
  <c r="Z95" i="1" s="1"/>
  <c r="Y93" i="1"/>
  <c r="Y95" i="1" s="1"/>
  <c r="P93" i="1"/>
  <c r="X90" i="1"/>
  <c r="Y89" i="1"/>
  <c r="X89" i="1"/>
  <c r="BP88" i="1"/>
  <c r="BO88" i="1"/>
  <c r="BN88" i="1"/>
  <c r="BM88" i="1"/>
  <c r="Z88" i="1"/>
  <c r="Z89" i="1" s="1"/>
  <c r="Y88" i="1"/>
  <c r="Y90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Z82" i="1"/>
  <c r="Z84" i="1" s="1"/>
  <c r="Y82" i="1"/>
  <c r="Y85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BO75" i="1"/>
  <c r="BM75" i="1"/>
  <c r="Z75" i="1"/>
  <c r="Y75" i="1"/>
  <c r="Y78" i="1" s="1"/>
  <c r="P75" i="1"/>
  <c r="X73" i="1"/>
  <c r="X72" i="1"/>
  <c r="BO71" i="1"/>
  <c r="BM71" i="1"/>
  <c r="Z71" i="1"/>
  <c r="Y71" i="1"/>
  <c r="BP71" i="1" s="1"/>
  <c r="P71" i="1"/>
  <c r="BP70" i="1"/>
  <c r="BO70" i="1"/>
  <c r="BN70" i="1"/>
  <c r="BM70" i="1"/>
  <c r="Z70" i="1"/>
  <c r="Z72" i="1" s="1"/>
  <c r="Y70" i="1"/>
  <c r="Y72" i="1" s="1"/>
  <c r="P70" i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P62" i="1"/>
  <c r="X59" i="1"/>
  <c r="X58" i="1"/>
  <c r="BP57" i="1"/>
  <c r="BO57" i="1"/>
  <c r="BN57" i="1"/>
  <c r="BM57" i="1"/>
  <c r="Z57" i="1"/>
  <c r="Y57" i="1"/>
  <c r="P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Z58" i="1" s="1"/>
  <c r="Y54" i="1"/>
  <c r="Y59" i="1" s="1"/>
  <c r="P54" i="1"/>
  <c r="X51" i="1"/>
  <c r="X50" i="1"/>
  <c r="BO49" i="1"/>
  <c r="BM49" i="1"/>
  <c r="Z49" i="1"/>
  <c r="Y49" i="1"/>
  <c r="BP49" i="1" s="1"/>
  <c r="P49" i="1"/>
  <c r="BP48" i="1"/>
  <c r="BO48" i="1"/>
  <c r="BN48" i="1"/>
  <c r="BM48" i="1"/>
  <c r="Z48" i="1"/>
  <c r="Z50" i="1" s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7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7" i="1" s="1"/>
  <c r="Y44" i="1"/>
  <c r="Y51" i="1"/>
  <c r="Y58" i="1"/>
  <c r="Y73" i="1"/>
  <c r="Y79" i="1"/>
  <c r="Y84" i="1"/>
  <c r="Y96" i="1"/>
  <c r="Y105" i="1"/>
  <c r="Y112" i="1"/>
  <c r="Y123" i="1"/>
  <c r="Y127" i="1"/>
  <c r="Y131" i="1"/>
  <c r="Y138" i="1"/>
  <c r="Y144" i="1"/>
  <c r="Y149" i="1"/>
  <c r="BP154" i="1"/>
  <c r="BN154" i="1"/>
  <c r="Y187" i="1"/>
  <c r="BP186" i="1"/>
  <c r="BN186" i="1"/>
  <c r="Y202" i="1"/>
  <c r="BP197" i="1"/>
  <c r="BN197" i="1"/>
  <c r="BP199" i="1"/>
  <c r="BN199" i="1"/>
  <c r="Y201" i="1"/>
  <c r="BP211" i="1"/>
  <c r="BN211" i="1"/>
  <c r="Y213" i="1"/>
  <c r="BP218" i="1"/>
  <c r="BN218" i="1"/>
  <c r="Y229" i="1"/>
  <c r="BP228" i="1"/>
  <c r="BN228" i="1"/>
  <c r="Y241" i="1"/>
  <c r="BP240" i="1"/>
  <c r="BN240" i="1"/>
  <c r="Y251" i="1"/>
  <c r="BP250" i="1"/>
  <c r="BN250" i="1"/>
  <c r="H9" i="1"/>
  <c r="X284" i="1"/>
  <c r="X285" i="1"/>
  <c r="BN23" i="1"/>
  <c r="Y284" i="1" s="1"/>
  <c r="BN25" i="1"/>
  <c r="BN27" i="1"/>
  <c r="BN29" i="1"/>
  <c r="X283" i="1"/>
  <c r="BN34" i="1"/>
  <c r="BP34" i="1"/>
  <c r="Y285" i="1" s="1"/>
  <c r="BN42" i="1"/>
  <c r="BN47" i="1"/>
  <c r="BP47" i="1"/>
  <c r="BN49" i="1"/>
  <c r="BN54" i="1"/>
  <c r="BP54" i="1"/>
  <c r="BN56" i="1"/>
  <c r="BN71" i="1"/>
  <c r="BN75" i="1"/>
  <c r="BP75" i="1"/>
  <c r="BN77" i="1"/>
  <c r="BN82" i="1"/>
  <c r="BP82" i="1"/>
  <c r="BN94" i="1"/>
  <c r="BN99" i="1"/>
  <c r="BP99" i="1"/>
  <c r="BN101" i="1"/>
  <c r="BN103" i="1"/>
  <c r="BN110" i="1"/>
  <c r="BN115" i="1"/>
  <c r="BP115" i="1"/>
  <c r="BN117" i="1"/>
  <c r="BN119" i="1"/>
  <c r="BN121" i="1"/>
  <c r="BN125" i="1"/>
  <c r="BP125" i="1"/>
  <c r="BN129" i="1"/>
  <c r="BP129" i="1"/>
  <c r="BN134" i="1"/>
  <c r="BP134" i="1"/>
  <c r="BN136" i="1"/>
  <c r="BN140" i="1"/>
  <c r="BP140" i="1"/>
  <c r="BN142" i="1"/>
  <c r="Z149" i="1"/>
  <c r="Z288" i="1" s="1"/>
  <c r="BN147" i="1"/>
  <c r="BP147" i="1"/>
  <c r="Y155" i="1"/>
  <c r="Y156" i="1"/>
  <c r="Y162" i="1"/>
  <c r="BP159" i="1"/>
  <c r="BN159" i="1"/>
  <c r="Y161" i="1"/>
  <c r="BP182" i="1"/>
  <c r="BN182" i="1"/>
  <c r="Y188" i="1"/>
  <c r="Y192" i="1"/>
  <c r="BP191" i="1"/>
  <c r="BN191" i="1"/>
  <c r="Z201" i="1"/>
  <c r="Y214" i="1"/>
  <c r="Y219" i="1"/>
  <c r="Y220" i="1"/>
  <c r="Y224" i="1"/>
  <c r="BP223" i="1"/>
  <c r="BN223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6" i="1" l="1"/>
  <c r="X286" i="1"/>
  <c r="C296" i="1"/>
  <c r="Y283" i="1"/>
  <c r="B296" i="1" s="1"/>
  <c r="A296" i="1" l="1"/>
</calcChain>
</file>

<file path=xl/sharedStrings.xml><?xml version="1.0" encoding="utf-8"?>
<sst xmlns="http://schemas.openxmlformats.org/spreadsheetml/2006/main" count="1296" uniqueCount="419">
  <si>
    <t xml:space="preserve">  БЛАНК ЗАКАЗА </t>
  </si>
  <si>
    <t>ЗПФ</t>
  </si>
  <si>
    <t>на отгрузку продукции с ООО Трейд-Сервис с</t>
  </si>
  <si>
    <t>12.07.2026</t>
  </si>
  <si>
    <t>бланк создан</t>
  </si>
  <si>
    <t>10.07.2026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</si>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</sst>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3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2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6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44" xfId="0" applyBorder="1" applyProtection="1">
      <protection hidden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0" fillId="0" borderId="43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7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7" t="s">
        <v>0</v>
      </c>
      <c r="E1" s="298"/>
      <c r="F1" s="298"/>
      <c r="G1" s="12" t="s">
        <v>1</v>
      </c>
      <c r="H1" s="327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0" t="s">
        <v>8</v>
      </c>
      <c r="B5" s="351"/>
      <c r="C5" s="352"/>
      <c r="D5" s="329"/>
      <c r="E5" s="330"/>
      <c r="F5" s="448" t="s">
        <v>9</v>
      </c>
      <c r="G5" s="352"/>
      <c r="H5" s="329"/>
      <c r="I5" s="420"/>
      <c r="J5" s="420"/>
      <c r="K5" s="420"/>
      <c r="L5" s="420"/>
      <c r="M5" s="330"/>
      <c r="N5" s="61"/>
      <c r="P5" s="24" t="s">
        <v>10</v>
      </c>
      <c r="Q5" s="457"/>
      <c r="R5" s="349"/>
      <c r="T5" s="376" t="s">
        <v>11</v>
      </c>
      <c r="U5" s="377"/>
      <c r="V5" s="379"/>
      <c r="W5" s="349"/>
      <c r="AB5" s="51"/>
      <c r="AC5" s="51"/>
      <c r="AD5" s="51"/>
      <c r="AE5" s="51"/>
    </row>
    <row r="6" spans="1:32" s="272" customFormat="1" ht="24" customHeight="1" x14ac:dyDescent="0.2">
      <c r="A6" s="350" t="s">
        <v>12</v>
      </c>
      <c r="B6" s="351"/>
      <c r="C6" s="352"/>
      <c r="D6" s="422"/>
      <c r="E6" s="423"/>
      <c r="F6" s="423"/>
      <c r="G6" s="423"/>
      <c r="H6" s="423"/>
      <c r="I6" s="423"/>
      <c r="J6" s="423"/>
      <c r="K6" s="423"/>
      <c r="L6" s="423"/>
      <c r="M6" s="349"/>
      <c r="N6" s="62"/>
      <c r="P6" s="24" t="s">
        <v>13</v>
      </c>
      <c r="Q6" s="461" t="str">
        <f>IF(Q5=0," ",CHOOSE(WEEKDAY(Q5,2),"Понедельник","Вторник","Среда","Четверг","Пятница","Суббота","Воскресенье"))</f>
        <v xml:space="preserve"> </v>
      </c>
      <c r="R6" s="293"/>
      <c r="T6" s="383" t="s">
        <v>14</v>
      </c>
      <c r="U6" s="377"/>
      <c r="V6" s="409" t="s">
        <v>15</v>
      </c>
      <c r="W6" s="307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9"/>
      <c r="U7" s="377"/>
      <c r="V7" s="410"/>
      <c r="W7" s="411"/>
      <c r="AB7" s="51"/>
      <c r="AC7" s="51"/>
      <c r="AD7" s="51"/>
      <c r="AE7" s="51"/>
    </row>
    <row r="8" spans="1:32" s="272" customFormat="1" ht="25.5" customHeight="1" x14ac:dyDescent="0.2">
      <c r="A8" s="469" t="s">
        <v>16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17</v>
      </c>
      <c r="Q8" s="359"/>
      <c r="R8" s="317"/>
      <c r="T8" s="289"/>
      <c r="U8" s="377"/>
      <c r="V8" s="410"/>
      <c r="W8" s="411"/>
      <c r="AB8" s="51"/>
      <c r="AC8" s="51"/>
      <c r="AD8" s="51"/>
      <c r="AE8" s="51"/>
    </row>
    <row r="9" spans="1:32" s="272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65"/>
      <c r="E9" s="291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6" t="s">
        <v>18</v>
      </c>
      <c r="Q9" s="346"/>
      <c r="R9" s="347"/>
      <c r="T9" s="289"/>
      <c r="U9" s="377"/>
      <c r="V9" s="412"/>
      <c r="W9" s="413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65"/>
      <c r="E10" s="291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4" t="str">
        <f>IFERROR(VLOOKUP($D$10,Proxy,2,FALSE),"")</f>
        <v/>
      </c>
      <c r="I10" s="289"/>
      <c r="J10" s="289"/>
      <c r="K10" s="289"/>
      <c r="L10" s="289"/>
      <c r="M10" s="289"/>
      <c r="N10" s="271"/>
      <c r="P10" s="26" t="s">
        <v>19</v>
      </c>
      <c r="Q10" s="384"/>
      <c r="R10" s="385"/>
      <c r="U10" s="24" t="s">
        <v>20</v>
      </c>
      <c r="V10" s="306" t="s">
        <v>21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48"/>
      <c r="R11" s="349"/>
      <c r="U11" s="24" t="s">
        <v>24</v>
      </c>
      <c r="V11" s="429" t="s">
        <v>25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5" t="s">
        <v>26</v>
      </c>
      <c r="B12" s="351"/>
      <c r="C12" s="351"/>
      <c r="D12" s="351"/>
      <c r="E12" s="351"/>
      <c r="F12" s="351"/>
      <c r="G12" s="351"/>
      <c r="H12" s="351"/>
      <c r="I12" s="351"/>
      <c r="J12" s="351"/>
      <c r="K12" s="351"/>
      <c r="L12" s="351"/>
      <c r="M12" s="352"/>
      <c r="N12" s="65"/>
      <c r="P12" s="24" t="s">
        <v>27</v>
      </c>
      <c r="Q12" s="359"/>
      <c r="R12" s="317"/>
      <c r="S12" s="23"/>
      <c r="U12" s="24"/>
      <c r="V12" s="298"/>
      <c r="W12" s="289"/>
      <c r="AB12" s="51"/>
      <c r="AC12" s="51"/>
      <c r="AD12" s="51"/>
      <c r="AE12" s="51"/>
    </row>
    <row r="13" spans="1:32" s="272" customFormat="1" ht="23.25" customHeight="1" x14ac:dyDescent="0.2">
      <c r="A13" s="375" t="s">
        <v>28</v>
      </c>
      <c r="B13" s="351"/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2"/>
      <c r="N13" s="65"/>
      <c r="O13" s="26"/>
      <c r="P13" s="26" t="s">
        <v>29</v>
      </c>
      <c r="Q13" s="42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5" t="s">
        <v>30</v>
      </c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2" t="s">
        <v>31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2"/>
      <c r="N15" s="66"/>
      <c r="P15" s="368" t="s">
        <v>32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3" t="s">
        <v>33</v>
      </c>
      <c r="B17" s="303" t="s">
        <v>34</v>
      </c>
      <c r="C17" s="363" t="s">
        <v>35</v>
      </c>
      <c r="D17" s="303" t="s">
        <v>36</v>
      </c>
      <c r="E17" s="339"/>
      <c r="F17" s="303" t="s">
        <v>37</v>
      </c>
      <c r="G17" s="303" t="s">
        <v>38</v>
      </c>
      <c r="H17" s="303" t="s">
        <v>39</v>
      </c>
      <c r="I17" s="303" t="s">
        <v>40</v>
      </c>
      <c r="J17" s="303" t="s">
        <v>41</v>
      </c>
      <c r="K17" s="303" t="s">
        <v>42</v>
      </c>
      <c r="L17" s="303" t="s">
        <v>43</v>
      </c>
      <c r="M17" s="303" t="s">
        <v>44</v>
      </c>
      <c r="N17" s="303" t="s">
        <v>45</v>
      </c>
      <c r="O17" s="303" t="s">
        <v>46</v>
      </c>
      <c r="P17" s="303" t="s">
        <v>47</v>
      </c>
      <c r="Q17" s="338"/>
      <c r="R17" s="338"/>
      <c r="S17" s="338"/>
      <c r="T17" s="339"/>
      <c r="U17" s="466" t="s">
        <v>48</v>
      </c>
      <c r="V17" s="352"/>
      <c r="W17" s="303" t="s">
        <v>49</v>
      </c>
      <c r="X17" s="303" t="s">
        <v>50</v>
      </c>
      <c r="Y17" s="467" t="s">
        <v>51</v>
      </c>
      <c r="Z17" s="418" t="s">
        <v>52</v>
      </c>
      <c r="AA17" s="402" t="s">
        <v>53</v>
      </c>
      <c r="AB17" s="402" t="s">
        <v>54</v>
      </c>
      <c r="AC17" s="402" t="s">
        <v>55</v>
      </c>
      <c r="AD17" s="402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04"/>
      <c r="B18" s="304"/>
      <c r="C18" s="304"/>
      <c r="D18" s="340"/>
      <c r="E18" s="342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40"/>
      <c r="Q18" s="341"/>
      <c r="R18" s="341"/>
      <c r="S18" s="341"/>
      <c r="T18" s="342"/>
      <c r="U18" s="70" t="s">
        <v>58</v>
      </c>
      <c r="V18" s="70" t="s">
        <v>59</v>
      </c>
      <c r="W18" s="304"/>
      <c r="X18" s="304"/>
      <c r="Y18" s="468"/>
      <c r="Z18" s="419"/>
      <c r="AA18" s="403"/>
      <c r="AB18" s="403"/>
      <c r="AC18" s="403"/>
      <c r="AD18" s="445"/>
      <c r="AE18" s="446"/>
      <c r="AF18" s="447"/>
      <c r="AG18" s="69"/>
      <c r="BD18" s="68"/>
    </row>
    <row r="19" spans="1:68" ht="27.75" customHeight="1" x14ac:dyDescent="0.2">
      <c r="A19" s="361" t="s">
        <v>60</v>
      </c>
      <c r="B19" s="362"/>
      <c r="C19" s="362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48"/>
      <c r="AB19" s="48"/>
      <c r="AC19" s="48"/>
    </row>
    <row r="20" spans="1:68" ht="16.5" customHeight="1" x14ac:dyDescent="0.25">
      <c r="A20" s="294" t="s">
        <v>60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73"/>
      <c r="AB20" s="273"/>
      <c r="AC20" s="273"/>
    </row>
    <row r="21" spans="1:68" ht="14.25" customHeight="1" x14ac:dyDescent="0.25">
      <c r="A21" s="288" t="s">
        <v>61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74"/>
      <c r="AB21" s="274"/>
      <c r="AC21" s="274"/>
    </row>
    <row r="22" spans="1:68" ht="27" customHeight="1" x14ac:dyDescent="0.25">
      <c r="A22" s="54" t="s">
        <v>62</v>
      </c>
      <c r="B22" s="54" t="s">
        <v>63</v>
      </c>
      <c r="C22" s="31">
        <v>4301071113</v>
      </c>
      <c r="D22" s="292">
        <v>4620207491508</v>
      </c>
      <c r="E22" s="29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92">
        <v>4620207491256</v>
      </c>
      <c r="E23" s="29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72</v>
      </c>
      <c r="B24" s="54" t="s">
        <v>73</v>
      </c>
      <c r="C24" s="31">
        <v>4301071135</v>
      </c>
      <c r="D24" s="292">
        <v>4620207491713</v>
      </c>
      <c r="E24" s="29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75</v>
      </c>
      <c r="B25" s="54" t="s">
        <v>76</v>
      </c>
      <c r="C25" s="31">
        <v>4301071134</v>
      </c>
      <c r="D25" s="292">
        <v>4620207491720</v>
      </c>
      <c r="E25" s="29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77</v>
      </c>
      <c r="B26" s="54" t="s">
        <v>78</v>
      </c>
      <c r="C26" s="31">
        <v>4301071108</v>
      </c>
      <c r="D26" s="292">
        <v>4607111035912</v>
      </c>
      <c r="E26" s="29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92">
        <v>4607111035929</v>
      </c>
      <c r="E27" s="29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67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4301071106</v>
      </c>
      <c r="D28" s="292">
        <v>4607111035882</v>
      </c>
      <c r="E28" s="29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4301071107</v>
      </c>
      <c r="D29" s="292">
        <v>4607111035905</v>
      </c>
      <c r="E29" s="29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5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6"/>
      <c r="P30" s="285" t="s">
        <v>86</v>
      </c>
      <c r="Q30" s="286"/>
      <c r="R30" s="286"/>
      <c r="S30" s="286"/>
      <c r="T30" s="286"/>
      <c r="U30" s="286"/>
      <c r="V30" s="287"/>
      <c r="W30" s="37" t="s">
        <v>67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6"/>
      <c r="P31" s="285" t="s">
        <v>86</v>
      </c>
      <c r="Q31" s="286"/>
      <c r="R31" s="286"/>
      <c r="S31" s="286"/>
      <c r="T31" s="286"/>
      <c r="U31" s="286"/>
      <c r="V31" s="287"/>
      <c r="W31" s="37" t="s">
        <v>87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customHeight="1" x14ac:dyDescent="0.25">
      <c r="A32" s="294" t="s">
        <v>88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73"/>
      <c r="AB32" s="273"/>
      <c r="AC32" s="273"/>
    </row>
    <row r="33" spans="1:68" ht="14.25" customHeight="1" x14ac:dyDescent="0.25">
      <c r="A33" s="288" t="s">
        <v>61</v>
      </c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74"/>
      <c r="AB33" s="274"/>
      <c r="AC33" s="274"/>
    </row>
    <row r="34" spans="1:68" ht="16.5" customHeight="1" x14ac:dyDescent="0.25">
      <c r="A34" s="54" t="s">
        <v>89</v>
      </c>
      <c r="B34" s="54" t="s">
        <v>90</v>
      </c>
      <c r="C34" s="31">
        <v>4301071099</v>
      </c>
      <c r="D34" s="292">
        <v>4607111039019</v>
      </c>
      <c r="E34" s="293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64</v>
      </c>
      <c r="L34" s="32" t="s">
        <v>65</v>
      </c>
      <c r="M34" s="33" t="s">
        <v>66</v>
      </c>
      <c r="N34" s="33"/>
      <c r="O34" s="32">
        <v>180</v>
      </c>
      <c r="P34" s="43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67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91</v>
      </c>
      <c r="AG34" s="67"/>
      <c r="AJ34" s="71" t="s">
        <v>69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92</v>
      </c>
      <c r="B35" s="54" t="s">
        <v>93</v>
      </c>
      <c r="C35" s="31">
        <v>4301071100</v>
      </c>
      <c r="D35" s="292">
        <v>4607111038708</v>
      </c>
      <c r="E35" s="293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64</v>
      </c>
      <c r="L35" s="32" t="s">
        <v>65</v>
      </c>
      <c r="M35" s="33" t="s">
        <v>66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67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91</v>
      </c>
      <c r="AG35" s="67"/>
      <c r="AJ35" s="71" t="s">
        <v>69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5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96"/>
      <c r="P36" s="285" t="s">
        <v>86</v>
      </c>
      <c r="Q36" s="286"/>
      <c r="R36" s="286"/>
      <c r="S36" s="286"/>
      <c r="T36" s="286"/>
      <c r="U36" s="286"/>
      <c r="V36" s="287"/>
      <c r="W36" s="37" t="s">
        <v>67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96"/>
      <c r="P37" s="285" t="s">
        <v>86</v>
      </c>
      <c r="Q37" s="286"/>
      <c r="R37" s="286"/>
      <c r="S37" s="286"/>
      <c r="T37" s="286"/>
      <c r="U37" s="286"/>
      <c r="V37" s="287"/>
      <c r="W37" s="37" t="s">
        <v>87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61" t="s">
        <v>94</v>
      </c>
      <c r="B38" s="362"/>
      <c r="C38" s="362"/>
      <c r="D38" s="362"/>
      <c r="E38" s="362"/>
      <c r="F38" s="362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48"/>
      <c r="AB38" s="48"/>
      <c r="AC38" s="48"/>
    </row>
    <row r="39" spans="1:68" ht="16.5" customHeight="1" x14ac:dyDescent="0.25">
      <c r="A39" s="294" t="s">
        <v>95</v>
      </c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73"/>
      <c r="AB39" s="273"/>
      <c r="AC39" s="273"/>
    </row>
    <row r="40" spans="1:68" ht="14.25" customHeight="1" x14ac:dyDescent="0.25">
      <c r="A40" s="288" t="s">
        <v>96</v>
      </c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74"/>
      <c r="AB40" s="274"/>
      <c r="AC40" s="274"/>
    </row>
    <row r="41" spans="1:68" ht="27" customHeight="1" x14ac:dyDescent="0.25">
      <c r="A41" s="54" t="s">
        <v>97</v>
      </c>
      <c r="B41" s="54" t="s">
        <v>98</v>
      </c>
      <c r="C41" s="31">
        <v>4301132190</v>
      </c>
      <c r="D41" s="292">
        <v>4607111036537</v>
      </c>
      <c r="E41" s="293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99</v>
      </c>
      <c r="L41" s="32" t="s">
        <v>100</v>
      </c>
      <c r="M41" s="33" t="s">
        <v>66</v>
      </c>
      <c r="N41" s="33"/>
      <c r="O41" s="32">
        <v>365</v>
      </c>
      <c r="P41" s="4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67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101</v>
      </c>
      <c r="AG41" s="67"/>
      <c r="AJ41" s="71" t="s">
        <v>102</v>
      </c>
      <c r="AK41" s="71">
        <v>14</v>
      </c>
      <c r="BB41" s="93" t="s">
        <v>103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4301132188</v>
      </c>
      <c r="D42" s="292">
        <v>4607111036605</v>
      </c>
      <c r="E42" s="293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99</v>
      </c>
      <c r="L42" s="32" t="s">
        <v>100</v>
      </c>
      <c r="M42" s="33" t="s">
        <v>66</v>
      </c>
      <c r="N42" s="33"/>
      <c r="O42" s="32">
        <v>365</v>
      </c>
      <c r="P42" s="33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67</v>
      </c>
      <c r="X42" s="278">
        <v>14</v>
      </c>
      <c r="Y42" s="279">
        <f>IFERROR(IF(X42="","",X42),"")</f>
        <v>14</v>
      </c>
      <c r="Z42" s="36">
        <f>IFERROR(IF(X42="","",X42*0.00941),"")</f>
        <v>0.13174</v>
      </c>
      <c r="AA42" s="56"/>
      <c r="AB42" s="57"/>
      <c r="AC42" s="94" t="s">
        <v>101</v>
      </c>
      <c r="AG42" s="67"/>
      <c r="AJ42" s="71" t="s">
        <v>102</v>
      </c>
      <c r="AK42" s="71">
        <v>14</v>
      </c>
      <c r="BB42" s="95" t="s">
        <v>103</v>
      </c>
      <c r="BM42" s="67">
        <f>IFERROR(X42*I42,"0")</f>
        <v>26.905200000000001</v>
      </c>
      <c r="BN42" s="67">
        <f>IFERROR(Y42*I42,"0")</f>
        <v>26.905200000000001</v>
      </c>
      <c r="BO42" s="67">
        <f>IFERROR(X42/J42,"0")</f>
        <v>0.1</v>
      </c>
      <c r="BP42" s="67">
        <f>IFERROR(Y42/J42,"0")</f>
        <v>0.1</v>
      </c>
    </row>
    <row r="43" spans="1:68" x14ac:dyDescent="0.2">
      <c r="A43" s="295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96"/>
      <c r="P43" s="285" t="s">
        <v>86</v>
      </c>
      <c r="Q43" s="286"/>
      <c r="R43" s="286"/>
      <c r="S43" s="286"/>
      <c r="T43" s="286"/>
      <c r="U43" s="286"/>
      <c r="V43" s="287"/>
      <c r="W43" s="37" t="s">
        <v>67</v>
      </c>
      <c r="X43" s="280">
        <f>IFERROR(SUM(X41:X42),"0")</f>
        <v>14</v>
      </c>
      <c r="Y43" s="280">
        <f>IFERROR(SUM(Y41:Y42),"0")</f>
        <v>14</v>
      </c>
      <c r="Z43" s="280">
        <f>IFERROR(IF(Z41="",0,Z41),"0")+IFERROR(IF(Z42="",0,Z42),"0")</f>
        <v>0.13174</v>
      </c>
      <c r="AA43" s="281"/>
      <c r="AB43" s="281"/>
      <c r="AC43" s="281"/>
    </row>
    <row r="44" spans="1:68" x14ac:dyDescent="0.2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96"/>
      <c r="P44" s="285" t="s">
        <v>86</v>
      </c>
      <c r="Q44" s="286"/>
      <c r="R44" s="286"/>
      <c r="S44" s="286"/>
      <c r="T44" s="286"/>
      <c r="U44" s="286"/>
      <c r="V44" s="287"/>
      <c r="W44" s="37" t="s">
        <v>87</v>
      </c>
      <c r="X44" s="280">
        <f>IFERROR(SUMPRODUCT(X41:X42*H41:H42),"0")</f>
        <v>21</v>
      </c>
      <c r="Y44" s="280">
        <f>IFERROR(SUMPRODUCT(Y41:Y42*H41:H42),"0")</f>
        <v>21</v>
      </c>
      <c r="Z44" s="37"/>
      <c r="AA44" s="281"/>
      <c r="AB44" s="281"/>
      <c r="AC44" s="281"/>
    </row>
    <row r="45" spans="1:68" ht="16.5" customHeight="1" x14ac:dyDescent="0.25">
      <c r="A45" s="294" t="s">
        <v>106</v>
      </c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73"/>
      <c r="AB45" s="273"/>
      <c r="AC45" s="273"/>
    </row>
    <row r="46" spans="1:68" ht="14.25" customHeight="1" x14ac:dyDescent="0.25">
      <c r="A46" s="288" t="s">
        <v>61</v>
      </c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74"/>
      <c r="AB46" s="274"/>
      <c r="AC46" s="274"/>
    </row>
    <row r="47" spans="1:68" ht="27" customHeight="1" x14ac:dyDescent="0.25">
      <c r="A47" s="54" t="s">
        <v>107</v>
      </c>
      <c r="B47" s="54" t="s">
        <v>108</v>
      </c>
      <c r="C47" s="31">
        <v>4301071090</v>
      </c>
      <c r="D47" s="292">
        <v>4620207490075</v>
      </c>
      <c r="E47" s="293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64</v>
      </c>
      <c r="L47" s="32" t="s">
        <v>100</v>
      </c>
      <c r="M47" s="33" t="s">
        <v>66</v>
      </c>
      <c r="N47" s="33"/>
      <c r="O47" s="32">
        <v>180</v>
      </c>
      <c r="P47" s="33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67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109</v>
      </c>
      <c r="AG47" s="67"/>
      <c r="AJ47" s="71" t="s">
        <v>102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110</v>
      </c>
      <c r="B48" s="54" t="s">
        <v>111</v>
      </c>
      <c r="C48" s="31">
        <v>4301071092</v>
      </c>
      <c r="D48" s="292">
        <v>4620207490174</v>
      </c>
      <c r="E48" s="293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64</v>
      </c>
      <c r="L48" s="32" t="s">
        <v>100</v>
      </c>
      <c r="M48" s="33" t="s">
        <v>66</v>
      </c>
      <c r="N48" s="33"/>
      <c r="O48" s="32">
        <v>180</v>
      </c>
      <c r="P48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67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112</v>
      </c>
      <c r="AG48" s="67"/>
      <c r="AJ48" s="71" t="s">
        <v>102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customHeight="1" x14ac:dyDescent="0.25">
      <c r="A49" s="54" t="s">
        <v>113</v>
      </c>
      <c r="B49" s="54" t="s">
        <v>114</v>
      </c>
      <c r="C49" s="31">
        <v>4301071091</v>
      </c>
      <c r="D49" s="292">
        <v>4620207490044</v>
      </c>
      <c r="E49" s="293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64</v>
      </c>
      <c r="L49" s="32" t="s">
        <v>100</v>
      </c>
      <c r="M49" s="33" t="s">
        <v>66</v>
      </c>
      <c r="N49" s="33"/>
      <c r="O49" s="32">
        <v>180</v>
      </c>
      <c r="P49" s="43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67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115</v>
      </c>
      <c r="AG49" s="67"/>
      <c r="AJ49" s="71" t="s">
        <v>102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95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6"/>
      <c r="P50" s="285" t="s">
        <v>86</v>
      </c>
      <c r="Q50" s="286"/>
      <c r="R50" s="286"/>
      <c r="S50" s="286"/>
      <c r="T50" s="286"/>
      <c r="U50" s="286"/>
      <c r="V50" s="287"/>
      <c r="W50" s="37" t="s">
        <v>67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x14ac:dyDescent="0.2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6"/>
      <c r="P51" s="285" t="s">
        <v>86</v>
      </c>
      <c r="Q51" s="286"/>
      <c r="R51" s="286"/>
      <c r="S51" s="286"/>
      <c r="T51" s="286"/>
      <c r="U51" s="286"/>
      <c r="V51" s="287"/>
      <c r="W51" s="37" t="s">
        <v>87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customHeight="1" x14ac:dyDescent="0.25">
      <c r="A52" s="294" t="s">
        <v>116</v>
      </c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73"/>
      <c r="AB52" s="273"/>
      <c r="AC52" s="273"/>
    </row>
    <row r="53" spans="1:68" ht="14.25" customHeight="1" x14ac:dyDescent="0.25">
      <c r="A53" s="288" t="s">
        <v>61</v>
      </c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74"/>
      <c r="AB53" s="274"/>
      <c r="AC53" s="274"/>
    </row>
    <row r="54" spans="1:68" ht="27" customHeight="1" x14ac:dyDescent="0.25">
      <c r="A54" s="54" t="s">
        <v>117</v>
      </c>
      <c r="B54" s="54" t="s">
        <v>118</v>
      </c>
      <c r="C54" s="31">
        <v>4301071044</v>
      </c>
      <c r="D54" s="292">
        <v>4607111039385</v>
      </c>
      <c r="E54" s="293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64</v>
      </c>
      <c r="L54" s="32" t="s">
        <v>100</v>
      </c>
      <c r="M54" s="33" t="s">
        <v>66</v>
      </c>
      <c r="N54" s="33"/>
      <c r="O54" s="32">
        <v>180</v>
      </c>
      <c r="P54" s="44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67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102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120</v>
      </c>
      <c r="B55" s="54" t="s">
        <v>121</v>
      </c>
      <c r="C55" s="31">
        <v>4301071031</v>
      </c>
      <c r="D55" s="292">
        <v>4607111038982</v>
      </c>
      <c r="E55" s="293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64</v>
      </c>
      <c r="L55" s="32" t="s">
        <v>100</v>
      </c>
      <c r="M55" s="33" t="s">
        <v>66</v>
      </c>
      <c r="N55" s="33"/>
      <c r="O55" s="32">
        <v>180</v>
      </c>
      <c r="P55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67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122</v>
      </c>
      <c r="AG55" s="67"/>
      <c r="AJ55" s="71" t="s">
        <v>102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4301071046</v>
      </c>
      <c r="D56" s="292">
        <v>4607111039354</v>
      </c>
      <c r="E56" s="293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64</v>
      </c>
      <c r="L56" s="32" t="s">
        <v>100</v>
      </c>
      <c r="M56" s="33" t="s">
        <v>66</v>
      </c>
      <c r="N56" s="33"/>
      <c r="O56" s="32">
        <v>180</v>
      </c>
      <c r="P56" s="30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67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122</v>
      </c>
      <c r="AG56" s="67"/>
      <c r="AJ56" s="71" t="s">
        <v>102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125</v>
      </c>
      <c r="B57" s="54" t="s">
        <v>126</v>
      </c>
      <c r="C57" s="31">
        <v>4301071047</v>
      </c>
      <c r="D57" s="292">
        <v>4607111039330</v>
      </c>
      <c r="E57" s="29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100</v>
      </c>
      <c r="M57" s="33" t="s">
        <v>66</v>
      </c>
      <c r="N57" s="33"/>
      <c r="O57" s="32">
        <v>180</v>
      </c>
      <c r="P57" s="4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122</v>
      </c>
      <c r="AG57" s="67"/>
      <c r="AJ57" s="71" t="s">
        <v>102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295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96"/>
      <c r="P58" s="285" t="s">
        <v>86</v>
      </c>
      <c r="Q58" s="286"/>
      <c r="R58" s="286"/>
      <c r="S58" s="286"/>
      <c r="T58" s="286"/>
      <c r="U58" s="286"/>
      <c r="V58" s="287"/>
      <c r="W58" s="37" t="s">
        <v>67</v>
      </c>
      <c r="X58" s="280">
        <f>IFERROR(SUM(X54:X57),"0")</f>
        <v>0</v>
      </c>
      <c r="Y58" s="280">
        <f>IFERROR(SUM(Y54:Y57),"0")</f>
        <v>0</v>
      </c>
      <c r="Z58" s="280">
        <f>IFERROR(IF(Z54="",0,Z54),"0")+IFERROR(IF(Z55="",0,Z55),"0")+IFERROR(IF(Z56="",0,Z56),"0")+IFERROR(IF(Z57="",0,Z57),"0")</f>
        <v>0</v>
      </c>
      <c r="AA58" s="281"/>
      <c r="AB58" s="281"/>
      <c r="AC58" s="281"/>
    </row>
    <row r="59" spans="1:68" x14ac:dyDescent="0.2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96"/>
      <c r="P59" s="285" t="s">
        <v>86</v>
      </c>
      <c r="Q59" s="286"/>
      <c r="R59" s="286"/>
      <c r="S59" s="286"/>
      <c r="T59" s="286"/>
      <c r="U59" s="286"/>
      <c r="V59" s="287"/>
      <c r="W59" s="37" t="s">
        <v>87</v>
      </c>
      <c r="X59" s="280">
        <f>IFERROR(SUMPRODUCT(X54:X57*H54:H57),"0")</f>
        <v>0</v>
      </c>
      <c r="Y59" s="280">
        <f>IFERROR(SUMPRODUCT(Y54:Y57*H54:H57),"0")</f>
        <v>0</v>
      </c>
      <c r="Z59" s="37"/>
      <c r="AA59" s="281"/>
      <c r="AB59" s="281"/>
      <c r="AC59" s="281"/>
    </row>
    <row r="60" spans="1:68" ht="16.5" customHeight="1" x14ac:dyDescent="0.25">
      <c r="A60" s="294" t="s">
        <v>127</v>
      </c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73"/>
      <c r="AB60" s="273"/>
      <c r="AC60" s="273"/>
    </row>
    <row r="61" spans="1:68" ht="14.25" customHeight="1" x14ac:dyDescent="0.25">
      <c r="A61" s="288" t="s">
        <v>61</v>
      </c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74"/>
      <c r="AB61" s="274"/>
      <c r="AC61" s="274"/>
    </row>
    <row r="62" spans="1:68" ht="16.5" customHeight="1" x14ac:dyDescent="0.25">
      <c r="A62" s="54" t="s">
        <v>128</v>
      </c>
      <c r="B62" s="54" t="s">
        <v>129</v>
      </c>
      <c r="C62" s="31">
        <v>4301071073</v>
      </c>
      <c r="D62" s="292">
        <v>4620207490822</v>
      </c>
      <c r="E62" s="293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64</v>
      </c>
      <c r="L62" s="32" t="s">
        <v>65</v>
      </c>
      <c r="M62" s="33" t="s">
        <v>66</v>
      </c>
      <c r="N62" s="33"/>
      <c r="O62" s="32">
        <v>365</v>
      </c>
      <c r="P62" s="43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67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130</v>
      </c>
      <c r="AG62" s="67"/>
      <c r="AJ62" s="71" t="s">
        <v>69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5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96"/>
      <c r="P63" s="285" t="s">
        <v>86</v>
      </c>
      <c r="Q63" s="286"/>
      <c r="R63" s="286"/>
      <c r="S63" s="286"/>
      <c r="T63" s="286"/>
      <c r="U63" s="286"/>
      <c r="V63" s="287"/>
      <c r="W63" s="37" t="s">
        <v>67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96"/>
      <c r="P64" s="285" t="s">
        <v>86</v>
      </c>
      <c r="Q64" s="286"/>
      <c r="R64" s="286"/>
      <c r="S64" s="286"/>
      <c r="T64" s="286"/>
      <c r="U64" s="286"/>
      <c r="V64" s="287"/>
      <c r="W64" s="37" t="s">
        <v>87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88" t="s">
        <v>96</v>
      </c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74"/>
      <c r="AB65" s="274"/>
      <c r="AC65" s="274"/>
    </row>
    <row r="66" spans="1:68" ht="27" customHeight="1" x14ac:dyDescent="0.25">
      <c r="A66" s="54" t="s">
        <v>131</v>
      </c>
      <c r="B66" s="54" t="s">
        <v>132</v>
      </c>
      <c r="C66" s="31">
        <v>4301132194</v>
      </c>
      <c r="D66" s="292">
        <v>4607111039712</v>
      </c>
      <c r="E66" s="29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99</v>
      </c>
      <c r="L66" s="32" t="s">
        <v>65</v>
      </c>
      <c r="M66" s="33" t="s">
        <v>66</v>
      </c>
      <c r="N66" s="33"/>
      <c r="O66" s="32">
        <v>365</v>
      </c>
      <c r="P66" s="36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133</v>
      </c>
      <c r="AG66" s="67"/>
      <c r="AJ66" s="71" t="s">
        <v>69</v>
      </c>
      <c r="AK66" s="71">
        <v>1</v>
      </c>
      <c r="BB66" s="113" t="s">
        <v>103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5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96"/>
      <c r="P67" s="285" t="s">
        <v>86</v>
      </c>
      <c r="Q67" s="286"/>
      <c r="R67" s="286"/>
      <c r="S67" s="286"/>
      <c r="T67" s="286"/>
      <c r="U67" s="286"/>
      <c r="V67" s="287"/>
      <c r="W67" s="37" t="s">
        <v>67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96"/>
      <c r="P68" s="285" t="s">
        <v>86</v>
      </c>
      <c r="Q68" s="286"/>
      <c r="R68" s="286"/>
      <c r="S68" s="286"/>
      <c r="T68" s="286"/>
      <c r="U68" s="286"/>
      <c r="V68" s="287"/>
      <c r="W68" s="37" t="s">
        <v>87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88" t="s">
        <v>134</v>
      </c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74"/>
      <c r="AB69" s="274"/>
      <c r="AC69" s="274"/>
    </row>
    <row r="70" spans="1:68" ht="16.5" customHeight="1" x14ac:dyDescent="0.25">
      <c r="A70" s="54" t="s">
        <v>135</v>
      </c>
      <c r="B70" s="54" t="s">
        <v>136</v>
      </c>
      <c r="C70" s="31">
        <v>4301136018</v>
      </c>
      <c r="D70" s="292">
        <v>4607111037008</v>
      </c>
      <c r="E70" s="293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99</v>
      </c>
      <c r="L70" s="32" t="s">
        <v>65</v>
      </c>
      <c r="M70" s="33" t="s">
        <v>66</v>
      </c>
      <c r="N70" s="33"/>
      <c r="O70" s="32">
        <v>365</v>
      </c>
      <c r="P70" s="4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67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137</v>
      </c>
      <c r="AG70" s="67"/>
      <c r="AJ70" s="71" t="s">
        <v>69</v>
      </c>
      <c r="AK70" s="71">
        <v>1</v>
      </c>
      <c r="BB70" s="115" t="s">
        <v>103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138</v>
      </c>
      <c r="B71" s="54" t="s">
        <v>139</v>
      </c>
      <c r="C71" s="31">
        <v>4301136015</v>
      </c>
      <c r="D71" s="292">
        <v>4607111037398</v>
      </c>
      <c r="E71" s="293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99</v>
      </c>
      <c r="L71" s="32" t="s">
        <v>65</v>
      </c>
      <c r="M71" s="33" t="s">
        <v>66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67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137</v>
      </c>
      <c r="AG71" s="67"/>
      <c r="AJ71" s="71" t="s">
        <v>69</v>
      </c>
      <c r="AK71" s="71">
        <v>1</v>
      </c>
      <c r="BB71" s="117" t="s">
        <v>103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5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6"/>
      <c r="P72" s="285" t="s">
        <v>86</v>
      </c>
      <c r="Q72" s="286"/>
      <c r="R72" s="286"/>
      <c r="S72" s="286"/>
      <c r="T72" s="286"/>
      <c r="U72" s="286"/>
      <c r="V72" s="287"/>
      <c r="W72" s="37" t="s">
        <v>67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96"/>
      <c r="P73" s="285" t="s">
        <v>86</v>
      </c>
      <c r="Q73" s="286"/>
      <c r="R73" s="286"/>
      <c r="S73" s="286"/>
      <c r="T73" s="286"/>
      <c r="U73" s="286"/>
      <c r="V73" s="287"/>
      <c r="W73" s="37" t="s">
        <v>87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88" t="s">
        <v>140</v>
      </c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74"/>
      <c r="AB74" s="274"/>
      <c r="AC74" s="274"/>
    </row>
    <row r="75" spans="1:68" ht="27" customHeight="1" x14ac:dyDescent="0.25">
      <c r="A75" s="54" t="s">
        <v>141</v>
      </c>
      <c r="B75" s="54" t="s">
        <v>142</v>
      </c>
      <c r="C75" s="31">
        <v>4301135664</v>
      </c>
      <c r="D75" s="292">
        <v>4607111039705</v>
      </c>
      <c r="E75" s="293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99</v>
      </c>
      <c r="L75" s="32" t="s">
        <v>65</v>
      </c>
      <c r="M75" s="33" t="s">
        <v>66</v>
      </c>
      <c r="N75" s="33"/>
      <c r="O75" s="32">
        <v>365</v>
      </c>
      <c r="P75" s="45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67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137</v>
      </c>
      <c r="AG75" s="67"/>
      <c r="AJ75" s="71" t="s">
        <v>69</v>
      </c>
      <c r="AK75" s="71">
        <v>1</v>
      </c>
      <c r="BB75" s="119" t="s">
        <v>103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143</v>
      </c>
      <c r="B76" s="54" t="s">
        <v>144</v>
      </c>
      <c r="C76" s="31">
        <v>4301135665</v>
      </c>
      <c r="D76" s="292">
        <v>4607111039729</v>
      </c>
      <c r="E76" s="293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99</v>
      </c>
      <c r="L76" s="32" t="s">
        <v>65</v>
      </c>
      <c r="M76" s="33" t="s">
        <v>66</v>
      </c>
      <c r="N76" s="33"/>
      <c r="O76" s="32">
        <v>365</v>
      </c>
      <c r="P76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67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145</v>
      </c>
      <c r="AG76" s="67"/>
      <c r="AJ76" s="71" t="s">
        <v>69</v>
      </c>
      <c r="AK76" s="71">
        <v>1</v>
      </c>
      <c r="BB76" s="121" t="s">
        <v>103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4301135702</v>
      </c>
      <c r="D77" s="292">
        <v>4620207490228</v>
      </c>
      <c r="E77" s="293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99</v>
      </c>
      <c r="L77" s="32" t="s">
        <v>65</v>
      </c>
      <c r="M77" s="33" t="s">
        <v>66</v>
      </c>
      <c r="N77" s="33"/>
      <c r="O77" s="32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67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145</v>
      </c>
      <c r="AG77" s="67"/>
      <c r="AJ77" s="71" t="s">
        <v>69</v>
      </c>
      <c r="AK77" s="71">
        <v>1</v>
      </c>
      <c r="BB77" s="123" t="s">
        <v>103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295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96"/>
      <c r="P78" s="285" t="s">
        <v>86</v>
      </c>
      <c r="Q78" s="286"/>
      <c r="R78" s="286"/>
      <c r="S78" s="286"/>
      <c r="T78" s="286"/>
      <c r="U78" s="286"/>
      <c r="V78" s="287"/>
      <c r="W78" s="37" t="s">
        <v>67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96"/>
      <c r="P79" s="285" t="s">
        <v>86</v>
      </c>
      <c r="Q79" s="286"/>
      <c r="R79" s="286"/>
      <c r="S79" s="286"/>
      <c r="T79" s="286"/>
      <c r="U79" s="286"/>
      <c r="V79" s="287"/>
      <c r="W79" s="37" t="s">
        <v>87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294" t="s">
        <v>148</v>
      </c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73"/>
      <c r="AB80" s="273"/>
      <c r="AC80" s="273"/>
    </row>
    <row r="81" spans="1:68" ht="14.25" customHeight="1" x14ac:dyDescent="0.25">
      <c r="A81" s="288" t="s">
        <v>61</v>
      </c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74"/>
      <c r="AB81" s="274"/>
      <c r="AC81" s="274"/>
    </row>
    <row r="82" spans="1:68" ht="27" customHeight="1" x14ac:dyDescent="0.25">
      <c r="A82" s="54" t="s">
        <v>149</v>
      </c>
      <c r="B82" s="54" t="s">
        <v>150</v>
      </c>
      <c r="C82" s="31">
        <v>4301070977</v>
      </c>
      <c r="D82" s="292">
        <v>4607111037411</v>
      </c>
      <c r="E82" s="293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151</v>
      </c>
      <c r="L82" s="32" t="s">
        <v>65</v>
      </c>
      <c r="M82" s="33" t="s">
        <v>66</v>
      </c>
      <c r="N82" s="33"/>
      <c r="O82" s="32">
        <v>180</v>
      </c>
      <c r="P82" s="45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67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152</v>
      </c>
      <c r="AG82" s="67"/>
      <c r="AJ82" s="71" t="s">
        <v>69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153</v>
      </c>
      <c r="B83" s="54" t="s">
        <v>154</v>
      </c>
      <c r="C83" s="31">
        <v>4301070981</v>
      </c>
      <c r="D83" s="292">
        <v>4607111036728</v>
      </c>
      <c r="E83" s="293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64</v>
      </c>
      <c r="L83" s="32" t="s">
        <v>100</v>
      </c>
      <c r="M83" s="33" t="s">
        <v>66</v>
      </c>
      <c r="N83" s="33"/>
      <c r="O83" s="32">
        <v>180</v>
      </c>
      <c r="P83" s="46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67</v>
      </c>
      <c r="X83" s="278">
        <v>24</v>
      </c>
      <c r="Y83" s="279">
        <f>IFERROR(IF(X83="","",X83),"")</f>
        <v>24</v>
      </c>
      <c r="Z83" s="36">
        <f>IFERROR(IF(X83="","",X83*0.00866),"")</f>
        <v>0.20783999999999997</v>
      </c>
      <c r="AA83" s="56"/>
      <c r="AB83" s="57"/>
      <c r="AC83" s="126" t="s">
        <v>152</v>
      </c>
      <c r="AG83" s="67"/>
      <c r="AJ83" s="71" t="s">
        <v>102</v>
      </c>
      <c r="AK83" s="71">
        <v>12</v>
      </c>
      <c r="BB83" s="127" t="s">
        <v>1</v>
      </c>
      <c r="BM83" s="67">
        <f>IFERROR(X83*I83,"0")</f>
        <v>125.11679999999998</v>
      </c>
      <c r="BN83" s="67">
        <f>IFERROR(Y83*I83,"0")</f>
        <v>125.11679999999998</v>
      </c>
      <c r="BO83" s="67">
        <f>IFERROR(X83/J83,"0")</f>
        <v>0.16666666666666666</v>
      </c>
      <c r="BP83" s="67">
        <f>IFERROR(Y83/J83,"0")</f>
        <v>0.16666666666666666</v>
      </c>
    </row>
    <row r="84" spans="1:68" x14ac:dyDescent="0.2">
      <c r="A84" s="295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96"/>
      <c r="P84" s="285" t="s">
        <v>86</v>
      </c>
      <c r="Q84" s="286"/>
      <c r="R84" s="286"/>
      <c r="S84" s="286"/>
      <c r="T84" s="286"/>
      <c r="U84" s="286"/>
      <c r="V84" s="287"/>
      <c r="W84" s="37" t="s">
        <v>67</v>
      </c>
      <c r="X84" s="280">
        <f>IFERROR(SUM(X82:X83),"0")</f>
        <v>24</v>
      </c>
      <c r="Y84" s="280">
        <f>IFERROR(SUM(Y82:Y83),"0")</f>
        <v>24</v>
      </c>
      <c r="Z84" s="280">
        <f>IFERROR(IF(Z82="",0,Z82),"0")+IFERROR(IF(Z83="",0,Z83),"0")</f>
        <v>0.20783999999999997</v>
      </c>
      <c r="AA84" s="281"/>
      <c r="AB84" s="281"/>
      <c r="AC84" s="281"/>
    </row>
    <row r="85" spans="1:68" x14ac:dyDescent="0.2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96"/>
      <c r="P85" s="285" t="s">
        <v>86</v>
      </c>
      <c r="Q85" s="286"/>
      <c r="R85" s="286"/>
      <c r="S85" s="286"/>
      <c r="T85" s="286"/>
      <c r="U85" s="286"/>
      <c r="V85" s="287"/>
      <c r="W85" s="37" t="s">
        <v>87</v>
      </c>
      <c r="X85" s="280">
        <f>IFERROR(SUMPRODUCT(X82:X83*H82:H83),"0")</f>
        <v>120</v>
      </c>
      <c r="Y85" s="280">
        <f>IFERROR(SUMPRODUCT(Y82:Y83*H82:H83),"0")</f>
        <v>120</v>
      </c>
      <c r="Z85" s="37"/>
      <c r="AA85" s="281"/>
      <c r="AB85" s="281"/>
      <c r="AC85" s="281"/>
    </row>
    <row r="86" spans="1:68" ht="16.5" customHeight="1" x14ac:dyDescent="0.25">
      <c r="A86" s="294" t="s">
        <v>155</v>
      </c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73"/>
      <c r="AB86" s="273"/>
      <c r="AC86" s="273"/>
    </row>
    <row r="87" spans="1:68" ht="14.25" customHeight="1" x14ac:dyDescent="0.25">
      <c r="A87" s="288" t="s">
        <v>140</v>
      </c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1">
        <v>4301135574</v>
      </c>
      <c r="D88" s="292">
        <v>4607111033659</v>
      </c>
      <c r="E88" s="293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99</v>
      </c>
      <c r="L88" s="32" t="s">
        <v>100</v>
      </c>
      <c r="M88" s="33" t="s">
        <v>66</v>
      </c>
      <c r="N88" s="33"/>
      <c r="O88" s="32">
        <v>180</v>
      </c>
      <c r="P88" s="38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67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158</v>
      </c>
      <c r="AG88" s="67"/>
      <c r="AJ88" s="71" t="s">
        <v>102</v>
      </c>
      <c r="AK88" s="71">
        <v>14</v>
      </c>
      <c r="BB88" s="129" t="s">
        <v>103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5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96"/>
      <c r="P89" s="285" t="s">
        <v>86</v>
      </c>
      <c r="Q89" s="286"/>
      <c r="R89" s="286"/>
      <c r="S89" s="286"/>
      <c r="T89" s="286"/>
      <c r="U89" s="286"/>
      <c r="V89" s="287"/>
      <c r="W89" s="37" t="s">
        <v>67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x14ac:dyDescent="0.2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96"/>
      <c r="P90" s="285" t="s">
        <v>86</v>
      </c>
      <c r="Q90" s="286"/>
      <c r="R90" s="286"/>
      <c r="S90" s="286"/>
      <c r="T90" s="286"/>
      <c r="U90" s="286"/>
      <c r="V90" s="287"/>
      <c r="W90" s="37" t="s">
        <v>87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customHeight="1" x14ac:dyDescent="0.25">
      <c r="A91" s="294" t="s">
        <v>159</v>
      </c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73"/>
      <c r="AB91" s="273"/>
      <c r="AC91" s="273"/>
    </row>
    <row r="92" spans="1:68" ht="14.25" customHeight="1" x14ac:dyDescent="0.25">
      <c r="A92" s="288" t="s">
        <v>160</v>
      </c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74"/>
      <c r="AB92" s="274"/>
      <c r="AC92" s="274"/>
    </row>
    <row r="93" spans="1:68" ht="27" customHeight="1" x14ac:dyDescent="0.25">
      <c r="A93" s="54" t="s">
        <v>161</v>
      </c>
      <c r="B93" s="54" t="s">
        <v>162</v>
      </c>
      <c r="C93" s="31">
        <v>4301131047</v>
      </c>
      <c r="D93" s="292">
        <v>4607111034120</v>
      </c>
      <c r="E93" s="293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99</v>
      </c>
      <c r="L93" s="32" t="s">
        <v>100</v>
      </c>
      <c r="M93" s="33" t="s">
        <v>66</v>
      </c>
      <c r="N93" s="33"/>
      <c r="O93" s="32">
        <v>180</v>
      </c>
      <c r="P93" s="42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67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163</v>
      </c>
      <c r="AG93" s="67"/>
      <c r="AJ93" s="71" t="s">
        <v>102</v>
      </c>
      <c r="AK93" s="71">
        <v>14</v>
      </c>
      <c r="BB93" s="131" t="s">
        <v>103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customHeight="1" x14ac:dyDescent="0.25">
      <c r="A94" s="54" t="s">
        <v>164</v>
      </c>
      <c r="B94" s="54" t="s">
        <v>165</v>
      </c>
      <c r="C94" s="31">
        <v>4301131046</v>
      </c>
      <c r="D94" s="292">
        <v>4607111034137</v>
      </c>
      <c r="E94" s="293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99</v>
      </c>
      <c r="L94" s="32" t="s">
        <v>100</v>
      </c>
      <c r="M94" s="33" t="s">
        <v>66</v>
      </c>
      <c r="N94" s="33"/>
      <c r="O94" s="32">
        <v>180</v>
      </c>
      <c r="P94" s="32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67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166</v>
      </c>
      <c r="AG94" s="67"/>
      <c r="AJ94" s="71" t="s">
        <v>102</v>
      </c>
      <c r="AK94" s="71">
        <v>14</v>
      </c>
      <c r="BB94" s="133" t="s">
        <v>103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x14ac:dyDescent="0.2">
      <c r="A95" s="295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96"/>
      <c r="P95" s="285" t="s">
        <v>86</v>
      </c>
      <c r="Q95" s="286"/>
      <c r="R95" s="286"/>
      <c r="S95" s="286"/>
      <c r="T95" s="286"/>
      <c r="U95" s="286"/>
      <c r="V95" s="287"/>
      <c r="W95" s="37" t="s">
        <v>67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x14ac:dyDescent="0.2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96"/>
      <c r="P96" s="285" t="s">
        <v>86</v>
      </c>
      <c r="Q96" s="286"/>
      <c r="R96" s="286"/>
      <c r="S96" s="286"/>
      <c r="T96" s="286"/>
      <c r="U96" s="286"/>
      <c r="V96" s="287"/>
      <c r="W96" s="37" t="s">
        <v>87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customHeight="1" x14ac:dyDescent="0.25">
      <c r="A97" s="294" t="s">
        <v>167</v>
      </c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73"/>
      <c r="AB97" s="273"/>
      <c r="AC97" s="273"/>
    </row>
    <row r="98" spans="1:68" ht="14.25" customHeight="1" x14ac:dyDescent="0.25">
      <c r="A98" s="288" t="s">
        <v>140</v>
      </c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74"/>
      <c r="AB98" s="274"/>
      <c r="AC98" s="274"/>
    </row>
    <row r="99" spans="1:68" ht="27" customHeight="1" x14ac:dyDescent="0.25">
      <c r="A99" s="54" t="s">
        <v>168</v>
      </c>
      <c r="B99" s="54" t="s">
        <v>169</v>
      </c>
      <c r="C99" s="31">
        <v>4301135763</v>
      </c>
      <c r="D99" s="292">
        <v>4620207491027</v>
      </c>
      <c r="E99" s="293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99</v>
      </c>
      <c r="L99" s="32" t="s">
        <v>100</v>
      </c>
      <c r="M99" s="33" t="s">
        <v>66</v>
      </c>
      <c r="N99" s="33"/>
      <c r="O99" s="32">
        <v>180</v>
      </c>
      <c r="P99" s="30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67</v>
      </c>
      <c r="X99" s="278">
        <v>0</v>
      </c>
      <c r="Y99" s="279">
        <f t="shared" ref="Y99:Y104" si="6">IFERROR(IF(X99="","",X99),"")</f>
        <v>0</v>
      </c>
      <c r="Z99" s="36">
        <f t="shared" ref="Z99:Z104" si="7">IFERROR(IF(X99="","",X99*0.01788),"")</f>
        <v>0</v>
      </c>
      <c r="AA99" s="56"/>
      <c r="AB99" s="57"/>
      <c r="AC99" s="134" t="s">
        <v>158</v>
      </c>
      <c r="AG99" s="67"/>
      <c r="AJ99" s="71" t="s">
        <v>102</v>
      </c>
      <c r="AK99" s="71">
        <v>14</v>
      </c>
      <c r="BB99" s="135" t="s">
        <v>103</v>
      </c>
      <c r="BM99" s="67">
        <f t="shared" ref="BM99:BM104" si="8">IFERROR(X99*I99,"0")</f>
        <v>0</v>
      </c>
      <c r="BN99" s="67">
        <f t="shared" ref="BN99:BN104" si="9">IFERROR(Y99*I99,"0")</f>
        <v>0</v>
      </c>
      <c r="BO99" s="67">
        <f t="shared" ref="BO99:BO104" si="10">IFERROR(X99/J99,"0")</f>
        <v>0</v>
      </c>
      <c r="BP99" s="67">
        <f t="shared" ref="BP99:BP104" si="11">IFERROR(Y99/J99,"0")</f>
        <v>0</v>
      </c>
    </row>
    <row r="100" spans="1:68" ht="27" customHeight="1" x14ac:dyDescent="0.25">
      <c r="A100" s="54" t="s">
        <v>170</v>
      </c>
      <c r="B100" s="54" t="s">
        <v>171</v>
      </c>
      <c r="C100" s="31">
        <v>4301135793</v>
      </c>
      <c r="D100" s="292">
        <v>4620207491003</v>
      </c>
      <c r="E100" s="293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99</v>
      </c>
      <c r="L100" s="32" t="s">
        <v>100</v>
      </c>
      <c r="M100" s="33" t="s">
        <v>66</v>
      </c>
      <c r="N100" s="33"/>
      <c r="O100" s="32">
        <v>180</v>
      </c>
      <c r="P100" s="32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67</v>
      </c>
      <c r="X100" s="278">
        <v>0</v>
      </c>
      <c r="Y100" s="279">
        <f t="shared" si="6"/>
        <v>0</v>
      </c>
      <c r="Z100" s="36">
        <f t="shared" si="7"/>
        <v>0</v>
      </c>
      <c r="AA100" s="56"/>
      <c r="AB100" s="57"/>
      <c r="AC100" s="136" t="s">
        <v>158</v>
      </c>
      <c r="AG100" s="67"/>
      <c r="AJ100" s="71" t="s">
        <v>102</v>
      </c>
      <c r="AK100" s="71">
        <v>14</v>
      </c>
      <c r="BB100" s="137" t="s">
        <v>103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172</v>
      </c>
      <c r="B101" s="54" t="s">
        <v>173</v>
      </c>
      <c r="C101" s="31">
        <v>4301135768</v>
      </c>
      <c r="D101" s="292">
        <v>4620207491034</v>
      </c>
      <c r="E101" s="293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99</v>
      </c>
      <c r="L101" s="32" t="s">
        <v>100</v>
      </c>
      <c r="M101" s="33" t="s">
        <v>66</v>
      </c>
      <c r="N101" s="33"/>
      <c r="O101" s="32">
        <v>180</v>
      </c>
      <c r="P101" s="43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67</v>
      </c>
      <c r="X101" s="278">
        <v>0</v>
      </c>
      <c r="Y101" s="279">
        <f t="shared" si="6"/>
        <v>0</v>
      </c>
      <c r="Z101" s="36">
        <f t="shared" si="7"/>
        <v>0</v>
      </c>
      <c r="AA101" s="56"/>
      <c r="AB101" s="57"/>
      <c r="AC101" s="138" t="s">
        <v>174</v>
      </c>
      <c r="AG101" s="67"/>
      <c r="AJ101" s="71" t="s">
        <v>102</v>
      </c>
      <c r="AK101" s="71">
        <v>14</v>
      </c>
      <c r="BB101" s="139" t="s">
        <v>103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4301135760</v>
      </c>
      <c r="D102" s="292">
        <v>4620207491010</v>
      </c>
      <c r="E102" s="293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99</v>
      </c>
      <c r="L102" s="32" t="s">
        <v>100</v>
      </c>
      <c r="M102" s="33" t="s">
        <v>66</v>
      </c>
      <c r="N102" s="33"/>
      <c r="O102" s="32">
        <v>180</v>
      </c>
      <c r="P102" s="43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67</v>
      </c>
      <c r="X102" s="278">
        <v>0</v>
      </c>
      <c r="Y102" s="279">
        <f t="shared" si="6"/>
        <v>0</v>
      </c>
      <c r="Z102" s="36">
        <f t="shared" si="7"/>
        <v>0</v>
      </c>
      <c r="AA102" s="56"/>
      <c r="AB102" s="57"/>
      <c r="AC102" s="140" t="s">
        <v>158</v>
      </c>
      <c r="AG102" s="67"/>
      <c r="AJ102" s="71" t="s">
        <v>102</v>
      </c>
      <c r="AK102" s="71">
        <v>14</v>
      </c>
      <c r="BB102" s="141" t="s">
        <v>103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customHeight="1" x14ac:dyDescent="0.25">
      <c r="A103" s="54" t="s">
        <v>177</v>
      </c>
      <c r="B103" s="54" t="s">
        <v>178</v>
      </c>
      <c r="C103" s="31">
        <v>4301135571</v>
      </c>
      <c r="D103" s="292">
        <v>4607111035028</v>
      </c>
      <c r="E103" s="293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99</v>
      </c>
      <c r="L103" s="32" t="s">
        <v>100</v>
      </c>
      <c r="M103" s="33" t="s">
        <v>66</v>
      </c>
      <c r="N103" s="33"/>
      <c r="O103" s="32">
        <v>180</v>
      </c>
      <c r="P103" s="33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67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158</v>
      </c>
      <c r="AG103" s="67"/>
      <c r="AJ103" s="71" t="s">
        <v>102</v>
      </c>
      <c r="AK103" s="71">
        <v>14</v>
      </c>
      <c r="BB103" s="143" t="s">
        <v>103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179</v>
      </c>
      <c r="B104" s="54" t="s">
        <v>180</v>
      </c>
      <c r="C104" s="31">
        <v>4301135285</v>
      </c>
      <c r="D104" s="292">
        <v>4607111036407</v>
      </c>
      <c r="E104" s="293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99</v>
      </c>
      <c r="L104" s="32" t="s">
        <v>65</v>
      </c>
      <c r="M104" s="33" t="s">
        <v>66</v>
      </c>
      <c r="N104" s="33"/>
      <c r="O104" s="32">
        <v>180</v>
      </c>
      <c r="P104" s="30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67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181</v>
      </c>
      <c r="AG104" s="67"/>
      <c r="AJ104" s="71" t="s">
        <v>69</v>
      </c>
      <c r="AK104" s="71">
        <v>1</v>
      </c>
      <c r="BB104" s="145" t="s">
        <v>103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95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6"/>
      <c r="P105" s="285" t="s">
        <v>86</v>
      </c>
      <c r="Q105" s="286"/>
      <c r="R105" s="286"/>
      <c r="S105" s="286"/>
      <c r="T105" s="286"/>
      <c r="U105" s="286"/>
      <c r="V105" s="287"/>
      <c r="W105" s="37" t="s">
        <v>67</v>
      </c>
      <c r="X105" s="280">
        <f>IFERROR(SUM(X99:X104),"0")</f>
        <v>0</v>
      </c>
      <c r="Y105" s="280">
        <f>IFERROR(SUM(Y99:Y104),"0")</f>
        <v>0</v>
      </c>
      <c r="Z105" s="280">
        <f>IFERROR(IF(Z99="",0,Z99),"0")+IFERROR(IF(Z100="",0,Z100),"0")+IFERROR(IF(Z101="",0,Z101),"0")+IFERROR(IF(Z102="",0,Z102),"0")+IFERROR(IF(Z103="",0,Z103),"0")+IFERROR(IF(Z104="",0,Z104),"0")</f>
        <v>0</v>
      </c>
      <c r="AA105" s="281"/>
      <c r="AB105" s="281"/>
      <c r="AC105" s="281"/>
    </row>
    <row r="106" spans="1:68" x14ac:dyDescent="0.2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96"/>
      <c r="P106" s="285" t="s">
        <v>86</v>
      </c>
      <c r="Q106" s="286"/>
      <c r="R106" s="286"/>
      <c r="S106" s="286"/>
      <c r="T106" s="286"/>
      <c r="U106" s="286"/>
      <c r="V106" s="287"/>
      <c r="W106" s="37" t="s">
        <v>87</v>
      </c>
      <c r="X106" s="280">
        <f>IFERROR(SUMPRODUCT(X99:X104*H99:H104),"0")</f>
        <v>0</v>
      </c>
      <c r="Y106" s="280">
        <f>IFERROR(SUMPRODUCT(Y99:Y104*H99:H104),"0")</f>
        <v>0</v>
      </c>
      <c r="Z106" s="37"/>
      <c r="AA106" s="281"/>
      <c r="AB106" s="281"/>
      <c r="AC106" s="281"/>
    </row>
    <row r="107" spans="1:68" ht="16.5" customHeight="1" x14ac:dyDescent="0.25">
      <c r="A107" s="294" t="s">
        <v>182</v>
      </c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73"/>
      <c r="AB107" s="273"/>
      <c r="AC107" s="273"/>
    </row>
    <row r="108" spans="1:68" ht="14.25" customHeight="1" x14ac:dyDescent="0.25">
      <c r="A108" s="288" t="s">
        <v>134</v>
      </c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74"/>
      <c r="AB108" s="274"/>
      <c r="AC108" s="274"/>
    </row>
    <row r="109" spans="1:68" ht="27" customHeight="1" x14ac:dyDescent="0.25">
      <c r="A109" s="54" t="s">
        <v>183</v>
      </c>
      <c r="B109" s="54" t="s">
        <v>184</v>
      </c>
      <c r="C109" s="31">
        <v>4301136070</v>
      </c>
      <c r="D109" s="292">
        <v>4607025784012</v>
      </c>
      <c r="E109" s="293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99</v>
      </c>
      <c r="L109" s="32" t="s">
        <v>100</v>
      </c>
      <c r="M109" s="33" t="s">
        <v>66</v>
      </c>
      <c r="N109" s="33"/>
      <c r="O109" s="32">
        <v>180</v>
      </c>
      <c r="P109" s="41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67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185</v>
      </c>
      <c r="AG109" s="67"/>
      <c r="AJ109" s="71" t="s">
        <v>102</v>
      </c>
      <c r="AK109" s="71">
        <v>14</v>
      </c>
      <c r="BB109" s="147" t="s">
        <v>103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186</v>
      </c>
      <c r="B110" s="54" t="s">
        <v>187</v>
      </c>
      <c r="C110" s="31">
        <v>4301136079</v>
      </c>
      <c r="D110" s="292">
        <v>4607025784319</v>
      </c>
      <c r="E110" s="293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99</v>
      </c>
      <c r="L110" s="32" t="s">
        <v>100</v>
      </c>
      <c r="M110" s="33" t="s">
        <v>66</v>
      </c>
      <c r="N110" s="33"/>
      <c r="O110" s="32">
        <v>180</v>
      </c>
      <c r="P110" s="45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67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158</v>
      </c>
      <c r="AG110" s="67"/>
      <c r="AJ110" s="71" t="s">
        <v>102</v>
      </c>
      <c r="AK110" s="71">
        <v>14</v>
      </c>
      <c r="BB110" s="149" t="s">
        <v>103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95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6"/>
      <c r="P111" s="285" t="s">
        <v>86</v>
      </c>
      <c r="Q111" s="286"/>
      <c r="R111" s="286"/>
      <c r="S111" s="286"/>
      <c r="T111" s="286"/>
      <c r="U111" s="286"/>
      <c r="V111" s="287"/>
      <c r="W111" s="37" t="s">
        <v>67</v>
      </c>
      <c r="X111" s="280">
        <f>IFERROR(SUM(X109:X110),"0")</f>
        <v>0</v>
      </c>
      <c r="Y111" s="280">
        <f>IFERROR(SUM(Y109:Y110),"0")</f>
        <v>0</v>
      </c>
      <c r="Z111" s="280">
        <f>IFERROR(IF(Z109="",0,Z109),"0")+IFERROR(IF(Z110="",0,Z110),"0")</f>
        <v>0</v>
      </c>
      <c r="AA111" s="281"/>
      <c r="AB111" s="281"/>
      <c r="AC111" s="281"/>
    </row>
    <row r="112" spans="1:68" x14ac:dyDescent="0.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96"/>
      <c r="P112" s="285" t="s">
        <v>86</v>
      </c>
      <c r="Q112" s="286"/>
      <c r="R112" s="286"/>
      <c r="S112" s="286"/>
      <c r="T112" s="286"/>
      <c r="U112" s="286"/>
      <c r="V112" s="287"/>
      <c r="W112" s="37" t="s">
        <v>87</v>
      </c>
      <c r="X112" s="280">
        <f>IFERROR(SUMPRODUCT(X109:X110*H109:H110),"0")</f>
        <v>0</v>
      </c>
      <c r="Y112" s="280">
        <f>IFERROR(SUMPRODUCT(Y109:Y110*H109:H110),"0")</f>
        <v>0</v>
      </c>
      <c r="Z112" s="37"/>
      <c r="AA112" s="281"/>
      <c r="AB112" s="281"/>
      <c r="AC112" s="281"/>
    </row>
    <row r="113" spans="1:68" ht="16.5" customHeight="1" x14ac:dyDescent="0.25">
      <c r="A113" s="294" t="s">
        <v>188</v>
      </c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73"/>
      <c r="AB113" s="273"/>
      <c r="AC113" s="273"/>
    </row>
    <row r="114" spans="1:68" ht="14.25" customHeight="1" x14ac:dyDescent="0.25">
      <c r="A114" s="288" t="s">
        <v>61</v>
      </c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  <c r="Y114" s="289"/>
      <c r="Z114" s="289"/>
      <c r="AA114" s="274"/>
      <c r="AB114" s="274"/>
      <c r="AC114" s="274"/>
    </row>
    <row r="115" spans="1:68" ht="27" customHeight="1" x14ac:dyDescent="0.25">
      <c r="A115" s="54" t="s">
        <v>189</v>
      </c>
      <c r="B115" s="54" t="s">
        <v>190</v>
      </c>
      <c r="C115" s="31">
        <v>4301071074</v>
      </c>
      <c r="D115" s="292">
        <v>4620207491157</v>
      </c>
      <c r="E115" s="293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64</v>
      </c>
      <c r="L115" s="32" t="s">
        <v>100</v>
      </c>
      <c r="M115" s="33" t="s">
        <v>66</v>
      </c>
      <c r="N115" s="33"/>
      <c r="O115" s="32">
        <v>180</v>
      </c>
      <c r="P115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67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191</v>
      </c>
      <c r="AG115" s="67"/>
      <c r="AJ115" s="71" t="s">
        <v>102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customHeight="1" x14ac:dyDescent="0.25">
      <c r="A116" s="54" t="s">
        <v>192</v>
      </c>
      <c r="B116" s="54" t="s">
        <v>193</v>
      </c>
      <c r="C116" s="31">
        <v>4301071121</v>
      </c>
      <c r="D116" s="292">
        <v>4620207491393</v>
      </c>
      <c r="E116" s="293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64</v>
      </c>
      <c r="L116" s="32" t="s">
        <v>65</v>
      </c>
      <c r="M116" s="33" t="s">
        <v>66</v>
      </c>
      <c r="N116" s="33"/>
      <c r="O116" s="32">
        <v>180</v>
      </c>
      <c r="P116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67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194</v>
      </c>
      <c r="AG116" s="67"/>
      <c r="AJ116" s="71" t="s">
        <v>69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4301071051</v>
      </c>
      <c r="D117" s="292">
        <v>4607111039262</v>
      </c>
      <c r="E117" s="293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64</v>
      </c>
      <c r="L117" s="32" t="s">
        <v>100</v>
      </c>
      <c r="M117" s="33" t="s">
        <v>66</v>
      </c>
      <c r="N117" s="33"/>
      <c r="O117" s="32">
        <v>180</v>
      </c>
      <c r="P117" s="35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67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152</v>
      </c>
      <c r="AG117" s="67"/>
      <c r="AJ117" s="71" t="s">
        <v>102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197</v>
      </c>
      <c r="B118" s="54" t="s">
        <v>198</v>
      </c>
      <c r="C118" s="31">
        <v>4301071038</v>
      </c>
      <c r="D118" s="292">
        <v>4607111039248</v>
      </c>
      <c r="E118" s="293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64</v>
      </c>
      <c r="L118" s="32" t="s">
        <v>100</v>
      </c>
      <c r="M118" s="33" t="s">
        <v>66</v>
      </c>
      <c r="N118" s="33"/>
      <c r="O118" s="32">
        <v>180</v>
      </c>
      <c r="P118" s="3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67</v>
      </c>
      <c r="X118" s="278">
        <v>0</v>
      </c>
      <c r="Y118" s="279">
        <f t="shared" si="12"/>
        <v>0</v>
      </c>
      <c r="Z118" s="36">
        <f t="shared" si="13"/>
        <v>0</v>
      </c>
      <c r="AA118" s="56"/>
      <c r="AB118" s="57"/>
      <c r="AC118" s="156" t="s">
        <v>152</v>
      </c>
      <c r="AG118" s="67"/>
      <c r="AJ118" s="71" t="s">
        <v>102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199</v>
      </c>
      <c r="B119" s="54" t="s">
        <v>200</v>
      </c>
      <c r="C119" s="31">
        <v>4301070979</v>
      </c>
      <c r="D119" s="292">
        <v>4607111037145</v>
      </c>
      <c r="E119" s="293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64</v>
      </c>
      <c r="L119" s="32" t="s">
        <v>65</v>
      </c>
      <c r="M119" s="33" t="s">
        <v>66</v>
      </c>
      <c r="N119" s="33"/>
      <c r="O119" s="32">
        <v>180</v>
      </c>
      <c r="P119" s="36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67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201</v>
      </c>
      <c r="AG119" s="67"/>
      <c r="AJ119" s="71" t="s">
        <v>69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4301071049</v>
      </c>
      <c r="D120" s="292">
        <v>4607111039293</v>
      </c>
      <c r="E120" s="293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64</v>
      </c>
      <c r="L120" s="32" t="s">
        <v>100</v>
      </c>
      <c r="M120" s="33" t="s">
        <v>66</v>
      </c>
      <c r="N120" s="33"/>
      <c r="O120" s="32">
        <v>180</v>
      </c>
      <c r="P120" s="32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67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152</v>
      </c>
      <c r="AG120" s="67"/>
      <c r="AJ120" s="71" t="s">
        <v>102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204</v>
      </c>
      <c r="B121" s="54" t="s">
        <v>205</v>
      </c>
      <c r="C121" s="31">
        <v>4301071039</v>
      </c>
      <c r="D121" s="292">
        <v>4607111039279</v>
      </c>
      <c r="E121" s="293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64</v>
      </c>
      <c r="L121" s="32" t="s">
        <v>100</v>
      </c>
      <c r="M121" s="33" t="s">
        <v>66</v>
      </c>
      <c r="N121" s="33"/>
      <c r="O121" s="32">
        <v>180</v>
      </c>
      <c r="P121" s="4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67</v>
      </c>
      <c r="X121" s="278">
        <v>36</v>
      </c>
      <c r="Y121" s="279">
        <f t="shared" si="12"/>
        <v>36</v>
      </c>
      <c r="Z121" s="36">
        <f t="shared" si="13"/>
        <v>0.55800000000000005</v>
      </c>
      <c r="AA121" s="56"/>
      <c r="AB121" s="57"/>
      <c r="AC121" s="162" t="s">
        <v>152</v>
      </c>
      <c r="AG121" s="67"/>
      <c r="AJ121" s="71" t="s">
        <v>102</v>
      </c>
      <c r="AK121" s="71">
        <v>12</v>
      </c>
      <c r="BB121" s="163" t="s">
        <v>1</v>
      </c>
      <c r="BM121" s="67">
        <f t="shared" si="14"/>
        <v>262.8</v>
      </c>
      <c r="BN121" s="67">
        <f t="shared" si="15"/>
        <v>262.8</v>
      </c>
      <c r="BO121" s="67">
        <f t="shared" si="16"/>
        <v>0.42857142857142855</v>
      </c>
      <c r="BP121" s="67">
        <f t="shared" si="17"/>
        <v>0.42857142857142855</v>
      </c>
    </row>
    <row r="122" spans="1:68" x14ac:dyDescent="0.2">
      <c r="A122" s="295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6"/>
      <c r="P122" s="285" t="s">
        <v>86</v>
      </c>
      <c r="Q122" s="286"/>
      <c r="R122" s="286"/>
      <c r="S122" s="286"/>
      <c r="T122" s="286"/>
      <c r="U122" s="286"/>
      <c r="V122" s="287"/>
      <c r="W122" s="37" t="s">
        <v>67</v>
      </c>
      <c r="X122" s="280">
        <f>IFERROR(SUM(X115:X121),"0")</f>
        <v>36</v>
      </c>
      <c r="Y122" s="280">
        <f>IFERROR(SUM(Y115:Y121),"0")</f>
        <v>36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0.55800000000000005</v>
      </c>
      <c r="AA122" s="281"/>
      <c r="AB122" s="281"/>
      <c r="AC122" s="281"/>
    </row>
    <row r="123" spans="1:68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6"/>
      <c r="P123" s="285" t="s">
        <v>86</v>
      </c>
      <c r="Q123" s="286"/>
      <c r="R123" s="286"/>
      <c r="S123" s="286"/>
      <c r="T123" s="286"/>
      <c r="U123" s="286"/>
      <c r="V123" s="287"/>
      <c r="W123" s="37" t="s">
        <v>87</v>
      </c>
      <c r="X123" s="280">
        <f>IFERROR(SUMPRODUCT(X115:X121*H115:H121),"0")</f>
        <v>252</v>
      </c>
      <c r="Y123" s="280">
        <f>IFERROR(SUMPRODUCT(Y115:Y121*H115:H121),"0")</f>
        <v>252</v>
      </c>
      <c r="Z123" s="37"/>
      <c r="AA123" s="281"/>
      <c r="AB123" s="281"/>
      <c r="AC123" s="281"/>
    </row>
    <row r="124" spans="1:68" ht="14.25" customHeight="1" x14ac:dyDescent="0.25">
      <c r="A124" s="288" t="s">
        <v>140</v>
      </c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74"/>
      <c r="AB124" s="274"/>
      <c r="AC124" s="274"/>
    </row>
    <row r="125" spans="1:68" ht="27" customHeight="1" x14ac:dyDescent="0.25">
      <c r="A125" s="54" t="s">
        <v>206</v>
      </c>
      <c r="B125" s="54" t="s">
        <v>207</v>
      </c>
      <c r="C125" s="31">
        <v>4301135826</v>
      </c>
      <c r="D125" s="292">
        <v>4620207490983</v>
      </c>
      <c r="E125" s="293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99</v>
      </c>
      <c r="L125" s="32" t="s">
        <v>65</v>
      </c>
      <c r="M125" s="33" t="s">
        <v>66</v>
      </c>
      <c r="N125" s="33"/>
      <c r="O125" s="32">
        <v>180</v>
      </c>
      <c r="P125" s="4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67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208</v>
      </c>
      <c r="AG125" s="67"/>
      <c r="AJ125" s="71" t="s">
        <v>69</v>
      </c>
      <c r="AK125" s="71">
        <v>1</v>
      </c>
      <c r="BB125" s="165" t="s">
        <v>103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5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6"/>
      <c r="P126" s="285" t="s">
        <v>86</v>
      </c>
      <c r="Q126" s="286"/>
      <c r="R126" s="286"/>
      <c r="S126" s="286"/>
      <c r="T126" s="286"/>
      <c r="U126" s="286"/>
      <c r="V126" s="287"/>
      <c r="W126" s="37" t="s">
        <v>67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6"/>
      <c r="P127" s="285" t="s">
        <v>86</v>
      </c>
      <c r="Q127" s="286"/>
      <c r="R127" s="286"/>
      <c r="S127" s="286"/>
      <c r="T127" s="286"/>
      <c r="U127" s="286"/>
      <c r="V127" s="287"/>
      <c r="W127" s="37" t="s">
        <v>87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88" t="s">
        <v>209</v>
      </c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74"/>
      <c r="AB128" s="274"/>
      <c r="AC128" s="274"/>
    </row>
    <row r="129" spans="1:68" ht="27" customHeight="1" x14ac:dyDescent="0.25">
      <c r="A129" s="54" t="s">
        <v>210</v>
      </c>
      <c r="B129" s="54" t="s">
        <v>211</v>
      </c>
      <c r="C129" s="31">
        <v>4301071094</v>
      </c>
      <c r="D129" s="292">
        <v>4620207491140</v>
      </c>
      <c r="E129" s="293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64</v>
      </c>
      <c r="L129" s="32" t="s">
        <v>65</v>
      </c>
      <c r="M129" s="33" t="s">
        <v>66</v>
      </c>
      <c r="N129" s="33"/>
      <c r="O129" s="32">
        <v>180</v>
      </c>
      <c r="P129" s="34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67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212</v>
      </c>
      <c r="AG129" s="67"/>
      <c r="AJ129" s="71" t="s">
        <v>69</v>
      </c>
      <c r="AK129" s="71">
        <v>1</v>
      </c>
      <c r="BB129" s="167" t="s">
        <v>103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5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6"/>
      <c r="P130" s="285" t="s">
        <v>86</v>
      </c>
      <c r="Q130" s="286"/>
      <c r="R130" s="286"/>
      <c r="S130" s="286"/>
      <c r="T130" s="286"/>
      <c r="U130" s="286"/>
      <c r="V130" s="287"/>
      <c r="W130" s="37" t="s">
        <v>67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6"/>
      <c r="P131" s="285" t="s">
        <v>86</v>
      </c>
      <c r="Q131" s="286"/>
      <c r="R131" s="286"/>
      <c r="S131" s="286"/>
      <c r="T131" s="286"/>
      <c r="U131" s="286"/>
      <c r="V131" s="287"/>
      <c r="W131" s="37" t="s">
        <v>87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294" t="s">
        <v>213</v>
      </c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73"/>
      <c r="AB132" s="273"/>
      <c r="AC132" s="273"/>
    </row>
    <row r="133" spans="1:68" ht="14.25" customHeight="1" x14ac:dyDescent="0.25">
      <c r="A133" s="288" t="s">
        <v>140</v>
      </c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74"/>
      <c r="AB133" s="274"/>
      <c r="AC133" s="274"/>
    </row>
    <row r="134" spans="1:68" ht="27" customHeight="1" x14ac:dyDescent="0.25">
      <c r="A134" s="54" t="s">
        <v>214</v>
      </c>
      <c r="B134" s="54" t="s">
        <v>215</v>
      </c>
      <c r="C134" s="31">
        <v>4301135850</v>
      </c>
      <c r="D134" s="292">
        <v>4620207491492</v>
      </c>
      <c r="E134" s="293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99</v>
      </c>
      <c r="L134" s="32" t="s">
        <v>65</v>
      </c>
      <c r="M134" s="33" t="s">
        <v>66</v>
      </c>
      <c r="N134" s="33"/>
      <c r="O134" s="32">
        <v>180</v>
      </c>
      <c r="P134" s="46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67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216</v>
      </c>
      <c r="AG134" s="67"/>
      <c r="AJ134" s="71" t="s">
        <v>69</v>
      </c>
      <c r="AK134" s="71">
        <v>1</v>
      </c>
      <c r="BB134" s="169" t="s">
        <v>103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217</v>
      </c>
      <c r="B135" s="54" t="s">
        <v>218</v>
      </c>
      <c r="C135" s="31">
        <v>4301190118</v>
      </c>
      <c r="D135" s="292">
        <v>4620207491461</v>
      </c>
      <c r="E135" s="293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99</v>
      </c>
      <c r="L135" s="32" t="s">
        <v>65</v>
      </c>
      <c r="M135" s="33" t="s">
        <v>66</v>
      </c>
      <c r="N135" s="33"/>
      <c r="O135" s="32">
        <v>180</v>
      </c>
      <c r="P135" s="44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83"/>
      <c r="R135" s="283"/>
      <c r="S135" s="283"/>
      <c r="T135" s="284"/>
      <c r="U135" s="34"/>
      <c r="V135" s="34"/>
      <c r="W135" s="35" t="s">
        <v>67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216</v>
      </c>
      <c r="AG135" s="67"/>
      <c r="AJ135" s="71" t="s">
        <v>69</v>
      </c>
      <c r="AK135" s="71">
        <v>1</v>
      </c>
      <c r="BB135" s="171" t="s">
        <v>103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219</v>
      </c>
      <c r="B136" s="54" t="s">
        <v>220</v>
      </c>
      <c r="C136" s="31">
        <v>4301135865</v>
      </c>
      <c r="D136" s="292">
        <v>4620207491485</v>
      </c>
      <c r="E136" s="293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99</v>
      </c>
      <c r="L136" s="32" t="s">
        <v>65</v>
      </c>
      <c r="M136" s="33" t="s">
        <v>66</v>
      </c>
      <c r="N136" s="33"/>
      <c r="O136" s="32">
        <v>180</v>
      </c>
      <c r="P136" s="45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83"/>
      <c r="R136" s="283"/>
      <c r="S136" s="283"/>
      <c r="T136" s="284"/>
      <c r="U136" s="34"/>
      <c r="V136" s="34"/>
      <c r="W136" s="35" t="s">
        <v>67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216</v>
      </c>
      <c r="AG136" s="67"/>
      <c r="AJ136" s="71" t="s">
        <v>69</v>
      </c>
      <c r="AK136" s="71">
        <v>1</v>
      </c>
      <c r="BB136" s="173" t="s">
        <v>103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x14ac:dyDescent="0.2">
      <c r="A137" s="295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6"/>
      <c r="P137" s="285" t="s">
        <v>86</v>
      </c>
      <c r="Q137" s="286"/>
      <c r="R137" s="286"/>
      <c r="S137" s="286"/>
      <c r="T137" s="286"/>
      <c r="U137" s="286"/>
      <c r="V137" s="287"/>
      <c r="W137" s="37" t="s">
        <v>67</v>
      </c>
      <c r="X137" s="280">
        <f>IFERROR(SUM(X134:X136),"0")</f>
        <v>0</v>
      </c>
      <c r="Y137" s="280">
        <f>IFERROR(SUM(Y134:Y136),"0")</f>
        <v>0</v>
      </c>
      <c r="Z137" s="280">
        <f>IFERROR(IF(Z134="",0,Z134),"0")+IFERROR(IF(Z135="",0,Z135),"0")+IFERROR(IF(Z136="",0,Z136),"0")</f>
        <v>0</v>
      </c>
      <c r="AA137" s="281"/>
      <c r="AB137" s="281"/>
      <c r="AC137" s="281"/>
    </row>
    <row r="138" spans="1:68" x14ac:dyDescent="0.2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96"/>
      <c r="P138" s="285" t="s">
        <v>86</v>
      </c>
      <c r="Q138" s="286"/>
      <c r="R138" s="286"/>
      <c r="S138" s="286"/>
      <c r="T138" s="286"/>
      <c r="U138" s="286"/>
      <c r="V138" s="287"/>
      <c r="W138" s="37" t="s">
        <v>87</v>
      </c>
      <c r="X138" s="280">
        <f>IFERROR(SUMPRODUCT(X134:X136*H134:H136),"0")</f>
        <v>0</v>
      </c>
      <c r="Y138" s="280">
        <f>IFERROR(SUMPRODUCT(Y134:Y136*H134:H136),"0")</f>
        <v>0</v>
      </c>
      <c r="Z138" s="37"/>
      <c r="AA138" s="281"/>
      <c r="AB138" s="281"/>
      <c r="AC138" s="281"/>
    </row>
    <row r="139" spans="1:68" ht="14.25" customHeight="1" x14ac:dyDescent="0.25">
      <c r="A139" s="288" t="s">
        <v>221</v>
      </c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74"/>
      <c r="AB139" s="274"/>
      <c r="AC139" s="274"/>
    </row>
    <row r="140" spans="1:68" ht="27" customHeight="1" x14ac:dyDescent="0.25">
      <c r="A140" s="54" t="s">
        <v>222</v>
      </c>
      <c r="B140" s="54" t="s">
        <v>223</v>
      </c>
      <c r="C140" s="31">
        <v>4301190117</v>
      </c>
      <c r="D140" s="292">
        <v>4620207491386</v>
      </c>
      <c r="E140" s="293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99</v>
      </c>
      <c r="L140" s="32" t="s">
        <v>65</v>
      </c>
      <c r="M140" s="33" t="s">
        <v>66</v>
      </c>
      <c r="N140" s="33"/>
      <c r="O140" s="32">
        <v>180</v>
      </c>
      <c r="P140" s="38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67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69</v>
      </c>
      <c r="AK140" s="71">
        <v>1</v>
      </c>
      <c r="BB140" s="175" t="s">
        <v>103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customHeight="1" x14ac:dyDescent="0.25">
      <c r="A141" s="54" t="s">
        <v>225</v>
      </c>
      <c r="B141" s="54" t="s">
        <v>226</v>
      </c>
      <c r="C141" s="31">
        <v>4301190115</v>
      </c>
      <c r="D141" s="292">
        <v>4620207491362</v>
      </c>
      <c r="E141" s="293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99</v>
      </c>
      <c r="L141" s="32" t="s">
        <v>65</v>
      </c>
      <c r="M141" s="33" t="s">
        <v>66</v>
      </c>
      <c r="N141" s="33"/>
      <c r="O141" s="32">
        <v>180</v>
      </c>
      <c r="P141" s="39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67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69</v>
      </c>
      <c r="AK141" s="71">
        <v>1</v>
      </c>
      <c r="BB141" s="177" t="s">
        <v>103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227</v>
      </c>
      <c r="B142" s="54" t="s">
        <v>228</v>
      </c>
      <c r="C142" s="31">
        <v>4301190116</v>
      </c>
      <c r="D142" s="292">
        <v>4620207491379</v>
      </c>
      <c r="E142" s="293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99</v>
      </c>
      <c r="L142" s="32" t="s">
        <v>65</v>
      </c>
      <c r="M142" s="33" t="s">
        <v>66</v>
      </c>
      <c r="N142" s="33"/>
      <c r="O142" s="32">
        <v>180</v>
      </c>
      <c r="P142" s="35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67</v>
      </c>
      <c r="X142" s="278">
        <v>14</v>
      </c>
      <c r="Y142" s="279">
        <f>IFERROR(IF(X142="","",X142),"")</f>
        <v>14</v>
      </c>
      <c r="Z142" s="36">
        <f>IFERROR(IF(X142="","",X142*0.00941),"")</f>
        <v>0.13174</v>
      </c>
      <c r="AA142" s="56"/>
      <c r="AB142" s="57"/>
      <c r="AC142" s="178" t="s">
        <v>224</v>
      </c>
      <c r="AG142" s="67"/>
      <c r="AJ142" s="71" t="s">
        <v>69</v>
      </c>
      <c r="AK142" s="71">
        <v>1</v>
      </c>
      <c r="BB142" s="179" t="s">
        <v>103</v>
      </c>
      <c r="BM142" s="67">
        <f>IFERROR(X142*I142,"0")</f>
        <v>19.571999999999999</v>
      </c>
      <c r="BN142" s="67">
        <f>IFERROR(Y142*I142,"0")</f>
        <v>19.571999999999999</v>
      </c>
      <c r="BO142" s="67">
        <f>IFERROR(X142/J142,"0")</f>
        <v>0.1</v>
      </c>
      <c r="BP142" s="67">
        <f>IFERROR(Y142/J142,"0")</f>
        <v>0.1</v>
      </c>
    </row>
    <row r="143" spans="1:68" x14ac:dyDescent="0.2">
      <c r="A143" s="295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6"/>
      <c r="P143" s="285" t="s">
        <v>86</v>
      </c>
      <c r="Q143" s="286"/>
      <c r="R143" s="286"/>
      <c r="S143" s="286"/>
      <c r="T143" s="286"/>
      <c r="U143" s="286"/>
      <c r="V143" s="287"/>
      <c r="W143" s="37" t="s">
        <v>67</v>
      </c>
      <c r="X143" s="280">
        <f>IFERROR(SUM(X140:X142),"0")</f>
        <v>14</v>
      </c>
      <c r="Y143" s="280">
        <f>IFERROR(SUM(Y140:Y142),"0")</f>
        <v>14</v>
      </c>
      <c r="Z143" s="280">
        <f>IFERROR(IF(Z140="",0,Z140),"0")+IFERROR(IF(Z141="",0,Z141),"0")+IFERROR(IF(Z142="",0,Z142),"0")</f>
        <v>0.13174</v>
      </c>
      <c r="AA143" s="281"/>
      <c r="AB143" s="281"/>
      <c r="AC143" s="281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6"/>
      <c r="P144" s="285" t="s">
        <v>86</v>
      </c>
      <c r="Q144" s="286"/>
      <c r="R144" s="286"/>
      <c r="S144" s="286"/>
      <c r="T144" s="286"/>
      <c r="U144" s="286"/>
      <c r="V144" s="287"/>
      <c r="W144" s="37" t="s">
        <v>87</v>
      </c>
      <c r="X144" s="280">
        <f>IFERROR(SUMPRODUCT(X140:X142*H140:H142),"0")</f>
        <v>15.120000000000001</v>
      </c>
      <c r="Y144" s="280">
        <f>IFERROR(SUMPRODUCT(Y140:Y142*H140:H142),"0")</f>
        <v>15.120000000000001</v>
      </c>
      <c r="Z144" s="37"/>
      <c r="AA144" s="281"/>
      <c r="AB144" s="281"/>
      <c r="AC144" s="281"/>
    </row>
    <row r="145" spans="1:68" ht="16.5" customHeight="1" x14ac:dyDescent="0.25">
      <c r="A145" s="294" t="s">
        <v>229</v>
      </c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73"/>
      <c r="AB145" s="273"/>
      <c r="AC145" s="273"/>
    </row>
    <row r="146" spans="1:68" ht="14.25" customHeight="1" x14ac:dyDescent="0.25">
      <c r="A146" s="288" t="s">
        <v>140</v>
      </c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289"/>
      <c r="W146" s="289"/>
      <c r="X146" s="289"/>
      <c r="Y146" s="289"/>
      <c r="Z146" s="289"/>
      <c r="AA146" s="274"/>
      <c r="AB146" s="274"/>
      <c r="AC146" s="274"/>
    </row>
    <row r="147" spans="1:68" ht="27" customHeight="1" x14ac:dyDescent="0.25">
      <c r="A147" s="54" t="s">
        <v>230</v>
      </c>
      <c r="B147" s="54" t="s">
        <v>231</v>
      </c>
      <c r="C147" s="31">
        <v>4301135555</v>
      </c>
      <c r="D147" s="292">
        <v>4607111034014</v>
      </c>
      <c r="E147" s="293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99</v>
      </c>
      <c r="L147" s="32" t="s">
        <v>100</v>
      </c>
      <c r="M147" s="33" t="s">
        <v>66</v>
      </c>
      <c r="N147" s="33"/>
      <c r="O147" s="32">
        <v>180</v>
      </c>
      <c r="P147" s="31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83"/>
      <c r="R147" s="283"/>
      <c r="S147" s="283"/>
      <c r="T147" s="284"/>
      <c r="U147" s="34"/>
      <c r="V147" s="34"/>
      <c r="W147" s="35" t="s">
        <v>67</v>
      </c>
      <c r="X147" s="278">
        <v>0</v>
      </c>
      <c r="Y147" s="279">
        <f>IFERROR(IF(X147="","",X147),"")</f>
        <v>0</v>
      </c>
      <c r="Z147" s="36">
        <f>IFERROR(IF(X147="","",X147*0.01788),"")</f>
        <v>0</v>
      </c>
      <c r="AA147" s="56"/>
      <c r="AB147" s="57"/>
      <c r="AC147" s="180" t="s">
        <v>232</v>
      </c>
      <c r="AG147" s="67"/>
      <c r="AJ147" s="71" t="s">
        <v>102</v>
      </c>
      <c r="AK147" s="71">
        <v>14</v>
      </c>
      <c r="BB147" s="181" t="s">
        <v>103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ht="27" customHeight="1" x14ac:dyDescent="0.25">
      <c r="A148" s="54" t="s">
        <v>233</v>
      </c>
      <c r="B148" s="54" t="s">
        <v>234</v>
      </c>
      <c r="C148" s="31">
        <v>4301135532</v>
      </c>
      <c r="D148" s="292">
        <v>4607111033994</v>
      </c>
      <c r="E148" s="293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99</v>
      </c>
      <c r="L148" s="32" t="s">
        <v>100</v>
      </c>
      <c r="M148" s="33" t="s">
        <v>66</v>
      </c>
      <c r="N148" s="33"/>
      <c r="O148" s="32">
        <v>180</v>
      </c>
      <c r="P148" s="3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67</v>
      </c>
      <c r="X148" s="278">
        <v>0</v>
      </c>
      <c r="Y148" s="279">
        <f>IFERROR(IF(X148="","",X148),"")</f>
        <v>0</v>
      </c>
      <c r="Z148" s="36">
        <f>IFERROR(IF(X148="","",X148*0.01788),"")</f>
        <v>0</v>
      </c>
      <c r="AA148" s="56"/>
      <c r="AB148" s="57"/>
      <c r="AC148" s="182" t="s">
        <v>158</v>
      </c>
      <c r="AG148" s="67"/>
      <c r="AJ148" s="71" t="s">
        <v>102</v>
      </c>
      <c r="AK148" s="71">
        <v>14</v>
      </c>
      <c r="BB148" s="183" t="s">
        <v>103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295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96"/>
      <c r="P149" s="285" t="s">
        <v>86</v>
      </c>
      <c r="Q149" s="286"/>
      <c r="R149" s="286"/>
      <c r="S149" s="286"/>
      <c r="T149" s="286"/>
      <c r="U149" s="286"/>
      <c r="V149" s="287"/>
      <c r="W149" s="37" t="s">
        <v>67</v>
      </c>
      <c r="X149" s="280">
        <f>IFERROR(SUM(X147:X148),"0")</f>
        <v>0</v>
      </c>
      <c r="Y149" s="280">
        <f>IFERROR(SUM(Y147:Y148),"0")</f>
        <v>0</v>
      </c>
      <c r="Z149" s="280">
        <f>IFERROR(IF(Z147="",0,Z147),"0")+IFERROR(IF(Z148="",0,Z148),"0")</f>
        <v>0</v>
      </c>
      <c r="AA149" s="281"/>
      <c r="AB149" s="281"/>
      <c r="AC149" s="281"/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6"/>
      <c r="P150" s="285" t="s">
        <v>86</v>
      </c>
      <c r="Q150" s="286"/>
      <c r="R150" s="286"/>
      <c r="S150" s="286"/>
      <c r="T150" s="286"/>
      <c r="U150" s="286"/>
      <c r="V150" s="287"/>
      <c r="W150" s="37" t="s">
        <v>87</v>
      </c>
      <c r="X150" s="280">
        <f>IFERROR(SUMPRODUCT(X147:X148*H147:H148),"0")</f>
        <v>0</v>
      </c>
      <c r="Y150" s="280">
        <f>IFERROR(SUMPRODUCT(Y147:Y148*H147:H148),"0")</f>
        <v>0</v>
      </c>
      <c r="Z150" s="37"/>
      <c r="AA150" s="281"/>
      <c r="AB150" s="281"/>
      <c r="AC150" s="281"/>
    </row>
    <row r="151" spans="1:68" ht="16.5" customHeight="1" x14ac:dyDescent="0.25">
      <c r="A151" s="294" t="s">
        <v>235</v>
      </c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73"/>
      <c r="AB151" s="273"/>
      <c r="AC151" s="273"/>
    </row>
    <row r="152" spans="1:68" ht="14.25" customHeight="1" x14ac:dyDescent="0.25">
      <c r="A152" s="288" t="s">
        <v>140</v>
      </c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289"/>
      <c r="W152" s="289"/>
      <c r="X152" s="289"/>
      <c r="Y152" s="289"/>
      <c r="Z152" s="289"/>
      <c r="AA152" s="274"/>
      <c r="AB152" s="274"/>
      <c r="AC152" s="274"/>
    </row>
    <row r="153" spans="1:68" ht="27" customHeight="1" x14ac:dyDescent="0.25">
      <c r="A153" s="54" t="s">
        <v>236</v>
      </c>
      <c r="B153" s="54" t="s">
        <v>237</v>
      </c>
      <c r="C153" s="31">
        <v>4301135824</v>
      </c>
      <c r="D153" s="292">
        <v>4607111039095</v>
      </c>
      <c r="E153" s="293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99</v>
      </c>
      <c r="L153" s="32" t="s">
        <v>65</v>
      </c>
      <c r="M153" s="33" t="s">
        <v>66</v>
      </c>
      <c r="N153" s="33"/>
      <c r="O153" s="32">
        <v>180</v>
      </c>
      <c r="P153" s="39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83"/>
      <c r="R153" s="283"/>
      <c r="S153" s="283"/>
      <c r="T153" s="284"/>
      <c r="U153" s="34"/>
      <c r="V153" s="34"/>
      <c r="W153" s="35" t="s">
        <v>67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69</v>
      </c>
      <c r="AK153" s="71">
        <v>1</v>
      </c>
      <c r="BB153" s="185" t="s">
        <v>103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16.5" customHeight="1" x14ac:dyDescent="0.25">
      <c r="A154" s="54" t="s">
        <v>239</v>
      </c>
      <c r="B154" s="54" t="s">
        <v>240</v>
      </c>
      <c r="C154" s="31">
        <v>4301135550</v>
      </c>
      <c r="D154" s="292">
        <v>4607111034199</v>
      </c>
      <c r="E154" s="293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99</v>
      </c>
      <c r="L154" s="32" t="s">
        <v>100</v>
      </c>
      <c r="M154" s="33" t="s">
        <v>66</v>
      </c>
      <c r="N154" s="33"/>
      <c r="O154" s="32">
        <v>180</v>
      </c>
      <c r="P154" s="40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83"/>
      <c r="R154" s="283"/>
      <c r="S154" s="283"/>
      <c r="T154" s="284"/>
      <c r="U154" s="34"/>
      <c r="V154" s="34"/>
      <c r="W154" s="35" t="s">
        <v>67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102</v>
      </c>
      <c r="AK154" s="71">
        <v>14</v>
      </c>
      <c r="BB154" s="187" t="s">
        <v>103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295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96"/>
      <c r="P155" s="285" t="s">
        <v>86</v>
      </c>
      <c r="Q155" s="286"/>
      <c r="R155" s="286"/>
      <c r="S155" s="286"/>
      <c r="T155" s="286"/>
      <c r="U155" s="286"/>
      <c r="V155" s="287"/>
      <c r="W155" s="37" t="s">
        <v>67</v>
      </c>
      <c r="X155" s="280">
        <f>IFERROR(SUM(X153:X154),"0")</f>
        <v>0</v>
      </c>
      <c r="Y155" s="280">
        <f>IFERROR(SUM(Y153:Y154),"0")</f>
        <v>0</v>
      </c>
      <c r="Z155" s="280">
        <f>IFERROR(IF(Z153="",0,Z153),"0")+IFERROR(IF(Z154="",0,Z154),"0")</f>
        <v>0</v>
      </c>
      <c r="AA155" s="281"/>
      <c r="AB155" s="281"/>
      <c r="AC155" s="281"/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6"/>
      <c r="P156" s="285" t="s">
        <v>86</v>
      </c>
      <c r="Q156" s="286"/>
      <c r="R156" s="286"/>
      <c r="S156" s="286"/>
      <c r="T156" s="286"/>
      <c r="U156" s="286"/>
      <c r="V156" s="287"/>
      <c r="W156" s="37" t="s">
        <v>87</v>
      </c>
      <c r="X156" s="280">
        <f>IFERROR(SUMPRODUCT(X153:X154*H153:H154),"0")</f>
        <v>0</v>
      </c>
      <c r="Y156" s="280">
        <f>IFERROR(SUMPRODUCT(Y153:Y154*H153:H154),"0")</f>
        <v>0</v>
      </c>
      <c r="Z156" s="37"/>
      <c r="AA156" s="281"/>
      <c r="AB156" s="281"/>
      <c r="AC156" s="281"/>
    </row>
    <row r="157" spans="1:68" ht="16.5" customHeight="1" x14ac:dyDescent="0.25">
      <c r="A157" s="294" t="s">
        <v>242</v>
      </c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73"/>
      <c r="AB157" s="273"/>
      <c r="AC157" s="273"/>
    </row>
    <row r="158" spans="1:68" ht="14.25" customHeight="1" x14ac:dyDescent="0.25">
      <c r="A158" s="288" t="s">
        <v>140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74"/>
      <c r="AB158" s="274"/>
      <c r="AC158" s="274"/>
    </row>
    <row r="159" spans="1:68" ht="27" customHeight="1" x14ac:dyDescent="0.25">
      <c r="A159" s="54" t="s">
        <v>243</v>
      </c>
      <c r="B159" s="54" t="s">
        <v>244</v>
      </c>
      <c r="C159" s="31">
        <v>4301135753</v>
      </c>
      <c r="D159" s="292">
        <v>4620207490914</v>
      </c>
      <c r="E159" s="293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99</v>
      </c>
      <c r="L159" s="32" t="s">
        <v>65</v>
      </c>
      <c r="M159" s="33" t="s">
        <v>66</v>
      </c>
      <c r="N159" s="33"/>
      <c r="O159" s="32">
        <v>180</v>
      </c>
      <c r="P159" s="39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83"/>
      <c r="R159" s="283"/>
      <c r="S159" s="283"/>
      <c r="T159" s="284"/>
      <c r="U159" s="34"/>
      <c r="V159" s="34"/>
      <c r="W159" s="35" t="s">
        <v>67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232</v>
      </c>
      <c r="AG159" s="67"/>
      <c r="AJ159" s="71" t="s">
        <v>69</v>
      </c>
      <c r="AK159" s="71">
        <v>1</v>
      </c>
      <c r="BB159" s="189" t="s">
        <v>103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t="27" customHeight="1" x14ac:dyDescent="0.25">
      <c r="A160" s="54" t="s">
        <v>245</v>
      </c>
      <c r="B160" s="54" t="s">
        <v>246</v>
      </c>
      <c r="C160" s="31">
        <v>4301135778</v>
      </c>
      <c r="D160" s="292">
        <v>4620207490853</v>
      </c>
      <c r="E160" s="293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99</v>
      </c>
      <c r="L160" s="32" t="s">
        <v>100</v>
      </c>
      <c r="M160" s="33" t="s">
        <v>66</v>
      </c>
      <c r="N160" s="33"/>
      <c r="O160" s="32">
        <v>180</v>
      </c>
      <c r="P160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67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232</v>
      </c>
      <c r="AG160" s="67"/>
      <c r="AJ160" s="71" t="s">
        <v>102</v>
      </c>
      <c r="AK160" s="71">
        <v>14</v>
      </c>
      <c r="BB160" s="191" t="s">
        <v>103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295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6"/>
      <c r="P161" s="285" t="s">
        <v>86</v>
      </c>
      <c r="Q161" s="286"/>
      <c r="R161" s="286"/>
      <c r="S161" s="286"/>
      <c r="T161" s="286"/>
      <c r="U161" s="286"/>
      <c r="V161" s="287"/>
      <c r="W161" s="37" t="s">
        <v>67</v>
      </c>
      <c r="X161" s="280">
        <f>IFERROR(SUM(X159:X160),"0")</f>
        <v>0</v>
      </c>
      <c r="Y161" s="280">
        <f>IFERROR(SUM(Y159:Y160),"0")</f>
        <v>0</v>
      </c>
      <c r="Z161" s="280">
        <f>IFERROR(IF(Z159="",0,Z159),"0")+IFERROR(IF(Z160="",0,Z160),"0")</f>
        <v>0</v>
      </c>
      <c r="AA161" s="281"/>
      <c r="AB161" s="281"/>
      <c r="AC161" s="281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6"/>
      <c r="P162" s="285" t="s">
        <v>86</v>
      </c>
      <c r="Q162" s="286"/>
      <c r="R162" s="286"/>
      <c r="S162" s="286"/>
      <c r="T162" s="286"/>
      <c r="U162" s="286"/>
      <c r="V162" s="287"/>
      <c r="W162" s="37" t="s">
        <v>87</v>
      </c>
      <c r="X162" s="280">
        <f>IFERROR(SUMPRODUCT(X159:X160*H159:H160),"0")</f>
        <v>0</v>
      </c>
      <c r="Y162" s="280">
        <f>IFERROR(SUMPRODUCT(Y159:Y160*H159:H160),"0")</f>
        <v>0</v>
      </c>
      <c r="Z162" s="37"/>
      <c r="AA162" s="281"/>
      <c r="AB162" s="281"/>
      <c r="AC162" s="281"/>
    </row>
    <row r="163" spans="1:68" ht="16.5" customHeight="1" x14ac:dyDescent="0.25">
      <c r="A163" s="294" t="s">
        <v>247</v>
      </c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73"/>
      <c r="AB163" s="273"/>
      <c r="AC163" s="273"/>
    </row>
    <row r="164" spans="1:68" ht="14.25" customHeight="1" x14ac:dyDescent="0.25">
      <c r="A164" s="288" t="s">
        <v>140</v>
      </c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74"/>
      <c r="AB164" s="274"/>
      <c r="AC164" s="274"/>
    </row>
    <row r="165" spans="1:68" ht="27" customHeight="1" x14ac:dyDescent="0.25">
      <c r="A165" s="54" t="s">
        <v>248</v>
      </c>
      <c r="B165" s="54" t="s">
        <v>249</v>
      </c>
      <c r="C165" s="31">
        <v>4301135570</v>
      </c>
      <c r="D165" s="292">
        <v>4607111035806</v>
      </c>
      <c r="E165" s="293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99</v>
      </c>
      <c r="L165" s="32" t="s">
        <v>100</v>
      </c>
      <c r="M165" s="33" t="s">
        <v>66</v>
      </c>
      <c r="N165" s="33"/>
      <c r="O165" s="32">
        <v>180</v>
      </c>
      <c r="P165" s="30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83"/>
      <c r="R165" s="283"/>
      <c r="S165" s="283"/>
      <c r="T165" s="284"/>
      <c r="U165" s="34"/>
      <c r="V165" s="34"/>
      <c r="W165" s="35" t="s">
        <v>67</v>
      </c>
      <c r="X165" s="278">
        <v>0</v>
      </c>
      <c r="Y165" s="279">
        <f>IFERROR(IF(X165="","",X165),"")</f>
        <v>0</v>
      </c>
      <c r="Z165" s="36">
        <f>IFERROR(IF(X165="","",X165*0.01788),"")</f>
        <v>0</v>
      </c>
      <c r="AA165" s="56"/>
      <c r="AB165" s="57"/>
      <c r="AC165" s="192" t="s">
        <v>250</v>
      </c>
      <c r="AG165" s="67"/>
      <c r="AJ165" s="71" t="s">
        <v>102</v>
      </c>
      <c r="AK165" s="71">
        <v>14</v>
      </c>
      <c r="BB165" s="193" t="s">
        <v>103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295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6"/>
      <c r="P166" s="285" t="s">
        <v>86</v>
      </c>
      <c r="Q166" s="286"/>
      <c r="R166" s="286"/>
      <c r="S166" s="286"/>
      <c r="T166" s="286"/>
      <c r="U166" s="286"/>
      <c r="V166" s="287"/>
      <c r="W166" s="37" t="s">
        <v>67</v>
      </c>
      <c r="X166" s="280">
        <f>IFERROR(SUM(X165:X165),"0")</f>
        <v>0</v>
      </c>
      <c r="Y166" s="280">
        <f>IFERROR(SUM(Y165:Y165),"0")</f>
        <v>0</v>
      </c>
      <c r="Z166" s="280">
        <f>IFERROR(IF(Z165="",0,Z165),"0")</f>
        <v>0</v>
      </c>
      <c r="AA166" s="281"/>
      <c r="AB166" s="281"/>
      <c r="AC166" s="281"/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6"/>
      <c r="P167" s="285" t="s">
        <v>86</v>
      </c>
      <c r="Q167" s="286"/>
      <c r="R167" s="286"/>
      <c r="S167" s="286"/>
      <c r="T167" s="286"/>
      <c r="U167" s="286"/>
      <c r="V167" s="287"/>
      <c r="W167" s="37" t="s">
        <v>87</v>
      </c>
      <c r="X167" s="280">
        <f>IFERROR(SUMPRODUCT(X165:X165*H165:H165),"0")</f>
        <v>0</v>
      </c>
      <c r="Y167" s="280">
        <f>IFERROR(SUMPRODUCT(Y165:Y165*H165:H165),"0")</f>
        <v>0</v>
      </c>
      <c r="Z167" s="37"/>
      <c r="AA167" s="281"/>
      <c r="AB167" s="281"/>
      <c r="AC167" s="281"/>
    </row>
    <row r="168" spans="1:68" ht="16.5" customHeight="1" x14ac:dyDescent="0.25">
      <c r="A168" s="294" t="s">
        <v>251</v>
      </c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289"/>
      <c r="W168" s="289"/>
      <c r="X168" s="289"/>
      <c r="Y168" s="289"/>
      <c r="Z168" s="289"/>
      <c r="AA168" s="273"/>
      <c r="AB168" s="273"/>
      <c r="AC168" s="273"/>
    </row>
    <row r="169" spans="1:68" ht="14.25" customHeight="1" x14ac:dyDescent="0.25">
      <c r="A169" s="288" t="s">
        <v>140</v>
      </c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74"/>
      <c r="AB169" s="274"/>
      <c r="AC169" s="274"/>
    </row>
    <row r="170" spans="1:68" ht="16.5" customHeight="1" x14ac:dyDescent="0.25">
      <c r="A170" s="54" t="s">
        <v>252</v>
      </c>
      <c r="B170" s="54" t="s">
        <v>253</v>
      </c>
      <c r="C170" s="31">
        <v>4301135607</v>
      </c>
      <c r="D170" s="292">
        <v>4607111039613</v>
      </c>
      <c r="E170" s="293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99</v>
      </c>
      <c r="L170" s="32" t="s">
        <v>100</v>
      </c>
      <c r="M170" s="33" t="s">
        <v>66</v>
      </c>
      <c r="N170" s="33"/>
      <c r="O170" s="32">
        <v>180</v>
      </c>
      <c r="P170" s="3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83"/>
      <c r="R170" s="283"/>
      <c r="S170" s="283"/>
      <c r="T170" s="284"/>
      <c r="U170" s="34"/>
      <c r="V170" s="34"/>
      <c r="W170" s="35" t="s">
        <v>67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238</v>
      </c>
      <c r="AG170" s="67"/>
      <c r="AJ170" s="71" t="s">
        <v>102</v>
      </c>
      <c r="AK170" s="71">
        <v>14</v>
      </c>
      <c r="BB170" s="195" t="s">
        <v>103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95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6"/>
      <c r="P171" s="285" t="s">
        <v>86</v>
      </c>
      <c r="Q171" s="286"/>
      <c r="R171" s="286"/>
      <c r="S171" s="286"/>
      <c r="T171" s="286"/>
      <c r="U171" s="286"/>
      <c r="V171" s="287"/>
      <c r="W171" s="37" t="s">
        <v>67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6"/>
      <c r="P172" s="285" t="s">
        <v>86</v>
      </c>
      <c r="Q172" s="286"/>
      <c r="R172" s="286"/>
      <c r="S172" s="286"/>
      <c r="T172" s="286"/>
      <c r="U172" s="286"/>
      <c r="V172" s="287"/>
      <c r="W172" s="37" t="s">
        <v>87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customHeight="1" x14ac:dyDescent="0.25">
      <c r="A173" s="294" t="s">
        <v>254</v>
      </c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73"/>
      <c r="AB173" s="273"/>
      <c r="AC173" s="273"/>
    </row>
    <row r="174" spans="1:68" ht="14.25" customHeight="1" x14ac:dyDescent="0.25">
      <c r="A174" s="288" t="s">
        <v>140</v>
      </c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74"/>
      <c r="AB174" s="274"/>
      <c r="AC174" s="274"/>
    </row>
    <row r="175" spans="1:68" ht="27" customHeight="1" x14ac:dyDescent="0.25">
      <c r="A175" s="54" t="s">
        <v>255</v>
      </c>
      <c r="B175" s="54" t="s">
        <v>256</v>
      </c>
      <c r="C175" s="31">
        <v>4301135591</v>
      </c>
      <c r="D175" s="292">
        <v>4607111036568</v>
      </c>
      <c r="E175" s="293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99</v>
      </c>
      <c r="L175" s="32" t="s">
        <v>100</v>
      </c>
      <c r="M175" s="33" t="s">
        <v>66</v>
      </c>
      <c r="N175" s="33"/>
      <c r="O175" s="32">
        <v>180</v>
      </c>
      <c r="P175" s="4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83"/>
      <c r="R175" s="283"/>
      <c r="S175" s="283"/>
      <c r="T175" s="284"/>
      <c r="U175" s="34"/>
      <c r="V175" s="34"/>
      <c r="W175" s="35" t="s">
        <v>67</v>
      </c>
      <c r="X175" s="278">
        <v>0</v>
      </c>
      <c r="Y175" s="279">
        <f>IFERROR(IF(X175="","",X175),"")</f>
        <v>0</v>
      </c>
      <c r="Z175" s="36">
        <f>IFERROR(IF(X175="","",X175*0.00941),"")</f>
        <v>0</v>
      </c>
      <c r="AA175" s="56"/>
      <c r="AB175" s="57"/>
      <c r="AC175" s="196" t="s">
        <v>257</v>
      </c>
      <c r="AG175" s="67"/>
      <c r="AJ175" s="71" t="s">
        <v>102</v>
      </c>
      <c r="AK175" s="71">
        <v>14</v>
      </c>
      <c r="BB175" s="197" t="s">
        <v>103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295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6"/>
      <c r="P176" s="285" t="s">
        <v>86</v>
      </c>
      <c r="Q176" s="286"/>
      <c r="R176" s="286"/>
      <c r="S176" s="286"/>
      <c r="T176" s="286"/>
      <c r="U176" s="286"/>
      <c r="V176" s="287"/>
      <c r="W176" s="37" t="s">
        <v>67</v>
      </c>
      <c r="X176" s="280">
        <f>IFERROR(SUM(X175:X175),"0")</f>
        <v>0</v>
      </c>
      <c r="Y176" s="280">
        <f>IFERROR(SUM(Y175:Y175),"0")</f>
        <v>0</v>
      </c>
      <c r="Z176" s="280">
        <f>IFERROR(IF(Z175="",0,Z175),"0")</f>
        <v>0</v>
      </c>
      <c r="AA176" s="281"/>
      <c r="AB176" s="281"/>
      <c r="AC176" s="281"/>
    </row>
    <row r="177" spans="1:68" x14ac:dyDescent="0.2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96"/>
      <c r="P177" s="285" t="s">
        <v>86</v>
      </c>
      <c r="Q177" s="286"/>
      <c r="R177" s="286"/>
      <c r="S177" s="286"/>
      <c r="T177" s="286"/>
      <c r="U177" s="286"/>
      <c r="V177" s="287"/>
      <c r="W177" s="37" t="s">
        <v>87</v>
      </c>
      <c r="X177" s="280">
        <f>IFERROR(SUMPRODUCT(X175:X175*H175:H175),"0")</f>
        <v>0</v>
      </c>
      <c r="Y177" s="280">
        <f>IFERROR(SUMPRODUCT(Y175:Y175*H175:H175),"0")</f>
        <v>0</v>
      </c>
      <c r="Z177" s="37"/>
      <c r="AA177" s="281"/>
      <c r="AB177" s="281"/>
      <c r="AC177" s="281"/>
    </row>
    <row r="178" spans="1:68" ht="27.75" customHeight="1" x14ac:dyDescent="0.2">
      <c r="A178" s="361" t="s">
        <v>258</v>
      </c>
      <c r="B178" s="362"/>
      <c r="C178" s="362"/>
      <c r="D178" s="362"/>
      <c r="E178" s="362"/>
      <c r="F178" s="362"/>
      <c r="G178" s="362"/>
      <c r="H178" s="362"/>
      <c r="I178" s="362"/>
      <c r="J178" s="362"/>
      <c r="K178" s="362"/>
      <c r="L178" s="362"/>
      <c r="M178" s="362"/>
      <c r="N178" s="362"/>
      <c r="O178" s="362"/>
      <c r="P178" s="362"/>
      <c r="Q178" s="362"/>
      <c r="R178" s="362"/>
      <c r="S178" s="362"/>
      <c r="T178" s="362"/>
      <c r="U178" s="362"/>
      <c r="V178" s="362"/>
      <c r="W178" s="362"/>
      <c r="X178" s="362"/>
      <c r="Y178" s="362"/>
      <c r="Z178" s="362"/>
      <c r="AA178" s="48"/>
      <c r="AB178" s="48"/>
      <c r="AC178" s="48"/>
    </row>
    <row r="179" spans="1:68" ht="16.5" customHeight="1" x14ac:dyDescent="0.25">
      <c r="A179" s="294" t="s">
        <v>259</v>
      </c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73"/>
      <c r="AB179" s="273"/>
      <c r="AC179" s="273"/>
    </row>
    <row r="180" spans="1:68" ht="14.25" customHeight="1" x14ac:dyDescent="0.25">
      <c r="A180" s="288" t="s">
        <v>61</v>
      </c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74"/>
      <c r="AB180" s="274"/>
      <c r="AC180" s="274"/>
    </row>
    <row r="181" spans="1:68" ht="16.5" customHeight="1" x14ac:dyDescent="0.25">
      <c r="A181" s="54" t="s">
        <v>260</v>
      </c>
      <c r="B181" s="54" t="s">
        <v>261</v>
      </c>
      <c r="C181" s="31">
        <v>4301071062</v>
      </c>
      <c r="D181" s="292">
        <v>4607111036384</v>
      </c>
      <c r="E181" s="293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64</v>
      </c>
      <c r="L181" s="32" t="s">
        <v>65</v>
      </c>
      <c r="M181" s="33" t="s">
        <v>66</v>
      </c>
      <c r="N181" s="33"/>
      <c r="O181" s="32">
        <v>180</v>
      </c>
      <c r="P181" s="45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83"/>
      <c r="R181" s="283"/>
      <c r="S181" s="283"/>
      <c r="T181" s="284"/>
      <c r="U181" s="34"/>
      <c r="V181" s="34"/>
      <c r="W181" s="35" t="s">
        <v>67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262</v>
      </c>
      <c r="AG181" s="67"/>
      <c r="AJ181" s="71" t="s">
        <v>69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263</v>
      </c>
      <c r="B182" s="54" t="s">
        <v>264</v>
      </c>
      <c r="C182" s="31">
        <v>4301071050</v>
      </c>
      <c r="D182" s="292">
        <v>4607111036216</v>
      </c>
      <c r="E182" s="293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64</v>
      </c>
      <c r="L182" s="32" t="s">
        <v>100</v>
      </c>
      <c r="M182" s="33" t="s">
        <v>66</v>
      </c>
      <c r="N182" s="33"/>
      <c r="O182" s="32">
        <v>180</v>
      </c>
      <c r="P182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83"/>
      <c r="R182" s="283"/>
      <c r="S182" s="283"/>
      <c r="T182" s="284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102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95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6"/>
      <c r="P183" s="285" t="s">
        <v>86</v>
      </c>
      <c r="Q183" s="286"/>
      <c r="R183" s="286"/>
      <c r="S183" s="286"/>
      <c r="T183" s="286"/>
      <c r="U183" s="286"/>
      <c r="V183" s="287"/>
      <c r="W183" s="37" t="s">
        <v>67</v>
      </c>
      <c r="X183" s="280">
        <f>IFERROR(SUM(X181:X182),"0")</f>
        <v>0</v>
      </c>
      <c r="Y183" s="280">
        <f>IFERROR(SUM(Y181:Y182),"0")</f>
        <v>0</v>
      </c>
      <c r="Z183" s="280">
        <f>IFERROR(IF(Z181="",0,Z181),"0")+IFERROR(IF(Z182="",0,Z182),"0")</f>
        <v>0</v>
      </c>
      <c r="AA183" s="281"/>
      <c r="AB183" s="281"/>
      <c r="AC183" s="281"/>
    </row>
    <row r="184" spans="1:68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6"/>
      <c r="P184" s="285" t="s">
        <v>86</v>
      </c>
      <c r="Q184" s="286"/>
      <c r="R184" s="286"/>
      <c r="S184" s="286"/>
      <c r="T184" s="286"/>
      <c r="U184" s="286"/>
      <c r="V184" s="287"/>
      <c r="W184" s="37" t="s">
        <v>87</v>
      </c>
      <c r="X184" s="280">
        <f>IFERROR(SUMPRODUCT(X181:X182*H181:H182),"0")</f>
        <v>0</v>
      </c>
      <c r="Y184" s="280">
        <f>IFERROR(SUMPRODUCT(Y181:Y182*H181:H182),"0")</f>
        <v>0</v>
      </c>
      <c r="Z184" s="37"/>
      <c r="AA184" s="281"/>
      <c r="AB184" s="281"/>
      <c r="AC184" s="281"/>
    </row>
    <row r="185" spans="1:68" ht="14.25" customHeight="1" x14ac:dyDescent="0.25">
      <c r="A185" s="288" t="s">
        <v>266</v>
      </c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74"/>
      <c r="AB185" s="274"/>
      <c r="AC185" s="274"/>
    </row>
    <row r="186" spans="1:68" ht="27" customHeight="1" x14ac:dyDescent="0.25">
      <c r="A186" s="54" t="s">
        <v>267</v>
      </c>
      <c r="B186" s="54" t="s">
        <v>268</v>
      </c>
      <c r="C186" s="31">
        <v>4301080153</v>
      </c>
      <c r="D186" s="292">
        <v>4607111036827</v>
      </c>
      <c r="E186" s="293"/>
      <c r="F186" s="277">
        <v>1</v>
      </c>
      <c r="G186" s="32">
        <v>5</v>
      </c>
      <c r="H186" s="277">
        <v>5</v>
      </c>
      <c r="I186" s="277">
        <v>5.2</v>
      </c>
      <c r="J186" s="32">
        <v>144</v>
      </c>
      <c r="K186" s="32" t="s">
        <v>64</v>
      </c>
      <c r="L186" s="32" t="s">
        <v>65</v>
      </c>
      <c r="M186" s="33" t="s">
        <v>66</v>
      </c>
      <c r="N186" s="33"/>
      <c r="O186" s="32">
        <v>90</v>
      </c>
      <c r="P186" s="44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6" s="283"/>
      <c r="R186" s="283"/>
      <c r="S186" s="283"/>
      <c r="T186" s="284"/>
      <c r="U186" s="34"/>
      <c r="V186" s="34"/>
      <c r="W186" s="35" t="s">
        <v>67</v>
      </c>
      <c r="X186" s="278">
        <v>0</v>
      </c>
      <c r="Y186" s="279">
        <f>IFERROR(IF(X186="","",X186),"")</f>
        <v>0</v>
      </c>
      <c r="Z186" s="36">
        <f>IFERROR(IF(X186="","",X186*0.00866),"")</f>
        <v>0</v>
      </c>
      <c r="AA186" s="56"/>
      <c r="AB186" s="57"/>
      <c r="AC186" s="202" t="s">
        <v>269</v>
      </c>
      <c r="AG186" s="67"/>
      <c r="AJ186" s="71" t="s">
        <v>69</v>
      </c>
      <c r="AK186" s="71">
        <v>1</v>
      </c>
      <c r="BB186" s="203" t="s">
        <v>1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95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6"/>
      <c r="P187" s="285" t="s">
        <v>86</v>
      </c>
      <c r="Q187" s="286"/>
      <c r="R187" s="286"/>
      <c r="S187" s="286"/>
      <c r="T187" s="286"/>
      <c r="U187" s="286"/>
      <c r="V187" s="287"/>
      <c r="W187" s="37" t="s">
        <v>67</v>
      </c>
      <c r="X187" s="280">
        <f>IFERROR(SUM(X186:X186),"0")</f>
        <v>0</v>
      </c>
      <c r="Y187" s="280">
        <f>IFERROR(SUM(Y186:Y186),"0")</f>
        <v>0</v>
      </c>
      <c r="Z187" s="280">
        <f>IFERROR(IF(Z186="",0,Z186),"0")</f>
        <v>0</v>
      </c>
      <c r="AA187" s="281"/>
      <c r="AB187" s="281"/>
      <c r="AC187" s="281"/>
    </row>
    <row r="188" spans="1:68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6"/>
      <c r="P188" s="285" t="s">
        <v>86</v>
      </c>
      <c r="Q188" s="286"/>
      <c r="R188" s="286"/>
      <c r="S188" s="286"/>
      <c r="T188" s="286"/>
      <c r="U188" s="286"/>
      <c r="V188" s="287"/>
      <c r="W188" s="37" t="s">
        <v>87</v>
      </c>
      <c r="X188" s="280">
        <f>IFERROR(SUMPRODUCT(X186:X186*H186:H186),"0")</f>
        <v>0</v>
      </c>
      <c r="Y188" s="280">
        <f>IFERROR(SUMPRODUCT(Y186:Y186*H186:H186),"0")</f>
        <v>0</v>
      </c>
      <c r="Z188" s="37"/>
      <c r="AA188" s="281"/>
      <c r="AB188" s="281"/>
      <c r="AC188" s="281"/>
    </row>
    <row r="189" spans="1:68" ht="16.5" customHeight="1" x14ac:dyDescent="0.25">
      <c r="A189" s="294" t="s">
        <v>270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73"/>
      <c r="AB189" s="273"/>
      <c r="AC189" s="273"/>
    </row>
    <row r="190" spans="1:68" ht="14.25" customHeight="1" x14ac:dyDescent="0.25">
      <c r="A190" s="288" t="s">
        <v>61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74"/>
      <c r="AB190" s="274"/>
      <c r="AC190" s="274"/>
    </row>
    <row r="191" spans="1:68" ht="27" customHeight="1" x14ac:dyDescent="0.25">
      <c r="A191" s="54" t="s">
        <v>271</v>
      </c>
      <c r="B191" s="54" t="s">
        <v>272</v>
      </c>
      <c r="C191" s="31">
        <v>4301071117</v>
      </c>
      <c r="D191" s="292">
        <v>4620207491737</v>
      </c>
      <c r="E191" s="293"/>
      <c r="F191" s="277">
        <v>1</v>
      </c>
      <c r="G191" s="32">
        <v>5</v>
      </c>
      <c r="H191" s="277">
        <v>5</v>
      </c>
      <c r="I191" s="277">
        <v>5.2619999999999996</v>
      </c>
      <c r="J191" s="32">
        <v>84</v>
      </c>
      <c r="K191" s="32" t="s">
        <v>64</v>
      </c>
      <c r="L191" s="32" t="s">
        <v>65</v>
      </c>
      <c r="M191" s="33" t="s">
        <v>66</v>
      </c>
      <c r="N191" s="33"/>
      <c r="O191" s="32">
        <v>180</v>
      </c>
      <c r="P191" s="44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1" s="283"/>
      <c r="R191" s="283"/>
      <c r="S191" s="283"/>
      <c r="T191" s="284"/>
      <c r="U191" s="34"/>
      <c r="V191" s="34"/>
      <c r="W191" s="35" t="s">
        <v>67</v>
      </c>
      <c r="X191" s="278">
        <v>0</v>
      </c>
      <c r="Y191" s="279">
        <f>IFERROR(IF(X191="","",X191),"")</f>
        <v>0</v>
      </c>
      <c r="Z191" s="36">
        <f>IFERROR(IF(X191="","",X191*0.0155),"")</f>
        <v>0</v>
      </c>
      <c r="AA191" s="56"/>
      <c r="AB191" s="57"/>
      <c r="AC191" s="204" t="s">
        <v>265</v>
      </c>
      <c r="AG191" s="67"/>
      <c r="AJ191" s="71" t="s">
        <v>69</v>
      </c>
      <c r="AK191" s="71">
        <v>1</v>
      </c>
      <c r="BB191" s="205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95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6"/>
      <c r="P192" s="285" t="s">
        <v>86</v>
      </c>
      <c r="Q192" s="286"/>
      <c r="R192" s="286"/>
      <c r="S192" s="286"/>
      <c r="T192" s="286"/>
      <c r="U192" s="286"/>
      <c r="V192" s="287"/>
      <c r="W192" s="37" t="s">
        <v>67</v>
      </c>
      <c r="X192" s="280">
        <f>IFERROR(SUM(X191:X191),"0")</f>
        <v>0</v>
      </c>
      <c r="Y192" s="280">
        <f>IFERROR(SUM(Y191:Y191),"0")</f>
        <v>0</v>
      </c>
      <c r="Z192" s="280">
        <f>IFERROR(IF(Z191="",0,Z191),"0")</f>
        <v>0</v>
      </c>
      <c r="AA192" s="281"/>
      <c r="AB192" s="281"/>
      <c r="AC192" s="281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6"/>
      <c r="P193" s="285" t="s">
        <v>86</v>
      </c>
      <c r="Q193" s="286"/>
      <c r="R193" s="286"/>
      <c r="S193" s="286"/>
      <c r="T193" s="286"/>
      <c r="U193" s="286"/>
      <c r="V193" s="287"/>
      <c r="W193" s="37" t="s">
        <v>87</v>
      </c>
      <c r="X193" s="280">
        <f>IFERROR(SUMPRODUCT(X191:X191*H191:H191),"0")</f>
        <v>0</v>
      </c>
      <c r="Y193" s="280">
        <f>IFERROR(SUMPRODUCT(Y191:Y191*H191:H191),"0")</f>
        <v>0</v>
      </c>
      <c r="Z193" s="37"/>
      <c r="AA193" s="281"/>
      <c r="AB193" s="281"/>
      <c r="AC193" s="281"/>
    </row>
    <row r="194" spans="1:68" ht="27.75" customHeight="1" x14ac:dyDescent="0.2">
      <c r="A194" s="361" t="s">
        <v>273</v>
      </c>
      <c r="B194" s="362"/>
      <c r="C194" s="362"/>
      <c r="D194" s="362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2"/>
      <c r="P194" s="362"/>
      <c r="Q194" s="362"/>
      <c r="R194" s="362"/>
      <c r="S194" s="362"/>
      <c r="T194" s="362"/>
      <c r="U194" s="362"/>
      <c r="V194" s="362"/>
      <c r="W194" s="362"/>
      <c r="X194" s="362"/>
      <c r="Y194" s="362"/>
      <c r="Z194" s="362"/>
      <c r="AA194" s="48"/>
      <c r="AB194" s="48"/>
      <c r="AC194" s="48"/>
    </row>
    <row r="195" spans="1:68" ht="16.5" customHeight="1" x14ac:dyDescent="0.25">
      <c r="A195" s="294" t="s">
        <v>274</v>
      </c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73"/>
      <c r="AB195" s="273"/>
      <c r="AC195" s="273"/>
    </row>
    <row r="196" spans="1:68" ht="14.25" customHeight="1" x14ac:dyDescent="0.25">
      <c r="A196" s="288" t="s">
        <v>96</v>
      </c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74"/>
      <c r="AB196" s="274"/>
      <c r="AC196" s="274"/>
    </row>
    <row r="197" spans="1:68" ht="16.5" customHeight="1" x14ac:dyDescent="0.25">
      <c r="A197" s="54" t="s">
        <v>275</v>
      </c>
      <c r="B197" s="54" t="s">
        <v>276</v>
      </c>
      <c r="C197" s="31">
        <v>4301132179</v>
      </c>
      <c r="D197" s="292">
        <v>4607111035691</v>
      </c>
      <c r="E197" s="293"/>
      <c r="F197" s="277">
        <v>0.25</v>
      </c>
      <c r="G197" s="32">
        <v>12</v>
      </c>
      <c r="H197" s="277">
        <v>3</v>
      </c>
      <c r="I197" s="277">
        <v>3.3879999999999999</v>
      </c>
      <c r="J197" s="32">
        <v>70</v>
      </c>
      <c r="K197" s="32" t="s">
        <v>99</v>
      </c>
      <c r="L197" s="32" t="s">
        <v>100</v>
      </c>
      <c r="M197" s="33" t="s">
        <v>66</v>
      </c>
      <c r="N197" s="33"/>
      <c r="O197" s="32">
        <v>365</v>
      </c>
      <c r="P197" s="36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283"/>
      <c r="R197" s="283"/>
      <c r="S197" s="283"/>
      <c r="T197" s="284"/>
      <c r="U197" s="34"/>
      <c r="V197" s="34"/>
      <c r="W197" s="35" t="s">
        <v>67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06" t="s">
        <v>277</v>
      </c>
      <c r="AG197" s="67"/>
      <c r="AJ197" s="71" t="s">
        <v>102</v>
      </c>
      <c r="AK197" s="71">
        <v>14</v>
      </c>
      <c r="BB197" s="207" t="s">
        <v>103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278</v>
      </c>
      <c r="B198" s="54" t="s">
        <v>279</v>
      </c>
      <c r="C198" s="31">
        <v>4301132182</v>
      </c>
      <c r="D198" s="292">
        <v>4607111035721</v>
      </c>
      <c r="E198" s="293"/>
      <c r="F198" s="277">
        <v>0.25</v>
      </c>
      <c r="G198" s="32">
        <v>12</v>
      </c>
      <c r="H198" s="277">
        <v>3</v>
      </c>
      <c r="I198" s="277">
        <v>3.3879999999999999</v>
      </c>
      <c r="J198" s="32">
        <v>70</v>
      </c>
      <c r="K198" s="32" t="s">
        <v>99</v>
      </c>
      <c r="L198" s="32" t="s">
        <v>100</v>
      </c>
      <c r="M198" s="33" t="s">
        <v>66</v>
      </c>
      <c r="N198" s="33"/>
      <c r="O198" s="32">
        <v>365</v>
      </c>
      <c r="P198" s="4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8" s="283"/>
      <c r="R198" s="283"/>
      <c r="S198" s="283"/>
      <c r="T198" s="284"/>
      <c r="U198" s="34"/>
      <c r="V198" s="34"/>
      <c r="W198" s="35" t="s">
        <v>67</v>
      </c>
      <c r="X198" s="278">
        <v>0</v>
      </c>
      <c r="Y198" s="279">
        <f>IFERROR(IF(X198="","",X198),"")</f>
        <v>0</v>
      </c>
      <c r="Z198" s="36">
        <f>IFERROR(IF(X198="","",X198*0.01788),"")</f>
        <v>0</v>
      </c>
      <c r="AA198" s="56"/>
      <c r="AB198" s="57"/>
      <c r="AC198" s="208" t="s">
        <v>280</v>
      </c>
      <c r="AG198" s="67"/>
      <c r="AJ198" s="71" t="s">
        <v>102</v>
      </c>
      <c r="AK198" s="71">
        <v>14</v>
      </c>
      <c r="BB198" s="209" t="s">
        <v>103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281</v>
      </c>
      <c r="B199" s="54" t="s">
        <v>282</v>
      </c>
      <c r="C199" s="31">
        <v>4301132170</v>
      </c>
      <c r="D199" s="292">
        <v>4607111038487</v>
      </c>
      <c r="E199" s="293"/>
      <c r="F199" s="277">
        <v>0.25</v>
      </c>
      <c r="G199" s="32">
        <v>12</v>
      </c>
      <c r="H199" s="277">
        <v>3</v>
      </c>
      <c r="I199" s="277">
        <v>3.7360000000000002</v>
      </c>
      <c r="J199" s="32">
        <v>70</v>
      </c>
      <c r="K199" s="32" t="s">
        <v>99</v>
      </c>
      <c r="L199" s="32" t="s">
        <v>100</v>
      </c>
      <c r="M199" s="33" t="s">
        <v>66</v>
      </c>
      <c r="N199" s="33"/>
      <c r="O199" s="32">
        <v>180</v>
      </c>
      <c r="P199" s="45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9" s="283"/>
      <c r="R199" s="283"/>
      <c r="S199" s="283"/>
      <c r="T199" s="284"/>
      <c r="U199" s="34"/>
      <c r="V199" s="34"/>
      <c r="W199" s="35" t="s">
        <v>67</v>
      </c>
      <c r="X199" s="278">
        <v>0</v>
      </c>
      <c r="Y199" s="279">
        <f>IFERROR(IF(X199="","",X199),"")</f>
        <v>0</v>
      </c>
      <c r="Z199" s="36">
        <f>IFERROR(IF(X199="","",X199*0.01788),"")</f>
        <v>0</v>
      </c>
      <c r="AA199" s="56"/>
      <c r="AB199" s="57"/>
      <c r="AC199" s="210" t="s">
        <v>283</v>
      </c>
      <c r="AG199" s="67"/>
      <c r="AJ199" s="71" t="s">
        <v>102</v>
      </c>
      <c r="AK199" s="71">
        <v>14</v>
      </c>
      <c r="BB199" s="211" t="s">
        <v>103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284</v>
      </c>
      <c r="B200" s="54" t="s">
        <v>285</v>
      </c>
      <c r="C200" s="31">
        <v>4301132243</v>
      </c>
      <c r="D200" s="292">
        <v>4620207491195</v>
      </c>
      <c r="E200" s="293"/>
      <c r="F200" s="277">
        <v>0.23</v>
      </c>
      <c r="G200" s="32">
        <v>12</v>
      </c>
      <c r="H200" s="277">
        <v>2.76</v>
      </c>
      <c r="I200" s="277">
        <v>3.1480000000000001</v>
      </c>
      <c r="J200" s="32">
        <v>70</v>
      </c>
      <c r="K200" s="32" t="s">
        <v>99</v>
      </c>
      <c r="L200" s="32" t="s">
        <v>65</v>
      </c>
      <c r="M200" s="33" t="s">
        <v>66</v>
      </c>
      <c r="N200" s="33"/>
      <c r="O200" s="32">
        <v>180</v>
      </c>
      <c r="P200" s="46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0" s="283"/>
      <c r="R200" s="283"/>
      <c r="S200" s="283"/>
      <c r="T200" s="284"/>
      <c r="U200" s="34"/>
      <c r="V200" s="34"/>
      <c r="W200" s="35" t="s">
        <v>67</v>
      </c>
      <c r="X200" s="278">
        <v>0</v>
      </c>
      <c r="Y200" s="279">
        <f>IFERROR(IF(X200="","",X200),"")</f>
        <v>0</v>
      </c>
      <c r="Z200" s="36">
        <f>IFERROR(IF(X200="","",X200*0.01788),"")</f>
        <v>0</v>
      </c>
      <c r="AA200" s="56"/>
      <c r="AB200" s="57"/>
      <c r="AC200" s="212" t="s">
        <v>286</v>
      </c>
      <c r="AG200" s="67"/>
      <c r="AJ200" s="71" t="s">
        <v>69</v>
      </c>
      <c r="AK200" s="71">
        <v>1</v>
      </c>
      <c r="BB200" s="213" t="s">
        <v>103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5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6"/>
      <c r="P201" s="285" t="s">
        <v>86</v>
      </c>
      <c r="Q201" s="286"/>
      <c r="R201" s="286"/>
      <c r="S201" s="286"/>
      <c r="T201" s="286"/>
      <c r="U201" s="286"/>
      <c r="V201" s="287"/>
      <c r="W201" s="37" t="s">
        <v>67</v>
      </c>
      <c r="X201" s="280">
        <f>IFERROR(SUM(X197:X200),"0")</f>
        <v>0</v>
      </c>
      <c r="Y201" s="280">
        <f>IFERROR(SUM(Y197:Y200),"0")</f>
        <v>0</v>
      </c>
      <c r="Z201" s="280">
        <f>IFERROR(IF(Z197="",0,Z197),"0")+IFERROR(IF(Z198="",0,Z198),"0")+IFERROR(IF(Z199="",0,Z199),"0")+IFERROR(IF(Z200="",0,Z200),"0")</f>
        <v>0</v>
      </c>
      <c r="AA201" s="281"/>
      <c r="AB201" s="281"/>
      <c r="AC201" s="281"/>
    </row>
    <row r="202" spans="1:68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6"/>
      <c r="P202" s="285" t="s">
        <v>86</v>
      </c>
      <c r="Q202" s="286"/>
      <c r="R202" s="286"/>
      <c r="S202" s="286"/>
      <c r="T202" s="286"/>
      <c r="U202" s="286"/>
      <c r="V202" s="287"/>
      <c r="W202" s="37" t="s">
        <v>87</v>
      </c>
      <c r="X202" s="280">
        <f>IFERROR(SUMPRODUCT(X197:X200*H197:H200),"0")</f>
        <v>0</v>
      </c>
      <c r="Y202" s="280">
        <f>IFERROR(SUMPRODUCT(Y197:Y200*H197:H200),"0")</f>
        <v>0</v>
      </c>
      <c r="Z202" s="37"/>
      <c r="AA202" s="281"/>
      <c r="AB202" s="281"/>
      <c r="AC202" s="281"/>
    </row>
    <row r="203" spans="1:68" ht="27.75" customHeight="1" x14ac:dyDescent="0.2">
      <c r="A203" s="361" t="s">
        <v>287</v>
      </c>
      <c r="B203" s="362"/>
      <c r="C203" s="362"/>
      <c r="D203" s="362"/>
      <c r="E203" s="362"/>
      <c r="F203" s="362"/>
      <c r="G203" s="362"/>
      <c r="H203" s="362"/>
      <c r="I203" s="362"/>
      <c r="J203" s="362"/>
      <c r="K203" s="362"/>
      <c r="L203" s="362"/>
      <c r="M203" s="362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62"/>
      <c r="Z203" s="362"/>
      <c r="AA203" s="48"/>
      <c r="AB203" s="48"/>
      <c r="AC203" s="48"/>
    </row>
    <row r="204" spans="1:68" ht="16.5" customHeight="1" x14ac:dyDescent="0.25">
      <c r="A204" s="294" t="s">
        <v>288</v>
      </c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73"/>
      <c r="AB204" s="273"/>
      <c r="AC204" s="273"/>
    </row>
    <row r="205" spans="1:68" ht="14.25" customHeight="1" x14ac:dyDescent="0.25">
      <c r="A205" s="288" t="s">
        <v>96</v>
      </c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74"/>
      <c r="AB205" s="274"/>
      <c r="AC205" s="274"/>
    </row>
    <row r="206" spans="1:68" ht="27" customHeight="1" x14ac:dyDescent="0.25">
      <c r="A206" s="54" t="s">
        <v>289</v>
      </c>
      <c r="B206" s="54" t="s">
        <v>290</v>
      </c>
      <c r="C206" s="31">
        <v>4301132227</v>
      </c>
      <c r="D206" s="292">
        <v>4620207491133</v>
      </c>
      <c r="E206" s="293"/>
      <c r="F206" s="277">
        <v>0.23</v>
      </c>
      <c r="G206" s="32">
        <v>12</v>
      </c>
      <c r="H206" s="277">
        <v>2.76</v>
      </c>
      <c r="I206" s="277">
        <v>2.98</v>
      </c>
      <c r="J206" s="32">
        <v>70</v>
      </c>
      <c r="K206" s="32" t="s">
        <v>99</v>
      </c>
      <c r="L206" s="32" t="s">
        <v>100</v>
      </c>
      <c r="M206" s="33" t="s">
        <v>66</v>
      </c>
      <c r="N206" s="33"/>
      <c r="O206" s="32">
        <v>180</v>
      </c>
      <c r="P206" s="39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6" s="283"/>
      <c r="R206" s="283"/>
      <c r="S206" s="283"/>
      <c r="T206" s="284"/>
      <c r="U206" s="34"/>
      <c r="V206" s="34"/>
      <c r="W206" s="35" t="s">
        <v>67</v>
      </c>
      <c r="X206" s="278">
        <v>0</v>
      </c>
      <c r="Y206" s="279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291</v>
      </c>
      <c r="AG206" s="67"/>
      <c r="AJ206" s="71" t="s">
        <v>102</v>
      </c>
      <c r="AK206" s="71">
        <v>14</v>
      </c>
      <c r="BB206" s="215" t="s">
        <v>103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5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96"/>
      <c r="P207" s="285" t="s">
        <v>86</v>
      </c>
      <c r="Q207" s="286"/>
      <c r="R207" s="286"/>
      <c r="S207" s="286"/>
      <c r="T207" s="286"/>
      <c r="U207" s="286"/>
      <c r="V207" s="287"/>
      <c r="W207" s="37" t="s">
        <v>67</v>
      </c>
      <c r="X207" s="280">
        <f>IFERROR(SUM(X206:X206),"0")</f>
        <v>0</v>
      </c>
      <c r="Y207" s="280">
        <f>IFERROR(SUM(Y206:Y206),"0")</f>
        <v>0</v>
      </c>
      <c r="Z207" s="280">
        <f>IFERROR(IF(Z206="",0,Z206),"0")</f>
        <v>0</v>
      </c>
      <c r="AA207" s="281"/>
      <c r="AB207" s="281"/>
      <c r="AC207" s="281"/>
    </row>
    <row r="208" spans="1:68" x14ac:dyDescent="0.2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96"/>
      <c r="P208" s="285" t="s">
        <v>86</v>
      </c>
      <c r="Q208" s="286"/>
      <c r="R208" s="286"/>
      <c r="S208" s="286"/>
      <c r="T208" s="286"/>
      <c r="U208" s="286"/>
      <c r="V208" s="287"/>
      <c r="W208" s="37" t="s">
        <v>87</v>
      </c>
      <c r="X208" s="280">
        <f>IFERROR(SUMPRODUCT(X206:X206*H206:H206),"0")</f>
        <v>0</v>
      </c>
      <c r="Y208" s="280">
        <f>IFERROR(SUMPRODUCT(Y206:Y206*H206:H206),"0")</f>
        <v>0</v>
      </c>
      <c r="Z208" s="37"/>
      <c r="AA208" s="281"/>
      <c r="AB208" s="281"/>
      <c r="AC208" s="281"/>
    </row>
    <row r="209" spans="1:68" ht="14.25" customHeight="1" x14ac:dyDescent="0.25">
      <c r="A209" s="288" t="s">
        <v>140</v>
      </c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74"/>
      <c r="AB209" s="274"/>
      <c r="AC209" s="274"/>
    </row>
    <row r="210" spans="1:68" ht="27" customHeight="1" x14ac:dyDescent="0.25">
      <c r="A210" s="54" t="s">
        <v>292</v>
      </c>
      <c r="B210" s="54" t="s">
        <v>293</v>
      </c>
      <c r="C210" s="31">
        <v>4301135834</v>
      </c>
      <c r="D210" s="292">
        <v>4620207491188</v>
      </c>
      <c r="E210" s="293"/>
      <c r="F210" s="277">
        <v>0.2</v>
      </c>
      <c r="G210" s="32">
        <v>12</v>
      </c>
      <c r="H210" s="277">
        <v>2.4</v>
      </c>
      <c r="I210" s="277">
        <v>3.1036000000000001</v>
      </c>
      <c r="J210" s="32">
        <v>70</v>
      </c>
      <c r="K210" s="32" t="s">
        <v>99</v>
      </c>
      <c r="L210" s="32" t="s">
        <v>65</v>
      </c>
      <c r="M210" s="33" t="s">
        <v>66</v>
      </c>
      <c r="N210" s="33"/>
      <c r="O210" s="32">
        <v>180</v>
      </c>
      <c r="P210" s="37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0" s="283"/>
      <c r="R210" s="283"/>
      <c r="S210" s="283"/>
      <c r="T210" s="284"/>
      <c r="U210" s="34"/>
      <c r="V210" s="34"/>
      <c r="W210" s="35" t="s">
        <v>67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6" t="s">
        <v>294</v>
      </c>
      <c r="AG210" s="67"/>
      <c r="AJ210" s="71" t="s">
        <v>69</v>
      </c>
      <c r="AK210" s="71">
        <v>1</v>
      </c>
      <c r="BB210" s="217" t="s">
        <v>103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295</v>
      </c>
      <c r="B211" s="54" t="s">
        <v>296</v>
      </c>
      <c r="C211" s="31">
        <v>4301135829</v>
      </c>
      <c r="D211" s="292">
        <v>4620207490235</v>
      </c>
      <c r="E211" s="293"/>
      <c r="F211" s="277">
        <v>0.2</v>
      </c>
      <c r="G211" s="32">
        <v>12</v>
      </c>
      <c r="H211" s="277">
        <v>2.4</v>
      </c>
      <c r="I211" s="277">
        <v>3.1036000000000001</v>
      </c>
      <c r="J211" s="32">
        <v>70</v>
      </c>
      <c r="K211" s="32" t="s">
        <v>99</v>
      </c>
      <c r="L211" s="32" t="s">
        <v>65</v>
      </c>
      <c r="M211" s="33" t="s">
        <v>66</v>
      </c>
      <c r="N211" s="33"/>
      <c r="O211" s="32">
        <v>180</v>
      </c>
      <c r="P211" s="38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67</v>
      </c>
      <c r="X211" s="278">
        <v>0</v>
      </c>
      <c r="Y211" s="279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297</v>
      </c>
      <c r="AG211" s="67"/>
      <c r="AJ211" s="71" t="s">
        <v>69</v>
      </c>
      <c r="AK211" s="71">
        <v>1</v>
      </c>
      <c r="BB211" s="219" t="s">
        <v>103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298</v>
      </c>
      <c r="B212" s="54" t="s">
        <v>299</v>
      </c>
      <c r="C212" s="31">
        <v>4301135697</v>
      </c>
      <c r="D212" s="292">
        <v>4620207490259</v>
      </c>
      <c r="E212" s="29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99</v>
      </c>
      <c r="L212" s="32" t="s">
        <v>100</v>
      </c>
      <c r="M212" s="33" t="s">
        <v>66</v>
      </c>
      <c r="N212" s="33"/>
      <c r="O212" s="32">
        <v>180</v>
      </c>
      <c r="P212" s="40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2" s="283"/>
      <c r="R212" s="283"/>
      <c r="S212" s="283"/>
      <c r="T212" s="284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300</v>
      </c>
      <c r="AG212" s="67"/>
      <c r="AJ212" s="71" t="s">
        <v>102</v>
      </c>
      <c r="AK212" s="71">
        <v>14</v>
      </c>
      <c r="BB212" s="221" t="s">
        <v>103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5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96"/>
      <c r="P213" s="285" t="s">
        <v>86</v>
      </c>
      <c r="Q213" s="286"/>
      <c r="R213" s="286"/>
      <c r="S213" s="286"/>
      <c r="T213" s="286"/>
      <c r="U213" s="286"/>
      <c r="V213" s="287"/>
      <c r="W213" s="37" t="s">
        <v>67</v>
      </c>
      <c r="X213" s="280">
        <f>IFERROR(SUM(X210:X212),"0")</f>
        <v>0</v>
      </c>
      <c r="Y213" s="280">
        <f>IFERROR(SUM(Y210:Y212),"0")</f>
        <v>0</v>
      </c>
      <c r="Z213" s="280">
        <f>IFERROR(IF(Z210="",0,Z210),"0")+IFERROR(IF(Z211="",0,Z211),"0")+IFERROR(IF(Z212="",0,Z212),"0")</f>
        <v>0</v>
      </c>
      <c r="AA213" s="281"/>
      <c r="AB213" s="281"/>
      <c r="AC213" s="281"/>
    </row>
    <row r="214" spans="1:68" x14ac:dyDescent="0.2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6"/>
      <c r="P214" s="285" t="s">
        <v>86</v>
      </c>
      <c r="Q214" s="286"/>
      <c r="R214" s="286"/>
      <c r="S214" s="286"/>
      <c r="T214" s="286"/>
      <c r="U214" s="286"/>
      <c r="V214" s="287"/>
      <c r="W214" s="37" t="s">
        <v>87</v>
      </c>
      <c r="X214" s="280">
        <f>IFERROR(SUMPRODUCT(X210:X212*H210:H212),"0")</f>
        <v>0</v>
      </c>
      <c r="Y214" s="280">
        <f>IFERROR(SUMPRODUCT(Y210:Y212*H210:H212),"0")</f>
        <v>0</v>
      </c>
      <c r="Z214" s="37"/>
      <c r="AA214" s="281"/>
      <c r="AB214" s="281"/>
      <c r="AC214" s="281"/>
    </row>
    <row r="215" spans="1:68" ht="16.5" customHeight="1" x14ac:dyDescent="0.25">
      <c r="A215" s="294" t="s">
        <v>301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73"/>
      <c r="AB215" s="273"/>
      <c r="AC215" s="273"/>
    </row>
    <row r="216" spans="1:68" ht="14.25" customHeight="1" x14ac:dyDescent="0.25">
      <c r="A216" s="288" t="s">
        <v>140</v>
      </c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74"/>
      <c r="AB216" s="274"/>
      <c r="AC216" s="274"/>
    </row>
    <row r="217" spans="1:68" ht="27" customHeight="1" x14ac:dyDescent="0.25">
      <c r="A217" s="54" t="s">
        <v>302</v>
      </c>
      <c r="B217" s="54" t="s">
        <v>303</v>
      </c>
      <c r="C217" s="31">
        <v>4301135854</v>
      </c>
      <c r="D217" s="292">
        <v>4620207491706</v>
      </c>
      <c r="E217" s="293"/>
      <c r="F217" s="277">
        <v>0.2</v>
      </c>
      <c r="G217" s="32">
        <v>12</v>
      </c>
      <c r="H217" s="277">
        <v>2.4</v>
      </c>
      <c r="I217" s="277">
        <v>3.1036000000000001</v>
      </c>
      <c r="J217" s="32">
        <v>70</v>
      </c>
      <c r="K217" s="32" t="s">
        <v>99</v>
      </c>
      <c r="L217" s="32" t="s">
        <v>65</v>
      </c>
      <c r="M217" s="33" t="s">
        <v>66</v>
      </c>
      <c r="N217" s="33"/>
      <c r="O217" s="32">
        <v>180</v>
      </c>
      <c r="P217" s="39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7" s="283"/>
      <c r="R217" s="283"/>
      <c r="S217" s="283"/>
      <c r="T217" s="284"/>
      <c r="U217" s="34"/>
      <c r="V217" s="34"/>
      <c r="W217" s="35" t="s">
        <v>67</v>
      </c>
      <c r="X217" s="278">
        <v>0</v>
      </c>
      <c r="Y217" s="279">
        <f>IFERROR(IF(X217="","",X217),"")</f>
        <v>0</v>
      </c>
      <c r="Z217" s="36">
        <f>IFERROR(IF(X217="","",X217*0.01788),"")</f>
        <v>0</v>
      </c>
      <c r="AA217" s="56"/>
      <c r="AB217" s="57"/>
      <c r="AC217" s="222" t="s">
        <v>304</v>
      </c>
      <c r="AG217" s="67"/>
      <c r="AJ217" s="71" t="s">
        <v>69</v>
      </c>
      <c r="AK217" s="71">
        <v>1</v>
      </c>
      <c r="BB217" s="223" t="s">
        <v>103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305</v>
      </c>
      <c r="B218" s="54" t="s">
        <v>306</v>
      </c>
      <c r="C218" s="31">
        <v>4301135895</v>
      </c>
      <c r="D218" s="292">
        <v>4620207491522</v>
      </c>
      <c r="E218" s="293"/>
      <c r="F218" s="277">
        <v>0.28000000000000003</v>
      </c>
      <c r="G218" s="32">
        <v>12</v>
      </c>
      <c r="H218" s="277">
        <v>3.36</v>
      </c>
      <c r="I218" s="277">
        <v>4.0636000000000001</v>
      </c>
      <c r="J218" s="32">
        <v>70</v>
      </c>
      <c r="K218" s="32" t="s">
        <v>99</v>
      </c>
      <c r="L218" s="32" t="s">
        <v>65</v>
      </c>
      <c r="M218" s="33" t="s">
        <v>66</v>
      </c>
      <c r="N218" s="33"/>
      <c r="O218" s="32">
        <v>180</v>
      </c>
      <c r="P218" s="47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8" s="283"/>
      <c r="R218" s="283"/>
      <c r="S218" s="283"/>
      <c r="T218" s="284"/>
      <c r="U218" s="34"/>
      <c r="V218" s="34"/>
      <c r="W218" s="35" t="s">
        <v>67</v>
      </c>
      <c r="X218" s="278">
        <v>0</v>
      </c>
      <c r="Y218" s="279">
        <f>IFERROR(IF(X218="","",X218),"")</f>
        <v>0</v>
      </c>
      <c r="Z218" s="36">
        <f>IFERROR(IF(X218="","",X218*0.01788),"")</f>
        <v>0</v>
      </c>
      <c r="AA218" s="56"/>
      <c r="AB218" s="57"/>
      <c r="AC218" s="224" t="s">
        <v>307</v>
      </c>
      <c r="AG218" s="67"/>
      <c r="AJ218" s="71" t="s">
        <v>69</v>
      </c>
      <c r="AK218" s="71">
        <v>1</v>
      </c>
      <c r="BB218" s="225" t="s">
        <v>103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95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96"/>
      <c r="P219" s="285" t="s">
        <v>86</v>
      </c>
      <c r="Q219" s="286"/>
      <c r="R219" s="286"/>
      <c r="S219" s="286"/>
      <c r="T219" s="286"/>
      <c r="U219" s="286"/>
      <c r="V219" s="287"/>
      <c r="W219" s="37" t="s">
        <v>67</v>
      </c>
      <c r="X219" s="280">
        <f>IFERROR(SUM(X217:X218),"0")</f>
        <v>0</v>
      </c>
      <c r="Y219" s="280">
        <f>IFERROR(SUM(Y217:Y218),"0")</f>
        <v>0</v>
      </c>
      <c r="Z219" s="280">
        <f>IFERROR(IF(Z217="",0,Z217),"0")+IFERROR(IF(Z218="",0,Z218),"0")</f>
        <v>0</v>
      </c>
      <c r="AA219" s="281"/>
      <c r="AB219" s="281"/>
      <c r="AC219" s="281"/>
    </row>
    <row r="220" spans="1:68" x14ac:dyDescent="0.2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6"/>
      <c r="P220" s="285" t="s">
        <v>86</v>
      </c>
      <c r="Q220" s="286"/>
      <c r="R220" s="286"/>
      <c r="S220" s="286"/>
      <c r="T220" s="286"/>
      <c r="U220" s="286"/>
      <c r="V220" s="287"/>
      <c r="W220" s="37" t="s">
        <v>87</v>
      </c>
      <c r="X220" s="280">
        <f>IFERROR(SUMPRODUCT(X217:X218*H217:H218),"0")</f>
        <v>0</v>
      </c>
      <c r="Y220" s="280">
        <f>IFERROR(SUMPRODUCT(Y217:Y218*H217:H218),"0")</f>
        <v>0</v>
      </c>
      <c r="Z220" s="37"/>
      <c r="AA220" s="281"/>
      <c r="AB220" s="281"/>
      <c r="AC220" s="281"/>
    </row>
    <row r="221" spans="1:68" ht="16.5" customHeight="1" x14ac:dyDescent="0.25">
      <c r="A221" s="294" t="s">
        <v>308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73"/>
      <c r="AB221" s="273"/>
      <c r="AC221" s="273"/>
    </row>
    <row r="222" spans="1:68" ht="14.25" customHeight="1" x14ac:dyDescent="0.25">
      <c r="A222" s="288" t="s">
        <v>61</v>
      </c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74"/>
      <c r="AB222" s="274"/>
      <c r="AC222" s="274"/>
    </row>
    <row r="223" spans="1:68" ht="27" customHeight="1" x14ac:dyDescent="0.25">
      <c r="A223" s="54" t="s">
        <v>309</v>
      </c>
      <c r="B223" s="54" t="s">
        <v>310</v>
      </c>
      <c r="C223" s="31">
        <v>4301071097</v>
      </c>
      <c r="D223" s="292">
        <v>4620207491096</v>
      </c>
      <c r="E223" s="293"/>
      <c r="F223" s="277">
        <v>1</v>
      </c>
      <c r="G223" s="32">
        <v>5</v>
      </c>
      <c r="H223" s="277">
        <v>5</v>
      </c>
      <c r="I223" s="277">
        <v>5.23</v>
      </c>
      <c r="J223" s="32">
        <v>84</v>
      </c>
      <c r="K223" s="32" t="s">
        <v>64</v>
      </c>
      <c r="L223" s="32" t="s">
        <v>100</v>
      </c>
      <c r="M223" s="33" t="s">
        <v>66</v>
      </c>
      <c r="N223" s="33"/>
      <c r="O223" s="32">
        <v>180</v>
      </c>
      <c r="P223" s="3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3" s="283"/>
      <c r="R223" s="283"/>
      <c r="S223" s="283"/>
      <c r="T223" s="284"/>
      <c r="U223" s="34"/>
      <c r="V223" s="34"/>
      <c r="W223" s="35" t="s">
        <v>67</v>
      </c>
      <c r="X223" s="278">
        <v>108</v>
      </c>
      <c r="Y223" s="279">
        <f>IFERROR(IF(X223="","",X223),"")</f>
        <v>108</v>
      </c>
      <c r="Z223" s="36">
        <f>IFERROR(IF(X223="","",X223*0.0155),"")</f>
        <v>1.6739999999999999</v>
      </c>
      <c r="AA223" s="56"/>
      <c r="AB223" s="57"/>
      <c r="AC223" s="226" t="s">
        <v>311</v>
      </c>
      <c r="AG223" s="67"/>
      <c r="AJ223" s="71" t="s">
        <v>102</v>
      </c>
      <c r="AK223" s="71">
        <v>12</v>
      </c>
      <c r="BB223" s="227" t="s">
        <v>1</v>
      </c>
      <c r="BM223" s="67">
        <f>IFERROR(X223*I223,"0")</f>
        <v>564.84</v>
      </c>
      <c r="BN223" s="67">
        <f>IFERROR(Y223*I223,"0")</f>
        <v>564.84</v>
      </c>
      <c r="BO223" s="67">
        <f>IFERROR(X223/J223,"0")</f>
        <v>1.2857142857142858</v>
      </c>
      <c r="BP223" s="67">
        <f>IFERROR(Y223/J223,"0")</f>
        <v>1.2857142857142858</v>
      </c>
    </row>
    <row r="224" spans="1:68" x14ac:dyDescent="0.2">
      <c r="A224" s="295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6"/>
      <c r="P224" s="285" t="s">
        <v>86</v>
      </c>
      <c r="Q224" s="286"/>
      <c r="R224" s="286"/>
      <c r="S224" s="286"/>
      <c r="T224" s="286"/>
      <c r="U224" s="286"/>
      <c r="V224" s="287"/>
      <c r="W224" s="37" t="s">
        <v>67</v>
      </c>
      <c r="X224" s="280">
        <f>IFERROR(SUM(X223:X223),"0")</f>
        <v>108</v>
      </c>
      <c r="Y224" s="280">
        <f>IFERROR(SUM(Y223:Y223),"0")</f>
        <v>108</v>
      </c>
      <c r="Z224" s="280">
        <f>IFERROR(IF(Z223="",0,Z223),"0")</f>
        <v>1.6739999999999999</v>
      </c>
      <c r="AA224" s="281"/>
      <c r="AB224" s="281"/>
      <c r="AC224" s="281"/>
    </row>
    <row r="225" spans="1:68" x14ac:dyDescent="0.2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6"/>
      <c r="P225" s="285" t="s">
        <v>86</v>
      </c>
      <c r="Q225" s="286"/>
      <c r="R225" s="286"/>
      <c r="S225" s="286"/>
      <c r="T225" s="286"/>
      <c r="U225" s="286"/>
      <c r="V225" s="287"/>
      <c r="W225" s="37" t="s">
        <v>87</v>
      </c>
      <c r="X225" s="280">
        <f>IFERROR(SUMPRODUCT(X223:X223*H223:H223),"0")</f>
        <v>540</v>
      </c>
      <c r="Y225" s="280">
        <f>IFERROR(SUMPRODUCT(Y223:Y223*H223:H223),"0")</f>
        <v>540</v>
      </c>
      <c r="Z225" s="37"/>
      <c r="AA225" s="281"/>
      <c r="AB225" s="281"/>
      <c r="AC225" s="281"/>
    </row>
    <row r="226" spans="1:68" ht="16.5" customHeight="1" x14ac:dyDescent="0.25">
      <c r="A226" s="294" t="s">
        <v>312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73"/>
      <c r="AB226" s="273"/>
      <c r="AC226" s="273"/>
    </row>
    <row r="227" spans="1:68" ht="14.25" customHeight="1" x14ac:dyDescent="0.25">
      <c r="A227" s="288" t="s">
        <v>140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74"/>
      <c r="AB227" s="274"/>
      <c r="AC227" s="274"/>
    </row>
    <row r="228" spans="1:68" ht="27" customHeight="1" x14ac:dyDescent="0.25">
      <c r="A228" s="54" t="s">
        <v>313</v>
      </c>
      <c r="B228" s="54" t="s">
        <v>314</v>
      </c>
      <c r="C228" s="31">
        <v>4301135694</v>
      </c>
      <c r="D228" s="292">
        <v>4620207490501</v>
      </c>
      <c r="E228" s="293"/>
      <c r="F228" s="277">
        <v>0.2</v>
      </c>
      <c r="G228" s="32">
        <v>12</v>
      </c>
      <c r="H228" s="277">
        <v>2.4</v>
      </c>
      <c r="I228" s="277">
        <v>3.1036000000000001</v>
      </c>
      <c r="J228" s="32">
        <v>70</v>
      </c>
      <c r="K228" s="32" t="s">
        <v>99</v>
      </c>
      <c r="L228" s="32" t="s">
        <v>65</v>
      </c>
      <c r="M228" s="33" t="s">
        <v>66</v>
      </c>
      <c r="N228" s="33"/>
      <c r="O228" s="32">
        <v>180</v>
      </c>
      <c r="P228" s="46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8" s="283"/>
      <c r="R228" s="283"/>
      <c r="S228" s="283"/>
      <c r="T228" s="284"/>
      <c r="U228" s="34"/>
      <c r="V228" s="34"/>
      <c r="W228" s="35" t="s">
        <v>67</v>
      </c>
      <c r="X228" s="278">
        <v>0</v>
      </c>
      <c r="Y228" s="279">
        <f>IFERROR(IF(X228="","",X228),"")</f>
        <v>0</v>
      </c>
      <c r="Z228" s="36">
        <f>IFERROR(IF(X228="","",X228*0.01788),"")</f>
        <v>0</v>
      </c>
      <c r="AA228" s="56"/>
      <c r="AB228" s="57"/>
      <c r="AC228" s="228" t="s">
        <v>315</v>
      </c>
      <c r="AG228" s="67"/>
      <c r="AJ228" s="71" t="s">
        <v>69</v>
      </c>
      <c r="AK228" s="71">
        <v>1</v>
      </c>
      <c r="BB228" s="229" t="s">
        <v>103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5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6"/>
      <c r="P229" s="285" t="s">
        <v>86</v>
      </c>
      <c r="Q229" s="286"/>
      <c r="R229" s="286"/>
      <c r="S229" s="286"/>
      <c r="T229" s="286"/>
      <c r="U229" s="286"/>
      <c r="V229" s="287"/>
      <c r="W229" s="37" t="s">
        <v>67</v>
      </c>
      <c r="X229" s="280">
        <f>IFERROR(SUM(X228:X228),"0")</f>
        <v>0</v>
      </c>
      <c r="Y229" s="280">
        <f>IFERROR(SUM(Y228:Y228),"0")</f>
        <v>0</v>
      </c>
      <c r="Z229" s="280">
        <f>IFERROR(IF(Z228="",0,Z228),"0")</f>
        <v>0</v>
      </c>
      <c r="AA229" s="281"/>
      <c r="AB229" s="281"/>
      <c r="AC229" s="281"/>
    </row>
    <row r="230" spans="1:68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6"/>
      <c r="P230" s="285" t="s">
        <v>86</v>
      </c>
      <c r="Q230" s="286"/>
      <c r="R230" s="286"/>
      <c r="S230" s="286"/>
      <c r="T230" s="286"/>
      <c r="U230" s="286"/>
      <c r="V230" s="287"/>
      <c r="W230" s="37" t="s">
        <v>87</v>
      </c>
      <c r="X230" s="280">
        <f>IFERROR(SUMPRODUCT(X228:X228*H228:H228),"0")</f>
        <v>0</v>
      </c>
      <c r="Y230" s="280">
        <f>IFERROR(SUMPRODUCT(Y228:Y228*H228:H228),"0")</f>
        <v>0</v>
      </c>
      <c r="Z230" s="37"/>
      <c r="AA230" s="281"/>
      <c r="AB230" s="281"/>
      <c r="AC230" s="281"/>
    </row>
    <row r="231" spans="1:68" ht="27.75" customHeight="1" x14ac:dyDescent="0.2">
      <c r="A231" s="361" t="s">
        <v>316</v>
      </c>
      <c r="B231" s="362"/>
      <c r="C231" s="362"/>
      <c r="D231" s="362"/>
      <c r="E231" s="362"/>
      <c r="F231" s="362"/>
      <c r="G231" s="362"/>
      <c r="H231" s="362"/>
      <c r="I231" s="362"/>
      <c r="J231" s="362"/>
      <c r="K231" s="362"/>
      <c r="L231" s="362"/>
      <c r="M231" s="362"/>
      <c r="N231" s="362"/>
      <c r="O231" s="362"/>
      <c r="P231" s="362"/>
      <c r="Q231" s="362"/>
      <c r="R231" s="362"/>
      <c r="S231" s="362"/>
      <c r="T231" s="362"/>
      <c r="U231" s="362"/>
      <c r="V231" s="362"/>
      <c r="W231" s="362"/>
      <c r="X231" s="362"/>
      <c r="Y231" s="362"/>
      <c r="Z231" s="362"/>
      <c r="AA231" s="48"/>
      <c r="AB231" s="48"/>
      <c r="AC231" s="48"/>
    </row>
    <row r="232" spans="1:68" ht="16.5" customHeight="1" x14ac:dyDescent="0.25">
      <c r="A232" s="294" t="s">
        <v>317</v>
      </c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289"/>
      <c r="W232" s="289"/>
      <c r="X232" s="289"/>
      <c r="Y232" s="289"/>
      <c r="Z232" s="289"/>
      <c r="AA232" s="273"/>
      <c r="AB232" s="273"/>
      <c r="AC232" s="273"/>
    </row>
    <row r="233" spans="1:68" ht="14.25" customHeight="1" x14ac:dyDescent="0.25">
      <c r="A233" s="288" t="s">
        <v>61</v>
      </c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74"/>
      <c r="AB233" s="274"/>
      <c r="AC233" s="274"/>
    </row>
    <row r="234" spans="1:68" ht="27" customHeight="1" x14ac:dyDescent="0.25">
      <c r="A234" s="54" t="s">
        <v>318</v>
      </c>
      <c r="B234" s="54" t="s">
        <v>319</v>
      </c>
      <c r="C234" s="31">
        <v>4301071036</v>
      </c>
      <c r="D234" s="292">
        <v>4607111036162</v>
      </c>
      <c r="E234" s="293"/>
      <c r="F234" s="277">
        <v>0.8</v>
      </c>
      <c r="G234" s="32">
        <v>8</v>
      </c>
      <c r="H234" s="277">
        <v>6.4</v>
      </c>
      <c r="I234" s="277">
        <v>6.6811999999999996</v>
      </c>
      <c r="J234" s="32">
        <v>84</v>
      </c>
      <c r="K234" s="32" t="s">
        <v>64</v>
      </c>
      <c r="L234" s="32" t="s">
        <v>65</v>
      </c>
      <c r="M234" s="33" t="s">
        <v>66</v>
      </c>
      <c r="N234" s="33"/>
      <c r="O234" s="32">
        <v>90</v>
      </c>
      <c r="P234" s="31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4" s="283"/>
      <c r="R234" s="283"/>
      <c r="S234" s="283"/>
      <c r="T234" s="284"/>
      <c r="U234" s="34"/>
      <c r="V234" s="34"/>
      <c r="W234" s="35" t="s">
        <v>67</v>
      </c>
      <c r="X234" s="278">
        <v>0</v>
      </c>
      <c r="Y234" s="279">
        <f>IFERROR(IF(X234="","",X234),"")</f>
        <v>0</v>
      </c>
      <c r="Z234" s="36">
        <f>IFERROR(IF(X234="","",X234*0.0155),"")</f>
        <v>0</v>
      </c>
      <c r="AA234" s="56"/>
      <c r="AB234" s="57"/>
      <c r="AC234" s="230" t="s">
        <v>320</v>
      </c>
      <c r="AG234" s="67"/>
      <c r="AJ234" s="71" t="s">
        <v>69</v>
      </c>
      <c r="AK234" s="71">
        <v>1</v>
      </c>
      <c r="BB234" s="231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5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6"/>
      <c r="P235" s="285" t="s">
        <v>86</v>
      </c>
      <c r="Q235" s="286"/>
      <c r="R235" s="286"/>
      <c r="S235" s="286"/>
      <c r="T235" s="286"/>
      <c r="U235" s="286"/>
      <c r="V235" s="287"/>
      <c r="W235" s="37" t="s">
        <v>67</v>
      </c>
      <c r="X235" s="280">
        <f>IFERROR(SUM(X234:X234),"0")</f>
        <v>0</v>
      </c>
      <c r="Y235" s="280">
        <f>IFERROR(SUM(Y234:Y234),"0")</f>
        <v>0</v>
      </c>
      <c r="Z235" s="280">
        <f>IFERROR(IF(Z234="",0,Z234),"0")</f>
        <v>0</v>
      </c>
      <c r="AA235" s="281"/>
      <c r="AB235" s="281"/>
      <c r="AC235" s="281"/>
    </row>
    <row r="236" spans="1:68" x14ac:dyDescent="0.2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96"/>
      <c r="P236" s="285" t="s">
        <v>86</v>
      </c>
      <c r="Q236" s="286"/>
      <c r="R236" s="286"/>
      <c r="S236" s="286"/>
      <c r="T236" s="286"/>
      <c r="U236" s="286"/>
      <c r="V236" s="287"/>
      <c r="W236" s="37" t="s">
        <v>87</v>
      </c>
      <c r="X236" s="280">
        <f>IFERROR(SUMPRODUCT(X234:X234*H234:H234),"0")</f>
        <v>0</v>
      </c>
      <c r="Y236" s="280">
        <f>IFERROR(SUMPRODUCT(Y234:Y234*H234:H234),"0")</f>
        <v>0</v>
      </c>
      <c r="Z236" s="37"/>
      <c r="AA236" s="281"/>
      <c r="AB236" s="281"/>
      <c r="AC236" s="281"/>
    </row>
    <row r="237" spans="1:68" ht="27.75" customHeight="1" x14ac:dyDescent="0.2">
      <c r="A237" s="361" t="s">
        <v>321</v>
      </c>
      <c r="B237" s="362"/>
      <c r="C237" s="362"/>
      <c r="D237" s="362"/>
      <c r="E237" s="362"/>
      <c r="F237" s="362"/>
      <c r="G237" s="362"/>
      <c r="H237" s="362"/>
      <c r="I237" s="362"/>
      <c r="J237" s="362"/>
      <c r="K237" s="362"/>
      <c r="L237" s="362"/>
      <c r="M237" s="362"/>
      <c r="N237" s="362"/>
      <c r="O237" s="362"/>
      <c r="P237" s="362"/>
      <c r="Q237" s="362"/>
      <c r="R237" s="362"/>
      <c r="S237" s="362"/>
      <c r="T237" s="362"/>
      <c r="U237" s="362"/>
      <c r="V237" s="362"/>
      <c r="W237" s="362"/>
      <c r="X237" s="362"/>
      <c r="Y237" s="362"/>
      <c r="Z237" s="362"/>
      <c r="AA237" s="48"/>
      <c r="AB237" s="48"/>
      <c r="AC237" s="48"/>
    </row>
    <row r="238" spans="1:68" ht="16.5" customHeight="1" x14ac:dyDescent="0.25">
      <c r="A238" s="294" t="s">
        <v>322</v>
      </c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73"/>
      <c r="AB238" s="273"/>
      <c r="AC238" s="273"/>
    </row>
    <row r="239" spans="1:68" ht="14.25" customHeight="1" x14ac:dyDescent="0.25">
      <c r="A239" s="288" t="s">
        <v>323</v>
      </c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74"/>
      <c r="AB239" s="274"/>
      <c r="AC239" s="274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92">
        <v>4607111039774</v>
      </c>
      <c r="E240" s="293"/>
      <c r="F240" s="277">
        <v>0.25</v>
      </c>
      <c r="G240" s="32">
        <v>12</v>
      </c>
      <c r="H240" s="277">
        <v>3</v>
      </c>
      <c r="I240" s="277">
        <v>3.22</v>
      </c>
      <c r="J240" s="32">
        <v>70</v>
      </c>
      <c r="K240" s="32" t="s">
        <v>99</v>
      </c>
      <c r="L240" s="32" t="s">
        <v>65</v>
      </c>
      <c r="M240" s="33" t="s">
        <v>66</v>
      </c>
      <c r="N240" s="33"/>
      <c r="O240" s="32">
        <v>180</v>
      </c>
      <c r="P240" s="33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67</v>
      </c>
      <c r="X240" s="278">
        <v>0</v>
      </c>
      <c r="Y240" s="279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69</v>
      </c>
      <c r="AK240" s="71">
        <v>1</v>
      </c>
      <c r="BB240" s="233" t="s">
        <v>103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5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6"/>
      <c r="P241" s="285" t="s">
        <v>86</v>
      </c>
      <c r="Q241" s="286"/>
      <c r="R241" s="286"/>
      <c r="S241" s="286"/>
      <c r="T241" s="286"/>
      <c r="U241" s="286"/>
      <c r="V241" s="287"/>
      <c r="W241" s="37" t="s">
        <v>67</v>
      </c>
      <c r="X241" s="280">
        <f>IFERROR(SUM(X240:X240),"0")</f>
        <v>0</v>
      </c>
      <c r="Y241" s="280">
        <f>IFERROR(SUM(Y240:Y240),"0")</f>
        <v>0</v>
      </c>
      <c r="Z241" s="280">
        <f>IFERROR(IF(Z240="",0,Z240),"0")</f>
        <v>0</v>
      </c>
      <c r="AA241" s="281"/>
      <c r="AB241" s="281"/>
      <c r="AC241" s="281"/>
    </row>
    <row r="242" spans="1:68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6"/>
      <c r="P242" s="285" t="s">
        <v>86</v>
      </c>
      <c r="Q242" s="286"/>
      <c r="R242" s="286"/>
      <c r="S242" s="286"/>
      <c r="T242" s="286"/>
      <c r="U242" s="286"/>
      <c r="V242" s="287"/>
      <c r="W242" s="37" t="s">
        <v>87</v>
      </c>
      <c r="X242" s="280">
        <f>IFERROR(SUMPRODUCT(X240:X240*H240:H240),"0")</f>
        <v>0</v>
      </c>
      <c r="Y242" s="280">
        <f>IFERROR(SUMPRODUCT(Y240:Y240*H240:H240),"0")</f>
        <v>0</v>
      </c>
      <c r="Z242" s="37"/>
      <c r="AA242" s="281"/>
      <c r="AB242" s="281"/>
      <c r="AC242" s="281"/>
    </row>
    <row r="243" spans="1:68" ht="14.25" customHeight="1" x14ac:dyDescent="0.25">
      <c r="A243" s="288" t="s">
        <v>140</v>
      </c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74"/>
      <c r="AB243" s="274"/>
      <c r="AC243" s="274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92">
        <v>4607111039361</v>
      </c>
      <c r="E244" s="293"/>
      <c r="F244" s="277">
        <v>0.25</v>
      </c>
      <c r="G244" s="32">
        <v>12</v>
      </c>
      <c r="H244" s="277">
        <v>3</v>
      </c>
      <c r="I244" s="277">
        <v>3.7035999999999998</v>
      </c>
      <c r="J244" s="32">
        <v>70</v>
      </c>
      <c r="K244" s="32" t="s">
        <v>99</v>
      </c>
      <c r="L244" s="32" t="s">
        <v>65</v>
      </c>
      <c r="M244" s="33" t="s">
        <v>66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67</v>
      </c>
      <c r="X244" s="278">
        <v>0</v>
      </c>
      <c r="Y244" s="279">
        <f>IFERROR(IF(X244="","",X244),"")</f>
        <v>0</v>
      </c>
      <c r="Z244" s="36">
        <f>IFERROR(IF(X244="","",X244*0.01788),"")</f>
        <v>0</v>
      </c>
      <c r="AA244" s="56"/>
      <c r="AB244" s="57"/>
      <c r="AC244" s="234" t="s">
        <v>326</v>
      </c>
      <c r="AG244" s="67"/>
      <c r="AJ244" s="71" t="s">
        <v>69</v>
      </c>
      <c r="AK244" s="71">
        <v>1</v>
      </c>
      <c r="BB244" s="235" t="s">
        <v>103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5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6"/>
      <c r="P245" s="285" t="s">
        <v>86</v>
      </c>
      <c r="Q245" s="286"/>
      <c r="R245" s="286"/>
      <c r="S245" s="286"/>
      <c r="T245" s="286"/>
      <c r="U245" s="286"/>
      <c r="V245" s="287"/>
      <c r="W245" s="37" t="s">
        <v>67</v>
      </c>
      <c r="X245" s="280">
        <f>IFERROR(SUM(X244:X244),"0")</f>
        <v>0</v>
      </c>
      <c r="Y245" s="280">
        <f>IFERROR(SUM(Y244:Y244),"0")</f>
        <v>0</v>
      </c>
      <c r="Z245" s="280">
        <f>IFERROR(IF(Z244="",0,Z244),"0")</f>
        <v>0</v>
      </c>
      <c r="AA245" s="281"/>
      <c r="AB245" s="281"/>
      <c r="AC245" s="281"/>
    </row>
    <row r="246" spans="1:68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6"/>
      <c r="P246" s="285" t="s">
        <v>86</v>
      </c>
      <c r="Q246" s="286"/>
      <c r="R246" s="286"/>
      <c r="S246" s="286"/>
      <c r="T246" s="286"/>
      <c r="U246" s="286"/>
      <c r="V246" s="287"/>
      <c r="W246" s="37" t="s">
        <v>87</v>
      </c>
      <c r="X246" s="280">
        <f>IFERROR(SUMPRODUCT(X244:X244*H244:H244),"0")</f>
        <v>0</v>
      </c>
      <c r="Y246" s="280">
        <f>IFERROR(SUMPRODUCT(Y244:Y244*H244:H244),"0")</f>
        <v>0</v>
      </c>
      <c r="Z246" s="37"/>
      <c r="AA246" s="281"/>
      <c r="AB246" s="281"/>
      <c r="AC246" s="281"/>
    </row>
    <row r="247" spans="1:68" ht="27.75" customHeight="1" x14ac:dyDescent="0.2">
      <c r="A247" s="361" t="s">
        <v>329</v>
      </c>
      <c r="B247" s="362"/>
      <c r="C247" s="362"/>
      <c r="D247" s="362"/>
      <c r="E247" s="362"/>
      <c r="F247" s="362"/>
      <c r="G247" s="362"/>
      <c r="H247" s="362"/>
      <c r="I247" s="362"/>
      <c r="J247" s="362"/>
      <c r="K247" s="362"/>
      <c r="L247" s="362"/>
      <c r="M247" s="362"/>
      <c r="N247" s="362"/>
      <c r="O247" s="362"/>
      <c r="P247" s="362"/>
      <c r="Q247" s="362"/>
      <c r="R247" s="362"/>
      <c r="S247" s="362"/>
      <c r="T247" s="362"/>
      <c r="U247" s="362"/>
      <c r="V247" s="362"/>
      <c r="W247" s="362"/>
      <c r="X247" s="362"/>
      <c r="Y247" s="362"/>
      <c r="Z247" s="362"/>
      <c r="AA247" s="48"/>
      <c r="AB247" s="48"/>
      <c r="AC247" s="48"/>
    </row>
    <row r="248" spans="1:68" ht="16.5" customHeight="1" x14ac:dyDescent="0.25">
      <c r="A248" s="294" t="s">
        <v>329</v>
      </c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289"/>
      <c r="W248" s="289"/>
      <c r="X248" s="289"/>
      <c r="Y248" s="289"/>
      <c r="Z248" s="289"/>
      <c r="AA248" s="273"/>
      <c r="AB248" s="273"/>
      <c r="AC248" s="273"/>
    </row>
    <row r="249" spans="1:68" ht="14.25" customHeight="1" x14ac:dyDescent="0.25">
      <c r="A249" s="288" t="s">
        <v>134</v>
      </c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74"/>
      <c r="AB249" s="274"/>
      <c r="AC249" s="274"/>
    </row>
    <row r="250" spans="1:68" ht="27" customHeight="1" x14ac:dyDescent="0.25">
      <c r="A250" s="54" t="s">
        <v>330</v>
      </c>
      <c r="B250" s="54" t="s">
        <v>331</v>
      </c>
      <c r="C250" s="31">
        <v>4301136098</v>
      </c>
      <c r="D250" s="292">
        <v>4640242181943</v>
      </c>
      <c r="E250" s="293"/>
      <c r="F250" s="277">
        <v>0.09</v>
      </c>
      <c r="G250" s="32">
        <v>24</v>
      </c>
      <c r="H250" s="277">
        <v>2.16</v>
      </c>
      <c r="I250" s="277">
        <v>2.34</v>
      </c>
      <c r="J250" s="32">
        <v>126</v>
      </c>
      <c r="K250" s="32" t="s">
        <v>99</v>
      </c>
      <c r="L250" s="32" t="s">
        <v>65</v>
      </c>
      <c r="M250" s="33" t="s">
        <v>66</v>
      </c>
      <c r="N250" s="33"/>
      <c r="O250" s="32">
        <v>180</v>
      </c>
      <c r="P250" s="34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3"/>
      <c r="R250" s="283"/>
      <c r="S250" s="283"/>
      <c r="T250" s="284"/>
      <c r="U250" s="34"/>
      <c r="V250" s="34"/>
      <c r="W250" s="35" t="s">
        <v>67</v>
      </c>
      <c r="X250" s="278">
        <v>0</v>
      </c>
      <c r="Y250" s="279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332</v>
      </c>
      <c r="AG250" s="67"/>
      <c r="AJ250" s="71" t="s">
        <v>69</v>
      </c>
      <c r="AK250" s="71">
        <v>1</v>
      </c>
      <c r="BB250" s="237" t="s">
        <v>103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5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6"/>
      <c r="P251" s="285" t="s">
        <v>86</v>
      </c>
      <c r="Q251" s="286"/>
      <c r="R251" s="286"/>
      <c r="S251" s="286"/>
      <c r="T251" s="286"/>
      <c r="U251" s="286"/>
      <c r="V251" s="287"/>
      <c r="W251" s="37" t="s">
        <v>67</v>
      </c>
      <c r="X251" s="280">
        <f>IFERROR(SUM(X250:X250),"0")</f>
        <v>0</v>
      </c>
      <c r="Y251" s="280">
        <f>IFERROR(SUM(Y250:Y250),"0")</f>
        <v>0</v>
      </c>
      <c r="Z251" s="280">
        <f>IFERROR(IF(Z250="",0,Z250),"0")</f>
        <v>0</v>
      </c>
      <c r="AA251" s="281"/>
      <c r="AB251" s="281"/>
      <c r="AC251" s="281"/>
    </row>
    <row r="252" spans="1:68" x14ac:dyDescent="0.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96"/>
      <c r="P252" s="285" t="s">
        <v>86</v>
      </c>
      <c r="Q252" s="286"/>
      <c r="R252" s="286"/>
      <c r="S252" s="286"/>
      <c r="T252" s="286"/>
      <c r="U252" s="286"/>
      <c r="V252" s="287"/>
      <c r="W252" s="37" t="s">
        <v>87</v>
      </c>
      <c r="X252" s="280">
        <f>IFERROR(SUMPRODUCT(X250:X250*H250:H250),"0")</f>
        <v>0</v>
      </c>
      <c r="Y252" s="280">
        <f>IFERROR(SUMPRODUCT(Y250:Y250*H250:H250),"0")</f>
        <v>0</v>
      </c>
      <c r="Z252" s="37"/>
      <c r="AA252" s="281"/>
      <c r="AB252" s="281"/>
      <c r="AC252" s="281"/>
    </row>
    <row r="253" spans="1:68" ht="27.75" customHeight="1" x14ac:dyDescent="0.2">
      <c r="A253" s="361" t="s">
        <v>333</v>
      </c>
      <c r="B253" s="362"/>
      <c r="C253" s="362"/>
      <c r="D253" s="362"/>
      <c r="E253" s="362"/>
      <c r="F253" s="362"/>
      <c r="G253" s="362"/>
      <c r="H253" s="362"/>
      <c r="I253" s="362"/>
      <c r="J253" s="362"/>
      <c r="K253" s="362"/>
      <c r="L253" s="362"/>
      <c r="M253" s="362"/>
      <c r="N253" s="362"/>
      <c r="O253" s="362"/>
      <c r="P253" s="362"/>
      <c r="Q253" s="362"/>
      <c r="R253" s="362"/>
      <c r="S253" s="362"/>
      <c r="T253" s="362"/>
      <c r="U253" s="362"/>
      <c r="V253" s="362"/>
      <c r="W253" s="362"/>
      <c r="X253" s="362"/>
      <c r="Y253" s="362"/>
      <c r="Z253" s="362"/>
      <c r="AA253" s="48"/>
      <c r="AB253" s="48"/>
      <c r="AC253" s="48"/>
    </row>
    <row r="254" spans="1:68" ht="16.5" customHeight="1" x14ac:dyDescent="0.25">
      <c r="A254" s="294" t="s">
        <v>333</v>
      </c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73"/>
      <c r="AB254" s="273"/>
      <c r="AC254" s="273"/>
    </row>
    <row r="255" spans="1:68" ht="14.25" customHeight="1" x14ac:dyDescent="0.25">
      <c r="A255" s="288" t="s">
        <v>61</v>
      </c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74"/>
      <c r="AB255" s="274"/>
      <c r="AC255" s="274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92">
        <v>4640242181264</v>
      </c>
      <c r="E256" s="293"/>
      <c r="F256" s="277">
        <v>0.7</v>
      </c>
      <c r="G256" s="32">
        <v>10</v>
      </c>
      <c r="H256" s="277">
        <v>7</v>
      </c>
      <c r="I256" s="277">
        <v>7.28</v>
      </c>
      <c r="J256" s="32">
        <v>84</v>
      </c>
      <c r="K256" s="32" t="s">
        <v>64</v>
      </c>
      <c r="L256" s="32" t="s">
        <v>65</v>
      </c>
      <c r="M256" s="33" t="s">
        <v>66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67</v>
      </c>
      <c r="X256" s="278">
        <v>0</v>
      </c>
      <c r="Y256" s="279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336</v>
      </c>
      <c r="AG256" s="67"/>
      <c r="AJ256" s="71" t="s">
        <v>69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92">
        <v>4640242181325</v>
      </c>
      <c r="E257" s="29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100</v>
      </c>
      <c r="M257" s="33" t="s">
        <v>66</v>
      </c>
      <c r="N257" s="33"/>
      <c r="O257" s="32">
        <v>180</v>
      </c>
      <c r="P257" s="4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67</v>
      </c>
      <c r="X257" s="278">
        <v>24</v>
      </c>
      <c r="Y257" s="279">
        <f>IFERROR(IF(X257="","",X257),"")</f>
        <v>24</v>
      </c>
      <c r="Z257" s="36">
        <f>IFERROR(IF(X257="","",X257*0.0155),"")</f>
        <v>0.372</v>
      </c>
      <c r="AA257" s="56"/>
      <c r="AB257" s="57"/>
      <c r="AC257" s="240" t="s">
        <v>336</v>
      </c>
      <c r="AG257" s="67"/>
      <c r="AJ257" s="71" t="s">
        <v>102</v>
      </c>
      <c r="AK257" s="71">
        <v>12</v>
      </c>
      <c r="BB257" s="241" t="s">
        <v>1</v>
      </c>
      <c r="BM257" s="67">
        <f>IFERROR(X257*I257,"0")</f>
        <v>174.72</v>
      </c>
      <c r="BN257" s="67">
        <f>IFERROR(Y257*I257,"0")</f>
        <v>174.72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95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6"/>
      <c r="P258" s="285" t="s">
        <v>86</v>
      </c>
      <c r="Q258" s="286"/>
      <c r="R258" s="286"/>
      <c r="S258" s="286"/>
      <c r="T258" s="286"/>
      <c r="U258" s="286"/>
      <c r="V258" s="287"/>
      <c r="W258" s="37" t="s">
        <v>67</v>
      </c>
      <c r="X258" s="280">
        <f>IFERROR(SUM(X256:X257),"0")</f>
        <v>24</v>
      </c>
      <c r="Y258" s="280">
        <f>IFERROR(SUM(Y256:Y257),"0")</f>
        <v>24</v>
      </c>
      <c r="Z258" s="280">
        <f>IFERROR(IF(Z256="",0,Z256),"0")+IFERROR(IF(Z257="",0,Z257),"0")</f>
        <v>0.372</v>
      </c>
      <c r="AA258" s="281"/>
      <c r="AB258" s="281"/>
      <c r="AC258" s="281"/>
    </row>
    <row r="259" spans="1:68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6"/>
      <c r="P259" s="285" t="s">
        <v>86</v>
      </c>
      <c r="Q259" s="286"/>
      <c r="R259" s="286"/>
      <c r="S259" s="286"/>
      <c r="T259" s="286"/>
      <c r="U259" s="286"/>
      <c r="V259" s="287"/>
      <c r="W259" s="37" t="s">
        <v>87</v>
      </c>
      <c r="X259" s="280">
        <f>IFERROR(SUMPRODUCT(X256:X257*H256:H257),"0")</f>
        <v>168</v>
      </c>
      <c r="Y259" s="280">
        <f>IFERROR(SUMPRODUCT(Y256:Y257*H256:H257),"0")</f>
        <v>168</v>
      </c>
      <c r="Z259" s="37"/>
      <c r="AA259" s="281"/>
      <c r="AB259" s="281"/>
      <c r="AC259" s="281"/>
    </row>
    <row r="260" spans="1:68" ht="14.25" customHeight="1" x14ac:dyDescent="0.25">
      <c r="A260" s="288" t="s">
        <v>96</v>
      </c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74"/>
      <c r="AB260" s="274"/>
      <c r="AC260" s="274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92">
        <v>4640242180397</v>
      </c>
      <c r="E261" s="293"/>
      <c r="F261" s="277">
        <v>1</v>
      </c>
      <c r="G261" s="32">
        <v>6</v>
      </c>
      <c r="H261" s="277">
        <v>6</v>
      </c>
      <c r="I261" s="277">
        <v>6.26</v>
      </c>
      <c r="J261" s="32">
        <v>84</v>
      </c>
      <c r="K261" s="32" t="s">
        <v>64</v>
      </c>
      <c r="L261" s="32" t="s">
        <v>100</v>
      </c>
      <c r="M261" s="33" t="s">
        <v>66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67</v>
      </c>
      <c r="X261" s="278">
        <v>0</v>
      </c>
      <c r="Y261" s="279">
        <f>IFERROR(IF(X261="","",X261),"")</f>
        <v>0</v>
      </c>
      <c r="Z261" s="36">
        <f>IFERROR(IF(X261="","",X261*0.0155),"")</f>
        <v>0</v>
      </c>
      <c r="AA261" s="56"/>
      <c r="AB261" s="57"/>
      <c r="AC261" s="242" t="s">
        <v>341</v>
      </c>
      <c r="AG261" s="67"/>
      <c r="AJ261" s="71" t="s">
        <v>102</v>
      </c>
      <c r="AK261" s="71">
        <v>12</v>
      </c>
      <c r="BB261" s="243" t="s">
        <v>103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295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96"/>
      <c r="P262" s="285" t="s">
        <v>86</v>
      </c>
      <c r="Q262" s="286"/>
      <c r="R262" s="286"/>
      <c r="S262" s="286"/>
      <c r="T262" s="286"/>
      <c r="U262" s="286"/>
      <c r="V262" s="287"/>
      <c r="W262" s="37" t="s">
        <v>67</v>
      </c>
      <c r="X262" s="280">
        <f>IFERROR(SUM(X261:X261),"0")</f>
        <v>0</v>
      </c>
      <c r="Y262" s="280">
        <f>IFERROR(SUM(Y261:Y261),"0")</f>
        <v>0</v>
      </c>
      <c r="Z262" s="280">
        <f>IFERROR(IF(Z261="",0,Z261),"0")</f>
        <v>0</v>
      </c>
      <c r="AA262" s="281"/>
      <c r="AB262" s="281"/>
      <c r="AC262" s="281"/>
    </row>
    <row r="263" spans="1:68" x14ac:dyDescent="0.2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96"/>
      <c r="P263" s="285" t="s">
        <v>86</v>
      </c>
      <c r="Q263" s="286"/>
      <c r="R263" s="286"/>
      <c r="S263" s="286"/>
      <c r="T263" s="286"/>
      <c r="U263" s="286"/>
      <c r="V263" s="287"/>
      <c r="W263" s="37" t="s">
        <v>87</v>
      </c>
      <c r="X263" s="280">
        <f>IFERROR(SUMPRODUCT(X261:X261*H261:H261),"0")</f>
        <v>0</v>
      </c>
      <c r="Y263" s="280">
        <f>IFERROR(SUMPRODUCT(Y261:Y261*H261:H261),"0")</f>
        <v>0</v>
      </c>
      <c r="Z263" s="37"/>
      <c r="AA263" s="281"/>
      <c r="AB263" s="281"/>
      <c r="AC263" s="281"/>
    </row>
    <row r="264" spans="1:68" ht="14.25" customHeight="1" x14ac:dyDescent="0.25">
      <c r="A264" s="288" t="s">
        <v>134</v>
      </c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74"/>
      <c r="AB264" s="274"/>
      <c r="AC264" s="274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92">
        <v>4640242180304</v>
      </c>
      <c r="E265" s="293"/>
      <c r="F265" s="277">
        <v>2.7</v>
      </c>
      <c r="G265" s="32">
        <v>1</v>
      </c>
      <c r="H265" s="277">
        <v>2.7</v>
      </c>
      <c r="I265" s="277">
        <v>2.8906000000000001</v>
      </c>
      <c r="J265" s="32">
        <v>126</v>
      </c>
      <c r="K265" s="32" t="s">
        <v>99</v>
      </c>
      <c r="L265" s="32" t="s">
        <v>100</v>
      </c>
      <c r="M265" s="33" t="s">
        <v>66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67</v>
      </c>
      <c r="X265" s="278">
        <v>0</v>
      </c>
      <c r="Y265" s="279">
        <f>IFERROR(IF(X265="","",X265),"")</f>
        <v>0</v>
      </c>
      <c r="Z265" s="36">
        <f>IFERROR(IF(X265="","",X265*0.00936),"")</f>
        <v>0</v>
      </c>
      <c r="AA265" s="56"/>
      <c r="AB265" s="57"/>
      <c r="AC265" s="244" t="s">
        <v>344</v>
      </c>
      <c r="AG265" s="67"/>
      <c r="AJ265" s="71" t="s">
        <v>102</v>
      </c>
      <c r="AK265" s="71">
        <v>14</v>
      </c>
      <c r="BB265" s="245" t="s">
        <v>103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92">
        <v>4640242180236</v>
      </c>
      <c r="E266" s="293"/>
      <c r="F266" s="277">
        <v>5</v>
      </c>
      <c r="G266" s="32">
        <v>1</v>
      </c>
      <c r="H266" s="277">
        <v>5</v>
      </c>
      <c r="I266" s="277">
        <v>5.2350000000000003</v>
      </c>
      <c r="J266" s="32">
        <v>84</v>
      </c>
      <c r="K266" s="32" t="s">
        <v>64</v>
      </c>
      <c r="L266" s="32" t="s">
        <v>100</v>
      </c>
      <c r="M266" s="33" t="s">
        <v>66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67</v>
      </c>
      <c r="X266" s="278">
        <v>84</v>
      </c>
      <c r="Y266" s="279">
        <f>IFERROR(IF(X266="","",X266),"")</f>
        <v>84</v>
      </c>
      <c r="Z266" s="36">
        <f>IFERROR(IF(X266="","",X266*0.0155),"")</f>
        <v>1.302</v>
      </c>
      <c r="AA266" s="56"/>
      <c r="AB266" s="57"/>
      <c r="AC266" s="246" t="s">
        <v>344</v>
      </c>
      <c r="AG266" s="67"/>
      <c r="AJ266" s="71" t="s">
        <v>102</v>
      </c>
      <c r="AK266" s="71">
        <v>12</v>
      </c>
      <c r="BB266" s="247" t="s">
        <v>103</v>
      </c>
      <c r="BM266" s="67">
        <f>IFERROR(X266*I266,"0")</f>
        <v>439.74</v>
      </c>
      <c r="BN266" s="67">
        <f>IFERROR(Y266*I266,"0")</f>
        <v>439.74</v>
      </c>
      <c r="BO266" s="67">
        <f>IFERROR(X266/J266,"0")</f>
        <v>1</v>
      </c>
      <c r="BP266" s="67">
        <f>IFERROR(Y266/J266,"0")</f>
        <v>1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92">
        <v>4640242180410</v>
      </c>
      <c r="E267" s="293"/>
      <c r="F267" s="277">
        <v>2.2400000000000002</v>
      </c>
      <c r="G267" s="32">
        <v>1</v>
      </c>
      <c r="H267" s="277">
        <v>2.2400000000000002</v>
      </c>
      <c r="I267" s="277">
        <v>2.4319999999999999</v>
      </c>
      <c r="J267" s="32">
        <v>126</v>
      </c>
      <c r="K267" s="32" t="s">
        <v>99</v>
      </c>
      <c r="L267" s="32" t="s">
        <v>65</v>
      </c>
      <c r="M267" s="33" t="s">
        <v>66</v>
      </c>
      <c r="N267" s="33"/>
      <c r="O267" s="32">
        <v>180</v>
      </c>
      <c r="P267" s="38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67</v>
      </c>
      <c r="X267" s="278">
        <v>0</v>
      </c>
      <c r="Y267" s="279">
        <f>IFERROR(IF(X267="","",X267),"")</f>
        <v>0</v>
      </c>
      <c r="Z267" s="36">
        <f>IFERROR(IF(X267="","",X267*0.00936),"")</f>
        <v>0</v>
      </c>
      <c r="AA267" s="56"/>
      <c r="AB267" s="57"/>
      <c r="AC267" s="248" t="s">
        <v>344</v>
      </c>
      <c r="AG267" s="67"/>
      <c r="AJ267" s="71" t="s">
        <v>69</v>
      </c>
      <c r="AK267" s="71">
        <v>1</v>
      </c>
      <c r="BB267" s="249" t="s">
        <v>103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5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6"/>
      <c r="P268" s="285" t="s">
        <v>86</v>
      </c>
      <c r="Q268" s="286"/>
      <c r="R268" s="286"/>
      <c r="S268" s="286"/>
      <c r="T268" s="286"/>
      <c r="U268" s="286"/>
      <c r="V268" s="287"/>
      <c r="W268" s="37" t="s">
        <v>67</v>
      </c>
      <c r="X268" s="280">
        <f>IFERROR(SUM(X265:X267),"0")</f>
        <v>84</v>
      </c>
      <c r="Y268" s="280">
        <f>IFERROR(SUM(Y265:Y267),"0")</f>
        <v>84</v>
      </c>
      <c r="Z268" s="280">
        <f>IFERROR(IF(Z265="",0,Z265),"0")+IFERROR(IF(Z266="",0,Z266),"0")+IFERROR(IF(Z267="",0,Z267),"0")</f>
        <v>1.302</v>
      </c>
      <c r="AA268" s="281"/>
      <c r="AB268" s="281"/>
      <c r="AC268" s="281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6"/>
      <c r="P269" s="285" t="s">
        <v>86</v>
      </c>
      <c r="Q269" s="286"/>
      <c r="R269" s="286"/>
      <c r="S269" s="286"/>
      <c r="T269" s="286"/>
      <c r="U269" s="286"/>
      <c r="V269" s="287"/>
      <c r="W269" s="37" t="s">
        <v>87</v>
      </c>
      <c r="X269" s="280">
        <f>IFERROR(SUMPRODUCT(X265:X267*H265:H267),"0")</f>
        <v>420</v>
      </c>
      <c r="Y269" s="280">
        <f>IFERROR(SUMPRODUCT(Y265:Y267*H265:H267),"0")</f>
        <v>420</v>
      </c>
      <c r="Z269" s="37"/>
      <c r="AA269" s="281"/>
      <c r="AB269" s="281"/>
      <c r="AC269" s="281"/>
    </row>
    <row r="270" spans="1:68" ht="14.25" customHeight="1" x14ac:dyDescent="0.25">
      <c r="A270" s="288" t="s">
        <v>140</v>
      </c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74"/>
      <c r="AB270" s="274"/>
      <c r="AC270" s="274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92">
        <v>4640242181554</v>
      </c>
      <c r="E271" s="293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99</v>
      </c>
      <c r="L271" s="32" t="s">
        <v>100</v>
      </c>
      <c r="M271" s="33" t="s">
        <v>66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67</v>
      </c>
      <c r="X271" s="278">
        <v>0</v>
      </c>
      <c r="Y271" s="279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50" t="s">
        <v>351</v>
      </c>
      <c r="AG271" s="67"/>
      <c r="AJ271" s="71" t="s">
        <v>102</v>
      </c>
      <c r="AK271" s="71">
        <v>14</v>
      </c>
      <c r="BB271" s="251" t="s">
        <v>103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92">
        <v>4640242182087</v>
      </c>
      <c r="E272" s="293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64</v>
      </c>
      <c r="L272" s="32" t="s">
        <v>65</v>
      </c>
      <c r="M272" s="33" t="s">
        <v>66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67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354</v>
      </c>
      <c r="AG272" s="67"/>
      <c r="AJ272" s="71" t="s">
        <v>69</v>
      </c>
      <c r="AK272" s="71">
        <v>1</v>
      </c>
      <c r="BB272" s="253" t="s">
        <v>103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92">
        <v>4640242181424</v>
      </c>
      <c r="E273" s="293"/>
      <c r="F273" s="277">
        <v>5.5</v>
      </c>
      <c r="G273" s="32">
        <v>1</v>
      </c>
      <c r="H273" s="277">
        <v>5.5</v>
      </c>
      <c r="I273" s="277">
        <v>5.7350000000000003</v>
      </c>
      <c r="J273" s="32">
        <v>84</v>
      </c>
      <c r="K273" s="32" t="s">
        <v>64</v>
      </c>
      <c r="L273" s="32" t="s">
        <v>100</v>
      </c>
      <c r="M273" s="33" t="s">
        <v>66</v>
      </c>
      <c r="N273" s="33"/>
      <c r="O273" s="32">
        <v>180</v>
      </c>
      <c r="P273" s="33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>IFERROR(IF(X273="","",X273*0.0155),"")</f>
        <v>0</v>
      </c>
      <c r="AA273" s="56"/>
      <c r="AB273" s="57"/>
      <c r="AC273" s="254" t="s">
        <v>351</v>
      </c>
      <c r="AG273" s="67"/>
      <c r="AJ273" s="71" t="s">
        <v>102</v>
      </c>
      <c r="AK273" s="71">
        <v>12</v>
      </c>
      <c r="BB273" s="255" t="s">
        <v>103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92">
        <v>4640242181523</v>
      </c>
      <c r="E274" s="293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99</v>
      </c>
      <c r="L274" s="32" t="s">
        <v>100</v>
      </c>
      <c r="M274" s="33" t="s">
        <v>66</v>
      </c>
      <c r="N274" s="33"/>
      <c r="O274" s="32">
        <v>180</v>
      </c>
      <c r="P274" s="41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6" t="s">
        <v>354</v>
      </c>
      <c r="AG274" s="67"/>
      <c r="AJ274" s="71" t="s">
        <v>102</v>
      </c>
      <c r="AK274" s="71">
        <v>14</v>
      </c>
      <c r="BB274" s="257" t="s">
        <v>103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92">
        <v>4640242181486</v>
      </c>
      <c r="E275" s="293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99</v>
      </c>
      <c r="L275" s="32" t="s">
        <v>100</v>
      </c>
      <c r="M275" s="33" t="s">
        <v>66</v>
      </c>
      <c r="N275" s="33"/>
      <c r="O275" s="32">
        <v>180</v>
      </c>
      <c r="P275" s="30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351</v>
      </c>
      <c r="AG275" s="67"/>
      <c r="AJ275" s="71" t="s">
        <v>102</v>
      </c>
      <c r="AK275" s="71">
        <v>14</v>
      </c>
      <c r="BB275" s="259" t="s">
        <v>103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92">
        <v>4640242181493</v>
      </c>
      <c r="E276" s="293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99</v>
      </c>
      <c r="L276" s="32" t="s">
        <v>100</v>
      </c>
      <c r="M276" s="33" t="s">
        <v>66</v>
      </c>
      <c r="N276" s="33"/>
      <c r="O276" s="32">
        <v>180</v>
      </c>
      <c r="P276" s="43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351</v>
      </c>
      <c r="AG276" s="67"/>
      <c r="AJ276" s="71" t="s">
        <v>102</v>
      </c>
      <c r="AK276" s="71">
        <v>14</v>
      </c>
      <c r="BB276" s="261" t="s">
        <v>103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92">
        <v>4640242181509</v>
      </c>
      <c r="E277" s="293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99</v>
      </c>
      <c r="L277" s="32" t="s">
        <v>65</v>
      </c>
      <c r="M277" s="33" t="s">
        <v>66</v>
      </c>
      <c r="N277" s="33"/>
      <c r="O277" s="32">
        <v>180</v>
      </c>
      <c r="P277" s="37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351</v>
      </c>
      <c r="AG277" s="67"/>
      <c r="AJ277" s="71" t="s">
        <v>69</v>
      </c>
      <c r="AK277" s="71">
        <v>1</v>
      </c>
      <c r="BB277" s="263" t="s">
        <v>103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92">
        <v>4640242181240</v>
      </c>
      <c r="E278" s="293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99</v>
      </c>
      <c r="L278" s="32" t="s">
        <v>100</v>
      </c>
      <c r="M278" s="33" t="s">
        <v>66</v>
      </c>
      <c r="N278" s="33"/>
      <c r="O278" s="32">
        <v>180</v>
      </c>
      <c r="P278" s="43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67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351</v>
      </c>
      <c r="AG278" s="67"/>
      <c r="AJ278" s="71" t="s">
        <v>102</v>
      </c>
      <c r="AK278" s="71">
        <v>14</v>
      </c>
      <c r="BB278" s="265" t="s">
        <v>103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92">
        <v>4640242181318</v>
      </c>
      <c r="E279" s="293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99</v>
      </c>
      <c r="L279" s="32" t="s">
        <v>100</v>
      </c>
      <c r="M279" s="33" t="s">
        <v>66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67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354</v>
      </c>
      <c r="AG279" s="67"/>
      <c r="AJ279" s="71" t="s">
        <v>102</v>
      </c>
      <c r="AK279" s="71">
        <v>14</v>
      </c>
      <c r="BB279" s="267" t="s">
        <v>103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92">
        <v>4640242181387</v>
      </c>
      <c r="E280" s="293"/>
      <c r="F280" s="277">
        <v>0.3</v>
      </c>
      <c r="G280" s="32">
        <v>9</v>
      </c>
      <c r="H280" s="277">
        <v>2.7</v>
      </c>
      <c r="I280" s="277">
        <v>2.8450000000000002</v>
      </c>
      <c r="J280" s="32">
        <v>234</v>
      </c>
      <c r="K280" s="32" t="s">
        <v>151</v>
      </c>
      <c r="L280" s="32" t="s">
        <v>100</v>
      </c>
      <c r="M280" s="33" t="s">
        <v>66</v>
      </c>
      <c r="N280" s="33"/>
      <c r="O280" s="32">
        <v>180</v>
      </c>
      <c r="P280" s="3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67</v>
      </c>
      <c r="X280" s="278">
        <v>0</v>
      </c>
      <c r="Y280" s="279">
        <f t="shared" si="18"/>
        <v>0</v>
      </c>
      <c r="Z280" s="36">
        <f>IFERROR(IF(X280="","",X280*0.00502),"")</f>
        <v>0</v>
      </c>
      <c r="AA280" s="56"/>
      <c r="AB280" s="57"/>
      <c r="AC280" s="268" t="s">
        <v>351</v>
      </c>
      <c r="AG280" s="67"/>
      <c r="AJ280" s="71" t="s">
        <v>102</v>
      </c>
      <c r="AK280" s="71">
        <v>18</v>
      </c>
      <c r="BB280" s="269" t="s">
        <v>103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5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96"/>
      <c r="P281" s="285" t="s">
        <v>86</v>
      </c>
      <c r="Q281" s="286"/>
      <c r="R281" s="286"/>
      <c r="S281" s="286"/>
      <c r="T281" s="286"/>
      <c r="U281" s="286"/>
      <c r="V281" s="287"/>
      <c r="W281" s="37" t="s">
        <v>67</v>
      </c>
      <c r="X281" s="280">
        <f>IFERROR(SUM(X271:X280),"0")</f>
        <v>0</v>
      </c>
      <c r="Y281" s="280">
        <f>IFERROR(SUM(Y271:Y280),"0")</f>
        <v>0</v>
      </c>
      <c r="Z281" s="280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281"/>
      <c r="AB281" s="281"/>
      <c r="AC281" s="281"/>
    </row>
    <row r="282" spans="1:68" x14ac:dyDescent="0.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96"/>
      <c r="P282" s="285" t="s">
        <v>86</v>
      </c>
      <c r="Q282" s="286"/>
      <c r="R282" s="286"/>
      <c r="S282" s="286"/>
      <c r="T282" s="286"/>
      <c r="U282" s="286"/>
      <c r="V282" s="287"/>
      <c r="W282" s="37" t="s">
        <v>87</v>
      </c>
      <c r="X282" s="280">
        <f>IFERROR(SUMPRODUCT(X271:X280*H271:H280),"0")</f>
        <v>0</v>
      </c>
      <c r="Y282" s="280">
        <f>IFERROR(SUMPRODUCT(Y271:Y280*H271:H280),"0")</f>
        <v>0</v>
      </c>
      <c r="Z282" s="37"/>
      <c r="AA282" s="281"/>
      <c r="AB282" s="281"/>
      <c r="AC282" s="281"/>
    </row>
    <row r="283" spans="1:68" ht="15" customHeight="1" x14ac:dyDescent="0.2">
      <c r="A283" s="471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377"/>
      <c r="P283" s="374" t="s">
        <v>371</v>
      </c>
      <c r="Q283" s="351"/>
      <c r="R283" s="351"/>
      <c r="S283" s="351"/>
      <c r="T283" s="351"/>
      <c r="U283" s="351"/>
      <c r="V283" s="352"/>
      <c r="W283" s="37" t="s">
        <v>87</v>
      </c>
      <c r="X283" s="280">
        <f>IFERROR(X31+X37+X44+X51+X59+X64+X68+X73+X79+X85+X90+X96+X106+X112+X123+X127+X131+X138+X144+X150+X156+X162+X167+X172+X177+X184+X188+X193+X202+X208+X214+X220+X225+X230+X236+X242+X246+X252+X259+X263+X269+X282,"0")</f>
        <v>1536.12</v>
      </c>
      <c r="Y283" s="280">
        <f>IFERROR(Y31+Y37+Y44+Y51+Y59+Y64+Y68+Y73+Y79+Y85+Y90+Y96+Y106+Y112+Y123+Y127+Y131+Y138+Y144+Y150+Y156+Y162+Y167+Y172+Y177+Y184+Y188+Y193+Y202+Y208+Y214+Y220+Y225+Y230+Y236+Y242+Y246+Y252+Y259+Y263+Y269+Y282,"0")</f>
        <v>1536.12</v>
      </c>
      <c r="Z283" s="37"/>
      <c r="AA283" s="281"/>
      <c r="AB283" s="281"/>
      <c r="AC283" s="281"/>
    </row>
    <row r="284" spans="1:68" x14ac:dyDescent="0.2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377"/>
      <c r="P284" s="374" t="s">
        <v>372</v>
      </c>
      <c r="Q284" s="351"/>
      <c r="R284" s="351"/>
      <c r="S284" s="351"/>
      <c r="T284" s="351"/>
      <c r="U284" s="351"/>
      <c r="V284" s="352"/>
      <c r="W284" s="37" t="s">
        <v>87</v>
      </c>
      <c r="X284" s="280">
        <f>IFERROR(SUM(BM22:BM280),"0")</f>
        <v>1613.694</v>
      </c>
      <c r="Y284" s="280">
        <f>IFERROR(SUM(BN22:BN280),"0")</f>
        <v>1613.694</v>
      </c>
      <c r="Z284" s="37"/>
      <c r="AA284" s="281"/>
      <c r="AB284" s="281"/>
      <c r="AC284" s="281"/>
    </row>
    <row r="285" spans="1:68" x14ac:dyDescent="0.2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377"/>
      <c r="P285" s="374" t="s">
        <v>373</v>
      </c>
      <c r="Q285" s="351"/>
      <c r="R285" s="351"/>
      <c r="S285" s="351"/>
      <c r="T285" s="351"/>
      <c r="U285" s="351"/>
      <c r="V285" s="352"/>
      <c r="W285" s="37" t="s">
        <v>374</v>
      </c>
      <c r="X285" s="38">
        <f>ROUNDUP(SUM(BO22:BO280),0)</f>
        <v>4</v>
      </c>
      <c r="Y285" s="38">
        <f>ROUNDUP(SUM(BP22:BP280),0)</f>
        <v>4</v>
      </c>
      <c r="Z285" s="37"/>
      <c r="AA285" s="281"/>
      <c r="AB285" s="281"/>
      <c r="AC285" s="281"/>
    </row>
    <row r="286" spans="1:68" x14ac:dyDescent="0.2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377"/>
      <c r="P286" s="374" t="s">
        <v>375</v>
      </c>
      <c r="Q286" s="351"/>
      <c r="R286" s="351"/>
      <c r="S286" s="351"/>
      <c r="T286" s="351"/>
      <c r="U286" s="351"/>
      <c r="V286" s="352"/>
      <c r="W286" s="37" t="s">
        <v>87</v>
      </c>
      <c r="X286" s="280">
        <f>GrossWeightTotal+PalletQtyTotal*25</f>
        <v>1713.694</v>
      </c>
      <c r="Y286" s="280">
        <f>GrossWeightTotalR+PalletQtyTotalR*25</f>
        <v>1713.694</v>
      </c>
      <c r="Z286" s="37"/>
      <c r="AA286" s="281"/>
      <c r="AB286" s="281"/>
      <c r="AC286" s="281"/>
    </row>
    <row r="287" spans="1:68" x14ac:dyDescent="0.2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377"/>
      <c r="P287" s="374" t="s">
        <v>376</v>
      </c>
      <c r="Q287" s="351"/>
      <c r="R287" s="351"/>
      <c r="S287" s="351"/>
      <c r="T287" s="351"/>
      <c r="U287" s="351"/>
      <c r="V287" s="352"/>
      <c r="W287" s="37" t="s">
        <v>374</v>
      </c>
      <c r="X287" s="280">
        <f>IFERROR(X30+X36+X43+X50+X58+X63+X67+X72+X78+X84+X89+X95+X105+X111+X122+X126+X130+X137+X143+X149+X155+X161+X166+X171+X176+X183+X187+X192+X201+X207+X213+X219+X224+X229+X235+X241+X245+X251+X258+X262+X268+X281,"0")</f>
        <v>304</v>
      </c>
      <c r="Y287" s="280">
        <f>IFERROR(Y30+Y36+Y43+Y50+Y58+Y63+Y67+Y72+Y78+Y84+Y89+Y95+Y105+Y111+Y122+Y126+Y130+Y137+Y143+Y149+Y155+Y161+Y166+Y171+Y176+Y183+Y187+Y192+Y201+Y207+Y213+Y219+Y224+Y229+Y235+Y241+Y245+Y251+Y258+Y262+Y268+Y281,"0")</f>
        <v>304</v>
      </c>
      <c r="Z287" s="37"/>
      <c r="AA287" s="281"/>
      <c r="AB287" s="281"/>
      <c r="AC287" s="281"/>
    </row>
    <row r="288" spans="1:68" ht="14.25" customHeight="1" x14ac:dyDescent="0.2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377"/>
      <c r="P288" s="374" t="s">
        <v>377</v>
      </c>
      <c r="Q288" s="351"/>
      <c r="R288" s="351"/>
      <c r="S288" s="351"/>
      <c r="T288" s="351"/>
      <c r="U288" s="351"/>
      <c r="V288" s="352"/>
      <c r="W288" s="39" t="s">
        <v>378</v>
      </c>
      <c r="X288" s="37"/>
      <c r="Y288" s="37"/>
      <c r="Z288" s="37">
        <f>IFERROR(Z30+Z36+Z43+Z50+Z58+Z63+Z67+Z72+Z78+Z84+Z89+Z95+Z105+Z111+Z122+Z126+Z130+Z137+Z143+Z149+Z155+Z161+Z166+Z171+Z176+Z183+Z187+Z192+Z201+Z207+Z213+Z219+Z224+Z229+Z235+Z241+Z245+Z251+Z258+Z262+Z268+Z281,"0")</f>
        <v>4.3773199999999992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2" t="s">
        <v>60</v>
      </c>
      <c r="C290" s="380"/>
      <c r="D290" s="312" t="s">
        <v>94</v>
      </c>
      <c r="E290" s="421"/>
      <c r="F290" s="421"/>
      <c r="G290" s="421"/>
      <c r="H290" s="421"/>
      <c r="I290" s="421"/>
      <c r="J290" s="421"/>
      <c r="K290" s="421"/>
      <c r="L290" s="421"/>
      <c r="M290" s="421"/>
      <c r="N290" s="421"/>
      <c r="O290" s="421"/>
      <c r="P290" s="421"/>
      <c r="Q290" s="421"/>
      <c r="R290" s="421"/>
      <c r="S290" s="421"/>
      <c r="T290" s="421"/>
      <c r="U290" s="380"/>
      <c r="V290" s="312" t="s">
        <v>258</v>
      </c>
      <c r="W290" s="380"/>
      <c r="X290" s="275" t="s">
        <v>273</v>
      </c>
      <c r="Y290" s="312" t="s">
        <v>287</v>
      </c>
      <c r="Z290" s="421"/>
      <c r="AA290" s="421"/>
      <c r="AB290" s="380"/>
      <c r="AC290" s="275" t="s">
        <v>316</v>
      </c>
      <c r="AD290" s="275" t="s">
        <v>321</v>
      </c>
      <c r="AE290" s="275" t="s">
        <v>329</v>
      </c>
      <c r="AF290" s="275" t="s">
        <v>333</v>
      </c>
    </row>
    <row r="291" spans="1:32" ht="14.25" customHeight="1" thickTop="1" x14ac:dyDescent="0.2">
      <c r="A291" s="406" t="s">
        <v>380</v>
      </c>
      <c r="B291" s="312" t="s">
        <v>60</v>
      </c>
      <c r="C291" s="312" t="s">
        <v>88</v>
      </c>
      <c r="D291" s="312" t="s">
        <v>95</v>
      </c>
      <c r="E291" s="312" t="s">
        <v>106</v>
      </c>
      <c r="F291" s="312" t="s">
        <v>116</v>
      </c>
      <c r="G291" s="312" t="s">
        <v>127</v>
      </c>
      <c r="H291" s="312" t="s">
        <v>148</v>
      </c>
      <c r="I291" s="312" t="s">
        <v>155</v>
      </c>
      <c r="J291" s="312" t="s">
        <v>159</v>
      </c>
      <c r="K291" s="312" t="s">
        <v>167</v>
      </c>
      <c r="L291" s="312" t="s">
        <v>182</v>
      </c>
      <c r="M291" s="312" t="s">
        <v>188</v>
      </c>
      <c r="N291" s="276"/>
      <c r="O291" s="312" t="s">
        <v>213</v>
      </c>
      <c r="P291" s="312" t="s">
        <v>229</v>
      </c>
      <c r="Q291" s="312" t="s">
        <v>235</v>
      </c>
      <c r="R291" s="312" t="s">
        <v>242</v>
      </c>
      <c r="S291" s="312" t="s">
        <v>247</v>
      </c>
      <c r="T291" s="312" t="s">
        <v>251</v>
      </c>
      <c r="U291" s="312" t="s">
        <v>254</v>
      </c>
      <c r="V291" s="312" t="s">
        <v>259</v>
      </c>
      <c r="W291" s="312" t="s">
        <v>270</v>
      </c>
      <c r="X291" s="312" t="s">
        <v>274</v>
      </c>
      <c r="Y291" s="312" t="s">
        <v>288</v>
      </c>
      <c r="Z291" s="312" t="s">
        <v>301</v>
      </c>
      <c r="AA291" s="312" t="s">
        <v>308</v>
      </c>
      <c r="AB291" s="312" t="s">
        <v>312</v>
      </c>
      <c r="AC291" s="312" t="s">
        <v>317</v>
      </c>
      <c r="AD291" s="312" t="s">
        <v>322</v>
      </c>
      <c r="AE291" s="312" t="s">
        <v>329</v>
      </c>
      <c r="AF291" s="312" t="s">
        <v>333</v>
      </c>
    </row>
    <row r="292" spans="1:32" ht="13.5" customHeight="1" thickBot="1" x14ac:dyDescent="0.25">
      <c r="A292" s="407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6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IFERROR(X22*H22,"0")+IFERROR(X23*H23,"0")+IFERROR(X24*H24,"0")+IFERROR(X25*H25,"0")+IFERROR(X26*H26,"0")+IFERROR(X27*H27,"0")+IFERROR(X28*H28,"0")+IFERROR(X29*H29,"0")</f>
        <v>0</v>
      </c>
      <c r="C293" s="46">
        <f>IFERROR(X34*H34,"0")+IFERROR(X35*H35,"0")</f>
        <v>0</v>
      </c>
      <c r="D293" s="46">
        <f>IFERROR(X41*H41,"0")+IFERROR(X42*H42,"0")</f>
        <v>21</v>
      </c>
      <c r="E293" s="46">
        <f>IFERROR(X47*H47,"0")+IFERROR(X48*H48,"0")+IFERROR(X49*H49,"0")</f>
        <v>0</v>
      </c>
      <c r="F293" s="46">
        <f>IFERROR(X54*H54,"0")+IFERROR(X55*H55,"0")+IFERROR(X56*H56,"0")+IFERROR(X57*H57,"0")</f>
        <v>0</v>
      </c>
      <c r="G293" s="46">
        <f>IFERROR(X62*H62,"0")+IFERROR(X66*H66,"0")+IFERROR(X70*H70,"0")+IFERROR(X71*H71,"0")+IFERROR(X75*H75,"0")+IFERROR(X76*H76,"0")+IFERROR(X77*H77,"0")</f>
        <v>0</v>
      </c>
      <c r="H293" s="46">
        <f>IFERROR(X82*H82,"0")+IFERROR(X83*H83,"0")</f>
        <v>120</v>
      </c>
      <c r="I293" s="46">
        <f>IFERROR(X88*H88,"0")</f>
        <v>0</v>
      </c>
      <c r="J293" s="46">
        <f>IFERROR(X93*H93,"0")+IFERROR(X94*H94,"0")</f>
        <v>0</v>
      </c>
      <c r="K293" s="46">
        <f>IFERROR(X99*H99,"0")+IFERROR(X100*H100,"0")+IFERROR(X101*H101,"0")+IFERROR(X102*H102,"0")+IFERROR(X103*H103,"0")+IFERROR(X104*H104,"0")</f>
        <v>0</v>
      </c>
      <c r="L293" s="46">
        <f>IFERROR(X109*H109,"0")+IFERROR(X110*H110,"0")</f>
        <v>0</v>
      </c>
      <c r="M293" s="46">
        <f>IFERROR(X115*H115,"0")+IFERROR(X116*H116,"0")+IFERROR(X117*H117,"0")+IFERROR(X118*H118,"0")+IFERROR(X119*H119,"0")+IFERROR(X120*H120,"0")+IFERROR(X121*H121,"0")+IFERROR(X125*H125,"0")+IFERROR(X129*H129,"0")</f>
        <v>252</v>
      </c>
      <c r="N293" s="276"/>
      <c r="O293" s="46">
        <f>IFERROR(X134*H134,"0")+IFERROR(X135*H135,"0")+IFERROR(X136*H136,"0")+IFERROR(X140*H140,"0")+IFERROR(X141*H141,"0")+IFERROR(X142*H142,"0")</f>
        <v>15.120000000000001</v>
      </c>
      <c r="P293" s="46">
        <f>IFERROR(X147*H147,"0")+IFERROR(X148*H148,"0")</f>
        <v>0</v>
      </c>
      <c r="Q293" s="46">
        <f>IFERROR(X153*H153,"0")+IFERROR(X154*H154,"0")</f>
        <v>0</v>
      </c>
      <c r="R293" s="46">
        <f>IFERROR(X159*H159,"0")+IFERROR(X160*H160,"0")</f>
        <v>0</v>
      </c>
      <c r="S293" s="46">
        <f>IFERROR(X165*H165,"0")</f>
        <v>0</v>
      </c>
      <c r="T293" s="46">
        <f>IFERROR(X170*H170,"0")</f>
        <v>0</v>
      </c>
      <c r="U293" s="46">
        <f>IFERROR(X175*H175,"0")</f>
        <v>0</v>
      </c>
      <c r="V293" s="46">
        <f>IFERROR(X181*H181,"0")+IFERROR(X182*H182,"0")+IFERROR(X186*H186,"0")</f>
        <v>0</v>
      </c>
      <c r="W293" s="46">
        <f>IFERROR(X191*H191,"0")</f>
        <v>0</v>
      </c>
      <c r="X293" s="46">
        <f>IFERROR(X197*H197,"0")+IFERROR(X198*H198,"0")+IFERROR(X199*H199,"0")+IFERROR(X200*H200,"0")</f>
        <v>0</v>
      </c>
      <c r="Y293" s="46">
        <f>IFERROR(X206*H206,"0")+IFERROR(X210*H210,"0")+IFERROR(X211*H211,"0")+IFERROR(X212*H212,"0")</f>
        <v>0</v>
      </c>
      <c r="Z293" s="46">
        <f>IFERROR(X217*H217,"0")+IFERROR(X218*H218,"0")</f>
        <v>0</v>
      </c>
      <c r="AA293" s="46">
        <f>IFERROR(X223*H223,"0")</f>
        <v>540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588</v>
      </c>
    </row>
    <row r="294" spans="1:32" ht="13.5" customHeight="1" thickTop="1" x14ac:dyDescent="0.2">
      <c r="C294" s="276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1080</v>
      </c>
      <c r="B296" s="60">
        <f>SUMPRODUCT(--(BB:BB="ПГП"),--(W:W="кор"),H:H,Y:Y)+SUMPRODUCT(--(BB:BB="ПГП"),--(W:W="кг"),Y:Y)</f>
        <v>456.12</v>
      </c>
      <c r="C296" s="60">
        <f>SUMPRODUCT(--(BB:BB="КИЗ"),--(W:W="кор"),H:H,Y:Y)+SUMPRODUCT(--(BB:BB="КИЗ"),--(W:W="кг"),Y:Y)</f>
        <v>0</v>
      </c>
    </row>
  </sheetData>
  <sheetProtection algorithmName="SHA-512" hashValue="zEfifCgH5FN2s9yBIahDuTDEWeLk9ZOWXdziHYwWy0bdSy73zH7J+FReykYAjmp0gEQFwPZt+1Cm8HaxDy8Dyw==" saltValue="QKYFEoyJhMss2J/wmdV+D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3">
    <mergeCell ref="AB291:AB292"/>
    <mergeCell ref="A128:Z128"/>
    <mergeCell ref="AD291:AD292"/>
    <mergeCell ref="A268:O269"/>
    <mergeCell ref="A255:Z255"/>
    <mergeCell ref="A10:C10"/>
    <mergeCell ref="P218:T218"/>
    <mergeCell ref="A21:Z21"/>
    <mergeCell ref="D121:E121"/>
    <mergeCell ref="A194:Z194"/>
    <mergeCell ref="D42:E42"/>
    <mergeCell ref="D17:E18"/>
    <mergeCell ref="A283:O288"/>
    <mergeCell ref="A213:O214"/>
    <mergeCell ref="P71:T71"/>
    <mergeCell ref="X17:X18"/>
    <mergeCell ref="D250:E250"/>
    <mergeCell ref="A52:Z52"/>
    <mergeCell ref="D110:E110"/>
    <mergeCell ref="G291:G292"/>
    <mergeCell ref="P283:V283"/>
    <mergeCell ref="I291:I292"/>
    <mergeCell ref="P83:T83"/>
    <mergeCell ref="D271:E271"/>
    <mergeCell ref="V12:W12"/>
    <mergeCell ref="D191:E191"/>
    <mergeCell ref="P122:V122"/>
    <mergeCell ref="P43:V43"/>
    <mergeCell ref="A39:Z39"/>
    <mergeCell ref="P285:V285"/>
    <mergeCell ref="P25:T25"/>
    <mergeCell ref="D266:E266"/>
    <mergeCell ref="U17:V17"/>
    <mergeCell ref="Y17:Y18"/>
    <mergeCell ref="D57:E57"/>
    <mergeCell ref="P138:V138"/>
    <mergeCell ref="A137:O138"/>
    <mergeCell ref="F17:F18"/>
    <mergeCell ref="Q5:R5"/>
    <mergeCell ref="D278:E278"/>
    <mergeCell ref="D234:E234"/>
    <mergeCell ref="P136:T136"/>
    <mergeCell ref="P70:T70"/>
    <mergeCell ref="D244:E244"/>
    <mergeCell ref="P228:T228"/>
    <mergeCell ref="A149:O150"/>
    <mergeCell ref="Q6:R6"/>
    <mergeCell ref="P200:T200"/>
    <mergeCell ref="P134:T134"/>
    <mergeCell ref="A251:O252"/>
    <mergeCell ref="D102:E102"/>
    <mergeCell ref="P208:V208"/>
    <mergeCell ref="A204:Z204"/>
    <mergeCell ref="A33:Z33"/>
    <mergeCell ref="D25:E25"/>
    <mergeCell ref="A126:O127"/>
    <mergeCell ref="P219:V219"/>
    <mergeCell ref="A231:Z231"/>
    <mergeCell ref="D54:E54"/>
    <mergeCell ref="A8:C8"/>
    <mergeCell ref="F291:F292"/>
    <mergeCell ref="H291:H292"/>
    <mergeCell ref="A245:O246"/>
    <mergeCell ref="AD17:AF18"/>
    <mergeCell ref="P167:V167"/>
    <mergeCell ref="D101:E101"/>
    <mergeCell ref="A132:Z132"/>
    <mergeCell ref="D76:E76"/>
    <mergeCell ref="F5:G5"/>
    <mergeCell ref="P144:V144"/>
    <mergeCell ref="A221:Z221"/>
    <mergeCell ref="D175:E175"/>
    <mergeCell ref="P186:T186"/>
    <mergeCell ref="A36:O37"/>
    <mergeCell ref="P82:T82"/>
    <mergeCell ref="V11:W11"/>
    <mergeCell ref="P57:T57"/>
    <mergeCell ref="D165:E165"/>
    <mergeCell ref="AA291:AA292"/>
    <mergeCell ref="P75:T75"/>
    <mergeCell ref="AC291:AC292"/>
    <mergeCell ref="D223:E223"/>
    <mergeCell ref="D279:E279"/>
    <mergeCell ref="A192:O193"/>
    <mergeCell ref="P287:V287"/>
    <mergeCell ref="P281:V281"/>
    <mergeCell ref="P62:T62"/>
    <mergeCell ref="P2:W3"/>
    <mergeCell ref="P198:T198"/>
    <mergeCell ref="P54:T54"/>
    <mergeCell ref="D35:E35"/>
    <mergeCell ref="D228:E228"/>
    <mergeCell ref="D10:E10"/>
    <mergeCell ref="P135:T135"/>
    <mergeCell ref="P191:T191"/>
    <mergeCell ref="D34:E34"/>
    <mergeCell ref="F10:G10"/>
    <mergeCell ref="D99:E99"/>
    <mergeCell ref="P78:V78"/>
    <mergeCell ref="A254:Z254"/>
    <mergeCell ref="P121:T121"/>
    <mergeCell ref="P181:T181"/>
    <mergeCell ref="D29:E29"/>
    <mergeCell ref="D23:E23"/>
    <mergeCell ref="D265:E265"/>
    <mergeCell ref="A20:Z20"/>
    <mergeCell ref="P110:T110"/>
    <mergeCell ref="D218:E218"/>
    <mergeCell ref="P286:V286"/>
    <mergeCell ref="A233:Z233"/>
    <mergeCell ref="M17:M18"/>
    <mergeCell ref="O17:O18"/>
    <mergeCell ref="P131:V131"/>
    <mergeCell ref="P187:V187"/>
    <mergeCell ref="P258:V258"/>
    <mergeCell ref="A248:Z248"/>
    <mergeCell ref="P102:T102"/>
    <mergeCell ref="A247:Z247"/>
    <mergeCell ref="A185:Z185"/>
    <mergeCell ref="P137:V137"/>
    <mergeCell ref="A258:O259"/>
    <mergeCell ref="A249:Z249"/>
    <mergeCell ref="A114:Z114"/>
    <mergeCell ref="P68:V68"/>
    <mergeCell ref="D276:E276"/>
    <mergeCell ref="A107:Z107"/>
    <mergeCell ref="A178:Z178"/>
    <mergeCell ref="D170:E170"/>
    <mergeCell ref="N17:N18"/>
    <mergeCell ref="A58:O59"/>
    <mergeCell ref="D49:E49"/>
    <mergeCell ref="P199:T199"/>
    <mergeCell ref="D257:E257"/>
    <mergeCell ref="P192:V192"/>
    <mergeCell ref="P49:T49"/>
    <mergeCell ref="P284:V284"/>
    <mergeCell ref="A166:O167"/>
    <mergeCell ref="P278:T278"/>
    <mergeCell ref="P101:T101"/>
    <mergeCell ref="P63:V63"/>
    <mergeCell ref="P50:V50"/>
    <mergeCell ref="D120:E120"/>
    <mergeCell ref="H5:M5"/>
    <mergeCell ref="P31:V31"/>
    <mergeCell ref="D212:E212"/>
    <mergeCell ref="Y290:AB290"/>
    <mergeCell ref="D6:M6"/>
    <mergeCell ref="D290:U290"/>
    <mergeCell ref="P175:T175"/>
    <mergeCell ref="P95:V95"/>
    <mergeCell ref="D83:E83"/>
    <mergeCell ref="P93:T93"/>
    <mergeCell ref="D256:E256"/>
    <mergeCell ref="P35:T35"/>
    <mergeCell ref="G17:G18"/>
    <mergeCell ref="P184:V184"/>
    <mergeCell ref="P171:V171"/>
    <mergeCell ref="P242:V242"/>
    <mergeCell ref="D159:E159"/>
    <mergeCell ref="A232:Z232"/>
    <mergeCell ref="A169:Z169"/>
    <mergeCell ref="P123:V123"/>
    <mergeCell ref="D136:E136"/>
    <mergeCell ref="A176:O177"/>
    <mergeCell ref="A241:O242"/>
    <mergeCell ref="D154:E154"/>
    <mergeCell ref="V6:W9"/>
    <mergeCell ref="D199:E199"/>
    <mergeCell ref="P109:T109"/>
    <mergeCell ref="P274:T274"/>
    <mergeCell ref="D186:E186"/>
    <mergeCell ref="D217:E217"/>
    <mergeCell ref="A155:O156"/>
    <mergeCell ref="P22:T22"/>
    <mergeCell ref="P236:V236"/>
    <mergeCell ref="A61:Z61"/>
    <mergeCell ref="P257:T257"/>
    <mergeCell ref="Z17:Z18"/>
    <mergeCell ref="P44:V44"/>
    <mergeCell ref="A227:Z227"/>
    <mergeCell ref="D200:E200"/>
    <mergeCell ref="P48:T48"/>
    <mergeCell ref="A105:O106"/>
    <mergeCell ref="P262:V262"/>
    <mergeCell ref="A9:C9"/>
    <mergeCell ref="P125:T125"/>
    <mergeCell ref="A179:Z179"/>
    <mergeCell ref="A91:Z91"/>
    <mergeCell ref="A219:O220"/>
    <mergeCell ref="Q13:R13"/>
    <mergeCell ref="D273:E273"/>
    <mergeCell ref="P252:V252"/>
    <mergeCell ref="P105:V105"/>
    <mergeCell ref="P212:T212"/>
    <mergeCell ref="AA17:AA18"/>
    <mergeCell ref="H10:M10"/>
    <mergeCell ref="AC17:AC18"/>
    <mergeCell ref="P279:T279"/>
    <mergeCell ref="A291:A292"/>
    <mergeCell ref="A235:O236"/>
    <mergeCell ref="D153:E153"/>
    <mergeCell ref="P256:T256"/>
    <mergeCell ref="AB17:AB18"/>
    <mergeCell ref="T291:T292"/>
    <mergeCell ref="V291:V292"/>
    <mergeCell ref="P268:V268"/>
    <mergeCell ref="P41:T41"/>
    <mergeCell ref="S291:S292"/>
    <mergeCell ref="A157:Z157"/>
    <mergeCell ref="D22:E22"/>
    <mergeCell ref="U291:U292"/>
    <mergeCell ref="A222:Z222"/>
    <mergeCell ref="P34:T34"/>
    <mergeCell ref="P276:T276"/>
    <mergeCell ref="J9:M9"/>
    <mergeCell ref="P141:T141"/>
    <mergeCell ref="D62:E62"/>
    <mergeCell ref="D56:E56"/>
    <mergeCell ref="P206:T206"/>
    <mergeCell ref="P155:V155"/>
    <mergeCell ref="P220:V220"/>
    <mergeCell ref="P213:V213"/>
    <mergeCell ref="A209:Z209"/>
    <mergeCell ref="A38:Z38"/>
    <mergeCell ref="P172:V172"/>
    <mergeCell ref="P150:V150"/>
    <mergeCell ref="A40:Z40"/>
    <mergeCell ref="P30:V30"/>
    <mergeCell ref="P159:T159"/>
    <mergeCell ref="D140:E140"/>
    <mergeCell ref="H17:H18"/>
    <mergeCell ref="A146:Z146"/>
    <mergeCell ref="P217:T217"/>
    <mergeCell ref="A207:O208"/>
    <mergeCell ref="D198:E198"/>
    <mergeCell ref="P27:T27"/>
    <mergeCell ref="P154:T154"/>
    <mergeCell ref="A84:O85"/>
    <mergeCell ref="AE291:AE292"/>
    <mergeCell ref="P202:V202"/>
    <mergeCell ref="P58:V58"/>
    <mergeCell ref="A13:M13"/>
    <mergeCell ref="P79:V79"/>
    <mergeCell ref="P73:V73"/>
    <mergeCell ref="A69:Z69"/>
    <mergeCell ref="A196:Z196"/>
    <mergeCell ref="P115:T115"/>
    <mergeCell ref="A15:M15"/>
    <mergeCell ref="B290:C290"/>
    <mergeCell ref="D48:E48"/>
    <mergeCell ref="A133:Z133"/>
    <mergeCell ref="P77:T77"/>
    <mergeCell ref="D125:E125"/>
    <mergeCell ref="A264:Z264"/>
    <mergeCell ref="D267:E267"/>
    <mergeCell ref="P261:T261"/>
    <mergeCell ref="K291:K292"/>
    <mergeCell ref="D75:E75"/>
    <mergeCell ref="A78:O79"/>
    <mergeCell ref="D206:E206"/>
    <mergeCell ref="P241:V241"/>
    <mergeCell ref="D181:E181"/>
    <mergeCell ref="P24:T24"/>
    <mergeCell ref="P211:T211"/>
    <mergeCell ref="P225:V225"/>
    <mergeCell ref="P88:T88"/>
    <mergeCell ref="P26:T26"/>
    <mergeCell ref="P153:T153"/>
    <mergeCell ref="A72:O73"/>
    <mergeCell ref="A143:O144"/>
    <mergeCell ref="A92:Z92"/>
    <mergeCell ref="A50:O51"/>
    <mergeCell ref="A158:Z158"/>
    <mergeCell ref="A12:M12"/>
    <mergeCell ref="A180:Z180"/>
    <mergeCell ref="A190:Z190"/>
    <mergeCell ref="A19:Z19"/>
    <mergeCell ref="D182:E182"/>
    <mergeCell ref="A14:M14"/>
    <mergeCell ref="D280:E280"/>
    <mergeCell ref="D109:E109"/>
    <mergeCell ref="T5:U5"/>
    <mergeCell ref="D119:E119"/>
    <mergeCell ref="P76:T76"/>
    <mergeCell ref="V5:W5"/>
    <mergeCell ref="A224:O225"/>
    <mergeCell ref="Q8:R8"/>
    <mergeCell ref="P140:T140"/>
    <mergeCell ref="P267:T267"/>
    <mergeCell ref="D275:E275"/>
    <mergeCell ref="D104:E104"/>
    <mergeCell ref="T6:U9"/>
    <mergeCell ref="A30:O31"/>
    <mergeCell ref="Q10:R10"/>
    <mergeCell ref="D41:E41"/>
    <mergeCell ref="D277:E277"/>
    <mergeCell ref="P85:V85"/>
    <mergeCell ref="D27:E27"/>
    <mergeCell ref="A67:O68"/>
    <mergeCell ref="P15:T16"/>
    <mergeCell ref="D116:E116"/>
    <mergeCell ref="AF291:AF292"/>
    <mergeCell ref="A164:Z164"/>
    <mergeCell ref="P23:T23"/>
    <mergeCell ref="P272:T272"/>
    <mergeCell ref="P210:T210"/>
    <mergeCell ref="D93:E93"/>
    <mergeCell ref="P277:T277"/>
    <mergeCell ref="P72:V72"/>
    <mergeCell ref="A195:Z195"/>
    <mergeCell ref="P288:V288"/>
    <mergeCell ref="P263:V263"/>
    <mergeCell ref="A253:Z253"/>
    <mergeCell ref="A53:Z53"/>
    <mergeCell ref="M291:M292"/>
    <mergeCell ref="V290:W290"/>
    <mergeCell ref="P84:V84"/>
    <mergeCell ref="P149:V149"/>
    <mergeCell ref="A145:Z145"/>
    <mergeCell ref="A139:Z139"/>
    <mergeCell ref="J291:J292"/>
    <mergeCell ref="A5:C5"/>
    <mergeCell ref="A237:Z237"/>
    <mergeCell ref="P64:V64"/>
    <mergeCell ref="P51:V51"/>
    <mergeCell ref="A174:Z174"/>
    <mergeCell ref="A108:Z108"/>
    <mergeCell ref="W291:W292"/>
    <mergeCell ref="A17:A18"/>
    <mergeCell ref="K17:K18"/>
    <mergeCell ref="A189:Z189"/>
    <mergeCell ref="C17:C18"/>
    <mergeCell ref="A238:Z238"/>
    <mergeCell ref="D103:E103"/>
    <mergeCell ref="P66:T66"/>
    <mergeCell ref="D9:E9"/>
    <mergeCell ref="P197:T197"/>
    <mergeCell ref="A183:O184"/>
    <mergeCell ref="D118:E118"/>
    <mergeCell ref="F9:G9"/>
    <mergeCell ref="P67:V67"/>
    <mergeCell ref="A262:O263"/>
    <mergeCell ref="A122:O123"/>
    <mergeCell ref="B291:B292"/>
    <mergeCell ref="D291:D292"/>
    <mergeCell ref="Q11:R11"/>
    <mergeCell ref="A6:C6"/>
    <mergeCell ref="P118:T118"/>
    <mergeCell ref="D88:E88"/>
    <mergeCell ref="X291:X292"/>
    <mergeCell ref="D148:E148"/>
    <mergeCell ref="P142:T142"/>
    <mergeCell ref="Z291:Z292"/>
    <mergeCell ref="D26:E26"/>
    <mergeCell ref="P117:T117"/>
    <mergeCell ref="P55:T55"/>
    <mergeCell ref="D115:E115"/>
    <mergeCell ref="P182:T182"/>
    <mergeCell ref="P280:T280"/>
    <mergeCell ref="Q12:R12"/>
    <mergeCell ref="D261:E261"/>
    <mergeCell ref="A130:O131"/>
    <mergeCell ref="P119:T119"/>
    <mergeCell ref="P183:V183"/>
    <mergeCell ref="A43:O44"/>
    <mergeCell ref="R291:R292"/>
    <mergeCell ref="P127:V127"/>
    <mergeCell ref="A98:Z98"/>
    <mergeCell ref="A201:O202"/>
    <mergeCell ref="D1:F1"/>
    <mergeCell ref="P47:T47"/>
    <mergeCell ref="P282:V282"/>
    <mergeCell ref="P111:V111"/>
    <mergeCell ref="J17:J18"/>
    <mergeCell ref="D82:E82"/>
    <mergeCell ref="L17:L18"/>
    <mergeCell ref="D240:E240"/>
    <mergeCell ref="P112:V112"/>
    <mergeCell ref="D100:E100"/>
    <mergeCell ref="A173:Z173"/>
    <mergeCell ref="P17:T18"/>
    <mergeCell ref="P129:T129"/>
    <mergeCell ref="P250:T250"/>
    <mergeCell ref="D77:E77"/>
    <mergeCell ref="A111:O112"/>
    <mergeCell ref="P223:T223"/>
    <mergeCell ref="A168:Z168"/>
    <mergeCell ref="P201:V201"/>
    <mergeCell ref="D160:E160"/>
    <mergeCell ref="I17:I18"/>
    <mergeCell ref="D141:E141"/>
    <mergeCell ref="P176:V176"/>
    <mergeCell ref="D135:E135"/>
    <mergeCell ref="H1:Q1"/>
    <mergeCell ref="A243:Z243"/>
    <mergeCell ref="P193:V193"/>
    <mergeCell ref="A74:Z74"/>
    <mergeCell ref="P246:V246"/>
    <mergeCell ref="P120:T120"/>
    <mergeCell ref="A163:Z163"/>
    <mergeCell ref="D28:E28"/>
    <mergeCell ref="D117:E117"/>
    <mergeCell ref="D55:E55"/>
    <mergeCell ref="A95:O96"/>
    <mergeCell ref="D5:E5"/>
    <mergeCell ref="P42:T42"/>
    <mergeCell ref="D94:E94"/>
    <mergeCell ref="P148:T148"/>
    <mergeCell ref="P240:T240"/>
    <mergeCell ref="P162:V162"/>
    <mergeCell ref="P106:V106"/>
    <mergeCell ref="P177:V177"/>
    <mergeCell ref="A216:Z216"/>
    <mergeCell ref="A45:Z45"/>
    <mergeCell ref="A87:Z87"/>
    <mergeCell ref="D210:E210"/>
    <mergeCell ref="A46:Z46"/>
    <mergeCell ref="D7:M7"/>
    <mergeCell ref="A81:Z81"/>
    <mergeCell ref="P156:V156"/>
    <mergeCell ref="A152:Z152"/>
    <mergeCell ref="P29:T29"/>
    <mergeCell ref="P271:T271"/>
    <mergeCell ref="P100:T100"/>
    <mergeCell ref="P265:T265"/>
    <mergeCell ref="P94:T94"/>
    <mergeCell ref="D8:M8"/>
    <mergeCell ref="A226:Z226"/>
    <mergeCell ref="A161:O162"/>
    <mergeCell ref="P251:V251"/>
    <mergeCell ref="P266:T266"/>
    <mergeCell ref="P269:V269"/>
    <mergeCell ref="P188:V188"/>
    <mergeCell ref="D147:E147"/>
    <mergeCell ref="A187:O188"/>
    <mergeCell ref="P116:T116"/>
    <mergeCell ref="P103:T103"/>
    <mergeCell ref="P59:V59"/>
    <mergeCell ref="D211:E211"/>
    <mergeCell ref="P130:V130"/>
    <mergeCell ref="A239:Z239"/>
    <mergeCell ref="O291:O292"/>
    <mergeCell ref="P96:V96"/>
    <mergeCell ref="Q291:Q292"/>
    <mergeCell ref="P90:V90"/>
    <mergeCell ref="A86:Z86"/>
    <mergeCell ref="P161:V161"/>
    <mergeCell ref="A151:Z151"/>
    <mergeCell ref="P234:T234"/>
    <mergeCell ref="D142:E142"/>
    <mergeCell ref="A215:Z215"/>
    <mergeCell ref="D129:E129"/>
    <mergeCell ref="P291:P292"/>
    <mergeCell ref="Y291:Y292"/>
    <mergeCell ref="P273:T273"/>
    <mergeCell ref="D272:E272"/>
    <mergeCell ref="D274:E274"/>
    <mergeCell ref="C291:C292"/>
    <mergeCell ref="E291:E292"/>
    <mergeCell ref="P214:V214"/>
    <mergeCell ref="A113:Z113"/>
    <mergeCell ref="A97:Z97"/>
    <mergeCell ref="L291:L292"/>
    <mergeCell ref="A203:Z203"/>
    <mergeCell ref="P126:V126"/>
    <mergeCell ref="A281:O282"/>
    <mergeCell ref="R1:T1"/>
    <mergeCell ref="P28:T28"/>
    <mergeCell ref="D71:E71"/>
    <mergeCell ref="P165:T165"/>
    <mergeCell ref="P229:V229"/>
    <mergeCell ref="A89:O90"/>
    <mergeCell ref="P166:V166"/>
    <mergeCell ref="P37:V37"/>
    <mergeCell ref="P230:V230"/>
    <mergeCell ref="A63:O64"/>
    <mergeCell ref="P275:T275"/>
    <mergeCell ref="P104:T104"/>
    <mergeCell ref="B17:B18"/>
    <mergeCell ref="P143:V143"/>
    <mergeCell ref="A171:O172"/>
    <mergeCell ref="A260:Z260"/>
    <mergeCell ref="P235:V235"/>
    <mergeCell ref="A60:Z60"/>
    <mergeCell ref="P207:V207"/>
    <mergeCell ref="P56:T56"/>
    <mergeCell ref="V10:W10"/>
    <mergeCell ref="A124:Z124"/>
    <mergeCell ref="A229:O230"/>
    <mergeCell ref="P244:T244"/>
    <mergeCell ref="P245:V245"/>
    <mergeCell ref="A270:Z270"/>
    <mergeCell ref="H9:I9"/>
    <mergeCell ref="P224:V224"/>
    <mergeCell ref="P89:V89"/>
    <mergeCell ref="P259:V259"/>
    <mergeCell ref="A205:Z205"/>
    <mergeCell ref="D70:E70"/>
    <mergeCell ref="A65:Z65"/>
    <mergeCell ref="A80:Z80"/>
    <mergeCell ref="D134:E134"/>
    <mergeCell ref="P99:T99"/>
    <mergeCell ref="P170:T170"/>
    <mergeCell ref="D66:E66"/>
    <mergeCell ref="D197:E197"/>
    <mergeCell ref="D47:E47"/>
    <mergeCell ref="P160:T160"/>
    <mergeCell ref="P147:T147"/>
    <mergeCell ref="W17:W18"/>
    <mergeCell ref="Q9:R9"/>
    <mergeCell ref="P36:V36"/>
    <mergeCell ref="A32:Z32"/>
    <mergeCell ref="D24:E2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 X272 X267 X256 X250 X244 X240 X234 X228 X217:X218 X210:X211 X200 X191 X186 X181 X159 X153 X140:X142 X134:X136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80 X273:X276 X271 X265:X266 X261 X257 X223 X212 X206 X197:X199 X182 X175 X170 X165 X160 X154 X147:X148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387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v7KX4dzDv+h6oHLoG/x0Fpm8RGxZeoPq/jP1D0rV0XS44daFTtfhGPvvImcv7dxtTXcFyehF5YEXA+kYsUCftg==" saltValue="m0eHe+9gvmAsXeBRcViiP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2026-07-15T06:13:36Z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