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EADB1B5-CF17-431B-B8D1-09DAC1EC3E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M12" i="1"/>
  <c r="S12" i="1" s="1"/>
  <c r="L12" i="1"/>
  <c r="M11" i="1"/>
  <c r="S11" i="1" s="1"/>
  <c r="W11" i="1" s="1"/>
  <c r="L11" i="1"/>
  <c r="M10" i="1"/>
  <c r="S10" i="1" s="1"/>
  <c r="L10" i="1"/>
  <c r="M9" i="1"/>
  <c r="S9" i="1" s="1"/>
  <c r="V9" i="1" s="1"/>
  <c r="L9" i="1"/>
  <c r="M8" i="1"/>
  <c r="S8" i="1" s="1"/>
  <c r="L8" i="1"/>
  <c r="M7" i="1"/>
  <c r="S7" i="1" s="1"/>
  <c r="V7" i="1" s="1"/>
  <c r="L7" i="1"/>
  <c r="M6" i="1"/>
  <c r="S6" i="1" s="1"/>
  <c r="T6" i="1" s="1"/>
  <c r="AF6" i="1" s="1"/>
  <c r="L6" i="1"/>
  <c r="AD5" i="1"/>
  <c r="AC5" i="1"/>
  <c r="AB5" i="1"/>
  <c r="AA5" i="1"/>
  <c r="Z5" i="1"/>
  <c r="Y5" i="1"/>
  <c r="X5" i="1"/>
  <c r="R5" i="1"/>
  <c r="Q5" i="1"/>
  <c r="P5" i="1"/>
  <c r="O5" i="1"/>
  <c r="N5" i="1"/>
  <c r="K5" i="1"/>
  <c r="T12" i="1" l="1"/>
  <c r="AF12" i="1" s="1"/>
  <c r="E5" i="1"/>
  <c r="W10" i="1"/>
  <c r="AF10" i="1"/>
  <c r="V6" i="1"/>
  <c r="V10" i="1"/>
  <c r="V11" i="1"/>
  <c r="V12" i="1"/>
  <c r="W12" i="1"/>
  <c r="W8" i="1"/>
  <c r="V8" i="1"/>
  <c r="W6" i="1"/>
  <c r="W7" i="1"/>
  <c r="M5" i="1"/>
  <c r="S5" i="1"/>
  <c r="W9" i="1"/>
  <c r="L5" i="1"/>
  <c r="AF5" i="1" l="1"/>
  <c r="T5" i="1"/>
</calcChain>
</file>

<file path=xl/sharedStrings.xml><?xml version="1.0" encoding="utf-8"?>
<sst xmlns="http://schemas.openxmlformats.org/spreadsheetml/2006/main" count="70" uniqueCount="55">
  <si>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</si>
  <si>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</si>
  <si>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</si>
  <si>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</si>
  <si>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</si>
  <si>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</si>
  <si>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</si>
  <si>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</si>
  <si>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</si>
  <si>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</si>
  <si>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</si>
  <si>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</si>
  <si>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</si>
  <si>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</si>
  <si>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</si>
  <si>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</si>
  <si>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</si>
  <si>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</si>
  <si>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</si>
  <si>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</si>
  <si>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</si>
  <si>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</si>
  <si>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30,06,</t>
  </si>
  <si>
    <t>04,07,</t>
  </si>
  <si>
    <t>04,07,(дозаказ)</t>
  </si>
  <si>
    <t>05,07,</t>
  </si>
  <si>
    <t>02,07,</t>
  </si>
  <si>
    <t>25,06,</t>
  </si>
  <si>
    <t>23,06,</t>
  </si>
  <si>
    <t>26,05,</t>
  </si>
  <si>
    <t>02,06,</t>
  </si>
  <si>
    <t>09,06,</t>
  </si>
  <si>
    <t>16,06,</t>
  </si>
  <si>
    <t>кг</t>
  </si>
  <si>
    <t>шт</t>
  </si>
  <si>
    <t xml:space="preserve"> 030  Сосиски Вязанка Молочные, Вязанка вискофан МГС, 0.45кг, ПОКОМ</t>
  </si>
  <si>
    <t>P003985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</si>
  <si>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</si>
  <si>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</si>
  <si>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</si>
  <si>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</si>
  <si>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</si>
  <si>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</si>
  <si>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</si>
  <si>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</si>
  <si>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</si>
  <si>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</si>
  <si>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</si>
  <si>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</si>
  <si>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</si>
  <si>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P004923</t>
  </si>
  <si>
    <t>1700шт под клиента отгрузили 02,07,26</t>
  </si>
  <si>
    <t xml:space="preserve">1200   ЮТЛ промо </t>
  </si>
  <si>
    <t xml:space="preserve"> еще 1500 акция ютл </t>
  </si>
  <si>
    <t xml:space="preserve">еще 500 больше не нужно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</si>
</sst>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2" xfId="1" applyNumberFormat="1" applyFill="1" applyBorder="1"/>
    <xf numFmtId="164" fontId="5" fillId="7" borderId="1" xfId="1" applyNumberFormat="1" applyFont="1" applyFill="1"/>
    <xf numFmtId="2" fontId="1" fillId="6" borderId="1" xfId="1" applyNumberFormat="1" applyFill="1"/>
    <xf numFmtId="164" fontId="1" fillId="6" borderId="2" xfId="1" applyNumberFormat="1" applyFill="1" applyBorder="1"/>
    <xf numFmtId="0" fontId="0" fillId="6" borderId="0" xfId="0" applyFill="1" applyBorder="1"/>
    <xf numFmtId="164" fontId="1" fillId="4" borderId="1" xfId="1" applyNumberFormat="1" applyFill="1" applyBorder="1"/>
    <xf numFmtId="164" fontId="1" fillId="7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3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27" sqref="AD27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6" width="7" customWidth="1"/>
    <col min="7" max="7" width="5" style="5" customWidth="1"/>
    <col min="8" max="8" width="5" customWidth="1"/>
    <col min="9" max="9" width="8" customWidth="1"/>
    <col min="10" max="10" width="1" customWidth="1"/>
    <col min="11" max="20" width="7" customWidth="1"/>
    <col min="21" max="21" width="20.42578125" style="21" customWidth="1"/>
    <col min="22" max="23" width="5" customWidth="1"/>
    <col min="24" max="30" width="7" customWidth="1"/>
    <col min="31" max="31" width="33.710937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 t="s">
        <v>22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SUM(E6:E394)</f>
        <v>4739.0159999999996</v>
      </c>
      <c r="F5" s="4">
        <f>SUM(F6:F394)</f>
        <v>4708.3890000000001</v>
      </c>
      <c r="G5" s="6"/>
      <c r="H5" s="1"/>
      <c r="I5" s="1"/>
      <c r="J5" s="1"/>
      <c r="K5" s="4">
        <f t="shared" ref="K5:T5" si="0">SUM(K6:K394)</f>
        <v>5028.8</v>
      </c>
      <c r="L5" s="4">
        <f t="shared" si="0"/>
        <v>-289.78399999999993</v>
      </c>
      <c r="M5" s="4">
        <f t="shared" si="0"/>
        <v>4739.0159999999996</v>
      </c>
      <c r="N5" s="4">
        <f t="shared" si="0"/>
        <v>0</v>
      </c>
      <c r="O5" s="4">
        <f t="shared" si="0"/>
        <v>0</v>
      </c>
      <c r="P5" s="4">
        <f t="shared" si="0"/>
        <v>122.60000000000009</v>
      </c>
      <c r="Q5" s="4">
        <f t="shared" si="0"/>
        <v>300</v>
      </c>
      <c r="R5" s="4">
        <f t="shared" si="0"/>
        <v>0</v>
      </c>
      <c r="S5" s="4">
        <f t="shared" si="0"/>
        <v>947.80319999999995</v>
      </c>
      <c r="T5" s="4">
        <f t="shared" si="0"/>
        <v>1592.2000000000005</v>
      </c>
      <c r="U5" s="4"/>
      <c r="V5" s="1"/>
      <c r="W5" s="1"/>
      <c r="X5" s="4">
        <f t="shared" ref="X5:AD5" si="1">SUM(X6:X394)</f>
        <v>650.94100000000003</v>
      </c>
      <c r="Y5" s="4">
        <f t="shared" si="1"/>
        <v>750.35259999999994</v>
      </c>
      <c r="Z5" s="4">
        <f t="shared" si="1"/>
        <v>716.68920000000003</v>
      </c>
      <c r="AA5" s="4">
        <f t="shared" si="1"/>
        <v>1105.521</v>
      </c>
      <c r="AB5" s="4">
        <f t="shared" si="1"/>
        <v>806.60200000000009</v>
      </c>
      <c r="AC5" s="4">
        <f t="shared" si="1"/>
        <v>711.37080000000003</v>
      </c>
      <c r="AD5" s="4">
        <f t="shared" si="1"/>
        <v>604.6404</v>
      </c>
      <c r="AE5" s="1"/>
      <c r="AF5" s="4">
        <f>SUM(AF6:AF394)</f>
        <v>731.34000000000026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s="17" customFormat="1" x14ac:dyDescent="0.25">
      <c r="A6" s="12" t="s">
        <v>35</v>
      </c>
      <c r="B6" s="12" t="s">
        <v>34</v>
      </c>
      <c r="C6" s="12">
        <v>1545</v>
      </c>
      <c r="D6" s="12">
        <v>9949</v>
      </c>
      <c r="E6" s="12">
        <v>1768</v>
      </c>
      <c r="F6" s="12">
        <v>2750</v>
      </c>
      <c r="G6" s="15">
        <v>0.45</v>
      </c>
      <c r="H6" s="12"/>
      <c r="I6" s="12" t="s">
        <v>36</v>
      </c>
      <c r="J6" s="12"/>
      <c r="K6" s="12">
        <v>1837</v>
      </c>
      <c r="L6" s="12">
        <f t="shared" ref="L6:L9" si="2">E6-K6</f>
        <v>-69</v>
      </c>
      <c r="M6" s="12">
        <f t="shared" ref="M6:M9" si="3">E6-N6</f>
        <v>1768</v>
      </c>
      <c r="N6" s="12"/>
      <c r="O6" s="12"/>
      <c r="P6" s="12">
        <v>0</v>
      </c>
      <c r="Q6" s="12"/>
      <c r="R6" s="12"/>
      <c r="S6" s="12">
        <f t="shared" ref="S6:S9" si="4">M6/5</f>
        <v>353.6</v>
      </c>
      <c r="T6" s="16">
        <f t="shared" ref="T6" si="5">12*S6-R6-Q6-P6-O6-F6</f>
        <v>1493.2000000000007</v>
      </c>
      <c r="U6" s="20" t="s">
        <v>53</v>
      </c>
      <c r="V6" s="12">
        <f t="shared" ref="V6:V9" si="6">(F6+O6+P6+Q6+R6+T6)/S6</f>
        <v>12.000000000000002</v>
      </c>
      <c r="W6" s="12">
        <f t="shared" ref="W6:W9" si="7">(F6+O6+P6+Q6+R6)/S6</f>
        <v>7.7771493212669682</v>
      </c>
      <c r="X6" s="12">
        <v>327.60000000000002</v>
      </c>
      <c r="Y6" s="12">
        <v>392</v>
      </c>
      <c r="Z6" s="12">
        <v>376.6</v>
      </c>
      <c r="AA6" s="12">
        <v>460</v>
      </c>
      <c r="AB6" s="12">
        <v>328.2</v>
      </c>
      <c r="AC6" s="12">
        <v>407</v>
      </c>
      <c r="AD6" s="12">
        <v>312.60000000000002</v>
      </c>
      <c r="AE6" s="12"/>
      <c r="AF6" s="12">
        <f t="shared" ref="AF6" si="8">G6*T6</f>
        <v>671.9400000000004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hidden="1" x14ac:dyDescent="0.25">
      <c r="A7" s="8" t="s">
        <v>37</v>
      </c>
      <c r="B7" s="8" t="s">
        <v>33</v>
      </c>
      <c r="C7" s="8">
        <v>-1.7649999999999999</v>
      </c>
      <c r="D7" s="8">
        <v>1.7649999999999999</v>
      </c>
      <c r="E7" s="8"/>
      <c r="F7" s="8"/>
      <c r="G7" s="9">
        <v>0</v>
      </c>
      <c r="H7" s="8"/>
      <c r="I7" s="8"/>
      <c r="J7" s="8"/>
      <c r="K7" s="8"/>
      <c r="L7" s="8">
        <f t="shared" si="2"/>
        <v>0</v>
      </c>
      <c r="M7" s="8">
        <f t="shared" si="3"/>
        <v>0</v>
      </c>
      <c r="N7" s="8"/>
      <c r="O7" s="8"/>
      <c r="P7" s="8">
        <v>0</v>
      </c>
      <c r="Q7" s="8"/>
      <c r="R7" s="8"/>
      <c r="S7" s="8">
        <f t="shared" si="4"/>
        <v>0</v>
      </c>
      <c r="T7" s="10"/>
      <c r="U7" s="18"/>
      <c r="V7" s="8" t="e">
        <f t="shared" si="6"/>
        <v>#DIV/0!</v>
      </c>
      <c r="W7" s="8" t="e">
        <f t="shared" si="7"/>
        <v>#DIV/0!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/>
      <c r="AF7" s="8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idden="1" x14ac:dyDescent="0.25">
      <c r="A8" s="8" t="s">
        <v>38</v>
      </c>
      <c r="B8" s="8" t="s">
        <v>33</v>
      </c>
      <c r="C8" s="8">
        <v>363.52300000000002</v>
      </c>
      <c r="D8" s="8">
        <v>790.81899999999996</v>
      </c>
      <c r="E8" s="11">
        <v>419.01600000000002</v>
      </c>
      <c r="F8" s="11">
        <v>-6.6109999999999998</v>
      </c>
      <c r="G8" s="9">
        <v>0</v>
      </c>
      <c r="H8" s="8"/>
      <c r="I8" s="8" t="s">
        <v>39</v>
      </c>
      <c r="J8" s="8" t="s">
        <v>40</v>
      </c>
      <c r="K8" s="8">
        <v>591.79999999999995</v>
      </c>
      <c r="L8" s="8">
        <f t="shared" si="2"/>
        <v>-172.78399999999993</v>
      </c>
      <c r="M8" s="8">
        <f t="shared" si="3"/>
        <v>419.01600000000002</v>
      </c>
      <c r="N8" s="8"/>
      <c r="O8" s="8"/>
      <c r="P8" s="8">
        <v>0</v>
      </c>
      <c r="Q8" s="8"/>
      <c r="R8" s="8"/>
      <c r="S8" s="8">
        <f t="shared" si="4"/>
        <v>83.803200000000004</v>
      </c>
      <c r="T8" s="10"/>
      <c r="U8" s="18"/>
      <c r="V8" s="8">
        <f t="shared" si="6"/>
        <v>-7.8887202397999109E-2</v>
      </c>
      <c r="W8" s="8">
        <f t="shared" si="7"/>
        <v>-7.8887202397999109E-2</v>
      </c>
      <c r="X8" s="8">
        <v>150.74100000000001</v>
      </c>
      <c r="Y8" s="8">
        <v>185.3526</v>
      </c>
      <c r="Z8" s="8">
        <v>199.28919999999999</v>
      </c>
      <c r="AA8" s="8">
        <v>315.32100000000003</v>
      </c>
      <c r="AB8" s="8">
        <v>286.202</v>
      </c>
      <c r="AC8" s="8">
        <v>141.9708</v>
      </c>
      <c r="AD8" s="8">
        <v>164.84039999999999</v>
      </c>
      <c r="AE8" s="8" t="s">
        <v>41</v>
      </c>
      <c r="AF8" s="8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idden="1" x14ac:dyDescent="0.25">
      <c r="A9" s="8" t="s">
        <v>42</v>
      </c>
      <c r="B9" s="8" t="s">
        <v>33</v>
      </c>
      <c r="C9" s="8">
        <v>-9.9649999999999999</v>
      </c>
      <c r="D9" s="8">
        <v>9.9649999999999999</v>
      </c>
      <c r="E9" s="8"/>
      <c r="F9" s="8"/>
      <c r="G9" s="9">
        <v>0</v>
      </c>
      <c r="H9" s="8"/>
      <c r="I9" s="8" t="s">
        <v>43</v>
      </c>
      <c r="J9" s="8" t="s">
        <v>44</v>
      </c>
      <c r="K9" s="8"/>
      <c r="L9" s="8">
        <f t="shared" si="2"/>
        <v>0</v>
      </c>
      <c r="M9" s="8">
        <f t="shared" si="3"/>
        <v>0</v>
      </c>
      <c r="N9" s="8"/>
      <c r="O9" s="8"/>
      <c r="P9" s="8">
        <v>0</v>
      </c>
      <c r="Q9" s="8"/>
      <c r="R9" s="8"/>
      <c r="S9" s="8">
        <f t="shared" si="4"/>
        <v>0</v>
      </c>
      <c r="T9" s="10"/>
      <c r="U9" s="18"/>
      <c r="V9" s="8" t="e">
        <f t="shared" si="6"/>
        <v>#DIV/0!</v>
      </c>
      <c r="W9" s="8" t="e">
        <f t="shared" si="7"/>
        <v>#DIV/0!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/>
      <c r="AF9" s="8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t="19.149999999999999" customHeight="1" x14ac:dyDescent="0.25">
      <c r="A10" s="1" t="s">
        <v>45</v>
      </c>
      <c r="B10" s="1" t="s">
        <v>34</v>
      </c>
      <c r="C10" s="1">
        <v>371</v>
      </c>
      <c r="D10" s="1">
        <v>4523</v>
      </c>
      <c r="E10" s="1">
        <v>2326</v>
      </c>
      <c r="F10" s="1">
        <v>1651</v>
      </c>
      <c r="G10" s="6">
        <v>0.35</v>
      </c>
      <c r="H10" s="1"/>
      <c r="I10" s="1" t="s">
        <v>46</v>
      </c>
      <c r="J10" s="1"/>
      <c r="K10" s="1">
        <v>2351</v>
      </c>
      <c r="L10" s="1">
        <f t="shared" ref="L10:L12" si="9">E10-K10</f>
        <v>-25</v>
      </c>
      <c r="M10" s="1">
        <f t="shared" ref="M10:M12" si="10">E10-N10</f>
        <v>2326</v>
      </c>
      <c r="N10" s="1"/>
      <c r="O10" s="1"/>
      <c r="P10" s="1">
        <v>0</v>
      </c>
      <c r="Q10" s="1">
        <v>300</v>
      </c>
      <c r="R10" s="1"/>
      <c r="S10" s="1">
        <f t="shared" ref="S10:S12" si="11">M10/5</f>
        <v>465.2</v>
      </c>
      <c r="T10" s="13"/>
      <c r="U10" s="19" t="s">
        <v>54</v>
      </c>
      <c r="V10" s="1">
        <f t="shared" ref="V10:V12" si="12">(F10+O10+P10+Q10+R10+T10)/S10</f>
        <v>4.1938950988822015</v>
      </c>
      <c r="W10" s="1">
        <f t="shared" ref="W10:W12" si="13">(F10+O10+P10+Q10+R10)/S10</f>
        <v>4.1938950988822015</v>
      </c>
      <c r="X10" s="1">
        <v>121.2</v>
      </c>
      <c r="Y10" s="1">
        <v>128.6</v>
      </c>
      <c r="Z10" s="1">
        <v>118</v>
      </c>
      <c r="AA10" s="1">
        <v>217.4</v>
      </c>
      <c r="AB10" s="1">
        <v>150.19999999999999</v>
      </c>
      <c r="AC10" s="1">
        <v>101.4</v>
      </c>
      <c r="AD10" s="1">
        <v>112.2</v>
      </c>
      <c r="AE10" s="14" t="s">
        <v>51</v>
      </c>
      <c r="AF10" s="1">
        <f t="shared" ref="AF10" si="14">G10*T10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hidden="1" x14ac:dyDescent="0.25">
      <c r="A11" s="8" t="s">
        <v>47</v>
      </c>
      <c r="B11" s="8" t="s">
        <v>34</v>
      </c>
      <c r="C11" s="8"/>
      <c r="D11" s="8"/>
      <c r="E11" s="8">
        <v>2</v>
      </c>
      <c r="F11" s="8">
        <v>-2</v>
      </c>
      <c r="G11" s="9">
        <v>0</v>
      </c>
      <c r="H11" s="8"/>
      <c r="I11" s="8" t="s">
        <v>48</v>
      </c>
      <c r="J11" s="8"/>
      <c r="K11" s="8">
        <v>20</v>
      </c>
      <c r="L11" s="8">
        <f t="shared" si="9"/>
        <v>-18</v>
      </c>
      <c r="M11" s="8">
        <f t="shared" si="10"/>
        <v>2</v>
      </c>
      <c r="N11" s="8"/>
      <c r="O11" s="8"/>
      <c r="P11" s="8"/>
      <c r="Q11" s="8"/>
      <c r="R11" s="8"/>
      <c r="S11" s="8">
        <f t="shared" si="11"/>
        <v>0.4</v>
      </c>
      <c r="T11" s="10"/>
      <c r="U11" s="18"/>
      <c r="V11" s="8">
        <f t="shared" si="12"/>
        <v>-5</v>
      </c>
      <c r="W11" s="8">
        <f t="shared" si="13"/>
        <v>-5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/>
      <c r="AF11" s="8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s="17" customFormat="1" x14ac:dyDescent="0.25">
      <c r="A12" s="12" t="s">
        <v>49</v>
      </c>
      <c r="B12" s="12" t="s">
        <v>34</v>
      </c>
      <c r="C12" s="12">
        <v>284</v>
      </c>
      <c r="D12" s="12">
        <v>1752</v>
      </c>
      <c r="E12" s="12">
        <v>224</v>
      </c>
      <c r="F12" s="12">
        <v>316</v>
      </c>
      <c r="G12" s="15">
        <v>0.6</v>
      </c>
      <c r="H12" s="12"/>
      <c r="I12" s="12" t="s">
        <v>50</v>
      </c>
      <c r="J12" s="12"/>
      <c r="K12" s="12">
        <v>229</v>
      </c>
      <c r="L12" s="12">
        <f t="shared" si="9"/>
        <v>-5</v>
      </c>
      <c r="M12" s="12">
        <f t="shared" si="10"/>
        <v>224</v>
      </c>
      <c r="N12" s="12"/>
      <c r="O12" s="12"/>
      <c r="P12" s="12">
        <v>122.60000000000009</v>
      </c>
      <c r="Q12" s="12"/>
      <c r="R12" s="12"/>
      <c r="S12" s="12">
        <f t="shared" si="11"/>
        <v>44.8</v>
      </c>
      <c r="T12" s="16">
        <f t="shared" ref="T12" si="15">12*S12-R12-Q12-P12-O12-F12</f>
        <v>98.999999999999829</v>
      </c>
      <c r="U12" s="20" t="s">
        <v>52</v>
      </c>
      <c r="V12" s="12">
        <f t="shared" si="12"/>
        <v>11.999999999999998</v>
      </c>
      <c r="W12" s="12">
        <f t="shared" si="13"/>
        <v>9.790178571428573</v>
      </c>
      <c r="X12" s="12">
        <v>51.4</v>
      </c>
      <c r="Y12" s="12">
        <v>44.4</v>
      </c>
      <c r="Z12" s="12">
        <v>22.8</v>
      </c>
      <c r="AA12" s="12">
        <v>112.8</v>
      </c>
      <c r="AB12" s="12">
        <v>42</v>
      </c>
      <c r="AC12" s="12">
        <v>61</v>
      </c>
      <c r="AD12" s="12">
        <v>15</v>
      </c>
      <c r="AE12" s="12"/>
      <c r="AF12" s="12">
        <f t="shared" ref="AF12" si="16">G12*T12</f>
        <v>59.399999999999892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"/>
      <c r="B13" s="1"/>
      <c r="C13" s="1"/>
      <c r="D13" s="1"/>
      <c r="E13" s="1"/>
      <c r="F13" s="1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/>
      <c r="B14" s="1"/>
      <c r="C14" s="1"/>
      <c r="D14" s="1"/>
      <c r="E14" s="1"/>
      <c r="F14" s="1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/>
      <c r="B15" s="1"/>
      <c r="C15" s="1"/>
      <c r="D15" s="1"/>
      <c r="E15" s="1"/>
      <c r="F15" s="1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/>
      <c r="B16" s="1"/>
      <c r="C16" s="1"/>
      <c r="D16" s="1"/>
      <c r="E16" s="1"/>
      <c r="F16" s="1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</sheetData>
  <autoFilter ref="A3:AF12" xr:uid="{00000000-0009-0000-0000-000000000000}">
    <filterColumn colId="6">
      <filters blank="1">
        <filter val="0,05"/>
        <filter val="0,06"/>
        <filter val="0,07"/>
        <filter val="0,08"/>
        <filter val="0,09"/>
        <filter val="0,10"/>
        <filter val="0,11"/>
        <filter val="0,12"/>
        <filter val="0,17"/>
        <filter val="0,28"/>
        <filter val="0,30"/>
        <filter val="0,33"/>
        <filter val="0,35"/>
        <filter val="0,37"/>
        <filter val="0,40"/>
        <filter val="0,45"/>
        <filter val="0,60"/>
        <filter val="1,00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2026-07-02T12:54:40Z</dcterms:created>
  <dcterms:modified xsi:type="dcterms:W3CDTF">2026-07-03T09:57:19Z</dcterms:modified>
</cp:coreProperties>
</file>