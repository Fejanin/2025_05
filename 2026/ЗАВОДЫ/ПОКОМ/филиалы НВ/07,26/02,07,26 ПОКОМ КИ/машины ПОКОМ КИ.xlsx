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 ПОКОМ КИ\"/>
    </mc:Choice>
  </mc:AlternateContent>
  <xr:revisionPtr revIDLastSave="0" documentId="13_ncr:1_{19303556-AA64-42E6-912D-1F71E72ABC1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5" i="1" l="1"/>
  <c r="T24" i="1"/>
  <c r="T23" i="1"/>
  <c r="T22" i="1"/>
  <c r="T21" i="1"/>
  <c r="P20" i="1"/>
  <c r="P26" i="1" s="1"/>
  <c r="O20" i="1"/>
  <c r="O26" i="1" s="1"/>
  <c r="N20" i="1"/>
  <c r="N26" i="1" s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3" i="1"/>
  <c r="C20" i="1" l="1"/>
  <c r="D20" i="1"/>
  <c r="E20" i="1" l="1"/>
  <c r="E26" i="1" s="1"/>
  <c r="S20" i="1" l="1"/>
  <c r="S26" i="1" s="1"/>
  <c r="R20" i="1"/>
  <c r="R26" i="1" s="1"/>
  <c r="Q20" i="1"/>
  <c r="Q26" i="1" s="1"/>
  <c r="F20" i="1" l="1"/>
  <c r="F26" i="1" s="1"/>
  <c r="G20" i="1"/>
  <c r="G26" i="1" s="1"/>
  <c r="H20" i="1"/>
  <c r="H26" i="1" s="1"/>
  <c r="I20" i="1"/>
  <c r="I26" i="1" s="1"/>
  <c r="J20" i="1"/>
  <c r="J26" i="1" s="1"/>
  <c r="K20" i="1"/>
  <c r="K26" i="1" s="1"/>
  <c r="L20" i="1"/>
  <c r="L26" i="1" s="1"/>
  <c r="M20" i="1"/>
  <c r="M26" i="1" s="1"/>
  <c r="B20" i="1" l="1"/>
  <c r="T20" i="1" l="1"/>
</calcChain>
</file>

<file path=xl/sharedStrings.xml><?xml version="1.0" encoding="utf-8"?>
<sst xmlns="http://schemas.openxmlformats.org/spreadsheetml/2006/main" count="49" uniqueCount="32">
  <si>
    <t>Бердянск</t>
  </si>
  <si>
    <t>Донецк</t>
  </si>
  <si>
    <t>Луганск</t>
  </si>
  <si>
    <t>Мелитополь</t>
  </si>
  <si>
    <t>Поляков</t>
  </si>
  <si>
    <t>ПОЛУЧАТЕЛЬ</t>
  </si>
  <si>
    <t>Остаток</t>
  </si>
  <si>
    <t>ИТОГОВЫЕ ДАННЫЕ</t>
  </si>
  <si>
    <t>Патяка</t>
  </si>
  <si>
    <t>Бутырин</t>
  </si>
  <si>
    <t>нетто</t>
  </si>
  <si>
    <t>брутто</t>
  </si>
  <si>
    <t>паллеты</t>
  </si>
  <si>
    <t>ПРС</t>
  </si>
  <si>
    <t>Бейдерман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</si>
  <si>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</si>
  <si>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</si>
  <si>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</si>
  <si>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</si>
  <si>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</si>
  <si>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</si>
  <si>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</si>
  <si>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Павленко (Мелитополь)</t>
  </si>
  <si>
    <t>Коныгин</t>
  </si>
  <si>
    <t>Обрыньба</t>
  </si>
  <si>
    <t>Логистон (ПРС)</t>
  </si>
  <si>
    <t>СЫРЫ</t>
  </si>
  <si>
    <t>1 машина на 06,07</t>
  </si>
  <si>
    <t>2 машина на 06,07</t>
  </si>
  <si>
    <t>3 машина на 06,07</t>
  </si>
  <si>
    <t>1 машина на 07,07</t>
  </si>
  <si>
    <t>2 машина на 07,07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</si>
</sst>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18" xfId="0" applyFill="1" applyBorder="1"/>
    <xf numFmtId="0" fontId="0" fillId="3" borderId="6" xfId="0" applyFill="1" applyBorder="1"/>
    <xf numFmtId="0" fontId="0" fillId="0" borderId="0" xfId="0" applyFill="1" applyBorder="1"/>
    <xf numFmtId="0" fontId="0" fillId="0" borderId="0" xfId="0" applyBorder="1"/>
    <xf numFmtId="0" fontId="0" fillId="4" borderId="11" xfId="0" applyFill="1" applyBorder="1"/>
    <xf numFmtId="0" fontId="0" fillId="4" borderId="6" xfId="0" applyFill="1" applyBorder="1"/>
    <xf numFmtId="0" fontId="0" fillId="4" borderId="0" xfId="0" applyFill="1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1" fillId="0" borderId="30" xfId="0" applyFont="1" applyBorder="1"/>
    <xf numFmtId="0" fontId="1" fillId="0" borderId="29" xfId="0" applyFont="1" applyBorder="1"/>
    <xf numFmtId="0" fontId="0" fillId="2" borderId="6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6"/>
  <sheetViews>
    <sheetView tabSelected="1" zoomScale="115" zoomScaleNormal="115" workbookViewId="0">
      <selection activeCell="W32" sqref="W32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4" width="7.42578125" customWidth="1"/>
    <col min="15" max="15" width="7.140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44" t="s">
        <v>5</v>
      </c>
      <c r="B1" s="46" t="s">
        <v>19</v>
      </c>
      <c r="C1" s="46" t="s">
        <v>20</v>
      </c>
      <c r="D1" s="46" t="s">
        <v>21</v>
      </c>
      <c r="E1" s="44" t="s">
        <v>27</v>
      </c>
      <c r="F1" s="48"/>
      <c r="G1" s="49"/>
      <c r="H1" s="44" t="s">
        <v>28</v>
      </c>
      <c r="I1" s="48"/>
      <c r="J1" s="49"/>
      <c r="K1" s="44" t="s">
        <v>29</v>
      </c>
      <c r="L1" s="48"/>
      <c r="M1" s="49"/>
      <c r="N1" s="44" t="s">
        <v>30</v>
      </c>
      <c r="O1" s="48"/>
      <c r="P1" s="49"/>
      <c r="Q1" s="44" t="s">
        <v>31</v>
      </c>
      <c r="R1" s="48"/>
      <c r="S1" s="49"/>
      <c r="T1" s="42" t="s">
        <v>6</v>
      </c>
    </row>
    <row r="2" spans="1:20" ht="30.75" thickBot="1" x14ac:dyDescent="0.3">
      <c r="A2" s="45"/>
      <c r="B2" s="47"/>
      <c r="C2" s="47"/>
      <c r="D2" s="47"/>
      <c r="E2" s="17" t="s">
        <v>10</v>
      </c>
      <c r="F2" s="18" t="s">
        <v>11</v>
      </c>
      <c r="G2" s="19" t="s">
        <v>12</v>
      </c>
      <c r="H2" s="17" t="s">
        <v>10</v>
      </c>
      <c r="I2" s="18" t="s">
        <v>11</v>
      </c>
      <c r="J2" s="19" t="s">
        <v>12</v>
      </c>
      <c r="K2" s="17" t="s">
        <v>10</v>
      </c>
      <c r="L2" s="18" t="s">
        <v>11</v>
      </c>
      <c r="M2" s="19" t="s">
        <v>12</v>
      </c>
      <c r="N2" s="17" t="s">
        <v>10</v>
      </c>
      <c r="O2" s="18" t="s">
        <v>11</v>
      </c>
      <c r="P2" s="19" t="s">
        <v>12</v>
      </c>
      <c r="Q2" s="17" t="s">
        <v>10</v>
      </c>
      <c r="R2" s="18" t="s">
        <v>11</v>
      </c>
      <c r="S2" s="19" t="s">
        <v>12</v>
      </c>
      <c r="T2" s="43"/>
    </row>
    <row r="3" spans="1:20" x14ac:dyDescent="0.25">
      <c r="A3" s="33" t="s">
        <v>0</v>
      </c>
      <c r="B3" s="20">
        <v>3278</v>
      </c>
      <c r="C3" s="21">
        <v>3768</v>
      </c>
      <c r="D3" s="22">
        <v>6</v>
      </c>
      <c r="E3" s="20">
        <v>3278</v>
      </c>
      <c r="F3" s="21">
        <v>3768</v>
      </c>
      <c r="G3" s="22">
        <v>6</v>
      </c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8">
        <f>B3-E3-H3-K3-N3-Q3</f>
        <v>0</v>
      </c>
    </row>
    <row r="4" spans="1:20" x14ac:dyDescent="0.25">
      <c r="A4" s="41" t="s">
        <v>1</v>
      </c>
      <c r="B4" s="23">
        <v>32412</v>
      </c>
      <c r="C4" s="24"/>
      <c r="D4" s="25"/>
      <c r="E4" s="23"/>
      <c r="F4" s="24"/>
      <c r="G4" s="25"/>
      <c r="H4" s="4">
        <v>15027</v>
      </c>
      <c r="I4" s="2">
        <v>17150</v>
      </c>
      <c r="J4" s="5">
        <v>28</v>
      </c>
      <c r="K4" s="4"/>
      <c r="L4" s="2"/>
      <c r="M4" s="5"/>
      <c r="N4" s="4"/>
      <c r="O4" s="2"/>
      <c r="P4" s="5"/>
      <c r="Q4" s="4">
        <v>17385</v>
      </c>
      <c r="R4" s="2">
        <v>19237</v>
      </c>
      <c r="S4" s="5">
        <v>31</v>
      </c>
      <c r="T4" s="8">
        <f t="shared" ref="T4:T25" si="0">B4-E4-H4-K4-N4-Q4</f>
        <v>0</v>
      </c>
    </row>
    <row r="5" spans="1:20" x14ac:dyDescent="0.25">
      <c r="A5" s="30" t="s">
        <v>2</v>
      </c>
      <c r="B5" s="23">
        <v>23788</v>
      </c>
      <c r="C5" s="24"/>
      <c r="D5" s="25"/>
      <c r="E5" s="23"/>
      <c r="F5" s="24"/>
      <c r="G5" s="25"/>
      <c r="H5" s="4"/>
      <c r="I5" s="2"/>
      <c r="J5" s="5"/>
      <c r="K5" s="4">
        <v>14981</v>
      </c>
      <c r="L5" s="2">
        <v>16697</v>
      </c>
      <c r="M5" s="5">
        <v>27</v>
      </c>
      <c r="N5" s="4">
        <v>8807</v>
      </c>
      <c r="O5" s="2">
        <v>9774</v>
      </c>
      <c r="P5" s="5">
        <v>16</v>
      </c>
      <c r="Q5" s="4"/>
      <c r="R5" s="2"/>
      <c r="S5" s="5"/>
      <c r="T5" s="8">
        <f t="shared" si="0"/>
        <v>0</v>
      </c>
    </row>
    <row r="6" spans="1:20" x14ac:dyDescent="0.25">
      <c r="A6" s="34" t="s">
        <v>3</v>
      </c>
      <c r="B6" s="23">
        <v>9944</v>
      </c>
      <c r="C6" s="24"/>
      <c r="D6" s="25"/>
      <c r="E6" s="23">
        <v>9944</v>
      </c>
      <c r="F6" s="24">
        <v>11036</v>
      </c>
      <c r="G6" s="25">
        <v>17</v>
      </c>
      <c r="H6" s="4"/>
      <c r="I6" s="2"/>
      <c r="J6" s="5"/>
      <c r="K6" s="4"/>
      <c r="L6" s="2"/>
      <c r="M6" s="5"/>
      <c r="N6" s="4"/>
      <c r="O6" s="2"/>
      <c r="P6" s="5"/>
      <c r="Q6" s="4"/>
      <c r="R6" s="2"/>
      <c r="S6" s="5"/>
      <c r="T6" s="8">
        <f t="shared" si="0"/>
        <v>0</v>
      </c>
    </row>
    <row r="7" spans="1:20" x14ac:dyDescent="0.25">
      <c r="A7" s="4" t="s">
        <v>8</v>
      </c>
      <c r="B7" s="23"/>
      <c r="C7" s="24"/>
      <c r="D7" s="25"/>
      <c r="E7" s="23"/>
      <c r="F7" s="24"/>
      <c r="G7" s="25"/>
      <c r="H7" s="4"/>
      <c r="I7" s="2"/>
      <c r="J7" s="5"/>
      <c r="K7" s="4"/>
      <c r="L7" s="2"/>
      <c r="M7" s="5"/>
      <c r="N7" s="4"/>
      <c r="O7" s="2"/>
      <c r="P7" s="5"/>
      <c r="Q7" s="4"/>
      <c r="R7" s="2"/>
      <c r="S7" s="5"/>
      <c r="T7" s="8">
        <f t="shared" si="0"/>
        <v>0</v>
      </c>
    </row>
    <row r="8" spans="1:20" x14ac:dyDescent="0.25">
      <c r="A8" s="4" t="s">
        <v>14</v>
      </c>
      <c r="B8" s="23"/>
      <c r="C8" s="24"/>
      <c r="D8" s="25"/>
      <c r="E8" s="23"/>
      <c r="F8" s="24"/>
      <c r="G8" s="25"/>
      <c r="H8" s="4"/>
      <c r="I8" s="2"/>
      <c r="J8" s="5"/>
      <c r="K8" s="4"/>
      <c r="L8" s="2"/>
      <c r="M8" s="5"/>
      <c r="N8" s="4"/>
      <c r="O8" s="2"/>
      <c r="P8" s="5"/>
      <c r="Q8" s="4"/>
      <c r="R8" s="2"/>
      <c r="S8" s="5"/>
      <c r="T8" s="8">
        <f t="shared" si="0"/>
        <v>0</v>
      </c>
    </row>
    <row r="9" spans="1:20" x14ac:dyDescent="0.25">
      <c r="A9" s="4" t="s">
        <v>4</v>
      </c>
      <c r="B9" s="23"/>
      <c r="C9" s="24"/>
      <c r="D9" s="25"/>
      <c r="E9" s="23"/>
      <c r="F9" s="24"/>
      <c r="G9" s="25"/>
      <c r="H9" s="4"/>
      <c r="I9" s="2"/>
      <c r="J9" s="5"/>
      <c r="K9" s="4"/>
      <c r="L9" s="2"/>
      <c r="M9" s="5"/>
      <c r="N9" s="4"/>
      <c r="O9" s="2"/>
      <c r="P9" s="5"/>
      <c r="Q9" s="4"/>
      <c r="R9" s="2"/>
      <c r="S9" s="5"/>
      <c r="T9" s="8">
        <f t="shared" si="0"/>
        <v>0</v>
      </c>
    </row>
    <row r="10" spans="1:20" x14ac:dyDescent="0.25">
      <c r="A10" s="9" t="s">
        <v>22</v>
      </c>
      <c r="B10" s="26"/>
      <c r="C10" s="27"/>
      <c r="D10" s="28"/>
      <c r="E10" s="26"/>
      <c r="F10" s="27"/>
      <c r="G10" s="28"/>
      <c r="H10" s="9"/>
      <c r="I10" s="10"/>
      <c r="J10" s="11"/>
      <c r="K10" s="9"/>
      <c r="L10" s="10"/>
      <c r="M10" s="11"/>
      <c r="N10" s="9"/>
      <c r="O10" s="10"/>
      <c r="P10" s="11"/>
      <c r="Q10" s="9"/>
      <c r="R10" s="10"/>
      <c r="S10" s="11"/>
      <c r="T10" s="8">
        <f t="shared" si="0"/>
        <v>0</v>
      </c>
    </row>
    <row r="11" spans="1:20" x14ac:dyDescent="0.25">
      <c r="A11" s="9" t="s">
        <v>13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8">
        <f t="shared" si="0"/>
        <v>0</v>
      </c>
    </row>
    <row r="12" spans="1:20" x14ac:dyDescent="0.25">
      <c r="A12" s="9" t="s">
        <v>25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8">
        <f t="shared" si="0"/>
        <v>0</v>
      </c>
    </row>
    <row r="13" spans="1:20" x14ac:dyDescent="0.25">
      <c r="A13" s="9" t="s">
        <v>16</v>
      </c>
      <c r="B13" s="26"/>
      <c r="C13" s="27"/>
      <c r="D13" s="28"/>
      <c r="E13" s="26"/>
      <c r="F13" s="27"/>
      <c r="G13" s="28"/>
      <c r="H13" s="9"/>
      <c r="I13" s="10"/>
      <c r="J13" s="11"/>
      <c r="K13" s="9"/>
      <c r="L13" s="10"/>
      <c r="M13" s="11"/>
      <c r="N13" s="9"/>
      <c r="O13" s="10"/>
      <c r="P13" s="11"/>
      <c r="Q13" s="9"/>
      <c r="R13" s="10"/>
      <c r="S13" s="11"/>
      <c r="T13" s="8">
        <f t="shared" si="0"/>
        <v>0</v>
      </c>
    </row>
    <row r="14" spans="1:20" x14ac:dyDescent="0.25">
      <c r="A14" s="9" t="s">
        <v>17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8">
        <f t="shared" si="0"/>
        <v>0</v>
      </c>
    </row>
    <row r="15" spans="1:20" x14ac:dyDescent="0.25">
      <c r="A15" s="29" t="s">
        <v>18</v>
      </c>
      <c r="B15" s="23">
        <v>8452</v>
      </c>
      <c r="C15" s="24">
        <v>9191</v>
      </c>
      <c r="D15" s="25">
        <v>14</v>
      </c>
      <c r="E15" s="23"/>
      <c r="F15" s="24"/>
      <c r="G15" s="25"/>
      <c r="H15" s="4"/>
      <c r="I15" s="2"/>
      <c r="J15" s="5"/>
      <c r="K15" s="9"/>
      <c r="L15" s="10"/>
      <c r="M15" s="11"/>
      <c r="N15" s="9">
        <v>8452</v>
      </c>
      <c r="O15" s="10">
        <v>9191</v>
      </c>
      <c r="P15" s="11">
        <v>14</v>
      </c>
      <c r="Q15" s="9"/>
      <c r="R15" s="10"/>
      <c r="S15" s="11"/>
      <c r="T15" s="8">
        <f t="shared" si="0"/>
        <v>0</v>
      </c>
    </row>
    <row r="16" spans="1:20" x14ac:dyDescent="0.25">
      <c r="A16" s="9" t="s">
        <v>9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9"/>
      <c r="R16" s="10"/>
      <c r="S16" s="11"/>
      <c r="T16" s="8">
        <f t="shared" si="0"/>
        <v>0</v>
      </c>
    </row>
    <row r="17" spans="1:20" x14ac:dyDescent="0.25">
      <c r="A17" s="9" t="s">
        <v>15</v>
      </c>
      <c r="B17" s="26"/>
      <c r="C17" s="27"/>
      <c r="D17" s="28"/>
      <c r="E17" s="26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8">
        <f t="shared" si="0"/>
        <v>0</v>
      </c>
    </row>
    <row r="18" spans="1:20" x14ac:dyDescent="0.25">
      <c r="A18" s="9" t="s">
        <v>24</v>
      </c>
      <c r="B18" s="26"/>
      <c r="C18" s="27"/>
      <c r="D18" s="28"/>
      <c r="E18" s="26"/>
      <c r="F18" s="27"/>
      <c r="G18" s="28"/>
      <c r="H18" s="9"/>
      <c r="I18" s="10"/>
      <c r="J18" s="11"/>
      <c r="K18" s="9"/>
      <c r="L18" s="10"/>
      <c r="M18" s="11"/>
      <c r="N18" s="9"/>
      <c r="O18" s="10"/>
      <c r="P18" s="11"/>
      <c r="Q18" s="9"/>
      <c r="R18" s="10"/>
      <c r="S18" s="11"/>
      <c r="T18" s="8">
        <f t="shared" si="0"/>
        <v>0</v>
      </c>
    </row>
    <row r="19" spans="1:20" ht="15.75" thickBot="1" x14ac:dyDescent="0.3">
      <c r="A19" s="9" t="s">
        <v>23</v>
      </c>
      <c r="B19" s="23"/>
      <c r="C19" s="27"/>
      <c r="D19" s="28"/>
      <c r="E19" s="23"/>
      <c r="F19" s="27"/>
      <c r="G19" s="28"/>
      <c r="H19" s="9"/>
      <c r="I19" s="10"/>
      <c r="J19" s="11"/>
      <c r="K19" s="9"/>
      <c r="L19" s="10"/>
      <c r="M19" s="11"/>
      <c r="N19" s="9"/>
      <c r="O19" s="10"/>
      <c r="P19" s="11"/>
      <c r="Q19" s="9"/>
      <c r="R19" s="10"/>
      <c r="S19" s="11"/>
      <c r="T19" s="8">
        <f t="shared" si="0"/>
        <v>0</v>
      </c>
    </row>
    <row r="20" spans="1:20" s="1" customFormat="1" ht="15.75" thickBot="1" x14ac:dyDescent="0.3">
      <c r="A20" s="40" t="s">
        <v>7</v>
      </c>
      <c r="B20" s="39">
        <f t="shared" ref="B20:P20" si="1">SUM(B3:B19)</f>
        <v>77874</v>
      </c>
      <c r="C20" s="13">
        <f t="shared" si="1"/>
        <v>12959</v>
      </c>
      <c r="D20" s="13">
        <f t="shared" si="1"/>
        <v>20</v>
      </c>
      <c r="E20" s="12">
        <f t="shared" si="1"/>
        <v>13222</v>
      </c>
      <c r="F20" s="14">
        <f t="shared" si="1"/>
        <v>14804</v>
      </c>
      <c r="G20" s="15">
        <f t="shared" si="1"/>
        <v>23</v>
      </c>
      <c r="H20" s="12">
        <f t="shared" si="1"/>
        <v>15027</v>
      </c>
      <c r="I20" s="14">
        <f t="shared" si="1"/>
        <v>17150</v>
      </c>
      <c r="J20" s="15">
        <f t="shared" si="1"/>
        <v>28</v>
      </c>
      <c r="K20" s="12">
        <f t="shared" si="1"/>
        <v>14981</v>
      </c>
      <c r="L20" s="14">
        <f t="shared" si="1"/>
        <v>16697</v>
      </c>
      <c r="M20" s="15">
        <f t="shared" si="1"/>
        <v>27</v>
      </c>
      <c r="N20" s="12">
        <f t="shared" si="1"/>
        <v>17259</v>
      </c>
      <c r="O20" s="14">
        <f t="shared" si="1"/>
        <v>18965</v>
      </c>
      <c r="P20" s="15">
        <f t="shared" si="1"/>
        <v>30</v>
      </c>
      <c r="Q20" s="12">
        <f t="shared" ref="Q20:S20" si="2">SUM(Q3:Q19)</f>
        <v>17385</v>
      </c>
      <c r="R20" s="14">
        <f t="shared" si="2"/>
        <v>19237</v>
      </c>
      <c r="S20" s="15">
        <f t="shared" si="2"/>
        <v>31</v>
      </c>
      <c r="T20" s="16">
        <f>SUM(T3:T19)</f>
        <v>0</v>
      </c>
    </row>
    <row r="21" spans="1:20" x14ac:dyDescent="0.25">
      <c r="A21" t="s">
        <v>26</v>
      </c>
      <c r="G21">
        <v>26</v>
      </c>
      <c r="J21">
        <v>30</v>
      </c>
      <c r="M21">
        <v>30</v>
      </c>
      <c r="T21" s="36">
        <f t="shared" si="0"/>
        <v>0</v>
      </c>
    </row>
    <row r="22" spans="1:20" x14ac:dyDescent="0.25">
      <c r="A22" s="35" t="s">
        <v>0</v>
      </c>
      <c r="B22" s="32">
        <v>1450</v>
      </c>
      <c r="D22">
        <v>3</v>
      </c>
      <c r="E22">
        <v>1450</v>
      </c>
      <c r="G22">
        <v>3</v>
      </c>
      <c r="T22" s="37">
        <f t="shared" si="0"/>
        <v>0</v>
      </c>
    </row>
    <row r="23" spans="1:20" x14ac:dyDescent="0.25">
      <c r="A23" s="31" t="s">
        <v>1</v>
      </c>
      <c r="B23" s="32">
        <v>600</v>
      </c>
      <c r="D23">
        <v>2</v>
      </c>
      <c r="H23">
        <v>600</v>
      </c>
      <c r="J23">
        <v>2</v>
      </c>
      <c r="T23" s="37">
        <f t="shared" si="0"/>
        <v>0</v>
      </c>
    </row>
    <row r="24" spans="1:20" x14ac:dyDescent="0.25">
      <c r="A24" s="31" t="s">
        <v>2</v>
      </c>
      <c r="B24" s="32">
        <v>600</v>
      </c>
      <c r="D24">
        <v>2</v>
      </c>
      <c r="K24">
        <v>600</v>
      </c>
      <c r="M24">
        <v>2</v>
      </c>
      <c r="T24" s="37">
        <f t="shared" si="0"/>
        <v>0</v>
      </c>
    </row>
    <row r="25" spans="1:20" ht="15.75" thickBot="1" x14ac:dyDescent="0.3">
      <c r="A25" s="35" t="s">
        <v>3</v>
      </c>
      <c r="B25" s="32">
        <v>1100</v>
      </c>
      <c r="D25">
        <v>3</v>
      </c>
      <c r="E25">
        <v>1100</v>
      </c>
      <c r="G25">
        <v>3</v>
      </c>
      <c r="T25" s="38">
        <f t="shared" si="0"/>
        <v>0</v>
      </c>
    </row>
    <row r="26" spans="1:20" ht="15.75" thickBot="1" x14ac:dyDescent="0.3">
      <c r="A26" s="12" t="s">
        <v>7</v>
      </c>
      <c r="B26" s="13"/>
      <c r="C26" s="13"/>
      <c r="D26" s="13"/>
      <c r="E26" s="12">
        <f t="shared" ref="E26:S26" si="3">SUM(E20:E25)</f>
        <v>15772</v>
      </c>
      <c r="F26" s="14">
        <f t="shared" si="3"/>
        <v>14804</v>
      </c>
      <c r="G26" s="15">
        <f t="shared" si="3"/>
        <v>55</v>
      </c>
      <c r="H26" s="12">
        <f t="shared" si="3"/>
        <v>15627</v>
      </c>
      <c r="I26" s="14">
        <f t="shared" si="3"/>
        <v>17150</v>
      </c>
      <c r="J26" s="15">
        <f t="shared" si="3"/>
        <v>60</v>
      </c>
      <c r="K26" s="12">
        <f t="shared" si="3"/>
        <v>15581</v>
      </c>
      <c r="L26" s="14">
        <f t="shared" si="3"/>
        <v>16697</v>
      </c>
      <c r="M26" s="15">
        <f t="shared" si="3"/>
        <v>59</v>
      </c>
      <c r="N26" s="12">
        <f t="shared" si="3"/>
        <v>17259</v>
      </c>
      <c r="O26" s="14">
        <f t="shared" si="3"/>
        <v>18965</v>
      </c>
      <c r="P26" s="15">
        <f t="shared" si="3"/>
        <v>30</v>
      </c>
      <c r="Q26" s="12">
        <f t="shared" si="3"/>
        <v>17385</v>
      </c>
      <c r="R26" s="14">
        <f t="shared" si="3"/>
        <v>19237</v>
      </c>
      <c r="S26" s="15">
        <f t="shared" si="3"/>
        <v>31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2026-07-03T11:21:05Z</dcterms:modified>
</cp:coreProperties>
</file>