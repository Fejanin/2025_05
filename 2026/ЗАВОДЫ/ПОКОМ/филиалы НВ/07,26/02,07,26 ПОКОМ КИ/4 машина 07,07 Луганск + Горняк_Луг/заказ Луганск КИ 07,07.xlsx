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A47825B-201C-4092-9E80-AAB2A1A949E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X518" i="1"/>
  <c r="Y517" i="1"/>
  <c r="X517" i="1"/>
  <c r="BP516" i="1"/>
  <c r="BO516" i="1"/>
  <c r="BN516" i="1"/>
  <c r="BM516" i="1"/>
  <c r="Z516" i="1"/>
  <c r="Z517" i="1" s="1"/>
  <c r="Y516" i="1"/>
  <c r="Y518" i="1" s="1"/>
  <c r="P516" i="1"/>
  <c r="X514" i="1"/>
  <c r="Y513" i="1"/>
  <c r="X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X426" i="1"/>
  <c r="Y425" i="1"/>
  <c r="X425" i="1"/>
  <c r="BP424" i="1"/>
  <c r="BO424" i="1"/>
  <c r="BN424" i="1"/>
  <c r="BM424" i="1"/>
  <c r="Z424" i="1"/>
  <c r="Z425" i="1" s="1"/>
  <c r="Y424" i="1"/>
  <c r="Y426" i="1" s="1"/>
  <c r="P424" i="1"/>
  <c r="X422" i="1"/>
  <c r="Y421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BP402" i="1"/>
  <c r="BO402" i="1"/>
  <c r="BN402" i="1"/>
  <c r="BM402" i="1"/>
  <c r="Z402" i="1"/>
  <c r="Y402" i="1"/>
  <c r="P402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Y384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BP374" i="1"/>
  <c r="BO374" i="1"/>
  <c r="BN374" i="1"/>
  <c r="BM374" i="1"/>
  <c r="Z374" i="1"/>
  <c r="Y374" i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Y298" i="1"/>
  <c r="X298" i="1"/>
  <c r="BP297" i="1"/>
  <c r="BO297" i="1"/>
  <c r="BN297" i="1"/>
  <c r="BM297" i="1"/>
  <c r="Z297" i="1"/>
  <c r="Z298" i="1" s="1"/>
  <c r="Y297" i="1"/>
  <c r="Y299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5" i="1" s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X279" i="1"/>
  <c r="X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P266" i="1"/>
  <c r="BO266" i="1"/>
  <c r="BN266" i="1"/>
  <c r="BM266" i="1"/>
  <c r="Z266" i="1"/>
  <c r="Y266" i="1"/>
  <c r="Y278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P250" i="1"/>
  <c r="BO250" i="1"/>
  <c r="BN250" i="1"/>
  <c r="BM250" i="1"/>
  <c r="Z250" i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X242" i="1"/>
  <c r="X241" i="1"/>
  <c r="BO240" i="1"/>
  <c r="BM240" i="1"/>
  <c r="Y240" i="1"/>
  <c r="Y241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Y237" i="1" s="1"/>
  <c r="P234" i="1"/>
  <c r="X232" i="1"/>
  <c r="X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BO227" i="1"/>
  <c r="BM227" i="1"/>
  <c r="Y227" i="1"/>
  <c r="Y231" i="1" s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Y225" i="1" s="1"/>
  <c r="P210" i="1"/>
  <c r="X208" i="1"/>
  <c r="X207" i="1"/>
  <c r="BO206" i="1"/>
  <c r="BM206" i="1"/>
  <c r="Y206" i="1"/>
  <c r="L539" i="1" s="1"/>
  <c r="P206" i="1"/>
  <c r="X203" i="1"/>
  <c r="X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90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4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78" i="1" s="1"/>
  <c r="P167" i="1"/>
  <c r="X165" i="1"/>
  <c r="X164" i="1"/>
  <c r="BO163" i="1"/>
  <c r="BM163" i="1"/>
  <c r="Y163" i="1"/>
  <c r="Y164" i="1" s="1"/>
  <c r="P163" i="1"/>
  <c r="X161" i="1"/>
  <c r="X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I539" i="1" s="1"/>
  <c r="P150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9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G539" i="1" s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Y98" i="1" s="1"/>
  <c r="P94" i="1"/>
  <c r="X92" i="1"/>
  <c r="X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F539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Y83" i="1" s="1"/>
  <c r="P81" i="1"/>
  <c r="X79" i="1"/>
  <c r="X78" i="1"/>
  <c r="BP77" i="1"/>
  <c r="BO77" i="1"/>
  <c r="BN77" i="1"/>
  <c r="BM77" i="1"/>
  <c r="Z77" i="1"/>
  <c r="Y77" i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Y73" i="1" s="1"/>
  <c r="P69" i="1"/>
  <c r="X67" i="1"/>
  <c r="X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39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X38" i="1"/>
  <c r="Y37" i="1"/>
  <c r="X37" i="1"/>
  <c r="BP36" i="1"/>
  <c r="BO36" i="1"/>
  <c r="BN36" i="1"/>
  <c r="BM36" i="1"/>
  <c r="Z36" i="1"/>
  <c r="Z37" i="1" s="1"/>
  <c r="Y36" i="1"/>
  <c r="Y38" i="1" s="1"/>
  <c r="P36" i="1"/>
  <c r="X34" i="1"/>
  <c r="X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4" i="1" s="1"/>
  <c r="P27" i="1"/>
  <c r="X25" i="1"/>
  <c r="X24" i="1"/>
  <c r="X533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47" i="1"/>
  <c r="Y55" i="1"/>
  <c r="Y66" i="1"/>
  <c r="Y74" i="1"/>
  <c r="Y78" i="1"/>
  <c r="Y84" i="1"/>
  <c r="Y91" i="1"/>
  <c r="Y99" i="1"/>
  <c r="Y110" i="1"/>
  <c r="Y120" i="1"/>
  <c r="Y126" i="1"/>
  <c r="Y137" i="1"/>
  <c r="Y141" i="1"/>
  <c r="Y147" i="1"/>
  <c r="Y154" i="1"/>
  <c r="Y161" i="1"/>
  <c r="Y165" i="1"/>
  <c r="Y179" i="1"/>
  <c r="Y185" i="1"/>
  <c r="Y189" i="1"/>
  <c r="Y203" i="1"/>
  <c r="Y208" i="1"/>
  <c r="Y224" i="1"/>
  <c r="Y232" i="1"/>
  <c r="Y238" i="1"/>
  <c r="Y242" i="1"/>
  <c r="M539" i="1"/>
  <c r="Y248" i="1"/>
  <c r="BP245" i="1"/>
  <c r="BP257" i="1"/>
  <c r="BN257" i="1"/>
  <c r="Z257" i="1"/>
  <c r="BP261" i="1"/>
  <c r="BN261" i="1"/>
  <c r="Z261" i="1"/>
  <c r="BP269" i="1"/>
  <c r="BN269" i="1"/>
  <c r="Z269" i="1"/>
  <c r="BP273" i="1"/>
  <c r="BN273" i="1"/>
  <c r="Z273" i="1"/>
  <c r="BP277" i="1"/>
  <c r="BN277" i="1"/>
  <c r="Z277" i="1"/>
  <c r="Y279" i="1"/>
  <c r="Y284" i="1"/>
  <c r="BP281" i="1"/>
  <c r="BN281" i="1"/>
  <c r="Z281" i="1"/>
  <c r="Z283" i="1" s="1"/>
  <c r="BP290" i="1"/>
  <c r="BN290" i="1"/>
  <c r="Z290" i="1"/>
  <c r="Y294" i="1"/>
  <c r="BP306" i="1"/>
  <c r="BN306" i="1"/>
  <c r="Z306" i="1"/>
  <c r="Z308" i="1" s="1"/>
  <c r="BP315" i="1"/>
  <c r="BN315" i="1"/>
  <c r="Z315" i="1"/>
  <c r="BP329" i="1"/>
  <c r="BN329" i="1"/>
  <c r="Z329" i="1"/>
  <c r="Y333" i="1"/>
  <c r="BP337" i="1"/>
  <c r="BN337" i="1"/>
  <c r="Z337" i="1"/>
  <c r="Z338" i="1" s="1"/>
  <c r="Y339" i="1"/>
  <c r="S539" i="1"/>
  <c r="Y345" i="1"/>
  <c r="BP342" i="1"/>
  <c r="BN342" i="1"/>
  <c r="Z342" i="1"/>
  <c r="BP351" i="1"/>
  <c r="BN351" i="1"/>
  <c r="Z351" i="1"/>
  <c r="BP359" i="1"/>
  <c r="BN359" i="1"/>
  <c r="Z359" i="1"/>
  <c r="BP363" i="1"/>
  <c r="BN363" i="1"/>
  <c r="Z363" i="1"/>
  <c r="Y365" i="1"/>
  <c r="Y372" i="1"/>
  <c r="BP367" i="1"/>
  <c r="BN367" i="1"/>
  <c r="Z367" i="1"/>
  <c r="Y371" i="1"/>
  <c r="BP375" i="1"/>
  <c r="BN375" i="1"/>
  <c r="Z375" i="1"/>
  <c r="Z377" i="1" s="1"/>
  <c r="BP383" i="1"/>
  <c r="BN383" i="1"/>
  <c r="Z383" i="1"/>
  <c r="Y385" i="1"/>
  <c r="Y390" i="1"/>
  <c r="BP387" i="1"/>
  <c r="BN387" i="1"/>
  <c r="Z387" i="1"/>
  <c r="BP396" i="1"/>
  <c r="BN396" i="1"/>
  <c r="Z396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Y417" i="1"/>
  <c r="H9" i="1"/>
  <c r="B539" i="1"/>
  <c r="X530" i="1"/>
  <c r="X532" i="1" s="1"/>
  <c r="X531" i="1"/>
  <c r="Z23" i="1"/>
  <c r="Z24" i="1" s="1"/>
  <c r="BN23" i="1"/>
  <c r="Y530" i="1" s="1"/>
  <c r="Y24" i="1"/>
  <c r="X529" i="1"/>
  <c r="Z27" i="1"/>
  <c r="Z33" i="1" s="1"/>
  <c r="BN27" i="1"/>
  <c r="BP27" i="1"/>
  <c r="Y531" i="1" s="1"/>
  <c r="Z29" i="1"/>
  <c r="BN29" i="1"/>
  <c r="Z31" i="1"/>
  <c r="BN31" i="1"/>
  <c r="C539" i="1"/>
  <c r="Z43" i="1"/>
  <c r="Z46" i="1" s="1"/>
  <c r="BN43" i="1"/>
  <c r="Z45" i="1"/>
  <c r="BN45" i="1"/>
  <c r="Y46" i="1"/>
  <c r="Z51" i="1"/>
  <c r="BN51" i="1"/>
  <c r="BP51" i="1"/>
  <c r="Z53" i="1"/>
  <c r="BN53" i="1"/>
  <c r="Y56" i="1"/>
  <c r="E539" i="1"/>
  <c r="Z60" i="1"/>
  <c r="Z66" i="1" s="1"/>
  <c r="BN60" i="1"/>
  <c r="Z62" i="1"/>
  <c r="BN62" i="1"/>
  <c r="Z64" i="1"/>
  <c r="BN64" i="1"/>
  <c r="Y67" i="1"/>
  <c r="Z70" i="1"/>
  <c r="Z73" i="1" s="1"/>
  <c r="BN70" i="1"/>
  <c r="Z72" i="1"/>
  <c r="BN72" i="1"/>
  <c r="Z76" i="1"/>
  <c r="Z78" i="1" s="1"/>
  <c r="BN76" i="1"/>
  <c r="BP76" i="1"/>
  <c r="Z82" i="1"/>
  <c r="Z83" i="1" s="1"/>
  <c r="BN82" i="1"/>
  <c r="Z87" i="1"/>
  <c r="Z91" i="1" s="1"/>
  <c r="BN87" i="1"/>
  <c r="BP87" i="1"/>
  <c r="Z89" i="1"/>
  <c r="BN89" i="1"/>
  <c r="Y92" i="1"/>
  <c r="Z95" i="1"/>
  <c r="Z98" i="1" s="1"/>
  <c r="BN95" i="1"/>
  <c r="Z97" i="1"/>
  <c r="BN97" i="1"/>
  <c r="Z102" i="1"/>
  <c r="Z109" i="1" s="1"/>
  <c r="BN102" i="1"/>
  <c r="BP102" i="1"/>
  <c r="Z104" i="1"/>
  <c r="BN104" i="1"/>
  <c r="Z106" i="1"/>
  <c r="BN106" i="1"/>
  <c r="Z108" i="1"/>
  <c r="BN108" i="1"/>
  <c r="Y109" i="1"/>
  <c r="Z112" i="1"/>
  <c r="Z119" i="1" s="1"/>
  <c r="BN112" i="1"/>
  <c r="BP112" i="1"/>
  <c r="Z114" i="1"/>
  <c r="BN114" i="1"/>
  <c r="Z116" i="1"/>
  <c r="BN116" i="1"/>
  <c r="Z118" i="1"/>
  <c r="BN118" i="1"/>
  <c r="Z122" i="1"/>
  <c r="BN122" i="1"/>
  <c r="BP122" i="1"/>
  <c r="Z124" i="1"/>
  <c r="BN124" i="1"/>
  <c r="H539" i="1"/>
  <c r="Z135" i="1"/>
  <c r="Z136" i="1" s="1"/>
  <c r="BN135" i="1"/>
  <c r="Y136" i="1"/>
  <c r="Z139" i="1"/>
  <c r="Z141" i="1" s="1"/>
  <c r="BN139" i="1"/>
  <c r="BP139" i="1"/>
  <c r="Z145" i="1"/>
  <c r="Z146" i="1" s="1"/>
  <c r="BN145" i="1"/>
  <c r="Z150" i="1"/>
  <c r="BN150" i="1"/>
  <c r="BP150" i="1"/>
  <c r="Z152" i="1"/>
  <c r="BN152" i="1"/>
  <c r="Y155" i="1"/>
  <c r="J539" i="1"/>
  <c r="Z159" i="1"/>
  <c r="Z160" i="1" s="1"/>
  <c r="BN159" i="1"/>
  <c r="Y160" i="1"/>
  <c r="Z163" i="1"/>
  <c r="Z164" i="1" s="1"/>
  <c r="BN163" i="1"/>
  <c r="BP163" i="1"/>
  <c r="Z167" i="1"/>
  <c r="Z178" i="1" s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Z187" i="1"/>
  <c r="Z189" i="1" s="1"/>
  <c r="BN187" i="1"/>
  <c r="BP187" i="1"/>
  <c r="K539" i="1"/>
  <c r="Z199" i="1"/>
  <c r="Z202" i="1" s="1"/>
  <c r="BN199" i="1"/>
  <c r="Z201" i="1"/>
  <c r="BN201" i="1"/>
  <c r="Y202" i="1"/>
  <c r="Z206" i="1"/>
  <c r="Z207" i="1" s="1"/>
  <c r="BN206" i="1"/>
  <c r="BP206" i="1"/>
  <c r="Y207" i="1"/>
  <c r="Z210" i="1"/>
  <c r="BN210" i="1"/>
  <c r="BP210" i="1"/>
  <c r="Z212" i="1"/>
  <c r="BN212" i="1"/>
  <c r="Z214" i="1"/>
  <c r="BN214" i="1"/>
  <c r="Z216" i="1"/>
  <c r="BN216" i="1"/>
  <c r="Z218" i="1"/>
  <c r="BN218" i="1"/>
  <c r="Z220" i="1"/>
  <c r="BN220" i="1"/>
  <c r="Z222" i="1"/>
  <c r="BN222" i="1"/>
  <c r="Z227" i="1"/>
  <c r="Z231" i="1" s="1"/>
  <c r="BN227" i="1"/>
  <c r="BP227" i="1"/>
  <c r="Z228" i="1"/>
  <c r="BN228" i="1"/>
  <c r="Z230" i="1"/>
  <c r="BN230" i="1"/>
  <c r="Z234" i="1"/>
  <c r="BN234" i="1"/>
  <c r="BP234" i="1"/>
  <c r="Z236" i="1"/>
  <c r="BN236" i="1"/>
  <c r="Z240" i="1"/>
  <c r="Z241" i="1" s="1"/>
  <c r="BN240" i="1"/>
  <c r="BP240" i="1"/>
  <c r="Z245" i="1"/>
  <c r="Z247" i="1" s="1"/>
  <c r="BN245" i="1"/>
  <c r="Y247" i="1"/>
  <c r="BP251" i="1"/>
  <c r="BN251" i="1"/>
  <c r="Z251" i="1"/>
  <c r="Z252" i="1" s="1"/>
  <c r="Y253" i="1"/>
  <c r="Y264" i="1"/>
  <c r="BP255" i="1"/>
  <c r="BN255" i="1"/>
  <c r="Z255" i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Y283" i="1"/>
  <c r="BP288" i="1"/>
  <c r="BN288" i="1"/>
  <c r="Z288" i="1"/>
  <c r="BP292" i="1"/>
  <c r="BN292" i="1"/>
  <c r="Z292" i="1"/>
  <c r="Z294" i="1" s="1"/>
  <c r="Y309" i="1"/>
  <c r="Y308" i="1"/>
  <c r="BP313" i="1"/>
  <c r="BN313" i="1"/>
  <c r="Z313" i="1"/>
  <c r="Z317" i="1" s="1"/>
  <c r="Y317" i="1"/>
  <c r="Z324" i="1"/>
  <c r="BP322" i="1"/>
  <c r="BN322" i="1"/>
  <c r="Z322" i="1"/>
  <c r="BP331" i="1"/>
  <c r="BN331" i="1"/>
  <c r="Z331" i="1"/>
  <c r="Z333" i="1" s="1"/>
  <c r="Y338" i="1"/>
  <c r="BP344" i="1"/>
  <c r="BN344" i="1"/>
  <c r="Z344" i="1"/>
  <c r="Y346" i="1"/>
  <c r="T539" i="1"/>
  <c r="Y354" i="1"/>
  <c r="BP349" i="1"/>
  <c r="BN349" i="1"/>
  <c r="Z349" i="1"/>
  <c r="Z354" i="1" s="1"/>
  <c r="BP353" i="1"/>
  <c r="BN353" i="1"/>
  <c r="Z353" i="1"/>
  <c r="Y355" i="1"/>
  <c r="Y364" i="1"/>
  <c r="BP357" i="1"/>
  <c r="BN357" i="1"/>
  <c r="Z357" i="1"/>
  <c r="Z364" i="1" s="1"/>
  <c r="BP361" i="1"/>
  <c r="BN361" i="1"/>
  <c r="Z361" i="1"/>
  <c r="BP369" i="1"/>
  <c r="BN369" i="1"/>
  <c r="Z369" i="1"/>
  <c r="Y378" i="1"/>
  <c r="Y377" i="1"/>
  <c r="BP381" i="1"/>
  <c r="BN381" i="1"/>
  <c r="Z381" i="1"/>
  <c r="Z384" i="1" s="1"/>
  <c r="BP389" i="1"/>
  <c r="BN389" i="1"/>
  <c r="Z389" i="1"/>
  <c r="Y391" i="1"/>
  <c r="U539" i="1"/>
  <c r="Y397" i="1"/>
  <c r="BP394" i="1"/>
  <c r="BN394" i="1"/>
  <c r="Z394" i="1"/>
  <c r="Z397" i="1" s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Z522" i="1" s="1"/>
  <c r="Y523" i="1"/>
  <c r="AB539" i="1"/>
  <c r="Y527" i="1"/>
  <c r="BP526" i="1"/>
  <c r="BN526" i="1"/>
  <c r="Z526" i="1"/>
  <c r="Z527" i="1" s="1"/>
  <c r="Y528" i="1"/>
  <c r="O539" i="1"/>
  <c r="W539" i="1"/>
  <c r="P539" i="1"/>
  <c r="Y318" i="1"/>
  <c r="Q539" i="1"/>
  <c r="Y325" i="1"/>
  <c r="R539" i="1"/>
  <c r="Y334" i="1"/>
  <c r="BP403" i="1"/>
  <c r="BN403" i="1"/>
  <c r="Z403" i="1"/>
  <c r="BP407" i="1"/>
  <c r="BN407" i="1"/>
  <c r="Z407" i="1"/>
  <c r="BP415" i="1"/>
  <c r="BN415" i="1"/>
  <c r="Z415" i="1"/>
  <c r="Y422" i="1"/>
  <c r="BP419" i="1"/>
  <c r="BN419" i="1"/>
  <c r="Z419" i="1"/>
  <c r="Z421" i="1" s="1"/>
  <c r="Y431" i="1"/>
  <c r="BP440" i="1"/>
  <c r="BN440" i="1"/>
  <c r="Z440" i="1"/>
  <c r="Y442" i="1"/>
  <c r="X539" i="1"/>
  <c r="Y453" i="1"/>
  <c r="BP446" i="1"/>
  <c r="BN446" i="1"/>
  <c r="Z446" i="1"/>
  <c r="Z452" i="1" s="1"/>
  <c r="BP450" i="1"/>
  <c r="BN450" i="1"/>
  <c r="Z450" i="1"/>
  <c r="Y457" i="1"/>
  <c r="AA539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Y532" i="1" l="1"/>
  <c r="Z482" i="1"/>
  <c r="Z498" i="1"/>
  <c r="Z278" i="1"/>
  <c r="Y533" i="1"/>
  <c r="Z390" i="1"/>
  <c r="Y529" i="1"/>
  <c r="Z410" i="1"/>
  <c r="Z468" i="1"/>
  <c r="Z441" i="1"/>
  <c r="Z263" i="1"/>
  <c r="Z237" i="1"/>
  <c r="Z224" i="1"/>
  <c r="Z184" i="1"/>
  <c r="Z154" i="1"/>
  <c r="Z126" i="1"/>
  <c r="Z55" i="1"/>
  <c r="Z534" i="1" s="1"/>
  <c r="Z416" i="1"/>
  <c r="Z371" i="1"/>
  <c r="Z345" i="1"/>
</calcChain>
</file>

<file path=xl/sharedStrings.xml><?xml version="1.0" encoding="utf-8"?>
<sst xmlns="http://schemas.openxmlformats.org/spreadsheetml/2006/main" count="2377" uniqueCount="863">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</sst>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9"/>
  <sheetViews>
    <sheetView showGridLines="0" tabSelected="1" topLeftCell="A506" zoomScaleNormal="100" zoomScaleSheetLayoutView="100" workbookViewId="0">
      <selection activeCell="AA535" sqref="AA535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676" t="s">
        <v>0</v>
      </c>
      <c r="E1" s="625"/>
      <c r="F1" s="625"/>
      <c r="G1" s="12" t="s">
        <v>1</v>
      </c>
      <c r="H1" s="676" t="s">
        <v>2</v>
      </c>
      <c r="I1" s="625"/>
      <c r="J1" s="625"/>
      <c r="K1" s="625"/>
      <c r="L1" s="625"/>
      <c r="M1" s="625"/>
      <c r="N1" s="625"/>
      <c r="O1" s="625"/>
      <c r="P1" s="625"/>
      <c r="Q1" s="625"/>
      <c r="R1" s="624" t="s">
        <v>3</v>
      </c>
      <c r="S1" s="625"/>
      <c r="T1" s="62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7"/>
      <c r="R2" s="607"/>
      <c r="S2" s="607"/>
      <c r="T2" s="607"/>
      <c r="U2" s="607"/>
      <c r="V2" s="607"/>
      <c r="W2" s="607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7"/>
      <c r="Q3" s="607"/>
      <c r="R3" s="607"/>
      <c r="S3" s="607"/>
      <c r="T3" s="607"/>
      <c r="U3" s="607"/>
      <c r="V3" s="607"/>
      <c r="W3" s="607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736" t="s">
        <v>8</v>
      </c>
      <c r="B5" s="640"/>
      <c r="C5" s="641"/>
      <c r="D5" s="682"/>
      <c r="E5" s="683"/>
      <c r="F5" s="905" t="s">
        <v>9</v>
      </c>
      <c r="G5" s="641"/>
      <c r="H5" s="682"/>
      <c r="I5" s="849"/>
      <c r="J5" s="849"/>
      <c r="K5" s="849"/>
      <c r="L5" s="849"/>
      <c r="M5" s="683"/>
      <c r="N5" s="58"/>
      <c r="P5" s="24" t="s">
        <v>10</v>
      </c>
      <c r="Q5" s="918">
        <v>46209</v>
      </c>
      <c r="R5" s="735"/>
      <c r="T5" s="773" t="s">
        <v>11</v>
      </c>
      <c r="U5" s="716"/>
      <c r="V5" s="775" t="s">
        <v>12</v>
      </c>
      <c r="W5" s="735"/>
      <c r="AB5" s="51"/>
      <c r="AC5" s="51"/>
      <c r="AD5" s="51"/>
      <c r="AE5" s="51"/>
    </row>
    <row r="6" spans="1:32" s="591" customFormat="1" ht="24" customHeight="1" x14ac:dyDescent="0.2">
      <c r="A6" s="736" t="s">
        <v>13</v>
      </c>
      <c r="B6" s="640"/>
      <c r="C6" s="641"/>
      <c r="D6" s="851"/>
      <c r="E6" s="852"/>
      <c r="F6" s="852"/>
      <c r="G6" s="852"/>
      <c r="H6" s="852"/>
      <c r="I6" s="852"/>
      <c r="J6" s="852"/>
      <c r="K6" s="852"/>
      <c r="L6" s="852"/>
      <c r="M6" s="735"/>
      <c r="N6" s="59"/>
      <c r="P6" s="24" t="s">
        <v>14</v>
      </c>
      <c r="Q6" s="930" t="str">
        <f>IF(Q5=0," ",CHOOSE(WEEKDAY(Q5,2),"Понедельник","Вторник","Среда","Четверг","Пятница","Суббота","Воскресенье"))</f>
        <v>Понедельник</v>
      </c>
      <c r="R6" s="602"/>
      <c r="T6" s="783" t="s">
        <v>15</v>
      </c>
      <c r="U6" s="716"/>
      <c r="V6" s="837" t="s">
        <v>16</v>
      </c>
      <c r="W6" s="648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654">
        <f>IFERROR(VLOOKUP(DeliveryAddress,Table,3,0),1)</f>
        <v>1</v>
      </c>
      <c r="E7" s="655"/>
      <c r="F7" s="655"/>
      <c r="G7" s="655"/>
      <c r="H7" s="655"/>
      <c r="I7" s="655"/>
      <c r="J7" s="655"/>
      <c r="K7" s="655"/>
      <c r="L7" s="655"/>
      <c r="M7" s="656"/>
      <c r="N7" s="60"/>
      <c r="P7" s="24"/>
      <c r="Q7" s="42"/>
      <c r="R7" s="42"/>
      <c r="T7" s="607"/>
      <c r="U7" s="716"/>
      <c r="V7" s="838"/>
      <c r="W7" s="839"/>
      <c r="AB7" s="51"/>
      <c r="AC7" s="51"/>
      <c r="AD7" s="51"/>
      <c r="AE7" s="51"/>
    </row>
    <row r="8" spans="1:32" s="591" customFormat="1" ht="25.5" customHeight="1" x14ac:dyDescent="0.2">
      <c r="A8" s="943" t="s">
        <v>17</v>
      </c>
      <c r="B8" s="604"/>
      <c r="C8" s="605"/>
      <c r="D8" s="664"/>
      <c r="E8" s="665"/>
      <c r="F8" s="665"/>
      <c r="G8" s="665"/>
      <c r="H8" s="665"/>
      <c r="I8" s="665"/>
      <c r="J8" s="665"/>
      <c r="K8" s="665"/>
      <c r="L8" s="665"/>
      <c r="M8" s="666"/>
      <c r="N8" s="61"/>
      <c r="P8" s="24" t="s">
        <v>18</v>
      </c>
      <c r="Q8" s="743">
        <v>0.41666666666666669</v>
      </c>
      <c r="R8" s="656"/>
      <c r="T8" s="607"/>
      <c r="U8" s="716"/>
      <c r="V8" s="838"/>
      <c r="W8" s="839"/>
      <c r="AB8" s="51"/>
      <c r="AC8" s="51"/>
      <c r="AD8" s="51"/>
      <c r="AE8" s="51"/>
    </row>
    <row r="9" spans="1:32" s="591" customFormat="1" ht="39.950000000000003" customHeight="1" x14ac:dyDescent="0.2">
      <c r="A9" s="7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7"/>
      <c r="C9" s="607"/>
      <c r="D9" s="751"/>
      <c r="E9" s="615"/>
      <c r="F9" s="7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7"/>
      <c r="H9" s="614" t="str">
        <f>IF(AND($A$9="Тип доверенности/получателя при получении в адресе перегруза:",$D$9="Разовая доверенность"),"Введите ФИО","")</f>
        <v/>
      </c>
      <c r="I9" s="615"/>
      <c r="J9" s="6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5"/>
      <c r="L9" s="615"/>
      <c r="M9" s="615"/>
      <c r="N9" s="589"/>
      <c r="P9" s="26" t="s">
        <v>19</v>
      </c>
      <c r="Q9" s="730"/>
      <c r="R9" s="731"/>
      <c r="T9" s="607"/>
      <c r="U9" s="716"/>
      <c r="V9" s="840"/>
      <c r="W9" s="841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7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7"/>
      <c r="C10" s="607"/>
      <c r="D10" s="751"/>
      <c r="E10" s="615"/>
      <c r="F10" s="7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7"/>
      <c r="H10" s="828" t="str">
        <f>IFERROR(VLOOKUP($D$10,Proxy,2,FALSE),"")</f>
        <v/>
      </c>
      <c r="I10" s="607"/>
      <c r="J10" s="607"/>
      <c r="K10" s="607"/>
      <c r="L10" s="607"/>
      <c r="M10" s="607"/>
      <c r="N10" s="590"/>
      <c r="P10" s="26" t="s">
        <v>20</v>
      </c>
      <c r="Q10" s="784"/>
      <c r="R10" s="785"/>
      <c r="U10" s="24" t="s">
        <v>21</v>
      </c>
      <c r="V10" s="647" t="s">
        <v>22</v>
      </c>
      <c r="W10" s="648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1" t="s">
        <v>26</v>
      </c>
      <c r="W11" s="731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0" t="s">
        <v>27</v>
      </c>
      <c r="B12" s="640"/>
      <c r="C12" s="640"/>
      <c r="D12" s="640"/>
      <c r="E12" s="640"/>
      <c r="F12" s="640"/>
      <c r="G12" s="640"/>
      <c r="H12" s="640"/>
      <c r="I12" s="640"/>
      <c r="J12" s="640"/>
      <c r="K12" s="640"/>
      <c r="L12" s="640"/>
      <c r="M12" s="641"/>
      <c r="N12" s="62"/>
      <c r="P12" s="24" t="s">
        <v>28</v>
      </c>
      <c r="Q12" s="743"/>
      <c r="R12" s="656"/>
      <c r="S12" s="23"/>
      <c r="U12" s="24"/>
      <c r="V12" s="625"/>
      <c r="W12" s="607"/>
      <c r="AB12" s="51"/>
      <c r="AC12" s="51"/>
      <c r="AD12" s="51"/>
      <c r="AE12" s="51"/>
    </row>
    <row r="13" spans="1:32" s="591" customFormat="1" ht="23.25" customHeight="1" x14ac:dyDescent="0.2">
      <c r="A13" s="770" t="s">
        <v>29</v>
      </c>
      <c r="B13" s="640"/>
      <c r="C13" s="640"/>
      <c r="D13" s="640"/>
      <c r="E13" s="640"/>
      <c r="F13" s="640"/>
      <c r="G13" s="640"/>
      <c r="H13" s="640"/>
      <c r="I13" s="640"/>
      <c r="J13" s="640"/>
      <c r="K13" s="640"/>
      <c r="L13" s="640"/>
      <c r="M13" s="641"/>
      <c r="N13" s="62"/>
      <c r="O13" s="26"/>
      <c r="P13" s="26" t="s">
        <v>30</v>
      </c>
      <c r="Q13" s="871"/>
      <c r="R13" s="7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0" t="s">
        <v>31</v>
      </c>
      <c r="B14" s="640"/>
      <c r="C14" s="640"/>
      <c r="D14" s="640"/>
      <c r="E14" s="640"/>
      <c r="F14" s="640"/>
      <c r="G14" s="640"/>
      <c r="H14" s="640"/>
      <c r="I14" s="640"/>
      <c r="J14" s="640"/>
      <c r="K14" s="640"/>
      <c r="L14" s="640"/>
      <c r="M14" s="64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803" t="s">
        <v>32</v>
      </c>
      <c r="B15" s="640"/>
      <c r="C15" s="640"/>
      <c r="D15" s="640"/>
      <c r="E15" s="640"/>
      <c r="F15" s="640"/>
      <c r="G15" s="640"/>
      <c r="H15" s="640"/>
      <c r="I15" s="640"/>
      <c r="J15" s="640"/>
      <c r="K15" s="640"/>
      <c r="L15" s="640"/>
      <c r="M15" s="641"/>
      <c r="N15" s="63"/>
      <c r="P15" s="760" t="s">
        <v>33</v>
      </c>
      <c r="Q15" s="625"/>
      <c r="R15" s="625"/>
      <c r="S15" s="625"/>
      <c r="T15" s="62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1"/>
      <c r="Q16" s="761"/>
      <c r="R16" s="761"/>
      <c r="S16" s="761"/>
      <c r="T16" s="7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34</v>
      </c>
      <c r="B17" s="637" t="s">
        <v>35</v>
      </c>
      <c r="C17" s="749" t="s">
        <v>36</v>
      </c>
      <c r="D17" s="637" t="s">
        <v>37</v>
      </c>
      <c r="E17" s="706"/>
      <c r="F17" s="637" t="s">
        <v>38</v>
      </c>
      <c r="G17" s="637" t="s">
        <v>39</v>
      </c>
      <c r="H17" s="637" t="s">
        <v>40</v>
      </c>
      <c r="I17" s="637" t="s">
        <v>41</v>
      </c>
      <c r="J17" s="637" t="s">
        <v>42</v>
      </c>
      <c r="K17" s="637" t="s">
        <v>43</v>
      </c>
      <c r="L17" s="637" t="s">
        <v>44</v>
      </c>
      <c r="M17" s="637" t="s">
        <v>45</v>
      </c>
      <c r="N17" s="637" t="s">
        <v>46</v>
      </c>
      <c r="O17" s="637" t="s">
        <v>47</v>
      </c>
      <c r="P17" s="637" t="s">
        <v>48</v>
      </c>
      <c r="Q17" s="705"/>
      <c r="R17" s="705"/>
      <c r="S17" s="705"/>
      <c r="T17" s="706"/>
      <c r="U17" s="942" t="s">
        <v>49</v>
      </c>
      <c r="V17" s="641"/>
      <c r="W17" s="637" t="s">
        <v>50</v>
      </c>
      <c r="X17" s="637" t="s">
        <v>51</v>
      </c>
      <c r="Y17" s="939" t="s">
        <v>52</v>
      </c>
      <c r="Z17" s="847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00"/>
      <c r="AF17" s="901"/>
      <c r="AG17" s="66"/>
      <c r="BD17" s="65" t="s">
        <v>58</v>
      </c>
    </row>
    <row r="18" spans="1:68" ht="14.25" customHeight="1" x14ac:dyDescent="0.2">
      <c r="A18" s="638"/>
      <c r="B18" s="638"/>
      <c r="C18" s="638"/>
      <c r="D18" s="707"/>
      <c r="E18" s="70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707"/>
      <c r="Q18" s="708"/>
      <c r="R18" s="708"/>
      <c r="S18" s="708"/>
      <c r="T18" s="709"/>
      <c r="U18" s="67" t="s">
        <v>59</v>
      </c>
      <c r="V18" s="67" t="s">
        <v>60</v>
      </c>
      <c r="W18" s="638"/>
      <c r="X18" s="638"/>
      <c r="Y18" s="940"/>
      <c r="Z18" s="848"/>
      <c r="AA18" s="827"/>
      <c r="AB18" s="827"/>
      <c r="AC18" s="827"/>
      <c r="AD18" s="902"/>
      <c r="AE18" s="903"/>
      <c r="AF18" s="904"/>
      <c r="AG18" s="66"/>
      <c r="BD18" s="65"/>
    </row>
    <row r="19" spans="1:68" ht="27.75" customHeight="1" x14ac:dyDescent="0.2">
      <c r="A19" s="633" t="s">
        <v>61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616" t="s">
        <v>61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592"/>
      <c r="AB20" s="592"/>
      <c r="AC20" s="592"/>
    </row>
    <row r="21" spans="1:68" ht="14.25" customHeight="1" x14ac:dyDescent="0.25">
      <c r="A21" s="606" t="s">
        <v>62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593"/>
      <c r="AB21" s="593"/>
      <c r="AC21" s="59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1">
        <v>4680115886643</v>
      </c>
      <c r="E22" s="602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1">
        <v>4680115889071</v>
      </c>
      <c r="E23" s="602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1"/>
      <c r="R23" s="611"/>
      <c r="S23" s="611"/>
      <c r="T23" s="612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08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9"/>
      <c r="P24" s="603" t="s">
        <v>72</v>
      </c>
      <c r="Q24" s="604"/>
      <c r="R24" s="604"/>
      <c r="S24" s="604"/>
      <c r="T24" s="604"/>
      <c r="U24" s="604"/>
      <c r="V24" s="60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9"/>
      <c r="P25" s="603" t="s">
        <v>72</v>
      </c>
      <c r="Q25" s="604"/>
      <c r="R25" s="604"/>
      <c r="S25" s="604"/>
      <c r="T25" s="604"/>
      <c r="U25" s="604"/>
      <c r="V25" s="60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customHeight="1" x14ac:dyDescent="0.25">
      <c r="A26" s="606" t="s">
        <v>74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593"/>
      <c r="AB26" s="593"/>
      <c r="AC26" s="59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1">
        <v>4680115885912</v>
      </c>
      <c r="E27" s="602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1"/>
      <c r="R27" s="611"/>
      <c r="S27" s="611"/>
      <c r="T27" s="612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1">
        <v>4607091388237</v>
      </c>
      <c r="E28" s="602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1"/>
      <c r="R28" s="611"/>
      <c r="S28" s="611"/>
      <c r="T28" s="612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1">
        <v>4680115887350</v>
      </c>
      <c r="E29" s="602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1"/>
      <c r="R29" s="611"/>
      <c r="S29" s="611"/>
      <c r="T29" s="612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1">
        <v>4680115885905</v>
      </c>
      <c r="E30" s="602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1"/>
      <c r="R30" s="611"/>
      <c r="S30" s="611"/>
      <c r="T30" s="612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1">
        <v>4680115887657</v>
      </c>
      <c r="E31" s="602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6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1"/>
      <c r="R31" s="611"/>
      <c r="S31" s="611"/>
      <c r="T31" s="612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1">
        <v>4680115887619</v>
      </c>
      <c r="E32" s="602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1"/>
      <c r="R32" s="611"/>
      <c r="S32" s="611"/>
      <c r="T32" s="612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08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9"/>
      <c r="P33" s="603" t="s">
        <v>72</v>
      </c>
      <c r="Q33" s="604"/>
      <c r="R33" s="604"/>
      <c r="S33" s="604"/>
      <c r="T33" s="604"/>
      <c r="U33" s="604"/>
      <c r="V33" s="60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9"/>
      <c r="P34" s="603" t="s">
        <v>72</v>
      </c>
      <c r="Q34" s="604"/>
      <c r="R34" s="604"/>
      <c r="S34" s="604"/>
      <c r="T34" s="604"/>
      <c r="U34" s="604"/>
      <c r="V34" s="60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customHeight="1" x14ac:dyDescent="0.25">
      <c r="A35" s="606" t="s">
        <v>95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593"/>
      <c r="AB35" s="593"/>
      <c r="AC35" s="593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1">
        <v>4607091388503</v>
      </c>
      <c r="E36" s="602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1"/>
      <c r="R36" s="611"/>
      <c r="S36" s="611"/>
      <c r="T36" s="612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08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9"/>
      <c r="P37" s="603" t="s">
        <v>72</v>
      </c>
      <c r="Q37" s="604"/>
      <c r="R37" s="604"/>
      <c r="S37" s="604"/>
      <c r="T37" s="604"/>
      <c r="U37" s="604"/>
      <c r="V37" s="60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9"/>
      <c r="P38" s="603" t="s">
        <v>72</v>
      </c>
      <c r="Q38" s="604"/>
      <c r="R38" s="604"/>
      <c r="S38" s="604"/>
      <c r="T38" s="604"/>
      <c r="U38" s="604"/>
      <c r="V38" s="60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customHeight="1" x14ac:dyDescent="0.2">
      <c r="A39" s="633" t="s">
        <v>101</v>
      </c>
      <c r="B39" s="634"/>
      <c r="C39" s="634"/>
      <c r="D39" s="634"/>
      <c r="E39" s="634"/>
      <c r="F39" s="634"/>
      <c r="G39" s="634"/>
      <c r="H39" s="634"/>
      <c r="I39" s="634"/>
      <c r="J39" s="634"/>
      <c r="K39" s="634"/>
      <c r="L39" s="634"/>
      <c r="M39" s="634"/>
      <c r="N39" s="634"/>
      <c r="O39" s="634"/>
      <c r="P39" s="634"/>
      <c r="Q39" s="634"/>
      <c r="R39" s="634"/>
      <c r="S39" s="634"/>
      <c r="T39" s="634"/>
      <c r="U39" s="634"/>
      <c r="V39" s="634"/>
      <c r="W39" s="634"/>
      <c r="X39" s="634"/>
      <c r="Y39" s="634"/>
      <c r="Z39" s="634"/>
      <c r="AA39" s="48"/>
      <c r="AB39" s="48"/>
      <c r="AC39" s="48"/>
    </row>
    <row r="40" spans="1:68" ht="16.5" customHeight="1" x14ac:dyDescent="0.25">
      <c r="A40" s="616" t="s">
        <v>102</v>
      </c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592"/>
      <c r="AB40" s="592"/>
      <c r="AC40" s="592"/>
    </row>
    <row r="41" spans="1:68" ht="14.25" customHeight="1" x14ac:dyDescent="0.25">
      <c r="A41" s="606" t="s">
        <v>74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593"/>
      <c r="AB41" s="593"/>
      <c r="AC41" s="593"/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01">
        <v>4680115888463</v>
      </c>
      <c r="E42" s="602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1"/>
      <c r="R42" s="611"/>
      <c r="S42" s="611"/>
      <c r="T42" s="612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01">
        <v>4680115888494</v>
      </c>
      <c r="E43" s="602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1"/>
      <c r="R43" s="611"/>
      <c r="S43" s="611"/>
      <c r="T43" s="612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01">
        <v>4680115888272</v>
      </c>
      <c r="E44" s="602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6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1"/>
      <c r="R44" s="611"/>
      <c r="S44" s="611"/>
      <c r="T44" s="612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01">
        <v>4680115888364</v>
      </c>
      <c r="E45" s="602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1"/>
      <c r="R45" s="611"/>
      <c r="S45" s="611"/>
      <c r="T45" s="612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08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9"/>
      <c r="P46" s="603" t="s">
        <v>72</v>
      </c>
      <c r="Q46" s="604"/>
      <c r="R46" s="604"/>
      <c r="S46" s="604"/>
      <c r="T46" s="604"/>
      <c r="U46" s="604"/>
      <c r="V46" s="60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9"/>
      <c r="P47" s="603" t="s">
        <v>72</v>
      </c>
      <c r="Q47" s="604"/>
      <c r="R47" s="604"/>
      <c r="S47" s="604"/>
      <c r="T47" s="604"/>
      <c r="U47" s="604"/>
      <c r="V47" s="60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customHeight="1" x14ac:dyDescent="0.2">
      <c r="A48" s="633" t="s">
        <v>115</v>
      </c>
      <c r="B48" s="634"/>
      <c r="C48" s="634"/>
      <c r="D48" s="634"/>
      <c r="E48" s="634"/>
      <c r="F48" s="634"/>
      <c r="G48" s="634"/>
      <c r="H48" s="634"/>
      <c r="I48" s="634"/>
      <c r="J48" s="634"/>
      <c r="K48" s="634"/>
      <c r="L48" s="634"/>
      <c r="M48" s="634"/>
      <c r="N48" s="634"/>
      <c r="O48" s="634"/>
      <c r="P48" s="634"/>
      <c r="Q48" s="634"/>
      <c r="R48" s="634"/>
      <c r="S48" s="634"/>
      <c r="T48" s="634"/>
      <c r="U48" s="634"/>
      <c r="V48" s="634"/>
      <c r="W48" s="634"/>
      <c r="X48" s="634"/>
      <c r="Y48" s="634"/>
      <c r="Z48" s="634"/>
      <c r="AA48" s="48"/>
      <c r="AB48" s="48"/>
      <c r="AC48" s="48"/>
    </row>
    <row r="49" spans="1:68" ht="16.5" customHeight="1" x14ac:dyDescent="0.25">
      <c r="A49" s="616" t="s">
        <v>116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592"/>
      <c r="AB49" s="592"/>
      <c r="AC49" s="592"/>
    </row>
    <row r="50" spans="1:68" ht="14.25" customHeight="1" x14ac:dyDescent="0.25">
      <c r="A50" s="606" t="s">
        <v>117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1">
        <v>4607091385670</v>
      </c>
      <c r="E51" s="602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1"/>
      <c r="R51" s="611"/>
      <c r="S51" s="611"/>
      <c r="T51" s="612"/>
      <c r="U51" s="34"/>
      <c r="V51" s="34"/>
      <c r="W51" s="35" t="s">
        <v>67</v>
      </c>
      <c r="X51" s="597">
        <v>824</v>
      </c>
      <c r="Y51" s="598">
        <f>IFERROR(IF(X51="",0,CEILING((X51/$H51),1)*$H51),"")</f>
        <v>831.6</v>
      </c>
      <c r="Z51" s="36">
        <f>IFERROR(IF(Y51=0,"",ROUNDUP(Y51/H51,0)*0.01898),"")</f>
        <v>1.46146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855.28148148148148</v>
      </c>
      <c r="BN51" s="64">
        <f>IFERROR(Y51*I51/H51,"0")</f>
        <v>863.17000000000007</v>
      </c>
      <c r="BO51" s="64">
        <f>IFERROR(1/J51*(X51/H51),"0")</f>
        <v>1.1921296296296295</v>
      </c>
      <c r="BP51" s="64">
        <f>IFERROR(1/J51*(Y51/H51),"0")</f>
        <v>1.203125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01">
        <v>4680115887725</v>
      </c>
      <c r="E52" s="602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1"/>
      <c r="R52" s="611"/>
      <c r="S52" s="611"/>
      <c r="T52" s="612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01">
        <v>4607091385687</v>
      </c>
      <c r="E53" s="602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1"/>
      <c r="R53" s="611"/>
      <c r="S53" s="611"/>
      <c r="T53" s="612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01">
        <v>4680115882539</v>
      </c>
      <c r="E54" s="602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8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1"/>
      <c r="R54" s="611"/>
      <c r="S54" s="611"/>
      <c r="T54" s="612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8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9"/>
      <c r="P55" s="603" t="s">
        <v>72</v>
      </c>
      <c r="Q55" s="604"/>
      <c r="R55" s="604"/>
      <c r="S55" s="604"/>
      <c r="T55" s="604"/>
      <c r="U55" s="604"/>
      <c r="V55" s="605"/>
      <c r="W55" s="37" t="s">
        <v>73</v>
      </c>
      <c r="X55" s="599">
        <f>IFERROR(X51/H51,"0")+IFERROR(X52/H52,"0")+IFERROR(X53/H53,"0")+IFERROR(X54/H54,"0")</f>
        <v>76.296296296296291</v>
      </c>
      <c r="Y55" s="599">
        <f>IFERROR(Y51/H51,"0")+IFERROR(Y52/H52,"0")+IFERROR(Y53/H53,"0")+IFERROR(Y54/H54,"0")</f>
        <v>77</v>
      </c>
      <c r="Z55" s="599">
        <f>IFERROR(IF(Z51="",0,Z51),"0")+IFERROR(IF(Z52="",0,Z52),"0")+IFERROR(IF(Z53="",0,Z53),"0")+IFERROR(IF(Z54="",0,Z54),"0")</f>
        <v>1.46146</v>
      </c>
      <c r="AA55" s="600"/>
      <c r="AB55" s="600"/>
      <c r="AC55" s="600"/>
    </row>
    <row r="56" spans="1:68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9"/>
      <c r="P56" s="603" t="s">
        <v>72</v>
      </c>
      <c r="Q56" s="604"/>
      <c r="R56" s="604"/>
      <c r="S56" s="604"/>
      <c r="T56" s="604"/>
      <c r="U56" s="604"/>
      <c r="V56" s="605"/>
      <c r="W56" s="37" t="s">
        <v>67</v>
      </c>
      <c r="X56" s="599">
        <f>IFERROR(SUM(X51:X54),"0")</f>
        <v>824</v>
      </c>
      <c r="Y56" s="599">
        <f>IFERROR(SUM(Y51:Y54),"0")</f>
        <v>831.6</v>
      </c>
      <c r="Z56" s="37"/>
      <c r="AA56" s="600"/>
      <c r="AB56" s="600"/>
      <c r="AC56" s="600"/>
    </row>
    <row r="57" spans="1:68" ht="16.5" customHeight="1" x14ac:dyDescent="0.25">
      <c r="A57" s="616" t="s">
        <v>132</v>
      </c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592"/>
      <c r="AB57" s="592"/>
      <c r="AC57" s="592"/>
    </row>
    <row r="58" spans="1:68" ht="14.25" customHeight="1" x14ac:dyDescent="0.25">
      <c r="A58" s="606" t="s">
        <v>117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1">
        <v>4680115885882</v>
      </c>
      <c r="E59" s="602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1"/>
      <c r="R59" s="611"/>
      <c r="S59" s="611"/>
      <c r="T59" s="612"/>
      <c r="U59" s="34"/>
      <c r="V59" s="34"/>
      <c r="W59" s="35" t="s">
        <v>67</v>
      </c>
      <c r="X59" s="597">
        <v>0</v>
      </c>
      <c r="Y59" s="598">
        <f t="shared" ref="Y59:Y65" si="6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01">
        <v>4680115885882</v>
      </c>
      <c r="E60" s="602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1"/>
      <c r="R60" s="611"/>
      <c r="S60" s="611"/>
      <c r="T60" s="612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1">
        <v>4680115881426</v>
      </c>
      <c r="E61" s="602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1"/>
      <c r="R61" s="611"/>
      <c r="S61" s="611"/>
      <c r="T61" s="612"/>
      <c r="U61" s="34"/>
      <c r="V61" s="34"/>
      <c r="W61" s="35" t="s">
        <v>67</v>
      </c>
      <c r="X61" s="597">
        <v>214</v>
      </c>
      <c r="Y61" s="598">
        <f t="shared" si="6"/>
        <v>216</v>
      </c>
      <c r="Z61" s="36">
        <f>IFERROR(IF(Y61=0,"",ROUNDUP(Y61/H61,0)*0.01898),"")</f>
        <v>0.37959999999999999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222.12407407407406</v>
      </c>
      <c r="BN61" s="64">
        <f t="shared" si="8"/>
        <v>224.2</v>
      </c>
      <c r="BO61" s="64">
        <f t="shared" si="9"/>
        <v>0.30960648148148145</v>
      </c>
      <c r="BP61" s="64">
        <f t="shared" si="10"/>
        <v>0.3125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01">
        <v>4680115880283</v>
      </c>
      <c r="E62" s="602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1"/>
      <c r="R62" s="611"/>
      <c r="S62" s="611"/>
      <c r="T62" s="612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4301011806</v>
      </c>
      <c r="D63" s="601">
        <v>4680115881525</v>
      </c>
      <c r="E63" s="602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7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1"/>
      <c r="R63" s="611"/>
      <c r="S63" s="611"/>
      <c r="T63" s="612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4301012165</v>
      </c>
      <c r="D64" s="601">
        <v>4680115885899</v>
      </c>
      <c r="E64" s="602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1"/>
      <c r="R64" s="611"/>
      <c r="S64" s="611"/>
      <c r="T64" s="612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1">
        <v>4680115881419</v>
      </c>
      <c r="E65" s="602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1"/>
      <c r="R65" s="611"/>
      <c r="S65" s="611"/>
      <c r="T65" s="612"/>
      <c r="U65" s="34"/>
      <c r="V65" s="34"/>
      <c r="W65" s="35" t="s">
        <v>67</v>
      </c>
      <c r="X65" s="597">
        <v>87</v>
      </c>
      <c r="Y65" s="598">
        <f t="shared" si="6"/>
        <v>90</v>
      </c>
      <c r="Z65" s="36">
        <f>IFERROR(IF(Y65=0,"",ROUNDUP(Y65/H65,0)*0.00902),"")</f>
        <v>0.1804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90.673333333333346</v>
      </c>
      <c r="BN65" s="64">
        <f t="shared" si="8"/>
        <v>93.800000000000011</v>
      </c>
      <c r="BO65" s="64">
        <f t="shared" si="9"/>
        <v>0.14646464646464646</v>
      </c>
      <c r="BP65" s="64">
        <f t="shared" si="10"/>
        <v>0.15151515151515152</v>
      </c>
    </row>
    <row r="66" spans="1:68" x14ac:dyDescent="0.2">
      <c r="A66" s="608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9"/>
      <c r="P66" s="603" t="s">
        <v>72</v>
      </c>
      <c r="Q66" s="604"/>
      <c r="R66" s="604"/>
      <c r="S66" s="604"/>
      <c r="T66" s="604"/>
      <c r="U66" s="604"/>
      <c r="V66" s="605"/>
      <c r="W66" s="37" t="s">
        <v>73</v>
      </c>
      <c r="X66" s="599">
        <f>IFERROR(X59/H59,"0")+IFERROR(X60/H60,"0")+IFERROR(X61/H61,"0")+IFERROR(X62/H62,"0")+IFERROR(X63/H63,"0")+IFERROR(X64/H64,"0")+IFERROR(X65/H65,"0")</f>
        <v>39.148148148148145</v>
      </c>
      <c r="Y66" s="599">
        <f>IFERROR(Y59/H59,"0")+IFERROR(Y60/H60,"0")+IFERROR(Y61/H61,"0")+IFERROR(Y62/H62,"0")+IFERROR(Y63/H63,"0")+IFERROR(Y64/H64,"0")+IFERROR(Y65/H65,"0")</f>
        <v>40</v>
      </c>
      <c r="Z66" s="599">
        <f>IFERROR(IF(Z59="",0,Z59),"0")+IFERROR(IF(Z60="",0,Z60),"0")+IFERROR(IF(Z61="",0,Z61),"0")+IFERROR(IF(Z62="",0,Z62),"0")+IFERROR(IF(Z63="",0,Z63),"0")+IFERROR(IF(Z64="",0,Z64),"0")+IFERROR(IF(Z65="",0,Z65),"0")</f>
        <v>0.56000000000000005</v>
      </c>
      <c r="AA66" s="600"/>
      <c r="AB66" s="600"/>
      <c r="AC66" s="600"/>
    </row>
    <row r="67" spans="1:68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9"/>
      <c r="P67" s="603" t="s">
        <v>72</v>
      </c>
      <c r="Q67" s="604"/>
      <c r="R67" s="604"/>
      <c r="S67" s="604"/>
      <c r="T67" s="604"/>
      <c r="U67" s="604"/>
      <c r="V67" s="605"/>
      <c r="W67" s="37" t="s">
        <v>67</v>
      </c>
      <c r="X67" s="599">
        <f>IFERROR(SUM(X59:X65),"0")</f>
        <v>301</v>
      </c>
      <c r="Y67" s="599">
        <f>IFERROR(SUM(Y59:Y65),"0")</f>
        <v>306</v>
      </c>
      <c r="Z67" s="37"/>
      <c r="AA67" s="600"/>
      <c r="AB67" s="600"/>
      <c r="AC67" s="600"/>
    </row>
    <row r="68" spans="1:68" ht="14.25" customHeight="1" x14ac:dyDescent="0.25">
      <c r="A68" s="606" t="s">
        <v>152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1">
        <v>4680115881440</v>
      </c>
      <c r="E69" s="602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7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1"/>
      <c r="R69" s="611"/>
      <c r="S69" s="611"/>
      <c r="T69" s="612"/>
      <c r="U69" s="34"/>
      <c r="V69" s="34"/>
      <c r="W69" s="35" t="s">
        <v>67</v>
      </c>
      <c r="X69" s="597">
        <v>267</v>
      </c>
      <c r="Y69" s="598">
        <f>IFERROR(IF(X69="",0,CEILING((X69/$H69),1)*$H69),"")</f>
        <v>270</v>
      </c>
      <c r="Z69" s="36">
        <f>IFERROR(IF(Y69=0,"",ROUNDUP(Y69/H69,0)*0.01898),"")</f>
        <v>0.47450000000000003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277.13611111111112</v>
      </c>
      <c r="BN69" s="64">
        <f>IFERROR(Y69*I69/H69,"0")</f>
        <v>280.25</v>
      </c>
      <c r="BO69" s="64">
        <f>IFERROR(1/J69*(X69/H69),"0")</f>
        <v>0.38628472222222221</v>
      </c>
      <c r="BP69" s="64">
        <f>IFERROR(1/J69*(Y69/H69),"0")</f>
        <v>0.390625</v>
      </c>
    </row>
    <row r="70" spans="1:68" ht="16.5" customHeight="1" x14ac:dyDescent="0.25">
      <c r="A70" s="54" t="s">
        <v>156</v>
      </c>
      <c r="B70" s="54" t="s">
        <v>157</v>
      </c>
      <c r="C70" s="31">
        <v>4301020358</v>
      </c>
      <c r="D70" s="601">
        <v>4680115885950</v>
      </c>
      <c r="E70" s="602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9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1"/>
      <c r="R70" s="611"/>
      <c r="S70" s="611"/>
      <c r="T70" s="612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158</v>
      </c>
      <c r="B71" s="54" t="s">
        <v>159</v>
      </c>
      <c r="C71" s="31">
        <v>4301020371</v>
      </c>
      <c r="D71" s="601">
        <v>4680115887688</v>
      </c>
      <c r="E71" s="602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9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1"/>
      <c r="R71" s="611"/>
      <c r="S71" s="611"/>
      <c r="T71" s="612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4301020296</v>
      </c>
      <c r="D72" s="601">
        <v>4680115881433</v>
      </c>
      <c r="E72" s="602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91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1"/>
      <c r="R72" s="611"/>
      <c r="S72" s="611"/>
      <c r="T72" s="612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8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9"/>
      <c r="P73" s="603" t="s">
        <v>72</v>
      </c>
      <c r="Q73" s="604"/>
      <c r="R73" s="604"/>
      <c r="S73" s="604"/>
      <c r="T73" s="604"/>
      <c r="U73" s="604"/>
      <c r="V73" s="605"/>
      <c r="W73" s="37" t="s">
        <v>73</v>
      </c>
      <c r="X73" s="599">
        <f>IFERROR(X69/H69,"0")+IFERROR(X70/H70,"0")+IFERROR(X71/H71,"0")+IFERROR(X72/H72,"0")</f>
        <v>24.722222222222221</v>
      </c>
      <c r="Y73" s="599">
        <f>IFERROR(Y69/H69,"0")+IFERROR(Y70/H70,"0")+IFERROR(Y71/H71,"0")+IFERROR(Y72/H72,"0")</f>
        <v>25</v>
      </c>
      <c r="Z73" s="599">
        <f>IFERROR(IF(Z69="",0,Z69),"0")+IFERROR(IF(Z70="",0,Z70),"0")+IFERROR(IF(Z71="",0,Z71),"0")+IFERROR(IF(Z72="",0,Z72),"0")</f>
        <v>0.47450000000000003</v>
      </c>
      <c r="AA73" s="600"/>
      <c r="AB73" s="600"/>
      <c r="AC73" s="600"/>
    </row>
    <row r="74" spans="1:68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9"/>
      <c r="P74" s="603" t="s">
        <v>72</v>
      </c>
      <c r="Q74" s="604"/>
      <c r="R74" s="604"/>
      <c r="S74" s="604"/>
      <c r="T74" s="604"/>
      <c r="U74" s="604"/>
      <c r="V74" s="605"/>
      <c r="W74" s="37" t="s">
        <v>67</v>
      </c>
      <c r="X74" s="599">
        <f>IFERROR(SUM(X69:X72),"0")</f>
        <v>267</v>
      </c>
      <c r="Y74" s="599">
        <f>IFERROR(SUM(Y69:Y72),"0")</f>
        <v>270</v>
      </c>
      <c r="Z74" s="37"/>
      <c r="AA74" s="600"/>
      <c r="AB74" s="600"/>
      <c r="AC74" s="600"/>
    </row>
    <row r="75" spans="1:68" ht="14.25" customHeight="1" x14ac:dyDescent="0.25">
      <c r="A75" s="606" t="s">
        <v>74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593"/>
      <c r="AB75" s="593"/>
      <c r="AC75" s="593"/>
    </row>
    <row r="76" spans="1:68" ht="16.5" customHeight="1" x14ac:dyDescent="0.25">
      <c r="A76" s="54" t="s">
        <v>163</v>
      </c>
      <c r="B76" s="54" t="s">
        <v>164</v>
      </c>
      <c r="C76" s="31">
        <v>4301051837</v>
      </c>
      <c r="D76" s="601">
        <v>4680115884311</v>
      </c>
      <c r="E76" s="602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1"/>
      <c r="R76" s="611"/>
      <c r="S76" s="611"/>
      <c r="T76" s="612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customHeight="1" x14ac:dyDescent="0.25">
      <c r="A77" s="54" t="s">
        <v>166</v>
      </c>
      <c r="B77" s="54" t="s">
        <v>167</v>
      </c>
      <c r="C77" s="31">
        <v>4301051929</v>
      </c>
      <c r="D77" s="601">
        <v>4680115884403</v>
      </c>
      <c r="E77" s="602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1"/>
      <c r="R77" s="611"/>
      <c r="S77" s="611"/>
      <c r="T77" s="612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x14ac:dyDescent="0.2">
      <c r="A78" s="608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9"/>
      <c r="P78" s="603" t="s">
        <v>72</v>
      </c>
      <c r="Q78" s="604"/>
      <c r="R78" s="604"/>
      <c r="S78" s="604"/>
      <c r="T78" s="604"/>
      <c r="U78" s="604"/>
      <c r="V78" s="60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9"/>
      <c r="P79" s="603" t="s">
        <v>72</v>
      </c>
      <c r="Q79" s="604"/>
      <c r="R79" s="604"/>
      <c r="S79" s="604"/>
      <c r="T79" s="604"/>
      <c r="U79" s="604"/>
      <c r="V79" s="60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customHeight="1" x14ac:dyDescent="0.25">
      <c r="A80" s="606" t="s">
        <v>169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1">
        <v>4680115881532</v>
      </c>
      <c r="E81" s="602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6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1"/>
      <c r="R81" s="611"/>
      <c r="S81" s="611"/>
      <c r="T81" s="612"/>
      <c r="U81" s="34"/>
      <c r="V81" s="34"/>
      <c r="W81" s="35" t="s">
        <v>67</v>
      </c>
      <c r="X81" s="597">
        <v>0</v>
      </c>
      <c r="Y81" s="59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173</v>
      </c>
      <c r="B82" s="54" t="s">
        <v>174</v>
      </c>
      <c r="C82" s="31">
        <v>4301060351</v>
      </c>
      <c r="D82" s="601">
        <v>4680115881464</v>
      </c>
      <c r="E82" s="602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9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1"/>
      <c r="R82" s="611"/>
      <c r="S82" s="611"/>
      <c r="T82" s="612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08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9"/>
      <c r="P83" s="603" t="s">
        <v>72</v>
      </c>
      <c r="Q83" s="604"/>
      <c r="R83" s="604"/>
      <c r="S83" s="604"/>
      <c r="T83" s="604"/>
      <c r="U83" s="604"/>
      <c r="V83" s="605"/>
      <c r="W83" s="37" t="s">
        <v>73</v>
      </c>
      <c r="X83" s="599">
        <f>IFERROR(X81/H81,"0")+IFERROR(X82/H82,"0")</f>
        <v>0</v>
      </c>
      <c r="Y83" s="599">
        <f>IFERROR(Y81/H81,"0")+IFERROR(Y82/H82,"0")</f>
        <v>0</v>
      </c>
      <c r="Z83" s="599">
        <f>IFERROR(IF(Z81="",0,Z81),"0")+IFERROR(IF(Z82="",0,Z82),"0")</f>
        <v>0</v>
      </c>
      <c r="AA83" s="600"/>
      <c r="AB83" s="600"/>
      <c r="AC83" s="600"/>
    </row>
    <row r="84" spans="1:68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9"/>
      <c r="P84" s="603" t="s">
        <v>72</v>
      </c>
      <c r="Q84" s="604"/>
      <c r="R84" s="604"/>
      <c r="S84" s="604"/>
      <c r="T84" s="604"/>
      <c r="U84" s="604"/>
      <c r="V84" s="605"/>
      <c r="W84" s="37" t="s">
        <v>67</v>
      </c>
      <c r="X84" s="599">
        <f>IFERROR(SUM(X81:X82),"0")</f>
        <v>0</v>
      </c>
      <c r="Y84" s="599">
        <f>IFERROR(SUM(Y81:Y82),"0")</f>
        <v>0</v>
      </c>
      <c r="Z84" s="37"/>
      <c r="AA84" s="600"/>
      <c r="AB84" s="600"/>
      <c r="AC84" s="600"/>
    </row>
    <row r="85" spans="1:68" ht="16.5" customHeight="1" x14ac:dyDescent="0.25">
      <c r="A85" s="616" t="s">
        <v>176</v>
      </c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592"/>
      <c r="AB85" s="592"/>
      <c r="AC85" s="592"/>
    </row>
    <row r="86" spans="1:68" ht="14.25" customHeight="1" x14ac:dyDescent="0.25">
      <c r="A86" s="606" t="s">
        <v>117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1">
        <v>4680115881327</v>
      </c>
      <c r="E87" s="602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8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1"/>
      <c r="R87" s="611"/>
      <c r="S87" s="611"/>
      <c r="T87" s="612"/>
      <c r="U87" s="34"/>
      <c r="V87" s="34"/>
      <c r="W87" s="35" t="s">
        <v>67</v>
      </c>
      <c r="X87" s="597">
        <v>0</v>
      </c>
      <c r="Y87" s="59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4301011261</v>
      </c>
      <c r="D88" s="601">
        <v>4680115887732</v>
      </c>
      <c r="E88" s="602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1"/>
      <c r="R88" s="611"/>
      <c r="S88" s="611"/>
      <c r="T88" s="612"/>
      <c r="U88" s="34"/>
      <c r="V88" s="34"/>
      <c r="W88" s="35" t="s">
        <v>67</v>
      </c>
      <c r="X88" s="597">
        <v>0</v>
      </c>
      <c r="Y88" s="59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4301011476</v>
      </c>
      <c r="D89" s="601">
        <v>4680115881518</v>
      </c>
      <c r="E89" s="602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79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1"/>
      <c r="R89" s="611"/>
      <c r="S89" s="611"/>
      <c r="T89" s="612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1">
        <v>4680115881303</v>
      </c>
      <c r="E90" s="602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81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1"/>
      <c r="R90" s="611"/>
      <c r="S90" s="611"/>
      <c r="T90" s="612"/>
      <c r="U90" s="34"/>
      <c r="V90" s="34"/>
      <c r="W90" s="35" t="s">
        <v>67</v>
      </c>
      <c r="X90" s="597">
        <v>0</v>
      </c>
      <c r="Y90" s="59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x14ac:dyDescent="0.2">
      <c r="A91" s="608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9"/>
      <c r="P91" s="603" t="s">
        <v>72</v>
      </c>
      <c r="Q91" s="604"/>
      <c r="R91" s="604"/>
      <c r="S91" s="604"/>
      <c r="T91" s="604"/>
      <c r="U91" s="604"/>
      <c r="V91" s="605"/>
      <c r="W91" s="37" t="s">
        <v>73</v>
      </c>
      <c r="X91" s="599">
        <f>IFERROR(X87/H87,"0")+IFERROR(X88/H88,"0")+IFERROR(X89/H89,"0")+IFERROR(X90/H90,"0")</f>
        <v>0</v>
      </c>
      <c r="Y91" s="599">
        <f>IFERROR(Y87/H87,"0")+IFERROR(Y88/H88,"0")+IFERROR(Y89/H89,"0")+IFERROR(Y90/H90,"0")</f>
        <v>0</v>
      </c>
      <c r="Z91" s="599">
        <f>IFERROR(IF(Z87="",0,Z87),"0")+IFERROR(IF(Z88="",0,Z88),"0")+IFERROR(IF(Z89="",0,Z89),"0")+IFERROR(IF(Z90="",0,Z90),"0")</f>
        <v>0</v>
      </c>
      <c r="AA91" s="600"/>
      <c r="AB91" s="600"/>
      <c r="AC91" s="600"/>
    </row>
    <row r="92" spans="1:68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9"/>
      <c r="P92" s="603" t="s">
        <v>72</v>
      </c>
      <c r="Q92" s="604"/>
      <c r="R92" s="604"/>
      <c r="S92" s="604"/>
      <c r="T92" s="604"/>
      <c r="U92" s="604"/>
      <c r="V92" s="605"/>
      <c r="W92" s="37" t="s">
        <v>67</v>
      </c>
      <c r="X92" s="599">
        <f>IFERROR(SUM(X87:X90),"0")</f>
        <v>0</v>
      </c>
      <c r="Y92" s="599">
        <f>IFERROR(SUM(Y87:Y90),"0")</f>
        <v>0</v>
      </c>
      <c r="Z92" s="37"/>
      <c r="AA92" s="600"/>
      <c r="AB92" s="600"/>
      <c r="AC92" s="600"/>
    </row>
    <row r="93" spans="1:68" ht="14.25" customHeight="1" x14ac:dyDescent="0.25">
      <c r="A93" s="606" t="s">
        <v>74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1">
        <v>4607091386967</v>
      </c>
      <c r="E94" s="602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66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1"/>
      <c r="R94" s="611"/>
      <c r="S94" s="611"/>
      <c r="T94" s="612"/>
      <c r="U94" s="34"/>
      <c r="V94" s="34"/>
      <c r="W94" s="35" t="s">
        <v>67</v>
      </c>
      <c r="X94" s="597">
        <v>610</v>
      </c>
      <c r="Y94" s="598">
        <f>IFERROR(IF(X94="",0,CEILING((X94/$H94),1)*$H94),"")</f>
        <v>615.6</v>
      </c>
      <c r="Z94" s="36">
        <f>IFERROR(IF(Y94=0,"",ROUNDUP(Y94/H94,0)*0.01898),"")</f>
        <v>1.44248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647.2024691358024</v>
      </c>
      <c r="BN94" s="64">
        <f>IFERROR(Y94*I94/H94,"0")</f>
        <v>653.14400000000001</v>
      </c>
      <c r="BO94" s="64">
        <f>IFERROR(1/J94*(X94/H94),"0")</f>
        <v>1.1766975308641976</v>
      </c>
      <c r="BP94" s="64">
        <f>IFERROR(1/J94*(Y94/H94),"0")</f>
        <v>1.1875</v>
      </c>
    </row>
    <row r="95" spans="1:68" ht="27" customHeight="1" x14ac:dyDescent="0.25">
      <c r="A95" s="54" t="s">
        <v>190</v>
      </c>
      <c r="B95" s="54" t="s">
        <v>191</v>
      </c>
      <c r="C95" s="31">
        <v>4301051788</v>
      </c>
      <c r="D95" s="601">
        <v>4680115884953</v>
      </c>
      <c r="E95" s="602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1"/>
      <c r="R95" s="611"/>
      <c r="S95" s="611"/>
      <c r="T95" s="612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1">
        <v>4607091385731</v>
      </c>
      <c r="E96" s="602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1"/>
      <c r="R96" s="611"/>
      <c r="S96" s="611"/>
      <c r="T96" s="612"/>
      <c r="U96" s="34"/>
      <c r="V96" s="34"/>
      <c r="W96" s="35" t="s">
        <v>67</v>
      </c>
      <c r="X96" s="597">
        <v>0</v>
      </c>
      <c r="Y96" s="59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customHeight="1" x14ac:dyDescent="0.25">
      <c r="A97" s="54" t="s">
        <v>194</v>
      </c>
      <c r="B97" s="54" t="s">
        <v>195</v>
      </c>
      <c r="C97" s="31">
        <v>4301052092</v>
      </c>
      <c r="D97" s="601">
        <v>4680115880894</v>
      </c>
      <c r="E97" s="602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1"/>
      <c r="R97" s="611"/>
      <c r="S97" s="611"/>
      <c r="T97" s="612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9"/>
      <c r="P98" s="603" t="s">
        <v>72</v>
      </c>
      <c r="Q98" s="604"/>
      <c r="R98" s="604"/>
      <c r="S98" s="604"/>
      <c r="T98" s="604"/>
      <c r="U98" s="604"/>
      <c r="V98" s="605"/>
      <c r="W98" s="37" t="s">
        <v>73</v>
      </c>
      <c r="X98" s="599">
        <f>IFERROR(X94/H94,"0")+IFERROR(X95/H95,"0")+IFERROR(X96/H96,"0")+IFERROR(X97/H97,"0")</f>
        <v>75.308641975308646</v>
      </c>
      <c r="Y98" s="599">
        <f>IFERROR(Y94/H94,"0")+IFERROR(Y95/H95,"0")+IFERROR(Y96/H96,"0")+IFERROR(Y97/H97,"0")</f>
        <v>76</v>
      </c>
      <c r="Z98" s="599">
        <f>IFERROR(IF(Z94="",0,Z94),"0")+IFERROR(IF(Z95="",0,Z95),"0")+IFERROR(IF(Z96="",0,Z96),"0")+IFERROR(IF(Z97="",0,Z97),"0")</f>
        <v>1.44248</v>
      </c>
      <c r="AA98" s="600"/>
      <c r="AB98" s="600"/>
      <c r="AC98" s="600"/>
    </row>
    <row r="99" spans="1:68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9"/>
      <c r="P99" s="603" t="s">
        <v>72</v>
      </c>
      <c r="Q99" s="604"/>
      <c r="R99" s="604"/>
      <c r="S99" s="604"/>
      <c r="T99" s="604"/>
      <c r="U99" s="604"/>
      <c r="V99" s="605"/>
      <c r="W99" s="37" t="s">
        <v>67</v>
      </c>
      <c r="X99" s="599">
        <f>IFERROR(SUM(X94:X97),"0")</f>
        <v>610</v>
      </c>
      <c r="Y99" s="599">
        <f>IFERROR(SUM(Y94:Y97),"0")</f>
        <v>615.6</v>
      </c>
      <c r="Z99" s="37"/>
      <c r="AA99" s="600"/>
      <c r="AB99" s="600"/>
      <c r="AC99" s="600"/>
    </row>
    <row r="100" spans="1:68" ht="16.5" customHeight="1" x14ac:dyDescent="0.25">
      <c r="A100" s="616" t="s">
        <v>197</v>
      </c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592"/>
      <c r="AB100" s="592"/>
      <c r="AC100" s="592"/>
    </row>
    <row r="101" spans="1:68" ht="14.25" customHeight="1" x14ac:dyDescent="0.25">
      <c r="A101" s="606" t="s">
        <v>117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1">
        <v>4680115882133</v>
      </c>
      <c r="E102" s="602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1"/>
      <c r="R102" s="611"/>
      <c r="S102" s="611"/>
      <c r="T102" s="612"/>
      <c r="U102" s="34"/>
      <c r="V102" s="34"/>
      <c r="W102" s="35" t="s">
        <v>67</v>
      </c>
      <c r="X102" s="597">
        <v>180</v>
      </c>
      <c r="Y102" s="598">
        <f t="shared" ref="Y102:Y108" si="11">IFERROR(IF(X102="",0,CEILING((X102/$H102),1)*$H102),"")</f>
        <v>183.60000000000002</v>
      </c>
      <c r="Z102" s="36">
        <f>IFERROR(IF(Y102=0,"",ROUNDUP(Y102/H102,0)*0.01898),"")</f>
        <v>0.32266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186.83333333333334</v>
      </c>
      <c r="BN102" s="64">
        <f t="shared" ref="BN102:BN108" si="13">IFERROR(Y102*I102/H102,"0")</f>
        <v>190.57000000000002</v>
      </c>
      <c r="BO102" s="64">
        <f t="shared" ref="BO102:BO108" si="14">IFERROR(1/J102*(X102/H102),"0")</f>
        <v>0.26041666666666663</v>
      </c>
      <c r="BP102" s="64">
        <f t="shared" ref="BP102:BP108" si="15">IFERROR(1/J102*(Y102/H102),"0")</f>
        <v>0.265625</v>
      </c>
    </row>
    <row r="103" spans="1:68" ht="27" customHeight="1" x14ac:dyDescent="0.25">
      <c r="A103" s="54" t="s">
        <v>201</v>
      </c>
      <c r="B103" s="54" t="s">
        <v>202</v>
      </c>
      <c r="C103" s="31">
        <v>4301012051</v>
      </c>
      <c r="D103" s="601">
        <v>4680115887718</v>
      </c>
      <c r="E103" s="602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69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1"/>
      <c r="R103" s="611"/>
      <c r="S103" s="611"/>
      <c r="T103" s="612"/>
      <c r="U103" s="34"/>
      <c r="V103" s="34"/>
      <c r="W103" s="35" t="s">
        <v>67</v>
      </c>
      <c r="X103" s="597">
        <v>0</v>
      </c>
      <c r="Y103" s="598">
        <f t="shared" si="11"/>
        <v>0</v>
      </c>
      <c r="Z103" s="36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customHeight="1" x14ac:dyDescent="0.25">
      <c r="A104" s="54" t="s">
        <v>201</v>
      </c>
      <c r="B104" s="54" t="s">
        <v>204</v>
      </c>
      <c r="C104" s="31">
        <v>4301012334</v>
      </c>
      <c r="D104" s="601">
        <v>4680115887718</v>
      </c>
      <c r="E104" s="602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1"/>
      <c r="R104" s="611"/>
      <c r="S104" s="611"/>
      <c r="T104" s="612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4301012226</v>
      </c>
      <c r="D105" s="601">
        <v>4680115887749</v>
      </c>
      <c r="E105" s="602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1"/>
      <c r="R105" s="611"/>
      <c r="S105" s="611"/>
      <c r="T105" s="612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207</v>
      </c>
      <c r="B106" s="54" t="s">
        <v>208</v>
      </c>
      <c r="C106" s="31">
        <v>4301011417</v>
      </c>
      <c r="D106" s="601">
        <v>4680115880269</v>
      </c>
      <c r="E106" s="602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1"/>
      <c r="R106" s="611"/>
      <c r="S106" s="611"/>
      <c r="T106" s="612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1">
        <v>4680115880429</v>
      </c>
      <c r="E107" s="602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1"/>
      <c r="R107" s="611"/>
      <c r="S107" s="611"/>
      <c r="T107" s="612"/>
      <c r="U107" s="34"/>
      <c r="V107" s="34"/>
      <c r="W107" s="35" t="s">
        <v>67</v>
      </c>
      <c r="X107" s="597">
        <v>0</v>
      </c>
      <c r="Y107" s="598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211</v>
      </c>
      <c r="B108" s="54" t="s">
        <v>212</v>
      </c>
      <c r="C108" s="31">
        <v>4301011462</v>
      </c>
      <c r="D108" s="601">
        <v>4680115881457</v>
      </c>
      <c r="E108" s="602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1"/>
      <c r="R108" s="611"/>
      <c r="S108" s="611"/>
      <c r="T108" s="612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9"/>
      <c r="P109" s="603" t="s">
        <v>72</v>
      </c>
      <c r="Q109" s="604"/>
      <c r="R109" s="604"/>
      <c r="S109" s="604"/>
      <c r="T109" s="604"/>
      <c r="U109" s="604"/>
      <c r="V109" s="60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16.666666666666664</v>
      </c>
      <c r="Y109" s="599">
        <f>IFERROR(Y102/H102,"0")+IFERROR(Y103/H103,"0")+IFERROR(Y104/H104,"0")+IFERROR(Y105/H105,"0")+IFERROR(Y106/H106,"0")+IFERROR(Y107/H107,"0")+IFERROR(Y108/H108,"0")</f>
        <v>17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0.32266</v>
      </c>
      <c r="AA109" s="600"/>
      <c r="AB109" s="600"/>
      <c r="AC109" s="600"/>
    </row>
    <row r="110" spans="1:68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9"/>
      <c r="P110" s="603" t="s">
        <v>72</v>
      </c>
      <c r="Q110" s="604"/>
      <c r="R110" s="604"/>
      <c r="S110" s="604"/>
      <c r="T110" s="604"/>
      <c r="U110" s="604"/>
      <c r="V110" s="605"/>
      <c r="W110" s="37" t="s">
        <v>67</v>
      </c>
      <c r="X110" s="599">
        <f>IFERROR(SUM(X102:X108),"0")</f>
        <v>180</v>
      </c>
      <c r="Y110" s="599">
        <f>IFERROR(SUM(Y102:Y108),"0")</f>
        <v>183.60000000000002</v>
      </c>
      <c r="Z110" s="37"/>
      <c r="AA110" s="600"/>
      <c r="AB110" s="600"/>
      <c r="AC110" s="600"/>
    </row>
    <row r="111" spans="1:68" ht="14.25" customHeight="1" x14ac:dyDescent="0.25">
      <c r="A111" s="606" t="s">
        <v>152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1">
        <v>4680115881488</v>
      </c>
      <c r="E112" s="602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1"/>
      <c r="R112" s="611"/>
      <c r="S112" s="611"/>
      <c r="T112" s="612"/>
      <c r="U112" s="34"/>
      <c r="V112" s="34"/>
      <c r="W112" s="35" t="s">
        <v>67</v>
      </c>
      <c r="X112" s="597">
        <v>0</v>
      </c>
      <c r="Y112" s="598">
        <f t="shared" ref="Y112:Y118" si="16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0</v>
      </c>
      <c r="BN112" s="64">
        <f t="shared" ref="BN112:BN118" si="18">IFERROR(Y112*I112/H112,"0")</f>
        <v>0</v>
      </c>
      <c r="BO112" s="64">
        <f t="shared" ref="BO112:BO118" si="19">IFERROR(1/J112*(X112/H112),"0")</f>
        <v>0</v>
      </c>
      <c r="BP112" s="64">
        <f t="shared" ref="BP112:BP118" si="20">IFERROR(1/J112*(Y112/H112),"0")</f>
        <v>0</v>
      </c>
    </row>
    <row r="113" spans="1:68" ht="27" customHeight="1" x14ac:dyDescent="0.25">
      <c r="A113" s="54" t="s">
        <v>213</v>
      </c>
      <c r="B113" s="54" t="s">
        <v>216</v>
      </c>
      <c r="C113" s="31">
        <v>4301020391</v>
      </c>
      <c r="D113" s="601">
        <v>4680115881488</v>
      </c>
      <c r="E113" s="602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70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1"/>
      <c r="R113" s="611"/>
      <c r="S113" s="611"/>
      <c r="T113" s="612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customHeight="1" x14ac:dyDescent="0.25">
      <c r="A114" s="54" t="s">
        <v>218</v>
      </c>
      <c r="B114" s="54" t="s">
        <v>219</v>
      </c>
      <c r="C114" s="31">
        <v>4301020186</v>
      </c>
      <c r="D114" s="601">
        <v>4680115887664</v>
      </c>
      <c r="E114" s="602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8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1"/>
      <c r="R114" s="611"/>
      <c r="S114" s="611"/>
      <c r="T114" s="612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218</v>
      </c>
      <c r="B115" s="54" t="s">
        <v>222</v>
      </c>
      <c r="C115" s="31">
        <v>4301020430</v>
      </c>
      <c r="D115" s="601">
        <v>4680115887664</v>
      </c>
      <c r="E115" s="602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80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1"/>
      <c r="R115" s="611"/>
      <c r="S115" s="611"/>
      <c r="T115" s="612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223</v>
      </c>
      <c r="B116" s="54" t="s">
        <v>224</v>
      </c>
      <c r="C116" s="31">
        <v>4301020393</v>
      </c>
      <c r="D116" s="601">
        <v>4680115882775</v>
      </c>
      <c r="E116" s="602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6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1"/>
      <c r="R116" s="611"/>
      <c r="S116" s="611"/>
      <c r="T116" s="612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1">
        <v>4301020344</v>
      </c>
      <c r="D117" s="601">
        <v>4680115880658</v>
      </c>
      <c r="E117" s="602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1"/>
      <c r="R117" s="611"/>
      <c r="S117" s="611"/>
      <c r="T117" s="612"/>
      <c r="U117" s="34"/>
      <c r="V117" s="34"/>
      <c r="W117" s="35" t="s">
        <v>67</v>
      </c>
      <c r="X117" s="597">
        <v>0</v>
      </c>
      <c r="Y117" s="598">
        <f t="shared" si="16"/>
        <v>0</v>
      </c>
      <c r="Z117" s="36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27" customHeight="1" x14ac:dyDescent="0.25">
      <c r="A118" s="54" t="s">
        <v>225</v>
      </c>
      <c r="B118" s="54" t="s">
        <v>227</v>
      </c>
      <c r="C118" s="31">
        <v>4301020392</v>
      </c>
      <c r="D118" s="601">
        <v>4680115880658</v>
      </c>
      <c r="E118" s="602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73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1"/>
      <c r="R118" s="611"/>
      <c r="S118" s="611"/>
      <c r="T118" s="612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08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9"/>
      <c r="P119" s="603" t="s">
        <v>72</v>
      </c>
      <c r="Q119" s="604"/>
      <c r="R119" s="604"/>
      <c r="S119" s="604"/>
      <c r="T119" s="604"/>
      <c r="U119" s="604"/>
      <c r="V119" s="60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0</v>
      </c>
      <c r="Y119" s="599">
        <f>IFERROR(Y112/H112,"0")+IFERROR(Y113/H113,"0")+IFERROR(Y114/H114,"0")+IFERROR(Y115/H115,"0")+IFERROR(Y116/H116,"0")+IFERROR(Y117/H117,"0")+IFERROR(Y118/H118,"0")</f>
        <v>0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0"/>
      <c r="AB119" s="600"/>
      <c r="AC119" s="600"/>
    </row>
    <row r="120" spans="1:68" x14ac:dyDescent="0.2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9"/>
      <c r="P120" s="603" t="s">
        <v>72</v>
      </c>
      <c r="Q120" s="604"/>
      <c r="R120" s="604"/>
      <c r="S120" s="604"/>
      <c r="T120" s="604"/>
      <c r="U120" s="604"/>
      <c r="V120" s="605"/>
      <c r="W120" s="37" t="s">
        <v>67</v>
      </c>
      <c r="X120" s="599">
        <f>IFERROR(SUM(X112:X118),"0")</f>
        <v>0</v>
      </c>
      <c r="Y120" s="599">
        <f>IFERROR(SUM(Y112:Y118),"0")</f>
        <v>0</v>
      </c>
      <c r="Z120" s="37"/>
      <c r="AA120" s="600"/>
      <c r="AB120" s="600"/>
      <c r="AC120" s="600"/>
    </row>
    <row r="121" spans="1:68" ht="14.25" customHeight="1" x14ac:dyDescent="0.25">
      <c r="A121" s="606" t="s">
        <v>74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1">
        <v>4607091385168</v>
      </c>
      <c r="E122" s="602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7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1"/>
      <c r="R122" s="611"/>
      <c r="S122" s="611"/>
      <c r="T122" s="612"/>
      <c r="U122" s="34"/>
      <c r="V122" s="34"/>
      <c r="W122" s="35" t="s">
        <v>67</v>
      </c>
      <c r="X122" s="597">
        <v>443</v>
      </c>
      <c r="Y122" s="598">
        <f>IFERROR(IF(X122="",0,CEILING((X122/$H122),1)*$H122),"")</f>
        <v>445.5</v>
      </c>
      <c r="Z122" s="36">
        <f>IFERROR(IF(Y122=0,"",ROUNDUP(Y122/H122,0)*0.01898),"")</f>
        <v>1.0439000000000001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469.68938271604935</v>
      </c>
      <c r="BN122" s="64">
        <f>IFERROR(Y122*I122/H122,"0")</f>
        <v>472.34</v>
      </c>
      <c r="BO122" s="64">
        <f>IFERROR(1/J122*(X122/H122),"0")</f>
        <v>0.85455246913580252</v>
      </c>
      <c r="BP122" s="64">
        <f>IFERROR(1/J122*(Y122/H122),"0")</f>
        <v>0.859375</v>
      </c>
    </row>
    <row r="123" spans="1:68" ht="27" customHeight="1" x14ac:dyDescent="0.25">
      <c r="A123" s="54" t="s">
        <v>231</v>
      </c>
      <c r="B123" s="54" t="s">
        <v>232</v>
      </c>
      <c r="C123" s="31">
        <v>4301051730</v>
      </c>
      <c r="D123" s="601">
        <v>4607091383256</v>
      </c>
      <c r="E123" s="602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1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1"/>
      <c r="R123" s="611"/>
      <c r="S123" s="611"/>
      <c r="T123" s="612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1">
        <v>4607091385748</v>
      </c>
      <c r="E124" s="602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1"/>
      <c r="R124" s="611"/>
      <c r="S124" s="611"/>
      <c r="T124" s="612"/>
      <c r="U124" s="34"/>
      <c r="V124" s="34"/>
      <c r="W124" s="35" t="s">
        <v>67</v>
      </c>
      <c r="X124" s="597">
        <v>129</v>
      </c>
      <c r="Y124" s="598">
        <f>IFERROR(IF(X124="",0,CEILING((X124/$H124),1)*$H124),"")</f>
        <v>129.60000000000002</v>
      </c>
      <c r="Z124" s="36">
        <f>IFERROR(IF(Y124=0,"",ROUNDUP(Y124/H124,0)*0.00651),"")</f>
        <v>0.31247999999999998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141.04</v>
      </c>
      <c r="BN124" s="64">
        <f>IFERROR(Y124*I124/H124,"0")</f>
        <v>141.69600000000003</v>
      </c>
      <c r="BO124" s="64">
        <f>IFERROR(1/J124*(X124/H124),"0")</f>
        <v>0.26251526251526253</v>
      </c>
      <c r="BP124" s="64">
        <f>IFERROR(1/J124*(Y124/H124),"0")</f>
        <v>0.2637362637362638</v>
      </c>
    </row>
    <row r="125" spans="1:68" ht="16.5" customHeight="1" x14ac:dyDescent="0.25">
      <c r="A125" s="54" t="s">
        <v>235</v>
      </c>
      <c r="B125" s="54" t="s">
        <v>236</v>
      </c>
      <c r="C125" s="31">
        <v>4301051740</v>
      </c>
      <c r="D125" s="601">
        <v>4680115884533</v>
      </c>
      <c r="E125" s="602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1"/>
      <c r="R125" s="611"/>
      <c r="S125" s="611"/>
      <c r="T125" s="612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08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9"/>
      <c r="P126" s="603" t="s">
        <v>72</v>
      </c>
      <c r="Q126" s="604"/>
      <c r="R126" s="604"/>
      <c r="S126" s="604"/>
      <c r="T126" s="604"/>
      <c r="U126" s="604"/>
      <c r="V126" s="605"/>
      <c r="W126" s="37" t="s">
        <v>73</v>
      </c>
      <c r="X126" s="599">
        <f>IFERROR(X122/H122,"0")+IFERROR(X123/H123,"0")+IFERROR(X124/H124,"0")+IFERROR(X125/H125,"0")</f>
        <v>102.46913580246914</v>
      </c>
      <c r="Y126" s="599">
        <f>IFERROR(Y122/H122,"0")+IFERROR(Y123/H123,"0")+IFERROR(Y124/H124,"0")+IFERROR(Y125/H125,"0")</f>
        <v>103</v>
      </c>
      <c r="Z126" s="599">
        <f>IFERROR(IF(Z122="",0,Z122),"0")+IFERROR(IF(Z123="",0,Z123),"0")+IFERROR(IF(Z124="",0,Z124),"0")+IFERROR(IF(Z125="",0,Z125),"0")</f>
        <v>1.3563800000000001</v>
      </c>
      <c r="AA126" s="600"/>
      <c r="AB126" s="600"/>
      <c r="AC126" s="600"/>
    </row>
    <row r="127" spans="1:68" x14ac:dyDescent="0.2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9"/>
      <c r="P127" s="603" t="s">
        <v>72</v>
      </c>
      <c r="Q127" s="604"/>
      <c r="R127" s="604"/>
      <c r="S127" s="604"/>
      <c r="T127" s="604"/>
      <c r="U127" s="604"/>
      <c r="V127" s="605"/>
      <c r="W127" s="37" t="s">
        <v>67</v>
      </c>
      <c r="X127" s="599">
        <f>IFERROR(SUM(X122:X125),"0")</f>
        <v>572</v>
      </c>
      <c r="Y127" s="599">
        <f>IFERROR(SUM(Y122:Y125),"0")</f>
        <v>575.1</v>
      </c>
      <c r="Z127" s="37"/>
      <c r="AA127" s="600"/>
      <c r="AB127" s="600"/>
      <c r="AC127" s="600"/>
    </row>
    <row r="128" spans="1:68" ht="14.25" customHeight="1" x14ac:dyDescent="0.25">
      <c r="A128" s="606" t="s">
        <v>169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593"/>
      <c r="AB128" s="593"/>
      <c r="AC128" s="593"/>
    </row>
    <row r="129" spans="1:68" ht="16.5" customHeight="1" x14ac:dyDescent="0.25">
      <c r="A129" s="54" t="s">
        <v>238</v>
      </c>
      <c r="B129" s="54" t="s">
        <v>239</v>
      </c>
      <c r="C129" s="31">
        <v>4301060317</v>
      </c>
      <c r="D129" s="601">
        <v>4680115880238</v>
      </c>
      <c r="E129" s="602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1"/>
      <c r="R129" s="611"/>
      <c r="S129" s="611"/>
      <c r="T129" s="612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08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9"/>
      <c r="P130" s="603" t="s">
        <v>72</v>
      </c>
      <c r="Q130" s="604"/>
      <c r="R130" s="604"/>
      <c r="S130" s="604"/>
      <c r="T130" s="604"/>
      <c r="U130" s="604"/>
      <c r="V130" s="60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x14ac:dyDescent="0.2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9"/>
      <c r="P131" s="603" t="s">
        <v>72</v>
      </c>
      <c r="Q131" s="604"/>
      <c r="R131" s="604"/>
      <c r="S131" s="604"/>
      <c r="T131" s="604"/>
      <c r="U131" s="604"/>
      <c r="V131" s="60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customHeight="1" x14ac:dyDescent="0.25">
      <c r="A132" s="616" t="s">
        <v>241</v>
      </c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592"/>
      <c r="AB132" s="592"/>
      <c r="AC132" s="592"/>
    </row>
    <row r="133" spans="1:68" ht="14.25" customHeight="1" x14ac:dyDescent="0.25">
      <c r="A133" s="606" t="s">
        <v>117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1">
        <v>4680115882577</v>
      </c>
      <c r="E134" s="602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9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1"/>
      <c r="R134" s="611"/>
      <c r="S134" s="611"/>
      <c r="T134" s="612"/>
      <c r="U134" s="34"/>
      <c r="V134" s="34"/>
      <c r="W134" s="35" t="s">
        <v>67</v>
      </c>
      <c r="X134" s="597">
        <v>0</v>
      </c>
      <c r="Y134" s="59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242</v>
      </c>
      <c r="B135" s="54" t="s">
        <v>245</v>
      </c>
      <c r="C135" s="31">
        <v>4301011564</v>
      </c>
      <c r="D135" s="601">
        <v>4680115882577</v>
      </c>
      <c r="E135" s="602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8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1"/>
      <c r="R135" s="611"/>
      <c r="S135" s="611"/>
      <c r="T135" s="612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08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9"/>
      <c r="P136" s="603" t="s">
        <v>72</v>
      </c>
      <c r="Q136" s="604"/>
      <c r="R136" s="604"/>
      <c r="S136" s="604"/>
      <c r="T136" s="604"/>
      <c r="U136" s="604"/>
      <c r="V136" s="605"/>
      <c r="W136" s="37" t="s">
        <v>73</v>
      </c>
      <c r="X136" s="599">
        <f>IFERROR(X134/H134,"0")+IFERROR(X135/H135,"0")</f>
        <v>0</v>
      </c>
      <c r="Y136" s="599">
        <f>IFERROR(Y134/H134,"0")+IFERROR(Y135/H135,"0")</f>
        <v>0</v>
      </c>
      <c r="Z136" s="599">
        <f>IFERROR(IF(Z134="",0,Z134),"0")+IFERROR(IF(Z135="",0,Z135),"0")</f>
        <v>0</v>
      </c>
      <c r="AA136" s="600"/>
      <c r="AB136" s="600"/>
      <c r="AC136" s="600"/>
    </row>
    <row r="137" spans="1:68" x14ac:dyDescent="0.2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9"/>
      <c r="P137" s="603" t="s">
        <v>72</v>
      </c>
      <c r="Q137" s="604"/>
      <c r="R137" s="604"/>
      <c r="S137" s="604"/>
      <c r="T137" s="604"/>
      <c r="U137" s="604"/>
      <c r="V137" s="605"/>
      <c r="W137" s="37" t="s">
        <v>67</v>
      </c>
      <c r="X137" s="599">
        <f>IFERROR(SUM(X134:X135),"0")</f>
        <v>0</v>
      </c>
      <c r="Y137" s="599">
        <f>IFERROR(SUM(Y134:Y135),"0")</f>
        <v>0</v>
      </c>
      <c r="Z137" s="37"/>
      <c r="AA137" s="600"/>
      <c r="AB137" s="600"/>
      <c r="AC137" s="600"/>
    </row>
    <row r="138" spans="1:68" ht="14.25" customHeight="1" x14ac:dyDescent="0.25">
      <c r="A138" s="606" t="s">
        <v>62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1">
        <v>4680115883444</v>
      </c>
      <c r="E139" s="602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87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1"/>
      <c r="R139" s="611"/>
      <c r="S139" s="611"/>
      <c r="T139" s="612"/>
      <c r="U139" s="34"/>
      <c r="V139" s="34"/>
      <c r="W139" s="35" t="s">
        <v>67</v>
      </c>
      <c r="X139" s="597">
        <v>0</v>
      </c>
      <c r="Y139" s="59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246</v>
      </c>
      <c r="B140" s="54" t="s">
        <v>249</v>
      </c>
      <c r="C140" s="31">
        <v>4301031235</v>
      </c>
      <c r="D140" s="601">
        <v>4680115883444</v>
      </c>
      <c r="E140" s="602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1"/>
      <c r="R140" s="611"/>
      <c r="S140" s="611"/>
      <c r="T140" s="612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08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9"/>
      <c r="P141" s="603" t="s">
        <v>72</v>
      </c>
      <c r="Q141" s="604"/>
      <c r="R141" s="604"/>
      <c r="S141" s="604"/>
      <c r="T141" s="604"/>
      <c r="U141" s="604"/>
      <c r="V141" s="605"/>
      <c r="W141" s="37" t="s">
        <v>73</v>
      </c>
      <c r="X141" s="599">
        <f>IFERROR(X139/H139,"0")+IFERROR(X140/H140,"0")</f>
        <v>0</v>
      </c>
      <c r="Y141" s="599">
        <f>IFERROR(Y139/H139,"0")+IFERROR(Y140/H140,"0")</f>
        <v>0</v>
      </c>
      <c r="Z141" s="599">
        <f>IFERROR(IF(Z139="",0,Z139),"0")+IFERROR(IF(Z140="",0,Z140),"0")</f>
        <v>0</v>
      </c>
      <c r="AA141" s="600"/>
      <c r="AB141" s="600"/>
      <c r="AC141" s="600"/>
    </row>
    <row r="142" spans="1:68" x14ac:dyDescent="0.2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9"/>
      <c r="P142" s="603" t="s">
        <v>72</v>
      </c>
      <c r="Q142" s="604"/>
      <c r="R142" s="604"/>
      <c r="S142" s="604"/>
      <c r="T142" s="604"/>
      <c r="U142" s="604"/>
      <c r="V142" s="605"/>
      <c r="W142" s="37" t="s">
        <v>67</v>
      </c>
      <c r="X142" s="599">
        <f>IFERROR(SUM(X139:X140),"0")</f>
        <v>0</v>
      </c>
      <c r="Y142" s="599">
        <f>IFERROR(SUM(Y139:Y140),"0")</f>
        <v>0</v>
      </c>
      <c r="Z142" s="37"/>
      <c r="AA142" s="600"/>
      <c r="AB142" s="600"/>
      <c r="AC142" s="600"/>
    </row>
    <row r="143" spans="1:68" ht="14.25" customHeight="1" x14ac:dyDescent="0.25">
      <c r="A143" s="606" t="s">
        <v>74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1">
        <v>4680115882584</v>
      </c>
      <c r="E144" s="602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1"/>
      <c r="R144" s="611"/>
      <c r="S144" s="611"/>
      <c r="T144" s="612"/>
      <c r="U144" s="34"/>
      <c r="V144" s="34"/>
      <c r="W144" s="35" t="s">
        <v>67</v>
      </c>
      <c r="X144" s="597">
        <v>0</v>
      </c>
      <c r="Y144" s="598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250</v>
      </c>
      <c r="B145" s="54" t="s">
        <v>252</v>
      </c>
      <c r="C145" s="31">
        <v>4301051477</v>
      </c>
      <c r="D145" s="601">
        <v>4680115882584</v>
      </c>
      <c r="E145" s="602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1"/>
      <c r="R145" s="611"/>
      <c r="S145" s="611"/>
      <c r="T145" s="612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08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9"/>
      <c r="P146" s="603" t="s">
        <v>72</v>
      </c>
      <c r="Q146" s="604"/>
      <c r="R146" s="604"/>
      <c r="S146" s="604"/>
      <c r="T146" s="604"/>
      <c r="U146" s="604"/>
      <c r="V146" s="605"/>
      <c r="W146" s="37" t="s">
        <v>73</v>
      </c>
      <c r="X146" s="599">
        <f>IFERROR(X144/H144,"0")+IFERROR(X145/H145,"0")</f>
        <v>0</v>
      </c>
      <c r="Y146" s="599">
        <f>IFERROR(Y144/H144,"0")+IFERROR(Y145/H145,"0")</f>
        <v>0</v>
      </c>
      <c r="Z146" s="599">
        <f>IFERROR(IF(Z144="",0,Z144),"0")+IFERROR(IF(Z145="",0,Z145),"0")</f>
        <v>0</v>
      </c>
      <c r="AA146" s="600"/>
      <c r="AB146" s="600"/>
      <c r="AC146" s="600"/>
    </row>
    <row r="147" spans="1:68" x14ac:dyDescent="0.2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9"/>
      <c r="P147" s="603" t="s">
        <v>72</v>
      </c>
      <c r="Q147" s="604"/>
      <c r="R147" s="604"/>
      <c r="S147" s="604"/>
      <c r="T147" s="604"/>
      <c r="U147" s="604"/>
      <c r="V147" s="605"/>
      <c r="W147" s="37" t="s">
        <v>67</v>
      </c>
      <c r="X147" s="599">
        <f>IFERROR(SUM(X144:X145),"0")</f>
        <v>0</v>
      </c>
      <c r="Y147" s="599">
        <f>IFERROR(SUM(Y144:Y145),"0")</f>
        <v>0</v>
      </c>
      <c r="Z147" s="37"/>
      <c r="AA147" s="600"/>
      <c r="AB147" s="600"/>
      <c r="AC147" s="600"/>
    </row>
    <row r="148" spans="1:68" ht="16.5" customHeight="1" x14ac:dyDescent="0.25">
      <c r="A148" s="616" t="s">
        <v>253</v>
      </c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592"/>
      <c r="AB148" s="592"/>
      <c r="AC148" s="592"/>
    </row>
    <row r="149" spans="1:68" ht="14.25" customHeight="1" x14ac:dyDescent="0.25">
      <c r="A149" s="606" t="s">
        <v>74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593"/>
      <c r="AB149" s="593"/>
      <c r="AC149" s="593"/>
    </row>
    <row r="150" spans="1:68" ht="27" customHeight="1" x14ac:dyDescent="0.25">
      <c r="A150" s="54" t="s">
        <v>254</v>
      </c>
      <c r="B150" s="54" t="s">
        <v>255</v>
      </c>
      <c r="C150" s="31">
        <v>4301052174</v>
      </c>
      <c r="D150" s="601">
        <v>4680115888203</v>
      </c>
      <c r="E150" s="602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2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1"/>
      <c r="R150" s="611"/>
      <c r="S150" s="611"/>
      <c r="T150" s="612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4301052172</v>
      </c>
      <c r="D151" s="601">
        <v>4680115888180</v>
      </c>
      <c r="E151" s="602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1"/>
      <c r="R151" s="611"/>
      <c r="S151" s="611"/>
      <c r="T151" s="612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4301052173</v>
      </c>
      <c r="D152" s="601">
        <v>4680115888197</v>
      </c>
      <c r="E152" s="602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3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1"/>
      <c r="R152" s="611"/>
      <c r="S152" s="611"/>
      <c r="T152" s="612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263</v>
      </c>
      <c r="B153" s="54" t="s">
        <v>264</v>
      </c>
      <c r="C153" s="31">
        <v>4301052175</v>
      </c>
      <c r="D153" s="601">
        <v>4680115888210</v>
      </c>
      <c r="E153" s="602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1"/>
      <c r="R153" s="611"/>
      <c r="S153" s="611"/>
      <c r="T153" s="612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08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9"/>
      <c r="P154" s="603" t="s">
        <v>72</v>
      </c>
      <c r="Q154" s="604"/>
      <c r="R154" s="604"/>
      <c r="S154" s="604"/>
      <c r="T154" s="604"/>
      <c r="U154" s="604"/>
      <c r="V154" s="60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x14ac:dyDescent="0.2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9"/>
      <c r="P155" s="603" t="s">
        <v>72</v>
      </c>
      <c r="Q155" s="604"/>
      <c r="R155" s="604"/>
      <c r="S155" s="604"/>
      <c r="T155" s="604"/>
      <c r="U155" s="604"/>
      <c r="V155" s="60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customHeight="1" x14ac:dyDescent="0.25">
      <c r="A156" s="616" t="s">
        <v>115</v>
      </c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592"/>
      <c r="AB156" s="592"/>
      <c r="AC156" s="592"/>
    </row>
    <row r="157" spans="1:68" ht="14.25" customHeight="1" x14ac:dyDescent="0.25">
      <c r="A157" s="606" t="s">
        <v>117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593"/>
      <c r="AB157" s="593"/>
      <c r="AC157" s="593"/>
    </row>
    <row r="158" spans="1:68" ht="27" customHeight="1" x14ac:dyDescent="0.25">
      <c r="A158" s="54" t="s">
        <v>266</v>
      </c>
      <c r="B158" s="54" t="s">
        <v>267</v>
      </c>
      <c r="C158" s="31">
        <v>4301012244</v>
      </c>
      <c r="D158" s="601">
        <v>4680115887374</v>
      </c>
      <c r="E158" s="602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67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1"/>
      <c r="R158" s="611"/>
      <c r="S158" s="611"/>
      <c r="T158" s="612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269</v>
      </c>
      <c r="B159" s="54" t="s">
        <v>270</v>
      </c>
      <c r="C159" s="31">
        <v>4301011705</v>
      </c>
      <c r="D159" s="601">
        <v>4607091384604</v>
      </c>
      <c r="E159" s="602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8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1"/>
      <c r="R159" s="611"/>
      <c r="S159" s="611"/>
      <c r="T159" s="612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08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9"/>
      <c r="P160" s="603" t="s">
        <v>72</v>
      </c>
      <c r="Q160" s="604"/>
      <c r="R160" s="604"/>
      <c r="S160" s="604"/>
      <c r="T160" s="604"/>
      <c r="U160" s="604"/>
      <c r="V160" s="60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x14ac:dyDescent="0.2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9"/>
      <c r="P161" s="603" t="s">
        <v>72</v>
      </c>
      <c r="Q161" s="604"/>
      <c r="R161" s="604"/>
      <c r="S161" s="604"/>
      <c r="T161" s="604"/>
      <c r="U161" s="604"/>
      <c r="V161" s="60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customHeight="1" x14ac:dyDescent="0.25">
      <c r="A162" s="606" t="s">
        <v>152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593"/>
      <c r="AB162" s="593"/>
      <c r="AC162" s="593"/>
    </row>
    <row r="163" spans="1:68" ht="16.5" customHeight="1" x14ac:dyDescent="0.25">
      <c r="A163" s="54" t="s">
        <v>272</v>
      </c>
      <c r="B163" s="54" t="s">
        <v>273</v>
      </c>
      <c r="C163" s="31">
        <v>4301020410</v>
      </c>
      <c r="D163" s="601">
        <v>4680115887695</v>
      </c>
      <c r="E163" s="602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1"/>
      <c r="R163" s="611"/>
      <c r="S163" s="611"/>
      <c r="T163" s="612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08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9"/>
      <c r="P164" s="603" t="s">
        <v>72</v>
      </c>
      <c r="Q164" s="604"/>
      <c r="R164" s="604"/>
      <c r="S164" s="604"/>
      <c r="T164" s="604"/>
      <c r="U164" s="604"/>
      <c r="V164" s="60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x14ac:dyDescent="0.2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9"/>
      <c r="P165" s="603" t="s">
        <v>72</v>
      </c>
      <c r="Q165" s="604"/>
      <c r="R165" s="604"/>
      <c r="S165" s="604"/>
      <c r="T165" s="604"/>
      <c r="U165" s="604"/>
      <c r="V165" s="60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customHeight="1" x14ac:dyDescent="0.25">
      <c r="A166" s="606" t="s">
        <v>62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593"/>
      <c r="AB166" s="593"/>
      <c r="AC166" s="593"/>
    </row>
    <row r="167" spans="1:68" ht="27" customHeight="1" x14ac:dyDescent="0.25">
      <c r="A167" s="54" t="s">
        <v>275</v>
      </c>
      <c r="B167" s="54" t="s">
        <v>276</v>
      </c>
      <c r="C167" s="31">
        <v>4301031496</v>
      </c>
      <c r="D167" s="601">
        <v>4680115887428</v>
      </c>
      <c r="E167" s="602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73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1"/>
      <c r="R167" s="611"/>
      <c r="S167" s="611"/>
      <c r="T167" s="612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4301030963</v>
      </c>
      <c r="D168" s="601">
        <v>4607091382426</v>
      </c>
      <c r="E168" s="602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7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1"/>
      <c r="R168" s="611"/>
      <c r="S168" s="611"/>
      <c r="T168" s="612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4301031498</v>
      </c>
      <c r="D169" s="601">
        <v>4680115887398</v>
      </c>
      <c r="E169" s="602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1"/>
      <c r="R169" s="611"/>
      <c r="S169" s="611"/>
      <c r="T169" s="612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1">
        <v>4680115887336</v>
      </c>
      <c r="E170" s="602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1"/>
      <c r="R170" s="611"/>
      <c r="S170" s="611"/>
      <c r="T170" s="612"/>
      <c r="U170" s="34"/>
      <c r="V170" s="34"/>
      <c r="W170" s="35" t="s">
        <v>67</v>
      </c>
      <c r="X170" s="597">
        <v>0</v>
      </c>
      <c r="Y170" s="598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16.5" customHeight="1" x14ac:dyDescent="0.25">
      <c r="A171" s="54" t="s">
        <v>287</v>
      </c>
      <c r="B171" s="54" t="s">
        <v>288</v>
      </c>
      <c r="C171" s="31">
        <v>4301032049</v>
      </c>
      <c r="D171" s="601">
        <v>4680115887787</v>
      </c>
      <c r="E171" s="602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7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1"/>
      <c r="R171" s="611"/>
      <c r="S171" s="611"/>
      <c r="T171" s="612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1">
        <v>4680115887503</v>
      </c>
      <c r="E172" s="602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1"/>
      <c r="R172" s="611"/>
      <c r="S172" s="611"/>
      <c r="T172" s="612"/>
      <c r="U172" s="34"/>
      <c r="V172" s="34"/>
      <c r="W172" s="35" t="s">
        <v>67</v>
      </c>
      <c r="X172" s="597">
        <v>0</v>
      </c>
      <c r="Y172" s="598">
        <f t="shared" si="21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4301031389</v>
      </c>
      <c r="D173" s="601">
        <v>4680115887763</v>
      </c>
      <c r="E173" s="602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1"/>
      <c r="R173" s="611"/>
      <c r="S173" s="611"/>
      <c r="T173" s="612"/>
      <c r="U173" s="34"/>
      <c r="V173" s="34"/>
      <c r="W173" s="35" t="s">
        <v>67</v>
      </c>
      <c r="X173" s="597">
        <v>0</v>
      </c>
      <c r="Y173" s="598">
        <f t="shared" si="21"/>
        <v>0</v>
      </c>
      <c r="Z173" s="36" t="str">
        <f>IFERROR(IF(Y173=0,"",ROUNDUP(Y173/H173,0)*0.00417),"")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295</v>
      </c>
      <c r="C174" s="31">
        <v>4301031510</v>
      </c>
      <c r="D174" s="601">
        <v>4680115887763</v>
      </c>
      <c r="E174" s="602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3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1"/>
      <c r="R174" s="611"/>
      <c r="S174" s="611"/>
      <c r="T174" s="612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1">
        <v>4680115887480</v>
      </c>
      <c r="E175" s="602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1"/>
      <c r="R175" s="611"/>
      <c r="S175" s="611"/>
      <c r="T175" s="612"/>
      <c r="U175" s="34"/>
      <c r="V175" s="34"/>
      <c r="W175" s="35" t="s">
        <v>67</v>
      </c>
      <c r="X175" s="597">
        <v>0</v>
      </c>
      <c r="Y175" s="598">
        <f t="shared" si="21"/>
        <v>0</v>
      </c>
      <c r="Z175" s="36" t="str">
        <f>IFERROR(IF(Y175=0,"",ROUNDUP(Y175/H175,0)*0.00502),"")</f>
        <v/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4301031434</v>
      </c>
      <c r="D176" s="601">
        <v>4680115888067</v>
      </c>
      <c r="E176" s="602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7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1"/>
      <c r="R176" s="611"/>
      <c r="S176" s="611"/>
      <c r="T176" s="612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4301031451</v>
      </c>
      <c r="D177" s="601">
        <v>4680115887435</v>
      </c>
      <c r="E177" s="602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1"/>
      <c r="R177" s="611"/>
      <c r="S177" s="611"/>
      <c r="T177" s="612"/>
      <c r="U177" s="34"/>
      <c r="V177" s="34"/>
      <c r="W177" s="35" t="s">
        <v>67</v>
      </c>
      <c r="X177" s="597">
        <v>0</v>
      </c>
      <c r="Y177" s="598">
        <f t="shared" si="21"/>
        <v>0</v>
      </c>
      <c r="Z177" s="36" t="str">
        <f>IFERROR(IF(Y177=0,"",ROUNDUP(Y177/H177,0)*0.00502),"")</f>
        <v/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x14ac:dyDescent="0.2">
      <c r="A178" s="608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9"/>
      <c r="P178" s="603" t="s">
        <v>72</v>
      </c>
      <c r="Q178" s="604"/>
      <c r="R178" s="604"/>
      <c r="S178" s="604"/>
      <c r="T178" s="604"/>
      <c r="U178" s="604"/>
      <c r="V178" s="60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00"/>
      <c r="AB178" s="600"/>
      <c r="AC178" s="600"/>
    </row>
    <row r="179" spans="1:68" x14ac:dyDescent="0.2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9"/>
      <c r="P179" s="603" t="s">
        <v>72</v>
      </c>
      <c r="Q179" s="604"/>
      <c r="R179" s="604"/>
      <c r="S179" s="604"/>
      <c r="T179" s="604"/>
      <c r="U179" s="604"/>
      <c r="V179" s="605"/>
      <c r="W179" s="37" t="s">
        <v>67</v>
      </c>
      <c r="X179" s="599">
        <f>IFERROR(SUM(X167:X177),"0")</f>
        <v>0</v>
      </c>
      <c r="Y179" s="599">
        <f>IFERROR(SUM(Y167:Y177),"0")</f>
        <v>0</v>
      </c>
      <c r="Z179" s="37"/>
      <c r="AA179" s="600"/>
      <c r="AB179" s="600"/>
      <c r="AC179" s="600"/>
    </row>
    <row r="180" spans="1:68" ht="14.25" customHeight="1" x14ac:dyDescent="0.25">
      <c r="A180" s="606" t="s">
        <v>74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593"/>
      <c r="AB180" s="593"/>
      <c r="AC180" s="593"/>
    </row>
    <row r="181" spans="1:68" ht="16.5" customHeight="1" x14ac:dyDescent="0.25">
      <c r="A181" s="54" t="s">
        <v>303</v>
      </c>
      <c r="B181" s="54" t="s">
        <v>304</v>
      </c>
      <c r="C181" s="31">
        <v>4301052193</v>
      </c>
      <c r="D181" s="601">
        <v>4680115888395</v>
      </c>
      <c r="E181" s="602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1"/>
      <c r="R181" s="611"/>
      <c r="S181" s="611"/>
      <c r="T181" s="612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306</v>
      </c>
      <c r="B182" s="54" t="s">
        <v>307</v>
      </c>
      <c r="C182" s="31">
        <v>4301052191</v>
      </c>
      <c r="D182" s="601">
        <v>4680115888371</v>
      </c>
      <c r="E182" s="602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1"/>
      <c r="R182" s="611"/>
      <c r="S182" s="611"/>
      <c r="T182" s="612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4301052064</v>
      </c>
      <c r="D183" s="601">
        <v>4680115887459</v>
      </c>
      <c r="E183" s="602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1"/>
      <c r="R183" s="611"/>
      <c r="S183" s="611"/>
      <c r="T183" s="612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08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9"/>
      <c r="P184" s="603" t="s">
        <v>72</v>
      </c>
      <c r="Q184" s="604"/>
      <c r="R184" s="604"/>
      <c r="S184" s="604"/>
      <c r="T184" s="604"/>
      <c r="U184" s="604"/>
      <c r="V184" s="60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x14ac:dyDescent="0.2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9"/>
      <c r="P185" s="603" t="s">
        <v>72</v>
      </c>
      <c r="Q185" s="604"/>
      <c r="R185" s="604"/>
      <c r="S185" s="604"/>
      <c r="T185" s="604"/>
      <c r="U185" s="604"/>
      <c r="V185" s="60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customHeight="1" x14ac:dyDescent="0.25">
      <c r="A186" s="606" t="s">
        <v>95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593"/>
      <c r="AB186" s="593"/>
      <c r="AC186" s="593"/>
    </row>
    <row r="187" spans="1:68" ht="16.5" customHeight="1" x14ac:dyDescent="0.25">
      <c r="A187" s="54" t="s">
        <v>312</v>
      </c>
      <c r="B187" s="54" t="s">
        <v>313</v>
      </c>
      <c r="C187" s="31">
        <v>4301032058</v>
      </c>
      <c r="D187" s="601">
        <v>4680115889026</v>
      </c>
      <c r="E187" s="602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7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1"/>
      <c r="R187" s="611"/>
      <c r="S187" s="611"/>
      <c r="T187" s="612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317</v>
      </c>
      <c r="B188" s="54" t="s">
        <v>318</v>
      </c>
      <c r="C188" s="31">
        <v>4301032057</v>
      </c>
      <c r="D188" s="601">
        <v>4680115889088</v>
      </c>
      <c r="E188" s="602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8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1"/>
      <c r="R188" s="611"/>
      <c r="S188" s="611"/>
      <c r="T188" s="612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08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9"/>
      <c r="P189" s="603" t="s">
        <v>72</v>
      </c>
      <c r="Q189" s="604"/>
      <c r="R189" s="604"/>
      <c r="S189" s="604"/>
      <c r="T189" s="604"/>
      <c r="U189" s="604"/>
      <c r="V189" s="60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x14ac:dyDescent="0.2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9"/>
      <c r="P190" s="603" t="s">
        <v>72</v>
      </c>
      <c r="Q190" s="604"/>
      <c r="R190" s="604"/>
      <c r="S190" s="604"/>
      <c r="T190" s="604"/>
      <c r="U190" s="604"/>
      <c r="V190" s="60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customHeight="1" x14ac:dyDescent="0.25">
      <c r="A191" s="606" t="s">
        <v>320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593"/>
      <c r="AB191" s="593"/>
      <c r="AC191" s="593"/>
    </row>
    <row r="192" spans="1:68" ht="27" customHeight="1" x14ac:dyDescent="0.25">
      <c r="A192" s="54" t="s">
        <v>321</v>
      </c>
      <c r="B192" s="54" t="s">
        <v>322</v>
      </c>
      <c r="C192" s="31">
        <v>4301041009</v>
      </c>
      <c r="D192" s="601">
        <v>4680115889033</v>
      </c>
      <c r="E192" s="602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70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1"/>
      <c r="R192" s="611"/>
      <c r="S192" s="611"/>
      <c r="T192" s="612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08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9"/>
      <c r="P193" s="603" t="s">
        <v>72</v>
      </c>
      <c r="Q193" s="604"/>
      <c r="R193" s="604"/>
      <c r="S193" s="604"/>
      <c r="T193" s="604"/>
      <c r="U193" s="604"/>
      <c r="V193" s="60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x14ac:dyDescent="0.2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9"/>
      <c r="P194" s="603" t="s">
        <v>72</v>
      </c>
      <c r="Q194" s="604"/>
      <c r="R194" s="604"/>
      <c r="S194" s="604"/>
      <c r="T194" s="604"/>
      <c r="U194" s="604"/>
      <c r="V194" s="60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customHeight="1" x14ac:dyDescent="0.2">
      <c r="A195" s="633" t="s">
        <v>324</v>
      </c>
      <c r="B195" s="634"/>
      <c r="C195" s="634"/>
      <c r="D195" s="634"/>
      <c r="E195" s="634"/>
      <c r="F195" s="634"/>
      <c r="G195" s="634"/>
      <c r="H195" s="634"/>
      <c r="I195" s="634"/>
      <c r="J195" s="634"/>
      <c r="K195" s="634"/>
      <c r="L195" s="634"/>
      <c r="M195" s="634"/>
      <c r="N195" s="634"/>
      <c r="O195" s="634"/>
      <c r="P195" s="634"/>
      <c r="Q195" s="634"/>
      <c r="R195" s="634"/>
      <c r="S195" s="634"/>
      <c r="T195" s="634"/>
      <c r="U195" s="634"/>
      <c r="V195" s="634"/>
      <c r="W195" s="634"/>
      <c r="X195" s="634"/>
      <c r="Y195" s="634"/>
      <c r="Z195" s="634"/>
      <c r="AA195" s="48"/>
      <c r="AB195" s="48"/>
      <c r="AC195" s="48"/>
    </row>
    <row r="196" spans="1:68" ht="16.5" customHeight="1" x14ac:dyDescent="0.25">
      <c r="A196" s="616" t="s">
        <v>325</v>
      </c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592"/>
      <c r="AB196" s="592"/>
      <c r="AC196" s="592"/>
    </row>
    <row r="197" spans="1:68" ht="14.25" customHeight="1" x14ac:dyDescent="0.25">
      <c r="A197" s="606" t="s">
        <v>117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593"/>
      <c r="AB197" s="593"/>
      <c r="AC197" s="593"/>
    </row>
    <row r="198" spans="1:68" ht="27" customHeight="1" x14ac:dyDescent="0.25">
      <c r="A198" s="54" t="s">
        <v>326</v>
      </c>
      <c r="B198" s="54" t="s">
        <v>327</v>
      </c>
      <c r="C198" s="31">
        <v>4301011223</v>
      </c>
      <c r="D198" s="601">
        <v>4607091383423</v>
      </c>
      <c r="E198" s="602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8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1"/>
      <c r="R198" s="611"/>
      <c r="S198" s="611"/>
      <c r="T198" s="612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customHeight="1" x14ac:dyDescent="0.25">
      <c r="A199" s="54" t="s">
        <v>328</v>
      </c>
      <c r="B199" s="54" t="s">
        <v>329</v>
      </c>
      <c r="C199" s="31">
        <v>4301012199</v>
      </c>
      <c r="D199" s="601">
        <v>4680115886957</v>
      </c>
      <c r="E199" s="602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92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1"/>
      <c r="R199" s="611"/>
      <c r="S199" s="611"/>
      <c r="T199" s="612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customHeight="1" x14ac:dyDescent="0.25">
      <c r="A200" s="54" t="s">
        <v>331</v>
      </c>
      <c r="B200" s="54" t="s">
        <v>332</v>
      </c>
      <c r="C200" s="31">
        <v>4301012098</v>
      </c>
      <c r="D200" s="601">
        <v>4680115885660</v>
      </c>
      <c r="E200" s="602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1"/>
      <c r="R200" s="611"/>
      <c r="S200" s="611"/>
      <c r="T200" s="612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334</v>
      </c>
      <c r="B201" s="54" t="s">
        <v>335</v>
      </c>
      <c r="C201" s="31">
        <v>4301012369</v>
      </c>
      <c r="D201" s="601">
        <v>4680115886773</v>
      </c>
      <c r="E201" s="602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1"/>
      <c r="R201" s="611"/>
      <c r="S201" s="611"/>
      <c r="T201" s="612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08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9"/>
      <c r="P202" s="603" t="s">
        <v>72</v>
      </c>
      <c r="Q202" s="604"/>
      <c r="R202" s="604"/>
      <c r="S202" s="604"/>
      <c r="T202" s="604"/>
      <c r="U202" s="604"/>
      <c r="V202" s="60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x14ac:dyDescent="0.2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9"/>
      <c r="P203" s="603" t="s">
        <v>72</v>
      </c>
      <c r="Q203" s="604"/>
      <c r="R203" s="604"/>
      <c r="S203" s="604"/>
      <c r="T203" s="604"/>
      <c r="U203" s="604"/>
      <c r="V203" s="60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customHeight="1" x14ac:dyDescent="0.25">
      <c r="A204" s="616" t="s">
        <v>337</v>
      </c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592"/>
      <c r="AB204" s="592"/>
      <c r="AC204" s="592"/>
    </row>
    <row r="205" spans="1:68" ht="14.25" customHeight="1" x14ac:dyDescent="0.25">
      <c r="A205" s="606" t="s">
        <v>152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593"/>
      <c r="AB205" s="593"/>
      <c r="AC205" s="593"/>
    </row>
    <row r="206" spans="1:68" ht="27" customHeight="1" x14ac:dyDescent="0.25">
      <c r="A206" s="54" t="s">
        <v>338</v>
      </c>
      <c r="B206" s="54" t="s">
        <v>339</v>
      </c>
      <c r="C206" s="31">
        <v>4301020323</v>
      </c>
      <c r="D206" s="601">
        <v>4680115886223</v>
      </c>
      <c r="E206" s="602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80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1"/>
      <c r="R206" s="611"/>
      <c r="S206" s="611"/>
      <c r="T206" s="612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x14ac:dyDescent="0.2">
      <c r="A207" s="608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9"/>
      <c r="P207" s="603" t="s">
        <v>72</v>
      </c>
      <c r="Q207" s="604"/>
      <c r="R207" s="604"/>
      <c r="S207" s="604"/>
      <c r="T207" s="604"/>
      <c r="U207" s="604"/>
      <c r="V207" s="60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x14ac:dyDescent="0.2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9"/>
      <c r="P208" s="603" t="s">
        <v>72</v>
      </c>
      <c r="Q208" s="604"/>
      <c r="R208" s="604"/>
      <c r="S208" s="604"/>
      <c r="T208" s="604"/>
      <c r="U208" s="604"/>
      <c r="V208" s="60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customHeight="1" x14ac:dyDescent="0.25">
      <c r="A209" s="606" t="s">
        <v>62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593"/>
      <c r="AB209" s="593"/>
      <c r="AC209" s="593"/>
    </row>
    <row r="210" spans="1:68" ht="27" customHeight="1" x14ac:dyDescent="0.25">
      <c r="A210" s="54" t="s">
        <v>341</v>
      </c>
      <c r="B210" s="54" t="s">
        <v>342</v>
      </c>
      <c r="C210" s="31">
        <v>4301031191</v>
      </c>
      <c r="D210" s="601">
        <v>4680115880993</v>
      </c>
      <c r="E210" s="602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7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1"/>
      <c r="R210" s="611"/>
      <c r="S210" s="611"/>
      <c r="T210" s="612"/>
      <c r="U210" s="34"/>
      <c r="V210" s="34"/>
      <c r="W210" s="35" t="s">
        <v>67</v>
      </c>
      <c r="X210" s="597">
        <v>0</v>
      </c>
      <c r="Y210" s="598">
        <f t="shared" ref="Y210:Y223" si="26">IFERROR(IF(X210="",0,CEILING((X210/$H210),1)*$H210),"")</f>
        <v>0</v>
      </c>
      <c r="Z210" s="36" t="str">
        <f>IFERROR(IF(Y210=0,"",ROUNDUP(Y210/H210,0)*0.00902),"")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0</v>
      </c>
      <c r="BN210" s="64">
        <f t="shared" ref="BN210:BN223" si="28">IFERROR(Y210*I210/H210,"0")</f>
        <v>0</v>
      </c>
      <c r="BO210" s="64">
        <f t="shared" ref="BO210:BO223" si="29">IFERROR(1/J210*(X210/H210),"0")</f>
        <v>0</v>
      </c>
      <c r="BP210" s="64">
        <f t="shared" ref="BP210:BP223" si="30">IFERROR(1/J210*(Y210/H210),"0")</f>
        <v>0</v>
      </c>
    </row>
    <row r="211" spans="1:68" ht="27" customHeight="1" x14ac:dyDescent="0.25">
      <c r="A211" s="54" t="s">
        <v>344</v>
      </c>
      <c r="B211" s="54" t="s">
        <v>345</v>
      </c>
      <c r="C211" s="31">
        <v>4301031204</v>
      </c>
      <c r="D211" s="601">
        <v>4680115881761</v>
      </c>
      <c r="E211" s="602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7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1"/>
      <c r="R211" s="611"/>
      <c r="S211" s="611"/>
      <c r="T211" s="612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1">
        <v>4680115881563</v>
      </c>
      <c r="E212" s="602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1"/>
      <c r="R212" s="611"/>
      <c r="S212" s="611"/>
      <c r="T212" s="612"/>
      <c r="U212" s="34"/>
      <c r="V212" s="34"/>
      <c r="W212" s="35" t="s">
        <v>67</v>
      </c>
      <c r="X212" s="597">
        <v>0</v>
      </c>
      <c r="Y212" s="598">
        <f t="shared" si="26"/>
        <v>0</v>
      </c>
      <c r="Z212" s="36" t="str">
        <f>IFERROR(IF(Y212=0,"",ROUNDUP(Y212/H212,0)*0.00902),"")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1">
        <v>4680115887565</v>
      </c>
      <c r="E213" s="602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62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1"/>
      <c r="R213" s="611"/>
      <c r="S213" s="611"/>
      <c r="T213" s="612"/>
      <c r="U213" s="34"/>
      <c r="V213" s="34"/>
      <c r="W213" s="35" t="s">
        <v>67</v>
      </c>
      <c r="X213" s="597">
        <v>0</v>
      </c>
      <c r="Y213" s="598">
        <f t="shared" si="26"/>
        <v>0</v>
      </c>
      <c r="Z213" s="36" t="str">
        <f>IFERROR(IF(Y213=0,"",ROUNDUP(Y213/H213,0)*0.00556),"")</f>
        <v/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1">
        <v>4680115880986</v>
      </c>
      <c r="E214" s="602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8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1"/>
      <c r="R214" s="611"/>
      <c r="S214" s="611"/>
      <c r="T214" s="612"/>
      <c r="U214" s="34"/>
      <c r="V214" s="34"/>
      <c r="W214" s="35" t="s">
        <v>67</v>
      </c>
      <c r="X214" s="597">
        <v>75</v>
      </c>
      <c r="Y214" s="598">
        <f t="shared" si="26"/>
        <v>75.600000000000009</v>
      </c>
      <c r="Z214" s="36">
        <f t="shared" ref="Z214:Z219" si="31">IFERROR(IF(Y214=0,"",ROUNDUP(Y214/H214,0)*0.00502),"")</f>
        <v>0.18071999999999999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79.642857142857139</v>
      </c>
      <c r="BN214" s="64">
        <f t="shared" si="28"/>
        <v>80.28</v>
      </c>
      <c r="BO214" s="64">
        <f t="shared" si="29"/>
        <v>0.15262515262515264</v>
      </c>
      <c r="BP214" s="64">
        <f t="shared" si="30"/>
        <v>0.15384615384615385</v>
      </c>
    </row>
    <row r="215" spans="1:68" ht="27" customHeight="1" x14ac:dyDescent="0.25">
      <c r="A215" s="54" t="s">
        <v>355</v>
      </c>
      <c r="B215" s="54" t="s">
        <v>356</v>
      </c>
      <c r="C215" s="31">
        <v>4301031443</v>
      </c>
      <c r="D215" s="601">
        <v>4680115887213</v>
      </c>
      <c r="E215" s="602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1"/>
      <c r="R215" s="611"/>
      <c r="S215" s="611"/>
      <c r="T215" s="612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358</v>
      </c>
      <c r="B216" s="54" t="s">
        <v>359</v>
      </c>
      <c r="C216" s="31">
        <v>4301031205</v>
      </c>
      <c r="D216" s="601">
        <v>4680115881785</v>
      </c>
      <c r="E216" s="602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1"/>
      <c r="R216" s="611"/>
      <c r="S216" s="611"/>
      <c r="T216" s="612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4301031499</v>
      </c>
      <c r="D217" s="601">
        <v>4680115888432</v>
      </c>
      <c r="E217" s="602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1"/>
      <c r="R217" s="611"/>
      <c r="S217" s="611"/>
      <c r="T217" s="612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4301031427</v>
      </c>
      <c r="D218" s="601">
        <v>4680115888104</v>
      </c>
      <c r="E218" s="602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1"/>
      <c r="R218" s="611"/>
      <c r="S218" s="611"/>
      <c r="T218" s="612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1">
        <v>4680115886537</v>
      </c>
      <c r="E219" s="602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1"/>
      <c r="R219" s="611"/>
      <c r="S219" s="611"/>
      <c r="T219" s="612"/>
      <c r="U219" s="34"/>
      <c r="V219" s="34"/>
      <c r="W219" s="35" t="s">
        <v>67</v>
      </c>
      <c r="X219" s="597">
        <v>62</v>
      </c>
      <c r="Y219" s="598">
        <f t="shared" si="26"/>
        <v>63</v>
      </c>
      <c r="Z219" s="36">
        <f t="shared" si="31"/>
        <v>0.1757</v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66.477777777777774</v>
      </c>
      <c r="BN219" s="64">
        <f t="shared" si="28"/>
        <v>67.55</v>
      </c>
      <c r="BO219" s="64">
        <f t="shared" si="29"/>
        <v>0.14719848053181386</v>
      </c>
      <c r="BP219" s="64">
        <f t="shared" si="30"/>
        <v>0.1495726495726496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1">
        <v>4680115887596</v>
      </c>
      <c r="E220" s="602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6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1"/>
      <c r="R220" s="611"/>
      <c r="S220" s="611"/>
      <c r="T220" s="612"/>
      <c r="U220" s="34"/>
      <c r="V220" s="34"/>
      <c r="W220" s="35" t="s">
        <v>67</v>
      </c>
      <c r="X220" s="597">
        <v>0</v>
      </c>
      <c r="Y220" s="598">
        <f t="shared" si="26"/>
        <v>0</v>
      </c>
      <c r="Z220" s="36" t="str">
        <f>IFERROR(IF(Y220=0,"",ROUNDUP(Y220/H220,0)*0.00417),"")</f>
        <v/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1">
        <v>4680115881679</v>
      </c>
      <c r="E221" s="602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1"/>
      <c r="R221" s="611"/>
      <c r="S221" s="611"/>
      <c r="T221" s="612"/>
      <c r="U221" s="34"/>
      <c r="V221" s="34"/>
      <c r="W221" s="35" t="s">
        <v>67</v>
      </c>
      <c r="X221" s="597">
        <v>352</v>
      </c>
      <c r="Y221" s="598">
        <f t="shared" si="26"/>
        <v>352.8</v>
      </c>
      <c r="Z221" s="36">
        <f>IFERROR(IF(Y221=0,"",ROUNDUP(Y221/H221,0)*0.00502),"")</f>
        <v>0.84336</v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368.76190476190482</v>
      </c>
      <c r="BN221" s="64">
        <f t="shared" si="28"/>
        <v>369.6</v>
      </c>
      <c r="BO221" s="64">
        <f t="shared" si="29"/>
        <v>0.71632071632071637</v>
      </c>
      <c r="BP221" s="64">
        <f t="shared" si="30"/>
        <v>0.71794871794871806</v>
      </c>
    </row>
    <row r="222" spans="1:68" ht="27" customHeight="1" x14ac:dyDescent="0.25">
      <c r="A222" s="54" t="s">
        <v>374</v>
      </c>
      <c r="B222" s="54" t="s">
        <v>375</v>
      </c>
      <c r="C222" s="31">
        <v>4301031158</v>
      </c>
      <c r="D222" s="601">
        <v>4680115880191</v>
      </c>
      <c r="E222" s="602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1"/>
      <c r="R222" s="611"/>
      <c r="S222" s="611"/>
      <c r="T222" s="612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4301031245</v>
      </c>
      <c r="D223" s="601">
        <v>4680115883963</v>
      </c>
      <c r="E223" s="602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1"/>
      <c r="R223" s="611"/>
      <c r="S223" s="611"/>
      <c r="T223" s="612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08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9"/>
      <c r="P224" s="603" t="s">
        <v>72</v>
      </c>
      <c r="Q224" s="604"/>
      <c r="R224" s="604"/>
      <c r="S224" s="604"/>
      <c r="T224" s="604"/>
      <c r="U224" s="604"/>
      <c r="V224" s="60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237.77777777777777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239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1.1997800000000001</v>
      </c>
      <c r="AA224" s="600"/>
      <c r="AB224" s="600"/>
      <c r="AC224" s="600"/>
    </row>
    <row r="225" spans="1:68" x14ac:dyDescent="0.2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9"/>
      <c r="P225" s="603" t="s">
        <v>72</v>
      </c>
      <c r="Q225" s="604"/>
      <c r="R225" s="604"/>
      <c r="S225" s="604"/>
      <c r="T225" s="604"/>
      <c r="U225" s="604"/>
      <c r="V225" s="605"/>
      <c r="W225" s="37" t="s">
        <v>67</v>
      </c>
      <c r="X225" s="599">
        <f>IFERROR(SUM(X210:X223),"0")</f>
        <v>489</v>
      </c>
      <c r="Y225" s="599">
        <f>IFERROR(SUM(Y210:Y223),"0")</f>
        <v>491.40000000000003</v>
      </c>
      <c r="Z225" s="37"/>
      <c r="AA225" s="600"/>
      <c r="AB225" s="600"/>
      <c r="AC225" s="600"/>
    </row>
    <row r="226" spans="1:68" ht="14.25" customHeight="1" x14ac:dyDescent="0.25">
      <c r="A226" s="606" t="s">
        <v>74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593"/>
      <c r="AB226" s="593"/>
      <c r="AC226" s="593"/>
    </row>
    <row r="227" spans="1:68" ht="16.5" customHeight="1" x14ac:dyDescent="0.25">
      <c r="A227" s="54" t="s">
        <v>379</v>
      </c>
      <c r="B227" s="54" t="s">
        <v>380</v>
      </c>
      <c r="C227" s="31">
        <v>4301052209</v>
      </c>
      <c r="D227" s="601">
        <v>4680115888692</v>
      </c>
      <c r="E227" s="602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855" t="s">
        <v>381</v>
      </c>
      <c r="Q227" s="611"/>
      <c r="R227" s="611"/>
      <c r="S227" s="611"/>
      <c r="T227" s="612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4301052213</v>
      </c>
      <c r="D228" s="601">
        <v>4680115888722</v>
      </c>
      <c r="E228" s="602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928" t="s">
        <v>386</v>
      </c>
      <c r="Q228" s="611"/>
      <c r="R228" s="611"/>
      <c r="S228" s="611"/>
      <c r="T228" s="612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4301052177</v>
      </c>
      <c r="D229" s="601">
        <v>4680115888951</v>
      </c>
      <c r="E229" s="602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8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1"/>
      <c r="R229" s="611"/>
      <c r="S229" s="611"/>
      <c r="T229" s="612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customHeight="1" x14ac:dyDescent="0.25">
      <c r="A230" s="54" t="s">
        <v>391</v>
      </c>
      <c r="B230" s="54" t="s">
        <v>392</v>
      </c>
      <c r="C230" s="31">
        <v>4301052176</v>
      </c>
      <c r="D230" s="601">
        <v>4680115888982</v>
      </c>
      <c r="E230" s="602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6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1"/>
      <c r="R230" s="611"/>
      <c r="S230" s="611"/>
      <c r="T230" s="612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x14ac:dyDescent="0.2">
      <c r="A231" s="608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9"/>
      <c r="P231" s="603" t="s">
        <v>72</v>
      </c>
      <c r="Q231" s="604"/>
      <c r="R231" s="604"/>
      <c r="S231" s="604"/>
      <c r="T231" s="604"/>
      <c r="U231" s="604"/>
      <c r="V231" s="60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x14ac:dyDescent="0.2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9"/>
      <c r="P232" s="603" t="s">
        <v>72</v>
      </c>
      <c r="Q232" s="604"/>
      <c r="R232" s="604"/>
      <c r="S232" s="604"/>
      <c r="T232" s="604"/>
      <c r="U232" s="604"/>
      <c r="V232" s="60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customHeight="1" x14ac:dyDescent="0.25">
      <c r="A233" s="606" t="s">
        <v>95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593"/>
      <c r="AB233" s="593"/>
      <c r="AC233" s="593"/>
    </row>
    <row r="234" spans="1:68" ht="27" customHeight="1" x14ac:dyDescent="0.25">
      <c r="A234" s="54" t="s">
        <v>393</v>
      </c>
      <c r="B234" s="54" t="s">
        <v>394</v>
      </c>
      <c r="C234" s="31">
        <v>4301032053</v>
      </c>
      <c r="D234" s="601">
        <v>4680115886780</v>
      </c>
      <c r="E234" s="602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6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1"/>
      <c r="R234" s="611"/>
      <c r="S234" s="611"/>
      <c r="T234" s="612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4301032051</v>
      </c>
      <c r="D235" s="601">
        <v>4680115886742</v>
      </c>
      <c r="E235" s="602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8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1"/>
      <c r="R235" s="611"/>
      <c r="S235" s="611"/>
      <c r="T235" s="612"/>
      <c r="U235" s="34"/>
      <c r="V235" s="34"/>
      <c r="W235" s="35" t="s">
        <v>67</v>
      </c>
      <c r="X235" s="597">
        <v>0</v>
      </c>
      <c r="Y235" s="598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4301032052</v>
      </c>
      <c r="D236" s="601">
        <v>4680115886766</v>
      </c>
      <c r="E236" s="602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6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1"/>
      <c r="R236" s="611"/>
      <c r="S236" s="611"/>
      <c r="T236" s="612"/>
      <c r="U236" s="34"/>
      <c r="V236" s="34"/>
      <c r="W236" s="35" t="s">
        <v>67</v>
      </c>
      <c r="X236" s="597">
        <v>0</v>
      </c>
      <c r="Y236" s="598">
        <f>IFERROR(IF(X236="",0,CEILING((X236/$H236),1)*$H236),"")</f>
        <v>0</v>
      </c>
      <c r="Z236" s="36" t="str">
        <f>IFERROR(IF(Y236=0,"",ROUNDUP(Y236/H236,0)*0.0059),"")</f>
        <v/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x14ac:dyDescent="0.2">
      <c r="A237" s="608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9"/>
      <c r="P237" s="603" t="s">
        <v>72</v>
      </c>
      <c r="Q237" s="604"/>
      <c r="R237" s="604"/>
      <c r="S237" s="604"/>
      <c r="T237" s="604"/>
      <c r="U237" s="604"/>
      <c r="V237" s="605"/>
      <c r="W237" s="37" t="s">
        <v>73</v>
      </c>
      <c r="X237" s="599">
        <f>IFERROR(X234/H234,"0")+IFERROR(X235/H235,"0")+IFERROR(X236/H236,"0")</f>
        <v>0</v>
      </c>
      <c r="Y237" s="599">
        <f>IFERROR(Y234/H234,"0")+IFERROR(Y235/H235,"0")+IFERROR(Y236/H236,"0")</f>
        <v>0</v>
      </c>
      <c r="Z237" s="599">
        <f>IFERROR(IF(Z234="",0,Z234),"0")+IFERROR(IF(Z235="",0,Z235),"0")+IFERROR(IF(Z236="",0,Z236),"0")</f>
        <v>0</v>
      </c>
      <c r="AA237" s="600"/>
      <c r="AB237" s="600"/>
      <c r="AC237" s="600"/>
    </row>
    <row r="238" spans="1:68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9"/>
      <c r="P238" s="603" t="s">
        <v>72</v>
      </c>
      <c r="Q238" s="604"/>
      <c r="R238" s="604"/>
      <c r="S238" s="604"/>
      <c r="T238" s="604"/>
      <c r="U238" s="604"/>
      <c r="V238" s="605"/>
      <c r="W238" s="37" t="s">
        <v>67</v>
      </c>
      <c r="X238" s="599">
        <f>IFERROR(SUM(X234:X236),"0")</f>
        <v>0</v>
      </c>
      <c r="Y238" s="599">
        <f>IFERROR(SUM(Y234:Y236),"0")</f>
        <v>0</v>
      </c>
      <c r="Z238" s="37"/>
      <c r="AA238" s="600"/>
      <c r="AB238" s="600"/>
      <c r="AC238" s="600"/>
    </row>
    <row r="239" spans="1:68" ht="14.25" customHeight="1" x14ac:dyDescent="0.25">
      <c r="A239" s="606" t="s">
        <v>401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593"/>
      <c r="AB239" s="593"/>
      <c r="AC239" s="593"/>
    </row>
    <row r="240" spans="1:68" ht="27" customHeight="1" x14ac:dyDescent="0.25">
      <c r="A240" s="54" t="s">
        <v>402</v>
      </c>
      <c r="B240" s="54" t="s">
        <v>403</v>
      </c>
      <c r="C240" s="31">
        <v>4301170013</v>
      </c>
      <c r="D240" s="601">
        <v>4680115886797</v>
      </c>
      <c r="E240" s="602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6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1"/>
      <c r="R240" s="611"/>
      <c r="S240" s="611"/>
      <c r="T240" s="612"/>
      <c r="U240" s="34"/>
      <c r="V240" s="34"/>
      <c r="W240" s="35" t="s">
        <v>67</v>
      </c>
      <c r="X240" s="597">
        <v>0</v>
      </c>
      <c r="Y240" s="59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08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9"/>
      <c r="P241" s="603" t="s">
        <v>72</v>
      </c>
      <c r="Q241" s="604"/>
      <c r="R241" s="604"/>
      <c r="S241" s="604"/>
      <c r="T241" s="604"/>
      <c r="U241" s="604"/>
      <c r="V241" s="605"/>
      <c r="W241" s="37" t="s">
        <v>73</v>
      </c>
      <c r="X241" s="599">
        <f>IFERROR(X240/H240,"0")</f>
        <v>0</v>
      </c>
      <c r="Y241" s="599">
        <f>IFERROR(Y240/H240,"0")</f>
        <v>0</v>
      </c>
      <c r="Z241" s="599">
        <f>IFERROR(IF(Z240="",0,Z240),"0")</f>
        <v>0</v>
      </c>
      <c r="AA241" s="600"/>
      <c r="AB241" s="600"/>
      <c r="AC241" s="600"/>
    </row>
    <row r="242" spans="1:68" x14ac:dyDescent="0.2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9"/>
      <c r="P242" s="603" t="s">
        <v>72</v>
      </c>
      <c r="Q242" s="604"/>
      <c r="R242" s="604"/>
      <c r="S242" s="604"/>
      <c r="T242" s="604"/>
      <c r="U242" s="604"/>
      <c r="V242" s="605"/>
      <c r="W242" s="37" t="s">
        <v>67</v>
      </c>
      <c r="X242" s="599">
        <f>IFERROR(SUM(X240:X240),"0")</f>
        <v>0</v>
      </c>
      <c r="Y242" s="599">
        <f>IFERROR(SUM(Y240:Y240),"0")</f>
        <v>0</v>
      </c>
      <c r="Z242" s="37"/>
      <c r="AA242" s="600"/>
      <c r="AB242" s="600"/>
      <c r="AC242" s="600"/>
    </row>
    <row r="243" spans="1:68" ht="16.5" customHeight="1" x14ac:dyDescent="0.25">
      <c r="A243" s="616" t="s">
        <v>404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592"/>
      <c r="AB243" s="592"/>
      <c r="AC243" s="592"/>
    </row>
    <row r="244" spans="1:68" ht="14.25" customHeight="1" x14ac:dyDescent="0.25">
      <c r="A244" s="606" t="s">
        <v>117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593"/>
      <c r="AB244" s="593"/>
      <c r="AC244" s="593"/>
    </row>
    <row r="245" spans="1:68" ht="27" customHeight="1" x14ac:dyDescent="0.25">
      <c r="A245" s="54" t="s">
        <v>405</v>
      </c>
      <c r="B245" s="54" t="s">
        <v>406</v>
      </c>
      <c r="C245" s="31">
        <v>4301011450</v>
      </c>
      <c r="D245" s="601">
        <v>4680115881402</v>
      </c>
      <c r="E245" s="602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7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1"/>
      <c r="R245" s="611"/>
      <c r="S245" s="611"/>
      <c r="T245" s="612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408</v>
      </c>
      <c r="B246" s="54" t="s">
        <v>409</v>
      </c>
      <c r="C246" s="31">
        <v>4301011768</v>
      </c>
      <c r="D246" s="601">
        <v>4680115881396</v>
      </c>
      <c r="E246" s="602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1"/>
      <c r="R246" s="611"/>
      <c r="S246" s="611"/>
      <c r="T246" s="612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08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9"/>
      <c r="P247" s="603" t="s">
        <v>72</v>
      </c>
      <c r="Q247" s="604"/>
      <c r="R247" s="604"/>
      <c r="S247" s="604"/>
      <c r="T247" s="604"/>
      <c r="U247" s="604"/>
      <c r="V247" s="60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9"/>
      <c r="P248" s="603" t="s">
        <v>72</v>
      </c>
      <c r="Q248" s="604"/>
      <c r="R248" s="604"/>
      <c r="S248" s="604"/>
      <c r="T248" s="604"/>
      <c r="U248" s="604"/>
      <c r="V248" s="60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customHeight="1" x14ac:dyDescent="0.25">
      <c r="A249" s="606" t="s">
        <v>152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593"/>
      <c r="AB249" s="593"/>
      <c r="AC249" s="593"/>
    </row>
    <row r="250" spans="1:68" ht="16.5" customHeight="1" x14ac:dyDescent="0.25">
      <c r="A250" s="54" t="s">
        <v>410</v>
      </c>
      <c r="B250" s="54" t="s">
        <v>411</v>
      </c>
      <c r="C250" s="31">
        <v>4301020261</v>
      </c>
      <c r="D250" s="601">
        <v>4680115882935</v>
      </c>
      <c r="E250" s="602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71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1"/>
      <c r="R250" s="611"/>
      <c r="S250" s="611"/>
      <c r="T250" s="612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customHeight="1" x14ac:dyDescent="0.25">
      <c r="A251" s="54" t="s">
        <v>413</v>
      </c>
      <c r="B251" s="54" t="s">
        <v>414</v>
      </c>
      <c r="C251" s="31">
        <v>4301020220</v>
      </c>
      <c r="D251" s="601">
        <v>4680115880764</v>
      </c>
      <c r="E251" s="602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1"/>
      <c r="R251" s="611"/>
      <c r="S251" s="611"/>
      <c r="T251" s="612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08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9"/>
      <c r="P252" s="603" t="s">
        <v>72</v>
      </c>
      <c r="Q252" s="604"/>
      <c r="R252" s="604"/>
      <c r="S252" s="604"/>
      <c r="T252" s="604"/>
      <c r="U252" s="604"/>
      <c r="V252" s="60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x14ac:dyDescent="0.2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9"/>
      <c r="P253" s="603" t="s">
        <v>72</v>
      </c>
      <c r="Q253" s="604"/>
      <c r="R253" s="604"/>
      <c r="S253" s="604"/>
      <c r="T253" s="604"/>
      <c r="U253" s="604"/>
      <c r="V253" s="60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customHeight="1" x14ac:dyDescent="0.25">
      <c r="A254" s="606" t="s">
        <v>62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593"/>
      <c r="AB254" s="593"/>
      <c r="AC254" s="593"/>
    </row>
    <row r="255" spans="1:68" ht="27" customHeight="1" x14ac:dyDescent="0.25">
      <c r="A255" s="54" t="s">
        <v>415</v>
      </c>
      <c r="B255" s="54" t="s">
        <v>416</v>
      </c>
      <c r="C255" s="31">
        <v>4301031224</v>
      </c>
      <c r="D255" s="601">
        <v>4680115882683</v>
      </c>
      <c r="E255" s="602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1"/>
      <c r="R255" s="611"/>
      <c r="S255" s="611"/>
      <c r="T255" s="612"/>
      <c r="U255" s="34"/>
      <c r="V255" s="34"/>
      <c r="W255" s="35" t="s">
        <v>67</v>
      </c>
      <c r="X255" s="597">
        <v>0</v>
      </c>
      <c r="Y255" s="598">
        <f t="shared" ref="Y255:Y262" si="32">IFERROR(IF(X255="",0,CEILING((X255/$H255),1)*$H255),"")</f>
        <v>0</v>
      </c>
      <c r="Z255" s="36" t="str">
        <f>IFERROR(IF(Y255=0,"",ROUNDUP(Y255/H255,0)*0.00902),"")</f>
        <v/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0</v>
      </c>
      <c r="BN255" s="64">
        <f t="shared" ref="BN255:BN262" si="34">IFERROR(Y255*I255/H255,"0")</f>
        <v>0</v>
      </c>
      <c r="BO255" s="64">
        <f t="shared" ref="BO255:BO262" si="35">IFERROR(1/J255*(X255/H255),"0")</f>
        <v>0</v>
      </c>
      <c r="BP255" s="64">
        <f t="shared" ref="BP255:BP262" si="36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4301031230</v>
      </c>
      <c r="D256" s="601">
        <v>4680115882690</v>
      </c>
      <c r="E256" s="602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8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1"/>
      <c r="R256" s="611"/>
      <c r="S256" s="611"/>
      <c r="T256" s="612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1">
        <v>4680115882669</v>
      </c>
      <c r="E257" s="602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84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1"/>
      <c r="R257" s="611"/>
      <c r="S257" s="611"/>
      <c r="T257" s="612"/>
      <c r="U257" s="34"/>
      <c r="V257" s="34"/>
      <c r="W257" s="35" t="s">
        <v>67</v>
      </c>
      <c r="X257" s="597">
        <v>195</v>
      </c>
      <c r="Y257" s="598">
        <f t="shared" si="32"/>
        <v>199.8</v>
      </c>
      <c r="Z257" s="36">
        <f>IFERROR(IF(Y257=0,"",ROUNDUP(Y257/H257,0)*0.00902),"")</f>
        <v>0.33374000000000004</v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201.86111111111109</v>
      </c>
      <c r="BN257" s="64">
        <f t="shared" si="34"/>
        <v>206.82999999999998</v>
      </c>
      <c r="BO257" s="64">
        <f t="shared" si="35"/>
        <v>0.27356902356902357</v>
      </c>
      <c r="BP257" s="64">
        <f t="shared" si="36"/>
        <v>0.28030303030303033</v>
      </c>
    </row>
    <row r="258" spans="1:68" ht="27" customHeight="1" x14ac:dyDescent="0.25">
      <c r="A258" s="54" t="s">
        <v>424</v>
      </c>
      <c r="B258" s="54" t="s">
        <v>425</v>
      </c>
      <c r="C258" s="31">
        <v>4301031221</v>
      </c>
      <c r="D258" s="601">
        <v>4680115882676</v>
      </c>
      <c r="E258" s="602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7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1"/>
      <c r="R258" s="611"/>
      <c r="S258" s="611"/>
      <c r="T258" s="612"/>
      <c r="U258" s="34"/>
      <c r="V258" s="34"/>
      <c r="W258" s="35" t="s">
        <v>67</v>
      </c>
      <c r="X258" s="597">
        <v>0</v>
      </c>
      <c r="Y258" s="598">
        <f t="shared" si="32"/>
        <v>0</v>
      </c>
      <c r="Z258" s="36" t="str">
        <f>IFERROR(IF(Y258=0,"",ROUNDUP(Y258/H258,0)*0.00902),"")</f>
        <v/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1">
        <v>4680115884014</v>
      </c>
      <c r="E259" s="602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6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1"/>
      <c r="R259" s="611"/>
      <c r="S259" s="611"/>
      <c r="T259" s="612"/>
      <c r="U259" s="34"/>
      <c r="V259" s="34"/>
      <c r="W259" s="35" t="s">
        <v>67</v>
      </c>
      <c r="X259" s="597">
        <v>0</v>
      </c>
      <c r="Y259" s="598">
        <f t="shared" si="32"/>
        <v>0</v>
      </c>
      <c r="Z259" s="36" t="str">
        <f>IFERROR(IF(Y259=0,"",ROUNDUP(Y259/H259,0)*0.00502),"")</f>
        <v/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0</v>
      </c>
      <c r="BN259" s="64">
        <f t="shared" si="34"/>
        <v>0</v>
      </c>
      <c r="BO259" s="64">
        <f t="shared" si="35"/>
        <v>0</v>
      </c>
      <c r="BP259" s="64">
        <f t="shared" si="36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4301031222</v>
      </c>
      <c r="D260" s="601">
        <v>4680115884007</v>
      </c>
      <c r="E260" s="602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7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1"/>
      <c r="R260" s="611"/>
      <c r="S260" s="611"/>
      <c r="T260" s="612"/>
      <c r="U260" s="34"/>
      <c r="V260" s="34"/>
      <c r="W260" s="35" t="s">
        <v>67</v>
      </c>
      <c r="X260" s="597">
        <v>0</v>
      </c>
      <c r="Y260" s="598">
        <f t="shared" si="32"/>
        <v>0</v>
      </c>
      <c r="Z260" s="36" t="str">
        <f>IFERROR(IF(Y260=0,"",ROUNDUP(Y260/H260,0)*0.00502),"")</f>
        <v/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4301031229</v>
      </c>
      <c r="D261" s="601">
        <v>4680115884038</v>
      </c>
      <c r="E261" s="602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8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1"/>
      <c r="R261" s="611"/>
      <c r="S261" s="611"/>
      <c r="T261" s="612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433</v>
      </c>
      <c r="B262" s="54" t="s">
        <v>434</v>
      </c>
      <c r="C262" s="31">
        <v>4301031225</v>
      </c>
      <c r="D262" s="601">
        <v>4680115884021</v>
      </c>
      <c r="E262" s="602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9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1"/>
      <c r="R262" s="611"/>
      <c r="S262" s="611"/>
      <c r="T262" s="612"/>
      <c r="U262" s="34"/>
      <c r="V262" s="34"/>
      <c r="W262" s="35" t="s">
        <v>67</v>
      </c>
      <c r="X262" s="597">
        <v>0</v>
      </c>
      <c r="Y262" s="598">
        <f t="shared" si="32"/>
        <v>0</v>
      </c>
      <c r="Z262" s="36" t="str">
        <f>IFERROR(IF(Y262=0,"",ROUNDUP(Y262/H262,0)*0.00502),"")</f>
        <v/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x14ac:dyDescent="0.2">
      <c r="A263" s="608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9"/>
      <c r="P263" s="603" t="s">
        <v>72</v>
      </c>
      <c r="Q263" s="604"/>
      <c r="R263" s="604"/>
      <c r="S263" s="604"/>
      <c r="T263" s="604"/>
      <c r="U263" s="604"/>
      <c r="V263" s="60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36.111111111111107</v>
      </c>
      <c r="Y263" s="599">
        <f>IFERROR(Y255/H255,"0")+IFERROR(Y256/H256,"0")+IFERROR(Y257/H257,"0")+IFERROR(Y258/H258,"0")+IFERROR(Y259/H259,"0")+IFERROR(Y260/H260,"0")+IFERROR(Y261/H261,"0")+IFERROR(Y262/H262,"0")</f>
        <v>37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0.33374000000000004</v>
      </c>
      <c r="AA263" s="600"/>
      <c r="AB263" s="600"/>
      <c r="AC263" s="600"/>
    </row>
    <row r="264" spans="1:68" x14ac:dyDescent="0.2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9"/>
      <c r="P264" s="603" t="s">
        <v>72</v>
      </c>
      <c r="Q264" s="604"/>
      <c r="R264" s="604"/>
      <c r="S264" s="604"/>
      <c r="T264" s="604"/>
      <c r="U264" s="604"/>
      <c r="V264" s="605"/>
      <c r="W264" s="37" t="s">
        <v>67</v>
      </c>
      <c r="X264" s="599">
        <f>IFERROR(SUM(X255:X262),"0")</f>
        <v>195</v>
      </c>
      <c r="Y264" s="599">
        <f>IFERROR(SUM(Y255:Y262),"0")</f>
        <v>199.8</v>
      </c>
      <c r="Z264" s="37"/>
      <c r="AA264" s="600"/>
      <c r="AB264" s="600"/>
      <c r="AC264" s="600"/>
    </row>
    <row r="265" spans="1:68" ht="14.25" customHeight="1" x14ac:dyDescent="0.25">
      <c r="A265" s="606" t="s">
        <v>74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593"/>
      <c r="AB265" s="593"/>
      <c r="AC265" s="593"/>
    </row>
    <row r="266" spans="1:68" ht="27" customHeight="1" x14ac:dyDescent="0.25">
      <c r="A266" s="54" t="s">
        <v>435</v>
      </c>
      <c r="B266" s="54" t="s">
        <v>436</v>
      </c>
      <c r="C266" s="31">
        <v>4301051408</v>
      </c>
      <c r="D266" s="601">
        <v>4680115881594</v>
      </c>
      <c r="E266" s="602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67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1"/>
      <c r="R266" s="611"/>
      <c r="S266" s="611"/>
      <c r="T266" s="612"/>
      <c r="U266" s="34"/>
      <c r="V266" s="34"/>
      <c r="W266" s="35" t="s">
        <v>67</v>
      </c>
      <c r="X266" s="597">
        <v>0</v>
      </c>
      <c r="Y266" s="598">
        <f t="shared" ref="Y266:Y277" si="37"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0</v>
      </c>
      <c r="BN266" s="64">
        <f t="shared" ref="BN266:BN277" si="39">IFERROR(Y266*I266/H266,"0")</f>
        <v>0</v>
      </c>
      <c r="BO266" s="64">
        <f t="shared" ref="BO266:BO277" si="40">IFERROR(1/J266*(X266/H266),"0")</f>
        <v>0</v>
      </c>
      <c r="BP266" s="64">
        <f t="shared" ref="BP266:BP277" si="41">IFERROR(1/J266*(Y266/H266),"0")</f>
        <v>0</v>
      </c>
    </row>
    <row r="267" spans="1:68" ht="27" customHeight="1" x14ac:dyDescent="0.25">
      <c r="A267" s="54" t="s">
        <v>438</v>
      </c>
      <c r="B267" s="54" t="s">
        <v>439</v>
      </c>
      <c r="C267" s="31">
        <v>4301051411</v>
      </c>
      <c r="D267" s="601">
        <v>4680115881617</v>
      </c>
      <c r="E267" s="602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7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1"/>
      <c r="R267" s="611"/>
      <c r="S267" s="611"/>
      <c r="T267" s="612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4301051656</v>
      </c>
      <c r="D268" s="601">
        <v>4680115880573</v>
      </c>
      <c r="E268" s="602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6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1"/>
      <c r="R268" s="611"/>
      <c r="S268" s="611"/>
      <c r="T268" s="612"/>
      <c r="U268" s="34"/>
      <c r="V268" s="34"/>
      <c r="W268" s="35" t="s">
        <v>67</v>
      </c>
      <c r="X268" s="597">
        <v>197</v>
      </c>
      <c r="Y268" s="598">
        <f t="shared" si="37"/>
        <v>200.1</v>
      </c>
      <c r="Z268" s="36">
        <f>IFERROR(IF(Y268=0,"",ROUNDUP(Y268/H268,0)*0.01898),"")</f>
        <v>0.43653999999999998</v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208.18597701149429</v>
      </c>
      <c r="BN268" s="64">
        <f t="shared" si="39"/>
        <v>211.46200000000005</v>
      </c>
      <c r="BO268" s="64">
        <f t="shared" si="40"/>
        <v>0.35380747126436785</v>
      </c>
      <c r="BP268" s="64">
        <f t="shared" si="41"/>
        <v>0.359375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1">
        <v>4680115882195</v>
      </c>
      <c r="E269" s="602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1"/>
      <c r="R269" s="611"/>
      <c r="S269" s="611"/>
      <c r="T269" s="612"/>
      <c r="U269" s="34"/>
      <c r="V269" s="34"/>
      <c r="W269" s="35" t="s">
        <v>67</v>
      </c>
      <c r="X269" s="597">
        <v>161</v>
      </c>
      <c r="Y269" s="598">
        <f t="shared" si="37"/>
        <v>163.19999999999999</v>
      </c>
      <c r="Z269" s="36">
        <f>IFERROR(IF(Y269=0,"",ROUNDUP(Y269/H269,0)*0.00651),"")</f>
        <v>0.44268000000000002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179.11250000000001</v>
      </c>
      <c r="BN269" s="64">
        <f t="shared" si="39"/>
        <v>181.56</v>
      </c>
      <c r="BO269" s="64">
        <f t="shared" si="40"/>
        <v>0.36858974358974367</v>
      </c>
      <c r="BP269" s="64">
        <f t="shared" si="41"/>
        <v>0.37362637362637363</v>
      </c>
    </row>
    <row r="270" spans="1:68" ht="27" customHeight="1" x14ac:dyDescent="0.25">
      <c r="A270" s="54" t="s">
        <v>446</v>
      </c>
      <c r="B270" s="54" t="s">
        <v>447</v>
      </c>
      <c r="C270" s="31">
        <v>4301051752</v>
      </c>
      <c r="D270" s="601">
        <v>4680115882607</v>
      </c>
      <c r="E270" s="602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1"/>
      <c r="R270" s="611"/>
      <c r="S270" s="611"/>
      <c r="T270" s="612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4301052143</v>
      </c>
      <c r="D271" s="601">
        <v>4680115882607</v>
      </c>
      <c r="E271" s="602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6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1"/>
      <c r="R271" s="611"/>
      <c r="S271" s="611"/>
      <c r="T271" s="612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1">
        <v>4680115880092</v>
      </c>
      <c r="E272" s="602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76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1"/>
      <c r="R272" s="611"/>
      <c r="S272" s="611"/>
      <c r="T272" s="612"/>
      <c r="U272" s="34"/>
      <c r="V272" s="34"/>
      <c r="W272" s="35" t="s">
        <v>67</v>
      </c>
      <c r="X272" s="597">
        <v>411</v>
      </c>
      <c r="Y272" s="598">
        <f t="shared" si="37"/>
        <v>412.8</v>
      </c>
      <c r="Z272" s="36">
        <f>IFERROR(IF(Y272=0,"",ROUNDUP(Y272/H272,0)*0.00651),"")</f>
        <v>1.11972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454.15500000000003</v>
      </c>
      <c r="BN272" s="64">
        <f t="shared" si="39"/>
        <v>456.14400000000012</v>
      </c>
      <c r="BO272" s="64">
        <f t="shared" si="40"/>
        <v>0.94093406593406603</v>
      </c>
      <c r="BP272" s="64">
        <f t="shared" si="41"/>
        <v>0.94505494505494514</v>
      </c>
    </row>
    <row r="273" spans="1:68" ht="27" customHeight="1" x14ac:dyDescent="0.25">
      <c r="A273" s="54" t="s">
        <v>453</v>
      </c>
      <c r="B273" s="54" t="s">
        <v>454</v>
      </c>
      <c r="C273" s="31">
        <v>4301052214</v>
      </c>
      <c r="D273" s="601">
        <v>4680115889064</v>
      </c>
      <c r="E273" s="602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6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1"/>
      <c r="R273" s="611"/>
      <c r="S273" s="611"/>
      <c r="T273" s="612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1">
        <v>4680115880221</v>
      </c>
      <c r="E274" s="602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8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1"/>
      <c r="R274" s="611"/>
      <c r="S274" s="611"/>
      <c r="T274" s="612"/>
      <c r="U274" s="34"/>
      <c r="V274" s="34"/>
      <c r="W274" s="35" t="s">
        <v>67</v>
      </c>
      <c r="X274" s="597">
        <v>213</v>
      </c>
      <c r="Y274" s="598">
        <f t="shared" si="37"/>
        <v>213.6</v>
      </c>
      <c r="Z274" s="36">
        <f>IFERROR(IF(Y274=0,"",ROUNDUP(Y274/H274,0)*0.00651),"")</f>
        <v>0.57938999999999996</v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235.36500000000001</v>
      </c>
      <c r="BN274" s="64">
        <f t="shared" si="39"/>
        <v>236.02800000000002</v>
      </c>
      <c r="BO274" s="64">
        <f t="shared" si="40"/>
        <v>0.48763736263736268</v>
      </c>
      <c r="BP274" s="64">
        <f t="shared" si="41"/>
        <v>0.48901098901098905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1">
        <v>4680115880504</v>
      </c>
      <c r="E275" s="602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6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1"/>
      <c r="R275" s="611"/>
      <c r="S275" s="611"/>
      <c r="T275" s="612"/>
      <c r="U275" s="34"/>
      <c r="V275" s="34"/>
      <c r="W275" s="35" t="s">
        <v>67</v>
      </c>
      <c r="X275" s="597">
        <v>76</v>
      </c>
      <c r="Y275" s="598">
        <f t="shared" si="37"/>
        <v>76.8</v>
      </c>
      <c r="Z275" s="36">
        <f>IFERROR(IF(Y275=0,"",ROUNDUP(Y275/H275,0)*0.00651),"")</f>
        <v>0.20832000000000001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83.980000000000018</v>
      </c>
      <c r="BN275" s="64">
        <f t="shared" si="39"/>
        <v>84.864000000000004</v>
      </c>
      <c r="BO275" s="64">
        <f t="shared" si="40"/>
        <v>0.17399267399267401</v>
      </c>
      <c r="BP275" s="64">
        <f t="shared" si="41"/>
        <v>0.17582417582417584</v>
      </c>
    </row>
    <row r="276" spans="1:68" ht="27" customHeight="1" x14ac:dyDescent="0.25">
      <c r="A276" s="54" t="s">
        <v>460</v>
      </c>
      <c r="B276" s="54" t="s">
        <v>461</v>
      </c>
      <c r="C276" s="31">
        <v>4301051410</v>
      </c>
      <c r="D276" s="601">
        <v>4680115882164</v>
      </c>
      <c r="E276" s="602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8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1"/>
      <c r="R276" s="611"/>
      <c r="S276" s="611"/>
      <c r="T276" s="612"/>
      <c r="U276" s="34"/>
      <c r="V276" s="34"/>
      <c r="W276" s="35" t="s">
        <v>67</v>
      </c>
      <c r="X276" s="597">
        <v>0</v>
      </c>
      <c r="Y276" s="598">
        <f t="shared" si="37"/>
        <v>0</v>
      </c>
      <c r="Z276" s="36" t="str">
        <f>IFERROR(IF(Y276=0,"",ROUNDUP(Y276/H276,0)*0.00651),"")</f>
        <v/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0</v>
      </c>
      <c r="BN276" s="64">
        <f t="shared" si="39"/>
        <v>0</v>
      </c>
      <c r="BO276" s="64">
        <f t="shared" si="40"/>
        <v>0</v>
      </c>
      <c r="BP276" s="64">
        <f t="shared" si="41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4301052180</v>
      </c>
      <c r="D277" s="601">
        <v>4680115888340</v>
      </c>
      <c r="E277" s="602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7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1"/>
      <c r="R277" s="611"/>
      <c r="S277" s="611"/>
      <c r="T277" s="612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08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9"/>
      <c r="P278" s="603" t="s">
        <v>72</v>
      </c>
      <c r="Q278" s="604"/>
      <c r="R278" s="604"/>
      <c r="S278" s="604"/>
      <c r="T278" s="604"/>
      <c r="U278" s="604"/>
      <c r="V278" s="60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381.39367816091959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384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2.7866500000000003</v>
      </c>
      <c r="AA278" s="600"/>
      <c r="AB278" s="600"/>
      <c r="AC278" s="600"/>
    </row>
    <row r="279" spans="1:68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9"/>
      <c r="P279" s="603" t="s">
        <v>72</v>
      </c>
      <c r="Q279" s="604"/>
      <c r="R279" s="604"/>
      <c r="S279" s="604"/>
      <c r="T279" s="604"/>
      <c r="U279" s="604"/>
      <c r="V279" s="605"/>
      <c r="W279" s="37" t="s">
        <v>67</v>
      </c>
      <c r="X279" s="599">
        <f>IFERROR(SUM(X266:X277),"0")</f>
        <v>1058</v>
      </c>
      <c r="Y279" s="599">
        <f>IFERROR(SUM(Y266:Y277),"0")</f>
        <v>1066.5</v>
      </c>
      <c r="Z279" s="37"/>
      <c r="AA279" s="600"/>
      <c r="AB279" s="600"/>
      <c r="AC279" s="600"/>
    </row>
    <row r="280" spans="1:68" ht="14.25" customHeight="1" x14ac:dyDescent="0.25">
      <c r="A280" s="606" t="s">
        <v>169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1">
        <v>4680115880818</v>
      </c>
      <c r="E281" s="602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1"/>
      <c r="R281" s="611"/>
      <c r="S281" s="611"/>
      <c r="T281" s="612"/>
      <c r="U281" s="34"/>
      <c r="V281" s="34"/>
      <c r="W281" s="35" t="s">
        <v>67</v>
      </c>
      <c r="X281" s="597">
        <v>0</v>
      </c>
      <c r="Y281" s="598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4301060389</v>
      </c>
      <c r="D282" s="601">
        <v>4680115880801</v>
      </c>
      <c r="E282" s="602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8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1"/>
      <c r="R282" s="611"/>
      <c r="S282" s="611"/>
      <c r="T282" s="612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608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9"/>
      <c r="P283" s="603" t="s">
        <v>72</v>
      </c>
      <c r="Q283" s="604"/>
      <c r="R283" s="604"/>
      <c r="S283" s="604"/>
      <c r="T283" s="604"/>
      <c r="U283" s="604"/>
      <c r="V283" s="605"/>
      <c r="W283" s="37" t="s">
        <v>73</v>
      </c>
      <c r="X283" s="599">
        <f>IFERROR(X281/H281,"0")+IFERROR(X282/H282,"0")</f>
        <v>0</v>
      </c>
      <c r="Y283" s="599">
        <f>IFERROR(Y281/H281,"0")+IFERROR(Y282/H282,"0")</f>
        <v>0</v>
      </c>
      <c r="Z283" s="599">
        <f>IFERROR(IF(Z281="",0,Z281),"0")+IFERROR(IF(Z282="",0,Z282),"0")</f>
        <v>0</v>
      </c>
      <c r="AA283" s="600"/>
      <c r="AB283" s="600"/>
      <c r="AC283" s="600"/>
    </row>
    <row r="284" spans="1:68" x14ac:dyDescent="0.2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9"/>
      <c r="P284" s="603" t="s">
        <v>72</v>
      </c>
      <c r="Q284" s="604"/>
      <c r="R284" s="604"/>
      <c r="S284" s="604"/>
      <c r="T284" s="604"/>
      <c r="U284" s="604"/>
      <c r="V284" s="605"/>
      <c r="W284" s="37" t="s">
        <v>67</v>
      </c>
      <c r="X284" s="599">
        <f>IFERROR(SUM(X281:X282),"0")</f>
        <v>0</v>
      </c>
      <c r="Y284" s="599">
        <f>IFERROR(SUM(Y281:Y282),"0")</f>
        <v>0</v>
      </c>
      <c r="Z284" s="37"/>
      <c r="AA284" s="600"/>
      <c r="AB284" s="600"/>
      <c r="AC284" s="600"/>
    </row>
    <row r="285" spans="1:68" ht="16.5" customHeight="1" x14ac:dyDescent="0.25">
      <c r="A285" s="616" t="s">
        <v>472</v>
      </c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592"/>
      <c r="AB285" s="592"/>
      <c r="AC285" s="592"/>
    </row>
    <row r="286" spans="1:68" ht="14.25" customHeight="1" x14ac:dyDescent="0.25">
      <c r="A286" s="606" t="s">
        <v>117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593"/>
      <c r="AB286" s="593"/>
      <c r="AC286" s="593"/>
    </row>
    <row r="287" spans="1:68" ht="27" customHeight="1" x14ac:dyDescent="0.25">
      <c r="A287" s="54" t="s">
        <v>473</v>
      </c>
      <c r="B287" s="54" t="s">
        <v>474</v>
      </c>
      <c r="C287" s="31">
        <v>4301011826</v>
      </c>
      <c r="D287" s="601">
        <v>4680115884137</v>
      </c>
      <c r="E287" s="602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7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1"/>
      <c r="R287" s="611"/>
      <c r="S287" s="611"/>
      <c r="T287" s="612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customHeight="1" x14ac:dyDescent="0.25">
      <c r="A288" s="54" t="s">
        <v>476</v>
      </c>
      <c r="B288" s="54" t="s">
        <v>477</v>
      </c>
      <c r="C288" s="31">
        <v>4301011724</v>
      </c>
      <c r="D288" s="601">
        <v>4680115884236</v>
      </c>
      <c r="E288" s="602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9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1"/>
      <c r="R288" s="611"/>
      <c r="S288" s="611"/>
      <c r="T288" s="612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customHeight="1" x14ac:dyDescent="0.25">
      <c r="A289" s="54" t="s">
        <v>479</v>
      </c>
      <c r="B289" s="54" t="s">
        <v>480</v>
      </c>
      <c r="C289" s="31">
        <v>4301011721</v>
      </c>
      <c r="D289" s="601">
        <v>4680115884175</v>
      </c>
      <c r="E289" s="602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1"/>
      <c r="R289" s="611"/>
      <c r="S289" s="611"/>
      <c r="T289" s="612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4301011824</v>
      </c>
      <c r="D290" s="601">
        <v>4680115884144</v>
      </c>
      <c r="E290" s="602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6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1"/>
      <c r="R290" s="611"/>
      <c r="S290" s="611"/>
      <c r="T290" s="612"/>
      <c r="U290" s="34"/>
      <c r="V290" s="34"/>
      <c r="W290" s="35" t="s">
        <v>67</v>
      </c>
      <c r="X290" s="597">
        <v>0</v>
      </c>
      <c r="Y290" s="598">
        <f t="shared" si="42"/>
        <v>0</v>
      </c>
      <c r="Z290" s="36" t="str">
        <f>IFERROR(IF(Y290=0,"",ROUNDUP(Y290/H290,0)*0.00902),"")</f>
        <v/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0</v>
      </c>
      <c r="BN290" s="64">
        <f t="shared" si="44"/>
        <v>0</v>
      </c>
      <c r="BO290" s="64">
        <f t="shared" si="45"/>
        <v>0</v>
      </c>
      <c r="BP290" s="64">
        <f t="shared" si="46"/>
        <v>0</v>
      </c>
    </row>
    <row r="291" spans="1:68" ht="27" customHeight="1" x14ac:dyDescent="0.25">
      <c r="A291" s="54" t="s">
        <v>483</v>
      </c>
      <c r="B291" s="54" t="s">
        <v>484</v>
      </c>
      <c r="C291" s="31">
        <v>4301012149</v>
      </c>
      <c r="D291" s="601">
        <v>4680115886551</v>
      </c>
      <c r="E291" s="602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9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1"/>
      <c r="R291" s="611"/>
      <c r="S291" s="611"/>
      <c r="T291" s="612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4301012228</v>
      </c>
      <c r="D292" s="601">
        <v>4680115887282</v>
      </c>
      <c r="E292" s="602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9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1"/>
      <c r="R292" s="611"/>
      <c r="S292" s="611"/>
      <c r="T292" s="612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4301011722</v>
      </c>
      <c r="D293" s="601">
        <v>4680115884205</v>
      </c>
      <c r="E293" s="602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9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1"/>
      <c r="R293" s="611"/>
      <c r="S293" s="611"/>
      <c r="T293" s="612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x14ac:dyDescent="0.2">
      <c r="A294" s="608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9"/>
      <c r="P294" s="603" t="s">
        <v>72</v>
      </c>
      <c r="Q294" s="604"/>
      <c r="R294" s="604"/>
      <c r="S294" s="604"/>
      <c r="T294" s="604"/>
      <c r="U294" s="604"/>
      <c r="V294" s="60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0</v>
      </c>
      <c r="Y294" s="599">
        <f>IFERROR(Y287/H287,"0")+IFERROR(Y288/H288,"0")+IFERROR(Y289/H289,"0")+IFERROR(Y290/H290,"0")+IFERROR(Y291/H291,"0")+IFERROR(Y292/H292,"0")+IFERROR(Y293/H293,"0")</f>
        <v>0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00"/>
      <c r="AB294" s="600"/>
      <c r="AC294" s="600"/>
    </row>
    <row r="295" spans="1:68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9"/>
      <c r="P295" s="603" t="s">
        <v>72</v>
      </c>
      <c r="Q295" s="604"/>
      <c r="R295" s="604"/>
      <c r="S295" s="604"/>
      <c r="T295" s="604"/>
      <c r="U295" s="604"/>
      <c r="V295" s="605"/>
      <c r="W295" s="37" t="s">
        <v>67</v>
      </c>
      <c r="X295" s="599">
        <f>IFERROR(SUM(X287:X293),"0")</f>
        <v>0</v>
      </c>
      <c r="Y295" s="599">
        <f>IFERROR(SUM(Y287:Y293),"0")</f>
        <v>0</v>
      </c>
      <c r="Z295" s="37"/>
      <c r="AA295" s="600"/>
      <c r="AB295" s="600"/>
      <c r="AC295" s="600"/>
    </row>
    <row r="296" spans="1:68" ht="14.25" customHeight="1" x14ac:dyDescent="0.25">
      <c r="A296" s="606" t="s">
        <v>152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593"/>
      <c r="AB296" s="593"/>
      <c r="AC296" s="593"/>
    </row>
    <row r="297" spans="1:68" ht="27" customHeight="1" x14ac:dyDescent="0.25">
      <c r="A297" s="54" t="s">
        <v>491</v>
      </c>
      <c r="B297" s="54" t="s">
        <v>492</v>
      </c>
      <c r="C297" s="31">
        <v>4301020377</v>
      </c>
      <c r="D297" s="601">
        <v>4680115885981</v>
      </c>
      <c r="E297" s="602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9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1"/>
      <c r="R297" s="611"/>
      <c r="S297" s="611"/>
      <c r="T297" s="612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x14ac:dyDescent="0.2">
      <c r="A298" s="608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9"/>
      <c r="P298" s="603" t="s">
        <v>72</v>
      </c>
      <c r="Q298" s="604"/>
      <c r="R298" s="604"/>
      <c r="S298" s="604"/>
      <c r="T298" s="604"/>
      <c r="U298" s="604"/>
      <c r="V298" s="60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9"/>
      <c r="P299" s="603" t="s">
        <v>72</v>
      </c>
      <c r="Q299" s="604"/>
      <c r="R299" s="604"/>
      <c r="S299" s="604"/>
      <c r="T299" s="604"/>
      <c r="U299" s="604"/>
      <c r="V299" s="60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customHeight="1" x14ac:dyDescent="0.25">
      <c r="A300" s="606" t="s">
        <v>494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1">
        <v>4680115886803</v>
      </c>
      <c r="E301" s="602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1"/>
      <c r="R301" s="611"/>
      <c r="S301" s="611"/>
      <c r="T301" s="612"/>
      <c r="U301" s="34"/>
      <c r="V301" s="34"/>
      <c r="W301" s="35" t="s">
        <v>67</v>
      </c>
      <c r="X301" s="597">
        <v>0</v>
      </c>
      <c r="Y301" s="598">
        <f>IFERROR(IF(X301="",0,CEILING((X301/$H301),1)*$H301),"")</f>
        <v>0</v>
      </c>
      <c r="Z301" s="36" t="str">
        <f>IFERROR(IF(Y301=0,"",ROUNDUP(Y301/H301,0)*0.0059),"")</f>
        <v/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08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9"/>
      <c r="P302" s="603" t="s">
        <v>72</v>
      </c>
      <c r="Q302" s="604"/>
      <c r="R302" s="604"/>
      <c r="S302" s="604"/>
      <c r="T302" s="604"/>
      <c r="U302" s="604"/>
      <c r="V302" s="605"/>
      <c r="W302" s="37" t="s">
        <v>73</v>
      </c>
      <c r="X302" s="599">
        <f>IFERROR(X301/H301,"0")</f>
        <v>0</v>
      </c>
      <c r="Y302" s="599">
        <f>IFERROR(Y301/H301,"0")</f>
        <v>0</v>
      </c>
      <c r="Z302" s="599">
        <f>IFERROR(IF(Z301="",0,Z301),"0")</f>
        <v>0</v>
      </c>
      <c r="AA302" s="600"/>
      <c r="AB302" s="600"/>
      <c r="AC302" s="600"/>
    </row>
    <row r="303" spans="1:68" x14ac:dyDescent="0.2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9"/>
      <c r="P303" s="603" t="s">
        <v>72</v>
      </c>
      <c r="Q303" s="604"/>
      <c r="R303" s="604"/>
      <c r="S303" s="604"/>
      <c r="T303" s="604"/>
      <c r="U303" s="604"/>
      <c r="V303" s="605"/>
      <c r="W303" s="37" t="s">
        <v>67</v>
      </c>
      <c r="X303" s="599">
        <f>IFERROR(SUM(X301:X301),"0")</f>
        <v>0</v>
      </c>
      <c r="Y303" s="599">
        <f>IFERROR(SUM(Y301:Y301),"0")</f>
        <v>0</v>
      </c>
      <c r="Z303" s="37"/>
      <c r="AA303" s="600"/>
      <c r="AB303" s="600"/>
      <c r="AC303" s="600"/>
    </row>
    <row r="304" spans="1:68" ht="14.25" customHeight="1" x14ac:dyDescent="0.25">
      <c r="A304" s="606" t="s">
        <v>320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593"/>
      <c r="AB304" s="593"/>
      <c r="AC304" s="593"/>
    </row>
    <row r="305" spans="1:68" ht="27" customHeight="1" x14ac:dyDescent="0.25">
      <c r="A305" s="54" t="s">
        <v>498</v>
      </c>
      <c r="B305" s="54" t="s">
        <v>499</v>
      </c>
      <c r="C305" s="31">
        <v>4301041004</v>
      </c>
      <c r="D305" s="601">
        <v>4680115886704</v>
      </c>
      <c r="E305" s="602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75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1"/>
      <c r="R305" s="611"/>
      <c r="S305" s="611"/>
      <c r="T305" s="612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501</v>
      </c>
      <c r="B306" s="54" t="s">
        <v>502</v>
      </c>
      <c r="C306" s="31">
        <v>4301041008</v>
      </c>
      <c r="D306" s="601">
        <v>4680115886681</v>
      </c>
      <c r="E306" s="602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1"/>
      <c r="R306" s="611"/>
      <c r="S306" s="611"/>
      <c r="T306" s="612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1">
        <v>4680115886735</v>
      </c>
      <c r="E307" s="602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9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1"/>
      <c r="R307" s="611"/>
      <c r="S307" s="611"/>
      <c r="T307" s="612"/>
      <c r="U307" s="34"/>
      <c r="V307" s="34"/>
      <c r="W307" s="35" t="s">
        <v>67</v>
      </c>
      <c r="X307" s="597">
        <v>0</v>
      </c>
      <c r="Y307" s="598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08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9"/>
      <c r="P308" s="603" t="s">
        <v>72</v>
      </c>
      <c r="Q308" s="604"/>
      <c r="R308" s="604"/>
      <c r="S308" s="604"/>
      <c r="T308" s="604"/>
      <c r="U308" s="604"/>
      <c r="V308" s="605"/>
      <c r="W308" s="37" t="s">
        <v>73</v>
      </c>
      <c r="X308" s="599">
        <f>IFERROR(X305/H305,"0")+IFERROR(X306/H306,"0")+IFERROR(X307/H307,"0")</f>
        <v>0</v>
      </c>
      <c r="Y308" s="599">
        <f>IFERROR(Y305/H305,"0")+IFERROR(Y306/H306,"0")+IFERROR(Y307/H307,"0")</f>
        <v>0</v>
      </c>
      <c r="Z308" s="599">
        <f>IFERROR(IF(Z305="",0,Z305),"0")+IFERROR(IF(Z306="",0,Z306),"0")+IFERROR(IF(Z307="",0,Z307),"0")</f>
        <v>0</v>
      </c>
      <c r="AA308" s="600"/>
      <c r="AB308" s="600"/>
      <c r="AC308" s="600"/>
    </row>
    <row r="309" spans="1:68" x14ac:dyDescent="0.2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9"/>
      <c r="P309" s="603" t="s">
        <v>72</v>
      </c>
      <c r="Q309" s="604"/>
      <c r="R309" s="604"/>
      <c r="S309" s="604"/>
      <c r="T309" s="604"/>
      <c r="U309" s="604"/>
      <c r="V309" s="605"/>
      <c r="W309" s="37" t="s">
        <v>67</v>
      </c>
      <c r="X309" s="599">
        <f>IFERROR(SUM(X305:X307),"0")</f>
        <v>0</v>
      </c>
      <c r="Y309" s="599">
        <f>IFERROR(SUM(Y305:Y307),"0")</f>
        <v>0</v>
      </c>
      <c r="Z309" s="37"/>
      <c r="AA309" s="600"/>
      <c r="AB309" s="600"/>
      <c r="AC309" s="600"/>
    </row>
    <row r="310" spans="1:68" ht="16.5" customHeight="1" x14ac:dyDescent="0.25">
      <c r="A310" s="616" t="s">
        <v>505</v>
      </c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592"/>
      <c r="AB310" s="592"/>
      <c r="AC310" s="592"/>
    </row>
    <row r="311" spans="1:68" ht="14.25" customHeight="1" x14ac:dyDescent="0.25">
      <c r="A311" s="606" t="s">
        <v>117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593"/>
      <c r="AB311" s="593"/>
      <c r="AC311" s="593"/>
    </row>
    <row r="312" spans="1:68" ht="27" customHeight="1" x14ac:dyDescent="0.25">
      <c r="A312" s="54" t="s">
        <v>506</v>
      </c>
      <c r="B312" s="54" t="s">
        <v>507</v>
      </c>
      <c r="C312" s="31">
        <v>4301011855</v>
      </c>
      <c r="D312" s="601">
        <v>4680115885837</v>
      </c>
      <c r="E312" s="602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73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1"/>
      <c r="R312" s="611"/>
      <c r="S312" s="611"/>
      <c r="T312" s="612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customHeight="1" x14ac:dyDescent="0.25">
      <c r="A313" s="54" t="s">
        <v>509</v>
      </c>
      <c r="B313" s="54" t="s">
        <v>510</v>
      </c>
      <c r="C313" s="31">
        <v>4301012234</v>
      </c>
      <c r="D313" s="601">
        <v>4680115887237</v>
      </c>
      <c r="E313" s="602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9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1"/>
      <c r="R313" s="611"/>
      <c r="S313" s="611"/>
      <c r="T313" s="612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512</v>
      </c>
      <c r="B314" s="54" t="s">
        <v>513</v>
      </c>
      <c r="C314" s="31">
        <v>4301011850</v>
      </c>
      <c r="D314" s="601">
        <v>4680115885806</v>
      </c>
      <c r="E314" s="602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1"/>
      <c r="R314" s="611"/>
      <c r="S314" s="611"/>
      <c r="T314" s="612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515</v>
      </c>
      <c r="B315" s="54" t="s">
        <v>516</v>
      </c>
      <c r="C315" s="31">
        <v>4301011852</v>
      </c>
      <c r="D315" s="601">
        <v>4680115885844</v>
      </c>
      <c r="E315" s="602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1"/>
      <c r="R315" s="611"/>
      <c r="S315" s="611"/>
      <c r="T315" s="612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customHeight="1" x14ac:dyDescent="0.25">
      <c r="A316" s="54" t="s">
        <v>518</v>
      </c>
      <c r="B316" s="54" t="s">
        <v>519</v>
      </c>
      <c r="C316" s="31">
        <v>4301011851</v>
      </c>
      <c r="D316" s="601">
        <v>4680115885820</v>
      </c>
      <c r="E316" s="602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1"/>
      <c r="R316" s="611"/>
      <c r="S316" s="611"/>
      <c r="T316" s="612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608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9"/>
      <c r="P317" s="603" t="s">
        <v>72</v>
      </c>
      <c r="Q317" s="604"/>
      <c r="R317" s="604"/>
      <c r="S317" s="604"/>
      <c r="T317" s="604"/>
      <c r="U317" s="604"/>
      <c r="V317" s="60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x14ac:dyDescent="0.2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9"/>
      <c r="P318" s="603" t="s">
        <v>72</v>
      </c>
      <c r="Q318" s="604"/>
      <c r="R318" s="604"/>
      <c r="S318" s="604"/>
      <c r="T318" s="604"/>
      <c r="U318" s="604"/>
      <c r="V318" s="60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customHeight="1" x14ac:dyDescent="0.25">
      <c r="A319" s="616" t="s">
        <v>521</v>
      </c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592"/>
      <c r="AB319" s="592"/>
      <c r="AC319" s="592"/>
    </row>
    <row r="320" spans="1:68" ht="14.25" customHeight="1" x14ac:dyDescent="0.25">
      <c r="A320" s="606" t="s">
        <v>74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593"/>
      <c r="AB320" s="593"/>
      <c r="AC320" s="593"/>
    </row>
    <row r="321" spans="1:68" ht="27" customHeight="1" x14ac:dyDescent="0.25">
      <c r="A321" s="54" t="s">
        <v>522</v>
      </c>
      <c r="B321" s="54" t="s">
        <v>523</v>
      </c>
      <c r="C321" s="31">
        <v>4301051893</v>
      </c>
      <c r="D321" s="601">
        <v>4680115886186</v>
      </c>
      <c r="E321" s="602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8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1"/>
      <c r="R321" s="611"/>
      <c r="S321" s="611"/>
      <c r="T321" s="612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1">
        <v>4680115881228</v>
      </c>
      <c r="E322" s="602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7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1"/>
      <c r="R322" s="611"/>
      <c r="S322" s="611"/>
      <c r="T322" s="612"/>
      <c r="U322" s="34"/>
      <c r="V322" s="34"/>
      <c r="W322" s="35" t="s">
        <v>67</v>
      </c>
      <c r="X322" s="597">
        <v>0</v>
      </c>
      <c r="Y322" s="598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528</v>
      </c>
      <c r="B323" s="54" t="s">
        <v>529</v>
      </c>
      <c r="C323" s="31">
        <v>4301051388</v>
      </c>
      <c r="D323" s="601">
        <v>4680115881211</v>
      </c>
      <c r="E323" s="602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1"/>
      <c r="R323" s="611"/>
      <c r="S323" s="611"/>
      <c r="T323" s="612"/>
      <c r="U323" s="34"/>
      <c r="V323" s="34"/>
      <c r="W323" s="35" t="s">
        <v>67</v>
      </c>
      <c r="X323" s="597">
        <v>0</v>
      </c>
      <c r="Y323" s="598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08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9"/>
      <c r="P324" s="603" t="s">
        <v>72</v>
      </c>
      <c r="Q324" s="604"/>
      <c r="R324" s="604"/>
      <c r="S324" s="604"/>
      <c r="T324" s="604"/>
      <c r="U324" s="604"/>
      <c r="V324" s="605"/>
      <c r="W324" s="37" t="s">
        <v>73</v>
      </c>
      <c r="X324" s="599">
        <f>IFERROR(X321/H321,"0")+IFERROR(X322/H322,"0")+IFERROR(X323/H323,"0")</f>
        <v>0</v>
      </c>
      <c r="Y324" s="599">
        <f>IFERROR(Y321/H321,"0")+IFERROR(Y322/H322,"0")+IFERROR(Y323/H323,"0")</f>
        <v>0</v>
      </c>
      <c r="Z324" s="599">
        <f>IFERROR(IF(Z321="",0,Z321),"0")+IFERROR(IF(Z322="",0,Z322),"0")+IFERROR(IF(Z323="",0,Z323),"0")</f>
        <v>0</v>
      </c>
      <c r="AA324" s="600"/>
      <c r="AB324" s="600"/>
      <c r="AC324" s="600"/>
    </row>
    <row r="325" spans="1:68" x14ac:dyDescent="0.2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9"/>
      <c r="P325" s="603" t="s">
        <v>72</v>
      </c>
      <c r="Q325" s="604"/>
      <c r="R325" s="604"/>
      <c r="S325" s="604"/>
      <c r="T325" s="604"/>
      <c r="U325" s="604"/>
      <c r="V325" s="605"/>
      <c r="W325" s="37" t="s">
        <v>67</v>
      </c>
      <c r="X325" s="599">
        <f>IFERROR(SUM(X321:X323),"0")</f>
        <v>0</v>
      </c>
      <c r="Y325" s="599">
        <f>IFERROR(SUM(Y321:Y323),"0")</f>
        <v>0</v>
      </c>
      <c r="Z325" s="37"/>
      <c r="AA325" s="600"/>
      <c r="AB325" s="600"/>
      <c r="AC325" s="600"/>
    </row>
    <row r="326" spans="1:68" ht="16.5" customHeight="1" x14ac:dyDescent="0.25">
      <c r="A326" s="616" t="s">
        <v>530</v>
      </c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592"/>
      <c r="AB326" s="592"/>
      <c r="AC326" s="592"/>
    </row>
    <row r="327" spans="1:68" ht="14.25" customHeight="1" x14ac:dyDescent="0.25">
      <c r="A327" s="606" t="s">
        <v>62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593"/>
      <c r="AB327" s="593"/>
      <c r="AC327" s="593"/>
    </row>
    <row r="328" spans="1:68" ht="27" customHeight="1" x14ac:dyDescent="0.25">
      <c r="A328" s="54" t="s">
        <v>531</v>
      </c>
      <c r="B328" s="54" t="s">
        <v>532</v>
      </c>
      <c r="C328" s="31">
        <v>4301031445</v>
      </c>
      <c r="D328" s="601">
        <v>4680115888319</v>
      </c>
      <c r="E328" s="602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6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1"/>
      <c r="R328" s="611"/>
      <c r="S328" s="611"/>
      <c r="T328" s="612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4301031502</v>
      </c>
      <c r="D329" s="601">
        <v>4680115884700</v>
      </c>
      <c r="E329" s="602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6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1"/>
      <c r="R329" s="611"/>
      <c r="S329" s="611"/>
      <c r="T329" s="612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4301031307</v>
      </c>
      <c r="D330" s="601">
        <v>4680115880344</v>
      </c>
      <c r="E330" s="602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1"/>
      <c r="R330" s="611"/>
      <c r="S330" s="611"/>
      <c r="T330" s="612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539</v>
      </c>
      <c r="B331" s="54" t="s">
        <v>540</v>
      </c>
      <c r="C331" s="31">
        <v>4301031501</v>
      </c>
      <c r="D331" s="601">
        <v>4680115886919</v>
      </c>
      <c r="E331" s="602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67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1"/>
      <c r="R331" s="611"/>
      <c r="S331" s="611"/>
      <c r="T331" s="612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542</v>
      </c>
      <c r="B332" s="54" t="s">
        <v>543</v>
      </c>
      <c r="C332" s="31">
        <v>4301031246</v>
      </c>
      <c r="D332" s="601">
        <v>4680115883970</v>
      </c>
      <c r="E332" s="602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82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1"/>
      <c r="R332" s="611"/>
      <c r="S332" s="611"/>
      <c r="T332" s="612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08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9"/>
      <c r="P333" s="603" t="s">
        <v>72</v>
      </c>
      <c r="Q333" s="604"/>
      <c r="R333" s="604"/>
      <c r="S333" s="604"/>
      <c r="T333" s="604"/>
      <c r="U333" s="604"/>
      <c r="V333" s="60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x14ac:dyDescent="0.2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9"/>
      <c r="P334" s="603" t="s">
        <v>72</v>
      </c>
      <c r="Q334" s="604"/>
      <c r="R334" s="604"/>
      <c r="S334" s="604"/>
      <c r="T334" s="604"/>
      <c r="U334" s="604"/>
      <c r="V334" s="60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customHeight="1" x14ac:dyDescent="0.25">
      <c r="A335" s="606" t="s">
        <v>74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593"/>
      <c r="AB335" s="593"/>
      <c r="AC335" s="593"/>
    </row>
    <row r="336" spans="1:68" ht="27" customHeight="1" x14ac:dyDescent="0.25">
      <c r="A336" s="54" t="s">
        <v>545</v>
      </c>
      <c r="B336" s="54" t="s">
        <v>546</v>
      </c>
      <c r="C336" s="31">
        <v>4301051782</v>
      </c>
      <c r="D336" s="601">
        <v>4680115884618</v>
      </c>
      <c r="E336" s="602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8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1"/>
      <c r="R336" s="611"/>
      <c r="S336" s="611"/>
      <c r="T336" s="612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4301052057</v>
      </c>
      <c r="D337" s="601">
        <v>4680115887114</v>
      </c>
      <c r="E337" s="602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6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1"/>
      <c r="R337" s="611"/>
      <c r="S337" s="611"/>
      <c r="T337" s="612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08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9"/>
      <c r="P338" s="603" t="s">
        <v>72</v>
      </c>
      <c r="Q338" s="604"/>
      <c r="R338" s="604"/>
      <c r="S338" s="604"/>
      <c r="T338" s="604"/>
      <c r="U338" s="604"/>
      <c r="V338" s="60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x14ac:dyDescent="0.2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9"/>
      <c r="P339" s="603" t="s">
        <v>72</v>
      </c>
      <c r="Q339" s="604"/>
      <c r="R339" s="604"/>
      <c r="S339" s="604"/>
      <c r="T339" s="604"/>
      <c r="U339" s="604"/>
      <c r="V339" s="60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customHeight="1" x14ac:dyDescent="0.25">
      <c r="A340" s="616" t="s">
        <v>551</v>
      </c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592"/>
      <c r="AB340" s="592"/>
      <c r="AC340" s="592"/>
    </row>
    <row r="341" spans="1:68" ht="14.25" customHeight="1" x14ac:dyDescent="0.25">
      <c r="A341" s="606" t="s">
        <v>117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593"/>
      <c r="AB341" s="593"/>
      <c r="AC341" s="593"/>
    </row>
    <row r="342" spans="1:68" ht="27" customHeight="1" x14ac:dyDescent="0.25">
      <c r="A342" s="54" t="s">
        <v>552</v>
      </c>
      <c r="B342" s="54" t="s">
        <v>553</v>
      </c>
      <c r="C342" s="31">
        <v>4301012324</v>
      </c>
      <c r="D342" s="601">
        <v>4680115887947</v>
      </c>
      <c r="E342" s="602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1"/>
      <c r="R342" s="611"/>
      <c r="S342" s="611"/>
      <c r="T342" s="612"/>
      <c r="U342" s="34"/>
      <c r="V342" s="34"/>
      <c r="W342" s="35" t="s">
        <v>67</v>
      </c>
      <c r="X342" s="597">
        <v>0</v>
      </c>
      <c r="Y342" s="598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555</v>
      </c>
      <c r="B343" s="54" t="s">
        <v>556</v>
      </c>
      <c r="C343" s="31">
        <v>4301012325</v>
      </c>
      <c r="D343" s="601">
        <v>4680115887978</v>
      </c>
      <c r="E343" s="602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83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1"/>
      <c r="R343" s="611"/>
      <c r="S343" s="611"/>
      <c r="T343" s="612"/>
      <c r="U343" s="34"/>
      <c r="V343" s="34"/>
      <c r="W343" s="35" t="s">
        <v>67</v>
      </c>
      <c r="X343" s="597">
        <v>0</v>
      </c>
      <c r="Y343" s="59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558</v>
      </c>
      <c r="B344" s="54" t="s">
        <v>559</v>
      </c>
      <c r="C344" s="31">
        <v>4301012327</v>
      </c>
      <c r="D344" s="601">
        <v>4680115887992</v>
      </c>
      <c r="E344" s="602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91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1"/>
      <c r="R344" s="611"/>
      <c r="S344" s="611"/>
      <c r="T344" s="612"/>
      <c r="U344" s="34"/>
      <c r="V344" s="34"/>
      <c r="W344" s="35" t="s">
        <v>67</v>
      </c>
      <c r="X344" s="597">
        <v>0</v>
      </c>
      <c r="Y344" s="59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08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9"/>
      <c r="P345" s="603" t="s">
        <v>72</v>
      </c>
      <c r="Q345" s="604"/>
      <c r="R345" s="604"/>
      <c r="S345" s="604"/>
      <c r="T345" s="604"/>
      <c r="U345" s="604"/>
      <c r="V345" s="605"/>
      <c r="W345" s="37" t="s">
        <v>73</v>
      </c>
      <c r="X345" s="599">
        <f>IFERROR(X342/H342,"0")+IFERROR(X343/H343,"0")+IFERROR(X344/H344,"0")</f>
        <v>0</v>
      </c>
      <c r="Y345" s="599">
        <f>IFERROR(Y342/H342,"0")+IFERROR(Y343/H343,"0")+IFERROR(Y344/H344,"0")</f>
        <v>0</v>
      </c>
      <c r="Z345" s="599">
        <f>IFERROR(IF(Z342="",0,Z342),"0")+IFERROR(IF(Z343="",0,Z343),"0")+IFERROR(IF(Z344="",0,Z344),"0")</f>
        <v>0</v>
      </c>
      <c r="AA345" s="600"/>
      <c r="AB345" s="600"/>
      <c r="AC345" s="600"/>
    </row>
    <row r="346" spans="1:68" x14ac:dyDescent="0.2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9"/>
      <c r="P346" s="603" t="s">
        <v>72</v>
      </c>
      <c r="Q346" s="604"/>
      <c r="R346" s="604"/>
      <c r="S346" s="604"/>
      <c r="T346" s="604"/>
      <c r="U346" s="604"/>
      <c r="V346" s="605"/>
      <c r="W346" s="37" t="s">
        <v>67</v>
      </c>
      <c r="X346" s="599">
        <f>IFERROR(SUM(X342:X344),"0")</f>
        <v>0</v>
      </c>
      <c r="Y346" s="599">
        <f>IFERROR(SUM(Y342:Y344),"0")</f>
        <v>0</v>
      </c>
      <c r="Z346" s="37"/>
      <c r="AA346" s="600"/>
      <c r="AB346" s="600"/>
      <c r="AC346" s="600"/>
    </row>
    <row r="347" spans="1:68" ht="16.5" customHeight="1" x14ac:dyDescent="0.25">
      <c r="A347" s="616" t="s">
        <v>561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592"/>
      <c r="AB347" s="592"/>
      <c r="AC347" s="592"/>
    </row>
    <row r="348" spans="1:68" ht="14.25" customHeight="1" x14ac:dyDescent="0.25">
      <c r="A348" s="606" t="s">
        <v>117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593"/>
      <c r="AB348" s="593"/>
      <c r="AC348" s="593"/>
    </row>
    <row r="349" spans="1:68" ht="27" customHeight="1" x14ac:dyDescent="0.25">
      <c r="A349" s="54" t="s">
        <v>562</v>
      </c>
      <c r="B349" s="54" t="s">
        <v>563</v>
      </c>
      <c r="C349" s="31">
        <v>4301012235</v>
      </c>
      <c r="D349" s="601">
        <v>4680115887190</v>
      </c>
      <c r="E349" s="602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11"/>
      <c r="R349" s="611"/>
      <c r="S349" s="611"/>
      <c r="T349" s="612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customHeight="1" x14ac:dyDescent="0.25">
      <c r="A350" s="54" t="s">
        <v>565</v>
      </c>
      <c r="B350" s="54" t="s">
        <v>566</v>
      </c>
      <c r="C350" s="31">
        <v>4301012233</v>
      </c>
      <c r="D350" s="601">
        <v>4680115887138</v>
      </c>
      <c r="E350" s="602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72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11"/>
      <c r="R350" s="611"/>
      <c r="S350" s="611"/>
      <c r="T350" s="612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4301012016</v>
      </c>
      <c r="D351" s="601">
        <v>4680115885554</v>
      </c>
      <c r="E351" s="602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11"/>
      <c r="R351" s="611"/>
      <c r="S351" s="611"/>
      <c r="T351" s="612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4301012236</v>
      </c>
      <c r="D352" s="601">
        <v>4680115887220</v>
      </c>
      <c r="E352" s="602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7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11"/>
      <c r="R352" s="611"/>
      <c r="S352" s="611"/>
      <c r="T352" s="612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573</v>
      </c>
      <c r="B353" s="54" t="s">
        <v>574</v>
      </c>
      <c r="C353" s="31">
        <v>4301011859</v>
      </c>
      <c r="D353" s="601">
        <v>4680115885608</v>
      </c>
      <c r="E353" s="602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11"/>
      <c r="R353" s="611"/>
      <c r="S353" s="611"/>
      <c r="T353" s="612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08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9"/>
      <c r="P354" s="603" t="s">
        <v>72</v>
      </c>
      <c r="Q354" s="604"/>
      <c r="R354" s="604"/>
      <c r="S354" s="604"/>
      <c r="T354" s="604"/>
      <c r="U354" s="604"/>
      <c r="V354" s="60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x14ac:dyDescent="0.2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9"/>
      <c r="P355" s="603" t="s">
        <v>72</v>
      </c>
      <c r="Q355" s="604"/>
      <c r="R355" s="604"/>
      <c r="S355" s="604"/>
      <c r="T355" s="604"/>
      <c r="U355" s="604"/>
      <c r="V355" s="60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customHeight="1" x14ac:dyDescent="0.25">
      <c r="A356" s="606" t="s">
        <v>62</v>
      </c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593"/>
      <c r="AB356" s="593"/>
      <c r="AC356" s="593"/>
    </row>
    <row r="357" spans="1:68" ht="27" customHeight="1" x14ac:dyDescent="0.25">
      <c r="A357" s="54" t="s">
        <v>576</v>
      </c>
      <c r="B357" s="54" t="s">
        <v>577</v>
      </c>
      <c r="C357" s="31">
        <v>4301030878</v>
      </c>
      <c r="D357" s="601">
        <v>4607091387193</v>
      </c>
      <c r="E357" s="602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11"/>
      <c r="R357" s="611"/>
      <c r="S357" s="611"/>
      <c r="T357" s="612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customHeight="1" x14ac:dyDescent="0.25">
      <c r="A358" s="54" t="s">
        <v>579</v>
      </c>
      <c r="B358" s="54" t="s">
        <v>580</v>
      </c>
      <c r="C358" s="31">
        <v>4301031153</v>
      </c>
      <c r="D358" s="601">
        <v>4607091387230</v>
      </c>
      <c r="E358" s="602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11"/>
      <c r="R358" s="611"/>
      <c r="S358" s="611"/>
      <c r="T358" s="612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customHeight="1" x14ac:dyDescent="0.25">
      <c r="A359" s="54" t="s">
        <v>582</v>
      </c>
      <c r="B359" s="54" t="s">
        <v>583</v>
      </c>
      <c r="C359" s="31">
        <v>4301031154</v>
      </c>
      <c r="D359" s="601">
        <v>4607091387292</v>
      </c>
      <c r="E359" s="602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86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11"/>
      <c r="R359" s="611"/>
      <c r="S359" s="611"/>
      <c r="T359" s="612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1">
        <v>4301031152</v>
      </c>
      <c r="D360" s="601">
        <v>4607091387285</v>
      </c>
      <c r="E360" s="602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11"/>
      <c r="R360" s="611"/>
      <c r="S360" s="611"/>
      <c r="T360" s="612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customHeight="1" x14ac:dyDescent="0.25">
      <c r="A361" s="54" t="s">
        <v>587</v>
      </c>
      <c r="B361" s="54" t="s">
        <v>588</v>
      </c>
      <c r="C361" s="31">
        <v>4301031305</v>
      </c>
      <c r="D361" s="601">
        <v>4607091389845</v>
      </c>
      <c r="E361" s="602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11"/>
      <c r="R361" s="611"/>
      <c r="S361" s="611"/>
      <c r="T361" s="612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4301031460</v>
      </c>
      <c r="D362" s="601">
        <v>4680115887442</v>
      </c>
      <c r="E362" s="602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8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11"/>
      <c r="R362" s="611"/>
      <c r="S362" s="611"/>
      <c r="T362" s="612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1">
        <v>4607091383836</v>
      </c>
      <c r="E363" s="602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9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11"/>
      <c r="R363" s="611"/>
      <c r="S363" s="611"/>
      <c r="T363" s="612"/>
      <c r="U363" s="34"/>
      <c r="V363" s="34"/>
      <c r="W363" s="35" t="s">
        <v>67</v>
      </c>
      <c r="X363" s="597">
        <v>0</v>
      </c>
      <c r="Y363" s="598">
        <f t="shared" si="47"/>
        <v>0</v>
      </c>
      <c r="Z363" s="36" t="str">
        <f>IFERROR(IF(Y363=0,"",ROUNDUP(Y363/H363,0)*0.00651),"")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x14ac:dyDescent="0.2">
      <c r="A364" s="608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9"/>
      <c r="P364" s="603" t="s">
        <v>72</v>
      </c>
      <c r="Q364" s="604"/>
      <c r="R364" s="604"/>
      <c r="S364" s="604"/>
      <c r="T364" s="604"/>
      <c r="U364" s="604"/>
      <c r="V364" s="60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0</v>
      </c>
      <c r="Y364" s="599">
        <f>IFERROR(Y357/H357,"0")+IFERROR(Y358/H358,"0")+IFERROR(Y359/H359,"0")+IFERROR(Y360/H360,"0")+IFERROR(Y361/H361,"0")+IFERROR(Y362/H362,"0")+IFERROR(Y363/H363,"0")</f>
        <v>0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00"/>
      <c r="AB364" s="600"/>
      <c r="AC364" s="600"/>
    </row>
    <row r="365" spans="1:68" x14ac:dyDescent="0.2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9"/>
      <c r="P365" s="603" t="s">
        <v>72</v>
      </c>
      <c r="Q365" s="604"/>
      <c r="R365" s="604"/>
      <c r="S365" s="604"/>
      <c r="T365" s="604"/>
      <c r="U365" s="604"/>
      <c r="V365" s="605"/>
      <c r="W365" s="37" t="s">
        <v>67</v>
      </c>
      <c r="X365" s="599">
        <f>IFERROR(SUM(X357:X363),"0")</f>
        <v>0</v>
      </c>
      <c r="Y365" s="599">
        <f>IFERROR(SUM(Y357:Y363),"0")</f>
        <v>0</v>
      </c>
      <c r="Z365" s="37"/>
      <c r="AA365" s="600"/>
      <c r="AB365" s="600"/>
      <c r="AC365" s="600"/>
    </row>
    <row r="366" spans="1:68" ht="14.25" customHeight="1" x14ac:dyDescent="0.25">
      <c r="A366" s="606" t="s">
        <v>74</v>
      </c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593"/>
      <c r="AB366" s="593"/>
      <c r="AC366" s="593"/>
    </row>
    <row r="367" spans="1:68" ht="27" customHeight="1" x14ac:dyDescent="0.25">
      <c r="A367" s="54" t="s">
        <v>595</v>
      </c>
      <c r="B367" s="54" t="s">
        <v>596</v>
      </c>
      <c r="C367" s="31">
        <v>4301051100</v>
      </c>
      <c r="D367" s="601">
        <v>4607091387766</v>
      </c>
      <c r="E367" s="602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9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11"/>
      <c r="R367" s="611"/>
      <c r="S367" s="611"/>
      <c r="T367" s="612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598</v>
      </c>
      <c r="B368" s="54" t="s">
        <v>599</v>
      </c>
      <c r="C368" s="31">
        <v>4301051818</v>
      </c>
      <c r="D368" s="601">
        <v>4607091387957</v>
      </c>
      <c r="E368" s="602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9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11"/>
      <c r="R368" s="611"/>
      <c r="S368" s="611"/>
      <c r="T368" s="612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601</v>
      </c>
      <c r="B369" s="54" t="s">
        <v>602</v>
      </c>
      <c r="C369" s="31">
        <v>4301051819</v>
      </c>
      <c r="D369" s="601">
        <v>4607091387964</v>
      </c>
      <c r="E369" s="602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8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11"/>
      <c r="R369" s="611"/>
      <c r="S369" s="611"/>
      <c r="T369" s="612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604</v>
      </c>
      <c r="B370" s="54" t="s">
        <v>605</v>
      </c>
      <c r="C370" s="31">
        <v>4301051734</v>
      </c>
      <c r="D370" s="601">
        <v>4680115884588</v>
      </c>
      <c r="E370" s="602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9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11"/>
      <c r="R370" s="611"/>
      <c r="S370" s="611"/>
      <c r="T370" s="612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08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9"/>
      <c r="P371" s="603" t="s">
        <v>72</v>
      </c>
      <c r="Q371" s="604"/>
      <c r="R371" s="604"/>
      <c r="S371" s="604"/>
      <c r="T371" s="604"/>
      <c r="U371" s="604"/>
      <c r="V371" s="60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x14ac:dyDescent="0.2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9"/>
      <c r="P372" s="603" t="s">
        <v>72</v>
      </c>
      <c r="Q372" s="604"/>
      <c r="R372" s="604"/>
      <c r="S372" s="604"/>
      <c r="T372" s="604"/>
      <c r="U372" s="604"/>
      <c r="V372" s="60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customHeight="1" x14ac:dyDescent="0.25">
      <c r="A373" s="606" t="s">
        <v>169</v>
      </c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593"/>
      <c r="AB373" s="593"/>
      <c r="AC373" s="593"/>
    </row>
    <row r="374" spans="1:68" ht="27" customHeight="1" x14ac:dyDescent="0.25">
      <c r="A374" s="54" t="s">
        <v>606</v>
      </c>
      <c r="B374" s="54" t="s">
        <v>607</v>
      </c>
      <c r="C374" s="31">
        <v>4301060387</v>
      </c>
      <c r="D374" s="601">
        <v>4607091380880</v>
      </c>
      <c r="E374" s="602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11"/>
      <c r="R374" s="611"/>
      <c r="S374" s="611"/>
      <c r="T374" s="612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1">
        <v>4607091384482</v>
      </c>
      <c r="E375" s="602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11"/>
      <c r="R375" s="611"/>
      <c r="S375" s="611"/>
      <c r="T375" s="612"/>
      <c r="U375" s="34"/>
      <c r="V375" s="34"/>
      <c r="W375" s="35" t="s">
        <v>67</v>
      </c>
      <c r="X375" s="597">
        <v>448</v>
      </c>
      <c r="Y375" s="598">
        <f>IFERROR(IF(X375="",0,CEILING((X375/$H375),1)*$H375),"")</f>
        <v>452.4</v>
      </c>
      <c r="Z375" s="36">
        <f>IFERROR(IF(Y375=0,"",ROUNDUP(Y375/H375,0)*0.01898),"")</f>
        <v>1.10084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476.37333333333339</v>
      </c>
      <c r="BN375" s="64">
        <f>IFERROR(Y375*I375/H375,"0")</f>
        <v>481.05200000000002</v>
      </c>
      <c r="BO375" s="64">
        <f>IFERROR(1/J375*(X375/H375),"0")</f>
        <v>0.89743589743589747</v>
      </c>
      <c r="BP375" s="64">
        <f>IFERROR(1/J375*(Y375/H375),"0")</f>
        <v>0.90625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1">
        <v>4607091380897</v>
      </c>
      <c r="E376" s="602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11"/>
      <c r="R376" s="611"/>
      <c r="S376" s="611"/>
      <c r="T376" s="612"/>
      <c r="U376" s="34"/>
      <c r="V376" s="34"/>
      <c r="W376" s="35" t="s">
        <v>67</v>
      </c>
      <c r="X376" s="597">
        <v>0</v>
      </c>
      <c r="Y376" s="598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608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9"/>
      <c r="P377" s="603" t="s">
        <v>72</v>
      </c>
      <c r="Q377" s="604"/>
      <c r="R377" s="604"/>
      <c r="S377" s="604"/>
      <c r="T377" s="604"/>
      <c r="U377" s="604"/>
      <c r="V377" s="605"/>
      <c r="W377" s="37" t="s">
        <v>73</v>
      </c>
      <c r="X377" s="599">
        <f>IFERROR(X374/H374,"0")+IFERROR(X375/H375,"0")+IFERROR(X376/H376,"0")</f>
        <v>57.435897435897438</v>
      </c>
      <c r="Y377" s="599">
        <f>IFERROR(Y374/H374,"0")+IFERROR(Y375/H375,"0")+IFERROR(Y376/H376,"0")</f>
        <v>58</v>
      </c>
      <c r="Z377" s="599">
        <f>IFERROR(IF(Z374="",0,Z374),"0")+IFERROR(IF(Z375="",0,Z375),"0")+IFERROR(IF(Z376="",0,Z376),"0")</f>
        <v>1.10084</v>
      </c>
      <c r="AA377" s="600"/>
      <c r="AB377" s="600"/>
      <c r="AC377" s="600"/>
    </row>
    <row r="378" spans="1:68" x14ac:dyDescent="0.2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9"/>
      <c r="P378" s="603" t="s">
        <v>72</v>
      </c>
      <c r="Q378" s="604"/>
      <c r="R378" s="604"/>
      <c r="S378" s="604"/>
      <c r="T378" s="604"/>
      <c r="U378" s="604"/>
      <c r="V378" s="605"/>
      <c r="W378" s="37" t="s">
        <v>67</v>
      </c>
      <c r="X378" s="599">
        <f>IFERROR(SUM(X374:X376),"0")</f>
        <v>448</v>
      </c>
      <c r="Y378" s="599">
        <f>IFERROR(SUM(Y374:Y376),"0")</f>
        <v>452.4</v>
      </c>
      <c r="Z378" s="37"/>
      <c r="AA378" s="600"/>
      <c r="AB378" s="600"/>
      <c r="AC378" s="600"/>
    </row>
    <row r="379" spans="1:68" ht="14.25" customHeight="1" x14ac:dyDescent="0.25">
      <c r="A379" s="606" t="s">
        <v>95</v>
      </c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593"/>
      <c r="AB379" s="593"/>
      <c r="AC379" s="593"/>
    </row>
    <row r="380" spans="1:68" ht="27" customHeight="1" x14ac:dyDescent="0.25">
      <c r="A380" s="54" t="s">
        <v>615</v>
      </c>
      <c r="B380" s="54" t="s">
        <v>616</v>
      </c>
      <c r="C380" s="31">
        <v>4301030235</v>
      </c>
      <c r="D380" s="601">
        <v>4607091388381</v>
      </c>
      <c r="E380" s="602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11"/>
      <c r="R380" s="611"/>
      <c r="S380" s="611"/>
      <c r="T380" s="612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618</v>
      </c>
      <c r="B381" s="54" t="s">
        <v>619</v>
      </c>
      <c r="C381" s="31">
        <v>4301030232</v>
      </c>
      <c r="D381" s="601">
        <v>4607091388374</v>
      </c>
      <c r="E381" s="602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6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11"/>
      <c r="R381" s="611"/>
      <c r="S381" s="611"/>
      <c r="T381" s="612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620</v>
      </c>
      <c r="B382" s="54" t="s">
        <v>621</v>
      </c>
      <c r="C382" s="31">
        <v>4301032015</v>
      </c>
      <c r="D382" s="601">
        <v>4607091383102</v>
      </c>
      <c r="E382" s="602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11"/>
      <c r="R382" s="611"/>
      <c r="S382" s="611"/>
      <c r="T382" s="612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622</v>
      </c>
      <c r="B383" s="54" t="s">
        <v>623</v>
      </c>
      <c r="C383" s="31">
        <v>4301030233</v>
      </c>
      <c r="D383" s="601">
        <v>4607091388404</v>
      </c>
      <c r="E383" s="602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9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11"/>
      <c r="R383" s="611"/>
      <c r="S383" s="611"/>
      <c r="T383" s="612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08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9"/>
      <c r="P384" s="603" t="s">
        <v>72</v>
      </c>
      <c r="Q384" s="604"/>
      <c r="R384" s="604"/>
      <c r="S384" s="604"/>
      <c r="T384" s="604"/>
      <c r="U384" s="604"/>
      <c r="V384" s="605"/>
      <c r="W384" s="37" t="s">
        <v>73</v>
      </c>
      <c r="X384" s="599">
        <f>IFERROR(X380/H380,"0")+IFERROR(X381/H381,"0")+IFERROR(X382/H382,"0")+IFERROR(X383/H383,"0")</f>
        <v>0</v>
      </c>
      <c r="Y384" s="599">
        <f>IFERROR(Y380/H380,"0")+IFERROR(Y381/H381,"0")+IFERROR(Y382/H382,"0")+IFERROR(Y383/H383,"0")</f>
        <v>0</v>
      </c>
      <c r="Z384" s="599">
        <f>IFERROR(IF(Z380="",0,Z380),"0")+IFERROR(IF(Z381="",0,Z381),"0")+IFERROR(IF(Z382="",0,Z382),"0")+IFERROR(IF(Z383="",0,Z383),"0")</f>
        <v>0</v>
      </c>
      <c r="AA384" s="600"/>
      <c r="AB384" s="600"/>
      <c r="AC384" s="600"/>
    </row>
    <row r="385" spans="1:68" x14ac:dyDescent="0.2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9"/>
      <c r="P385" s="603" t="s">
        <v>72</v>
      </c>
      <c r="Q385" s="604"/>
      <c r="R385" s="604"/>
      <c r="S385" s="604"/>
      <c r="T385" s="604"/>
      <c r="U385" s="604"/>
      <c r="V385" s="605"/>
      <c r="W385" s="37" t="s">
        <v>67</v>
      </c>
      <c r="X385" s="599">
        <f>IFERROR(SUM(X380:X383),"0")</f>
        <v>0</v>
      </c>
      <c r="Y385" s="599">
        <f>IFERROR(SUM(Y380:Y383),"0")</f>
        <v>0</v>
      </c>
      <c r="Z385" s="37"/>
      <c r="AA385" s="600"/>
      <c r="AB385" s="600"/>
      <c r="AC385" s="600"/>
    </row>
    <row r="386" spans="1:68" ht="14.25" customHeight="1" x14ac:dyDescent="0.25">
      <c r="A386" s="606" t="s">
        <v>624</v>
      </c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593"/>
      <c r="AB386" s="593"/>
      <c r="AC386" s="593"/>
    </row>
    <row r="387" spans="1:68" ht="16.5" customHeight="1" x14ac:dyDescent="0.25">
      <c r="A387" s="54" t="s">
        <v>625</v>
      </c>
      <c r="B387" s="54" t="s">
        <v>626</v>
      </c>
      <c r="C387" s="31">
        <v>4301180007</v>
      </c>
      <c r="D387" s="601">
        <v>4680115881808</v>
      </c>
      <c r="E387" s="602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11"/>
      <c r="R387" s="611"/>
      <c r="S387" s="611"/>
      <c r="T387" s="612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629</v>
      </c>
      <c r="B388" s="54" t="s">
        <v>630</v>
      </c>
      <c r="C388" s="31">
        <v>4301180006</v>
      </c>
      <c r="D388" s="601">
        <v>4680115881822</v>
      </c>
      <c r="E388" s="602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11"/>
      <c r="R388" s="611"/>
      <c r="S388" s="611"/>
      <c r="T388" s="612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631</v>
      </c>
      <c r="B389" s="54" t="s">
        <v>632</v>
      </c>
      <c r="C389" s="31">
        <v>4301180001</v>
      </c>
      <c r="D389" s="601">
        <v>4680115880016</v>
      </c>
      <c r="E389" s="602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6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11"/>
      <c r="R389" s="611"/>
      <c r="S389" s="611"/>
      <c r="T389" s="612"/>
      <c r="U389" s="34"/>
      <c r="V389" s="34"/>
      <c r="W389" s="35" t="s">
        <v>67</v>
      </c>
      <c r="X389" s="597">
        <v>0</v>
      </c>
      <c r="Y389" s="598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08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9"/>
      <c r="P390" s="603" t="s">
        <v>72</v>
      </c>
      <c r="Q390" s="604"/>
      <c r="R390" s="604"/>
      <c r="S390" s="604"/>
      <c r="T390" s="604"/>
      <c r="U390" s="604"/>
      <c r="V390" s="605"/>
      <c r="W390" s="37" t="s">
        <v>73</v>
      </c>
      <c r="X390" s="599">
        <f>IFERROR(X387/H387,"0")+IFERROR(X388/H388,"0")+IFERROR(X389/H389,"0")</f>
        <v>0</v>
      </c>
      <c r="Y390" s="599">
        <f>IFERROR(Y387/H387,"0")+IFERROR(Y388/H388,"0")+IFERROR(Y389/H389,"0")</f>
        <v>0</v>
      </c>
      <c r="Z390" s="599">
        <f>IFERROR(IF(Z387="",0,Z387),"0")+IFERROR(IF(Z388="",0,Z388),"0")+IFERROR(IF(Z389="",0,Z389),"0")</f>
        <v>0</v>
      </c>
      <c r="AA390" s="600"/>
      <c r="AB390" s="600"/>
      <c r="AC390" s="600"/>
    </row>
    <row r="391" spans="1:68" x14ac:dyDescent="0.2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9"/>
      <c r="P391" s="603" t="s">
        <v>72</v>
      </c>
      <c r="Q391" s="604"/>
      <c r="R391" s="604"/>
      <c r="S391" s="604"/>
      <c r="T391" s="604"/>
      <c r="U391" s="604"/>
      <c r="V391" s="605"/>
      <c r="W391" s="37" t="s">
        <v>67</v>
      </c>
      <c r="X391" s="599">
        <f>IFERROR(SUM(X387:X389),"0")</f>
        <v>0</v>
      </c>
      <c r="Y391" s="599">
        <f>IFERROR(SUM(Y387:Y389),"0")</f>
        <v>0</v>
      </c>
      <c r="Z391" s="37"/>
      <c r="AA391" s="600"/>
      <c r="AB391" s="600"/>
      <c r="AC391" s="600"/>
    </row>
    <row r="392" spans="1:68" ht="16.5" customHeight="1" x14ac:dyDescent="0.25">
      <c r="A392" s="616" t="s">
        <v>633</v>
      </c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592"/>
      <c r="AB392" s="592"/>
      <c r="AC392" s="592"/>
    </row>
    <row r="393" spans="1:68" ht="14.25" customHeight="1" x14ac:dyDescent="0.25">
      <c r="A393" s="606" t="s">
        <v>74</v>
      </c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593"/>
      <c r="AB393" s="593"/>
      <c r="AC393" s="593"/>
    </row>
    <row r="394" spans="1:68" ht="27" customHeight="1" x14ac:dyDescent="0.25">
      <c r="A394" s="54" t="s">
        <v>634</v>
      </c>
      <c r="B394" s="54" t="s">
        <v>635</v>
      </c>
      <c r="C394" s="31">
        <v>4301051489</v>
      </c>
      <c r="D394" s="601">
        <v>4607091387919</v>
      </c>
      <c r="E394" s="602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6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11"/>
      <c r="R394" s="611"/>
      <c r="S394" s="611"/>
      <c r="T394" s="612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637</v>
      </c>
      <c r="B395" s="54" t="s">
        <v>638</v>
      </c>
      <c r="C395" s="31">
        <v>4301051461</v>
      </c>
      <c r="D395" s="601">
        <v>4680115883604</v>
      </c>
      <c r="E395" s="602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81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11"/>
      <c r="R395" s="611"/>
      <c r="S395" s="611"/>
      <c r="T395" s="612"/>
      <c r="U395" s="34"/>
      <c r="V395" s="34"/>
      <c r="W395" s="35" t="s">
        <v>67</v>
      </c>
      <c r="X395" s="597">
        <v>0</v>
      </c>
      <c r="Y395" s="598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640</v>
      </c>
      <c r="B396" s="54" t="s">
        <v>641</v>
      </c>
      <c r="C396" s="31">
        <v>4301051864</v>
      </c>
      <c r="D396" s="601">
        <v>4680115883567</v>
      </c>
      <c r="E396" s="602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85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11"/>
      <c r="R396" s="611"/>
      <c r="S396" s="611"/>
      <c r="T396" s="612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08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9"/>
      <c r="P397" s="603" t="s">
        <v>72</v>
      </c>
      <c r="Q397" s="604"/>
      <c r="R397" s="604"/>
      <c r="S397" s="604"/>
      <c r="T397" s="604"/>
      <c r="U397" s="604"/>
      <c r="V397" s="605"/>
      <c r="W397" s="37" t="s">
        <v>73</v>
      </c>
      <c r="X397" s="599">
        <f>IFERROR(X394/H394,"0")+IFERROR(X395/H395,"0")+IFERROR(X396/H396,"0")</f>
        <v>0</v>
      </c>
      <c r="Y397" s="599">
        <f>IFERROR(Y394/H394,"0")+IFERROR(Y395/H395,"0")+IFERROR(Y396/H396,"0")</f>
        <v>0</v>
      </c>
      <c r="Z397" s="599">
        <f>IFERROR(IF(Z394="",0,Z394),"0")+IFERROR(IF(Z395="",0,Z395),"0")+IFERROR(IF(Z396="",0,Z396),"0")</f>
        <v>0</v>
      </c>
      <c r="AA397" s="600"/>
      <c r="AB397" s="600"/>
      <c r="AC397" s="600"/>
    </row>
    <row r="398" spans="1:68" x14ac:dyDescent="0.2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9"/>
      <c r="P398" s="603" t="s">
        <v>72</v>
      </c>
      <c r="Q398" s="604"/>
      <c r="R398" s="604"/>
      <c r="S398" s="604"/>
      <c r="T398" s="604"/>
      <c r="U398" s="604"/>
      <c r="V398" s="605"/>
      <c r="W398" s="37" t="s">
        <v>67</v>
      </c>
      <c r="X398" s="599">
        <f>IFERROR(SUM(X394:X396),"0")</f>
        <v>0</v>
      </c>
      <c r="Y398" s="599">
        <f>IFERROR(SUM(Y394:Y396),"0")</f>
        <v>0</v>
      </c>
      <c r="Z398" s="37"/>
      <c r="AA398" s="600"/>
      <c r="AB398" s="600"/>
      <c r="AC398" s="600"/>
    </row>
    <row r="399" spans="1:68" ht="27.75" customHeight="1" x14ac:dyDescent="0.2">
      <c r="A399" s="633" t="s">
        <v>643</v>
      </c>
      <c r="B399" s="634"/>
      <c r="C399" s="634"/>
      <c r="D399" s="634"/>
      <c r="E399" s="634"/>
      <c r="F399" s="634"/>
      <c r="G399" s="634"/>
      <c r="H399" s="634"/>
      <c r="I399" s="634"/>
      <c r="J399" s="634"/>
      <c r="K399" s="634"/>
      <c r="L399" s="634"/>
      <c r="M399" s="634"/>
      <c r="N399" s="634"/>
      <c r="O399" s="634"/>
      <c r="P399" s="634"/>
      <c r="Q399" s="634"/>
      <c r="R399" s="634"/>
      <c r="S399" s="634"/>
      <c r="T399" s="634"/>
      <c r="U399" s="634"/>
      <c r="V399" s="634"/>
      <c r="W399" s="634"/>
      <c r="X399" s="634"/>
      <c r="Y399" s="634"/>
      <c r="Z399" s="634"/>
      <c r="AA399" s="48"/>
      <c r="AB399" s="48"/>
      <c r="AC399" s="48"/>
    </row>
    <row r="400" spans="1:68" ht="16.5" customHeight="1" x14ac:dyDescent="0.25">
      <c r="A400" s="616" t="s">
        <v>644</v>
      </c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592"/>
      <c r="AB400" s="592"/>
      <c r="AC400" s="592"/>
    </row>
    <row r="401" spans="1:68" ht="14.25" customHeight="1" x14ac:dyDescent="0.25">
      <c r="A401" s="606" t="s">
        <v>117</v>
      </c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593"/>
      <c r="AB401" s="593"/>
      <c r="AC401" s="593"/>
    </row>
    <row r="402" spans="1:68" ht="27" customHeight="1" x14ac:dyDescent="0.25">
      <c r="A402" s="54" t="s">
        <v>645</v>
      </c>
      <c r="B402" s="54" t="s">
        <v>646</v>
      </c>
      <c r="C402" s="31">
        <v>4301012332</v>
      </c>
      <c r="D402" s="601">
        <v>4680115888401</v>
      </c>
      <c r="E402" s="602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69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11"/>
      <c r="R402" s="611"/>
      <c r="S402" s="611"/>
      <c r="T402" s="612"/>
      <c r="U402" s="34"/>
      <c r="V402" s="34"/>
      <c r="W402" s="35" t="s">
        <v>67</v>
      </c>
      <c r="X402" s="597">
        <v>0</v>
      </c>
      <c r="Y402" s="598">
        <f t="shared" ref="Y402:Y409" si="52">IFERROR(IF(X402="",0,CEILING((X402/$H402),1)*$H402),"")</f>
        <v>0</v>
      </c>
      <c r="Z402" s="36" t="str">
        <f>IFERROR(IF(Y402=0,"",ROUNDUP(Y402/H402,0)*0.02175),"")</f>
        <v/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0</v>
      </c>
      <c r="BN402" s="64">
        <f t="shared" ref="BN402:BN409" si="54">IFERROR(Y402*I402/H402,"0")</f>
        <v>0</v>
      </c>
      <c r="BO402" s="64">
        <f t="shared" ref="BO402:BO409" si="55">IFERROR(1/J402*(X402/H402),"0")</f>
        <v>0</v>
      </c>
      <c r="BP402" s="64">
        <f t="shared" ref="BP402:BP409" si="56">IFERROR(1/J402*(Y402/H402),"0")</f>
        <v>0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1">
        <v>4680115884847</v>
      </c>
      <c r="E403" s="602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7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11"/>
      <c r="R403" s="611"/>
      <c r="S403" s="611"/>
      <c r="T403" s="612"/>
      <c r="U403" s="34"/>
      <c r="V403" s="34"/>
      <c r="W403" s="35" t="s">
        <v>67</v>
      </c>
      <c r="X403" s="597">
        <v>694</v>
      </c>
      <c r="Y403" s="598">
        <f t="shared" si="52"/>
        <v>705</v>
      </c>
      <c r="Z403" s="36">
        <f>IFERROR(IF(Y403=0,"",ROUNDUP(Y403/H403,0)*0.02175),"")</f>
        <v>1.0222499999999999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715.74533333333341</v>
      </c>
      <c r="BN403" s="64">
        <f t="shared" si="54"/>
        <v>727.09</v>
      </c>
      <c r="BO403" s="64">
        <f t="shared" si="55"/>
        <v>0.9638888888888888</v>
      </c>
      <c r="BP403" s="64">
        <f t="shared" si="56"/>
        <v>0.97916666666666663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1">
        <v>4680115884854</v>
      </c>
      <c r="E404" s="602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6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11"/>
      <c r="R404" s="611"/>
      <c r="S404" s="611"/>
      <c r="T404" s="612"/>
      <c r="U404" s="34"/>
      <c r="V404" s="34"/>
      <c r="W404" s="35" t="s">
        <v>67</v>
      </c>
      <c r="X404" s="597">
        <v>530</v>
      </c>
      <c r="Y404" s="598">
        <f t="shared" si="52"/>
        <v>540</v>
      </c>
      <c r="Z404" s="36">
        <f>IFERROR(IF(Y404=0,"",ROUNDUP(Y404/H404,0)*0.02175),"")</f>
        <v>0.78299999999999992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546.60666666666668</v>
      </c>
      <c r="BN404" s="64">
        <f t="shared" si="54"/>
        <v>556.92000000000007</v>
      </c>
      <c r="BO404" s="64">
        <f t="shared" si="55"/>
        <v>0.73611111111111116</v>
      </c>
      <c r="BP404" s="64">
        <f t="shared" si="56"/>
        <v>0.75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1">
        <v>4680115884830</v>
      </c>
      <c r="E405" s="602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67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11"/>
      <c r="R405" s="611"/>
      <c r="S405" s="611"/>
      <c r="T405" s="612"/>
      <c r="U405" s="34"/>
      <c r="V405" s="34"/>
      <c r="W405" s="35" t="s">
        <v>67</v>
      </c>
      <c r="X405" s="597">
        <v>795</v>
      </c>
      <c r="Y405" s="598">
        <f t="shared" si="52"/>
        <v>795</v>
      </c>
      <c r="Z405" s="36">
        <f>IFERROR(IF(Y405=0,"",ROUNDUP(Y405/H405,0)*0.02175),"")</f>
        <v>1.1527499999999999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819.91</v>
      </c>
      <c r="BN405" s="64">
        <f t="shared" si="54"/>
        <v>819.91</v>
      </c>
      <c r="BO405" s="64">
        <f t="shared" si="55"/>
        <v>1.1041666666666665</v>
      </c>
      <c r="BP405" s="64">
        <f t="shared" si="56"/>
        <v>1.1041666666666665</v>
      </c>
    </row>
    <row r="406" spans="1:68" ht="27" customHeight="1" x14ac:dyDescent="0.25">
      <c r="A406" s="54" t="s">
        <v>657</v>
      </c>
      <c r="B406" s="54" t="s">
        <v>658</v>
      </c>
      <c r="C406" s="31">
        <v>4301012356</v>
      </c>
      <c r="D406" s="601">
        <v>4680115889231</v>
      </c>
      <c r="E406" s="602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7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11"/>
      <c r="R406" s="611"/>
      <c r="S406" s="611"/>
      <c r="T406" s="612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customHeight="1" x14ac:dyDescent="0.25">
      <c r="A407" s="54" t="s">
        <v>660</v>
      </c>
      <c r="B407" s="54" t="s">
        <v>661</v>
      </c>
      <c r="C407" s="31">
        <v>4301011433</v>
      </c>
      <c r="D407" s="601">
        <v>4680115882638</v>
      </c>
      <c r="E407" s="602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11"/>
      <c r="R407" s="611"/>
      <c r="S407" s="611"/>
      <c r="T407" s="612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customHeight="1" x14ac:dyDescent="0.25">
      <c r="A408" s="54" t="s">
        <v>663</v>
      </c>
      <c r="B408" s="54" t="s">
        <v>664</v>
      </c>
      <c r="C408" s="31">
        <v>4301011952</v>
      </c>
      <c r="D408" s="601">
        <v>4680115884922</v>
      </c>
      <c r="E408" s="602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9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11"/>
      <c r="R408" s="611"/>
      <c r="S408" s="611"/>
      <c r="T408" s="612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customHeight="1" x14ac:dyDescent="0.25">
      <c r="A409" s="54" t="s">
        <v>666</v>
      </c>
      <c r="B409" s="54" t="s">
        <v>667</v>
      </c>
      <c r="C409" s="31">
        <v>4301011868</v>
      </c>
      <c r="D409" s="601">
        <v>4680115884861</v>
      </c>
      <c r="E409" s="602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11"/>
      <c r="R409" s="611"/>
      <c r="S409" s="611"/>
      <c r="T409" s="612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08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9"/>
      <c r="P410" s="603" t="s">
        <v>72</v>
      </c>
      <c r="Q410" s="604"/>
      <c r="R410" s="604"/>
      <c r="S410" s="604"/>
      <c r="T410" s="604"/>
      <c r="U410" s="604"/>
      <c r="V410" s="60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134.6</v>
      </c>
      <c r="Y410" s="599">
        <f>IFERROR(Y402/H402,"0")+IFERROR(Y403/H403,"0")+IFERROR(Y404/H404,"0")+IFERROR(Y405/H405,"0")+IFERROR(Y406/H406,"0")+IFERROR(Y407/H407,"0")+IFERROR(Y408/H408,"0")+IFERROR(Y409/H409,"0")</f>
        <v>136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2.9579999999999997</v>
      </c>
      <c r="AA410" s="600"/>
      <c r="AB410" s="600"/>
      <c r="AC410" s="600"/>
    </row>
    <row r="411" spans="1:68" x14ac:dyDescent="0.2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9"/>
      <c r="P411" s="603" t="s">
        <v>72</v>
      </c>
      <c r="Q411" s="604"/>
      <c r="R411" s="604"/>
      <c r="S411" s="604"/>
      <c r="T411" s="604"/>
      <c r="U411" s="604"/>
      <c r="V411" s="605"/>
      <c r="W411" s="37" t="s">
        <v>67</v>
      </c>
      <c r="X411" s="599">
        <f>IFERROR(SUM(X402:X409),"0")</f>
        <v>2019</v>
      </c>
      <c r="Y411" s="599">
        <f>IFERROR(SUM(Y402:Y409),"0")</f>
        <v>2040</v>
      </c>
      <c r="Z411" s="37"/>
      <c r="AA411" s="600"/>
      <c r="AB411" s="600"/>
      <c r="AC411" s="600"/>
    </row>
    <row r="412" spans="1:68" ht="14.25" customHeight="1" x14ac:dyDescent="0.25">
      <c r="A412" s="606" t="s">
        <v>152</v>
      </c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1">
        <v>4607091383980</v>
      </c>
      <c r="E413" s="602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11"/>
      <c r="R413" s="611"/>
      <c r="S413" s="611"/>
      <c r="T413" s="612"/>
      <c r="U413" s="34"/>
      <c r="V413" s="34"/>
      <c r="W413" s="35" t="s">
        <v>67</v>
      </c>
      <c r="X413" s="597">
        <v>528</v>
      </c>
      <c r="Y413" s="598">
        <f>IFERROR(IF(X413="",0,CEILING((X413/$H413),1)*$H413),"")</f>
        <v>540</v>
      </c>
      <c r="Z413" s="36">
        <f>IFERROR(IF(Y413=0,"",ROUNDUP(Y413/H413,0)*0.02175),"")</f>
        <v>0.78299999999999992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544.5440000000001</v>
      </c>
      <c r="BN413" s="64">
        <f>IFERROR(Y413*I413/H413,"0")</f>
        <v>556.92000000000007</v>
      </c>
      <c r="BO413" s="64">
        <f>IFERROR(1/J413*(X413/H413),"0")</f>
        <v>0.73333333333333339</v>
      </c>
      <c r="BP413" s="64">
        <f>IFERROR(1/J413*(Y413/H413),"0")</f>
        <v>0.75</v>
      </c>
    </row>
    <row r="414" spans="1:68" ht="27" customHeight="1" x14ac:dyDescent="0.25">
      <c r="A414" s="54" t="s">
        <v>672</v>
      </c>
      <c r="B414" s="54" t="s">
        <v>673</v>
      </c>
      <c r="C414" s="31">
        <v>4301020355</v>
      </c>
      <c r="D414" s="601">
        <v>4680115888425</v>
      </c>
      <c r="E414" s="602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11"/>
      <c r="R414" s="611"/>
      <c r="S414" s="611"/>
      <c r="T414" s="612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675</v>
      </c>
      <c r="B415" s="54" t="s">
        <v>676</v>
      </c>
      <c r="C415" s="31">
        <v>4301020179</v>
      </c>
      <c r="D415" s="601">
        <v>4607091384178</v>
      </c>
      <c r="E415" s="602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11"/>
      <c r="R415" s="611"/>
      <c r="S415" s="611"/>
      <c r="T415" s="612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08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9"/>
      <c r="P416" s="603" t="s">
        <v>72</v>
      </c>
      <c r="Q416" s="604"/>
      <c r="R416" s="604"/>
      <c r="S416" s="604"/>
      <c r="T416" s="604"/>
      <c r="U416" s="604"/>
      <c r="V416" s="605"/>
      <c r="W416" s="37" t="s">
        <v>73</v>
      </c>
      <c r="X416" s="599">
        <f>IFERROR(X413/H413,"0")+IFERROR(X414/H414,"0")+IFERROR(X415/H415,"0")</f>
        <v>35.200000000000003</v>
      </c>
      <c r="Y416" s="599">
        <f>IFERROR(Y413/H413,"0")+IFERROR(Y414/H414,"0")+IFERROR(Y415/H415,"0")</f>
        <v>36</v>
      </c>
      <c r="Z416" s="599">
        <f>IFERROR(IF(Z413="",0,Z413),"0")+IFERROR(IF(Z414="",0,Z414),"0")+IFERROR(IF(Z415="",0,Z415),"0")</f>
        <v>0.78299999999999992</v>
      </c>
      <c r="AA416" s="600"/>
      <c r="AB416" s="600"/>
      <c r="AC416" s="600"/>
    </row>
    <row r="417" spans="1:68" x14ac:dyDescent="0.2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9"/>
      <c r="P417" s="603" t="s">
        <v>72</v>
      </c>
      <c r="Q417" s="604"/>
      <c r="R417" s="604"/>
      <c r="S417" s="604"/>
      <c r="T417" s="604"/>
      <c r="U417" s="604"/>
      <c r="V417" s="605"/>
      <c r="W417" s="37" t="s">
        <v>67</v>
      </c>
      <c r="X417" s="599">
        <f>IFERROR(SUM(X413:X415),"0")</f>
        <v>528</v>
      </c>
      <c r="Y417" s="599">
        <f>IFERROR(SUM(Y413:Y415),"0")</f>
        <v>540</v>
      </c>
      <c r="Z417" s="37"/>
      <c r="AA417" s="600"/>
      <c r="AB417" s="600"/>
      <c r="AC417" s="600"/>
    </row>
    <row r="418" spans="1:68" ht="14.25" customHeight="1" x14ac:dyDescent="0.25">
      <c r="A418" s="606" t="s">
        <v>74</v>
      </c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593"/>
      <c r="AB418" s="593"/>
      <c r="AC418" s="593"/>
    </row>
    <row r="419" spans="1:68" ht="27" customHeight="1" x14ac:dyDescent="0.25">
      <c r="A419" s="54" t="s">
        <v>678</v>
      </c>
      <c r="B419" s="54" t="s">
        <v>679</v>
      </c>
      <c r="C419" s="31">
        <v>4301051903</v>
      </c>
      <c r="D419" s="601">
        <v>4607091383928</v>
      </c>
      <c r="E419" s="602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7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11"/>
      <c r="R419" s="611"/>
      <c r="S419" s="611"/>
      <c r="T419" s="612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681</v>
      </c>
      <c r="B420" s="54" t="s">
        <v>682</v>
      </c>
      <c r="C420" s="31">
        <v>4301051897</v>
      </c>
      <c r="D420" s="601">
        <v>4607091384260</v>
      </c>
      <c r="E420" s="602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8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11"/>
      <c r="R420" s="611"/>
      <c r="S420" s="611"/>
      <c r="T420" s="612"/>
      <c r="U420" s="34"/>
      <c r="V420" s="34"/>
      <c r="W420" s="35" t="s">
        <v>67</v>
      </c>
      <c r="X420" s="597">
        <v>0</v>
      </c>
      <c r="Y420" s="59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08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9"/>
      <c r="P421" s="603" t="s">
        <v>72</v>
      </c>
      <c r="Q421" s="604"/>
      <c r="R421" s="604"/>
      <c r="S421" s="604"/>
      <c r="T421" s="604"/>
      <c r="U421" s="604"/>
      <c r="V421" s="605"/>
      <c r="W421" s="37" t="s">
        <v>73</v>
      </c>
      <c r="X421" s="599">
        <f>IFERROR(X419/H419,"0")+IFERROR(X420/H420,"0")</f>
        <v>0</v>
      </c>
      <c r="Y421" s="599">
        <f>IFERROR(Y419/H419,"0")+IFERROR(Y420/H420,"0")</f>
        <v>0</v>
      </c>
      <c r="Z421" s="599">
        <f>IFERROR(IF(Z419="",0,Z419),"0")+IFERROR(IF(Z420="",0,Z420),"0")</f>
        <v>0</v>
      </c>
      <c r="AA421" s="600"/>
      <c r="AB421" s="600"/>
      <c r="AC421" s="600"/>
    </row>
    <row r="422" spans="1:68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9"/>
      <c r="P422" s="603" t="s">
        <v>72</v>
      </c>
      <c r="Q422" s="604"/>
      <c r="R422" s="604"/>
      <c r="S422" s="604"/>
      <c r="T422" s="604"/>
      <c r="U422" s="604"/>
      <c r="V422" s="605"/>
      <c r="W422" s="37" t="s">
        <v>67</v>
      </c>
      <c r="X422" s="599">
        <f>IFERROR(SUM(X419:X420),"0")</f>
        <v>0</v>
      </c>
      <c r="Y422" s="599">
        <f>IFERROR(SUM(Y419:Y420),"0")</f>
        <v>0</v>
      </c>
      <c r="Z422" s="37"/>
      <c r="AA422" s="600"/>
      <c r="AB422" s="600"/>
      <c r="AC422" s="600"/>
    </row>
    <row r="423" spans="1:68" ht="14.25" customHeight="1" x14ac:dyDescent="0.25">
      <c r="A423" s="606" t="s">
        <v>169</v>
      </c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593"/>
      <c r="AB423" s="593"/>
      <c r="AC423" s="593"/>
    </row>
    <row r="424" spans="1:68" ht="16.5" customHeight="1" x14ac:dyDescent="0.25">
      <c r="A424" s="54" t="s">
        <v>684</v>
      </c>
      <c r="B424" s="54" t="s">
        <v>685</v>
      </c>
      <c r="C424" s="31">
        <v>4301060524</v>
      </c>
      <c r="D424" s="601">
        <v>4607091384673</v>
      </c>
      <c r="E424" s="602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7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11"/>
      <c r="R424" s="611"/>
      <c r="S424" s="611"/>
      <c r="T424" s="612"/>
      <c r="U424" s="34"/>
      <c r="V424" s="34"/>
      <c r="W424" s="35" t="s">
        <v>67</v>
      </c>
      <c r="X424" s="597">
        <v>0</v>
      </c>
      <c r="Y424" s="598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08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9"/>
      <c r="P425" s="603" t="s">
        <v>72</v>
      </c>
      <c r="Q425" s="604"/>
      <c r="R425" s="604"/>
      <c r="S425" s="604"/>
      <c r="T425" s="604"/>
      <c r="U425" s="604"/>
      <c r="V425" s="605"/>
      <c r="W425" s="37" t="s">
        <v>73</v>
      </c>
      <c r="X425" s="599">
        <f>IFERROR(X424/H424,"0")</f>
        <v>0</v>
      </c>
      <c r="Y425" s="599">
        <f>IFERROR(Y424/H424,"0")</f>
        <v>0</v>
      </c>
      <c r="Z425" s="599">
        <f>IFERROR(IF(Z424="",0,Z424),"0")</f>
        <v>0</v>
      </c>
      <c r="AA425" s="600"/>
      <c r="AB425" s="600"/>
      <c r="AC425" s="600"/>
    </row>
    <row r="426" spans="1:68" x14ac:dyDescent="0.2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9"/>
      <c r="P426" s="603" t="s">
        <v>72</v>
      </c>
      <c r="Q426" s="604"/>
      <c r="R426" s="604"/>
      <c r="S426" s="604"/>
      <c r="T426" s="604"/>
      <c r="U426" s="604"/>
      <c r="V426" s="605"/>
      <c r="W426" s="37" t="s">
        <v>67</v>
      </c>
      <c r="X426" s="599">
        <f>IFERROR(SUM(X424:X424),"0")</f>
        <v>0</v>
      </c>
      <c r="Y426" s="599">
        <f>IFERROR(SUM(Y424:Y424),"0")</f>
        <v>0</v>
      </c>
      <c r="Z426" s="37"/>
      <c r="AA426" s="600"/>
      <c r="AB426" s="600"/>
      <c r="AC426" s="600"/>
    </row>
    <row r="427" spans="1:68" ht="16.5" customHeight="1" x14ac:dyDescent="0.25">
      <c r="A427" s="616" t="s">
        <v>687</v>
      </c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592"/>
      <c r="AB427" s="592"/>
      <c r="AC427" s="592"/>
    </row>
    <row r="428" spans="1:68" ht="14.25" customHeight="1" x14ac:dyDescent="0.25">
      <c r="A428" s="606" t="s">
        <v>117</v>
      </c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593"/>
      <c r="AB428" s="593"/>
      <c r="AC428" s="593"/>
    </row>
    <row r="429" spans="1:68" ht="27" customHeight="1" x14ac:dyDescent="0.25">
      <c r="A429" s="54" t="s">
        <v>688</v>
      </c>
      <c r="B429" s="54" t="s">
        <v>689</v>
      </c>
      <c r="C429" s="31">
        <v>4301011875</v>
      </c>
      <c r="D429" s="601">
        <v>4680115884885</v>
      </c>
      <c r="E429" s="602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7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11"/>
      <c r="R429" s="611"/>
      <c r="S429" s="611"/>
      <c r="T429" s="612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4301011871</v>
      </c>
      <c r="D430" s="601">
        <v>4680115884908</v>
      </c>
      <c r="E430" s="602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11"/>
      <c r="R430" s="611"/>
      <c r="S430" s="611"/>
      <c r="T430" s="612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08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9"/>
      <c r="P431" s="603" t="s">
        <v>72</v>
      </c>
      <c r="Q431" s="604"/>
      <c r="R431" s="604"/>
      <c r="S431" s="604"/>
      <c r="T431" s="604"/>
      <c r="U431" s="604"/>
      <c r="V431" s="60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9"/>
      <c r="P432" s="603" t="s">
        <v>72</v>
      </c>
      <c r="Q432" s="604"/>
      <c r="R432" s="604"/>
      <c r="S432" s="604"/>
      <c r="T432" s="604"/>
      <c r="U432" s="604"/>
      <c r="V432" s="60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customHeight="1" x14ac:dyDescent="0.25">
      <c r="A433" s="606" t="s">
        <v>62</v>
      </c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593"/>
      <c r="AB433" s="593"/>
      <c r="AC433" s="593"/>
    </row>
    <row r="434" spans="1:68" ht="27" customHeight="1" x14ac:dyDescent="0.25">
      <c r="A434" s="54" t="s">
        <v>693</v>
      </c>
      <c r="B434" s="54" t="s">
        <v>694</v>
      </c>
      <c r="C434" s="31">
        <v>4301031457</v>
      </c>
      <c r="D434" s="601">
        <v>4607091384802</v>
      </c>
      <c r="E434" s="602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11"/>
      <c r="R434" s="611"/>
      <c r="S434" s="611"/>
      <c r="T434" s="612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08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9"/>
      <c r="P435" s="603" t="s">
        <v>72</v>
      </c>
      <c r="Q435" s="604"/>
      <c r="R435" s="604"/>
      <c r="S435" s="604"/>
      <c r="T435" s="604"/>
      <c r="U435" s="604"/>
      <c r="V435" s="60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x14ac:dyDescent="0.2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9"/>
      <c r="P436" s="603" t="s">
        <v>72</v>
      </c>
      <c r="Q436" s="604"/>
      <c r="R436" s="604"/>
      <c r="S436" s="604"/>
      <c r="T436" s="604"/>
      <c r="U436" s="604"/>
      <c r="V436" s="60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customHeight="1" x14ac:dyDescent="0.25">
      <c r="A437" s="606" t="s">
        <v>74</v>
      </c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593"/>
      <c r="AB437" s="593"/>
      <c r="AC437" s="593"/>
    </row>
    <row r="438" spans="1:68" ht="27" customHeight="1" x14ac:dyDescent="0.25">
      <c r="A438" s="54" t="s">
        <v>696</v>
      </c>
      <c r="B438" s="54" t="s">
        <v>697</v>
      </c>
      <c r="C438" s="31">
        <v>4301051899</v>
      </c>
      <c r="D438" s="601">
        <v>4607091384246</v>
      </c>
      <c r="E438" s="602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78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11"/>
      <c r="R438" s="611"/>
      <c r="S438" s="611"/>
      <c r="T438" s="612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1">
        <v>4607091384253</v>
      </c>
      <c r="E439" s="602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11"/>
      <c r="R439" s="611"/>
      <c r="S439" s="611"/>
      <c r="T439" s="612"/>
      <c r="U439" s="34"/>
      <c r="V439" s="34"/>
      <c r="W439" s="35" t="s">
        <v>67</v>
      </c>
      <c r="X439" s="597">
        <v>0</v>
      </c>
      <c r="Y439" s="598">
        <f>IFERROR(IF(X439="",0,CEILING((X439/$H439),1)*$H439),"")</f>
        <v>0</v>
      </c>
      <c r="Z439" s="36" t="str">
        <f>IFERROR(IF(Y439=0,"",ROUNDUP(Y439/H439,0)*0.00651),"")</f>
        <v/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699</v>
      </c>
      <c r="B440" s="54" t="s">
        <v>701</v>
      </c>
      <c r="C440" s="31">
        <v>4301052069</v>
      </c>
      <c r="D440" s="601">
        <v>4607091384253</v>
      </c>
      <c r="E440" s="602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8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11"/>
      <c r="R440" s="611"/>
      <c r="S440" s="611"/>
      <c r="T440" s="612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08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9"/>
      <c r="P441" s="603" t="s">
        <v>72</v>
      </c>
      <c r="Q441" s="604"/>
      <c r="R441" s="604"/>
      <c r="S441" s="604"/>
      <c r="T441" s="604"/>
      <c r="U441" s="604"/>
      <c r="V441" s="605"/>
      <c r="W441" s="37" t="s">
        <v>73</v>
      </c>
      <c r="X441" s="599">
        <f>IFERROR(X438/H438,"0")+IFERROR(X439/H439,"0")+IFERROR(X440/H440,"0")</f>
        <v>0</v>
      </c>
      <c r="Y441" s="599">
        <f>IFERROR(Y438/H438,"0")+IFERROR(Y439/H439,"0")+IFERROR(Y440/H440,"0")</f>
        <v>0</v>
      </c>
      <c r="Z441" s="599">
        <f>IFERROR(IF(Z438="",0,Z438),"0")+IFERROR(IF(Z439="",0,Z439),"0")+IFERROR(IF(Z440="",0,Z440),"0")</f>
        <v>0</v>
      </c>
      <c r="AA441" s="600"/>
      <c r="AB441" s="600"/>
      <c r="AC441" s="600"/>
    </row>
    <row r="442" spans="1:68" x14ac:dyDescent="0.2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9"/>
      <c r="P442" s="603" t="s">
        <v>72</v>
      </c>
      <c r="Q442" s="604"/>
      <c r="R442" s="604"/>
      <c r="S442" s="604"/>
      <c r="T442" s="604"/>
      <c r="U442" s="604"/>
      <c r="V442" s="605"/>
      <c r="W442" s="37" t="s">
        <v>67</v>
      </c>
      <c r="X442" s="599">
        <f>IFERROR(SUM(X438:X440),"0")</f>
        <v>0</v>
      </c>
      <c r="Y442" s="599">
        <f>IFERROR(SUM(Y438:Y440),"0")</f>
        <v>0</v>
      </c>
      <c r="Z442" s="37"/>
      <c r="AA442" s="600"/>
      <c r="AB442" s="600"/>
      <c r="AC442" s="600"/>
    </row>
    <row r="443" spans="1:68" ht="27.75" customHeight="1" x14ac:dyDescent="0.2">
      <c r="A443" s="633" t="s">
        <v>703</v>
      </c>
      <c r="B443" s="634"/>
      <c r="C443" s="634"/>
      <c r="D443" s="634"/>
      <c r="E443" s="634"/>
      <c r="F443" s="634"/>
      <c r="G443" s="634"/>
      <c r="H443" s="634"/>
      <c r="I443" s="634"/>
      <c r="J443" s="634"/>
      <c r="K443" s="634"/>
      <c r="L443" s="634"/>
      <c r="M443" s="634"/>
      <c r="N443" s="634"/>
      <c r="O443" s="634"/>
      <c r="P443" s="634"/>
      <c r="Q443" s="634"/>
      <c r="R443" s="634"/>
      <c r="S443" s="634"/>
      <c r="T443" s="634"/>
      <c r="U443" s="634"/>
      <c r="V443" s="634"/>
      <c r="W443" s="634"/>
      <c r="X443" s="634"/>
      <c r="Y443" s="634"/>
      <c r="Z443" s="634"/>
      <c r="AA443" s="48"/>
      <c r="AB443" s="48"/>
      <c r="AC443" s="48"/>
    </row>
    <row r="444" spans="1:68" ht="16.5" customHeight="1" x14ac:dyDescent="0.25">
      <c r="A444" s="616" t="s">
        <v>704</v>
      </c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592"/>
      <c r="AB444" s="592"/>
      <c r="AC444" s="592"/>
    </row>
    <row r="445" spans="1:68" ht="14.25" customHeight="1" x14ac:dyDescent="0.25">
      <c r="A445" s="606" t="s">
        <v>62</v>
      </c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593"/>
      <c r="AB445" s="593"/>
      <c r="AC445" s="593"/>
    </row>
    <row r="446" spans="1:68" ht="27" customHeight="1" x14ac:dyDescent="0.25">
      <c r="A446" s="54" t="s">
        <v>705</v>
      </c>
      <c r="B446" s="54" t="s">
        <v>706</v>
      </c>
      <c r="C446" s="31">
        <v>4301031405</v>
      </c>
      <c r="D446" s="601">
        <v>4680115886100</v>
      </c>
      <c r="E446" s="602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11"/>
      <c r="R446" s="611"/>
      <c r="S446" s="611"/>
      <c r="T446" s="612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customHeight="1" x14ac:dyDescent="0.25">
      <c r="A447" s="54" t="s">
        <v>708</v>
      </c>
      <c r="B447" s="54" t="s">
        <v>709</v>
      </c>
      <c r="C447" s="31">
        <v>4301031402</v>
      </c>
      <c r="D447" s="601">
        <v>4680115886124</v>
      </c>
      <c r="E447" s="602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93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11"/>
      <c r="R447" s="611"/>
      <c r="S447" s="611"/>
      <c r="T447" s="612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customHeight="1" x14ac:dyDescent="0.25">
      <c r="A448" s="54" t="s">
        <v>711</v>
      </c>
      <c r="B448" s="54" t="s">
        <v>712</v>
      </c>
      <c r="C448" s="31">
        <v>4301031362</v>
      </c>
      <c r="D448" s="601">
        <v>4607091384338</v>
      </c>
      <c r="E448" s="602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11"/>
      <c r="R448" s="611"/>
      <c r="S448" s="611"/>
      <c r="T448" s="612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customHeight="1" x14ac:dyDescent="0.25">
      <c r="A449" s="54" t="s">
        <v>713</v>
      </c>
      <c r="B449" s="54" t="s">
        <v>714</v>
      </c>
      <c r="C449" s="31">
        <v>4301031364</v>
      </c>
      <c r="D449" s="601">
        <v>4680115883161</v>
      </c>
      <c r="E449" s="602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94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11"/>
      <c r="R449" s="611"/>
      <c r="S449" s="611"/>
      <c r="T449" s="612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customHeight="1" x14ac:dyDescent="0.25">
      <c r="A450" s="54" t="s">
        <v>716</v>
      </c>
      <c r="B450" s="54" t="s">
        <v>717</v>
      </c>
      <c r="C450" s="31">
        <v>4301031358</v>
      </c>
      <c r="D450" s="601">
        <v>4607091389531</v>
      </c>
      <c r="E450" s="602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11"/>
      <c r="R450" s="611"/>
      <c r="S450" s="611"/>
      <c r="T450" s="612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customHeight="1" x14ac:dyDescent="0.25">
      <c r="A451" s="54" t="s">
        <v>719</v>
      </c>
      <c r="B451" s="54" t="s">
        <v>720</v>
      </c>
      <c r="C451" s="31">
        <v>4301031360</v>
      </c>
      <c r="D451" s="601">
        <v>4607091384345</v>
      </c>
      <c r="E451" s="602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78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11"/>
      <c r="R451" s="611"/>
      <c r="S451" s="611"/>
      <c r="T451" s="612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x14ac:dyDescent="0.2">
      <c r="A452" s="608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9"/>
      <c r="P452" s="603" t="s">
        <v>72</v>
      </c>
      <c r="Q452" s="604"/>
      <c r="R452" s="604"/>
      <c r="S452" s="604"/>
      <c r="T452" s="604"/>
      <c r="U452" s="604"/>
      <c r="V452" s="60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x14ac:dyDescent="0.2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9"/>
      <c r="P453" s="603" t="s">
        <v>72</v>
      </c>
      <c r="Q453" s="604"/>
      <c r="R453" s="604"/>
      <c r="S453" s="604"/>
      <c r="T453" s="604"/>
      <c r="U453" s="604"/>
      <c r="V453" s="60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customHeight="1" x14ac:dyDescent="0.25">
      <c r="A454" s="606" t="s">
        <v>74</v>
      </c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593"/>
      <c r="AB454" s="593"/>
      <c r="AC454" s="593"/>
    </row>
    <row r="455" spans="1:68" ht="27" customHeight="1" x14ac:dyDescent="0.25">
      <c r="A455" s="54" t="s">
        <v>721</v>
      </c>
      <c r="B455" s="54" t="s">
        <v>722</v>
      </c>
      <c r="C455" s="31">
        <v>4301051284</v>
      </c>
      <c r="D455" s="601">
        <v>4607091384352</v>
      </c>
      <c r="E455" s="602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11"/>
      <c r="R455" s="611"/>
      <c r="S455" s="611"/>
      <c r="T455" s="612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724</v>
      </c>
      <c r="B456" s="54" t="s">
        <v>725</v>
      </c>
      <c r="C456" s="31">
        <v>4301051431</v>
      </c>
      <c r="D456" s="601">
        <v>4607091389654</v>
      </c>
      <c r="E456" s="602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7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11"/>
      <c r="R456" s="611"/>
      <c r="S456" s="611"/>
      <c r="T456" s="612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08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9"/>
      <c r="P457" s="603" t="s">
        <v>72</v>
      </c>
      <c r="Q457" s="604"/>
      <c r="R457" s="604"/>
      <c r="S457" s="604"/>
      <c r="T457" s="604"/>
      <c r="U457" s="604"/>
      <c r="V457" s="60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x14ac:dyDescent="0.2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9"/>
      <c r="P458" s="603" t="s">
        <v>72</v>
      </c>
      <c r="Q458" s="604"/>
      <c r="R458" s="604"/>
      <c r="S458" s="604"/>
      <c r="T458" s="604"/>
      <c r="U458" s="604"/>
      <c r="V458" s="60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customHeight="1" x14ac:dyDescent="0.25">
      <c r="A459" s="616" t="s">
        <v>727</v>
      </c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592"/>
      <c r="AB459" s="592"/>
      <c r="AC459" s="592"/>
    </row>
    <row r="460" spans="1:68" ht="14.25" customHeight="1" x14ac:dyDescent="0.25">
      <c r="A460" s="606" t="s">
        <v>152</v>
      </c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593"/>
      <c r="AB460" s="593"/>
      <c r="AC460" s="593"/>
    </row>
    <row r="461" spans="1:68" ht="27" customHeight="1" x14ac:dyDescent="0.25">
      <c r="A461" s="54" t="s">
        <v>728</v>
      </c>
      <c r="B461" s="54" t="s">
        <v>729</v>
      </c>
      <c r="C461" s="31">
        <v>4301020416</v>
      </c>
      <c r="D461" s="601">
        <v>4680115885240</v>
      </c>
      <c r="E461" s="602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8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11"/>
      <c r="R461" s="611"/>
      <c r="S461" s="611"/>
      <c r="T461" s="612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08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9"/>
      <c r="P462" s="603" t="s">
        <v>72</v>
      </c>
      <c r="Q462" s="604"/>
      <c r="R462" s="604"/>
      <c r="S462" s="604"/>
      <c r="T462" s="604"/>
      <c r="U462" s="604"/>
      <c r="V462" s="60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x14ac:dyDescent="0.2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9"/>
      <c r="P463" s="603" t="s">
        <v>72</v>
      </c>
      <c r="Q463" s="604"/>
      <c r="R463" s="604"/>
      <c r="S463" s="604"/>
      <c r="T463" s="604"/>
      <c r="U463" s="604"/>
      <c r="V463" s="60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customHeight="1" x14ac:dyDescent="0.25">
      <c r="A464" s="606" t="s">
        <v>62</v>
      </c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593"/>
      <c r="AB464" s="593"/>
      <c r="AC464" s="593"/>
    </row>
    <row r="465" spans="1:68" ht="27" customHeight="1" x14ac:dyDescent="0.25">
      <c r="A465" s="54" t="s">
        <v>731</v>
      </c>
      <c r="B465" s="54" t="s">
        <v>732</v>
      </c>
      <c r="C465" s="31">
        <v>4301031407</v>
      </c>
      <c r="D465" s="601">
        <v>4680115886094</v>
      </c>
      <c r="E465" s="602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8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11"/>
      <c r="R465" s="611"/>
      <c r="S465" s="611"/>
      <c r="T465" s="612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734</v>
      </c>
      <c r="B466" s="54" t="s">
        <v>735</v>
      </c>
      <c r="C466" s="31">
        <v>4301031373</v>
      </c>
      <c r="D466" s="601">
        <v>4680115880771</v>
      </c>
      <c r="E466" s="602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11"/>
      <c r="R466" s="611"/>
      <c r="S466" s="611"/>
      <c r="T466" s="612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737</v>
      </c>
      <c r="B467" s="54" t="s">
        <v>738</v>
      </c>
      <c r="C467" s="31">
        <v>4301031359</v>
      </c>
      <c r="D467" s="601">
        <v>4607091389500</v>
      </c>
      <c r="E467" s="602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74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11"/>
      <c r="R467" s="611"/>
      <c r="S467" s="611"/>
      <c r="T467" s="612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08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9"/>
      <c r="P468" s="603" t="s">
        <v>72</v>
      </c>
      <c r="Q468" s="604"/>
      <c r="R468" s="604"/>
      <c r="S468" s="604"/>
      <c r="T468" s="604"/>
      <c r="U468" s="604"/>
      <c r="V468" s="60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x14ac:dyDescent="0.2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9"/>
      <c r="P469" s="603" t="s">
        <v>72</v>
      </c>
      <c r="Q469" s="604"/>
      <c r="R469" s="604"/>
      <c r="S469" s="604"/>
      <c r="T469" s="604"/>
      <c r="U469" s="604"/>
      <c r="V469" s="60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customHeight="1" x14ac:dyDescent="0.2">
      <c r="A470" s="633" t="s">
        <v>739</v>
      </c>
      <c r="B470" s="634"/>
      <c r="C470" s="634"/>
      <c r="D470" s="634"/>
      <c r="E470" s="634"/>
      <c r="F470" s="634"/>
      <c r="G470" s="634"/>
      <c r="H470" s="634"/>
      <c r="I470" s="634"/>
      <c r="J470" s="634"/>
      <c r="K470" s="634"/>
      <c r="L470" s="634"/>
      <c r="M470" s="634"/>
      <c r="N470" s="634"/>
      <c r="O470" s="634"/>
      <c r="P470" s="634"/>
      <c r="Q470" s="634"/>
      <c r="R470" s="634"/>
      <c r="S470" s="634"/>
      <c r="T470" s="634"/>
      <c r="U470" s="634"/>
      <c r="V470" s="634"/>
      <c r="W470" s="634"/>
      <c r="X470" s="634"/>
      <c r="Y470" s="634"/>
      <c r="Z470" s="634"/>
      <c r="AA470" s="48"/>
      <c r="AB470" s="48"/>
      <c r="AC470" s="48"/>
    </row>
    <row r="471" spans="1:68" ht="16.5" customHeight="1" x14ac:dyDescent="0.25">
      <c r="A471" s="616" t="s">
        <v>739</v>
      </c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592"/>
      <c r="AB471" s="592"/>
      <c r="AC471" s="592"/>
    </row>
    <row r="472" spans="1:68" ht="14.25" customHeight="1" x14ac:dyDescent="0.25">
      <c r="A472" s="606" t="s">
        <v>117</v>
      </c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1">
        <v>4607091389067</v>
      </c>
      <c r="E473" s="602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6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11"/>
      <c r="R473" s="611"/>
      <c r="S473" s="611"/>
      <c r="T473" s="612"/>
      <c r="U473" s="34"/>
      <c r="V473" s="34"/>
      <c r="W473" s="35" t="s">
        <v>67</v>
      </c>
      <c r="X473" s="597">
        <v>0</v>
      </c>
      <c r="Y473" s="598">
        <f t="shared" ref="Y473:Y481" si="62">IFERROR(IF(X473="",0,CEILING((X473/$H473),1)*$H473),"")</f>
        <v>0</v>
      </c>
      <c r="Z473" s="36" t="str">
        <f t="shared" ref="Z473:Z478" si="63">IFERROR(IF(Y473=0,"",ROUNDUP(Y473/H473,0)*0.01196),"")</f>
        <v/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0</v>
      </c>
      <c r="BN473" s="64">
        <f t="shared" ref="BN473:BN481" si="65">IFERROR(Y473*I473/H473,"0")</f>
        <v>0</v>
      </c>
      <c r="BO473" s="64">
        <f t="shared" ref="BO473:BO481" si="66">IFERROR(1/J473*(X473/H473),"0")</f>
        <v>0</v>
      </c>
      <c r="BP473" s="64">
        <f t="shared" ref="BP473:BP481" si="67">IFERROR(1/J473*(Y473/H473),"0")</f>
        <v>0</v>
      </c>
    </row>
    <row r="474" spans="1:68" ht="27" customHeight="1" x14ac:dyDescent="0.25">
      <c r="A474" s="54" t="s">
        <v>742</v>
      </c>
      <c r="B474" s="54" t="s">
        <v>743</v>
      </c>
      <c r="C474" s="31">
        <v>4301012210</v>
      </c>
      <c r="D474" s="601">
        <v>4607091383522</v>
      </c>
      <c r="E474" s="602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69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11"/>
      <c r="R474" s="611"/>
      <c r="S474" s="611"/>
      <c r="T474" s="612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1">
        <v>4680115885271</v>
      </c>
      <c r="E475" s="602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8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11"/>
      <c r="R475" s="611"/>
      <c r="S475" s="611"/>
      <c r="T475" s="612"/>
      <c r="U475" s="34"/>
      <c r="V475" s="34"/>
      <c r="W475" s="35" t="s">
        <v>67</v>
      </c>
      <c r="X475" s="597">
        <v>0</v>
      </c>
      <c r="Y475" s="598">
        <f t="shared" si="62"/>
        <v>0</v>
      </c>
      <c r="Z475" s="36" t="str">
        <f t="shared" si="63"/>
        <v/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1">
        <v>4680115885226</v>
      </c>
      <c r="E476" s="602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11"/>
      <c r="R476" s="611"/>
      <c r="S476" s="611"/>
      <c r="T476" s="612"/>
      <c r="U476" s="34"/>
      <c r="V476" s="34"/>
      <c r="W476" s="35" t="s">
        <v>67</v>
      </c>
      <c r="X476" s="597">
        <v>218</v>
      </c>
      <c r="Y476" s="598">
        <f t="shared" si="62"/>
        <v>221.76000000000002</v>
      </c>
      <c r="Z476" s="36">
        <f t="shared" si="63"/>
        <v>0.50231999999999999</v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232.45075757575754</v>
      </c>
      <c r="BN476" s="64">
        <f t="shared" si="65"/>
        <v>236.46</v>
      </c>
      <c r="BO476" s="64">
        <f t="shared" si="66"/>
        <v>0.39699883449883455</v>
      </c>
      <c r="BP476" s="64">
        <f t="shared" si="67"/>
        <v>0.40384615384615385</v>
      </c>
    </row>
    <row r="477" spans="1:68" ht="16.5" customHeight="1" x14ac:dyDescent="0.25">
      <c r="A477" s="54" t="s">
        <v>751</v>
      </c>
      <c r="B477" s="54" t="s">
        <v>752</v>
      </c>
      <c r="C477" s="31">
        <v>4301011797</v>
      </c>
      <c r="D477" s="601">
        <v>4680115884502</v>
      </c>
      <c r="E477" s="602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11"/>
      <c r="R477" s="611"/>
      <c r="S477" s="611"/>
      <c r="T477" s="612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1">
        <v>4607091389104</v>
      </c>
      <c r="E478" s="602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8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11"/>
      <c r="R478" s="611"/>
      <c r="S478" s="611"/>
      <c r="T478" s="612"/>
      <c r="U478" s="34"/>
      <c r="V478" s="34"/>
      <c r="W478" s="35" t="s">
        <v>67</v>
      </c>
      <c r="X478" s="597">
        <v>669</v>
      </c>
      <c r="Y478" s="598">
        <f t="shared" si="62"/>
        <v>670.56000000000006</v>
      </c>
      <c r="Z478" s="36">
        <f t="shared" si="63"/>
        <v>1.51892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713.34659090909088</v>
      </c>
      <c r="BN478" s="64">
        <f t="shared" si="65"/>
        <v>715.01</v>
      </c>
      <c r="BO478" s="64">
        <f t="shared" si="66"/>
        <v>1.2183129370629371</v>
      </c>
      <c r="BP478" s="64">
        <f t="shared" si="67"/>
        <v>1.2211538461538463</v>
      </c>
    </row>
    <row r="479" spans="1:68" ht="27" customHeight="1" x14ac:dyDescent="0.25">
      <c r="A479" s="54" t="s">
        <v>757</v>
      </c>
      <c r="B479" s="54" t="s">
        <v>758</v>
      </c>
      <c r="C479" s="31">
        <v>4301012125</v>
      </c>
      <c r="D479" s="601">
        <v>4680115886391</v>
      </c>
      <c r="E479" s="602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71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11"/>
      <c r="R479" s="611"/>
      <c r="S479" s="611"/>
      <c r="T479" s="612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759</v>
      </c>
      <c r="B480" s="54" t="s">
        <v>760</v>
      </c>
      <c r="C480" s="31">
        <v>4301012048</v>
      </c>
      <c r="D480" s="601">
        <v>4680115880603</v>
      </c>
      <c r="E480" s="602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7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11"/>
      <c r="R480" s="611"/>
      <c r="S480" s="611"/>
      <c r="T480" s="612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customHeight="1" x14ac:dyDescent="0.25">
      <c r="A481" s="54" t="s">
        <v>761</v>
      </c>
      <c r="B481" s="54" t="s">
        <v>762</v>
      </c>
      <c r="C481" s="31">
        <v>4301012034</v>
      </c>
      <c r="D481" s="601">
        <v>4607091389982</v>
      </c>
      <c r="E481" s="602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72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11"/>
      <c r="R481" s="611"/>
      <c r="S481" s="611"/>
      <c r="T481" s="612"/>
      <c r="U481" s="34"/>
      <c r="V481" s="34"/>
      <c r="W481" s="35" t="s">
        <v>67</v>
      </c>
      <c r="X481" s="597">
        <v>0</v>
      </c>
      <c r="Y481" s="598">
        <f t="shared" si="62"/>
        <v>0</v>
      </c>
      <c r="Z481" s="36" t="str">
        <f>IFERROR(IF(Y481=0,"",ROUNDUP(Y481/H481,0)*0.00902),"")</f>
        <v/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x14ac:dyDescent="0.2">
      <c r="A482" s="608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9"/>
      <c r="P482" s="603" t="s">
        <v>72</v>
      </c>
      <c r="Q482" s="604"/>
      <c r="R482" s="604"/>
      <c r="S482" s="604"/>
      <c r="T482" s="604"/>
      <c r="U482" s="604"/>
      <c r="V482" s="60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167.99242424242425</v>
      </c>
      <c r="Y482" s="599">
        <f>IFERROR(Y473/H473,"0")+IFERROR(Y474/H474,"0")+IFERROR(Y475/H475,"0")+IFERROR(Y476/H476,"0")+IFERROR(Y477/H477,"0")+IFERROR(Y478/H478,"0")+IFERROR(Y479/H479,"0")+IFERROR(Y480/H480,"0")+IFERROR(Y481/H481,"0")</f>
        <v>169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2.0212400000000001</v>
      </c>
      <c r="AA482" s="600"/>
      <c r="AB482" s="600"/>
      <c r="AC482" s="600"/>
    </row>
    <row r="483" spans="1:68" x14ac:dyDescent="0.2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9"/>
      <c r="P483" s="603" t="s">
        <v>72</v>
      </c>
      <c r="Q483" s="604"/>
      <c r="R483" s="604"/>
      <c r="S483" s="604"/>
      <c r="T483" s="604"/>
      <c r="U483" s="604"/>
      <c r="V483" s="605"/>
      <c r="W483" s="37" t="s">
        <v>67</v>
      </c>
      <c r="X483" s="599">
        <f>IFERROR(SUM(X473:X481),"0")</f>
        <v>887</v>
      </c>
      <c r="Y483" s="599">
        <f>IFERROR(SUM(Y473:Y481),"0")</f>
        <v>892.32</v>
      </c>
      <c r="Z483" s="37"/>
      <c r="AA483" s="600"/>
      <c r="AB483" s="600"/>
      <c r="AC483" s="600"/>
    </row>
    <row r="484" spans="1:68" ht="14.25" customHeight="1" x14ac:dyDescent="0.25">
      <c r="A484" s="606" t="s">
        <v>152</v>
      </c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1">
        <v>4607091388930</v>
      </c>
      <c r="E485" s="602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82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11"/>
      <c r="R485" s="611"/>
      <c r="S485" s="611"/>
      <c r="T485" s="612"/>
      <c r="U485" s="34"/>
      <c r="V485" s="34"/>
      <c r="W485" s="35" t="s">
        <v>67</v>
      </c>
      <c r="X485" s="597">
        <v>243</v>
      </c>
      <c r="Y485" s="598">
        <f>IFERROR(IF(X485="",0,CEILING((X485/$H485),1)*$H485),"")</f>
        <v>248.16000000000003</v>
      </c>
      <c r="Z485" s="36">
        <f>IFERROR(IF(Y485=0,"",ROUNDUP(Y485/H485,0)*0.01196),"")</f>
        <v>0.56211999999999995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259.1079545454545</v>
      </c>
      <c r="BN485" s="64">
        <f>IFERROR(Y485*I485/H485,"0")</f>
        <v>264.61</v>
      </c>
      <c r="BO485" s="64">
        <f>IFERROR(1/J485*(X485/H485),"0")</f>
        <v>0.4425262237762238</v>
      </c>
      <c r="BP485" s="64">
        <f>IFERROR(1/J485*(Y485/H485),"0")</f>
        <v>0.45192307692307693</v>
      </c>
    </row>
    <row r="486" spans="1:68" ht="16.5" customHeight="1" x14ac:dyDescent="0.25">
      <c r="A486" s="54" t="s">
        <v>766</v>
      </c>
      <c r="B486" s="54" t="s">
        <v>767</v>
      </c>
      <c r="C486" s="31">
        <v>4301020374</v>
      </c>
      <c r="D486" s="601">
        <v>4680115886407</v>
      </c>
      <c r="E486" s="602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90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11"/>
      <c r="R486" s="611"/>
      <c r="S486" s="611"/>
      <c r="T486" s="612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768</v>
      </c>
      <c r="B487" s="54" t="s">
        <v>769</v>
      </c>
      <c r="C487" s="31">
        <v>4301020385</v>
      </c>
      <c r="D487" s="601">
        <v>4680115880054</v>
      </c>
      <c r="E487" s="602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11"/>
      <c r="R487" s="611"/>
      <c r="S487" s="611"/>
      <c r="T487" s="612"/>
      <c r="U487" s="34"/>
      <c r="V487" s="34"/>
      <c r="W487" s="35" t="s">
        <v>67</v>
      </c>
      <c r="X487" s="597">
        <v>0</v>
      </c>
      <c r="Y487" s="59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08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9"/>
      <c r="P488" s="603" t="s">
        <v>72</v>
      </c>
      <c r="Q488" s="604"/>
      <c r="R488" s="604"/>
      <c r="S488" s="604"/>
      <c r="T488" s="604"/>
      <c r="U488" s="604"/>
      <c r="V488" s="605"/>
      <c r="W488" s="37" t="s">
        <v>73</v>
      </c>
      <c r="X488" s="599">
        <f>IFERROR(X485/H485,"0")+IFERROR(X486/H486,"0")+IFERROR(X487/H487,"0")</f>
        <v>46.022727272727273</v>
      </c>
      <c r="Y488" s="599">
        <f>IFERROR(Y485/H485,"0")+IFERROR(Y486/H486,"0")+IFERROR(Y487/H487,"0")</f>
        <v>47</v>
      </c>
      <c r="Z488" s="599">
        <f>IFERROR(IF(Z485="",0,Z485),"0")+IFERROR(IF(Z486="",0,Z486),"0")+IFERROR(IF(Z487="",0,Z487),"0")</f>
        <v>0.56211999999999995</v>
      </c>
      <c r="AA488" s="600"/>
      <c r="AB488" s="600"/>
      <c r="AC488" s="600"/>
    </row>
    <row r="489" spans="1:68" x14ac:dyDescent="0.2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9"/>
      <c r="P489" s="603" t="s">
        <v>72</v>
      </c>
      <c r="Q489" s="604"/>
      <c r="R489" s="604"/>
      <c r="S489" s="604"/>
      <c r="T489" s="604"/>
      <c r="U489" s="604"/>
      <c r="V489" s="605"/>
      <c r="W489" s="37" t="s">
        <v>67</v>
      </c>
      <c r="X489" s="599">
        <f>IFERROR(SUM(X485:X487),"0")</f>
        <v>243</v>
      </c>
      <c r="Y489" s="599">
        <f>IFERROR(SUM(Y485:Y487),"0")</f>
        <v>248.16000000000003</v>
      </c>
      <c r="Z489" s="37"/>
      <c r="AA489" s="600"/>
      <c r="AB489" s="600"/>
      <c r="AC489" s="600"/>
    </row>
    <row r="490" spans="1:68" ht="14.25" customHeight="1" x14ac:dyDescent="0.25">
      <c r="A490" s="606" t="s">
        <v>62</v>
      </c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1">
        <v>4680115883116</v>
      </c>
      <c r="E491" s="602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11"/>
      <c r="R491" s="611"/>
      <c r="S491" s="611"/>
      <c r="T491" s="612"/>
      <c r="U491" s="34"/>
      <c r="V491" s="34"/>
      <c r="W491" s="35" t="s">
        <v>67</v>
      </c>
      <c r="X491" s="597">
        <v>0</v>
      </c>
      <c r="Y491" s="598">
        <f t="shared" ref="Y491:Y497" si="68">IFERROR(IF(X491="",0,CEILING((X491/$H491),1)*$H491),"")</f>
        <v>0</v>
      </c>
      <c r="Z491" s="36" t="str">
        <f>IFERROR(IF(Y491=0,"",ROUNDUP(Y491/H491,0)*0.01196),"")</f>
        <v/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0</v>
      </c>
      <c r="BN491" s="64">
        <f t="shared" ref="BN491:BN497" si="70">IFERROR(Y491*I491/H491,"0")</f>
        <v>0</v>
      </c>
      <c r="BO491" s="64">
        <f t="shared" ref="BO491:BO497" si="71">IFERROR(1/J491*(X491/H491),"0")</f>
        <v>0</v>
      </c>
      <c r="BP491" s="64">
        <f t="shared" ref="BP491:BP497" si="72">IFERROR(1/J491*(Y491/H491),"0")</f>
        <v>0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1">
        <v>4680115883093</v>
      </c>
      <c r="E492" s="602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71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11"/>
      <c r="R492" s="611"/>
      <c r="S492" s="611"/>
      <c r="T492" s="612"/>
      <c r="U492" s="34"/>
      <c r="V492" s="34"/>
      <c r="W492" s="35" t="s">
        <v>67</v>
      </c>
      <c r="X492" s="597">
        <v>0</v>
      </c>
      <c r="Y492" s="598">
        <f t="shared" si="68"/>
        <v>0</v>
      </c>
      <c r="Z492" s="36" t="str">
        <f>IFERROR(IF(Y492=0,"",ROUNDUP(Y492/H492,0)*0.01196),"")</f>
        <v/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1">
        <v>4680115883109</v>
      </c>
      <c r="E493" s="602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7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11"/>
      <c r="R493" s="611"/>
      <c r="S493" s="611"/>
      <c r="T493" s="612"/>
      <c r="U493" s="34"/>
      <c r="V493" s="34"/>
      <c r="W493" s="35" t="s">
        <v>67</v>
      </c>
      <c r="X493" s="597">
        <v>186</v>
      </c>
      <c r="Y493" s="598">
        <f t="shared" si="68"/>
        <v>190.08</v>
      </c>
      <c r="Z493" s="36">
        <f>IFERROR(IF(Y493=0,"",ROUNDUP(Y493/H493,0)*0.01196),"")</f>
        <v>0.43056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198.32954545454547</v>
      </c>
      <c r="BN493" s="64">
        <f t="shared" si="70"/>
        <v>202.67999999999998</v>
      </c>
      <c r="BO493" s="64">
        <f t="shared" si="71"/>
        <v>0.33872377622377625</v>
      </c>
      <c r="BP493" s="64">
        <f t="shared" si="72"/>
        <v>0.34615384615384615</v>
      </c>
    </row>
    <row r="494" spans="1:68" ht="27" customHeight="1" x14ac:dyDescent="0.25">
      <c r="A494" s="54" t="s">
        <v>779</v>
      </c>
      <c r="B494" s="54" t="s">
        <v>780</v>
      </c>
      <c r="C494" s="31">
        <v>4301031419</v>
      </c>
      <c r="D494" s="601">
        <v>4680115882072</v>
      </c>
      <c r="E494" s="602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72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11"/>
      <c r="R494" s="611"/>
      <c r="S494" s="611"/>
      <c r="T494" s="612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4301031352</v>
      </c>
      <c r="D495" s="601">
        <v>4680115882102</v>
      </c>
      <c r="E495" s="602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7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11"/>
      <c r="R495" s="611"/>
      <c r="S495" s="611"/>
      <c r="T495" s="612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customHeight="1" x14ac:dyDescent="0.25">
      <c r="A496" s="54" t="s">
        <v>781</v>
      </c>
      <c r="B496" s="54" t="s">
        <v>783</v>
      </c>
      <c r="C496" s="31">
        <v>4301031418</v>
      </c>
      <c r="D496" s="601">
        <v>4680115882102</v>
      </c>
      <c r="E496" s="602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11"/>
      <c r="R496" s="611"/>
      <c r="S496" s="611"/>
      <c r="T496" s="612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784</v>
      </c>
      <c r="B497" s="54" t="s">
        <v>785</v>
      </c>
      <c r="C497" s="31">
        <v>4301031417</v>
      </c>
      <c r="D497" s="601">
        <v>4680115882096</v>
      </c>
      <c r="E497" s="602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9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11"/>
      <c r="R497" s="611"/>
      <c r="S497" s="611"/>
      <c r="T497" s="612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08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9"/>
      <c r="P498" s="603" t="s">
        <v>72</v>
      </c>
      <c r="Q498" s="604"/>
      <c r="R498" s="604"/>
      <c r="S498" s="604"/>
      <c r="T498" s="604"/>
      <c r="U498" s="604"/>
      <c r="V498" s="60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35.227272727272727</v>
      </c>
      <c r="Y498" s="599">
        <f>IFERROR(Y491/H491,"0")+IFERROR(Y492/H492,"0")+IFERROR(Y493/H493,"0")+IFERROR(Y494/H494,"0")+IFERROR(Y495/H495,"0")+IFERROR(Y496/H496,"0")+IFERROR(Y497/H497,"0")</f>
        <v>36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0.43056</v>
      </c>
      <c r="AA498" s="600"/>
      <c r="AB498" s="600"/>
      <c r="AC498" s="600"/>
    </row>
    <row r="499" spans="1:68" x14ac:dyDescent="0.2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9"/>
      <c r="P499" s="603" t="s">
        <v>72</v>
      </c>
      <c r="Q499" s="604"/>
      <c r="R499" s="604"/>
      <c r="S499" s="604"/>
      <c r="T499" s="604"/>
      <c r="U499" s="604"/>
      <c r="V499" s="605"/>
      <c r="W499" s="37" t="s">
        <v>67</v>
      </c>
      <c r="X499" s="599">
        <f>IFERROR(SUM(X491:X497),"0")</f>
        <v>186</v>
      </c>
      <c r="Y499" s="599">
        <f>IFERROR(SUM(Y491:Y497),"0")</f>
        <v>190.08</v>
      </c>
      <c r="Z499" s="37"/>
      <c r="AA499" s="600"/>
      <c r="AB499" s="600"/>
      <c r="AC499" s="600"/>
    </row>
    <row r="500" spans="1:68" ht="27.75" customHeight="1" x14ac:dyDescent="0.2">
      <c r="A500" s="633" t="s">
        <v>786</v>
      </c>
      <c r="B500" s="634"/>
      <c r="C500" s="634"/>
      <c r="D500" s="634"/>
      <c r="E500" s="634"/>
      <c r="F500" s="634"/>
      <c r="G500" s="634"/>
      <c r="H500" s="634"/>
      <c r="I500" s="634"/>
      <c r="J500" s="634"/>
      <c r="K500" s="634"/>
      <c r="L500" s="634"/>
      <c r="M500" s="634"/>
      <c r="N500" s="634"/>
      <c r="O500" s="634"/>
      <c r="P500" s="634"/>
      <c r="Q500" s="634"/>
      <c r="R500" s="634"/>
      <c r="S500" s="634"/>
      <c r="T500" s="634"/>
      <c r="U500" s="634"/>
      <c r="V500" s="634"/>
      <c r="W500" s="634"/>
      <c r="X500" s="634"/>
      <c r="Y500" s="634"/>
      <c r="Z500" s="634"/>
      <c r="AA500" s="48"/>
      <c r="AB500" s="48"/>
      <c r="AC500" s="48"/>
    </row>
    <row r="501" spans="1:68" ht="16.5" customHeight="1" x14ac:dyDescent="0.25">
      <c r="A501" s="616" t="s">
        <v>786</v>
      </c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592"/>
      <c r="AB501" s="592"/>
      <c r="AC501" s="592"/>
    </row>
    <row r="502" spans="1:68" ht="14.25" customHeight="1" x14ac:dyDescent="0.25">
      <c r="A502" s="606" t="s">
        <v>117</v>
      </c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593"/>
      <c r="AB502" s="593"/>
      <c r="AC502" s="593"/>
    </row>
    <row r="503" spans="1:68" ht="27" customHeight="1" x14ac:dyDescent="0.25">
      <c r="A503" s="54" t="s">
        <v>787</v>
      </c>
      <c r="B503" s="54" t="s">
        <v>788</v>
      </c>
      <c r="C503" s="31">
        <v>4301011584</v>
      </c>
      <c r="D503" s="601">
        <v>4640242180564</v>
      </c>
      <c r="E503" s="602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82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11"/>
      <c r="R503" s="611"/>
      <c r="S503" s="611"/>
      <c r="T503" s="612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x14ac:dyDescent="0.2">
      <c r="A504" s="608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9"/>
      <c r="P504" s="603" t="s">
        <v>72</v>
      </c>
      <c r="Q504" s="604"/>
      <c r="R504" s="604"/>
      <c r="S504" s="604"/>
      <c r="T504" s="604"/>
      <c r="U504" s="604"/>
      <c r="V504" s="60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9"/>
      <c r="P505" s="603" t="s">
        <v>72</v>
      </c>
      <c r="Q505" s="604"/>
      <c r="R505" s="604"/>
      <c r="S505" s="604"/>
      <c r="T505" s="604"/>
      <c r="U505" s="604"/>
      <c r="V505" s="60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customHeight="1" x14ac:dyDescent="0.25">
      <c r="A506" s="606" t="s">
        <v>152</v>
      </c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593"/>
      <c r="AB506" s="593"/>
      <c r="AC506" s="593"/>
    </row>
    <row r="507" spans="1:68" ht="27" customHeight="1" x14ac:dyDescent="0.25">
      <c r="A507" s="54" t="s">
        <v>790</v>
      </c>
      <c r="B507" s="54" t="s">
        <v>791</v>
      </c>
      <c r="C507" s="31">
        <v>4301020400</v>
      </c>
      <c r="D507" s="601">
        <v>4640242180519</v>
      </c>
      <c r="E507" s="602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9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11"/>
      <c r="R507" s="611"/>
      <c r="S507" s="611"/>
      <c r="T507" s="612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08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9"/>
      <c r="P508" s="603" t="s">
        <v>72</v>
      </c>
      <c r="Q508" s="604"/>
      <c r="R508" s="604"/>
      <c r="S508" s="604"/>
      <c r="T508" s="604"/>
      <c r="U508" s="604"/>
      <c r="V508" s="60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x14ac:dyDescent="0.2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9"/>
      <c r="P509" s="603" t="s">
        <v>72</v>
      </c>
      <c r="Q509" s="604"/>
      <c r="R509" s="604"/>
      <c r="S509" s="604"/>
      <c r="T509" s="604"/>
      <c r="U509" s="604"/>
      <c r="V509" s="60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customHeight="1" x14ac:dyDescent="0.25">
      <c r="A510" s="606" t="s">
        <v>62</v>
      </c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593"/>
      <c r="AB510" s="593"/>
      <c r="AC510" s="593"/>
    </row>
    <row r="511" spans="1:68" ht="27" customHeight="1" x14ac:dyDescent="0.25">
      <c r="A511" s="54" t="s">
        <v>793</v>
      </c>
      <c r="B511" s="54" t="s">
        <v>794</v>
      </c>
      <c r="C511" s="31">
        <v>4301031467</v>
      </c>
      <c r="D511" s="601">
        <v>4640242180595</v>
      </c>
      <c r="E511" s="602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80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11"/>
      <c r="R511" s="611"/>
      <c r="S511" s="611"/>
      <c r="T511" s="612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customHeight="1" x14ac:dyDescent="0.25">
      <c r="A512" s="54" t="s">
        <v>793</v>
      </c>
      <c r="B512" s="54" t="s">
        <v>796</v>
      </c>
      <c r="C512" s="31">
        <v>4301031500</v>
      </c>
      <c r="D512" s="601">
        <v>4640242180595</v>
      </c>
      <c r="E512" s="602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83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1"/>
      <c r="R512" s="611"/>
      <c r="S512" s="611"/>
      <c r="T512" s="612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x14ac:dyDescent="0.2">
      <c r="A513" s="608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9"/>
      <c r="P513" s="603" t="s">
        <v>72</v>
      </c>
      <c r="Q513" s="604"/>
      <c r="R513" s="604"/>
      <c r="S513" s="604"/>
      <c r="T513" s="604"/>
      <c r="U513" s="604"/>
      <c r="V513" s="60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9"/>
      <c r="P514" s="603" t="s">
        <v>72</v>
      </c>
      <c r="Q514" s="604"/>
      <c r="R514" s="604"/>
      <c r="S514" s="604"/>
      <c r="T514" s="604"/>
      <c r="U514" s="604"/>
      <c r="V514" s="60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customHeight="1" x14ac:dyDescent="0.25">
      <c r="A515" s="606" t="s">
        <v>74</v>
      </c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593"/>
      <c r="AB515" s="593"/>
      <c r="AC515" s="593"/>
    </row>
    <row r="516" spans="1:68" ht="27" customHeight="1" x14ac:dyDescent="0.25">
      <c r="A516" s="54" t="s">
        <v>798</v>
      </c>
      <c r="B516" s="54" t="s">
        <v>799</v>
      </c>
      <c r="C516" s="31">
        <v>4301052043</v>
      </c>
      <c r="D516" s="601">
        <v>4640242180533</v>
      </c>
      <c r="E516" s="602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79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11"/>
      <c r="R516" s="611"/>
      <c r="S516" s="611"/>
      <c r="T516" s="612"/>
      <c r="U516" s="34"/>
      <c r="V516" s="34"/>
      <c r="W516" s="35" t="s">
        <v>67</v>
      </c>
      <c r="X516" s="597">
        <v>0</v>
      </c>
      <c r="Y516" s="598">
        <f>IFERROR(IF(X516="",0,CEILING((X516/$H516),1)*$H516),"")</f>
        <v>0</v>
      </c>
      <c r="Z516" s="36" t="str">
        <f>IFERROR(IF(Y516=0,"",ROUNDUP(Y516/H516,0)*0.01898),"")</f>
        <v/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08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9"/>
      <c r="P517" s="603" t="s">
        <v>72</v>
      </c>
      <c r="Q517" s="604"/>
      <c r="R517" s="604"/>
      <c r="S517" s="604"/>
      <c r="T517" s="604"/>
      <c r="U517" s="604"/>
      <c r="V517" s="605"/>
      <c r="W517" s="37" t="s">
        <v>73</v>
      </c>
      <c r="X517" s="599">
        <f>IFERROR(X516/H516,"0")</f>
        <v>0</v>
      </c>
      <c r="Y517" s="599">
        <f>IFERROR(Y516/H516,"0")</f>
        <v>0</v>
      </c>
      <c r="Z517" s="599">
        <f>IFERROR(IF(Z516="",0,Z516),"0")</f>
        <v>0</v>
      </c>
      <c r="AA517" s="600"/>
      <c r="AB517" s="600"/>
      <c r="AC517" s="600"/>
    </row>
    <row r="518" spans="1:68" x14ac:dyDescent="0.2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9"/>
      <c r="P518" s="603" t="s">
        <v>72</v>
      </c>
      <c r="Q518" s="604"/>
      <c r="R518" s="604"/>
      <c r="S518" s="604"/>
      <c r="T518" s="604"/>
      <c r="U518" s="604"/>
      <c r="V518" s="605"/>
      <c r="W518" s="37" t="s">
        <v>67</v>
      </c>
      <c r="X518" s="599">
        <f>IFERROR(SUM(X516:X516),"0")</f>
        <v>0</v>
      </c>
      <c r="Y518" s="599">
        <f>IFERROR(SUM(Y516:Y516),"0")</f>
        <v>0</v>
      </c>
      <c r="Z518" s="37"/>
      <c r="AA518" s="600"/>
      <c r="AB518" s="600"/>
      <c r="AC518" s="600"/>
    </row>
    <row r="519" spans="1:68" ht="14.25" customHeight="1" x14ac:dyDescent="0.25">
      <c r="A519" s="606" t="s">
        <v>169</v>
      </c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593"/>
      <c r="AB519" s="593"/>
      <c r="AC519" s="593"/>
    </row>
    <row r="520" spans="1:68" ht="27" customHeight="1" x14ac:dyDescent="0.25">
      <c r="A520" s="54" t="s">
        <v>801</v>
      </c>
      <c r="B520" s="54" t="s">
        <v>802</v>
      </c>
      <c r="C520" s="31">
        <v>4301060535</v>
      </c>
      <c r="D520" s="601">
        <v>4640242180120</v>
      </c>
      <c r="E520" s="602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6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11"/>
      <c r="R520" s="611"/>
      <c r="S520" s="611"/>
      <c r="T520" s="612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804</v>
      </c>
      <c r="B521" s="54" t="s">
        <v>805</v>
      </c>
      <c r="C521" s="31">
        <v>4301060536</v>
      </c>
      <c r="D521" s="601">
        <v>4640242180137</v>
      </c>
      <c r="E521" s="602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6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11"/>
      <c r="R521" s="611"/>
      <c r="S521" s="611"/>
      <c r="T521" s="612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08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9"/>
      <c r="P522" s="603" t="s">
        <v>72</v>
      </c>
      <c r="Q522" s="604"/>
      <c r="R522" s="604"/>
      <c r="S522" s="604"/>
      <c r="T522" s="604"/>
      <c r="U522" s="604"/>
      <c r="V522" s="60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x14ac:dyDescent="0.2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9"/>
      <c r="P523" s="603" t="s">
        <v>72</v>
      </c>
      <c r="Q523" s="604"/>
      <c r="R523" s="604"/>
      <c r="S523" s="604"/>
      <c r="T523" s="604"/>
      <c r="U523" s="604"/>
      <c r="V523" s="60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customHeight="1" x14ac:dyDescent="0.25">
      <c r="A524" s="616" t="s">
        <v>807</v>
      </c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592"/>
      <c r="AB524" s="592"/>
      <c r="AC524" s="592"/>
    </row>
    <row r="525" spans="1:68" ht="14.25" customHeight="1" x14ac:dyDescent="0.25">
      <c r="A525" s="606" t="s">
        <v>152</v>
      </c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593"/>
      <c r="AB525" s="593"/>
      <c r="AC525" s="593"/>
    </row>
    <row r="526" spans="1:68" ht="27" customHeight="1" x14ac:dyDescent="0.25">
      <c r="A526" s="54" t="s">
        <v>808</v>
      </c>
      <c r="B526" s="54" t="s">
        <v>809</v>
      </c>
      <c r="C526" s="31">
        <v>4301020428</v>
      </c>
      <c r="D526" s="601">
        <v>4640242180090</v>
      </c>
      <c r="E526" s="602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8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11"/>
      <c r="R526" s="611"/>
      <c r="S526" s="611"/>
      <c r="T526" s="612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x14ac:dyDescent="0.2">
      <c r="A527" s="608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9"/>
      <c r="P527" s="603" t="s">
        <v>72</v>
      </c>
      <c r="Q527" s="604"/>
      <c r="R527" s="604"/>
      <c r="S527" s="604"/>
      <c r="T527" s="604"/>
      <c r="U527" s="604"/>
      <c r="V527" s="60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9"/>
      <c r="P528" s="603" t="s">
        <v>72</v>
      </c>
      <c r="Q528" s="604"/>
      <c r="R528" s="604"/>
      <c r="S528" s="604"/>
      <c r="T528" s="604"/>
      <c r="U528" s="604"/>
      <c r="V528" s="60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715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716"/>
      <c r="P529" s="639" t="s">
        <v>811</v>
      </c>
      <c r="Q529" s="640"/>
      <c r="R529" s="640"/>
      <c r="S529" s="640"/>
      <c r="T529" s="640"/>
      <c r="U529" s="640"/>
      <c r="V529" s="641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8807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8902.56</v>
      </c>
      <c r="Z529" s="37"/>
      <c r="AA529" s="600"/>
      <c r="AB529" s="600"/>
      <c r="AC529" s="600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716"/>
      <c r="P530" s="639" t="s">
        <v>812</v>
      </c>
      <c r="Q530" s="640"/>
      <c r="R530" s="640"/>
      <c r="S530" s="640"/>
      <c r="T530" s="640"/>
      <c r="U530" s="640"/>
      <c r="V530" s="641"/>
      <c r="W530" s="37" t="s">
        <v>67</v>
      </c>
      <c r="X530" s="599">
        <f>IFERROR(SUM(BM22:BM526),"0")</f>
        <v>9273.9364948085113</v>
      </c>
      <c r="Y530" s="599">
        <f>IFERROR(SUM(BN22:BN526),"0")</f>
        <v>9374.1400000000012</v>
      </c>
      <c r="Z530" s="37"/>
      <c r="AA530" s="600"/>
      <c r="AB530" s="600"/>
      <c r="AC530" s="600"/>
    </row>
    <row r="531" spans="1:32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716"/>
      <c r="P531" s="639" t="s">
        <v>813</v>
      </c>
      <c r="Q531" s="640"/>
      <c r="R531" s="640"/>
      <c r="S531" s="640"/>
      <c r="T531" s="640"/>
      <c r="U531" s="640"/>
      <c r="V531" s="641"/>
      <c r="W531" s="37" t="s">
        <v>814</v>
      </c>
      <c r="X531" s="38">
        <f>ROUNDUP(SUM(BO22:BO526),0)</f>
        <v>16</v>
      </c>
      <c r="Y531" s="38">
        <f>ROUNDUP(SUM(BP22:BP526),0)</f>
        <v>16</v>
      </c>
      <c r="Z531" s="37"/>
      <c r="AA531" s="600"/>
      <c r="AB531" s="600"/>
      <c r="AC531" s="600"/>
    </row>
    <row r="532" spans="1:32" x14ac:dyDescent="0.2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716"/>
      <c r="P532" s="639" t="s">
        <v>815</v>
      </c>
      <c r="Q532" s="640"/>
      <c r="R532" s="640"/>
      <c r="S532" s="640"/>
      <c r="T532" s="640"/>
      <c r="U532" s="640"/>
      <c r="V532" s="641"/>
      <c r="W532" s="37" t="s">
        <v>67</v>
      </c>
      <c r="X532" s="599">
        <f>GrossWeightTotal+PalletQtyTotal*25</f>
        <v>9673.9364948085113</v>
      </c>
      <c r="Y532" s="599">
        <f>GrossWeightTotalR+PalletQtyTotalR*25</f>
        <v>9774.1400000000012</v>
      </c>
      <c r="Z532" s="37"/>
      <c r="AA532" s="600"/>
      <c r="AB532" s="600"/>
      <c r="AC532" s="600"/>
    </row>
    <row r="533" spans="1:32" x14ac:dyDescent="0.2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716"/>
      <c r="P533" s="639" t="s">
        <v>816</v>
      </c>
      <c r="Q533" s="640"/>
      <c r="R533" s="640"/>
      <c r="S533" s="640"/>
      <c r="T533" s="640"/>
      <c r="U533" s="640"/>
      <c r="V533" s="641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1466.3719998392412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1480</v>
      </c>
      <c r="Z533" s="37"/>
      <c r="AA533" s="600"/>
      <c r="AB533" s="600"/>
      <c r="AC533" s="600"/>
    </row>
    <row r="534" spans="1:32" ht="14.25" customHeight="1" x14ac:dyDescent="0.2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716"/>
      <c r="P534" s="639" t="s">
        <v>817</v>
      </c>
      <c r="Q534" s="640"/>
      <c r="R534" s="640"/>
      <c r="S534" s="640"/>
      <c r="T534" s="640"/>
      <c r="U534" s="640"/>
      <c r="V534" s="641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17.793410000000002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43" t="s">
        <v>115</v>
      </c>
      <c r="E536" s="644"/>
      <c r="F536" s="644"/>
      <c r="G536" s="644"/>
      <c r="H536" s="644"/>
      <c r="I536" s="644"/>
      <c r="J536" s="645"/>
      <c r="K536" s="643" t="s">
        <v>324</v>
      </c>
      <c r="L536" s="644"/>
      <c r="M536" s="644"/>
      <c r="N536" s="644"/>
      <c r="O536" s="644"/>
      <c r="P536" s="644"/>
      <c r="Q536" s="644"/>
      <c r="R536" s="644"/>
      <c r="S536" s="644"/>
      <c r="T536" s="644"/>
      <c r="U536" s="645"/>
      <c r="V536" s="643" t="s">
        <v>643</v>
      </c>
      <c r="W536" s="645"/>
      <c r="X536" s="643" t="s">
        <v>703</v>
      </c>
      <c r="Y536" s="645"/>
      <c r="Z536" s="594" t="s">
        <v>739</v>
      </c>
      <c r="AA536" s="643" t="s">
        <v>786</v>
      </c>
      <c r="AB536" s="645"/>
      <c r="AC536" s="52"/>
      <c r="AF536" s="595"/>
    </row>
    <row r="537" spans="1:32" ht="14.25" customHeight="1" thickTop="1" x14ac:dyDescent="0.2">
      <c r="A537" s="688" t="s">
        <v>820</v>
      </c>
      <c r="B537" s="643" t="s">
        <v>61</v>
      </c>
      <c r="C537" s="643" t="s">
        <v>102</v>
      </c>
      <c r="D537" s="643" t="s">
        <v>116</v>
      </c>
      <c r="E537" s="643" t="s">
        <v>132</v>
      </c>
      <c r="F537" s="643" t="s">
        <v>176</v>
      </c>
      <c r="G537" s="643" t="s">
        <v>197</v>
      </c>
      <c r="H537" s="643" t="s">
        <v>241</v>
      </c>
      <c r="I537" s="643" t="s">
        <v>253</v>
      </c>
      <c r="J537" s="643" t="s">
        <v>115</v>
      </c>
      <c r="K537" s="643" t="s">
        <v>325</v>
      </c>
      <c r="L537" s="643" t="s">
        <v>337</v>
      </c>
      <c r="M537" s="643" t="s">
        <v>404</v>
      </c>
      <c r="N537" s="595"/>
      <c r="O537" s="643" t="s">
        <v>472</v>
      </c>
      <c r="P537" s="643" t="s">
        <v>505</v>
      </c>
      <c r="Q537" s="643" t="s">
        <v>521</v>
      </c>
      <c r="R537" s="643" t="s">
        <v>530</v>
      </c>
      <c r="S537" s="643" t="s">
        <v>551</v>
      </c>
      <c r="T537" s="643" t="s">
        <v>561</v>
      </c>
      <c r="U537" s="643" t="s">
        <v>633</v>
      </c>
      <c r="V537" s="643" t="s">
        <v>644</v>
      </c>
      <c r="W537" s="643" t="s">
        <v>687</v>
      </c>
      <c r="X537" s="643" t="s">
        <v>704</v>
      </c>
      <c r="Y537" s="643" t="s">
        <v>727</v>
      </c>
      <c r="Z537" s="643" t="s">
        <v>739</v>
      </c>
      <c r="AA537" s="643" t="s">
        <v>786</v>
      </c>
      <c r="AB537" s="643" t="s">
        <v>807</v>
      </c>
      <c r="AC537" s="52"/>
      <c r="AF537" s="595"/>
    </row>
    <row r="538" spans="1:32" ht="13.5" customHeight="1" thickBot="1" x14ac:dyDescent="0.25">
      <c r="A538" s="689"/>
      <c r="B538" s="667"/>
      <c r="C538" s="667"/>
      <c r="D538" s="667"/>
      <c r="E538" s="667"/>
      <c r="F538" s="667"/>
      <c r="G538" s="667"/>
      <c r="H538" s="667"/>
      <c r="I538" s="667"/>
      <c r="J538" s="667"/>
      <c r="K538" s="667"/>
      <c r="L538" s="667"/>
      <c r="M538" s="667"/>
      <c r="N538" s="595"/>
      <c r="O538" s="667"/>
      <c r="P538" s="667"/>
      <c r="Q538" s="667"/>
      <c r="R538" s="667"/>
      <c r="S538" s="667"/>
      <c r="T538" s="667"/>
      <c r="U538" s="667"/>
      <c r="V538" s="667"/>
      <c r="W538" s="667"/>
      <c r="X538" s="667"/>
      <c r="Y538" s="667"/>
      <c r="Z538" s="667"/>
      <c r="AA538" s="667"/>
      <c r="AB538" s="667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831.6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576</v>
      </c>
      <c r="F539" s="46">
        <f>IFERROR(Y87*1,"0")+IFERROR(Y88*1,"0")+IFERROR(Y89*1,"0")+IFERROR(Y90*1,"0")+IFERROR(Y94*1,"0")+IFERROR(Y95*1,"0")+IFERROR(Y96*1,"0")+IFERROR(Y97*1,"0")</f>
        <v>615.6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758.7</v>
      </c>
      <c r="H539" s="46">
        <f>IFERROR(Y134*1,"0")+IFERROR(Y135*1,"0")+IFERROR(Y139*1,"0")+IFERROR(Y140*1,"0")+IFERROR(Y144*1,"0")+IFERROR(Y145*1,"0")</f>
        <v>0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491.40000000000003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1266.2999999999997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0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0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452.4</v>
      </c>
      <c r="U539" s="46">
        <f>IFERROR(Y394*1,"0")+IFERROR(Y395*1,"0")+IFERROR(Y396*1,"0")</f>
        <v>0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2580</v>
      </c>
      <c r="W539" s="46">
        <f>IFERROR(Y429*1,"0")+IFERROR(Y430*1,"0")+IFERROR(Y434*1,"0")+IFERROR(Y438*1,"0")+IFERROR(Y439*1,"0")+IFERROR(Y440*1,"0")</f>
        <v>0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1330.56</v>
      </c>
      <c r="AA539" s="46">
        <f>IFERROR(Y503*1,"0")+IFERROR(Y507*1,"0")+IFERROR(Y511*1,"0")+IFERROR(Y512*1,"0")+IFERROR(Y516*1,"0")+IFERROR(Y520*1,"0")+IFERROR(Y521*1,"0")</f>
        <v>0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7"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P415:T415"/>
    <mergeCell ref="A233:Z233"/>
    <mergeCell ref="M17:M18"/>
    <mergeCell ref="O17:O18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107:T107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D383:E383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2026-07-03T09:09:58Z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