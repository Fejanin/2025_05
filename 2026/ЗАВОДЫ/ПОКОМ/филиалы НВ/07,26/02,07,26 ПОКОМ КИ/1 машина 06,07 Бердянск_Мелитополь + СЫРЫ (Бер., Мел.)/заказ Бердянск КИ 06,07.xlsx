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1 машина 06,07 Бердянск_Мелитополь + СЫРЫ (Бер., Мел.)\"/>
    </mc:Choice>
  </mc:AlternateContent>
  <xr:revisionPtr revIDLastSave="0" documentId="13_ncr:1_{749A0D99-0317-4544-A1AA-4D4F604AFFD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заказа'!$X$530:$X$530</definedName>
    <definedName name="GrossWeightTotalR">'Бланк заказа'!$Y$530:$Y$530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заказа'!$X$531:$X$531</definedName>
    <definedName name="PalletQtyTotalR">'Бланк заказа'!$Y$531:$Y$531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заказа'!$B$367:$B$367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заказа'!$B$374:$B$374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заказа'!$B$380:$B$380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заказа'!$B$387:$B$387</definedName>
    <definedName name="ProductId197">'Бланк заказа'!$B$388:$B$388</definedName>
    <definedName name="ProductId198">'Бланк заказа'!$B$389:$B$389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заказа'!$B$419:$B$419</definedName>
    <definedName name="ProductId214">'Бланк заказа'!$B$420:$B$420</definedName>
    <definedName name="ProductId215">'Бланк заказа'!$B$424:$B$424</definedName>
    <definedName name="ProductId216">'Бланк заказа'!$B$429:$B$429</definedName>
    <definedName name="ProductId217">'Бланк заказа'!$B$430:$B$430</definedName>
    <definedName name="ProductId218">'Бланк заказа'!$B$434:$B$434</definedName>
    <definedName name="ProductId219">'Бланк заказа'!$B$438:$B$438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заказа'!$B$455:$B$455</definedName>
    <definedName name="ProductId229">'Бланк заказа'!$B$456:$B$456</definedName>
    <definedName name="ProductId23">'Бланк заказа'!$B$64:$B$64</definedName>
    <definedName name="ProductId230">'Бланк заказа'!$B$461:$B$461</definedName>
    <definedName name="ProductId231">'Бланк заказа'!$B$465:$B$465</definedName>
    <definedName name="ProductId232">'Бланк заказа'!$B$466:$B$466</definedName>
    <definedName name="ProductId233">'Бланк заказа'!$B$467:$B$467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заказа'!$B$503:$B$503</definedName>
    <definedName name="ProductId254">'Бланк заказа'!$B$507:$B$507</definedName>
    <definedName name="ProductId255">'Бланк заказа'!$B$511:$B$511</definedName>
    <definedName name="ProductId256">'Бланк заказа'!$B$512:$B$512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заказа'!$B$70:$B$70</definedName>
    <definedName name="ProductId260">'Бланк заказа'!$B$526:$B$526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заказа'!$X$367:$X$367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заказа'!$X$374:$X$374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заказа'!$X$380:$X$380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заказа'!$X$387:$X$387</definedName>
    <definedName name="SalesQty197">'Бланк заказа'!$X$388:$X$388</definedName>
    <definedName name="SalesQty198">'Бланк заказа'!$X$389:$X$389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заказа'!$X$419:$X$419</definedName>
    <definedName name="SalesQty214">'Бланк заказа'!$X$420:$X$420</definedName>
    <definedName name="SalesQty215">'Бланк заказа'!$X$424:$X$424</definedName>
    <definedName name="SalesQty216">'Бланк заказа'!$X$429:$X$429</definedName>
    <definedName name="SalesQty217">'Бланк заказа'!$X$430:$X$430</definedName>
    <definedName name="SalesQty218">'Бланк заказа'!$X$434:$X$434</definedName>
    <definedName name="SalesQty219">'Бланк заказа'!$X$438:$X$438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заказа'!$X$455:$X$455</definedName>
    <definedName name="SalesQty229">'Бланк заказа'!$X$456:$X$456</definedName>
    <definedName name="SalesQty23">'Бланк заказа'!$X$64:$X$64</definedName>
    <definedName name="SalesQty230">'Бланк заказа'!$X$461:$X$461</definedName>
    <definedName name="SalesQty231">'Бланк заказа'!$X$465:$X$465</definedName>
    <definedName name="SalesQty232">'Бланк заказа'!$X$466:$X$466</definedName>
    <definedName name="SalesQty233">'Бланк заказа'!$X$467:$X$467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заказа'!$X$503:$X$503</definedName>
    <definedName name="SalesQty254">'Бланк заказа'!$X$507:$X$507</definedName>
    <definedName name="SalesQty255">'Бланк заказа'!$X$511:$X$511</definedName>
    <definedName name="SalesQty256">'Бланк заказа'!$X$512:$X$512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заказа'!$X$70:$X$70</definedName>
    <definedName name="SalesQty260">'Бланк заказа'!$X$526:$X$526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заказа'!$Y$367:$Y$367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заказа'!$Y$374:$Y$374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заказа'!$Y$380:$Y$380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заказа'!$Y$387:$Y$387</definedName>
    <definedName name="SalesRoundBox197">'Бланк заказа'!$Y$388:$Y$388</definedName>
    <definedName name="SalesRoundBox198">'Бланк заказа'!$Y$389:$Y$389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заказа'!$Y$419:$Y$419</definedName>
    <definedName name="SalesRoundBox214">'Бланк заказа'!$Y$420:$Y$420</definedName>
    <definedName name="SalesRoundBox215">'Бланк заказа'!$Y$424:$Y$424</definedName>
    <definedName name="SalesRoundBox216">'Бланк заказа'!$Y$429:$Y$429</definedName>
    <definedName name="SalesRoundBox217">'Бланк заказа'!$Y$430:$Y$430</definedName>
    <definedName name="SalesRoundBox218">'Бланк заказа'!$Y$434:$Y$434</definedName>
    <definedName name="SalesRoundBox219">'Бланк заказа'!$Y$438:$Y$438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заказа'!$Y$455:$Y$455</definedName>
    <definedName name="SalesRoundBox229">'Бланк заказа'!$Y$456:$Y$456</definedName>
    <definedName name="SalesRoundBox23">'Бланк заказа'!$Y$64:$Y$64</definedName>
    <definedName name="SalesRoundBox230">'Бланк заказа'!$Y$461:$Y$461</definedName>
    <definedName name="SalesRoundBox231">'Бланк заказа'!$Y$465:$Y$465</definedName>
    <definedName name="SalesRoundBox232">'Бланк заказа'!$Y$466:$Y$466</definedName>
    <definedName name="SalesRoundBox233">'Бланк заказа'!$Y$467:$Y$467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заказа'!$Y$503:$Y$503</definedName>
    <definedName name="SalesRoundBox254">'Бланк заказа'!$Y$507:$Y$507</definedName>
    <definedName name="SalesRoundBox255">'Бланк заказа'!$Y$511:$Y$511</definedName>
    <definedName name="SalesRoundBox256">'Бланк заказа'!$Y$512:$Y$512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заказа'!$Y$70:$Y$70</definedName>
    <definedName name="SalesRoundBox260">'Бланк заказа'!$Y$526:$Y$526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заказа'!$W$367:$W$367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заказа'!$W$374:$W$374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заказа'!$W$380:$W$380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заказа'!$W$387:$W$387</definedName>
    <definedName name="UnitOfMeasure197">'Бланк заказа'!$W$388:$W$388</definedName>
    <definedName name="UnitOfMeasure198">'Бланк заказа'!$W$389:$W$389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заказа'!$W$419:$W$419</definedName>
    <definedName name="UnitOfMeasure214">'Бланк заказа'!$W$420:$W$420</definedName>
    <definedName name="UnitOfMeasure215">'Бланк заказа'!$W$424:$W$424</definedName>
    <definedName name="UnitOfMeasure216">'Бланк заказа'!$W$429:$W$429</definedName>
    <definedName name="UnitOfMeasure217">'Бланк заказа'!$W$430:$W$430</definedName>
    <definedName name="UnitOfMeasure218">'Бланк заказа'!$W$434:$W$434</definedName>
    <definedName name="UnitOfMeasure219">'Бланк заказа'!$W$438:$W$438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заказа'!$W$455:$W$455</definedName>
    <definedName name="UnitOfMeasure229">'Бланк заказа'!$W$456:$W$456</definedName>
    <definedName name="UnitOfMeasure23">'Бланк заказа'!$W$64:$W$64</definedName>
    <definedName name="UnitOfMeasure230">'Бланк заказа'!$W$461:$W$461</definedName>
    <definedName name="UnitOfMeasure231">'Бланк заказа'!$W$465:$W$465</definedName>
    <definedName name="UnitOfMeasure232">'Бланк заказа'!$W$466:$W$466</definedName>
    <definedName name="UnitOfMeasure233">'Бланк заказа'!$W$467:$W$467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заказа'!$W$503:$W$503</definedName>
    <definedName name="UnitOfMeasure254">'Бланк заказа'!$W$507:$W$507</definedName>
    <definedName name="UnitOfMeasure255">'Бланк заказа'!$W$511:$W$511</definedName>
    <definedName name="UnitOfMeasure256">'Бланк заказа'!$W$512:$W$512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заказа'!$W$70:$W$70</definedName>
    <definedName name="UnitOfMeasure260">'Бланк заказа'!$W$526:$W$526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8" i="1" l="1"/>
  <c r="X527" i="1"/>
  <c r="BO526" i="1"/>
  <c r="BM526" i="1"/>
  <c r="Y526" i="1"/>
  <c r="P526" i="1"/>
  <c r="X523" i="1"/>
  <c r="X522" i="1"/>
  <c r="BO521" i="1"/>
  <c r="BM521" i="1"/>
  <c r="Y521" i="1"/>
  <c r="P521" i="1"/>
  <c r="BP520" i="1"/>
  <c r="BO520" i="1"/>
  <c r="BN520" i="1"/>
  <c r="BM520" i="1"/>
  <c r="Z520" i="1"/>
  <c r="Y520" i="1"/>
  <c r="P520" i="1"/>
  <c r="X518" i="1"/>
  <c r="Y517" i="1"/>
  <c r="X517" i="1"/>
  <c r="BP516" i="1"/>
  <c r="BO516" i="1"/>
  <c r="BN516" i="1"/>
  <c r="BM516" i="1"/>
  <c r="Z516" i="1"/>
  <c r="Z517" i="1" s="1"/>
  <c r="Y516" i="1"/>
  <c r="Y518" i="1" s="1"/>
  <c r="P516" i="1"/>
  <c r="X514" i="1"/>
  <c r="Y513" i="1"/>
  <c r="X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X505" i="1"/>
  <c r="X504" i="1"/>
  <c r="BO503" i="1"/>
  <c r="BM503" i="1"/>
  <c r="Y503" i="1"/>
  <c r="P503" i="1"/>
  <c r="X499" i="1"/>
  <c r="X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2" i="1"/>
  <c r="X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X436" i="1"/>
  <c r="X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X426" i="1"/>
  <c r="Y425" i="1"/>
  <c r="X425" i="1"/>
  <c r="BP424" i="1"/>
  <c r="BO424" i="1"/>
  <c r="BN424" i="1"/>
  <c r="BM424" i="1"/>
  <c r="Z424" i="1"/>
  <c r="Z425" i="1" s="1"/>
  <c r="Y424" i="1"/>
  <c r="Y426" i="1" s="1"/>
  <c r="P424" i="1"/>
  <c r="X422" i="1"/>
  <c r="Y421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BP402" i="1"/>
  <c r="BO402" i="1"/>
  <c r="BN402" i="1"/>
  <c r="BM402" i="1"/>
  <c r="Z402" i="1"/>
  <c r="Y402" i="1"/>
  <c r="P402" i="1"/>
  <c r="X398" i="1"/>
  <c r="X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Y391" i="1" s="1"/>
  <c r="P387" i="1"/>
  <c r="X385" i="1"/>
  <c r="X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Y384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Y377" i="1" s="1"/>
  <c r="P375" i="1"/>
  <c r="BP374" i="1"/>
  <c r="BO374" i="1"/>
  <c r="BN374" i="1"/>
  <c r="BM374" i="1"/>
  <c r="Z374" i="1"/>
  <c r="Y374" i="1"/>
  <c r="P374" i="1"/>
  <c r="X372" i="1"/>
  <c r="X371" i="1"/>
  <c r="BP370" i="1"/>
  <c r="BO370" i="1"/>
  <c r="BN370" i="1"/>
  <c r="BM370" i="1"/>
  <c r="Z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Y346" i="1" s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Y308" i="1" s="1"/>
  <c r="P306" i="1"/>
  <c r="BP305" i="1"/>
  <c r="BO305" i="1"/>
  <c r="BN305" i="1"/>
  <c r="BM305" i="1"/>
  <c r="Z305" i="1"/>
  <c r="Y305" i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Y298" i="1"/>
  <c r="X298" i="1"/>
  <c r="BP297" i="1"/>
  <c r="BO297" i="1"/>
  <c r="BN297" i="1"/>
  <c r="BM297" i="1"/>
  <c r="Z297" i="1"/>
  <c r="Z298" i="1" s="1"/>
  <c r="Y297" i="1"/>
  <c r="Y299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Y295" i="1" s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X279" i="1"/>
  <c r="X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P266" i="1"/>
  <c r="BO266" i="1"/>
  <c r="BN266" i="1"/>
  <c r="BM266" i="1"/>
  <c r="Z266" i="1"/>
  <c r="Y266" i="1"/>
  <c r="Y278" i="1" s="1"/>
  <c r="P266" i="1"/>
  <c r="X264" i="1"/>
  <c r="X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3" i="1"/>
  <c r="X252" i="1"/>
  <c r="BO251" i="1"/>
  <c r="BM251" i="1"/>
  <c r="Y251" i="1"/>
  <c r="P251" i="1"/>
  <c r="BP250" i="1"/>
  <c r="BO250" i="1"/>
  <c r="BN250" i="1"/>
  <c r="BM250" i="1"/>
  <c r="Z250" i="1"/>
  <c r="Y250" i="1"/>
  <c r="Y252" i="1" s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Y245" i="1"/>
  <c r="P245" i="1"/>
  <c r="X242" i="1"/>
  <c r="X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2" i="1"/>
  <c r="X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BO227" i="1"/>
  <c r="BM227" i="1"/>
  <c r="Y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X208" i="1"/>
  <c r="X207" i="1"/>
  <c r="BO206" i="1"/>
  <c r="BM206" i="1"/>
  <c r="Y206" i="1"/>
  <c r="P206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Y185" i="1" s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61" i="1"/>
  <c r="X160" i="1"/>
  <c r="BO159" i="1"/>
  <c r="BM159" i="1"/>
  <c r="Y159" i="1"/>
  <c r="P159" i="1"/>
  <c r="BP158" i="1"/>
  <c r="BO158" i="1"/>
  <c r="BN158" i="1"/>
  <c r="BM158" i="1"/>
  <c r="Z158" i="1"/>
  <c r="Y158" i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2" i="1"/>
  <c r="Y141" i="1"/>
  <c r="X141" i="1"/>
  <c r="BP140" i="1"/>
  <c r="BO140" i="1"/>
  <c r="BN140" i="1"/>
  <c r="BM140" i="1"/>
  <c r="Z140" i="1"/>
  <c r="Y140" i="1"/>
  <c r="P140" i="1"/>
  <c r="BO139" i="1"/>
  <c r="BM139" i="1"/>
  <c r="Y139" i="1"/>
  <c r="P139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BP123" i="1"/>
  <c r="BO123" i="1"/>
  <c r="BN123" i="1"/>
  <c r="BM123" i="1"/>
  <c r="Z123" i="1"/>
  <c r="Y123" i="1"/>
  <c r="P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O113" i="1"/>
  <c r="BM113" i="1"/>
  <c r="Y113" i="1"/>
  <c r="BP113" i="1" s="1"/>
  <c r="P113" i="1"/>
  <c r="BO112" i="1"/>
  <c r="BN112" i="1"/>
  <c r="BM112" i="1"/>
  <c r="Z112" i="1"/>
  <c r="Y112" i="1"/>
  <c r="Y119" i="1" s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G539" i="1" s="1"/>
  <c r="P102" i="1"/>
  <c r="X99" i="1"/>
  <c r="X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Y99" i="1" s="1"/>
  <c r="P94" i="1"/>
  <c r="X92" i="1"/>
  <c r="X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F539" i="1" s="1"/>
  <c r="P87" i="1"/>
  <c r="X84" i="1"/>
  <c r="X83" i="1"/>
  <c r="BO82" i="1"/>
  <c r="BM82" i="1"/>
  <c r="Y82" i="1"/>
  <c r="Y84" i="1" s="1"/>
  <c r="P82" i="1"/>
  <c r="BP81" i="1"/>
  <c r="BO81" i="1"/>
  <c r="BN81" i="1"/>
  <c r="BM81" i="1"/>
  <c r="Z81" i="1"/>
  <c r="Y81" i="1"/>
  <c r="Y83" i="1" s="1"/>
  <c r="P81" i="1"/>
  <c r="X79" i="1"/>
  <c r="X78" i="1"/>
  <c r="BP77" i="1"/>
  <c r="BO77" i="1"/>
  <c r="BN77" i="1"/>
  <c r="BM77" i="1"/>
  <c r="Z77" i="1"/>
  <c r="Y77" i="1"/>
  <c r="P77" i="1"/>
  <c r="BO76" i="1"/>
  <c r="BM76" i="1"/>
  <c r="Y76" i="1"/>
  <c r="Y78" i="1" s="1"/>
  <c r="P76" i="1"/>
  <c r="X74" i="1"/>
  <c r="X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4" i="1" s="1"/>
  <c r="P70" i="1"/>
  <c r="BP69" i="1"/>
  <c r="BO69" i="1"/>
  <c r="BN69" i="1"/>
  <c r="BM69" i="1"/>
  <c r="Z69" i="1"/>
  <c r="Y69" i="1"/>
  <c r="Y73" i="1" s="1"/>
  <c r="P69" i="1"/>
  <c r="X67" i="1"/>
  <c r="X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39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Y47" i="1" s="1"/>
  <c r="P43" i="1"/>
  <c r="BP42" i="1"/>
  <c r="BO42" i="1"/>
  <c r="BN42" i="1"/>
  <c r="BM42" i="1"/>
  <c r="Z42" i="1"/>
  <c r="Y42" i="1"/>
  <c r="P42" i="1"/>
  <c r="X38" i="1"/>
  <c r="Y37" i="1"/>
  <c r="X37" i="1"/>
  <c r="BP36" i="1"/>
  <c r="BO36" i="1"/>
  <c r="BN36" i="1"/>
  <c r="BM36" i="1"/>
  <c r="Z36" i="1"/>
  <c r="Z37" i="1" s="1"/>
  <c r="Y36" i="1"/>
  <c r="Y38" i="1" s="1"/>
  <c r="P36" i="1"/>
  <c r="X34" i="1"/>
  <c r="X33" i="1"/>
  <c r="BP32" i="1"/>
  <c r="BO32" i="1"/>
  <c r="BN32" i="1"/>
  <c r="BM32" i="1"/>
  <c r="Z32" i="1"/>
  <c r="Y32" i="1"/>
  <c r="P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24" i="1"/>
  <c r="X533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39" i="1"/>
  <c r="X530" i="1"/>
  <c r="X531" i="1"/>
  <c r="Z23" i="1"/>
  <c r="Z24" i="1" s="1"/>
  <c r="BN23" i="1"/>
  <c r="BP23" i="1"/>
  <c r="Y24" i="1"/>
  <c r="X529" i="1"/>
  <c r="Z27" i="1"/>
  <c r="BN27" i="1"/>
  <c r="BP27" i="1"/>
  <c r="Z29" i="1"/>
  <c r="BN29" i="1"/>
  <c r="Z31" i="1"/>
  <c r="BN31" i="1"/>
  <c r="Y34" i="1"/>
  <c r="Y529" i="1" s="1"/>
  <c r="C539" i="1"/>
  <c r="Z43" i="1"/>
  <c r="Z46" i="1" s="1"/>
  <c r="BN43" i="1"/>
  <c r="BP43" i="1"/>
  <c r="Z45" i="1"/>
  <c r="BN45" i="1"/>
  <c r="Y46" i="1"/>
  <c r="Z51" i="1"/>
  <c r="Z55" i="1" s="1"/>
  <c r="BN51" i="1"/>
  <c r="BP51" i="1"/>
  <c r="Z53" i="1"/>
  <c r="BN53" i="1"/>
  <c r="Y56" i="1"/>
  <c r="E539" i="1"/>
  <c r="Z60" i="1"/>
  <c r="Z66" i="1" s="1"/>
  <c r="BN60" i="1"/>
  <c r="Z62" i="1"/>
  <c r="BN62" i="1"/>
  <c r="Z64" i="1"/>
  <c r="BN64" i="1"/>
  <c r="Y67" i="1"/>
  <c r="Z70" i="1"/>
  <c r="Z73" i="1" s="1"/>
  <c r="BN70" i="1"/>
  <c r="BP70" i="1"/>
  <c r="Z72" i="1"/>
  <c r="BN72" i="1"/>
  <c r="Z76" i="1"/>
  <c r="Z78" i="1" s="1"/>
  <c r="BN76" i="1"/>
  <c r="BP76" i="1"/>
  <c r="Y79" i="1"/>
  <c r="Z82" i="1"/>
  <c r="Z83" i="1" s="1"/>
  <c r="BN82" i="1"/>
  <c r="BP82" i="1"/>
  <c r="Z87" i="1"/>
  <c r="Z91" i="1" s="1"/>
  <c r="BN87" i="1"/>
  <c r="BP87" i="1"/>
  <c r="Z89" i="1"/>
  <c r="BN89" i="1"/>
  <c r="Y92" i="1"/>
  <c r="Z95" i="1"/>
  <c r="Z98" i="1" s="1"/>
  <c r="BN95" i="1"/>
  <c r="Z97" i="1"/>
  <c r="BN97" i="1"/>
  <c r="Y98" i="1"/>
  <c r="Z102" i="1"/>
  <c r="BN102" i="1"/>
  <c r="BP102" i="1"/>
  <c r="Z104" i="1"/>
  <c r="BN104" i="1"/>
  <c r="Z106" i="1"/>
  <c r="BN106" i="1"/>
  <c r="Z108" i="1"/>
  <c r="BN108" i="1"/>
  <c r="Y109" i="1"/>
  <c r="BP112" i="1"/>
  <c r="BP116" i="1"/>
  <c r="BN116" i="1"/>
  <c r="Z116" i="1"/>
  <c r="BP124" i="1"/>
  <c r="BN124" i="1"/>
  <c r="Z124" i="1"/>
  <c r="BP145" i="1"/>
  <c r="BN145" i="1"/>
  <c r="Z145" i="1"/>
  <c r="Z146" i="1" s="1"/>
  <c r="Y147" i="1"/>
  <c r="I539" i="1"/>
  <c r="Y155" i="1"/>
  <c r="BP150" i="1"/>
  <c r="BN150" i="1"/>
  <c r="Z150" i="1"/>
  <c r="Y154" i="1"/>
  <c r="BP159" i="1"/>
  <c r="BN159" i="1"/>
  <c r="Z159" i="1"/>
  <c r="Z160" i="1" s="1"/>
  <c r="Y161" i="1"/>
  <c r="Y164" i="1"/>
  <c r="BP163" i="1"/>
  <c r="BN163" i="1"/>
  <c r="Z163" i="1"/>
  <c r="Z164" i="1" s="1"/>
  <c r="Y165" i="1"/>
  <c r="Y178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90" i="1"/>
  <c r="BP187" i="1"/>
  <c r="BN187" i="1"/>
  <c r="Z187" i="1"/>
  <c r="Z189" i="1" s="1"/>
  <c r="BP201" i="1"/>
  <c r="BN201" i="1"/>
  <c r="Z201" i="1"/>
  <c r="Y203" i="1"/>
  <c r="L539" i="1"/>
  <c r="Y207" i="1"/>
  <c r="BP206" i="1"/>
  <c r="BN206" i="1"/>
  <c r="Z206" i="1"/>
  <c r="Z207" i="1" s="1"/>
  <c r="Y208" i="1"/>
  <c r="Y225" i="1"/>
  <c r="BP210" i="1"/>
  <c r="BN210" i="1"/>
  <c r="Z210" i="1"/>
  <c r="BP214" i="1"/>
  <c r="BN214" i="1"/>
  <c r="Z214" i="1"/>
  <c r="BP218" i="1"/>
  <c r="BN218" i="1"/>
  <c r="Z218" i="1"/>
  <c r="BP222" i="1"/>
  <c r="BN222" i="1"/>
  <c r="Z222" i="1"/>
  <c r="BP228" i="1"/>
  <c r="BN228" i="1"/>
  <c r="Z228" i="1"/>
  <c r="BP236" i="1"/>
  <c r="BN236" i="1"/>
  <c r="Z236" i="1"/>
  <c r="Y238" i="1"/>
  <c r="Y241" i="1"/>
  <c r="BP240" i="1"/>
  <c r="BN240" i="1"/>
  <c r="Z240" i="1"/>
  <c r="Z241" i="1" s="1"/>
  <c r="Y242" i="1"/>
  <c r="M539" i="1"/>
  <c r="Y248" i="1"/>
  <c r="BP245" i="1"/>
  <c r="Y247" i="1"/>
  <c r="BN245" i="1"/>
  <c r="Z245" i="1"/>
  <c r="Z247" i="1" s="1"/>
  <c r="BP269" i="1"/>
  <c r="BN269" i="1"/>
  <c r="Z269" i="1"/>
  <c r="BP273" i="1"/>
  <c r="BN273" i="1"/>
  <c r="Z273" i="1"/>
  <c r="BP277" i="1"/>
  <c r="BN277" i="1"/>
  <c r="Z277" i="1"/>
  <c r="Y279" i="1"/>
  <c r="Y284" i="1"/>
  <c r="BP281" i="1"/>
  <c r="BN281" i="1"/>
  <c r="Z281" i="1"/>
  <c r="Z283" i="1" s="1"/>
  <c r="Y283" i="1"/>
  <c r="F9" i="1"/>
  <c r="J9" i="1"/>
  <c r="Y55" i="1"/>
  <c r="Y66" i="1"/>
  <c r="Y91" i="1"/>
  <c r="Z107" i="1"/>
  <c r="BN107" i="1"/>
  <c r="Y530" i="1" s="1"/>
  <c r="Y110" i="1"/>
  <c r="Z113" i="1"/>
  <c r="Z119" i="1" s="1"/>
  <c r="BN113" i="1"/>
  <c r="BP114" i="1"/>
  <c r="Y531" i="1" s="1"/>
  <c r="BN114" i="1"/>
  <c r="Z114" i="1"/>
  <c r="BP118" i="1"/>
  <c r="BN118" i="1"/>
  <c r="Z118" i="1"/>
  <c r="Y120" i="1"/>
  <c r="Y127" i="1"/>
  <c r="BP122" i="1"/>
  <c r="BN122" i="1"/>
  <c r="Z122" i="1"/>
  <c r="Z126" i="1" s="1"/>
  <c r="Y126" i="1"/>
  <c r="BP135" i="1"/>
  <c r="BN135" i="1"/>
  <c r="Z135" i="1"/>
  <c r="Z136" i="1" s="1"/>
  <c r="Y137" i="1"/>
  <c r="Y142" i="1"/>
  <c r="BP139" i="1"/>
  <c r="BN139" i="1"/>
  <c r="Z139" i="1"/>
  <c r="Z141" i="1" s="1"/>
  <c r="Y146" i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Z184" i="1" s="1"/>
  <c r="Y189" i="1"/>
  <c r="BP199" i="1"/>
  <c r="BN199" i="1"/>
  <c r="Z199" i="1"/>
  <c r="Z202" i="1" s="1"/>
  <c r="BP212" i="1"/>
  <c r="BN212" i="1"/>
  <c r="Z212" i="1"/>
  <c r="BP216" i="1"/>
  <c r="BN216" i="1"/>
  <c r="Z216" i="1"/>
  <c r="BP220" i="1"/>
  <c r="BN220" i="1"/>
  <c r="Z220" i="1"/>
  <c r="Y224" i="1"/>
  <c r="Y231" i="1"/>
  <c r="BP227" i="1"/>
  <c r="BN227" i="1"/>
  <c r="Z227" i="1"/>
  <c r="Z231" i="1" s="1"/>
  <c r="BP230" i="1"/>
  <c r="BN230" i="1"/>
  <c r="Z230" i="1"/>
  <c r="Y232" i="1"/>
  <c r="Y237" i="1"/>
  <c r="BP234" i="1"/>
  <c r="BN234" i="1"/>
  <c r="Z234" i="1"/>
  <c r="Z237" i="1" s="1"/>
  <c r="BP257" i="1"/>
  <c r="BN257" i="1"/>
  <c r="Z257" i="1"/>
  <c r="BP261" i="1"/>
  <c r="BN261" i="1"/>
  <c r="Z261" i="1"/>
  <c r="BP290" i="1"/>
  <c r="BN290" i="1"/>
  <c r="Z290" i="1"/>
  <c r="Y294" i="1"/>
  <c r="H539" i="1"/>
  <c r="Y136" i="1"/>
  <c r="J539" i="1"/>
  <c r="Y160" i="1"/>
  <c r="K539" i="1"/>
  <c r="Y202" i="1"/>
  <c r="BP251" i="1"/>
  <c r="BN251" i="1"/>
  <c r="Z251" i="1"/>
  <c r="Z252" i="1" s="1"/>
  <c r="Y253" i="1"/>
  <c r="Y264" i="1"/>
  <c r="BP255" i="1"/>
  <c r="BN255" i="1"/>
  <c r="Z255" i="1"/>
  <c r="Z263" i="1" s="1"/>
  <c r="BP259" i="1"/>
  <c r="BN259" i="1"/>
  <c r="Z259" i="1"/>
  <c r="Y263" i="1"/>
  <c r="BP267" i="1"/>
  <c r="BN267" i="1"/>
  <c r="Z267" i="1"/>
  <c r="BP271" i="1"/>
  <c r="BN271" i="1"/>
  <c r="Z271" i="1"/>
  <c r="BP275" i="1"/>
  <c r="BN275" i="1"/>
  <c r="Z275" i="1"/>
  <c r="BP288" i="1"/>
  <c r="BN288" i="1"/>
  <c r="Z288" i="1"/>
  <c r="BP292" i="1"/>
  <c r="BN292" i="1"/>
  <c r="Z292" i="1"/>
  <c r="Z294" i="1" s="1"/>
  <c r="Y309" i="1"/>
  <c r="BP313" i="1"/>
  <c r="BN313" i="1"/>
  <c r="Z313" i="1"/>
  <c r="Y317" i="1"/>
  <c r="BP322" i="1"/>
  <c r="BN322" i="1"/>
  <c r="Z322" i="1"/>
  <c r="Z324" i="1" s="1"/>
  <c r="BP331" i="1"/>
  <c r="BN331" i="1"/>
  <c r="Z331" i="1"/>
  <c r="Y338" i="1"/>
  <c r="BP344" i="1"/>
  <c r="BN344" i="1"/>
  <c r="Z344" i="1"/>
  <c r="T539" i="1"/>
  <c r="Y354" i="1"/>
  <c r="BP349" i="1"/>
  <c r="BN349" i="1"/>
  <c r="Z349" i="1"/>
  <c r="BP353" i="1"/>
  <c r="BN353" i="1"/>
  <c r="Z353" i="1"/>
  <c r="Y355" i="1"/>
  <c r="Y364" i="1"/>
  <c r="BP357" i="1"/>
  <c r="BN357" i="1"/>
  <c r="Z357" i="1"/>
  <c r="BP361" i="1"/>
  <c r="BN361" i="1"/>
  <c r="Z361" i="1"/>
  <c r="BP369" i="1"/>
  <c r="BN369" i="1"/>
  <c r="Z369" i="1"/>
  <c r="Y378" i="1"/>
  <c r="BP381" i="1"/>
  <c r="BN381" i="1"/>
  <c r="Z381" i="1"/>
  <c r="BP389" i="1"/>
  <c r="BN389" i="1"/>
  <c r="Z389" i="1"/>
  <c r="U539" i="1"/>
  <c r="Y397" i="1"/>
  <c r="BP394" i="1"/>
  <c r="BN394" i="1"/>
  <c r="Z394" i="1"/>
  <c r="O539" i="1"/>
  <c r="Z308" i="1"/>
  <c r="BP306" i="1"/>
  <c r="BN306" i="1"/>
  <c r="Z306" i="1"/>
  <c r="BP315" i="1"/>
  <c r="BN315" i="1"/>
  <c r="Z315" i="1"/>
  <c r="Z317" i="1" s="1"/>
  <c r="BP329" i="1"/>
  <c r="BN329" i="1"/>
  <c r="Z329" i="1"/>
  <c r="Z333" i="1" s="1"/>
  <c r="Y333" i="1"/>
  <c r="BP337" i="1"/>
  <c r="BN337" i="1"/>
  <c r="Z337" i="1"/>
  <c r="Z338" i="1" s="1"/>
  <c r="Y339" i="1"/>
  <c r="S539" i="1"/>
  <c r="Y345" i="1"/>
  <c r="BP342" i="1"/>
  <c r="BN342" i="1"/>
  <c r="Z342" i="1"/>
  <c r="Z345" i="1" s="1"/>
  <c r="BP351" i="1"/>
  <c r="BN351" i="1"/>
  <c r="Z351" i="1"/>
  <c r="BP359" i="1"/>
  <c r="BN359" i="1"/>
  <c r="Z359" i="1"/>
  <c r="BP363" i="1"/>
  <c r="BN363" i="1"/>
  <c r="Z363" i="1"/>
  <c r="Y365" i="1"/>
  <c r="Y372" i="1"/>
  <c r="BP367" i="1"/>
  <c r="BN367" i="1"/>
  <c r="Z367" i="1"/>
  <c r="Z371" i="1" s="1"/>
  <c r="Y371" i="1"/>
  <c r="Z377" i="1"/>
  <c r="BP375" i="1"/>
  <c r="BN375" i="1"/>
  <c r="Z375" i="1"/>
  <c r="BP383" i="1"/>
  <c r="BN383" i="1"/>
  <c r="Z383" i="1"/>
  <c r="Y385" i="1"/>
  <c r="Y390" i="1"/>
  <c r="BP387" i="1"/>
  <c r="BN387" i="1"/>
  <c r="Z387" i="1"/>
  <c r="Z390" i="1" s="1"/>
  <c r="BP396" i="1"/>
  <c r="BN396" i="1"/>
  <c r="Z396" i="1"/>
  <c r="Y398" i="1"/>
  <c r="BP405" i="1"/>
  <c r="BN405" i="1"/>
  <c r="Z405" i="1"/>
  <c r="BP409" i="1"/>
  <c r="BN409" i="1"/>
  <c r="Z409" i="1"/>
  <c r="Y411" i="1"/>
  <c r="Y416" i="1"/>
  <c r="BP413" i="1"/>
  <c r="BN413" i="1"/>
  <c r="Z413" i="1"/>
  <c r="Y417" i="1"/>
  <c r="BP430" i="1"/>
  <c r="BN430" i="1"/>
  <c r="Z430" i="1"/>
  <c r="Z431" i="1" s="1"/>
  <c r="Y432" i="1"/>
  <c r="Y435" i="1"/>
  <c r="BP434" i="1"/>
  <c r="BN434" i="1"/>
  <c r="Z434" i="1"/>
  <c r="Z435" i="1" s="1"/>
  <c r="Y436" i="1"/>
  <c r="Y441" i="1"/>
  <c r="BP438" i="1"/>
  <c r="BN438" i="1"/>
  <c r="Z438" i="1"/>
  <c r="Y442" i="1"/>
  <c r="BP448" i="1"/>
  <c r="BN448" i="1"/>
  <c r="Z448" i="1"/>
  <c r="Y452" i="1"/>
  <c r="BP456" i="1"/>
  <c r="BN456" i="1"/>
  <c r="Z456" i="1"/>
  <c r="Z457" i="1" s="1"/>
  <c r="Y458" i="1"/>
  <c r="Y539" i="1"/>
  <c r="Y462" i="1"/>
  <c r="BP461" i="1"/>
  <c r="BN461" i="1"/>
  <c r="Z461" i="1"/>
  <c r="Z462" i="1" s="1"/>
  <c r="Y463" i="1"/>
  <c r="Y468" i="1"/>
  <c r="BP465" i="1"/>
  <c r="BN465" i="1"/>
  <c r="Z465" i="1"/>
  <c r="Y469" i="1"/>
  <c r="BP475" i="1"/>
  <c r="BN475" i="1"/>
  <c r="Z475" i="1"/>
  <c r="BP479" i="1"/>
  <c r="BN479" i="1"/>
  <c r="Z479" i="1"/>
  <c r="BP487" i="1"/>
  <c r="BN487" i="1"/>
  <c r="Z487" i="1"/>
  <c r="Y489" i="1"/>
  <c r="Y498" i="1"/>
  <c r="BP491" i="1"/>
  <c r="BN491" i="1"/>
  <c r="Z491" i="1"/>
  <c r="Y499" i="1"/>
  <c r="BP495" i="1"/>
  <c r="BN495" i="1"/>
  <c r="Z495" i="1"/>
  <c r="BP521" i="1"/>
  <c r="BN521" i="1"/>
  <c r="Z521" i="1"/>
  <c r="Z522" i="1" s="1"/>
  <c r="AA539" i="1"/>
  <c r="Y523" i="1"/>
  <c r="AB539" i="1"/>
  <c r="Y527" i="1"/>
  <c r="BP526" i="1"/>
  <c r="BN526" i="1"/>
  <c r="Z526" i="1"/>
  <c r="Z527" i="1" s="1"/>
  <c r="Y528" i="1"/>
  <c r="W539" i="1"/>
  <c r="P539" i="1"/>
  <c r="Y318" i="1"/>
  <c r="Q539" i="1"/>
  <c r="Y325" i="1"/>
  <c r="R539" i="1"/>
  <c r="Y334" i="1"/>
  <c r="BP403" i="1"/>
  <c r="BN403" i="1"/>
  <c r="Z403" i="1"/>
  <c r="BP407" i="1"/>
  <c r="BN407" i="1"/>
  <c r="Z407" i="1"/>
  <c r="BP415" i="1"/>
  <c r="BN415" i="1"/>
  <c r="Z415" i="1"/>
  <c r="Y422" i="1"/>
  <c r="BP419" i="1"/>
  <c r="BN419" i="1"/>
  <c r="Z419" i="1"/>
  <c r="Z421" i="1" s="1"/>
  <c r="Y431" i="1"/>
  <c r="BP440" i="1"/>
  <c r="BN440" i="1"/>
  <c r="Z440" i="1"/>
  <c r="X539" i="1"/>
  <c r="Y453" i="1"/>
  <c r="BP446" i="1"/>
  <c r="BN446" i="1"/>
  <c r="Z446" i="1"/>
  <c r="Z452" i="1" s="1"/>
  <c r="BP450" i="1"/>
  <c r="BN450" i="1"/>
  <c r="Z450" i="1"/>
  <c r="Y457" i="1"/>
  <c r="V539" i="1"/>
  <c r="Y410" i="1"/>
  <c r="BP467" i="1"/>
  <c r="BN467" i="1"/>
  <c r="Z467" i="1"/>
  <c r="Z539" i="1"/>
  <c r="Y482" i="1"/>
  <c r="BP473" i="1"/>
  <c r="BN473" i="1"/>
  <c r="Z473" i="1"/>
  <c r="BP477" i="1"/>
  <c r="BN477" i="1"/>
  <c r="Z477" i="1"/>
  <c r="BP481" i="1"/>
  <c r="BN481" i="1"/>
  <c r="Z481" i="1"/>
  <c r="Y483" i="1"/>
  <c r="Y488" i="1"/>
  <c r="BP485" i="1"/>
  <c r="BN485" i="1"/>
  <c r="Z485" i="1"/>
  <c r="Z488" i="1" s="1"/>
  <c r="BP493" i="1"/>
  <c r="BN493" i="1"/>
  <c r="Z493" i="1"/>
  <c r="BP497" i="1"/>
  <c r="BN497" i="1"/>
  <c r="Z497" i="1"/>
  <c r="Y504" i="1"/>
  <c r="BP503" i="1"/>
  <c r="BN503" i="1"/>
  <c r="Z503" i="1"/>
  <c r="Z504" i="1" s="1"/>
  <c r="Y505" i="1"/>
  <c r="Y508" i="1"/>
  <c r="BP507" i="1"/>
  <c r="BN507" i="1"/>
  <c r="Z507" i="1"/>
  <c r="Z508" i="1" s="1"/>
  <c r="Y509" i="1"/>
  <c r="Y514" i="1"/>
  <c r="BP511" i="1"/>
  <c r="BN511" i="1"/>
  <c r="Z511" i="1"/>
  <c r="Z513" i="1" s="1"/>
  <c r="Y522" i="1"/>
  <c r="Y532" i="1" l="1"/>
  <c r="Z482" i="1"/>
  <c r="Z498" i="1"/>
  <c r="Z441" i="1"/>
  <c r="Z416" i="1"/>
  <c r="Z397" i="1"/>
  <c r="Z384" i="1"/>
  <c r="Z364" i="1"/>
  <c r="Z354" i="1"/>
  <c r="Z178" i="1"/>
  <c r="Z154" i="1"/>
  <c r="X532" i="1"/>
  <c r="Z410" i="1"/>
  <c r="Z468" i="1"/>
  <c r="Z278" i="1"/>
  <c r="Z224" i="1"/>
  <c r="Z109" i="1"/>
  <c r="Z33" i="1"/>
  <c r="Z534" i="1" s="1"/>
  <c r="Y533" i="1"/>
</calcChain>
</file>

<file path=xl/sharedStrings.xml><?xml version="1.0" encoding="utf-8"?>
<sst xmlns="http://schemas.openxmlformats.org/spreadsheetml/2006/main" count="2377" uniqueCount="863">
  <si>
    <t xml:space="preserve">  БЛАНК ЗАКАЗА </t>
  </si>
  <si>
    <t>КИ</t>
  </si>
  <si>
    <t>на отгрузку продукции с ООО Трейд-Сервис с</t>
  </si>
  <si>
    <t>06.07.2026</t>
  </si>
  <si>
    <t>бланк создан</t>
  </si>
  <si>
    <t>01.07.2026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</si>
  <si>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</si>
  <si>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</si>
  <si>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</si>
  <si>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</si>
  <si>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</si>
  <si>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</si>
  <si>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</si>
  <si>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</si>
  <si>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</si>
  <si>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</si>
  <si>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</si>
  <si>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</si>
  <si>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</si>
  <si>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</si>
  <si>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</si>
  <si>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</si>
  <si>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</si>
  <si>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</si>
  <si>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</si>
  <si>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</si>
  <si>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</si>
  <si>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</si>
  <si>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</si>
  <si>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</si>
  <si>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</si>
  <si>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</si>
  <si>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</si>
  <si>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</si>
  <si>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</si>
  <si>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</si>
  <si>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</si>
  <si>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</si>
  <si>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</si>
  <si>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</si>
  <si>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</si>
  <si>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</si>
  <si>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</si>
  <si>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</si>
  <si>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</si>
  <si>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</si>
  <si>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</si>
  <si>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</si>
  <si>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</si>
  <si>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</si>
  <si>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</si>
  <si>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</si>
  <si>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</si>
  <si>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</si>
  <si>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</si>
  <si>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</si>
  <si>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</si>
  <si>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</si>
  <si>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</si>
  <si>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</si>
  <si>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</si>
  <si>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</si>
  <si>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</si>
  <si>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</si>
  <si>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</si>
  <si>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</si>
  <si>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</si>
  <si>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</si>
  <si>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</si>
  <si>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</si>
  <si>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</si>
  <si>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</si>
  <si>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</si>
  <si>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</si>
  <si>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</si>
  <si>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</si>
  <si>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</si>
  <si>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</si>
  <si>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</si>
  <si>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</si>
  <si>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</si>
  <si>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</si>
  <si>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</si>
  <si>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</si>
  <si>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</si>
  <si>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</si>
  <si>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</si>
  <si>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</si>
  <si>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</si>
  <si>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</si>
  <si>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</si>
  <si>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</si>
  <si>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</si>
  <si>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</si>
  <si>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</si>
  <si>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</si>
  <si>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</si>
  <si>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</si>
  <si>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</si>
  <si>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</si>
  <si>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</si>
  <si>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</si>
  <si>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</si>
  <si>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</si>
  <si>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</si>
  <si>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</si>
  <si>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</si>
  <si>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</si>
  <si>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</si>
  <si>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</si>
  <si>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</si>
  <si>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</si>
  <si>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</si>
  <si>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</si>
  <si>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</si>
  <si>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</si>
  <si>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</si>
  <si>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</si>
  <si>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</si>
  <si>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</si>
  <si>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</si>
  <si>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</si>
  <si>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</si>
  <si>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</si>
  <si>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</si>
  <si>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</si>
  <si>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</si>
  <si>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</si>
  <si>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</si>
  <si>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</si>
  <si>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</si>
  <si>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</si>
  <si>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</si>
  <si>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</si>
  <si>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</si>
  <si>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</si>
  <si>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</si>
  <si>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</si>
  <si>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</si>
  <si>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</si>
  <si>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</si>
  <si>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</si>
  <si>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</si>
  <si>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</si>
  <si>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</si>
  <si>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</si>
  <si>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</si>
  <si>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</si>
  <si>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</si>
  <si>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</si>
  <si>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</si>
  <si>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</si>
  <si>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</si>
  <si>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</si>
  <si>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</si>
  <si>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</si>
  <si>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</si>
  <si>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</si>
  <si>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</si>
  <si>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</si>
  <si>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</si>
  <si>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</si>
  <si>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</si>
  <si>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</si>
  <si>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</si>
  <si>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</si>
  <si>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</si>
  <si>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</si>
  <si>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</si>
  <si>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</si>
  <si>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</si>
  <si>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</si>
  <si>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</si>
  <si>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</si>
  <si>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</si>
  <si>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</si>
  <si>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</si>
  <si>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</si>
  <si>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</si>
  <si>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</si>
  <si>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</si>
  <si>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</si>
  <si>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</si>
  <si>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</si>
  <si>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</si>
  <si>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</si>
  <si>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</si>
  <si>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</si>
  <si>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</si>
  <si>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</si>
  <si>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</si>
  <si>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</si>
  <si>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</si>
  <si>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</si>
  <si>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</si>
  <si>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</si>
  <si>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</si>
  <si>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</si>
  <si>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</si>
  <si>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</si>
  <si>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</si>
  <si>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</si>
  <si>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</si>
  <si>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</si>
  <si>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</si>
  <si>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</si>
  <si>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</si>
  <si>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</si>
  <si>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</si>
  <si>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</si>
  <si>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</si>
  <si>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</si>
  <si>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</si>
  <si>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</si>
  <si>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</si>
  <si>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</si>
  <si>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</si>
  <si>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</si>
  <si>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</si>
  <si>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</si>
  <si>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</si>
  <si>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</si>
  <si>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</si>
  <si>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</si>
  <si>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</si>
  <si>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</si>
  <si>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</si>
  <si>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</si>
  <si>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</si>
  <si>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</si>
  <si>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</si>
  <si>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</si>
  <si>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</si>
  <si>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</si>
  <si>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</si>
  <si>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</si>
  <si>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</si>
  <si>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</si>
  <si>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</si>
  <si>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</si>
  <si>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</si>
  <si>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</si>
  <si>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</si>
  <si>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</si>
  <si>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</si>
  <si>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</si>
  <si>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</si>
  <si>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</si>
  <si>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</si>
  <si>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</si>
  <si>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</si>
  <si>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</si>
  <si>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</si>
  <si>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</si>
  <si>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</si>
  <si>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</si>
  <si>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</si>
  <si>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</si>
  <si>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</si>
  <si>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</si>
  <si>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</si>
  <si>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</si>
  <si>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</si>
  <si>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</si>
  <si>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</si>
  <si>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</si>
  <si>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</si>
  <si>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</si>
  <si>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</si>
  <si>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</si>
  <si>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</si>
  <si>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</si>
  <si>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</si>
  <si>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</si>
  <si>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</si>
  <si>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</si>
  <si>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</si>
  <si>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</si>
  <si>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</si>
  <si>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</si>
  <si>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</si>
  <si>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</si>
  <si>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</si>
  <si>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</si>
  <si>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</si>
  <si>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</si>
  <si>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</si>
  <si>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</si>
  <si>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</si>
  <si>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</si>
  <si>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</si>
  <si>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</si>
  <si>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</si>
  <si>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</si>
  <si>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</si>
  <si>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</si>
  <si>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</si>
  <si>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</si>
  <si>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</si>
  <si>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</si>
  <si>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</si>
  <si>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</si>
  <si>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</si>
  <si>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</si>
  <si>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</si>
  <si>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</si>
  <si>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</si>
  <si>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</si>
  <si>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</si>
  <si>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</si>
  <si>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</si>
  <si>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</si>
  <si>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</si>
  <si>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</si>
  <si>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</si>
  <si>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</si>
  <si>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</si>
  <si>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</si>
  <si>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</si>
  <si>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</si>
  <si>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</si>
  <si>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</si>
  <si>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</si>
  <si>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</si>
  <si>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</si>
  <si>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</si>
  <si>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</si>
  <si>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</si>
  <si>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</si>
  <si>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</si>
  <si>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</si>
  <si>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</si>
  <si>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</si>
  <si>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</si>
  <si>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</si>
  <si>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</si>
  <si>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</si>
  <si>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</si>
  <si>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</si>
  <si>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</si>
  <si>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</si>
  <si>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</si>
  <si>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</si>
  <si>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</si>
  <si>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</si>
  <si>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</si>
  <si>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</si>
  <si>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</si>
  <si>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</si>
  <si>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</si>
  <si>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</si>
  <si>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</si>
  <si>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</si>
  <si>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</si>
  <si>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</si>
  <si>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</si>
  <si>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</si>
  <si>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</si>
  <si>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</si>
  <si>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</si>
  <si>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</si>
  <si>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</si>
  <si>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</si>
  <si>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</si>
  <si>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</si>
  <si>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</si>
  <si>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</si>
  <si>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</si>
  <si>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</si>
  <si>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</si>
  <si>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</si>
  <si>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</si>
  <si>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</si>
  <si>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</si>
  <si>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</si>
  <si>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</si>
  <si>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</si>
  <si>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</si>
  <si>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</si>
  <si>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</si>
  <si>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</si>
  <si>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</si>
  <si>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Новинка</t>
  </si>
  <si>
    <t>ЕАЭС N RU Д-RU.РА06.В.81432/23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</si>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</sst>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6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1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4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2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95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3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1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5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9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5" customWidth="1"/>
    <col min="19" max="19" width="6.140625" style="59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5" customWidth="1"/>
    <col min="25" max="25" width="11" style="595" customWidth="1"/>
    <col min="26" max="26" width="10" style="595" customWidth="1"/>
    <col min="27" max="27" width="11.5703125" style="595" customWidth="1"/>
    <col min="28" max="28" width="10.42578125" style="595" customWidth="1"/>
    <col min="29" max="29" width="30" style="59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5" customWidth="1"/>
    <col min="34" max="34" width="9.140625" style="595" customWidth="1"/>
    <col min="35" max="16384" width="9.140625" style="595"/>
  </cols>
  <sheetData>
    <row r="1" spans="1:32" s="591" customFormat="1" ht="45" customHeight="1" x14ac:dyDescent="0.2">
      <c r="A1" s="41"/>
      <c r="B1" s="41"/>
      <c r="C1" s="41"/>
      <c r="D1" s="869" t="s">
        <v>0</v>
      </c>
      <c r="E1" s="641"/>
      <c r="F1" s="641"/>
      <c r="G1" s="12" t="s">
        <v>1</v>
      </c>
      <c r="H1" s="869" t="s">
        <v>2</v>
      </c>
      <c r="I1" s="641"/>
      <c r="J1" s="641"/>
      <c r="K1" s="641"/>
      <c r="L1" s="641"/>
      <c r="M1" s="641"/>
      <c r="N1" s="641"/>
      <c r="O1" s="641"/>
      <c r="P1" s="641"/>
      <c r="Q1" s="641"/>
      <c r="R1" s="925" t="s">
        <v>3</v>
      </c>
      <c r="S1" s="641"/>
      <c r="T1" s="64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8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9"/>
      <c r="R2" s="609"/>
      <c r="S2" s="609"/>
      <c r="T2" s="609"/>
      <c r="U2" s="609"/>
      <c r="V2" s="609"/>
      <c r="W2" s="609"/>
      <c r="X2" s="16"/>
      <c r="Y2" s="16"/>
      <c r="Z2" s="16"/>
      <c r="AA2" s="16"/>
      <c r="AB2" s="51"/>
      <c r="AC2" s="51"/>
      <c r="AD2" s="51"/>
      <c r="AE2" s="51"/>
    </row>
    <row r="3" spans="1:32" s="59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09"/>
      <c r="Q3" s="609"/>
      <c r="R3" s="609"/>
      <c r="S3" s="609"/>
      <c r="T3" s="609"/>
      <c r="U3" s="609"/>
      <c r="V3" s="609"/>
      <c r="W3" s="609"/>
      <c r="X3" s="16"/>
      <c r="Y3" s="16"/>
      <c r="Z3" s="16"/>
      <c r="AA3" s="16"/>
      <c r="AB3" s="51"/>
      <c r="AC3" s="51"/>
      <c r="AD3" s="51"/>
      <c r="AE3" s="51"/>
    </row>
    <row r="4" spans="1:32" s="59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1" customFormat="1" ht="23.45" customHeight="1" x14ac:dyDescent="0.2">
      <c r="A5" s="836" t="s">
        <v>8</v>
      </c>
      <c r="B5" s="661"/>
      <c r="C5" s="630"/>
      <c r="D5" s="717"/>
      <c r="E5" s="719"/>
      <c r="F5" s="669" t="s">
        <v>9</v>
      </c>
      <c r="G5" s="630"/>
      <c r="H5" s="717"/>
      <c r="I5" s="718"/>
      <c r="J5" s="718"/>
      <c r="K5" s="718"/>
      <c r="L5" s="718"/>
      <c r="M5" s="719"/>
      <c r="N5" s="58"/>
      <c r="P5" s="24" t="s">
        <v>10</v>
      </c>
      <c r="Q5" s="690">
        <v>46209</v>
      </c>
      <c r="R5" s="691"/>
      <c r="T5" s="801" t="s">
        <v>11</v>
      </c>
      <c r="U5" s="793"/>
      <c r="V5" s="803" t="s">
        <v>12</v>
      </c>
      <c r="W5" s="691"/>
      <c r="AB5" s="51"/>
      <c r="AC5" s="51"/>
      <c r="AD5" s="51"/>
      <c r="AE5" s="51"/>
    </row>
    <row r="6" spans="1:32" s="591" customFormat="1" ht="24" customHeight="1" x14ac:dyDescent="0.2">
      <c r="A6" s="836" t="s">
        <v>13</v>
      </c>
      <c r="B6" s="661"/>
      <c r="C6" s="630"/>
      <c r="D6" s="721"/>
      <c r="E6" s="722"/>
      <c r="F6" s="722"/>
      <c r="G6" s="722"/>
      <c r="H6" s="722"/>
      <c r="I6" s="722"/>
      <c r="J6" s="722"/>
      <c r="K6" s="722"/>
      <c r="L6" s="722"/>
      <c r="M6" s="691"/>
      <c r="N6" s="59"/>
      <c r="P6" s="24" t="s">
        <v>14</v>
      </c>
      <c r="Q6" s="637" t="str">
        <f>IF(Q5=0," ",CHOOSE(WEEKDAY(Q5,2),"Понедельник","Вторник","Среда","Четверг","Пятница","Суббота","Воскресенье"))</f>
        <v>Понедельник</v>
      </c>
      <c r="R6" s="604"/>
      <c r="T6" s="792" t="s">
        <v>15</v>
      </c>
      <c r="U6" s="793"/>
      <c r="V6" s="730" t="s">
        <v>16</v>
      </c>
      <c r="W6" s="731"/>
      <c r="AB6" s="51"/>
      <c r="AC6" s="51"/>
      <c r="AD6" s="51"/>
      <c r="AE6" s="51"/>
    </row>
    <row r="7" spans="1:32" s="591" customFormat="1" ht="21.75" hidden="1" customHeight="1" x14ac:dyDescent="0.2">
      <c r="A7" s="55"/>
      <c r="B7" s="55"/>
      <c r="C7" s="55"/>
      <c r="D7" s="933">
        <f>IFERROR(VLOOKUP(DeliveryAddress,Table,3,0),1)</f>
        <v>1</v>
      </c>
      <c r="E7" s="934"/>
      <c r="F7" s="934"/>
      <c r="G7" s="934"/>
      <c r="H7" s="934"/>
      <c r="I7" s="934"/>
      <c r="J7" s="934"/>
      <c r="K7" s="934"/>
      <c r="L7" s="934"/>
      <c r="M7" s="808"/>
      <c r="N7" s="60"/>
      <c r="P7" s="24"/>
      <c r="Q7" s="42"/>
      <c r="R7" s="42"/>
      <c r="T7" s="609"/>
      <c r="U7" s="793"/>
      <c r="V7" s="732"/>
      <c r="W7" s="733"/>
      <c r="AB7" s="51"/>
      <c r="AC7" s="51"/>
      <c r="AD7" s="51"/>
      <c r="AE7" s="51"/>
    </row>
    <row r="8" spans="1:32" s="591" customFormat="1" ht="25.5" customHeight="1" x14ac:dyDescent="0.2">
      <c r="A8" s="631" t="s">
        <v>17</v>
      </c>
      <c r="B8" s="614"/>
      <c r="C8" s="615"/>
      <c r="D8" s="935"/>
      <c r="E8" s="936"/>
      <c r="F8" s="936"/>
      <c r="G8" s="936"/>
      <c r="H8" s="936"/>
      <c r="I8" s="936"/>
      <c r="J8" s="936"/>
      <c r="K8" s="936"/>
      <c r="L8" s="936"/>
      <c r="M8" s="937"/>
      <c r="N8" s="61"/>
      <c r="P8" s="24" t="s">
        <v>18</v>
      </c>
      <c r="Q8" s="807">
        <v>0.41666666666666669</v>
      </c>
      <c r="R8" s="808"/>
      <c r="T8" s="609"/>
      <c r="U8" s="793"/>
      <c r="V8" s="732"/>
      <c r="W8" s="733"/>
      <c r="AB8" s="51"/>
      <c r="AC8" s="51"/>
      <c r="AD8" s="51"/>
      <c r="AE8" s="51"/>
    </row>
    <row r="9" spans="1:32" s="591" customFormat="1" ht="39.950000000000003" customHeight="1" x14ac:dyDescent="0.2">
      <c r="A9" s="61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9"/>
      <c r="C9" s="609"/>
      <c r="D9" s="675"/>
      <c r="E9" s="676"/>
      <c r="F9" s="61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9"/>
      <c r="H9" s="799" t="str">
        <f>IF(AND($A$9="Тип доверенности/получателя при получении в адресе перегруза:",$D$9="Разовая доверенность"),"Введите ФИО","")</f>
        <v/>
      </c>
      <c r="I9" s="676"/>
      <c r="J9" s="79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6"/>
      <c r="L9" s="676"/>
      <c r="M9" s="676"/>
      <c r="N9" s="589"/>
      <c r="P9" s="26" t="s">
        <v>19</v>
      </c>
      <c r="Q9" s="877"/>
      <c r="R9" s="672"/>
      <c r="T9" s="609"/>
      <c r="U9" s="793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91" customFormat="1" ht="26.45" customHeight="1" x14ac:dyDescent="0.2">
      <c r="A10" s="61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9"/>
      <c r="C10" s="609"/>
      <c r="D10" s="675"/>
      <c r="E10" s="676"/>
      <c r="F10" s="61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9"/>
      <c r="H10" s="742" t="str">
        <f>IFERROR(VLOOKUP($D$10,Proxy,2,FALSE),"")</f>
        <v/>
      </c>
      <c r="I10" s="609"/>
      <c r="J10" s="609"/>
      <c r="K10" s="609"/>
      <c r="L10" s="609"/>
      <c r="M10" s="609"/>
      <c r="N10" s="590"/>
      <c r="P10" s="26" t="s">
        <v>20</v>
      </c>
      <c r="Q10" s="794"/>
      <c r="R10" s="795"/>
      <c r="U10" s="24" t="s">
        <v>21</v>
      </c>
      <c r="V10" s="915" t="s">
        <v>22</v>
      </c>
      <c r="W10" s="731"/>
      <c r="X10" s="44"/>
      <c r="Y10" s="44"/>
      <c r="Z10" s="44"/>
      <c r="AA10" s="44"/>
      <c r="AB10" s="51"/>
      <c r="AC10" s="51"/>
      <c r="AD10" s="51"/>
      <c r="AE10" s="51"/>
    </row>
    <row r="11" spans="1:32" s="59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41"/>
      <c r="R11" s="691"/>
      <c r="U11" s="24" t="s">
        <v>25</v>
      </c>
      <c r="V11" s="671" t="s">
        <v>26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91" customFormat="1" ht="18.600000000000001" customHeight="1" x14ac:dyDescent="0.2">
      <c r="A12" s="773" t="s">
        <v>27</v>
      </c>
      <c r="B12" s="661"/>
      <c r="C12" s="661"/>
      <c r="D12" s="661"/>
      <c r="E12" s="661"/>
      <c r="F12" s="661"/>
      <c r="G12" s="661"/>
      <c r="H12" s="661"/>
      <c r="I12" s="661"/>
      <c r="J12" s="661"/>
      <c r="K12" s="661"/>
      <c r="L12" s="661"/>
      <c r="M12" s="630"/>
      <c r="N12" s="62"/>
      <c r="P12" s="24" t="s">
        <v>28</v>
      </c>
      <c r="Q12" s="807"/>
      <c r="R12" s="808"/>
      <c r="S12" s="23"/>
      <c r="U12" s="24"/>
      <c r="V12" s="641"/>
      <c r="W12" s="609"/>
      <c r="AB12" s="51"/>
      <c r="AC12" s="51"/>
      <c r="AD12" s="51"/>
      <c r="AE12" s="51"/>
    </row>
    <row r="13" spans="1:32" s="591" customFormat="1" ht="23.25" customHeight="1" x14ac:dyDescent="0.2">
      <c r="A13" s="773" t="s">
        <v>29</v>
      </c>
      <c r="B13" s="661"/>
      <c r="C13" s="661"/>
      <c r="D13" s="661"/>
      <c r="E13" s="661"/>
      <c r="F13" s="661"/>
      <c r="G13" s="661"/>
      <c r="H13" s="661"/>
      <c r="I13" s="661"/>
      <c r="J13" s="661"/>
      <c r="K13" s="661"/>
      <c r="L13" s="661"/>
      <c r="M13" s="630"/>
      <c r="N13" s="62"/>
      <c r="O13" s="26"/>
      <c r="P13" s="26" t="s">
        <v>30</v>
      </c>
      <c r="Q13" s="67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1" customFormat="1" ht="18.600000000000001" customHeight="1" x14ac:dyDescent="0.2">
      <c r="A14" s="773" t="s">
        <v>31</v>
      </c>
      <c r="B14" s="661"/>
      <c r="C14" s="661"/>
      <c r="D14" s="661"/>
      <c r="E14" s="661"/>
      <c r="F14" s="661"/>
      <c r="G14" s="661"/>
      <c r="H14" s="661"/>
      <c r="I14" s="661"/>
      <c r="J14" s="661"/>
      <c r="K14" s="661"/>
      <c r="L14" s="661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1" customFormat="1" ht="22.5" customHeight="1" x14ac:dyDescent="0.2">
      <c r="A15" s="775" t="s">
        <v>32</v>
      </c>
      <c r="B15" s="661"/>
      <c r="C15" s="661"/>
      <c r="D15" s="661"/>
      <c r="E15" s="661"/>
      <c r="F15" s="661"/>
      <c r="G15" s="661"/>
      <c r="H15" s="661"/>
      <c r="I15" s="661"/>
      <c r="J15" s="661"/>
      <c r="K15" s="661"/>
      <c r="L15" s="661"/>
      <c r="M15" s="630"/>
      <c r="N15" s="63"/>
      <c r="P15" s="820" t="s">
        <v>33</v>
      </c>
      <c r="Q15" s="641"/>
      <c r="R15" s="641"/>
      <c r="S15" s="641"/>
      <c r="T15" s="64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1"/>
      <c r="Q16" s="821"/>
      <c r="R16" s="821"/>
      <c r="S16" s="821"/>
      <c r="T16" s="82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20" t="s">
        <v>34</v>
      </c>
      <c r="B17" s="620" t="s">
        <v>35</v>
      </c>
      <c r="C17" s="839" t="s">
        <v>36</v>
      </c>
      <c r="D17" s="620" t="s">
        <v>37</v>
      </c>
      <c r="E17" s="621"/>
      <c r="F17" s="620" t="s">
        <v>38</v>
      </c>
      <c r="G17" s="620" t="s">
        <v>39</v>
      </c>
      <c r="H17" s="620" t="s">
        <v>40</v>
      </c>
      <c r="I17" s="620" t="s">
        <v>41</v>
      </c>
      <c r="J17" s="620" t="s">
        <v>42</v>
      </c>
      <c r="K17" s="620" t="s">
        <v>43</v>
      </c>
      <c r="L17" s="620" t="s">
        <v>44</v>
      </c>
      <c r="M17" s="620" t="s">
        <v>45</v>
      </c>
      <c r="N17" s="620" t="s">
        <v>46</v>
      </c>
      <c r="O17" s="620" t="s">
        <v>47</v>
      </c>
      <c r="P17" s="620" t="s">
        <v>48</v>
      </c>
      <c r="Q17" s="859"/>
      <c r="R17" s="859"/>
      <c r="S17" s="859"/>
      <c r="T17" s="621"/>
      <c r="U17" s="629" t="s">
        <v>49</v>
      </c>
      <c r="V17" s="630"/>
      <c r="W17" s="620" t="s">
        <v>50</v>
      </c>
      <c r="X17" s="620" t="s">
        <v>51</v>
      </c>
      <c r="Y17" s="626" t="s">
        <v>52</v>
      </c>
      <c r="Z17" s="749" t="s">
        <v>53</v>
      </c>
      <c r="AA17" s="663" t="s">
        <v>54</v>
      </c>
      <c r="AB17" s="663" t="s">
        <v>55</v>
      </c>
      <c r="AC17" s="663" t="s">
        <v>56</v>
      </c>
      <c r="AD17" s="663" t="s">
        <v>57</v>
      </c>
      <c r="AE17" s="664"/>
      <c r="AF17" s="665"/>
      <c r="AG17" s="66"/>
      <c r="BD17" s="65" t="s">
        <v>58</v>
      </c>
    </row>
    <row r="18" spans="1:68" ht="14.25" customHeight="1" x14ac:dyDescent="0.2">
      <c r="A18" s="636"/>
      <c r="B18" s="636"/>
      <c r="C18" s="636"/>
      <c r="D18" s="622"/>
      <c r="E18" s="623"/>
      <c r="F18" s="636"/>
      <c r="G18" s="636"/>
      <c r="H18" s="636"/>
      <c r="I18" s="636"/>
      <c r="J18" s="636"/>
      <c r="K18" s="636"/>
      <c r="L18" s="636"/>
      <c r="M18" s="636"/>
      <c r="N18" s="636"/>
      <c r="O18" s="636"/>
      <c r="P18" s="622"/>
      <c r="Q18" s="860"/>
      <c r="R18" s="860"/>
      <c r="S18" s="860"/>
      <c r="T18" s="623"/>
      <c r="U18" s="67" t="s">
        <v>59</v>
      </c>
      <c r="V18" s="67" t="s">
        <v>60</v>
      </c>
      <c r="W18" s="636"/>
      <c r="X18" s="636"/>
      <c r="Y18" s="627"/>
      <c r="Z18" s="750"/>
      <c r="AA18" s="741"/>
      <c r="AB18" s="741"/>
      <c r="AC18" s="741"/>
      <c r="AD18" s="666"/>
      <c r="AE18" s="667"/>
      <c r="AF18" s="668"/>
      <c r="AG18" s="66"/>
      <c r="BD18" s="65"/>
    </row>
    <row r="19" spans="1:68" ht="27.75" customHeight="1" x14ac:dyDescent="0.2">
      <c r="A19" s="643" t="s">
        <v>61</v>
      </c>
      <c r="B19" s="644"/>
      <c r="C19" s="644"/>
      <c r="D19" s="644"/>
      <c r="E19" s="644"/>
      <c r="F19" s="644"/>
      <c r="G19" s="644"/>
      <c r="H19" s="644"/>
      <c r="I19" s="644"/>
      <c r="J19" s="644"/>
      <c r="K19" s="644"/>
      <c r="L19" s="644"/>
      <c r="M19" s="644"/>
      <c r="N19" s="644"/>
      <c r="O19" s="644"/>
      <c r="P19" s="644"/>
      <c r="Q19" s="644"/>
      <c r="R19" s="644"/>
      <c r="S19" s="644"/>
      <c r="T19" s="644"/>
      <c r="U19" s="644"/>
      <c r="V19" s="644"/>
      <c r="W19" s="644"/>
      <c r="X19" s="644"/>
      <c r="Y19" s="644"/>
      <c r="Z19" s="644"/>
      <c r="AA19" s="48"/>
      <c r="AB19" s="48"/>
      <c r="AC19" s="48"/>
    </row>
    <row r="20" spans="1:68" ht="16.5" customHeight="1" x14ac:dyDescent="0.25">
      <c r="A20" s="612" t="s">
        <v>61</v>
      </c>
      <c r="B20" s="609"/>
      <c r="C20" s="609"/>
      <c r="D20" s="609"/>
      <c r="E20" s="609"/>
      <c r="F20" s="609"/>
      <c r="G20" s="609"/>
      <c r="H20" s="609"/>
      <c r="I20" s="609"/>
      <c r="J20" s="609"/>
      <c r="K20" s="609"/>
      <c r="L20" s="609"/>
      <c r="M20" s="609"/>
      <c r="N20" s="609"/>
      <c r="O20" s="609"/>
      <c r="P20" s="609"/>
      <c r="Q20" s="609"/>
      <c r="R20" s="609"/>
      <c r="S20" s="609"/>
      <c r="T20" s="609"/>
      <c r="U20" s="609"/>
      <c r="V20" s="609"/>
      <c r="W20" s="609"/>
      <c r="X20" s="609"/>
      <c r="Y20" s="609"/>
      <c r="Z20" s="609"/>
      <c r="AA20" s="592"/>
      <c r="AB20" s="592"/>
      <c r="AC20" s="592"/>
    </row>
    <row r="21" spans="1:68" ht="14.25" customHeight="1" x14ac:dyDescent="0.25">
      <c r="A21" s="608" t="s">
        <v>62</v>
      </c>
      <c r="B21" s="609"/>
      <c r="C21" s="609"/>
      <c r="D21" s="609"/>
      <c r="E21" s="609"/>
      <c r="F21" s="609"/>
      <c r="G21" s="609"/>
      <c r="H21" s="609"/>
      <c r="I21" s="609"/>
      <c r="J21" s="609"/>
      <c r="K21" s="609"/>
      <c r="L21" s="609"/>
      <c r="M21" s="609"/>
      <c r="N21" s="609"/>
      <c r="O21" s="609"/>
      <c r="P21" s="609"/>
      <c r="Q21" s="609"/>
      <c r="R21" s="609"/>
      <c r="S21" s="609"/>
      <c r="T21" s="609"/>
      <c r="U21" s="609"/>
      <c r="V21" s="609"/>
      <c r="W21" s="609"/>
      <c r="X21" s="609"/>
      <c r="Y21" s="609"/>
      <c r="Z21" s="609"/>
      <c r="AA21" s="593"/>
      <c r="AB21" s="593"/>
      <c r="AC21" s="59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3">
        <v>4680115886643</v>
      </c>
      <c r="E22" s="604"/>
      <c r="F22" s="596">
        <v>0.19</v>
      </c>
      <c r="G22" s="32">
        <v>10</v>
      </c>
      <c r="H22" s="596">
        <v>1.9</v>
      </c>
      <c r="I22" s="59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3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6"/>
      <c r="R22" s="606"/>
      <c r="S22" s="606"/>
      <c r="T22" s="607"/>
      <c r="U22" s="34"/>
      <c r="V22" s="34"/>
      <c r="W22" s="35" t="s">
        <v>67</v>
      </c>
      <c r="X22" s="597">
        <v>0</v>
      </c>
      <c r="Y22" s="59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3">
        <v>4680115889071</v>
      </c>
      <c r="E23" s="604"/>
      <c r="F23" s="596">
        <v>0.3</v>
      </c>
      <c r="G23" s="32">
        <v>6</v>
      </c>
      <c r="H23" s="596">
        <v>1.8</v>
      </c>
      <c r="I23" s="59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6"/>
      <c r="R23" s="606"/>
      <c r="S23" s="606"/>
      <c r="T23" s="607"/>
      <c r="U23" s="34"/>
      <c r="V23" s="34"/>
      <c r="W23" s="35" t="s">
        <v>67</v>
      </c>
      <c r="X23" s="597">
        <v>0</v>
      </c>
      <c r="Y23" s="59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17"/>
      <c r="B24" s="609"/>
      <c r="C24" s="609"/>
      <c r="D24" s="609"/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18"/>
      <c r="P24" s="613" t="s">
        <v>72</v>
      </c>
      <c r="Q24" s="614"/>
      <c r="R24" s="614"/>
      <c r="S24" s="614"/>
      <c r="T24" s="614"/>
      <c r="U24" s="614"/>
      <c r="V24" s="615"/>
      <c r="W24" s="37" t="s">
        <v>73</v>
      </c>
      <c r="X24" s="599">
        <f>IFERROR(X22/H22,"0")+IFERROR(X23/H23,"0")</f>
        <v>0</v>
      </c>
      <c r="Y24" s="599">
        <f>IFERROR(Y22/H22,"0")+IFERROR(Y23/H23,"0")</f>
        <v>0</v>
      </c>
      <c r="Z24" s="599">
        <f>IFERROR(IF(Z22="",0,Z22),"0")+IFERROR(IF(Z23="",0,Z23),"0")</f>
        <v>0</v>
      </c>
      <c r="AA24" s="600"/>
      <c r="AB24" s="600"/>
      <c r="AC24" s="600"/>
    </row>
    <row r="25" spans="1:68" x14ac:dyDescent="0.2">
      <c r="A25" s="609"/>
      <c r="B25" s="609"/>
      <c r="C25" s="609"/>
      <c r="D25" s="609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18"/>
      <c r="P25" s="613" t="s">
        <v>72</v>
      </c>
      <c r="Q25" s="614"/>
      <c r="R25" s="614"/>
      <c r="S25" s="614"/>
      <c r="T25" s="614"/>
      <c r="U25" s="614"/>
      <c r="V25" s="615"/>
      <c r="W25" s="37" t="s">
        <v>67</v>
      </c>
      <c r="X25" s="599">
        <f>IFERROR(SUM(X22:X23),"0")</f>
        <v>0</v>
      </c>
      <c r="Y25" s="599">
        <f>IFERROR(SUM(Y22:Y23),"0")</f>
        <v>0</v>
      </c>
      <c r="Z25" s="37"/>
      <c r="AA25" s="600"/>
      <c r="AB25" s="600"/>
      <c r="AC25" s="600"/>
    </row>
    <row r="26" spans="1:68" ht="14.25" customHeight="1" x14ac:dyDescent="0.25">
      <c r="A26" s="608" t="s">
        <v>74</v>
      </c>
      <c r="B26" s="609"/>
      <c r="C26" s="609"/>
      <c r="D26" s="609"/>
      <c r="E26" s="609"/>
      <c r="F26" s="609"/>
      <c r="G26" s="609"/>
      <c r="H26" s="609"/>
      <c r="I26" s="609"/>
      <c r="J26" s="609"/>
      <c r="K26" s="609"/>
      <c r="L26" s="609"/>
      <c r="M26" s="609"/>
      <c r="N26" s="609"/>
      <c r="O26" s="609"/>
      <c r="P26" s="609"/>
      <c r="Q26" s="609"/>
      <c r="R26" s="609"/>
      <c r="S26" s="609"/>
      <c r="T26" s="609"/>
      <c r="U26" s="609"/>
      <c r="V26" s="609"/>
      <c r="W26" s="609"/>
      <c r="X26" s="609"/>
      <c r="Y26" s="609"/>
      <c r="Z26" s="609"/>
      <c r="AA26" s="593"/>
      <c r="AB26" s="593"/>
      <c r="AC26" s="59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3">
        <v>4680115885912</v>
      </c>
      <c r="E27" s="604"/>
      <c r="F27" s="596">
        <v>0.3</v>
      </c>
      <c r="G27" s="32">
        <v>6</v>
      </c>
      <c r="H27" s="596">
        <v>1.8</v>
      </c>
      <c r="I27" s="59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6"/>
      <c r="R27" s="606"/>
      <c r="S27" s="606"/>
      <c r="T27" s="607"/>
      <c r="U27" s="34"/>
      <c r="V27" s="34"/>
      <c r="W27" s="35" t="s">
        <v>67</v>
      </c>
      <c r="X27" s="597">
        <v>0</v>
      </c>
      <c r="Y27" s="598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3">
        <v>4607091388237</v>
      </c>
      <c r="E28" s="604"/>
      <c r="F28" s="596">
        <v>0.42</v>
      </c>
      <c r="G28" s="32">
        <v>6</v>
      </c>
      <c r="H28" s="596">
        <v>2.52</v>
      </c>
      <c r="I28" s="59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6"/>
      <c r="R28" s="606"/>
      <c r="S28" s="606"/>
      <c r="T28" s="607"/>
      <c r="U28" s="34"/>
      <c r="V28" s="34"/>
      <c r="W28" s="35" t="s">
        <v>67</v>
      </c>
      <c r="X28" s="597">
        <v>0</v>
      </c>
      <c r="Y28" s="598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3">
        <v>4680115887350</v>
      </c>
      <c r="E29" s="604"/>
      <c r="F29" s="596">
        <v>0.3</v>
      </c>
      <c r="G29" s="32">
        <v>6</v>
      </c>
      <c r="H29" s="596">
        <v>1.8</v>
      </c>
      <c r="I29" s="59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6"/>
      <c r="R29" s="606"/>
      <c r="S29" s="606"/>
      <c r="T29" s="607"/>
      <c r="U29" s="34"/>
      <c r="V29" s="34"/>
      <c r="W29" s="35" t="s">
        <v>67</v>
      </c>
      <c r="X29" s="597">
        <v>0</v>
      </c>
      <c r="Y29" s="598">
        <f t="shared" si="0"/>
        <v>0</v>
      </c>
      <c r="Z29" s="36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3">
        <v>4680115885905</v>
      </c>
      <c r="E30" s="604"/>
      <c r="F30" s="596">
        <v>0.3</v>
      </c>
      <c r="G30" s="32">
        <v>6</v>
      </c>
      <c r="H30" s="596">
        <v>1.8</v>
      </c>
      <c r="I30" s="59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9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6"/>
      <c r="R30" s="606"/>
      <c r="S30" s="606"/>
      <c r="T30" s="607"/>
      <c r="U30" s="34"/>
      <c r="V30" s="34"/>
      <c r="W30" s="35" t="s">
        <v>67</v>
      </c>
      <c r="X30" s="597">
        <v>0</v>
      </c>
      <c r="Y30" s="598">
        <f t="shared" si="0"/>
        <v>0</v>
      </c>
      <c r="Z30" s="36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4301052078</v>
      </c>
      <c r="D31" s="603">
        <v>4680115887657</v>
      </c>
      <c r="E31" s="604"/>
      <c r="F31" s="596">
        <v>0.33</v>
      </c>
      <c r="G31" s="32">
        <v>6</v>
      </c>
      <c r="H31" s="596">
        <v>1.98</v>
      </c>
      <c r="I31" s="596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89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6"/>
      <c r="R31" s="606"/>
      <c r="S31" s="606"/>
      <c r="T31" s="607"/>
      <c r="U31" s="34"/>
      <c r="V31" s="34"/>
      <c r="W31" s="35" t="s">
        <v>67</v>
      </c>
      <c r="X31" s="597">
        <v>0</v>
      </c>
      <c r="Y31" s="598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4301052071</v>
      </c>
      <c r="D32" s="603">
        <v>4680115887619</v>
      </c>
      <c r="E32" s="604"/>
      <c r="F32" s="596">
        <v>0.33</v>
      </c>
      <c r="G32" s="32">
        <v>6</v>
      </c>
      <c r="H32" s="596">
        <v>1.98</v>
      </c>
      <c r="I32" s="596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8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6"/>
      <c r="R32" s="606"/>
      <c r="S32" s="606"/>
      <c r="T32" s="607"/>
      <c r="U32" s="34"/>
      <c r="V32" s="34"/>
      <c r="W32" s="35" t="s">
        <v>67</v>
      </c>
      <c r="X32" s="597">
        <v>0</v>
      </c>
      <c r="Y32" s="598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x14ac:dyDescent="0.2">
      <c r="A33" s="617"/>
      <c r="B33" s="609"/>
      <c r="C33" s="609"/>
      <c r="D33" s="609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618"/>
      <c r="P33" s="613" t="s">
        <v>72</v>
      </c>
      <c r="Q33" s="614"/>
      <c r="R33" s="614"/>
      <c r="S33" s="614"/>
      <c r="T33" s="614"/>
      <c r="U33" s="614"/>
      <c r="V33" s="615"/>
      <c r="W33" s="37" t="s">
        <v>73</v>
      </c>
      <c r="X33" s="599">
        <f>IFERROR(X27/H27,"0")+IFERROR(X28/H28,"0")+IFERROR(X29/H29,"0")+IFERROR(X30/H30,"0")+IFERROR(X31/H31,"0")+IFERROR(X32/H32,"0")</f>
        <v>0</v>
      </c>
      <c r="Y33" s="599">
        <f>IFERROR(Y27/H27,"0")+IFERROR(Y28/H28,"0")+IFERROR(Y29/H29,"0")+IFERROR(Y30/H30,"0")+IFERROR(Y31/H31,"0")+IFERROR(Y32/H32,"0")</f>
        <v>0</v>
      </c>
      <c r="Z33" s="599">
        <f>IFERROR(IF(Z27="",0,Z27),"0")+IFERROR(IF(Z28="",0,Z28),"0")+IFERROR(IF(Z29="",0,Z29),"0")+IFERROR(IF(Z30="",0,Z30),"0")+IFERROR(IF(Z31="",0,Z31),"0")+IFERROR(IF(Z32="",0,Z32),"0")</f>
        <v>0</v>
      </c>
      <c r="AA33" s="600"/>
      <c r="AB33" s="600"/>
      <c r="AC33" s="600"/>
    </row>
    <row r="34" spans="1:68" x14ac:dyDescent="0.2">
      <c r="A34" s="609"/>
      <c r="B34" s="609"/>
      <c r="C34" s="609"/>
      <c r="D34" s="609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618"/>
      <c r="P34" s="613" t="s">
        <v>72</v>
      </c>
      <c r="Q34" s="614"/>
      <c r="R34" s="614"/>
      <c r="S34" s="614"/>
      <c r="T34" s="614"/>
      <c r="U34" s="614"/>
      <c r="V34" s="615"/>
      <c r="W34" s="37" t="s">
        <v>67</v>
      </c>
      <c r="X34" s="599">
        <f>IFERROR(SUM(X27:X32),"0")</f>
        <v>0</v>
      </c>
      <c r="Y34" s="599">
        <f>IFERROR(SUM(Y27:Y32),"0")</f>
        <v>0</v>
      </c>
      <c r="Z34" s="37"/>
      <c r="AA34" s="600"/>
      <c r="AB34" s="600"/>
      <c r="AC34" s="600"/>
    </row>
    <row r="35" spans="1:68" ht="14.25" customHeight="1" x14ac:dyDescent="0.25">
      <c r="A35" s="608" t="s">
        <v>95</v>
      </c>
      <c r="B35" s="609"/>
      <c r="C35" s="609"/>
      <c r="D35" s="609"/>
      <c r="E35" s="609"/>
      <c r="F35" s="609"/>
      <c r="G35" s="609"/>
      <c r="H35" s="609"/>
      <c r="I35" s="609"/>
      <c r="J35" s="609"/>
      <c r="K35" s="609"/>
      <c r="L35" s="609"/>
      <c r="M35" s="609"/>
      <c r="N35" s="609"/>
      <c r="O35" s="609"/>
      <c r="P35" s="609"/>
      <c r="Q35" s="609"/>
      <c r="R35" s="609"/>
      <c r="S35" s="609"/>
      <c r="T35" s="609"/>
      <c r="U35" s="609"/>
      <c r="V35" s="609"/>
      <c r="W35" s="609"/>
      <c r="X35" s="609"/>
      <c r="Y35" s="609"/>
      <c r="Z35" s="609"/>
      <c r="AA35" s="593"/>
      <c r="AB35" s="593"/>
      <c r="AC35" s="593"/>
    </row>
    <row r="36" spans="1:68" ht="27" customHeight="1" x14ac:dyDescent="0.25">
      <c r="A36" s="54" t="s">
        <v>96</v>
      </c>
      <c r="B36" s="54" t="s">
        <v>97</v>
      </c>
      <c r="C36" s="31">
        <v>4301032013</v>
      </c>
      <c r="D36" s="603">
        <v>4607091388503</v>
      </c>
      <c r="E36" s="604"/>
      <c r="F36" s="596">
        <v>0.05</v>
      </c>
      <c r="G36" s="32">
        <v>12</v>
      </c>
      <c r="H36" s="596">
        <v>0.6</v>
      </c>
      <c r="I36" s="596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7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6"/>
      <c r="R36" s="606"/>
      <c r="S36" s="606"/>
      <c r="T36" s="607"/>
      <c r="U36" s="34"/>
      <c r="V36" s="34"/>
      <c r="W36" s="35" t="s">
        <v>67</v>
      </c>
      <c r="X36" s="597">
        <v>0</v>
      </c>
      <c r="Y36" s="59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x14ac:dyDescent="0.2">
      <c r="A37" s="617"/>
      <c r="B37" s="609"/>
      <c r="C37" s="609"/>
      <c r="D37" s="609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18"/>
      <c r="P37" s="613" t="s">
        <v>72</v>
      </c>
      <c r="Q37" s="614"/>
      <c r="R37" s="614"/>
      <c r="S37" s="614"/>
      <c r="T37" s="614"/>
      <c r="U37" s="614"/>
      <c r="V37" s="615"/>
      <c r="W37" s="37" t="s">
        <v>73</v>
      </c>
      <c r="X37" s="599">
        <f>IFERROR(X36/H36,"0")</f>
        <v>0</v>
      </c>
      <c r="Y37" s="599">
        <f>IFERROR(Y36/H36,"0")</f>
        <v>0</v>
      </c>
      <c r="Z37" s="599">
        <f>IFERROR(IF(Z36="",0,Z36),"0")</f>
        <v>0</v>
      </c>
      <c r="AA37" s="600"/>
      <c r="AB37" s="600"/>
      <c r="AC37" s="600"/>
    </row>
    <row r="38" spans="1:68" x14ac:dyDescent="0.2">
      <c r="A38" s="609"/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18"/>
      <c r="P38" s="613" t="s">
        <v>72</v>
      </c>
      <c r="Q38" s="614"/>
      <c r="R38" s="614"/>
      <c r="S38" s="614"/>
      <c r="T38" s="614"/>
      <c r="U38" s="614"/>
      <c r="V38" s="615"/>
      <c r="W38" s="37" t="s">
        <v>67</v>
      </c>
      <c r="X38" s="599">
        <f>IFERROR(SUM(X36:X36),"0")</f>
        <v>0</v>
      </c>
      <c r="Y38" s="599">
        <f>IFERROR(SUM(Y36:Y36),"0")</f>
        <v>0</v>
      </c>
      <c r="Z38" s="37"/>
      <c r="AA38" s="600"/>
      <c r="AB38" s="600"/>
      <c r="AC38" s="600"/>
    </row>
    <row r="39" spans="1:68" ht="27.75" customHeight="1" x14ac:dyDescent="0.2">
      <c r="A39" s="643" t="s">
        <v>101</v>
      </c>
      <c r="B39" s="644"/>
      <c r="C39" s="644"/>
      <c r="D39" s="644"/>
      <c r="E39" s="644"/>
      <c r="F39" s="644"/>
      <c r="G39" s="644"/>
      <c r="H39" s="644"/>
      <c r="I39" s="644"/>
      <c r="J39" s="644"/>
      <c r="K39" s="644"/>
      <c r="L39" s="644"/>
      <c r="M39" s="644"/>
      <c r="N39" s="644"/>
      <c r="O39" s="644"/>
      <c r="P39" s="644"/>
      <c r="Q39" s="644"/>
      <c r="R39" s="644"/>
      <c r="S39" s="644"/>
      <c r="T39" s="644"/>
      <c r="U39" s="644"/>
      <c r="V39" s="644"/>
      <c r="W39" s="644"/>
      <c r="X39" s="644"/>
      <c r="Y39" s="644"/>
      <c r="Z39" s="644"/>
      <c r="AA39" s="48"/>
      <c r="AB39" s="48"/>
      <c r="AC39" s="48"/>
    </row>
    <row r="40" spans="1:68" ht="16.5" customHeight="1" x14ac:dyDescent="0.25">
      <c r="A40" s="612" t="s">
        <v>102</v>
      </c>
      <c r="B40" s="609"/>
      <c r="C40" s="609"/>
      <c r="D40" s="609"/>
      <c r="E40" s="609"/>
      <c r="F40" s="609"/>
      <c r="G40" s="609"/>
      <c r="H40" s="609"/>
      <c r="I40" s="609"/>
      <c r="J40" s="609"/>
      <c r="K40" s="609"/>
      <c r="L40" s="609"/>
      <c r="M40" s="609"/>
      <c r="N40" s="609"/>
      <c r="O40" s="609"/>
      <c r="P40" s="609"/>
      <c r="Q40" s="609"/>
      <c r="R40" s="609"/>
      <c r="S40" s="609"/>
      <c r="T40" s="609"/>
      <c r="U40" s="609"/>
      <c r="V40" s="609"/>
      <c r="W40" s="609"/>
      <c r="X40" s="609"/>
      <c r="Y40" s="609"/>
      <c r="Z40" s="609"/>
      <c r="AA40" s="592"/>
      <c r="AB40" s="592"/>
      <c r="AC40" s="592"/>
    </row>
    <row r="41" spans="1:68" ht="14.25" customHeight="1" x14ac:dyDescent="0.25">
      <c r="A41" s="608" t="s">
        <v>74</v>
      </c>
      <c r="B41" s="609"/>
      <c r="C41" s="609"/>
      <c r="D41" s="609"/>
      <c r="E41" s="609"/>
      <c r="F41" s="609"/>
      <c r="G41" s="609"/>
      <c r="H41" s="609"/>
      <c r="I41" s="609"/>
      <c r="J41" s="609"/>
      <c r="K41" s="609"/>
      <c r="L41" s="609"/>
      <c r="M41" s="609"/>
      <c r="N41" s="609"/>
      <c r="O41" s="609"/>
      <c r="P41" s="609"/>
      <c r="Q41" s="609"/>
      <c r="R41" s="609"/>
      <c r="S41" s="609"/>
      <c r="T41" s="609"/>
      <c r="U41" s="609"/>
      <c r="V41" s="609"/>
      <c r="W41" s="609"/>
      <c r="X41" s="609"/>
      <c r="Y41" s="609"/>
      <c r="Z41" s="609"/>
      <c r="AA41" s="593"/>
      <c r="AB41" s="593"/>
      <c r="AC41" s="593"/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03">
        <v>4680115888463</v>
      </c>
      <c r="E42" s="604"/>
      <c r="F42" s="596">
        <v>0.32</v>
      </c>
      <c r="G42" s="32">
        <v>6</v>
      </c>
      <c r="H42" s="596">
        <v>1.92</v>
      </c>
      <c r="I42" s="59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6"/>
      <c r="R42" s="606"/>
      <c r="S42" s="606"/>
      <c r="T42" s="607"/>
      <c r="U42" s="34"/>
      <c r="V42" s="34"/>
      <c r="W42" s="35" t="s">
        <v>67</v>
      </c>
      <c r="X42" s="597">
        <v>0</v>
      </c>
      <c r="Y42" s="59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03">
        <v>4680115888494</v>
      </c>
      <c r="E43" s="604"/>
      <c r="F43" s="596">
        <v>0.32</v>
      </c>
      <c r="G43" s="32">
        <v>6</v>
      </c>
      <c r="H43" s="596">
        <v>1.92</v>
      </c>
      <c r="I43" s="59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1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6"/>
      <c r="R43" s="606"/>
      <c r="S43" s="606"/>
      <c r="T43" s="607"/>
      <c r="U43" s="34"/>
      <c r="V43" s="34"/>
      <c r="W43" s="35" t="s">
        <v>67</v>
      </c>
      <c r="X43" s="597">
        <v>0</v>
      </c>
      <c r="Y43" s="59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03">
        <v>4680115888272</v>
      </c>
      <c r="E44" s="604"/>
      <c r="F44" s="596">
        <v>0.32</v>
      </c>
      <c r="G44" s="32">
        <v>6</v>
      </c>
      <c r="H44" s="596">
        <v>1.92</v>
      </c>
      <c r="I44" s="59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8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6"/>
      <c r="R44" s="606"/>
      <c r="S44" s="606"/>
      <c r="T44" s="607"/>
      <c r="U44" s="34"/>
      <c r="V44" s="34"/>
      <c r="W44" s="35" t="s">
        <v>67</v>
      </c>
      <c r="X44" s="597">
        <v>0</v>
      </c>
      <c r="Y44" s="59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03">
        <v>4680115888364</v>
      </c>
      <c r="E45" s="604"/>
      <c r="F45" s="596">
        <v>0.32</v>
      </c>
      <c r="G45" s="32">
        <v>6</v>
      </c>
      <c r="H45" s="596">
        <v>1.92</v>
      </c>
      <c r="I45" s="59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6"/>
      <c r="R45" s="606"/>
      <c r="S45" s="606"/>
      <c r="T45" s="607"/>
      <c r="U45" s="34"/>
      <c r="V45" s="34"/>
      <c r="W45" s="35" t="s">
        <v>67</v>
      </c>
      <c r="X45" s="597">
        <v>0</v>
      </c>
      <c r="Y45" s="59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17"/>
      <c r="B46" s="609"/>
      <c r="C46" s="609"/>
      <c r="D46" s="609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18"/>
      <c r="P46" s="613" t="s">
        <v>72</v>
      </c>
      <c r="Q46" s="614"/>
      <c r="R46" s="614"/>
      <c r="S46" s="614"/>
      <c r="T46" s="614"/>
      <c r="U46" s="614"/>
      <c r="V46" s="615"/>
      <c r="W46" s="37" t="s">
        <v>73</v>
      </c>
      <c r="X46" s="599">
        <f>IFERROR(X42/H42,"0")+IFERROR(X43/H43,"0")+IFERROR(X44/H44,"0")+IFERROR(X45/H45,"0")</f>
        <v>0</v>
      </c>
      <c r="Y46" s="599">
        <f>IFERROR(Y42/H42,"0")+IFERROR(Y43/H43,"0")+IFERROR(Y44/H44,"0")+IFERROR(Y45/H45,"0")</f>
        <v>0</v>
      </c>
      <c r="Z46" s="599">
        <f>IFERROR(IF(Z42="",0,Z42),"0")+IFERROR(IF(Z43="",0,Z43),"0")+IFERROR(IF(Z44="",0,Z44),"0")+IFERROR(IF(Z45="",0,Z45),"0")</f>
        <v>0</v>
      </c>
      <c r="AA46" s="600"/>
      <c r="AB46" s="600"/>
      <c r="AC46" s="600"/>
    </row>
    <row r="47" spans="1:68" x14ac:dyDescent="0.2">
      <c r="A47" s="609"/>
      <c r="B47" s="609"/>
      <c r="C47" s="609"/>
      <c r="D47" s="609"/>
      <c r="E47" s="609"/>
      <c r="F47" s="609"/>
      <c r="G47" s="609"/>
      <c r="H47" s="609"/>
      <c r="I47" s="609"/>
      <c r="J47" s="609"/>
      <c r="K47" s="609"/>
      <c r="L47" s="609"/>
      <c r="M47" s="609"/>
      <c r="N47" s="609"/>
      <c r="O47" s="618"/>
      <c r="P47" s="613" t="s">
        <v>72</v>
      </c>
      <c r="Q47" s="614"/>
      <c r="R47" s="614"/>
      <c r="S47" s="614"/>
      <c r="T47" s="614"/>
      <c r="U47" s="614"/>
      <c r="V47" s="615"/>
      <c r="W47" s="37" t="s">
        <v>67</v>
      </c>
      <c r="X47" s="599">
        <f>IFERROR(SUM(X42:X45),"0")</f>
        <v>0</v>
      </c>
      <c r="Y47" s="599">
        <f>IFERROR(SUM(Y42:Y45),"0")</f>
        <v>0</v>
      </c>
      <c r="Z47" s="37"/>
      <c r="AA47" s="600"/>
      <c r="AB47" s="600"/>
      <c r="AC47" s="600"/>
    </row>
    <row r="48" spans="1:68" ht="27.75" customHeight="1" x14ac:dyDescent="0.2">
      <c r="A48" s="643" t="s">
        <v>115</v>
      </c>
      <c r="B48" s="644"/>
      <c r="C48" s="644"/>
      <c r="D48" s="644"/>
      <c r="E48" s="644"/>
      <c r="F48" s="644"/>
      <c r="G48" s="644"/>
      <c r="H48" s="644"/>
      <c r="I48" s="644"/>
      <c r="J48" s="644"/>
      <c r="K48" s="644"/>
      <c r="L48" s="644"/>
      <c r="M48" s="644"/>
      <c r="N48" s="644"/>
      <c r="O48" s="644"/>
      <c r="P48" s="644"/>
      <c r="Q48" s="644"/>
      <c r="R48" s="644"/>
      <c r="S48" s="644"/>
      <c r="T48" s="644"/>
      <c r="U48" s="644"/>
      <c r="V48" s="644"/>
      <c r="W48" s="644"/>
      <c r="X48" s="644"/>
      <c r="Y48" s="644"/>
      <c r="Z48" s="644"/>
      <c r="AA48" s="48"/>
      <c r="AB48" s="48"/>
      <c r="AC48" s="48"/>
    </row>
    <row r="49" spans="1:68" ht="16.5" customHeight="1" x14ac:dyDescent="0.25">
      <c r="A49" s="612" t="s">
        <v>116</v>
      </c>
      <c r="B49" s="609"/>
      <c r="C49" s="609"/>
      <c r="D49" s="609"/>
      <c r="E49" s="609"/>
      <c r="F49" s="609"/>
      <c r="G49" s="609"/>
      <c r="H49" s="609"/>
      <c r="I49" s="609"/>
      <c r="J49" s="609"/>
      <c r="K49" s="609"/>
      <c r="L49" s="609"/>
      <c r="M49" s="609"/>
      <c r="N49" s="609"/>
      <c r="O49" s="609"/>
      <c r="P49" s="609"/>
      <c r="Q49" s="609"/>
      <c r="R49" s="609"/>
      <c r="S49" s="609"/>
      <c r="T49" s="609"/>
      <c r="U49" s="609"/>
      <c r="V49" s="609"/>
      <c r="W49" s="609"/>
      <c r="X49" s="609"/>
      <c r="Y49" s="609"/>
      <c r="Z49" s="609"/>
      <c r="AA49" s="592"/>
      <c r="AB49" s="592"/>
      <c r="AC49" s="592"/>
    </row>
    <row r="50" spans="1:68" ht="14.25" customHeight="1" x14ac:dyDescent="0.25">
      <c r="A50" s="608" t="s">
        <v>117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09"/>
      <c r="V50" s="609"/>
      <c r="W50" s="609"/>
      <c r="X50" s="609"/>
      <c r="Y50" s="609"/>
      <c r="Z50" s="609"/>
      <c r="AA50" s="593"/>
      <c r="AB50" s="593"/>
      <c r="AC50" s="59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03">
        <v>4607091385670</v>
      </c>
      <c r="E51" s="604"/>
      <c r="F51" s="596">
        <v>1.35</v>
      </c>
      <c r="G51" s="32">
        <v>8</v>
      </c>
      <c r="H51" s="596">
        <v>10.8</v>
      </c>
      <c r="I51" s="59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6"/>
      <c r="R51" s="606"/>
      <c r="S51" s="606"/>
      <c r="T51" s="607"/>
      <c r="U51" s="34"/>
      <c r="V51" s="34"/>
      <c r="W51" s="35" t="s">
        <v>67</v>
      </c>
      <c r="X51" s="597">
        <v>0</v>
      </c>
      <c r="Y51" s="59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03">
        <v>4680115887725</v>
      </c>
      <c r="E52" s="604"/>
      <c r="F52" s="596">
        <v>0.11</v>
      </c>
      <c r="G52" s="32">
        <v>10</v>
      </c>
      <c r="H52" s="596">
        <v>1.1000000000000001</v>
      </c>
      <c r="I52" s="59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87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6"/>
      <c r="R52" s="606"/>
      <c r="S52" s="606"/>
      <c r="T52" s="607"/>
      <c r="U52" s="34"/>
      <c r="V52" s="34"/>
      <c r="W52" s="35" t="s">
        <v>67</v>
      </c>
      <c r="X52" s="597">
        <v>0</v>
      </c>
      <c r="Y52" s="59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03">
        <v>4607091385687</v>
      </c>
      <c r="E53" s="604"/>
      <c r="F53" s="596">
        <v>0.4</v>
      </c>
      <c r="G53" s="32">
        <v>10</v>
      </c>
      <c r="H53" s="596">
        <v>4</v>
      </c>
      <c r="I53" s="59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88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6"/>
      <c r="R53" s="606"/>
      <c r="S53" s="606"/>
      <c r="T53" s="607"/>
      <c r="U53" s="34"/>
      <c r="V53" s="34"/>
      <c r="W53" s="35" t="s">
        <v>67</v>
      </c>
      <c r="X53" s="597">
        <v>0</v>
      </c>
      <c r="Y53" s="59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03">
        <v>4680115882539</v>
      </c>
      <c r="E54" s="604"/>
      <c r="F54" s="596">
        <v>0.37</v>
      </c>
      <c r="G54" s="32">
        <v>10</v>
      </c>
      <c r="H54" s="596">
        <v>3.7</v>
      </c>
      <c r="I54" s="59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6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6"/>
      <c r="R54" s="606"/>
      <c r="S54" s="606"/>
      <c r="T54" s="607"/>
      <c r="U54" s="34"/>
      <c r="V54" s="34"/>
      <c r="W54" s="35" t="s">
        <v>67</v>
      </c>
      <c r="X54" s="597">
        <v>0</v>
      </c>
      <c r="Y54" s="59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17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18"/>
      <c r="P55" s="613" t="s">
        <v>72</v>
      </c>
      <c r="Q55" s="614"/>
      <c r="R55" s="614"/>
      <c r="S55" s="614"/>
      <c r="T55" s="614"/>
      <c r="U55" s="614"/>
      <c r="V55" s="615"/>
      <c r="W55" s="37" t="s">
        <v>73</v>
      </c>
      <c r="X55" s="599">
        <f>IFERROR(X51/H51,"0")+IFERROR(X52/H52,"0")+IFERROR(X53/H53,"0")+IFERROR(X54/H54,"0")</f>
        <v>0</v>
      </c>
      <c r="Y55" s="599">
        <f>IFERROR(Y51/H51,"0")+IFERROR(Y52/H52,"0")+IFERROR(Y53/H53,"0")+IFERROR(Y54/H54,"0")</f>
        <v>0</v>
      </c>
      <c r="Z55" s="599">
        <f>IFERROR(IF(Z51="",0,Z51),"0")+IFERROR(IF(Z52="",0,Z52),"0")+IFERROR(IF(Z53="",0,Z53),"0")+IFERROR(IF(Z54="",0,Z54),"0")</f>
        <v>0</v>
      </c>
      <c r="AA55" s="600"/>
      <c r="AB55" s="600"/>
      <c r="AC55" s="600"/>
    </row>
    <row r="56" spans="1:68" x14ac:dyDescent="0.2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18"/>
      <c r="P56" s="613" t="s">
        <v>72</v>
      </c>
      <c r="Q56" s="614"/>
      <c r="R56" s="614"/>
      <c r="S56" s="614"/>
      <c r="T56" s="614"/>
      <c r="U56" s="614"/>
      <c r="V56" s="615"/>
      <c r="W56" s="37" t="s">
        <v>67</v>
      </c>
      <c r="X56" s="599">
        <f>IFERROR(SUM(X51:X54),"0")</f>
        <v>0</v>
      </c>
      <c r="Y56" s="599">
        <f>IFERROR(SUM(Y51:Y54),"0")</f>
        <v>0</v>
      </c>
      <c r="Z56" s="37"/>
      <c r="AA56" s="600"/>
      <c r="AB56" s="600"/>
      <c r="AC56" s="600"/>
    </row>
    <row r="57" spans="1:68" ht="16.5" customHeight="1" x14ac:dyDescent="0.25">
      <c r="A57" s="612" t="s">
        <v>132</v>
      </c>
      <c r="B57" s="609"/>
      <c r="C57" s="609"/>
      <c r="D57" s="609"/>
      <c r="E57" s="609"/>
      <c r="F57" s="609"/>
      <c r="G57" s="609"/>
      <c r="H57" s="609"/>
      <c r="I57" s="609"/>
      <c r="J57" s="609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609"/>
      <c r="W57" s="609"/>
      <c r="X57" s="609"/>
      <c r="Y57" s="609"/>
      <c r="Z57" s="609"/>
      <c r="AA57" s="592"/>
      <c r="AB57" s="592"/>
      <c r="AC57" s="592"/>
    </row>
    <row r="58" spans="1:68" ht="14.25" customHeight="1" x14ac:dyDescent="0.25">
      <c r="A58" s="608" t="s">
        <v>117</v>
      </c>
      <c r="B58" s="609"/>
      <c r="C58" s="609"/>
      <c r="D58" s="609"/>
      <c r="E58" s="609"/>
      <c r="F58" s="609"/>
      <c r="G58" s="609"/>
      <c r="H58" s="609"/>
      <c r="I58" s="609"/>
      <c r="J58" s="609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609"/>
      <c r="W58" s="609"/>
      <c r="X58" s="609"/>
      <c r="Y58" s="609"/>
      <c r="Z58" s="609"/>
      <c r="AA58" s="593"/>
      <c r="AB58" s="593"/>
      <c r="AC58" s="59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03">
        <v>4680115885882</v>
      </c>
      <c r="E59" s="604"/>
      <c r="F59" s="596">
        <v>1.4</v>
      </c>
      <c r="G59" s="32">
        <v>8</v>
      </c>
      <c r="H59" s="596">
        <v>11.2</v>
      </c>
      <c r="I59" s="59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7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6"/>
      <c r="R59" s="606"/>
      <c r="S59" s="606"/>
      <c r="T59" s="607"/>
      <c r="U59" s="34"/>
      <c r="V59" s="34"/>
      <c r="W59" s="35" t="s">
        <v>67</v>
      </c>
      <c r="X59" s="597">
        <v>0</v>
      </c>
      <c r="Y59" s="598">
        <f t="shared" ref="Y59:Y65" si="6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0</v>
      </c>
      <c r="BN59" s="64">
        <f t="shared" ref="BN59:BN65" si="8">IFERROR(Y59*I59/H59,"0")</f>
        <v>0</v>
      </c>
      <c r="BO59" s="64">
        <f t="shared" ref="BO59:BO65" si="9">IFERROR(1/J59*(X59/H59),"0")</f>
        <v>0</v>
      </c>
      <c r="BP59" s="64">
        <f t="shared" ref="BP59:BP65" si="10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03">
        <v>4680115885882</v>
      </c>
      <c r="E60" s="604"/>
      <c r="F60" s="596">
        <v>1.4</v>
      </c>
      <c r="G60" s="32">
        <v>8</v>
      </c>
      <c r="H60" s="596">
        <v>11.2</v>
      </c>
      <c r="I60" s="59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6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6"/>
      <c r="R60" s="606"/>
      <c r="S60" s="606"/>
      <c r="T60" s="607"/>
      <c r="U60" s="34"/>
      <c r="V60" s="34"/>
      <c r="W60" s="35" t="s">
        <v>67</v>
      </c>
      <c r="X60" s="597">
        <v>0</v>
      </c>
      <c r="Y60" s="598">
        <f t="shared" si="6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03">
        <v>4680115881426</v>
      </c>
      <c r="E61" s="604"/>
      <c r="F61" s="596">
        <v>1.35</v>
      </c>
      <c r="G61" s="32">
        <v>8</v>
      </c>
      <c r="H61" s="596">
        <v>10.8</v>
      </c>
      <c r="I61" s="59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6"/>
      <c r="R61" s="606"/>
      <c r="S61" s="606"/>
      <c r="T61" s="607"/>
      <c r="U61" s="34"/>
      <c r="V61" s="34"/>
      <c r="W61" s="35" t="s">
        <v>67</v>
      </c>
      <c r="X61" s="597">
        <v>0</v>
      </c>
      <c r="Y61" s="598">
        <f t="shared" si="6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03">
        <v>4680115880283</v>
      </c>
      <c r="E62" s="604"/>
      <c r="F62" s="596">
        <v>0.6</v>
      </c>
      <c r="G62" s="32">
        <v>8</v>
      </c>
      <c r="H62" s="596">
        <v>4.8</v>
      </c>
      <c r="I62" s="59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68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6"/>
      <c r="R62" s="606"/>
      <c r="S62" s="606"/>
      <c r="T62" s="607"/>
      <c r="U62" s="34"/>
      <c r="V62" s="34"/>
      <c r="W62" s="35" t="s">
        <v>67</v>
      </c>
      <c r="X62" s="597">
        <v>0</v>
      </c>
      <c r="Y62" s="598">
        <f t="shared" si="6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4301011806</v>
      </c>
      <c r="D63" s="603">
        <v>4680115881525</v>
      </c>
      <c r="E63" s="604"/>
      <c r="F63" s="596">
        <v>0.4</v>
      </c>
      <c r="G63" s="32">
        <v>10</v>
      </c>
      <c r="H63" s="596">
        <v>4</v>
      </c>
      <c r="I63" s="596">
        <v>4.1900000000000004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50</v>
      </c>
      <c r="P63" s="86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6"/>
      <c r="R63" s="606"/>
      <c r="S63" s="606"/>
      <c r="T63" s="607"/>
      <c r="U63" s="34"/>
      <c r="V63" s="34"/>
      <c r="W63" s="35" t="s">
        <v>67</v>
      </c>
      <c r="X63" s="597">
        <v>0</v>
      </c>
      <c r="Y63" s="598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4301012165</v>
      </c>
      <c r="D64" s="603">
        <v>4680115885899</v>
      </c>
      <c r="E64" s="604"/>
      <c r="F64" s="596">
        <v>0.35</v>
      </c>
      <c r="G64" s="32">
        <v>6</v>
      </c>
      <c r="H64" s="596">
        <v>2.1</v>
      </c>
      <c r="I64" s="596">
        <v>2.2799999999999998</v>
      </c>
      <c r="J64" s="32">
        <v>182</v>
      </c>
      <c r="K64" s="32" t="s">
        <v>77</v>
      </c>
      <c r="L64" s="32"/>
      <c r="M64" s="33" t="s">
        <v>121</v>
      </c>
      <c r="N64" s="33"/>
      <c r="O64" s="32">
        <v>50</v>
      </c>
      <c r="P64" s="67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6"/>
      <c r="R64" s="606"/>
      <c r="S64" s="606"/>
      <c r="T64" s="607"/>
      <c r="U64" s="34"/>
      <c r="V64" s="34"/>
      <c r="W64" s="35" t="s">
        <v>67</v>
      </c>
      <c r="X64" s="597">
        <v>0</v>
      </c>
      <c r="Y64" s="598">
        <f t="shared" si="6"/>
        <v>0</v>
      </c>
      <c r="Z64" s="36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customHeight="1" x14ac:dyDescent="0.25">
      <c r="A65" s="54" t="s">
        <v>149</v>
      </c>
      <c r="B65" s="54" t="s">
        <v>150</v>
      </c>
      <c r="C65" s="31">
        <v>4301011801</v>
      </c>
      <c r="D65" s="603">
        <v>4680115881419</v>
      </c>
      <c r="E65" s="604"/>
      <c r="F65" s="596">
        <v>0.45</v>
      </c>
      <c r="G65" s="32">
        <v>10</v>
      </c>
      <c r="H65" s="596">
        <v>4.5</v>
      </c>
      <c r="I65" s="596">
        <v>4.6900000000000004</v>
      </c>
      <c r="J65" s="32">
        <v>132</v>
      </c>
      <c r="K65" s="32" t="s">
        <v>129</v>
      </c>
      <c r="L65" s="32"/>
      <c r="M65" s="33" t="s">
        <v>121</v>
      </c>
      <c r="N65" s="33"/>
      <c r="O65" s="32">
        <v>50</v>
      </c>
      <c r="P65" s="6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6"/>
      <c r="R65" s="606"/>
      <c r="S65" s="606"/>
      <c r="T65" s="607"/>
      <c r="U65" s="34"/>
      <c r="V65" s="34"/>
      <c r="W65" s="35" t="s">
        <v>67</v>
      </c>
      <c r="X65" s="597">
        <v>22</v>
      </c>
      <c r="Y65" s="598">
        <f t="shared" si="6"/>
        <v>22.5</v>
      </c>
      <c r="Z65" s="36">
        <f>IFERROR(IF(Y65=0,"",ROUNDUP(Y65/H65,0)*0.00902),"")</f>
        <v>4.5100000000000001E-2</v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22.928888888888892</v>
      </c>
      <c r="BN65" s="64">
        <f t="shared" si="8"/>
        <v>23.450000000000003</v>
      </c>
      <c r="BO65" s="64">
        <f t="shared" si="9"/>
        <v>3.7037037037037042E-2</v>
      </c>
      <c r="BP65" s="64">
        <f t="shared" si="10"/>
        <v>3.787878787878788E-2</v>
      </c>
    </row>
    <row r="66" spans="1:68" x14ac:dyDescent="0.2">
      <c r="A66" s="617"/>
      <c r="B66" s="609"/>
      <c r="C66" s="609"/>
      <c r="D66" s="609"/>
      <c r="E66" s="609"/>
      <c r="F66" s="609"/>
      <c r="G66" s="609"/>
      <c r="H66" s="609"/>
      <c r="I66" s="609"/>
      <c r="J66" s="609"/>
      <c r="K66" s="609"/>
      <c r="L66" s="609"/>
      <c r="M66" s="609"/>
      <c r="N66" s="609"/>
      <c r="O66" s="618"/>
      <c r="P66" s="613" t="s">
        <v>72</v>
      </c>
      <c r="Q66" s="614"/>
      <c r="R66" s="614"/>
      <c r="S66" s="614"/>
      <c r="T66" s="614"/>
      <c r="U66" s="614"/>
      <c r="V66" s="615"/>
      <c r="W66" s="37" t="s">
        <v>73</v>
      </c>
      <c r="X66" s="599">
        <f>IFERROR(X59/H59,"0")+IFERROR(X60/H60,"0")+IFERROR(X61/H61,"0")+IFERROR(X62/H62,"0")+IFERROR(X63/H63,"0")+IFERROR(X64/H64,"0")+IFERROR(X65/H65,"0")</f>
        <v>4.8888888888888893</v>
      </c>
      <c r="Y66" s="599">
        <f>IFERROR(Y59/H59,"0")+IFERROR(Y60/H60,"0")+IFERROR(Y61/H61,"0")+IFERROR(Y62/H62,"0")+IFERROR(Y63/H63,"0")+IFERROR(Y64/H64,"0")+IFERROR(Y65/H65,"0")</f>
        <v>5</v>
      </c>
      <c r="Z66" s="599">
        <f>IFERROR(IF(Z59="",0,Z59),"0")+IFERROR(IF(Z60="",0,Z60),"0")+IFERROR(IF(Z61="",0,Z61),"0")+IFERROR(IF(Z62="",0,Z62),"0")+IFERROR(IF(Z63="",0,Z63),"0")+IFERROR(IF(Z64="",0,Z64),"0")+IFERROR(IF(Z65="",0,Z65),"0")</f>
        <v>4.5100000000000001E-2</v>
      </c>
      <c r="AA66" s="600"/>
      <c r="AB66" s="600"/>
      <c r="AC66" s="600"/>
    </row>
    <row r="67" spans="1:68" x14ac:dyDescent="0.2">
      <c r="A67" s="609"/>
      <c r="B67" s="609"/>
      <c r="C67" s="609"/>
      <c r="D67" s="609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18"/>
      <c r="P67" s="613" t="s">
        <v>72</v>
      </c>
      <c r="Q67" s="614"/>
      <c r="R67" s="614"/>
      <c r="S67" s="614"/>
      <c r="T67" s="614"/>
      <c r="U67" s="614"/>
      <c r="V67" s="615"/>
      <c r="W67" s="37" t="s">
        <v>67</v>
      </c>
      <c r="X67" s="599">
        <f>IFERROR(SUM(X59:X65),"0")</f>
        <v>22</v>
      </c>
      <c r="Y67" s="599">
        <f>IFERROR(SUM(Y59:Y65),"0")</f>
        <v>22.5</v>
      </c>
      <c r="Z67" s="37"/>
      <c r="AA67" s="600"/>
      <c r="AB67" s="600"/>
      <c r="AC67" s="600"/>
    </row>
    <row r="68" spans="1:68" ht="14.25" customHeight="1" x14ac:dyDescent="0.25">
      <c r="A68" s="608" t="s">
        <v>152</v>
      </c>
      <c r="B68" s="609"/>
      <c r="C68" s="609"/>
      <c r="D68" s="609"/>
      <c r="E68" s="609"/>
      <c r="F68" s="609"/>
      <c r="G68" s="609"/>
      <c r="H68" s="609"/>
      <c r="I68" s="609"/>
      <c r="J68" s="609"/>
      <c r="K68" s="609"/>
      <c r="L68" s="609"/>
      <c r="M68" s="609"/>
      <c r="N68" s="609"/>
      <c r="O68" s="609"/>
      <c r="P68" s="609"/>
      <c r="Q68" s="609"/>
      <c r="R68" s="609"/>
      <c r="S68" s="609"/>
      <c r="T68" s="609"/>
      <c r="U68" s="609"/>
      <c r="V68" s="609"/>
      <c r="W68" s="609"/>
      <c r="X68" s="609"/>
      <c r="Y68" s="609"/>
      <c r="Z68" s="609"/>
      <c r="AA68" s="593"/>
      <c r="AB68" s="593"/>
      <c r="AC68" s="593"/>
    </row>
    <row r="69" spans="1:68" ht="16.5" customHeight="1" x14ac:dyDescent="0.25">
      <c r="A69" s="54" t="s">
        <v>153</v>
      </c>
      <c r="B69" s="54" t="s">
        <v>154</v>
      </c>
      <c r="C69" s="31">
        <v>4301020298</v>
      </c>
      <c r="D69" s="603">
        <v>4680115881440</v>
      </c>
      <c r="E69" s="604"/>
      <c r="F69" s="596">
        <v>1.35</v>
      </c>
      <c r="G69" s="32">
        <v>8</v>
      </c>
      <c r="H69" s="596">
        <v>10.8</v>
      </c>
      <c r="I69" s="596">
        <v>11.21</v>
      </c>
      <c r="J69" s="32">
        <v>64</v>
      </c>
      <c r="K69" s="32" t="s">
        <v>120</v>
      </c>
      <c r="L69" s="32"/>
      <c r="M69" s="33" t="s">
        <v>121</v>
      </c>
      <c r="N69" s="33"/>
      <c r="O69" s="32">
        <v>50</v>
      </c>
      <c r="P69" s="8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6"/>
      <c r="R69" s="606"/>
      <c r="S69" s="606"/>
      <c r="T69" s="607"/>
      <c r="U69" s="34"/>
      <c r="V69" s="34"/>
      <c r="W69" s="35" t="s">
        <v>67</v>
      </c>
      <c r="X69" s="597">
        <v>0</v>
      </c>
      <c r="Y69" s="598">
        <f>IFERROR(IF(X69="",0,CEILING((X69/$H69),1)*$H69),"")</f>
        <v>0</v>
      </c>
      <c r="Z69" s="36" t="str">
        <f>IFERROR(IF(Y69=0,"",ROUNDUP(Y69/H69,0)*0.01898),"")</f>
        <v/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customHeight="1" x14ac:dyDescent="0.25">
      <c r="A70" s="54" t="s">
        <v>156</v>
      </c>
      <c r="B70" s="54" t="s">
        <v>157</v>
      </c>
      <c r="C70" s="31">
        <v>4301020358</v>
      </c>
      <c r="D70" s="603">
        <v>4680115885950</v>
      </c>
      <c r="E70" s="604"/>
      <c r="F70" s="596">
        <v>0.37</v>
      </c>
      <c r="G70" s="32">
        <v>6</v>
      </c>
      <c r="H70" s="596">
        <v>2.2200000000000002</v>
      </c>
      <c r="I70" s="596">
        <v>2.4</v>
      </c>
      <c r="J70" s="32">
        <v>182</v>
      </c>
      <c r="K70" s="32" t="s">
        <v>77</v>
      </c>
      <c r="L70" s="32"/>
      <c r="M70" s="33" t="s">
        <v>78</v>
      </c>
      <c r="N70" s="33"/>
      <c r="O70" s="32">
        <v>50</v>
      </c>
      <c r="P70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6"/>
      <c r="R70" s="606"/>
      <c r="S70" s="606"/>
      <c r="T70" s="607"/>
      <c r="U70" s="34"/>
      <c r="V70" s="34"/>
      <c r="W70" s="35" t="s">
        <v>67</v>
      </c>
      <c r="X70" s="597">
        <v>0</v>
      </c>
      <c r="Y70" s="598">
        <f>IFERROR(IF(X70="",0,CEILING((X70/$H70),1)*$H70),"")</f>
        <v>0</v>
      </c>
      <c r="Z70" s="36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158</v>
      </c>
      <c r="B71" s="54" t="s">
        <v>159</v>
      </c>
      <c r="C71" s="31">
        <v>4301020371</v>
      </c>
      <c r="D71" s="603">
        <v>4680115887688</v>
      </c>
      <c r="E71" s="604"/>
      <c r="F71" s="596">
        <v>0.1</v>
      </c>
      <c r="G71" s="32">
        <v>10</v>
      </c>
      <c r="H71" s="596">
        <v>1</v>
      </c>
      <c r="I71" s="596">
        <v>1.21</v>
      </c>
      <c r="J71" s="32">
        <v>192</v>
      </c>
      <c r="K71" s="32" t="s">
        <v>125</v>
      </c>
      <c r="L71" s="32"/>
      <c r="M71" s="33" t="s">
        <v>66</v>
      </c>
      <c r="N71" s="33"/>
      <c r="O71" s="32">
        <v>30</v>
      </c>
      <c r="P71" s="62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6"/>
      <c r="R71" s="606"/>
      <c r="S71" s="606"/>
      <c r="T71" s="607"/>
      <c r="U71" s="34"/>
      <c r="V71" s="34"/>
      <c r="W71" s="35" t="s">
        <v>67</v>
      </c>
      <c r="X71" s="597">
        <v>0</v>
      </c>
      <c r="Y71" s="598">
        <f>IFERROR(IF(X71="",0,CEILING((X71/$H71),1)*$H71),"")</f>
        <v>0</v>
      </c>
      <c r="Z71" s="36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1">
        <v>4301020296</v>
      </c>
      <c r="D72" s="603">
        <v>4680115881433</v>
      </c>
      <c r="E72" s="604"/>
      <c r="F72" s="596">
        <v>0.45</v>
      </c>
      <c r="G72" s="32">
        <v>6</v>
      </c>
      <c r="H72" s="596">
        <v>2.7</v>
      </c>
      <c r="I72" s="596">
        <v>2.88</v>
      </c>
      <c r="J72" s="32">
        <v>182</v>
      </c>
      <c r="K72" s="32" t="s">
        <v>77</v>
      </c>
      <c r="L72" s="32"/>
      <c r="M72" s="33" t="s">
        <v>121</v>
      </c>
      <c r="N72" s="33"/>
      <c r="O72" s="32">
        <v>50</v>
      </c>
      <c r="P72" s="68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6"/>
      <c r="R72" s="606"/>
      <c r="S72" s="606"/>
      <c r="T72" s="607"/>
      <c r="U72" s="34"/>
      <c r="V72" s="34"/>
      <c r="W72" s="35" t="s">
        <v>67</v>
      </c>
      <c r="X72" s="597">
        <v>0</v>
      </c>
      <c r="Y72" s="59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x14ac:dyDescent="0.2">
      <c r="A73" s="617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18"/>
      <c r="P73" s="613" t="s">
        <v>72</v>
      </c>
      <c r="Q73" s="614"/>
      <c r="R73" s="614"/>
      <c r="S73" s="614"/>
      <c r="T73" s="614"/>
      <c r="U73" s="614"/>
      <c r="V73" s="615"/>
      <c r="W73" s="37" t="s">
        <v>73</v>
      </c>
      <c r="X73" s="599">
        <f>IFERROR(X69/H69,"0")+IFERROR(X70/H70,"0")+IFERROR(X71/H71,"0")+IFERROR(X72/H72,"0")</f>
        <v>0</v>
      </c>
      <c r="Y73" s="599">
        <f>IFERROR(Y69/H69,"0")+IFERROR(Y70/H70,"0")+IFERROR(Y71/H71,"0")+IFERROR(Y72/H72,"0")</f>
        <v>0</v>
      </c>
      <c r="Z73" s="599">
        <f>IFERROR(IF(Z69="",0,Z69),"0")+IFERROR(IF(Z70="",0,Z70),"0")+IFERROR(IF(Z71="",0,Z71),"0")+IFERROR(IF(Z72="",0,Z72),"0")</f>
        <v>0</v>
      </c>
      <c r="AA73" s="600"/>
      <c r="AB73" s="600"/>
      <c r="AC73" s="600"/>
    </row>
    <row r="74" spans="1:68" x14ac:dyDescent="0.2">
      <c r="A74" s="609"/>
      <c r="B74" s="609"/>
      <c r="C74" s="609"/>
      <c r="D74" s="609"/>
      <c r="E74" s="609"/>
      <c r="F74" s="609"/>
      <c r="G74" s="609"/>
      <c r="H74" s="609"/>
      <c r="I74" s="609"/>
      <c r="J74" s="609"/>
      <c r="K74" s="609"/>
      <c r="L74" s="609"/>
      <c r="M74" s="609"/>
      <c r="N74" s="609"/>
      <c r="O74" s="618"/>
      <c r="P74" s="613" t="s">
        <v>72</v>
      </c>
      <c r="Q74" s="614"/>
      <c r="R74" s="614"/>
      <c r="S74" s="614"/>
      <c r="T74" s="614"/>
      <c r="U74" s="614"/>
      <c r="V74" s="615"/>
      <c r="W74" s="37" t="s">
        <v>67</v>
      </c>
      <c r="X74" s="599">
        <f>IFERROR(SUM(X69:X72),"0")</f>
        <v>0</v>
      </c>
      <c r="Y74" s="599">
        <f>IFERROR(SUM(Y69:Y72),"0")</f>
        <v>0</v>
      </c>
      <c r="Z74" s="37"/>
      <c r="AA74" s="600"/>
      <c r="AB74" s="600"/>
      <c r="AC74" s="600"/>
    </row>
    <row r="75" spans="1:68" ht="14.25" customHeight="1" x14ac:dyDescent="0.25">
      <c r="A75" s="608" t="s">
        <v>74</v>
      </c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09"/>
      <c r="Q75" s="609"/>
      <c r="R75" s="609"/>
      <c r="S75" s="609"/>
      <c r="T75" s="609"/>
      <c r="U75" s="609"/>
      <c r="V75" s="609"/>
      <c r="W75" s="609"/>
      <c r="X75" s="609"/>
      <c r="Y75" s="609"/>
      <c r="Z75" s="609"/>
      <c r="AA75" s="593"/>
      <c r="AB75" s="593"/>
      <c r="AC75" s="593"/>
    </row>
    <row r="76" spans="1:68" ht="16.5" customHeight="1" x14ac:dyDescent="0.25">
      <c r="A76" s="54" t="s">
        <v>163</v>
      </c>
      <c r="B76" s="54" t="s">
        <v>164</v>
      </c>
      <c r="C76" s="31">
        <v>4301051837</v>
      </c>
      <c r="D76" s="603">
        <v>4680115884311</v>
      </c>
      <c r="E76" s="604"/>
      <c r="F76" s="596">
        <v>0.3</v>
      </c>
      <c r="G76" s="32">
        <v>6</v>
      </c>
      <c r="H76" s="596">
        <v>1.8</v>
      </c>
      <c r="I76" s="596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6"/>
      <c r="R76" s="606"/>
      <c r="S76" s="606"/>
      <c r="T76" s="607"/>
      <c r="U76" s="34"/>
      <c r="V76" s="34"/>
      <c r="W76" s="35" t="s">
        <v>67</v>
      </c>
      <c r="X76" s="597">
        <v>0</v>
      </c>
      <c r="Y76" s="59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customHeight="1" x14ac:dyDescent="0.25">
      <c r="A77" s="54" t="s">
        <v>166</v>
      </c>
      <c r="B77" s="54" t="s">
        <v>167</v>
      </c>
      <c r="C77" s="31">
        <v>4301051929</v>
      </c>
      <c r="D77" s="603">
        <v>4680115884403</v>
      </c>
      <c r="E77" s="604"/>
      <c r="F77" s="596">
        <v>0.3</v>
      </c>
      <c r="G77" s="32">
        <v>6</v>
      </c>
      <c r="H77" s="596">
        <v>1.8</v>
      </c>
      <c r="I77" s="596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77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6"/>
      <c r="R77" s="606"/>
      <c r="S77" s="606"/>
      <c r="T77" s="607"/>
      <c r="U77" s="34"/>
      <c r="V77" s="34"/>
      <c r="W77" s="35" t="s">
        <v>67</v>
      </c>
      <c r="X77" s="597">
        <v>0</v>
      </c>
      <c r="Y77" s="59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x14ac:dyDescent="0.2">
      <c r="A78" s="617"/>
      <c r="B78" s="609"/>
      <c r="C78" s="609"/>
      <c r="D78" s="609"/>
      <c r="E78" s="609"/>
      <c r="F78" s="609"/>
      <c r="G78" s="609"/>
      <c r="H78" s="609"/>
      <c r="I78" s="609"/>
      <c r="J78" s="609"/>
      <c r="K78" s="609"/>
      <c r="L78" s="609"/>
      <c r="M78" s="609"/>
      <c r="N78" s="609"/>
      <c r="O78" s="618"/>
      <c r="P78" s="613" t="s">
        <v>72</v>
      </c>
      <c r="Q78" s="614"/>
      <c r="R78" s="614"/>
      <c r="S78" s="614"/>
      <c r="T78" s="614"/>
      <c r="U78" s="614"/>
      <c r="V78" s="615"/>
      <c r="W78" s="37" t="s">
        <v>73</v>
      </c>
      <c r="X78" s="599">
        <f>IFERROR(X76/H76,"0")+IFERROR(X77/H77,"0")</f>
        <v>0</v>
      </c>
      <c r="Y78" s="599">
        <f>IFERROR(Y76/H76,"0")+IFERROR(Y77/H77,"0")</f>
        <v>0</v>
      </c>
      <c r="Z78" s="599">
        <f>IFERROR(IF(Z76="",0,Z76),"0")+IFERROR(IF(Z77="",0,Z77),"0")</f>
        <v>0</v>
      </c>
      <c r="AA78" s="600"/>
      <c r="AB78" s="600"/>
      <c r="AC78" s="600"/>
    </row>
    <row r="79" spans="1:68" x14ac:dyDescent="0.2">
      <c r="A79" s="609"/>
      <c r="B79" s="609"/>
      <c r="C79" s="609"/>
      <c r="D79" s="609"/>
      <c r="E79" s="609"/>
      <c r="F79" s="609"/>
      <c r="G79" s="609"/>
      <c r="H79" s="609"/>
      <c r="I79" s="609"/>
      <c r="J79" s="609"/>
      <c r="K79" s="609"/>
      <c r="L79" s="609"/>
      <c r="M79" s="609"/>
      <c r="N79" s="609"/>
      <c r="O79" s="618"/>
      <c r="P79" s="613" t="s">
        <v>72</v>
      </c>
      <c r="Q79" s="614"/>
      <c r="R79" s="614"/>
      <c r="S79" s="614"/>
      <c r="T79" s="614"/>
      <c r="U79" s="614"/>
      <c r="V79" s="615"/>
      <c r="W79" s="37" t="s">
        <v>67</v>
      </c>
      <c r="X79" s="599">
        <f>IFERROR(SUM(X76:X77),"0")</f>
        <v>0</v>
      </c>
      <c r="Y79" s="599">
        <f>IFERROR(SUM(Y76:Y77),"0")</f>
        <v>0</v>
      </c>
      <c r="Z79" s="37"/>
      <c r="AA79" s="600"/>
      <c r="AB79" s="600"/>
      <c r="AC79" s="600"/>
    </row>
    <row r="80" spans="1:68" ht="14.25" customHeight="1" x14ac:dyDescent="0.25">
      <c r="A80" s="608" t="s">
        <v>169</v>
      </c>
      <c r="B80" s="609"/>
      <c r="C80" s="609"/>
      <c r="D80" s="609"/>
      <c r="E80" s="609"/>
      <c r="F80" s="609"/>
      <c r="G80" s="609"/>
      <c r="H80" s="609"/>
      <c r="I80" s="609"/>
      <c r="J80" s="609"/>
      <c r="K80" s="609"/>
      <c r="L80" s="609"/>
      <c r="M80" s="609"/>
      <c r="N80" s="609"/>
      <c r="O80" s="609"/>
      <c r="P80" s="609"/>
      <c r="Q80" s="609"/>
      <c r="R80" s="609"/>
      <c r="S80" s="609"/>
      <c r="T80" s="609"/>
      <c r="U80" s="609"/>
      <c r="V80" s="609"/>
      <c r="W80" s="609"/>
      <c r="X80" s="609"/>
      <c r="Y80" s="609"/>
      <c r="Z80" s="609"/>
      <c r="AA80" s="593"/>
      <c r="AB80" s="593"/>
      <c r="AC80" s="593"/>
    </row>
    <row r="81" spans="1:68" ht="27" customHeight="1" x14ac:dyDescent="0.25">
      <c r="A81" s="54" t="s">
        <v>170</v>
      </c>
      <c r="B81" s="54" t="s">
        <v>171</v>
      </c>
      <c r="C81" s="31">
        <v>4301060455</v>
      </c>
      <c r="D81" s="603">
        <v>4680115881532</v>
      </c>
      <c r="E81" s="604"/>
      <c r="F81" s="596">
        <v>1.3</v>
      </c>
      <c r="G81" s="32">
        <v>6</v>
      </c>
      <c r="H81" s="596">
        <v>7.8</v>
      </c>
      <c r="I81" s="596">
        <v>8.2100000000000009</v>
      </c>
      <c r="J81" s="32">
        <v>64</v>
      </c>
      <c r="K81" s="32" t="s">
        <v>120</v>
      </c>
      <c r="L81" s="32"/>
      <c r="M81" s="33" t="s">
        <v>84</v>
      </c>
      <c r="N81" s="33"/>
      <c r="O81" s="32">
        <v>30</v>
      </c>
      <c r="P81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6"/>
      <c r="R81" s="606"/>
      <c r="S81" s="606"/>
      <c r="T81" s="607"/>
      <c r="U81" s="34"/>
      <c r="V81" s="34"/>
      <c r="W81" s="35" t="s">
        <v>67</v>
      </c>
      <c r="X81" s="597">
        <v>75</v>
      </c>
      <c r="Y81" s="598">
        <f>IFERROR(IF(X81="",0,CEILING((X81/$H81),1)*$H81),"")</f>
        <v>78</v>
      </c>
      <c r="Z81" s="36">
        <f>IFERROR(IF(Y81=0,"",ROUNDUP(Y81/H81,0)*0.01898),"")</f>
        <v>0.1898</v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78.942307692307708</v>
      </c>
      <c r="BN81" s="64">
        <f>IFERROR(Y81*I81/H81,"0")</f>
        <v>82.100000000000023</v>
      </c>
      <c r="BO81" s="64">
        <f>IFERROR(1/J81*(X81/H81),"0")</f>
        <v>0.15024038461538461</v>
      </c>
      <c r="BP81" s="64">
        <f>IFERROR(1/J81*(Y81/H81),"0")</f>
        <v>0.15625</v>
      </c>
    </row>
    <row r="82" spans="1:68" ht="27" customHeight="1" x14ac:dyDescent="0.25">
      <c r="A82" s="54" t="s">
        <v>173</v>
      </c>
      <c r="B82" s="54" t="s">
        <v>174</v>
      </c>
      <c r="C82" s="31">
        <v>4301060351</v>
      </c>
      <c r="D82" s="603">
        <v>4680115881464</v>
      </c>
      <c r="E82" s="604"/>
      <c r="F82" s="596">
        <v>0.4</v>
      </c>
      <c r="G82" s="32">
        <v>6</v>
      </c>
      <c r="H82" s="596">
        <v>2.4</v>
      </c>
      <c r="I82" s="596">
        <v>2.59</v>
      </c>
      <c r="J82" s="32">
        <v>132</v>
      </c>
      <c r="K82" s="32" t="s">
        <v>129</v>
      </c>
      <c r="L82" s="32"/>
      <c r="M82" s="33" t="s">
        <v>78</v>
      </c>
      <c r="N82" s="33"/>
      <c r="O82" s="32">
        <v>30</v>
      </c>
      <c r="P82" s="6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6"/>
      <c r="R82" s="606"/>
      <c r="S82" s="606"/>
      <c r="T82" s="607"/>
      <c r="U82" s="34"/>
      <c r="V82" s="34"/>
      <c r="W82" s="35" t="s">
        <v>67</v>
      </c>
      <c r="X82" s="597">
        <v>0</v>
      </c>
      <c r="Y82" s="59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17"/>
      <c r="B83" s="609"/>
      <c r="C83" s="609"/>
      <c r="D83" s="609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18"/>
      <c r="P83" s="613" t="s">
        <v>72</v>
      </c>
      <c r="Q83" s="614"/>
      <c r="R83" s="614"/>
      <c r="S83" s="614"/>
      <c r="T83" s="614"/>
      <c r="U83" s="614"/>
      <c r="V83" s="615"/>
      <c r="W83" s="37" t="s">
        <v>73</v>
      </c>
      <c r="X83" s="599">
        <f>IFERROR(X81/H81,"0")+IFERROR(X82/H82,"0")</f>
        <v>9.615384615384615</v>
      </c>
      <c r="Y83" s="599">
        <f>IFERROR(Y81/H81,"0")+IFERROR(Y82/H82,"0")</f>
        <v>10</v>
      </c>
      <c r="Z83" s="599">
        <f>IFERROR(IF(Z81="",0,Z81),"0")+IFERROR(IF(Z82="",0,Z82),"0")</f>
        <v>0.1898</v>
      </c>
      <c r="AA83" s="600"/>
      <c r="AB83" s="600"/>
      <c r="AC83" s="600"/>
    </row>
    <row r="84" spans="1:68" x14ac:dyDescent="0.2">
      <c r="A84" s="609"/>
      <c r="B84" s="609"/>
      <c r="C84" s="609"/>
      <c r="D84" s="609"/>
      <c r="E84" s="609"/>
      <c r="F84" s="609"/>
      <c r="G84" s="609"/>
      <c r="H84" s="609"/>
      <c r="I84" s="609"/>
      <c r="J84" s="609"/>
      <c r="K84" s="609"/>
      <c r="L84" s="609"/>
      <c r="M84" s="609"/>
      <c r="N84" s="609"/>
      <c r="O84" s="618"/>
      <c r="P84" s="613" t="s">
        <v>72</v>
      </c>
      <c r="Q84" s="614"/>
      <c r="R84" s="614"/>
      <c r="S84" s="614"/>
      <c r="T84" s="614"/>
      <c r="U84" s="614"/>
      <c r="V84" s="615"/>
      <c r="W84" s="37" t="s">
        <v>67</v>
      </c>
      <c r="X84" s="599">
        <f>IFERROR(SUM(X81:X82),"0")</f>
        <v>75</v>
      </c>
      <c r="Y84" s="599">
        <f>IFERROR(SUM(Y81:Y82),"0")</f>
        <v>78</v>
      </c>
      <c r="Z84" s="37"/>
      <c r="AA84" s="600"/>
      <c r="AB84" s="600"/>
      <c r="AC84" s="600"/>
    </row>
    <row r="85" spans="1:68" ht="16.5" customHeight="1" x14ac:dyDescent="0.25">
      <c r="A85" s="612" t="s">
        <v>176</v>
      </c>
      <c r="B85" s="609"/>
      <c r="C85" s="609"/>
      <c r="D85" s="609"/>
      <c r="E85" s="609"/>
      <c r="F85" s="609"/>
      <c r="G85" s="609"/>
      <c r="H85" s="609"/>
      <c r="I85" s="609"/>
      <c r="J85" s="609"/>
      <c r="K85" s="609"/>
      <c r="L85" s="609"/>
      <c r="M85" s="609"/>
      <c r="N85" s="609"/>
      <c r="O85" s="609"/>
      <c r="P85" s="609"/>
      <c r="Q85" s="609"/>
      <c r="R85" s="609"/>
      <c r="S85" s="609"/>
      <c r="T85" s="609"/>
      <c r="U85" s="609"/>
      <c r="V85" s="609"/>
      <c r="W85" s="609"/>
      <c r="X85" s="609"/>
      <c r="Y85" s="609"/>
      <c r="Z85" s="609"/>
      <c r="AA85" s="592"/>
      <c r="AB85" s="592"/>
      <c r="AC85" s="592"/>
    </row>
    <row r="86" spans="1:68" ht="14.25" customHeight="1" x14ac:dyDescent="0.25">
      <c r="A86" s="608" t="s">
        <v>117</v>
      </c>
      <c r="B86" s="609"/>
      <c r="C86" s="609"/>
      <c r="D86" s="609"/>
      <c r="E86" s="609"/>
      <c r="F86" s="609"/>
      <c r="G86" s="609"/>
      <c r="H86" s="609"/>
      <c r="I86" s="609"/>
      <c r="J86" s="609"/>
      <c r="K86" s="609"/>
      <c r="L86" s="609"/>
      <c r="M86" s="609"/>
      <c r="N86" s="609"/>
      <c r="O86" s="609"/>
      <c r="P86" s="609"/>
      <c r="Q86" s="609"/>
      <c r="R86" s="609"/>
      <c r="S86" s="609"/>
      <c r="T86" s="609"/>
      <c r="U86" s="609"/>
      <c r="V86" s="609"/>
      <c r="W86" s="609"/>
      <c r="X86" s="609"/>
      <c r="Y86" s="609"/>
      <c r="Z86" s="609"/>
      <c r="AA86" s="593"/>
      <c r="AB86" s="593"/>
      <c r="AC86" s="593"/>
    </row>
    <row r="87" spans="1:68" ht="27" customHeight="1" x14ac:dyDescent="0.25">
      <c r="A87" s="54" t="s">
        <v>177</v>
      </c>
      <c r="B87" s="54" t="s">
        <v>178</v>
      </c>
      <c r="C87" s="31">
        <v>4301011468</v>
      </c>
      <c r="D87" s="603">
        <v>4680115881327</v>
      </c>
      <c r="E87" s="604"/>
      <c r="F87" s="596">
        <v>1.35</v>
      </c>
      <c r="G87" s="32">
        <v>8</v>
      </c>
      <c r="H87" s="596">
        <v>10.8</v>
      </c>
      <c r="I87" s="596">
        <v>11.21</v>
      </c>
      <c r="J87" s="32">
        <v>64</v>
      </c>
      <c r="K87" s="32" t="s">
        <v>120</v>
      </c>
      <c r="L87" s="32"/>
      <c r="M87" s="33" t="s">
        <v>84</v>
      </c>
      <c r="N87" s="33"/>
      <c r="O87" s="32">
        <v>50</v>
      </c>
      <c r="P87" s="78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6"/>
      <c r="R87" s="606"/>
      <c r="S87" s="606"/>
      <c r="T87" s="607"/>
      <c r="U87" s="34"/>
      <c r="V87" s="34"/>
      <c r="W87" s="35" t="s">
        <v>67</v>
      </c>
      <c r="X87" s="597">
        <v>0</v>
      </c>
      <c r="Y87" s="59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4301011261</v>
      </c>
      <c r="D88" s="603">
        <v>4680115887732</v>
      </c>
      <c r="E88" s="604"/>
      <c r="F88" s="596">
        <v>0.17</v>
      </c>
      <c r="G88" s="32">
        <v>10</v>
      </c>
      <c r="H88" s="596">
        <v>1.7</v>
      </c>
      <c r="I88" s="596">
        <v>1.8</v>
      </c>
      <c r="J88" s="32">
        <v>192</v>
      </c>
      <c r="K88" s="32" t="s">
        <v>125</v>
      </c>
      <c r="L88" s="32"/>
      <c r="M88" s="33" t="s">
        <v>66</v>
      </c>
      <c r="N88" s="33"/>
      <c r="O88" s="32">
        <v>30</v>
      </c>
      <c r="P88" s="79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6"/>
      <c r="R88" s="606"/>
      <c r="S88" s="606"/>
      <c r="T88" s="607"/>
      <c r="U88" s="34"/>
      <c r="V88" s="34"/>
      <c r="W88" s="35" t="s">
        <v>67</v>
      </c>
      <c r="X88" s="597">
        <v>2</v>
      </c>
      <c r="Y88" s="598">
        <f>IFERROR(IF(X88="",0,CEILING((X88/$H88),1)*$H88),"")</f>
        <v>3.4</v>
      </c>
      <c r="Z88" s="36">
        <f>IFERROR(IF(Y88=0,"",ROUNDUP(Y88/H88,0)*0.00726),"")</f>
        <v>1.452E-2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2.1176470588235294</v>
      </c>
      <c r="BN88" s="64">
        <f>IFERROR(Y88*I88/H88,"0")</f>
        <v>3.6</v>
      </c>
      <c r="BO88" s="64">
        <f>IFERROR(1/J88*(X88/H88),"0")</f>
        <v>6.1274509803921568E-3</v>
      </c>
      <c r="BP88" s="64">
        <f>IFERROR(1/J88*(Y88/H88),"0")</f>
        <v>1.0416666666666666E-2</v>
      </c>
    </row>
    <row r="89" spans="1:68" ht="27" customHeight="1" x14ac:dyDescent="0.25">
      <c r="A89" s="54" t="s">
        <v>183</v>
      </c>
      <c r="B89" s="54" t="s">
        <v>184</v>
      </c>
      <c r="C89" s="31">
        <v>4301011476</v>
      </c>
      <c r="D89" s="603">
        <v>4680115881518</v>
      </c>
      <c r="E89" s="604"/>
      <c r="F89" s="596">
        <v>0.4</v>
      </c>
      <c r="G89" s="32">
        <v>10</v>
      </c>
      <c r="H89" s="596">
        <v>4</v>
      </c>
      <c r="I89" s="596">
        <v>4.1900000000000004</v>
      </c>
      <c r="J89" s="32">
        <v>132</v>
      </c>
      <c r="K89" s="32" t="s">
        <v>129</v>
      </c>
      <c r="L89" s="32"/>
      <c r="M89" s="33" t="s">
        <v>78</v>
      </c>
      <c r="N89" s="33"/>
      <c r="O89" s="32">
        <v>50</v>
      </c>
      <c r="P89" s="79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6"/>
      <c r="R89" s="606"/>
      <c r="S89" s="606"/>
      <c r="T89" s="607"/>
      <c r="U89" s="34"/>
      <c r="V89" s="34"/>
      <c r="W89" s="35" t="s">
        <v>67</v>
      </c>
      <c r="X89" s="597">
        <v>0</v>
      </c>
      <c r="Y89" s="59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185</v>
      </c>
      <c r="B90" s="54" t="s">
        <v>186</v>
      </c>
      <c r="C90" s="31">
        <v>4301011443</v>
      </c>
      <c r="D90" s="603">
        <v>4680115881303</v>
      </c>
      <c r="E90" s="604"/>
      <c r="F90" s="596">
        <v>0.45</v>
      </c>
      <c r="G90" s="32">
        <v>10</v>
      </c>
      <c r="H90" s="596">
        <v>4.5</v>
      </c>
      <c r="I90" s="596">
        <v>4.6900000000000004</v>
      </c>
      <c r="J90" s="32">
        <v>132</v>
      </c>
      <c r="K90" s="32" t="s">
        <v>129</v>
      </c>
      <c r="L90" s="32"/>
      <c r="M90" s="33" t="s">
        <v>84</v>
      </c>
      <c r="N90" s="33"/>
      <c r="O90" s="32">
        <v>50</v>
      </c>
      <c r="P90" s="75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6"/>
      <c r="R90" s="606"/>
      <c r="S90" s="606"/>
      <c r="T90" s="607"/>
      <c r="U90" s="34"/>
      <c r="V90" s="34"/>
      <c r="W90" s="35" t="s">
        <v>67</v>
      </c>
      <c r="X90" s="597">
        <v>0</v>
      </c>
      <c r="Y90" s="59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x14ac:dyDescent="0.2">
      <c r="A91" s="617"/>
      <c r="B91" s="609"/>
      <c r="C91" s="609"/>
      <c r="D91" s="609"/>
      <c r="E91" s="609"/>
      <c r="F91" s="609"/>
      <c r="G91" s="609"/>
      <c r="H91" s="609"/>
      <c r="I91" s="609"/>
      <c r="J91" s="609"/>
      <c r="K91" s="609"/>
      <c r="L91" s="609"/>
      <c r="M91" s="609"/>
      <c r="N91" s="609"/>
      <c r="O91" s="618"/>
      <c r="P91" s="613" t="s">
        <v>72</v>
      </c>
      <c r="Q91" s="614"/>
      <c r="R91" s="614"/>
      <c r="S91" s="614"/>
      <c r="T91" s="614"/>
      <c r="U91" s="614"/>
      <c r="V91" s="615"/>
      <c r="W91" s="37" t="s">
        <v>73</v>
      </c>
      <c r="X91" s="599">
        <f>IFERROR(X87/H87,"0")+IFERROR(X88/H88,"0")+IFERROR(X89/H89,"0")+IFERROR(X90/H90,"0")</f>
        <v>1.1764705882352942</v>
      </c>
      <c r="Y91" s="599">
        <f>IFERROR(Y87/H87,"0")+IFERROR(Y88/H88,"0")+IFERROR(Y89/H89,"0")+IFERROR(Y90/H90,"0")</f>
        <v>2</v>
      </c>
      <c r="Z91" s="599">
        <f>IFERROR(IF(Z87="",0,Z87),"0")+IFERROR(IF(Z88="",0,Z88),"0")+IFERROR(IF(Z89="",0,Z89),"0")+IFERROR(IF(Z90="",0,Z90),"0")</f>
        <v>1.452E-2</v>
      </c>
      <c r="AA91" s="600"/>
      <c r="AB91" s="600"/>
      <c r="AC91" s="600"/>
    </row>
    <row r="92" spans="1:68" x14ac:dyDescent="0.2">
      <c r="A92" s="609"/>
      <c r="B92" s="609"/>
      <c r="C92" s="609"/>
      <c r="D92" s="609"/>
      <c r="E92" s="609"/>
      <c r="F92" s="609"/>
      <c r="G92" s="609"/>
      <c r="H92" s="609"/>
      <c r="I92" s="609"/>
      <c r="J92" s="609"/>
      <c r="K92" s="609"/>
      <c r="L92" s="609"/>
      <c r="M92" s="609"/>
      <c r="N92" s="609"/>
      <c r="O92" s="618"/>
      <c r="P92" s="613" t="s">
        <v>72</v>
      </c>
      <c r="Q92" s="614"/>
      <c r="R92" s="614"/>
      <c r="S92" s="614"/>
      <c r="T92" s="614"/>
      <c r="U92" s="614"/>
      <c r="V92" s="615"/>
      <c r="W92" s="37" t="s">
        <v>67</v>
      </c>
      <c r="X92" s="599">
        <f>IFERROR(SUM(X87:X90),"0")</f>
        <v>2</v>
      </c>
      <c r="Y92" s="599">
        <f>IFERROR(SUM(Y87:Y90),"0")</f>
        <v>3.4</v>
      </c>
      <c r="Z92" s="37"/>
      <c r="AA92" s="600"/>
      <c r="AB92" s="600"/>
      <c r="AC92" s="600"/>
    </row>
    <row r="93" spans="1:68" ht="14.25" customHeight="1" x14ac:dyDescent="0.25">
      <c r="A93" s="608" t="s">
        <v>74</v>
      </c>
      <c r="B93" s="609"/>
      <c r="C93" s="609"/>
      <c r="D93" s="609"/>
      <c r="E93" s="609"/>
      <c r="F93" s="609"/>
      <c r="G93" s="609"/>
      <c r="H93" s="609"/>
      <c r="I93" s="609"/>
      <c r="J93" s="609"/>
      <c r="K93" s="609"/>
      <c r="L93" s="609"/>
      <c r="M93" s="609"/>
      <c r="N93" s="609"/>
      <c r="O93" s="609"/>
      <c r="P93" s="609"/>
      <c r="Q93" s="609"/>
      <c r="R93" s="609"/>
      <c r="S93" s="609"/>
      <c r="T93" s="609"/>
      <c r="U93" s="609"/>
      <c r="V93" s="609"/>
      <c r="W93" s="609"/>
      <c r="X93" s="609"/>
      <c r="Y93" s="609"/>
      <c r="Z93" s="609"/>
      <c r="AA93" s="593"/>
      <c r="AB93" s="593"/>
      <c r="AC93" s="593"/>
    </row>
    <row r="94" spans="1:68" ht="27" customHeight="1" x14ac:dyDescent="0.25">
      <c r="A94" s="54" t="s">
        <v>187</v>
      </c>
      <c r="B94" s="54" t="s">
        <v>188</v>
      </c>
      <c r="C94" s="31">
        <v>4301051712</v>
      </c>
      <c r="D94" s="603">
        <v>4607091386967</v>
      </c>
      <c r="E94" s="604"/>
      <c r="F94" s="596">
        <v>1.35</v>
      </c>
      <c r="G94" s="32">
        <v>6</v>
      </c>
      <c r="H94" s="596">
        <v>8.1</v>
      </c>
      <c r="I94" s="596">
        <v>8.5939999999999994</v>
      </c>
      <c r="J94" s="32">
        <v>64</v>
      </c>
      <c r="K94" s="32" t="s">
        <v>120</v>
      </c>
      <c r="L94" s="32"/>
      <c r="M94" s="33" t="s">
        <v>84</v>
      </c>
      <c r="N94" s="33"/>
      <c r="O94" s="32">
        <v>45</v>
      </c>
      <c r="P94" s="9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6"/>
      <c r="R94" s="606"/>
      <c r="S94" s="606"/>
      <c r="T94" s="607"/>
      <c r="U94" s="34"/>
      <c r="V94" s="34"/>
      <c r="W94" s="35" t="s">
        <v>67</v>
      </c>
      <c r="X94" s="597">
        <v>0</v>
      </c>
      <c r="Y94" s="598">
        <f>IFERROR(IF(X94="",0,CEILING((X94/$H94),1)*$H94),"")</f>
        <v>0</v>
      </c>
      <c r="Z94" s="36" t="str">
        <f>IFERROR(IF(Y94=0,"",ROUNDUP(Y94/H94,0)*0.01898),"")</f>
        <v/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190</v>
      </c>
      <c r="B95" s="54" t="s">
        <v>191</v>
      </c>
      <c r="C95" s="31">
        <v>4301051788</v>
      </c>
      <c r="D95" s="603">
        <v>4680115884953</v>
      </c>
      <c r="E95" s="604"/>
      <c r="F95" s="596">
        <v>0.37</v>
      </c>
      <c r="G95" s="32">
        <v>6</v>
      </c>
      <c r="H95" s="596">
        <v>2.2200000000000002</v>
      </c>
      <c r="I95" s="596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9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6"/>
      <c r="R95" s="606"/>
      <c r="S95" s="606"/>
      <c r="T95" s="607"/>
      <c r="U95" s="34"/>
      <c r="V95" s="34"/>
      <c r="W95" s="35" t="s">
        <v>67</v>
      </c>
      <c r="X95" s="597">
        <v>0</v>
      </c>
      <c r="Y95" s="59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192</v>
      </c>
      <c r="B96" s="54" t="s">
        <v>193</v>
      </c>
      <c r="C96" s="31">
        <v>4301051718</v>
      </c>
      <c r="D96" s="603">
        <v>4607091385731</v>
      </c>
      <c r="E96" s="604"/>
      <c r="F96" s="596">
        <v>0.45</v>
      </c>
      <c r="G96" s="32">
        <v>6</v>
      </c>
      <c r="H96" s="596">
        <v>2.7</v>
      </c>
      <c r="I96" s="596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6"/>
      <c r="R96" s="606"/>
      <c r="S96" s="606"/>
      <c r="T96" s="607"/>
      <c r="U96" s="34"/>
      <c r="V96" s="34"/>
      <c r="W96" s="35" t="s">
        <v>67</v>
      </c>
      <c r="X96" s="597">
        <v>0</v>
      </c>
      <c r="Y96" s="59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16.5" customHeight="1" x14ac:dyDescent="0.25">
      <c r="A97" s="54" t="s">
        <v>194</v>
      </c>
      <c r="B97" s="54" t="s">
        <v>195</v>
      </c>
      <c r="C97" s="31">
        <v>4301052092</v>
      </c>
      <c r="D97" s="603">
        <v>4680115880894</v>
      </c>
      <c r="E97" s="604"/>
      <c r="F97" s="596">
        <v>0.33</v>
      </c>
      <c r="G97" s="32">
        <v>6</v>
      </c>
      <c r="H97" s="596">
        <v>1.98</v>
      </c>
      <c r="I97" s="596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88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6"/>
      <c r="R97" s="606"/>
      <c r="S97" s="606"/>
      <c r="T97" s="607"/>
      <c r="U97" s="34"/>
      <c r="V97" s="34"/>
      <c r="W97" s="35" t="s">
        <v>67</v>
      </c>
      <c r="X97" s="597">
        <v>0</v>
      </c>
      <c r="Y97" s="59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17"/>
      <c r="B98" s="609"/>
      <c r="C98" s="609"/>
      <c r="D98" s="609"/>
      <c r="E98" s="609"/>
      <c r="F98" s="609"/>
      <c r="G98" s="609"/>
      <c r="H98" s="609"/>
      <c r="I98" s="609"/>
      <c r="J98" s="609"/>
      <c r="K98" s="609"/>
      <c r="L98" s="609"/>
      <c r="M98" s="609"/>
      <c r="N98" s="609"/>
      <c r="O98" s="618"/>
      <c r="P98" s="613" t="s">
        <v>72</v>
      </c>
      <c r="Q98" s="614"/>
      <c r="R98" s="614"/>
      <c r="S98" s="614"/>
      <c r="T98" s="614"/>
      <c r="U98" s="614"/>
      <c r="V98" s="615"/>
      <c r="W98" s="37" t="s">
        <v>73</v>
      </c>
      <c r="X98" s="599">
        <f>IFERROR(X94/H94,"0")+IFERROR(X95/H95,"0")+IFERROR(X96/H96,"0")+IFERROR(X97/H97,"0")</f>
        <v>0</v>
      </c>
      <c r="Y98" s="599">
        <f>IFERROR(Y94/H94,"0")+IFERROR(Y95/H95,"0")+IFERROR(Y96/H96,"0")+IFERROR(Y97/H97,"0")</f>
        <v>0</v>
      </c>
      <c r="Z98" s="599">
        <f>IFERROR(IF(Z94="",0,Z94),"0")+IFERROR(IF(Z95="",0,Z95),"0")+IFERROR(IF(Z96="",0,Z96),"0")+IFERROR(IF(Z97="",0,Z97),"0")</f>
        <v>0</v>
      </c>
      <c r="AA98" s="600"/>
      <c r="AB98" s="600"/>
      <c r="AC98" s="600"/>
    </row>
    <row r="99" spans="1:68" x14ac:dyDescent="0.2">
      <c r="A99" s="609"/>
      <c r="B99" s="609"/>
      <c r="C99" s="609"/>
      <c r="D99" s="609"/>
      <c r="E99" s="609"/>
      <c r="F99" s="609"/>
      <c r="G99" s="609"/>
      <c r="H99" s="609"/>
      <c r="I99" s="609"/>
      <c r="J99" s="609"/>
      <c r="K99" s="609"/>
      <c r="L99" s="609"/>
      <c r="M99" s="609"/>
      <c r="N99" s="609"/>
      <c r="O99" s="618"/>
      <c r="P99" s="613" t="s">
        <v>72</v>
      </c>
      <c r="Q99" s="614"/>
      <c r="R99" s="614"/>
      <c r="S99" s="614"/>
      <c r="T99" s="614"/>
      <c r="U99" s="614"/>
      <c r="V99" s="615"/>
      <c r="W99" s="37" t="s">
        <v>67</v>
      </c>
      <c r="X99" s="599">
        <f>IFERROR(SUM(X94:X97),"0")</f>
        <v>0</v>
      </c>
      <c r="Y99" s="599">
        <f>IFERROR(SUM(Y94:Y97),"0")</f>
        <v>0</v>
      </c>
      <c r="Z99" s="37"/>
      <c r="AA99" s="600"/>
      <c r="AB99" s="600"/>
      <c r="AC99" s="600"/>
    </row>
    <row r="100" spans="1:68" ht="16.5" customHeight="1" x14ac:dyDescent="0.25">
      <c r="A100" s="612" t="s">
        <v>197</v>
      </c>
      <c r="B100" s="609"/>
      <c r="C100" s="609"/>
      <c r="D100" s="609"/>
      <c r="E100" s="609"/>
      <c r="F100" s="609"/>
      <c r="G100" s="609"/>
      <c r="H100" s="609"/>
      <c r="I100" s="609"/>
      <c r="J100" s="609"/>
      <c r="K100" s="609"/>
      <c r="L100" s="609"/>
      <c r="M100" s="609"/>
      <c r="N100" s="609"/>
      <c r="O100" s="609"/>
      <c r="P100" s="609"/>
      <c r="Q100" s="609"/>
      <c r="R100" s="609"/>
      <c r="S100" s="609"/>
      <c r="T100" s="609"/>
      <c r="U100" s="609"/>
      <c r="V100" s="609"/>
      <c r="W100" s="609"/>
      <c r="X100" s="609"/>
      <c r="Y100" s="609"/>
      <c r="Z100" s="609"/>
      <c r="AA100" s="592"/>
      <c r="AB100" s="592"/>
      <c r="AC100" s="592"/>
    </row>
    <row r="101" spans="1:68" ht="14.25" customHeight="1" x14ac:dyDescent="0.25">
      <c r="A101" s="608" t="s">
        <v>117</v>
      </c>
      <c r="B101" s="609"/>
      <c r="C101" s="609"/>
      <c r="D101" s="609"/>
      <c r="E101" s="609"/>
      <c r="F101" s="609"/>
      <c r="G101" s="609"/>
      <c r="H101" s="609"/>
      <c r="I101" s="609"/>
      <c r="J101" s="609"/>
      <c r="K101" s="609"/>
      <c r="L101" s="609"/>
      <c r="M101" s="609"/>
      <c r="N101" s="609"/>
      <c r="O101" s="609"/>
      <c r="P101" s="609"/>
      <c r="Q101" s="609"/>
      <c r="R101" s="609"/>
      <c r="S101" s="609"/>
      <c r="T101" s="609"/>
      <c r="U101" s="609"/>
      <c r="V101" s="609"/>
      <c r="W101" s="609"/>
      <c r="X101" s="609"/>
      <c r="Y101" s="609"/>
      <c r="Z101" s="609"/>
      <c r="AA101" s="593"/>
      <c r="AB101" s="593"/>
      <c r="AC101" s="593"/>
    </row>
    <row r="102" spans="1:68" ht="37.5" customHeight="1" x14ac:dyDescent="0.25">
      <c r="A102" s="54" t="s">
        <v>198</v>
      </c>
      <c r="B102" s="54" t="s">
        <v>199</v>
      </c>
      <c r="C102" s="31">
        <v>4301011514</v>
      </c>
      <c r="D102" s="603">
        <v>4680115882133</v>
      </c>
      <c r="E102" s="604"/>
      <c r="F102" s="596">
        <v>1.35</v>
      </c>
      <c r="G102" s="32">
        <v>8</v>
      </c>
      <c r="H102" s="596">
        <v>10.8</v>
      </c>
      <c r="I102" s="596">
        <v>11.21</v>
      </c>
      <c r="J102" s="32">
        <v>64</v>
      </c>
      <c r="K102" s="32" t="s">
        <v>120</v>
      </c>
      <c r="L102" s="32"/>
      <c r="M102" s="33" t="s">
        <v>121</v>
      </c>
      <c r="N102" s="33"/>
      <c r="O102" s="32">
        <v>50</v>
      </c>
      <c r="P102" s="6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6"/>
      <c r="R102" s="606"/>
      <c r="S102" s="606"/>
      <c r="T102" s="607"/>
      <c r="U102" s="34"/>
      <c r="V102" s="34"/>
      <c r="W102" s="35" t="s">
        <v>67</v>
      </c>
      <c r="X102" s="597">
        <v>0</v>
      </c>
      <c r="Y102" s="598">
        <f t="shared" ref="Y102:Y108" si="11">IFERROR(IF(X102="",0,CEILING((X102/$H102),1)*$H102),"")</f>
        <v>0</v>
      </c>
      <c r="Z102" s="36" t="str">
        <f>IFERROR(IF(Y102=0,"",ROUNDUP(Y102/H102,0)*0.01898),"")</f>
        <v/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0</v>
      </c>
      <c r="BN102" s="64">
        <f t="shared" ref="BN102:BN108" si="13">IFERROR(Y102*I102/H102,"0")</f>
        <v>0</v>
      </c>
      <c r="BO102" s="64">
        <f t="shared" ref="BO102:BO108" si="14">IFERROR(1/J102*(X102/H102),"0")</f>
        <v>0</v>
      </c>
      <c r="BP102" s="64">
        <f t="shared" ref="BP102:BP108" si="15">IFERROR(1/J102*(Y102/H102),"0")</f>
        <v>0</v>
      </c>
    </row>
    <row r="103" spans="1:68" ht="27" customHeight="1" x14ac:dyDescent="0.25">
      <c r="A103" s="54" t="s">
        <v>201</v>
      </c>
      <c r="B103" s="54" t="s">
        <v>202</v>
      </c>
      <c r="C103" s="31">
        <v>4301012051</v>
      </c>
      <c r="D103" s="603">
        <v>4680115887718</v>
      </c>
      <c r="E103" s="604"/>
      <c r="F103" s="596">
        <v>0.11</v>
      </c>
      <c r="G103" s="32">
        <v>10</v>
      </c>
      <c r="H103" s="596">
        <v>1.1000000000000001</v>
      </c>
      <c r="I103" s="596">
        <v>1.31</v>
      </c>
      <c r="J103" s="32">
        <v>192</v>
      </c>
      <c r="K103" s="32" t="s">
        <v>125</v>
      </c>
      <c r="L103" s="32"/>
      <c r="M103" s="33" t="s">
        <v>66</v>
      </c>
      <c r="N103" s="33"/>
      <c r="O103" s="32">
        <v>30</v>
      </c>
      <c r="P103" s="9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6"/>
      <c r="R103" s="606"/>
      <c r="S103" s="606"/>
      <c r="T103" s="607"/>
      <c r="U103" s="34"/>
      <c r="V103" s="34"/>
      <c r="W103" s="35" t="s">
        <v>67</v>
      </c>
      <c r="X103" s="597">
        <v>1</v>
      </c>
      <c r="Y103" s="598">
        <f t="shared" si="11"/>
        <v>1.1000000000000001</v>
      </c>
      <c r="Z103" s="36">
        <f>IFERROR(IF(Y103=0,"",ROUNDUP(Y103/H103,0)*0.00726),"")</f>
        <v>7.26E-3</v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1.1909090909090909</v>
      </c>
      <c r="BN103" s="64">
        <f t="shared" si="13"/>
        <v>1.31</v>
      </c>
      <c r="BO103" s="64">
        <f t="shared" si="14"/>
        <v>4.7348484848484841E-3</v>
      </c>
      <c r="BP103" s="64">
        <f t="shared" si="15"/>
        <v>5.208333333333333E-3</v>
      </c>
    </row>
    <row r="104" spans="1:68" ht="27" customHeight="1" x14ac:dyDescent="0.25">
      <c r="A104" s="54" t="s">
        <v>201</v>
      </c>
      <c r="B104" s="54" t="s">
        <v>204</v>
      </c>
      <c r="C104" s="31">
        <v>4301012334</v>
      </c>
      <c r="D104" s="603">
        <v>4680115887718</v>
      </c>
      <c r="E104" s="604"/>
      <c r="F104" s="596">
        <v>0.11</v>
      </c>
      <c r="G104" s="32">
        <v>8</v>
      </c>
      <c r="H104" s="596">
        <v>0.88</v>
      </c>
      <c r="I104" s="596">
        <v>1.0680000000000001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92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6"/>
      <c r="R104" s="606"/>
      <c r="S104" s="606"/>
      <c r="T104" s="607"/>
      <c r="U104" s="34"/>
      <c r="V104" s="34"/>
      <c r="W104" s="35" t="s">
        <v>67</v>
      </c>
      <c r="X104" s="597">
        <v>0</v>
      </c>
      <c r="Y104" s="598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4301012226</v>
      </c>
      <c r="D105" s="603">
        <v>4680115887749</v>
      </c>
      <c r="E105" s="604"/>
      <c r="F105" s="596">
        <v>0.17</v>
      </c>
      <c r="G105" s="32">
        <v>10</v>
      </c>
      <c r="H105" s="596">
        <v>1.7</v>
      </c>
      <c r="I105" s="596">
        <v>1.91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703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6"/>
      <c r="R105" s="606"/>
      <c r="S105" s="606"/>
      <c r="T105" s="607"/>
      <c r="U105" s="34"/>
      <c r="V105" s="34"/>
      <c r="W105" s="35" t="s">
        <v>67</v>
      </c>
      <c r="X105" s="597">
        <v>0</v>
      </c>
      <c r="Y105" s="598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customHeight="1" x14ac:dyDescent="0.25">
      <c r="A106" s="54" t="s">
        <v>207</v>
      </c>
      <c r="B106" s="54" t="s">
        <v>208</v>
      </c>
      <c r="C106" s="31">
        <v>4301011417</v>
      </c>
      <c r="D106" s="603">
        <v>4680115880269</v>
      </c>
      <c r="E106" s="604"/>
      <c r="F106" s="596">
        <v>0.375</v>
      </c>
      <c r="G106" s="32">
        <v>10</v>
      </c>
      <c r="H106" s="596">
        <v>3.75</v>
      </c>
      <c r="I106" s="59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72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6"/>
      <c r="R106" s="606"/>
      <c r="S106" s="606"/>
      <c r="T106" s="607"/>
      <c r="U106" s="34"/>
      <c r="V106" s="34"/>
      <c r="W106" s="35" t="s">
        <v>67</v>
      </c>
      <c r="X106" s="597">
        <v>6</v>
      </c>
      <c r="Y106" s="598">
        <f t="shared" si="11"/>
        <v>7.5</v>
      </c>
      <c r="Z106" s="36">
        <f>IFERROR(IF(Y106=0,"",ROUNDUP(Y106/H106,0)*0.00902),"")</f>
        <v>1.804E-2</v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6.3040000000000003</v>
      </c>
      <c r="BN106" s="64">
        <f t="shared" si="13"/>
        <v>7.88</v>
      </c>
      <c r="BO106" s="64">
        <f t="shared" si="14"/>
        <v>1.2121212121212123E-2</v>
      </c>
      <c r="BP106" s="64">
        <f t="shared" si="15"/>
        <v>1.5151515151515152E-2</v>
      </c>
    </row>
    <row r="107" spans="1:68" ht="37.5" customHeight="1" x14ac:dyDescent="0.25">
      <c r="A107" s="54" t="s">
        <v>209</v>
      </c>
      <c r="B107" s="54" t="s">
        <v>210</v>
      </c>
      <c r="C107" s="31">
        <v>4301011415</v>
      </c>
      <c r="D107" s="603">
        <v>4680115880429</v>
      </c>
      <c r="E107" s="604"/>
      <c r="F107" s="596">
        <v>0.45</v>
      </c>
      <c r="G107" s="32">
        <v>10</v>
      </c>
      <c r="H107" s="596">
        <v>4.5</v>
      </c>
      <c r="I107" s="59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70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6"/>
      <c r="R107" s="606"/>
      <c r="S107" s="606"/>
      <c r="T107" s="607"/>
      <c r="U107" s="34"/>
      <c r="V107" s="34"/>
      <c r="W107" s="35" t="s">
        <v>67</v>
      </c>
      <c r="X107" s="597">
        <v>19</v>
      </c>
      <c r="Y107" s="598">
        <f t="shared" si="11"/>
        <v>22.5</v>
      </c>
      <c r="Z107" s="36">
        <f>IFERROR(IF(Y107=0,"",ROUNDUP(Y107/H107,0)*0.00902),"")</f>
        <v>4.5100000000000001E-2</v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19.802222222222227</v>
      </c>
      <c r="BN107" s="64">
        <f t="shared" si="13"/>
        <v>23.450000000000003</v>
      </c>
      <c r="BO107" s="64">
        <f t="shared" si="14"/>
        <v>3.1986531986531987E-2</v>
      </c>
      <c r="BP107" s="64">
        <f t="shared" si="15"/>
        <v>3.787878787878788E-2</v>
      </c>
    </row>
    <row r="108" spans="1:68" ht="37.5" customHeight="1" x14ac:dyDescent="0.25">
      <c r="A108" s="54" t="s">
        <v>211</v>
      </c>
      <c r="B108" s="54" t="s">
        <v>212</v>
      </c>
      <c r="C108" s="31">
        <v>4301011462</v>
      </c>
      <c r="D108" s="603">
        <v>4680115881457</v>
      </c>
      <c r="E108" s="604"/>
      <c r="F108" s="596">
        <v>0.75</v>
      </c>
      <c r="G108" s="32">
        <v>6</v>
      </c>
      <c r="H108" s="596">
        <v>4.5</v>
      </c>
      <c r="I108" s="59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7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6"/>
      <c r="R108" s="606"/>
      <c r="S108" s="606"/>
      <c r="T108" s="607"/>
      <c r="U108" s="34"/>
      <c r="V108" s="34"/>
      <c r="W108" s="35" t="s">
        <v>67</v>
      </c>
      <c r="X108" s="597">
        <v>0</v>
      </c>
      <c r="Y108" s="598">
        <f t="shared" si="11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17"/>
      <c r="B109" s="609"/>
      <c r="C109" s="609"/>
      <c r="D109" s="609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18"/>
      <c r="P109" s="613" t="s">
        <v>72</v>
      </c>
      <c r="Q109" s="614"/>
      <c r="R109" s="614"/>
      <c r="S109" s="614"/>
      <c r="T109" s="614"/>
      <c r="U109" s="614"/>
      <c r="V109" s="615"/>
      <c r="W109" s="37" t="s">
        <v>73</v>
      </c>
      <c r="X109" s="599">
        <f>IFERROR(X102/H102,"0")+IFERROR(X103/H103,"0")+IFERROR(X104/H104,"0")+IFERROR(X105/H105,"0")+IFERROR(X106/H106,"0")+IFERROR(X107/H107,"0")+IFERROR(X108/H108,"0")</f>
        <v>6.7313131313131311</v>
      </c>
      <c r="Y109" s="599">
        <f>IFERROR(Y102/H102,"0")+IFERROR(Y103/H103,"0")+IFERROR(Y104/H104,"0")+IFERROR(Y105/H105,"0")+IFERROR(Y106/H106,"0")+IFERROR(Y107/H107,"0")+IFERROR(Y108/H108,"0")</f>
        <v>8</v>
      </c>
      <c r="Z109" s="599">
        <f>IFERROR(IF(Z102="",0,Z102),"0")+IFERROR(IF(Z103="",0,Z103),"0")+IFERROR(IF(Z104="",0,Z104),"0")+IFERROR(IF(Z105="",0,Z105),"0")+IFERROR(IF(Z106="",0,Z106),"0")+IFERROR(IF(Z107="",0,Z107),"0")+IFERROR(IF(Z108="",0,Z108),"0")</f>
        <v>7.0400000000000004E-2</v>
      </c>
      <c r="AA109" s="600"/>
      <c r="AB109" s="600"/>
      <c r="AC109" s="600"/>
    </row>
    <row r="110" spans="1:68" x14ac:dyDescent="0.2">
      <c r="A110" s="609"/>
      <c r="B110" s="609"/>
      <c r="C110" s="609"/>
      <c r="D110" s="609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18"/>
      <c r="P110" s="613" t="s">
        <v>72</v>
      </c>
      <c r="Q110" s="614"/>
      <c r="R110" s="614"/>
      <c r="S110" s="614"/>
      <c r="T110" s="614"/>
      <c r="U110" s="614"/>
      <c r="V110" s="615"/>
      <c r="W110" s="37" t="s">
        <v>67</v>
      </c>
      <c r="X110" s="599">
        <f>IFERROR(SUM(X102:X108),"0")</f>
        <v>26</v>
      </c>
      <c r="Y110" s="599">
        <f>IFERROR(SUM(Y102:Y108),"0")</f>
        <v>31.1</v>
      </c>
      <c r="Z110" s="37"/>
      <c r="AA110" s="600"/>
      <c r="AB110" s="600"/>
      <c r="AC110" s="600"/>
    </row>
    <row r="111" spans="1:68" ht="14.25" customHeight="1" x14ac:dyDescent="0.25">
      <c r="A111" s="608" t="s">
        <v>152</v>
      </c>
      <c r="B111" s="609"/>
      <c r="C111" s="609"/>
      <c r="D111" s="609"/>
      <c r="E111" s="609"/>
      <c r="F111" s="609"/>
      <c r="G111" s="609"/>
      <c r="H111" s="609"/>
      <c r="I111" s="609"/>
      <c r="J111" s="609"/>
      <c r="K111" s="609"/>
      <c r="L111" s="609"/>
      <c r="M111" s="609"/>
      <c r="N111" s="609"/>
      <c r="O111" s="609"/>
      <c r="P111" s="609"/>
      <c r="Q111" s="609"/>
      <c r="R111" s="609"/>
      <c r="S111" s="609"/>
      <c r="T111" s="609"/>
      <c r="U111" s="609"/>
      <c r="V111" s="609"/>
      <c r="W111" s="609"/>
      <c r="X111" s="609"/>
      <c r="Y111" s="609"/>
      <c r="Z111" s="609"/>
      <c r="AA111" s="593"/>
      <c r="AB111" s="593"/>
      <c r="AC111" s="593"/>
    </row>
    <row r="112" spans="1:68" ht="16.5" customHeight="1" x14ac:dyDescent="0.25">
      <c r="A112" s="54" t="s">
        <v>213</v>
      </c>
      <c r="B112" s="54" t="s">
        <v>214</v>
      </c>
      <c r="C112" s="31">
        <v>4301020345</v>
      </c>
      <c r="D112" s="603">
        <v>4680115881488</v>
      </c>
      <c r="E112" s="604"/>
      <c r="F112" s="596">
        <v>1.35</v>
      </c>
      <c r="G112" s="32">
        <v>8</v>
      </c>
      <c r="H112" s="596">
        <v>10.8</v>
      </c>
      <c r="I112" s="59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71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6"/>
      <c r="R112" s="606"/>
      <c r="S112" s="606"/>
      <c r="T112" s="607"/>
      <c r="U112" s="34"/>
      <c r="V112" s="34"/>
      <c r="W112" s="35" t="s">
        <v>67</v>
      </c>
      <c r="X112" s="597">
        <v>0</v>
      </c>
      <c r="Y112" s="598">
        <f t="shared" ref="Y112:Y118" si="16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8" si="17">IFERROR(X112*I112/H112,"0")</f>
        <v>0</v>
      </c>
      <c r="BN112" s="64">
        <f t="shared" ref="BN112:BN118" si="18">IFERROR(Y112*I112/H112,"0")</f>
        <v>0</v>
      </c>
      <c r="BO112" s="64">
        <f t="shared" ref="BO112:BO118" si="19">IFERROR(1/J112*(X112/H112),"0")</f>
        <v>0</v>
      </c>
      <c r="BP112" s="64">
        <f t="shared" ref="BP112:BP118" si="20">IFERROR(1/J112*(Y112/H112),"0")</f>
        <v>0</v>
      </c>
    </row>
    <row r="113" spans="1:68" ht="27" customHeight="1" x14ac:dyDescent="0.25">
      <c r="A113" s="54" t="s">
        <v>213</v>
      </c>
      <c r="B113" s="54" t="s">
        <v>216</v>
      </c>
      <c r="C113" s="31">
        <v>4301020391</v>
      </c>
      <c r="D113" s="603">
        <v>4680115881488</v>
      </c>
      <c r="E113" s="604"/>
      <c r="F113" s="596">
        <v>1.35</v>
      </c>
      <c r="G113" s="32">
        <v>8</v>
      </c>
      <c r="H113" s="596">
        <v>10.8</v>
      </c>
      <c r="I113" s="596">
        <v>11.21</v>
      </c>
      <c r="J113" s="32">
        <v>64</v>
      </c>
      <c r="K113" s="32" t="s">
        <v>120</v>
      </c>
      <c r="L113" s="32"/>
      <c r="M113" s="33" t="s">
        <v>121</v>
      </c>
      <c r="N113" s="33"/>
      <c r="O113" s="32">
        <v>55</v>
      </c>
      <c r="P113" s="85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6"/>
      <c r="R113" s="606"/>
      <c r="S113" s="606"/>
      <c r="T113" s="607"/>
      <c r="U113" s="34"/>
      <c r="V113" s="34"/>
      <c r="W113" s="35" t="s">
        <v>67</v>
      </c>
      <c r="X113" s="597">
        <v>0</v>
      </c>
      <c r="Y113" s="598">
        <f t="shared" si="16"/>
        <v>0</v>
      </c>
      <c r="Z113" s="36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customHeight="1" x14ac:dyDescent="0.25">
      <c r="A114" s="54" t="s">
        <v>218</v>
      </c>
      <c r="B114" s="54" t="s">
        <v>219</v>
      </c>
      <c r="C114" s="31">
        <v>4301020186</v>
      </c>
      <c r="D114" s="603">
        <v>4680115887664</v>
      </c>
      <c r="E114" s="604"/>
      <c r="F114" s="596">
        <v>0.1</v>
      </c>
      <c r="G114" s="32">
        <v>10</v>
      </c>
      <c r="H114" s="596">
        <v>1</v>
      </c>
      <c r="I114" s="596">
        <v>1.21</v>
      </c>
      <c r="J114" s="32">
        <v>392</v>
      </c>
      <c r="K114" s="32" t="s">
        <v>220</v>
      </c>
      <c r="L114" s="32"/>
      <c r="M114" s="33" t="s">
        <v>66</v>
      </c>
      <c r="N114" s="33"/>
      <c r="O114" s="32">
        <v>30</v>
      </c>
      <c r="P114" s="7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6"/>
      <c r="R114" s="606"/>
      <c r="S114" s="606"/>
      <c r="T114" s="607"/>
      <c r="U114" s="34"/>
      <c r="V114" s="34"/>
      <c r="W114" s="35" t="s">
        <v>67</v>
      </c>
      <c r="X114" s="597">
        <v>0</v>
      </c>
      <c r="Y114" s="598">
        <f t="shared" si="16"/>
        <v>0</v>
      </c>
      <c r="Z114" s="36" t="str">
        <f>IFERROR(IF(Y114=0,"",ROUNDUP(Y114/H114,0)*0.00358),"")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customHeight="1" x14ac:dyDescent="0.25">
      <c r="A115" s="54" t="s">
        <v>218</v>
      </c>
      <c r="B115" s="54" t="s">
        <v>222</v>
      </c>
      <c r="C115" s="31">
        <v>4301020430</v>
      </c>
      <c r="D115" s="603">
        <v>4680115887664</v>
      </c>
      <c r="E115" s="604"/>
      <c r="F115" s="596">
        <v>0.1</v>
      </c>
      <c r="G115" s="32">
        <v>8</v>
      </c>
      <c r="H115" s="596">
        <v>0.8</v>
      </c>
      <c r="I115" s="596">
        <v>0.98799999999999999</v>
      </c>
      <c r="J115" s="32">
        <v>392</v>
      </c>
      <c r="K115" s="32" t="s">
        <v>220</v>
      </c>
      <c r="L115" s="32"/>
      <c r="M115" s="33" t="s">
        <v>66</v>
      </c>
      <c r="N115" s="33"/>
      <c r="O115" s="32">
        <v>30</v>
      </c>
      <c r="P115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6"/>
      <c r="R115" s="606"/>
      <c r="S115" s="606"/>
      <c r="T115" s="607"/>
      <c r="U115" s="34"/>
      <c r="V115" s="34"/>
      <c r="W115" s="35" t="s">
        <v>67</v>
      </c>
      <c r="X115" s="597">
        <v>0</v>
      </c>
      <c r="Y115" s="598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customHeight="1" x14ac:dyDescent="0.25">
      <c r="A116" s="54" t="s">
        <v>223</v>
      </c>
      <c r="B116" s="54" t="s">
        <v>224</v>
      </c>
      <c r="C116" s="31">
        <v>4301020393</v>
      </c>
      <c r="D116" s="603">
        <v>4680115882775</v>
      </c>
      <c r="E116" s="604"/>
      <c r="F116" s="596">
        <v>0.3</v>
      </c>
      <c r="G116" s="32">
        <v>8</v>
      </c>
      <c r="H116" s="596">
        <v>2.4</v>
      </c>
      <c r="I116" s="596">
        <v>2.5</v>
      </c>
      <c r="J116" s="32">
        <v>234</v>
      </c>
      <c r="K116" s="32" t="s">
        <v>65</v>
      </c>
      <c r="L116" s="32"/>
      <c r="M116" s="33" t="s">
        <v>121</v>
      </c>
      <c r="N116" s="33"/>
      <c r="O116" s="32">
        <v>55</v>
      </c>
      <c r="P116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6"/>
      <c r="R116" s="606"/>
      <c r="S116" s="606"/>
      <c r="T116" s="607"/>
      <c r="U116" s="34"/>
      <c r="V116" s="34"/>
      <c r="W116" s="35" t="s">
        <v>67</v>
      </c>
      <c r="X116" s="597">
        <v>0</v>
      </c>
      <c r="Y116" s="598">
        <f t="shared" si="16"/>
        <v>0</v>
      </c>
      <c r="Z116" s="36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customHeight="1" x14ac:dyDescent="0.25">
      <c r="A117" s="54" t="s">
        <v>225</v>
      </c>
      <c r="B117" s="54" t="s">
        <v>226</v>
      </c>
      <c r="C117" s="31">
        <v>4301020344</v>
      </c>
      <c r="D117" s="603">
        <v>4680115880658</v>
      </c>
      <c r="E117" s="604"/>
      <c r="F117" s="596">
        <v>0.4</v>
      </c>
      <c r="G117" s="32">
        <v>6</v>
      </c>
      <c r="H117" s="596">
        <v>2.4</v>
      </c>
      <c r="I117" s="596">
        <v>2.58</v>
      </c>
      <c r="J117" s="32">
        <v>182</v>
      </c>
      <c r="K117" s="32" t="s">
        <v>77</v>
      </c>
      <c r="L117" s="32"/>
      <c r="M117" s="33" t="s">
        <v>121</v>
      </c>
      <c r="N117" s="33"/>
      <c r="O117" s="32">
        <v>55</v>
      </c>
      <c r="P117" s="84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6"/>
      <c r="R117" s="606"/>
      <c r="S117" s="606"/>
      <c r="T117" s="607"/>
      <c r="U117" s="34"/>
      <c r="V117" s="34"/>
      <c r="W117" s="35" t="s">
        <v>67</v>
      </c>
      <c r="X117" s="597">
        <v>0</v>
      </c>
      <c r="Y117" s="598">
        <f t="shared" si="16"/>
        <v>0</v>
      </c>
      <c r="Z117" s="36" t="str">
        <f>IFERROR(IF(Y117=0,"",ROUNDUP(Y117/H117,0)*0.00651),"")</f>
        <v/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t="27" customHeight="1" x14ac:dyDescent="0.25">
      <c r="A118" s="54" t="s">
        <v>225</v>
      </c>
      <c r="B118" s="54" t="s">
        <v>227</v>
      </c>
      <c r="C118" s="31">
        <v>4301020392</v>
      </c>
      <c r="D118" s="603">
        <v>4680115880658</v>
      </c>
      <c r="E118" s="604"/>
      <c r="F118" s="596">
        <v>0.4</v>
      </c>
      <c r="G118" s="32">
        <v>6</v>
      </c>
      <c r="H118" s="596">
        <v>2.4</v>
      </c>
      <c r="I118" s="596">
        <v>2.58</v>
      </c>
      <c r="J118" s="32">
        <v>182</v>
      </c>
      <c r="K118" s="32" t="s">
        <v>77</v>
      </c>
      <c r="L118" s="32"/>
      <c r="M118" s="33" t="s">
        <v>121</v>
      </c>
      <c r="N118" s="33"/>
      <c r="O118" s="32">
        <v>55</v>
      </c>
      <c r="P118" s="84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06"/>
      <c r="R118" s="606"/>
      <c r="S118" s="606"/>
      <c r="T118" s="607"/>
      <c r="U118" s="34"/>
      <c r="V118" s="34"/>
      <c r="W118" s="35" t="s">
        <v>67</v>
      </c>
      <c r="X118" s="597">
        <v>0</v>
      </c>
      <c r="Y118" s="598">
        <f t="shared" si="16"/>
        <v>0</v>
      </c>
      <c r="Z118" s="36" t="str">
        <f>IFERROR(IF(Y118=0,"",ROUNDUP(Y118/H118,0)*0.00651),"")</f>
        <v/>
      </c>
      <c r="AA118" s="56"/>
      <c r="AB118" s="57"/>
      <c r="AC118" s="175" t="s">
        <v>217</v>
      </c>
      <c r="AG118" s="64"/>
      <c r="AJ118" s="68"/>
      <c r="AK118" s="68">
        <v>0</v>
      </c>
      <c r="BB118" s="176" t="s">
        <v>1</v>
      </c>
      <c r="BM118" s="64">
        <f t="shared" si="17"/>
        <v>0</v>
      </c>
      <c r="BN118" s="64">
        <f t="shared" si="18"/>
        <v>0</v>
      </c>
      <c r="BO118" s="64">
        <f t="shared" si="19"/>
        <v>0</v>
      </c>
      <c r="BP118" s="64">
        <f t="shared" si="20"/>
        <v>0</v>
      </c>
    </row>
    <row r="119" spans="1:68" x14ac:dyDescent="0.2">
      <c r="A119" s="617"/>
      <c r="B119" s="609"/>
      <c r="C119" s="609"/>
      <c r="D119" s="609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18"/>
      <c r="P119" s="613" t="s">
        <v>72</v>
      </c>
      <c r="Q119" s="614"/>
      <c r="R119" s="614"/>
      <c r="S119" s="614"/>
      <c r="T119" s="614"/>
      <c r="U119" s="614"/>
      <c r="V119" s="615"/>
      <c r="W119" s="37" t="s">
        <v>73</v>
      </c>
      <c r="X119" s="599">
        <f>IFERROR(X112/H112,"0")+IFERROR(X113/H113,"0")+IFERROR(X114/H114,"0")+IFERROR(X115/H115,"0")+IFERROR(X116/H116,"0")+IFERROR(X117/H117,"0")+IFERROR(X118/H118,"0")</f>
        <v>0</v>
      </c>
      <c r="Y119" s="599">
        <f>IFERROR(Y112/H112,"0")+IFERROR(Y113/H113,"0")+IFERROR(Y114/H114,"0")+IFERROR(Y115/H115,"0")+IFERROR(Y116/H116,"0")+IFERROR(Y117/H117,"0")+IFERROR(Y118/H118,"0")</f>
        <v>0</v>
      </c>
      <c r="Z119" s="599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00"/>
      <c r="AB119" s="600"/>
      <c r="AC119" s="600"/>
    </row>
    <row r="120" spans="1:68" x14ac:dyDescent="0.2">
      <c r="A120" s="609"/>
      <c r="B120" s="609"/>
      <c r="C120" s="609"/>
      <c r="D120" s="609"/>
      <c r="E120" s="609"/>
      <c r="F120" s="609"/>
      <c r="G120" s="609"/>
      <c r="H120" s="609"/>
      <c r="I120" s="609"/>
      <c r="J120" s="609"/>
      <c r="K120" s="609"/>
      <c r="L120" s="609"/>
      <c r="M120" s="609"/>
      <c r="N120" s="609"/>
      <c r="O120" s="618"/>
      <c r="P120" s="613" t="s">
        <v>72</v>
      </c>
      <c r="Q120" s="614"/>
      <c r="R120" s="614"/>
      <c r="S120" s="614"/>
      <c r="T120" s="614"/>
      <c r="U120" s="614"/>
      <c r="V120" s="615"/>
      <c r="W120" s="37" t="s">
        <v>67</v>
      </c>
      <c r="X120" s="599">
        <f>IFERROR(SUM(X112:X118),"0")</f>
        <v>0</v>
      </c>
      <c r="Y120" s="599">
        <f>IFERROR(SUM(Y112:Y118),"0")</f>
        <v>0</v>
      </c>
      <c r="Z120" s="37"/>
      <c r="AA120" s="600"/>
      <c r="AB120" s="600"/>
      <c r="AC120" s="600"/>
    </row>
    <row r="121" spans="1:68" ht="14.25" customHeight="1" x14ac:dyDescent="0.25">
      <c r="A121" s="608" t="s">
        <v>74</v>
      </c>
      <c r="B121" s="609"/>
      <c r="C121" s="609"/>
      <c r="D121" s="609"/>
      <c r="E121" s="609"/>
      <c r="F121" s="609"/>
      <c r="G121" s="609"/>
      <c r="H121" s="609"/>
      <c r="I121" s="609"/>
      <c r="J121" s="609"/>
      <c r="K121" s="609"/>
      <c r="L121" s="609"/>
      <c r="M121" s="609"/>
      <c r="N121" s="609"/>
      <c r="O121" s="609"/>
      <c r="P121" s="609"/>
      <c r="Q121" s="609"/>
      <c r="R121" s="609"/>
      <c r="S121" s="609"/>
      <c r="T121" s="609"/>
      <c r="U121" s="609"/>
      <c r="V121" s="609"/>
      <c r="W121" s="609"/>
      <c r="X121" s="609"/>
      <c r="Y121" s="609"/>
      <c r="Z121" s="609"/>
      <c r="AA121" s="593"/>
      <c r="AB121" s="593"/>
      <c r="AC121" s="593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03">
        <v>4607091385168</v>
      </c>
      <c r="E122" s="604"/>
      <c r="F122" s="596">
        <v>1.35</v>
      </c>
      <c r="G122" s="32">
        <v>6</v>
      </c>
      <c r="H122" s="596">
        <v>8.1</v>
      </c>
      <c r="I122" s="596">
        <v>8.5879999999999992</v>
      </c>
      <c r="J122" s="32">
        <v>64</v>
      </c>
      <c r="K122" s="32" t="s">
        <v>120</v>
      </c>
      <c r="L122" s="32"/>
      <c r="M122" s="33" t="s">
        <v>84</v>
      </c>
      <c r="N122" s="33"/>
      <c r="O122" s="32">
        <v>45</v>
      </c>
      <c r="P122" s="81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06"/>
      <c r="R122" s="606"/>
      <c r="S122" s="606"/>
      <c r="T122" s="607"/>
      <c r="U122" s="34"/>
      <c r="V122" s="34"/>
      <c r="W122" s="35" t="s">
        <v>67</v>
      </c>
      <c r="X122" s="597">
        <v>0</v>
      </c>
      <c r="Y122" s="598">
        <f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77" t="s">
        <v>230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customHeight="1" x14ac:dyDescent="0.25">
      <c r="A123" s="54" t="s">
        <v>231</v>
      </c>
      <c r="B123" s="54" t="s">
        <v>232</v>
      </c>
      <c r="C123" s="31">
        <v>4301051730</v>
      </c>
      <c r="D123" s="603">
        <v>4607091383256</v>
      </c>
      <c r="E123" s="604"/>
      <c r="F123" s="596">
        <v>0.33</v>
      </c>
      <c r="G123" s="32">
        <v>6</v>
      </c>
      <c r="H123" s="596">
        <v>1.98</v>
      </c>
      <c r="I123" s="596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06"/>
      <c r="R123" s="606"/>
      <c r="S123" s="606"/>
      <c r="T123" s="607"/>
      <c r="U123" s="34"/>
      <c r="V123" s="34"/>
      <c r="W123" s="35" t="s">
        <v>67</v>
      </c>
      <c r="X123" s="597">
        <v>0</v>
      </c>
      <c r="Y123" s="59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230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4301051721</v>
      </c>
      <c r="D124" s="603">
        <v>4607091385748</v>
      </c>
      <c r="E124" s="604"/>
      <c r="F124" s="596">
        <v>0.45</v>
      </c>
      <c r="G124" s="32">
        <v>6</v>
      </c>
      <c r="H124" s="596">
        <v>2.7</v>
      </c>
      <c r="I124" s="596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6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06"/>
      <c r="R124" s="606"/>
      <c r="S124" s="606"/>
      <c r="T124" s="607"/>
      <c r="U124" s="34"/>
      <c r="V124" s="34"/>
      <c r="W124" s="35" t="s">
        <v>67</v>
      </c>
      <c r="X124" s="597">
        <v>52</v>
      </c>
      <c r="Y124" s="598">
        <f>IFERROR(IF(X124="",0,CEILING((X124/$H124),1)*$H124),"")</f>
        <v>54</v>
      </c>
      <c r="Z124" s="36">
        <f>IFERROR(IF(Y124=0,"",ROUNDUP(Y124/H124,0)*0.00651),"")</f>
        <v>0.13020000000000001</v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56.853333333333325</v>
      </c>
      <c r="BN124" s="64">
        <f>IFERROR(Y124*I124/H124,"0")</f>
        <v>59.039999999999992</v>
      </c>
      <c r="BO124" s="64">
        <f>IFERROR(1/J124*(X124/H124),"0")</f>
        <v>0.10582010582010583</v>
      </c>
      <c r="BP124" s="64">
        <f>IFERROR(1/J124*(Y124/H124),"0")</f>
        <v>0.1098901098901099</v>
      </c>
    </row>
    <row r="125" spans="1:68" ht="16.5" customHeight="1" x14ac:dyDescent="0.25">
      <c r="A125" s="54" t="s">
        <v>235</v>
      </c>
      <c r="B125" s="54" t="s">
        <v>236</v>
      </c>
      <c r="C125" s="31">
        <v>4301051740</v>
      </c>
      <c r="D125" s="603">
        <v>4680115884533</v>
      </c>
      <c r="E125" s="604"/>
      <c r="F125" s="596">
        <v>0.3</v>
      </c>
      <c r="G125" s="32">
        <v>6</v>
      </c>
      <c r="H125" s="596">
        <v>1.8</v>
      </c>
      <c r="I125" s="596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71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06"/>
      <c r="R125" s="606"/>
      <c r="S125" s="606"/>
      <c r="T125" s="607"/>
      <c r="U125" s="34"/>
      <c r="V125" s="34"/>
      <c r="W125" s="35" t="s">
        <v>67</v>
      </c>
      <c r="X125" s="597">
        <v>0</v>
      </c>
      <c r="Y125" s="598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17"/>
      <c r="B126" s="609"/>
      <c r="C126" s="609"/>
      <c r="D126" s="609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18"/>
      <c r="P126" s="613" t="s">
        <v>72</v>
      </c>
      <c r="Q126" s="614"/>
      <c r="R126" s="614"/>
      <c r="S126" s="614"/>
      <c r="T126" s="614"/>
      <c r="U126" s="614"/>
      <c r="V126" s="615"/>
      <c r="W126" s="37" t="s">
        <v>73</v>
      </c>
      <c r="X126" s="599">
        <f>IFERROR(X122/H122,"0")+IFERROR(X123/H123,"0")+IFERROR(X124/H124,"0")+IFERROR(X125/H125,"0")</f>
        <v>19.25925925925926</v>
      </c>
      <c r="Y126" s="599">
        <f>IFERROR(Y122/H122,"0")+IFERROR(Y123/H123,"0")+IFERROR(Y124/H124,"0")+IFERROR(Y125/H125,"0")</f>
        <v>20</v>
      </c>
      <c r="Z126" s="599">
        <f>IFERROR(IF(Z122="",0,Z122),"0")+IFERROR(IF(Z123="",0,Z123),"0")+IFERROR(IF(Z124="",0,Z124),"0")+IFERROR(IF(Z125="",0,Z125),"0")</f>
        <v>0.13020000000000001</v>
      </c>
      <c r="AA126" s="600"/>
      <c r="AB126" s="600"/>
      <c r="AC126" s="600"/>
    </row>
    <row r="127" spans="1:68" x14ac:dyDescent="0.2">
      <c r="A127" s="609"/>
      <c r="B127" s="609"/>
      <c r="C127" s="609"/>
      <c r="D127" s="609"/>
      <c r="E127" s="609"/>
      <c r="F127" s="609"/>
      <c r="G127" s="609"/>
      <c r="H127" s="609"/>
      <c r="I127" s="609"/>
      <c r="J127" s="609"/>
      <c r="K127" s="609"/>
      <c r="L127" s="609"/>
      <c r="M127" s="609"/>
      <c r="N127" s="609"/>
      <c r="O127" s="618"/>
      <c r="P127" s="613" t="s">
        <v>72</v>
      </c>
      <c r="Q127" s="614"/>
      <c r="R127" s="614"/>
      <c r="S127" s="614"/>
      <c r="T127" s="614"/>
      <c r="U127" s="614"/>
      <c r="V127" s="615"/>
      <c r="W127" s="37" t="s">
        <v>67</v>
      </c>
      <c r="X127" s="599">
        <f>IFERROR(SUM(X122:X125),"0")</f>
        <v>52</v>
      </c>
      <c r="Y127" s="599">
        <f>IFERROR(SUM(Y122:Y125),"0")</f>
        <v>54</v>
      </c>
      <c r="Z127" s="37"/>
      <c r="AA127" s="600"/>
      <c r="AB127" s="600"/>
      <c r="AC127" s="600"/>
    </row>
    <row r="128" spans="1:68" ht="14.25" customHeight="1" x14ac:dyDescent="0.25">
      <c r="A128" s="608" t="s">
        <v>169</v>
      </c>
      <c r="B128" s="609"/>
      <c r="C128" s="609"/>
      <c r="D128" s="609"/>
      <c r="E128" s="609"/>
      <c r="F128" s="609"/>
      <c r="G128" s="609"/>
      <c r="H128" s="609"/>
      <c r="I128" s="609"/>
      <c r="J128" s="609"/>
      <c r="K128" s="609"/>
      <c r="L128" s="609"/>
      <c r="M128" s="609"/>
      <c r="N128" s="609"/>
      <c r="O128" s="609"/>
      <c r="P128" s="609"/>
      <c r="Q128" s="609"/>
      <c r="R128" s="609"/>
      <c r="S128" s="609"/>
      <c r="T128" s="609"/>
      <c r="U128" s="609"/>
      <c r="V128" s="609"/>
      <c r="W128" s="609"/>
      <c r="X128" s="609"/>
      <c r="Y128" s="609"/>
      <c r="Z128" s="609"/>
      <c r="AA128" s="593"/>
      <c r="AB128" s="593"/>
      <c r="AC128" s="593"/>
    </row>
    <row r="129" spans="1:68" ht="16.5" customHeight="1" x14ac:dyDescent="0.25">
      <c r="A129" s="54" t="s">
        <v>238</v>
      </c>
      <c r="B129" s="54" t="s">
        <v>239</v>
      </c>
      <c r="C129" s="31">
        <v>4301060317</v>
      </c>
      <c r="D129" s="603">
        <v>4680115880238</v>
      </c>
      <c r="E129" s="604"/>
      <c r="F129" s="596">
        <v>0.33</v>
      </c>
      <c r="G129" s="32">
        <v>6</v>
      </c>
      <c r="H129" s="596">
        <v>1.98</v>
      </c>
      <c r="I129" s="596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8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06"/>
      <c r="R129" s="606"/>
      <c r="S129" s="606"/>
      <c r="T129" s="607"/>
      <c r="U129" s="34"/>
      <c r="V129" s="34"/>
      <c r="W129" s="35" t="s">
        <v>67</v>
      </c>
      <c r="X129" s="597">
        <v>0</v>
      </c>
      <c r="Y129" s="59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240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617"/>
      <c r="B130" s="609"/>
      <c r="C130" s="609"/>
      <c r="D130" s="609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18"/>
      <c r="P130" s="613" t="s">
        <v>72</v>
      </c>
      <c r="Q130" s="614"/>
      <c r="R130" s="614"/>
      <c r="S130" s="614"/>
      <c r="T130" s="614"/>
      <c r="U130" s="614"/>
      <c r="V130" s="615"/>
      <c r="W130" s="37" t="s">
        <v>73</v>
      </c>
      <c r="X130" s="599">
        <f>IFERROR(X129/H129,"0")</f>
        <v>0</v>
      </c>
      <c r="Y130" s="599">
        <f>IFERROR(Y129/H129,"0")</f>
        <v>0</v>
      </c>
      <c r="Z130" s="599">
        <f>IFERROR(IF(Z129="",0,Z129),"0")</f>
        <v>0</v>
      </c>
      <c r="AA130" s="600"/>
      <c r="AB130" s="600"/>
      <c r="AC130" s="600"/>
    </row>
    <row r="131" spans="1:68" x14ac:dyDescent="0.2">
      <c r="A131" s="609"/>
      <c r="B131" s="609"/>
      <c r="C131" s="609"/>
      <c r="D131" s="609"/>
      <c r="E131" s="609"/>
      <c r="F131" s="609"/>
      <c r="G131" s="609"/>
      <c r="H131" s="609"/>
      <c r="I131" s="609"/>
      <c r="J131" s="609"/>
      <c r="K131" s="609"/>
      <c r="L131" s="609"/>
      <c r="M131" s="609"/>
      <c r="N131" s="609"/>
      <c r="O131" s="618"/>
      <c r="P131" s="613" t="s">
        <v>72</v>
      </c>
      <c r="Q131" s="614"/>
      <c r="R131" s="614"/>
      <c r="S131" s="614"/>
      <c r="T131" s="614"/>
      <c r="U131" s="614"/>
      <c r="V131" s="615"/>
      <c r="W131" s="37" t="s">
        <v>67</v>
      </c>
      <c r="X131" s="599">
        <f>IFERROR(SUM(X129:X129),"0")</f>
        <v>0</v>
      </c>
      <c r="Y131" s="599">
        <f>IFERROR(SUM(Y129:Y129),"0")</f>
        <v>0</v>
      </c>
      <c r="Z131" s="37"/>
      <c r="AA131" s="600"/>
      <c r="AB131" s="600"/>
      <c r="AC131" s="600"/>
    </row>
    <row r="132" spans="1:68" ht="16.5" customHeight="1" x14ac:dyDescent="0.25">
      <c r="A132" s="612" t="s">
        <v>241</v>
      </c>
      <c r="B132" s="609"/>
      <c r="C132" s="609"/>
      <c r="D132" s="609"/>
      <c r="E132" s="609"/>
      <c r="F132" s="609"/>
      <c r="G132" s="609"/>
      <c r="H132" s="609"/>
      <c r="I132" s="609"/>
      <c r="J132" s="609"/>
      <c r="K132" s="609"/>
      <c r="L132" s="609"/>
      <c r="M132" s="609"/>
      <c r="N132" s="609"/>
      <c r="O132" s="609"/>
      <c r="P132" s="609"/>
      <c r="Q132" s="609"/>
      <c r="R132" s="609"/>
      <c r="S132" s="609"/>
      <c r="T132" s="609"/>
      <c r="U132" s="609"/>
      <c r="V132" s="609"/>
      <c r="W132" s="609"/>
      <c r="X132" s="609"/>
      <c r="Y132" s="609"/>
      <c r="Z132" s="609"/>
      <c r="AA132" s="592"/>
      <c r="AB132" s="592"/>
      <c r="AC132" s="592"/>
    </row>
    <row r="133" spans="1:68" ht="14.25" customHeight="1" x14ac:dyDescent="0.25">
      <c r="A133" s="608" t="s">
        <v>117</v>
      </c>
      <c r="B133" s="609"/>
      <c r="C133" s="609"/>
      <c r="D133" s="609"/>
      <c r="E133" s="609"/>
      <c r="F133" s="609"/>
      <c r="G133" s="609"/>
      <c r="H133" s="609"/>
      <c r="I133" s="609"/>
      <c r="J133" s="609"/>
      <c r="K133" s="609"/>
      <c r="L133" s="609"/>
      <c r="M133" s="609"/>
      <c r="N133" s="609"/>
      <c r="O133" s="609"/>
      <c r="P133" s="609"/>
      <c r="Q133" s="609"/>
      <c r="R133" s="609"/>
      <c r="S133" s="609"/>
      <c r="T133" s="609"/>
      <c r="U133" s="609"/>
      <c r="V133" s="609"/>
      <c r="W133" s="609"/>
      <c r="X133" s="609"/>
      <c r="Y133" s="609"/>
      <c r="Z133" s="609"/>
      <c r="AA133" s="593"/>
      <c r="AB133" s="593"/>
      <c r="AC133" s="593"/>
    </row>
    <row r="134" spans="1:68" ht="27" customHeight="1" x14ac:dyDescent="0.25">
      <c r="A134" s="54" t="s">
        <v>242</v>
      </c>
      <c r="B134" s="54" t="s">
        <v>243</v>
      </c>
      <c r="C134" s="31">
        <v>4301011562</v>
      </c>
      <c r="D134" s="603">
        <v>4680115882577</v>
      </c>
      <c r="E134" s="604"/>
      <c r="F134" s="596">
        <v>0.4</v>
      </c>
      <c r="G134" s="32">
        <v>8</v>
      </c>
      <c r="H134" s="596">
        <v>3.2</v>
      </c>
      <c r="I134" s="596">
        <v>3.38</v>
      </c>
      <c r="J134" s="32">
        <v>182</v>
      </c>
      <c r="K134" s="32" t="s">
        <v>77</v>
      </c>
      <c r="L134" s="32"/>
      <c r="M134" s="33" t="s">
        <v>98</v>
      </c>
      <c r="N134" s="33"/>
      <c r="O134" s="32">
        <v>90</v>
      </c>
      <c r="P134" s="6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06"/>
      <c r="R134" s="606"/>
      <c r="S134" s="606"/>
      <c r="T134" s="607"/>
      <c r="U134" s="34"/>
      <c r="V134" s="34"/>
      <c r="W134" s="35" t="s">
        <v>67</v>
      </c>
      <c r="X134" s="597">
        <v>31</v>
      </c>
      <c r="Y134" s="598">
        <f>IFERROR(IF(X134="",0,CEILING((X134/$H134),1)*$H134),"")</f>
        <v>32</v>
      </c>
      <c r="Z134" s="36">
        <f>IFERROR(IF(Y134=0,"",ROUNDUP(Y134/H134,0)*0.00651),"")</f>
        <v>6.5100000000000005E-2</v>
      </c>
      <c r="AA134" s="56"/>
      <c r="AB134" s="57"/>
      <c r="AC134" s="187" t="s">
        <v>244</v>
      </c>
      <c r="AG134" s="64"/>
      <c r="AJ134" s="68"/>
      <c r="AK134" s="68">
        <v>0</v>
      </c>
      <c r="BB134" s="188" t="s">
        <v>1</v>
      </c>
      <c r="BM134" s="64">
        <f>IFERROR(X134*I134/H134,"0")</f>
        <v>32.743749999999999</v>
      </c>
      <c r="BN134" s="64">
        <f>IFERROR(Y134*I134/H134,"0")</f>
        <v>33.799999999999997</v>
      </c>
      <c r="BO134" s="64">
        <f>IFERROR(1/J134*(X134/H134),"0")</f>
        <v>5.3228021978021983E-2</v>
      </c>
      <c r="BP134" s="64">
        <f>IFERROR(1/J134*(Y134/H134),"0")</f>
        <v>5.4945054945054951E-2</v>
      </c>
    </row>
    <row r="135" spans="1:68" ht="27" customHeight="1" x14ac:dyDescent="0.25">
      <c r="A135" s="54" t="s">
        <v>242</v>
      </c>
      <c r="B135" s="54" t="s">
        <v>245</v>
      </c>
      <c r="C135" s="31">
        <v>4301011564</v>
      </c>
      <c r="D135" s="603">
        <v>4680115882577</v>
      </c>
      <c r="E135" s="604"/>
      <c r="F135" s="596">
        <v>0.4</v>
      </c>
      <c r="G135" s="32">
        <v>8</v>
      </c>
      <c r="H135" s="596">
        <v>3.2</v>
      </c>
      <c r="I135" s="596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06"/>
      <c r="R135" s="606"/>
      <c r="S135" s="606"/>
      <c r="T135" s="607"/>
      <c r="U135" s="34"/>
      <c r="V135" s="34"/>
      <c r="W135" s="35" t="s">
        <v>67</v>
      </c>
      <c r="X135" s="597">
        <v>0</v>
      </c>
      <c r="Y135" s="59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17"/>
      <c r="B136" s="609"/>
      <c r="C136" s="609"/>
      <c r="D136" s="609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18"/>
      <c r="P136" s="613" t="s">
        <v>72</v>
      </c>
      <c r="Q136" s="614"/>
      <c r="R136" s="614"/>
      <c r="S136" s="614"/>
      <c r="T136" s="614"/>
      <c r="U136" s="614"/>
      <c r="V136" s="615"/>
      <c r="W136" s="37" t="s">
        <v>73</v>
      </c>
      <c r="X136" s="599">
        <f>IFERROR(X134/H134,"0")+IFERROR(X135/H135,"0")</f>
        <v>9.6875</v>
      </c>
      <c r="Y136" s="599">
        <f>IFERROR(Y134/H134,"0")+IFERROR(Y135/H135,"0")</f>
        <v>10</v>
      </c>
      <c r="Z136" s="599">
        <f>IFERROR(IF(Z134="",0,Z134),"0")+IFERROR(IF(Z135="",0,Z135),"0")</f>
        <v>6.5100000000000005E-2</v>
      </c>
      <c r="AA136" s="600"/>
      <c r="AB136" s="600"/>
      <c r="AC136" s="600"/>
    </row>
    <row r="137" spans="1:68" x14ac:dyDescent="0.2">
      <c r="A137" s="609"/>
      <c r="B137" s="609"/>
      <c r="C137" s="609"/>
      <c r="D137" s="609"/>
      <c r="E137" s="609"/>
      <c r="F137" s="609"/>
      <c r="G137" s="609"/>
      <c r="H137" s="609"/>
      <c r="I137" s="609"/>
      <c r="J137" s="609"/>
      <c r="K137" s="609"/>
      <c r="L137" s="609"/>
      <c r="M137" s="609"/>
      <c r="N137" s="609"/>
      <c r="O137" s="618"/>
      <c r="P137" s="613" t="s">
        <v>72</v>
      </c>
      <c r="Q137" s="614"/>
      <c r="R137" s="614"/>
      <c r="S137" s="614"/>
      <c r="T137" s="614"/>
      <c r="U137" s="614"/>
      <c r="V137" s="615"/>
      <c r="W137" s="37" t="s">
        <v>67</v>
      </c>
      <c r="X137" s="599">
        <f>IFERROR(SUM(X134:X135),"0")</f>
        <v>31</v>
      </c>
      <c r="Y137" s="599">
        <f>IFERROR(SUM(Y134:Y135),"0")</f>
        <v>32</v>
      </c>
      <c r="Z137" s="37"/>
      <c r="AA137" s="600"/>
      <c r="AB137" s="600"/>
      <c r="AC137" s="600"/>
    </row>
    <row r="138" spans="1:68" ht="14.25" customHeight="1" x14ac:dyDescent="0.25">
      <c r="A138" s="608" t="s">
        <v>62</v>
      </c>
      <c r="B138" s="609"/>
      <c r="C138" s="609"/>
      <c r="D138" s="609"/>
      <c r="E138" s="609"/>
      <c r="F138" s="609"/>
      <c r="G138" s="609"/>
      <c r="H138" s="609"/>
      <c r="I138" s="609"/>
      <c r="J138" s="609"/>
      <c r="K138" s="609"/>
      <c r="L138" s="609"/>
      <c r="M138" s="609"/>
      <c r="N138" s="609"/>
      <c r="O138" s="609"/>
      <c r="P138" s="609"/>
      <c r="Q138" s="609"/>
      <c r="R138" s="609"/>
      <c r="S138" s="609"/>
      <c r="T138" s="609"/>
      <c r="U138" s="609"/>
      <c r="V138" s="609"/>
      <c r="W138" s="609"/>
      <c r="X138" s="609"/>
      <c r="Y138" s="609"/>
      <c r="Z138" s="609"/>
      <c r="AA138" s="593"/>
      <c r="AB138" s="593"/>
      <c r="AC138" s="593"/>
    </row>
    <row r="139" spans="1:68" ht="27" customHeight="1" x14ac:dyDescent="0.25">
      <c r="A139" s="54" t="s">
        <v>246</v>
      </c>
      <c r="B139" s="54" t="s">
        <v>247</v>
      </c>
      <c r="C139" s="31">
        <v>4301031234</v>
      </c>
      <c r="D139" s="603">
        <v>4680115883444</v>
      </c>
      <c r="E139" s="604"/>
      <c r="F139" s="596">
        <v>0.35</v>
      </c>
      <c r="G139" s="32">
        <v>8</v>
      </c>
      <c r="H139" s="596">
        <v>2.8</v>
      </c>
      <c r="I139" s="596">
        <v>3.0680000000000001</v>
      </c>
      <c r="J139" s="32">
        <v>182</v>
      </c>
      <c r="K139" s="32" t="s">
        <v>77</v>
      </c>
      <c r="L139" s="32"/>
      <c r="M139" s="33" t="s">
        <v>98</v>
      </c>
      <c r="N139" s="33"/>
      <c r="O139" s="32">
        <v>90</v>
      </c>
      <c r="P139" s="7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06"/>
      <c r="R139" s="606"/>
      <c r="S139" s="606"/>
      <c r="T139" s="607"/>
      <c r="U139" s="34"/>
      <c r="V139" s="34"/>
      <c r="W139" s="35" t="s">
        <v>67</v>
      </c>
      <c r="X139" s="597">
        <v>13</v>
      </c>
      <c r="Y139" s="598">
        <f>IFERROR(IF(X139="",0,CEILING((X139/$H139),1)*$H139),"")</f>
        <v>14</v>
      </c>
      <c r="Z139" s="36">
        <f>IFERROR(IF(Y139=0,"",ROUNDUP(Y139/H139,0)*0.00651),"")</f>
        <v>3.2550000000000003E-2</v>
      </c>
      <c r="AA139" s="56"/>
      <c r="AB139" s="57"/>
      <c r="AC139" s="191" t="s">
        <v>248</v>
      </c>
      <c r="AG139" s="64"/>
      <c r="AJ139" s="68"/>
      <c r="AK139" s="68">
        <v>0</v>
      </c>
      <c r="BB139" s="192" t="s">
        <v>1</v>
      </c>
      <c r="BM139" s="64">
        <f>IFERROR(X139*I139/H139,"0")</f>
        <v>14.244285714285715</v>
      </c>
      <c r="BN139" s="64">
        <f>IFERROR(Y139*I139/H139,"0")</f>
        <v>15.34</v>
      </c>
      <c r="BO139" s="64">
        <f>IFERROR(1/J139*(X139/H139),"0")</f>
        <v>2.5510204081632657E-2</v>
      </c>
      <c r="BP139" s="64">
        <f>IFERROR(1/J139*(Y139/H139),"0")</f>
        <v>2.7472527472527476E-2</v>
      </c>
    </row>
    <row r="140" spans="1:68" ht="27" customHeight="1" x14ac:dyDescent="0.25">
      <c r="A140" s="54" t="s">
        <v>246</v>
      </c>
      <c r="B140" s="54" t="s">
        <v>249</v>
      </c>
      <c r="C140" s="31">
        <v>4301031235</v>
      </c>
      <c r="D140" s="603">
        <v>4680115883444</v>
      </c>
      <c r="E140" s="604"/>
      <c r="F140" s="596">
        <v>0.35</v>
      </c>
      <c r="G140" s="32">
        <v>8</v>
      </c>
      <c r="H140" s="596">
        <v>2.8</v>
      </c>
      <c r="I140" s="596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8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06"/>
      <c r="R140" s="606"/>
      <c r="S140" s="606"/>
      <c r="T140" s="607"/>
      <c r="U140" s="34"/>
      <c r="V140" s="34"/>
      <c r="W140" s="35" t="s">
        <v>67</v>
      </c>
      <c r="X140" s="597">
        <v>0</v>
      </c>
      <c r="Y140" s="59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248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17"/>
      <c r="B141" s="609"/>
      <c r="C141" s="609"/>
      <c r="D141" s="609"/>
      <c r="E141" s="609"/>
      <c r="F141" s="609"/>
      <c r="G141" s="609"/>
      <c r="H141" s="609"/>
      <c r="I141" s="609"/>
      <c r="J141" s="609"/>
      <c r="K141" s="609"/>
      <c r="L141" s="609"/>
      <c r="M141" s="609"/>
      <c r="N141" s="609"/>
      <c r="O141" s="618"/>
      <c r="P141" s="613" t="s">
        <v>72</v>
      </c>
      <c r="Q141" s="614"/>
      <c r="R141" s="614"/>
      <c r="S141" s="614"/>
      <c r="T141" s="614"/>
      <c r="U141" s="614"/>
      <c r="V141" s="615"/>
      <c r="W141" s="37" t="s">
        <v>73</v>
      </c>
      <c r="X141" s="599">
        <f>IFERROR(X139/H139,"0")+IFERROR(X140/H140,"0")</f>
        <v>4.6428571428571432</v>
      </c>
      <c r="Y141" s="599">
        <f>IFERROR(Y139/H139,"0")+IFERROR(Y140/H140,"0")</f>
        <v>5</v>
      </c>
      <c r="Z141" s="599">
        <f>IFERROR(IF(Z139="",0,Z139),"0")+IFERROR(IF(Z140="",0,Z140),"0")</f>
        <v>3.2550000000000003E-2</v>
      </c>
      <c r="AA141" s="600"/>
      <c r="AB141" s="600"/>
      <c r="AC141" s="600"/>
    </row>
    <row r="142" spans="1:68" x14ac:dyDescent="0.2">
      <c r="A142" s="609"/>
      <c r="B142" s="609"/>
      <c r="C142" s="609"/>
      <c r="D142" s="609"/>
      <c r="E142" s="609"/>
      <c r="F142" s="609"/>
      <c r="G142" s="609"/>
      <c r="H142" s="609"/>
      <c r="I142" s="609"/>
      <c r="J142" s="609"/>
      <c r="K142" s="609"/>
      <c r="L142" s="609"/>
      <c r="M142" s="609"/>
      <c r="N142" s="609"/>
      <c r="O142" s="618"/>
      <c r="P142" s="613" t="s">
        <v>72</v>
      </c>
      <c r="Q142" s="614"/>
      <c r="R142" s="614"/>
      <c r="S142" s="614"/>
      <c r="T142" s="614"/>
      <c r="U142" s="614"/>
      <c r="V142" s="615"/>
      <c r="W142" s="37" t="s">
        <v>67</v>
      </c>
      <c r="X142" s="599">
        <f>IFERROR(SUM(X139:X140),"0")</f>
        <v>13</v>
      </c>
      <c r="Y142" s="599">
        <f>IFERROR(SUM(Y139:Y140),"0")</f>
        <v>14</v>
      </c>
      <c r="Z142" s="37"/>
      <c r="AA142" s="600"/>
      <c r="AB142" s="600"/>
      <c r="AC142" s="600"/>
    </row>
    <row r="143" spans="1:68" ht="14.25" customHeight="1" x14ac:dyDescent="0.25">
      <c r="A143" s="608" t="s">
        <v>74</v>
      </c>
      <c r="B143" s="609"/>
      <c r="C143" s="609"/>
      <c r="D143" s="609"/>
      <c r="E143" s="609"/>
      <c r="F143" s="609"/>
      <c r="G143" s="609"/>
      <c r="H143" s="609"/>
      <c r="I143" s="609"/>
      <c r="J143" s="609"/>
      <c r="K143" s="609"/>
      <c r="L143" s="609"/>
      <c r="M143" s="609"/>
      <c r="N143" s="609"/>
      <c r="O143" s="609"/>
      <c r="P143" s="609"/>
      <c r="Q143" s="609"/>
      <c r="R143" s="609"/>
      <c r="S143" s="609"/>
      <c r="T143" s="609"/>
      <c r="U143" s="609"/>
      <c r="V143" s="609"/>
      <c r="W143" s="609"/>
      <c r="X143" s="609"/>
      <c r="Y143" s="609"/>
      <c r="Z143" s="609"/>
      <c r="AA143" s="593"/>
      <c r="AB143" s="593"/>
      <c r="AC143" s="593"/>
    </row>
    <row r="144" spans="1:68" ht="16.5" customHeight="1" x14ac:dyDescent="0.25">
      <c r="A144" s="54" t="s">
        <v>250</v>
      </c>
      <c r="B144" s="54" t="s">
        <v>251</v>
      </c>
      <c r="C144" s="31">
        <v>4301051476</v>
      </c>
      <c r="D144" s="603">
        <v>4680115882584</v>
      </c>
      <c r="E144" s="604"/>
      <c r="F144" s="596">
        <v>0.33</v>
      </c>
      <c r="G144" s="32">
        <v>8</v>
      </c>
      <c r="H144" s="596">
        <v>2.64</v>
      </c>
      <c r="I144" s="596">
        <v>2.9079999999999999</v>
      </c>
      <c r="J144" s="32">
        <v>182</v>
      </c>
      <c r="K144" s="32" t="s">
        <v>77</v>
      </c>
      <c r="L144" s="32"/>
      <c r="M144" s="33" t="s">
        <v>98</v>
      </c>
      <c r="N144" s="33"/>
      <c r="O144" s="32">
        <v>60</v>
      </c>
      <c r="P144" s="9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06"/>
      <c r="R144" s="606"/>
      <c r="S144" s="606"/>
      <c r="T144" s="607"/>
      <c r="U144" s="34"/>
      <c r="V144" s="34"/>
      <c r="W144" s="35" t="s">
        <v>67</v>
      </c>
      <c r="X144" s="597">
        <v>35</v>
      </c>
      <c r="Y144" s="598">
        <f>IFERROR(IF(X144="",0,CEILING((X144/$H144),1)*$H144),"")</f>
        <v>36.96</v>
      </c>
      <c r="Z144" s="36">
        <f>IFERROR(IF(Y144=0,"",ROUNDUP(Y144/H144,0)*0.00651),"")</f>
        <v>9.1139999999999999E-2</v>
      </c>
      <c r="AA144" s="56"/>
      <c r="AB144" s="57"/>
      <c r="AC144" s="195" t="s">
        <v>244</v>
      </c>
      <c r="AG144" s="64"/>
      <c r="AJ144" s="68"/>
      <c r="AK144" s="68">
        <v>0</v>
      </c>
      <c r="BB144" s="196" t="s">
        <v>1</v>
      </c>
      <c r="BM144" s="64">
        <f>IFERROR(X144*I144/H144,"0")</f>
        <v>38.553030303030305</v>
      </c>
      <c r="BN144" s="64">
        <f>IFERROR(Y144*I144/H144,"0")</f>
        <v>40.711999999999996</v>
      </c>
      <c r="BO144" s="64">
        <f>IFERROR(1/J144*(X144/H144),"0")</f>
        <v>7.2843822843822847E-2</v>
      </c>
      <c r="BP144" s="64">
        <f>IFERROR(1/J144*(Y144/H144),"0")</f>
        <v>7.6923076923076927E-2</v>
      </c>
    </row>
    <row r="145" spans="1:68" ht="16.5" customHeight="1" x14ac:dyDescent="0.25">
      <c r="A145" s="54" t="s">
        <v>250</v>
      </c>
      <c r="B145" s="54" t="s">
        <v>252</v>
      </c>
      <c r="C145" s="31">
        <v>4301051477</v>
      </c>
      <c r="D145" s="603">
        <v>4680115882584</v>
      </c>
      <c r="E145" s="604"/>
      <c r="F145" s="596">
        <v>0.33</v>
      </c>
      <c r="G145" s="32">
        <v>8</v>
      </c>
      <c r="H145" s="596">
        <v>2.64</v>
      </c>
      <c r="I145" s="596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91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06"/>
      <c r="R145" s="606"/>
      <c r="S145" s="606"/>
      <c r="T145" s="607"/>
      <c r="U145" s="34"/>
      <c r="V145" s="34"/>
      <c r="W145" s="35" t="s">
        <v>67</v>
      </c>
      <c r="X145" s="597">
        <v>0</v>
      </c>
      <c r="Y145" s="59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244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17"/>
      <c r="B146" s="609"/>
      <c r="C146" s="609"/>
      <c r="D146" s="609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18"/>
      <c r="P146" s="613" t="s">
        <v>72</v>
      </c>
      <c r="Q146" s="614"/>
      <c r="R146" s="614"/>
      <c r="S146" s="614"/>
      <c r="T146" s="614"/>
      <c r="U146" s="614"/>
      <c r="V146" s="615"/>
      <c r="W146" s="37" t="s">
        <v>73</v>
      </c>
      <c r="X146" s="599">
        <f>IFERROR(X144/H144,"0")+IFERROR(X145/H145,"0")</f>
        <v>13.257575757575758</v>
      </c>
      <c r="Y146" s="599">
        <f>IFERROR(Y144/H144,"0")+IFERROR(Y145/H145,"0")</f>
        <v>14</v>
      </c>
      <c r="Z146" s="599">
        <f>IFERROR(IF(Z144="",0,Z144),"0")+IFERROR(IF(Z145="",0,Z145),"0")</f>
        <v>9.1139999999999999E-2</v>
      </c>
      <c r="AA146" s="600"/>
      <c r="AB146" s="600"/>
      <c r="AC146" s="600"/>
    </row>
    <row r="147" spans="1:68" x14ac:dyDescent="0.2">
      <c r="A147" s="609"/>
      <c r="B147" s="609"/>
      <c r="C147" s="609"/>
      <c r="D147" s="609"/>
      <c r="E147" s="609"/>
      <c r="F147" s="609"/>
      <c r="G147" s="609"/>
      <c r="H147" s="609"/>
      <c r="I147" s="609"/>
      <c r="J147" s="609"/>
      <c r="K147" s="609"/>
      <c r="L147" s="609"/>
      <c r="M147" s="609"/>
      <c r="N147" s="609"/>
      <c r="O147" s="618"/>
      <c r="P147" s="613" t="s">
        <v>72</v>
      </c>
      <c r="Q147" s="614"/>
      <c r="R147" s="614"/>
      <c r="S147" s="614"/>
      <c r="T147" s="614"/>
      <c r="U147" s="614"/>
      <c r="V147" s="615"/>
      <c r="W147" s="37" t="s">
        <v>67</v>
      </c>
      <c r="X147" s="599">
        <f>IFERROR(SUM(X144:X145),"0")</f>
        <v>35</v>
      </c>
      <c r="Y147" s="599">
        <f>IFERROR(SUM(Y144:Y145),"0")</f>
        <v>36.96</v>
      </c>
      <c r="Z147" s="37"/>
      <c r="AA147" s="600"/>
      <c r="AB147" s="600"/>
      <c r="AC147" s="600"/>
    </row>
    <row r="148" spans="1:68" ht="16.5" customHeight="1" x14ac:dyDescent="0.25">
      <c r="A148" s="612" t="s">
        <v>253</v>
      </c>
      <c r="B148" s="609"/>
      <c r="C148" s="609"/>
      <c r="D148" s="609"/>
      <c r="E148" s="609"/>
      <c r="F148" s="609"/>
      <c r="G148" s="609"/>
      <c r="H148" s="609"/>
      <c r="I148" s="609"/>
      <c r="J148" s="609"/>
      <c r="K148" s="609"/>
      <c r="L148" s="609"/>
      <c r="M148" s="609"/>
      <c r="N148" s="609"/>
      <c r="O148" s="609"/>
      <c r="P148" s="609"/>
      <c r="Q148" s="609"/>
      <c r="R148" s="609"/>
      <c r="S148" s="609"/>
      <c r="T148" s="609"/>
      <c r="U148" s="609"/>
      <c r="V148" s="609"/>
      <c r="W148" s="609"/>
      <c r="X148" s="609"/>
      <c r="Y148" s="609"/>
      <c r="Z148" s="609"/>
      <c r="AA148" s="592"/>
      <c r="AB148" s="592"/>
      <c r="AC148" s="592"/>
    </row>
    <row r="149" spans="1:68" ht="14.25" customHeight="1" x14ac:dyDescent="0.25">
      <c r="A149" s="608" t="s">
        <v>74</v>
      </c>
      <c r="B149" s="609"/>
      <c r="C149" s="609"/>
      <c r="D149" s="609"/>
      <c r="E149" s="609"/>
      <c r="F149" s="609"/>
      <c r="G149" s="609"/>
      <c r="H149" s="609"/>
      <c r="I149" s="609"/>
      <c r="J149" s="609"/>
      <c r="K149" s="609"/>
      <c r="L149" s="609"/>
      <c r="M149" s="609"/>
      <c r="N149" s="609"/>
      <c r="O149" s="609"/>
      <c r="P149" s="609"/>
      <c r="Q149" s="609"/>
      <c r="R149" s="609"/>
      <c r="S149" s="609"/>
      <c r="T149" s="609"/>
      <c r="U149" s="609"/>
      <c r="V149" s="609"/>
      <c r="W149" s="609"/>
      <c r="X149" s="609"/>
      <c r="Y149" s="609"/>
      <c r="Z149" s="609"/>
      <c r="AA149" s="593"/>
      <c r="AB149" s="593"/>
      <c r="AC149" s="593"/>
    </row>
    <row r="150" spans="1:68" ht="27" customHeight="1" x14ac:dyDescent="0.25">
      <c r="A150" s="54" t="s">
        <v>254</v>
      </c>
      <c r="B150" s="54" t="s">
        <v>255</v>
      </c>
      <c r="C150" s="31">
        <v>4301052174</v>
      </c>
      <c r="D150" s="603">
        <v>4680115888203</v>
      </c>
      <c r="E150" s="604"/>
      <c r="F150" s="596">
        <v>0.22</v>
      </c>
      <c r="G150" s="32">
        <v>9</v>
      </c>
      <c r="H150" s="596">
        <v>1.98</v>
      </c>
      <c r="I150" s="596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92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06"/>
      <c r="R150" s="606"/>
      <c r="S150" s="606"/>
      <c r="T150" s="607"/>
      <c r="U150" s="34"/>
      <c r="V150" s="34"/>
      <c r="W150" s="35" t="s">
        <v>67</v>
      </c>
      <c r="X150" s="597">
        <v>0</v>
      </c>
      <c r="Y150" s="59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256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4301052172</v>
      </c>
      <c r="D151" s="603">
        <v>4680115888180</v>
      </c>
      <c r="E151" s="604"/>
      <c r="F151" s="596">
        <v>0.22</v>
      </c>
      <c r="G151" s="32">
        <v>9</v>
      </c>
      <c r="H151" s="596">
        <v>1.98</v>
      </c>
      <c r="I151" s="596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63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06"/>
      <c r="R151" s="606"/>
      <c r="S151" s="606"/>
      <c r="T151" s="607"/>
      <c r="U151" s="34"/>
      <c r="V151" s="34"/>
      <c r="W151" s="35" t="s">
        <v>67</v>
      </c>
      <c r="X151" s="597">
        <v>0</v>
      </c>
      <c r="Y151" s="598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259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4301052173</v>
      </c>
      <c r="D152" s="603">
        <v>4680115888197</v>
      </c>
      <c r="E152" s="604"/>
      <c r="F152" s="596">
        <v>0.22</v>
      </c>
      <c r="G152" s="32">
        <v>9</v>
      </c>
      <c r="H152" s="596">
        <v>1.98</v>
      </c>
      <c r="I152" s="596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93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06"/>
      <c r="R152" s="606"/>
      <c r="S152" s="606"/>
      <c r="T152" s="607"/>
      <c r="U152" s="34"/>
      <c r="V152" s="34"/>
      <c r="W152" s="35" t="s">
        <v>67</v>
      </c>
      <c r="X152" s="597">
        <v>0</v>
      </c>
      <c r="Y152" s="598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262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263</v>
      </c>
      <c r="B153" s="54" t="s">
        <v>264</v>
      </c>
      <c r="C153" s="31">
        <v>4301052175</v>
      </c>
      <c r="D153" s="603">
        <v>4680115888210</v>
      </c>
      <c r="E153" s="604"/>
      <c r="F153" s="596">
        <v>0.22</v>
      </c>
      <c r="G153" s="32">
        <v>9</v>
      </c>
      <c r="H153" s="596">
        <v>1.98</v>
      </c>
      <c r="I153" s="596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06"/>
      <c r="R153" s="606"/>
      <c r="S153" s="606"/>
      <c r="T153" s="607"/>
      <c r="U153" s="34"/>
      <c r="V153" s="34"/>
      <c r="W153" s="35" t="s">
        <v>67</v>
      </c>
      <c r="X153" s="597">
        <v>0</v>
      </c>
      <c r="Y153" s="598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265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17"/>
      <c r="B154" s="609"/>
      <c r="C154" s="609"/>
      <c r="D154" s="609"/>
      <c r="E154" s="609"/>
      <c r="F154" s="609"/>
      <c r="G154" s="609"/>
      <c r="H154" s="609"/>
      <c r="I154" s="609"/>
      <c r="J154" s="609"/>
      <c r="K154" s="609"/>
      <c r="L154" s="609"/>
      <c r="M154" s="609"/>
      <c r="N154" s="609"/>
      <c r="O154" s="618"/>
      <c r="P154" s="613" t="s">
        <v>72</v>
      </c>
      <c r="Q154" s="614"/>
      <c r="R154" s="614"/>
      <c r="S154" s="614"/>
      <c r="T154" s="614"/>
      <c r="U154" s="614"/>
      <c r="V154" s="615"/>
      <c r="W154" s="37" t="s">
        <v>73</v>
      </c>
      <c r="X154" s="599">
        <f>IFERROR(X150/H150,"0")+IFERROR(X151/H151,"0")+IFERROR(X152/H152,"0")+IFERROR(X153/H153,"0")</f>
        <v>0</v>
      </c>
      <c r="Y154" s="599">
        <f>IFERROR(Y150/H150,"0")+IFERROR(Y151/H151,"0")+IFERROR(Y152/H152,"0")+IFERROR(Y153/H153,"0")</f>
        <v>0</v>
      </c>
      <c r="Z154" s="599">
        <f>IFERROR(IF(Z150="",0,Z150),"0")+IFERROR(IF(Z151="",0,Z151),"0")+IFERROR(IF(Z152="",0,Z152),"0")+IFERROR(IF(Z153="",0,Z153),"0")</f>
        <v>0</v>
      </c>
      <c r="AA154" s="600"/>
      <c r="AB154" s="600"/>
      <c r="AC154" s="600"/>
    </row>
    <row r="155" spans="1:68" x14ac:dyDescent="0.2">
      <c r="A155" s="609"/>
      <c r="B155" s="609"/>
      <c r="C155" s="609"/>
      <c r="D155" s="609"/>
      <c r="E155" s="609"/>
      <c r="F155" s="609"/>
      <c r="G155" s="609"/>
      <c r="H155" s="609"/>
      <c r="I155" s="609"/>
      <c r="J155" s="609"/>
      <c r="K155" s="609"/>
      <c r="L155" s="609"/>
      <c r="M155" s="609"/>
      <c r="N155" s="609"/>
      <c r="O155" s="618"/>
      <c r="P155" s="613" t="s">
        <v>72</v>
      </c>
      <c r="Q155" s="614"/>
      <c r="R155" s="614"/>
      <c r="S155" s="614"/>
      <c r="T155" s="614"/>
      <c r="U155" s="614"/>
      <c r="V155" s="615"/>
      <c r="W155" s="37" t="s">
        <v>67</v>
      </c>
      <c r="X155" s="599">
        <f>IFERROR(SUM(X150:X153),"0")</f>
        <v>0</v>
      </c>
      <c r="Y155" s="599">
        <f>IFERROR(SUM(Y150:Y153),"0")</f>
        <v>0</v>
      </c>
      <c r="Z155" s="37"/>
      <c r="AA155" s="600"/>
      <c r="AB155" s="600"/>
      <c r="AC155" s="600"/>
    </row>
    <row r="156" spans="1:68" ht="16.5" customHeight="1" x14ac:dyDescent="0.25">
      <c r="A156" s="612" t="s">
        <v>115</v>
      </c>
      <c r="B156" s="609"/>
      <c r="C156" s="609"/>
      <c r="D156" s="609"/>
      <c r="E156" s="609"/>
      <c r="F156" s="609"/>
      <c r="G156" s="609"/>
      <c r="H156" s="609"/>
      <c r="I156" s="609"/>
      <c r="J156" s="609"/>
      <c r="K156" s="609"/>
      <c r="L156" s="609"/>
      <c r="M156" s="609"/>
      <c r="N156" s="609"/>
      <c r="O156" s="609"/>
      <c r="P156" s="609"/>
      <c r="Q156" s="609"/>
      <c r="R156" s="609"/>
      <c r="S156" s="609"/>
      <c r="T156" s="609"/>
      <c r="U156" s="609"/>
      <c r="V156" s="609"/>
      <c r="W156" s="609"/>
      <c r="X156" s="609"/>
      <c r="Y156" s="609"/>
      <c r="Z156" s="609"/>
      <c r="AA156" s="592"/>
      <c r="AB156" s="592"/>
      <c r="AC156" s="592"/>
    </row>
    <row r="157" spans="1:68" ht="14.25" customHeight="1" x14ac:dyDescent="0.25">
      <c r="A157" s="608" t="s">
        <v>117</v>
      </c>
      <c r="B157" s="609"/>
      <c r="C157" s="609"/>
      <c r="D157" s="609"/>
      <c r="E157" s="609"/>
      <c r="F157" s="609"/>
      <c r="G157" s="609"/>
      <c r="H157" s="609"/>
      <c r="I157" s="609"/>
      <c r="J157" s="609"/>
      <c r="K157" s="609"/>
      <c r="L157" s="609"/>
      <c r="M157" s="609"/>
      <c r="N157" s="609"/>
      <c r="O157" s="609"/>
      <c r="P157" s="609"/>
      <c r="Q157" s="609"/>
      <c r="R157" s="609"/>
      <c r="S157" s="609"/>
      <c r="T157" s="609"/>
      <c r="U157" s="609"/>
      <c r="V157" s="609"/>
      <c r="W157" s="609"/>
      <c r="X157" s="609"/>
      <c r="Y157" s="609"/>
      <c r="Z157" s="609"/>
      <c r="AA157" s="593"/>
      <c r="AB157" s="593"/>
      <c r="AC157" s="593"/>
    </row>
    <row r="158" spans="1:68" ht="27" customHeight="1" x14ac:dyDescent="0.25">
      <c r="A158" s="54" t="s">
        <v>266</v>
      </c>
      <c r="B158" s="54" t="s">
        <v>267</v>
      </c>
      <c r="C158" s="31">
        <v>4301012244</v>
      </c>
      <c r="D158" s="603">
        <v>4680115887374</v>
      </c>
      <c r="E158" s="604"/>
      <c r="F158" s="596">
        <v>1.6</v>
      </c>
      <c r="G158" s="32">
        <v>8</v>
      </c>
      <c r="H158" s="596">
        <v>12.8</v>
      </c>
      <c r="I158" s="596">
        <v>13.21</v>
      </c>
      <c r="J158" s="32">
        <v>64</v>
      </c>
      <c r="K158" s="32" t="s">
        <v>120</v>
      </c>
      <c r="L158" s="32"/>
      <c r="M158" s="33" t="s">
        <v>121</v>
      </c>
      <c r="N158" s="33"/>
      <c r="O158" s="32">
        <v>55</v>
      </c>
      <c r="P158" s="9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06"/>
      <c r="R158" s="606"/>
      <c r="S158" s="606"/>
      <c r="T158" s="607"/>
      <c r="U158" s="34"/>
      <c r="V158" s="34"/>
      <c r="W158" s="35" t="s">
        <v>67</v>
      </c>
      <c r="X158" s="597">
        <v>0</v>
      </c>
      <c r="Y158" s="598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268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269</v>
      </c>
      <c r="B159" s="54" t="s">
        <v>270</v>
      </c>
      <c r="C159" s="31">
        <v>4301011705</v>
      </c>
      <c r="D159" s="603">
        <v>4607091384604</v>
      </c>
      <c r="E159" s="604"/>
      <c r="F159" s="596">
        <v>0.4</v>
      </c>
      <c r="G159" s="32">
        <v>10</v>
      </c>
      <c r="H159" s="596">
        <v>4</v>
      </c>
      <c r="I159" s="596">
        <v>4.1900000000000004</v>
      </c>
      <c r="J159" s="32">
        <v>132</v>
      </c>
      <c r="K159" s="32" t="s">
        <v>129</v>
      </c>
      <c r="L159" s="32"/>
      <c r="M159" s="33" t="s">
        <v>121</v>
      </c>
      <c r="N159" s="33"/>
      <c r="O159" s="32">
        <v>50</v>
      </c>
      <c r="P159" s="8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06"/>
      <c r="R159" s="606"/>
      <c r="S159" s="606"/>
      <c r="T159" s="607"/>
      <c r="U159" s="34"/>
      <c r="V159" s="34"/>
      <c r="W159" s="35" t="s">
        <v>67</v>
      </c>
      <c r="X159" s="597">
        <v>0</v>
      </c>
      <c r="Y159" s="598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271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17"/>
      <c r="B160" s="609"/>
      <c r="C160" s="609"/>
      <c r="D160" s="609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18"/>
      <c r="P160" s="613" t="s">
        <v>72</v>
      </c>
      <c r="Q160" s="614"/>
      <c r="R160" s="614"/>
      <c r="S160" s="614"/>
      <c r="T160" s="614"/>
      <c r="U160" s="614"/>
      <c r="V160" s="615"/>
      <c r="W160" s="37" t="s">
        <v>73</v>
      </c>
      <c r="X160" s="599">
        <f>IFERROR(X158/H158,"0")+IFERROR(X159/H159,"0")</f>
        <v>0</v>
      </c>
      <c r="Y160" s="599">
        <f>IFERROR(Y158/H158,"0")+IFERROR(Y159/H159,"0")</f>
        <v>0</v>
      </c>
      <c r="Z160" s="599">
        <f>IFERROR(IF(Z158="",0,Z158),"0")+IFERROR(IF(Z159="",0,Z159),"0")</f>
        <v>0</v>
      </c>
      <c r="AA160" s="600"/>
      <c r="AB160" s="600"/>
      <c r="AC160" s="600"/>
    </row>
    <row r="161" spans="1:68" x14ac:dyDescent="0.2">
      <c r="A161" s="609"/>
      <c r="B161" s="609"/>
      <c r="C161" s="609"/>
      <c r="D161" s="609"/>
      <c r="E161" s="609"/>
      <c r="F161" s="609"/>
      <c r="G161" s="609"/>
      <c r="H161" s="609"/>
      <c r="I161" s="609"/>
      <c r="J161" s="609"/>
      <c r="K161" s="609"/>
      <c r="L161" s="609"/>
      <c r="M161" s="609"/>
      <c r="N161" s="609"/>
      <c r="O161" s="618"/>
      <c r="P161" s="613" t="s">
        <v>72</v>
      </c>
      <c r="Q161" s="614"/>
      <c r="R161" s="614"/>
      <c r="S161" s="614"/>
      <c r="T161" s="614"/>
      <c r="U161" s="614"/>
      <c r="V161" s="615"/>
      <c r="W161" s="37" t="s">
        <v>67</v>
      </c>
      <c r="X161" s="599">
        <f>IFERROR(SUM(X158:X159),"0")</f>
        <v>0</v>
      </c>
      <c r="Y161" s="599">
        <f>IFERROR(SUM(Y158:Y159),"0")</f>
        <v>0</v>
      </c>
      <c r="Z161" s="37"/>
      <c r="AA161" s="600"/>
      <c r="AB161" s="600"/>
      <c r="AC161" s="600"/>
    </row>
    <row r="162" spans="1:68" ht="14.25" customHeight="1" x14ac:dyDescent="0.25">
      <c r="A162" s="608" t="s">
        <v>152</v>
      </c>
      <c r="B162" s="609"/>
      <c r="C162" s="609"/>
      <c r="D162" s="609"/>
      <c r="E162" s="609"/>
      <c r="F162" s="609"/>
      <c r="G162" s="609"/>
      <c r="H162" s="609"/>
      <c r="I162" s="609"/>
      <c r="J162" s="609"/>
      <c r="K162" s="609"/>
      <c r="L162" s="609"/>
      <c r="M162" s="609"/>
      <c r="N162" s="609"/>
      <c r="O162" s="609"/>
      <c r="P162" s="609"/>
      <c r="Q162" s="609"/>
      <c r="R162" s="609"/>
      <c r="S162" s="609"/>
      <c r="T162" s="609"/>
      <c r="U162" s="609"/>
      <c r="V162" s="609"/>
      <c r="W162" s="609"/>
      <c r="X162" s="609"/>
      <c r="Y162" s="609"/>
      <c r="Z162" s="609"/>
      <c r="AA162" s="593"/>
      <c r="AB162" s="593"/>
      <c r="AC162" s="593"/>
    </row>
    <row r="163" spans="1:68" ht="16.5" customHeight="1" x14ac:dyDescent="0.25">
      <c r="A163" s="54" t="s">
        <v>272</v>
      </c>
      <c r="B163" s="54" t="s">
        <v>273</v>
      </c>
      <c r="C163" s="31">
        <v>4301020410</v>
      </c>
      <c r="D163" s="603">
        <v>4680115887695</v>
      </c>
      <c r="E163" s="604"/>
      <c r="F163" s="596">
        <v>0.12</v>
      </c>
      <c r="G163" s="32">
        <v>6</v>
      </c>
      <c r="H163" s="596">
        <v>0.72</v>
      </c>
      <c r="I163" s="596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81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06"/>
      <c r="R163" s="606"/>
      <c r="S163" s="606"/>
      <c r="T163" s="607"/>
      <c r="U163" s="34"/>
      <c r="V163" s="34"/>
      <c r="W163" s="35" t="s">
        <v>67</v>
      </c>
      <c r="X163" s="597">
        <v>0</v>
      </c>
      <c r="Y163" s="598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274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17"/>
      <c r="B164" s="609"/>
      <c r="C164" s="609"/>
      <c r="D164" s="609"/>
      <c r="E164" s="609"/>
      <c r="F164" s="609"/>
      <c r="G164" s="609"/>
      <c r="H164" s="609"/>
      <c r="I164" s="609"/>
      <c r="J164" s="609"/>
      <c r="K164" s="609"/>
      <c r="L164" s="609"/>
      <c r="M164" s="609"/>
      <c r="N164" s="609"/>
      <c r="O164" s="618"/>
      <c r="P164" s="613" t="s">
        <v>72</v>
      </c>
      <c r="Q164" s="614"/>
      <c r="R164" s="614"/>
      <c r="S164" s="614"/>
      <c r="T164" s="614"/>
      <c r="U164" s="614"/>
      <c r="V164" s="615"/>
      <c r="W164" s="37" t="s">
        <v>73</v>
      </c>
      <c r="X164" s="599">
        <f>IFERROR(X163/H163,"0")</f>
        <v>0</v>
      </c>
      <c r="Y164" s="599">
        <f>IFERROR(Y163/H163,"0")</f>
        <v>0</v>
      </c>
      <c r="Z164" s="599">
        <f>IFERROR(IF(Z163="",0,Z163),"0")</f>
        <v>0</v>
      </c>
      <c r="AA164" s="600"/>
      <c r="AB164" s="600"/>
      <c r="AC164" s="600"/>
    </row>
    <row r="165" spans="1:68" x14ac:dyDescent="0.2">
      <c r="A165" s="609"/>
      <c r="B165" s="609"/>
      <c r="C165" s="609"/>
      <c r="D165" s="609"/>
      <c r="E165" s="609"/>
      <c r="F165" s="609"/>
      <c r="G165" s="609"/>
      <c r="H165" s="609"/>
      <c r="I165" s="609"/>
      <c r="J165" s="609"/>
      <c r="K165" s="609"/>
      <c r="L165" s="609"/>
      <c r="M165" s="609"/>
      <c r="N165" s="609"/>
      <c r="O165" s="618"/>
      <c r="P165" s="613" t="s">
        <v>72</v>
      </c>
      <c r="Q165" s="614"/>
      <c r="R165" s="614"/>
      <c r="S165" s="614"/>
      <c r="T165" s="614"/>
      <c r="U165" s="614"/>
      <c r="V165" s="615"/>
      <c r="W165" s="37" t="s">
        <v>67</v>
      </c>
      <c r="X165" s="599">
        <f>IFERROR(SUM(X163:X163),"0")</f>
        <v>0</v>
      </c>
      <c r="Y165" s="599">
        <f>IFERROR(SUM(Y163:Y163),"0")</f>
        <v>0</v>
      </c>
      <c r="Z165" s="37"/>
      <c r="AA165" s="600"/>
      <c r="AB165" s="600"/>
      <c r="AC165" s="600"/>
    </row>
    <row r="166" spans="1:68" ht="14.25" customHeight="1" x14ac:dyDescent="0.25">
      <c r="A166" s="608" t="s">
        <v>62</v>
      </c>
      <c r="B166" s="609"/>
      <c r="C166" s="609"/>
      <c r="D166" s="609"/>
      <c r="E166" s="609"/>
      <c r="F166" s="609"/>
      <c r="G166" s="609"/>
      <c r="H166" s="609"/>
      <c r="I166" s="609"/>
      <c r="J166" s="609"/>
      <c r="K166" s="609"/>
      <c r="L166" s="609"/>
      <c r="M166" s="609"/>
      <c r="N166" s="609"/>
      <c r="O166" s="609"/>
      <c r="P166" s="609"/>
      <c r="Q166" s="609"/>
      <c r="R166" s="609"/>
      <c r="S166" s="609"/>
      <c r="T166" s="609"/>
      <c r="U166" s="609"/>
      <c r="V166" s="609"/>
      <c r="W166" s="609"/>
      <c r="X166" s="609"/>
      <c r="Y166" s="609"/>
      <c r="Z166" s="609"/>
      <c r="AA166" s="593"/>
      <c r="AB166" s="593"/>
      <c r="AC166" s="593"/>
    </row>
    <row r="167" spans="1:68" ht="27" customHeight="1" x14ac:dyDescent="0.25">
      <c r="A167" s="54" t="s">
        <v>275</v>
      </c>
      <c r="B167" s="54" t="s">
        <v>276</v>
      </c>
      <c r="C167" s="31">
        <v>4301031496</v>
      </c>
      <c r="D167" s="603">
        <v>4680115887428</v>
      </c>
      <c r="E167" s="604"/>
      <c r="F167" s="596">
        <v>0.7</v>
      </c>
      <c r="G167" s="32">
        <v>5</v>
      </c>
      <c r="H167" s="596">
        <v>3.5</v>
      </c>
      <c r="I167" s="596">
        <v>3.69</v>
      </c>
      <c r="J167" s="32">
        <v>132</v>
      </c>
      <c r="K167" s="32" t="s">
        <v>129</v>
      </c>
      <c r="L167" s="32"/>
      <c r="M167" s="33" t="s">
        <v>66</v>
      </c>
      <c r="N167" s="33"/>
      <c r="O167" s="32">
        <v>40</v>
      </c>
      <c r="P167" s="84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06"/>
      <c r="R167" s="606"/>
      <c r="S167" s="606"/>
      <c r="T167" s="607"/>
      <c r="U167" s="34"/>
      <c r="V167" s="34"/>
      <c r="W167" s="35" t="s">
        <v>67</v>
      </c>
      <c r="X167" s="597">
        <v>0</v>
      </c>
      <c r="Y167" s="598">
        <f t="shared" ref="Y167:Y177" si="21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13" t="s">
        <v>277</v>
      </c>
      <c r="AG167" s="64"/>
      <c r="AJ167" s="68"/>
      <c r="AK167" s="68">
        <v>0</v>
      </c>
      <c r="BB167" s="214" t="s">
        <v>1</v>
      </c>
      <c r="BM167" s="64">
        <f t="shared" ref="BM167:BM177" si="22">IFERROR(X167*I167/H167,"0")</f>
        <v>0</v>
      </c>
      <c r="BN167" s="64">
        <f t="shared" ref="BN167:BN177" si="23">IFERROR(Y167*I167/H167,"0")</f>
        <v>0</v>
      </c>
      <c r="BO167" s="64">
        <f t="shared" ref="BO167:BO177" si="24">IFERROR(1/J167*(X167/H167),"0")</f>
        <v>0</v>
      </c>
      <c r="BP167" s="64">
        <f t="shared" ref="BP167:BP177" si="25">IFERROR(1/J167*(Y167/H167),"0")</f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4301030963</v>
      </c>
      <c r="D168" s="603">
        <v>4607091382426</v>
      </c>
      <c r="E168" s="604"/>
      <c r="F168" s="596">
        <v>0.9</v>
      </c>
      <c r="G168" s="32">
        <v>10</v>
      </c>
      <c r="H168" s="596">
        <v>9</v>
      </c>
      <c r="I168" s="596">
        <v>9.56</v>
      </c>
      <c r="J168" s="32">
        <v>64</v>
      </c>
      <c r="K168" s="32" t="s">
        <v>120</v>
      </c>
      <c r="L168" s="32"/>
      <c r="M168" s="33" t="s">
        <v>66</v>
      </c>
      <c r="N168" s="33"/>
      <c r="O168" s="32">
        <v>40</v>
      </c>
      <c r="P168" s="8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06"/>
      <c r="R168" s="606"/>
      <c r="S168" s="606"/>
      <c r="T168" s="607"/>
      <c r="U168" s="34"/>
      <c r="V168" s="34"/>
      <c r="W168" s="35" t="s">
        <v>67</v>
      </c>
      <c r="X168" s="597">
        <v>0</v>
      </c>
      <c r="Y168" s="598">
        <f t="shared" si="21"/>
        <v>0</v>
      </c>
      <c r="Z168" s="36" t="str">
        <f>IFERROR(IF(Y168=0,"",ROUNDUP(Y168/H168,0)*0.01898),"")</f>
        <v/>
      </c>
      <c r="AA168" s="56"/>
      <c r="AB168" s="57"/>
      <c r="AC168" s="215" t="s">
        <v>280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customHeight="1" x14ac:dyDescent="0.25">
      <c r="A169" s="54" t="s">
        <v>281</v>
      </c>
      <c r="B169" s="54" t="s">
        <v>282</v>
      </c>
      <c r="C169" s="31">
        <v>4301031498</v>
      </c>
      <c r="D169" s="603">
        <v>4680115887398</v>
      </c>
      <c r="E169" s="604"/>
      <c r="F169" s="596">
        <v>0.7</v>
      </c>
      <c r="G169" s="32">
        <v>5</v>
      </c>
      <c r="H169" s="596">
        <v>3.5</v>
      </c>
      <c r="I169" s="596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8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06"/>
      <c r="R169" s="606"/>
      <c r="S169" s="606"/>
      <c r="T169" s="607"/>
      <c r="U169" s="34"/>
      <c r="V169" s="34"/>
      <c r="W169" s="35" t="s">
        <v>67</v>
      </c>
      <c r="X169" s="597">
        <v>0</v>
      </c>
      <c r="Y169" s="598">
        <f t="shared" si="21"/>
        <v>0</v>
      </c>
      <c r="Z169" s="36" t="str">
        <f>IFERROR(IF(Y169=0,"",ROUNDUP(Y169/H169,0)*0.00902),"")</f>
        <v/>
      </c>
      <c r="AA169" s="56"/>
      <c r="AB169" s="57"/>
      <c r="AC169" s="217" t="s">
        <v>283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customHeight="1" x14ac:dyDescent="0.25">
      <c r="A170" s="54" t="s">
        <v>284</v>
      </c>
      <c r="B170" s="54" t="s">
        <v>285</v>
      </c>
      <c r="C170" s="31">
        <v>4301031497</v>
      </c>
      <c r="D170" s="603">
        <v>4680115887336</v>
      </c>
      <c r="E170" s="604"/>
      <c r="F170" s="596">
        <v>0.7</v>
      </c>
      <c r="G170" s="32">
        <v>5</v>
      </c>
      <c r="H170" s="596">
        <v>3.5</v>
      </c>
      <c r="I170" s="596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91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06"/>
      <c r="R170" s="606"/>
      <c r="S170" s="606"/>
      <c r="T170" s="607"/>
      <c r="U170" s="34"/>
      <c r="V170" s="34"/>
      <c r="W170" s="35" t="s">
        <v>67</v>
      </c>
      <c r="X170" s="597">
        <v>57</v>
      </c>
      <c r="Y170" s="598">
        <f t="shared" si="21"/>
        <v>59.5</v>
      </c>
      <c r="Z170" s="36">
        <f>IFERROR(IF(Y170=0,"",ROUNDUP(Y170/H170,0)*0.00902),"")</f>
        <v>0.15334</v>
      </c>
      <c r="AA170" s="56"/>
      <c r="AB170" s="57"/>
      <c r="AC170" s="219" t="s">
        <v>286</v>
      </c>
      <c r="AG170" s="64"/>
      <c r="AJ170" s="68"/>
      <c r="AK170" s="68">
        <v>0</v>
      </c>
      <c r="BB170" s="220" t="s">
        <v>1</v>
      </c>
      <c r="BM170" s="64">
        <f t="shared" si="22"/>
        <v>60.094285714285711</v>
      </c>
      <c r="BN170" s="64">
        <f t="shared" si="23"/>
        <v>62.730000000000004</v>
      </c>
      <c r="BO170" s="64">
        <f t="shared" si="24"/>
        <v>0.12337662337662338</v>
      </c>
      <c r="BP170" s="64">
        <f t="shared" si="25"/>
        <v>0.12878787878787878</v>
      </c>
    </row>
    <row r="171" spans="1:68" ht="16.5" customHeight="1" x14ac:dyDescent="0.25">
      <c r="A171" s="54" t="s">
        <v>287</v>
      </c>
      <c r="B171" s="54" t="s">
        <v>288</v>
      </c>
      <c r="C171" s="31">
        <v>4301032049</v>
      </c>
      <c r="D171" s="603">
        <v>4680115887787</v>
      </c>
      <c r="E171" s="604"/>
      <c r="F171" s="596">
        <v>0.09</v>
      </c>
      <c r="G171" s="32">
        <v>10</v>
      </c>
      <c r="H171" s="596">
        <v>0.9</v>
      </c>
      <c r="I171" s="596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94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06"/>
      <c r="R171" s="606"/>
      <c r="S171" s="606"/>
      <c r="T171" s="607"/>
      <c r="U171" s="34"/>
      <c r="V171" s="34"/>
      <c r="W171" s="35" t="s">
        <v>67</v>
      </c>
      <c r="X171" s="597">
        <v>1</v>
      </c>
      <c r="Y171" s="598">
        <f t="shared" si="21"/>
        <v>1.8</v>
      </c>
      <c r="Z171" s="36">
        <f>IFERROR(IF(Y171=0,"",ROUNDUP(Y171/H171,0)*0.00417),"")</f>
        <v>8.3400000000000002E-3</v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 t="shared" si="22"/>
        <v>1.2333333333333334</v>
      </c>
      <c r="BN171" s="64">
        <f t="shared" si="23"/>
        <v>2.2200000000000002</v>
      </c>
      <c r="BO171" s="64">
        <f t="shared" si="24"/>
        <v>3.3068783068783067E-3</v>
      </c>
      <c r="BP171" s="64">
        <f t="shared" si="25"/>
        <v>5.9523809523809521E-3</v>
      </c>
    </row>
    <row r="172" spans="1:68" ht="27" customHeight="1" x14ac:dyDescent="0.25">
      <c r="A172" s="54" t="s">
        <v>290</v>
      </c>
      <c r="B172" s="54" t="s">
        <v>291</v>
      </c>
      <c r="C172" s="31">
        <v>4301031448</v>
      </c>
      <c r="D172" s="603">
        <v>4680115887503</v>
      </c>
      <c r="E172" s="604"/>
      <c r="F172" s="596">
        <v>0.28000000000000003</v>
      </c>
      <c r="G172" s="32">
        <v>6</v>
      </c>
      <c r="H172" s="596">
        <v>1.68</v>
      </c>
      <c r="I172" s="596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9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06"/>
      <c r="R172" s="606"/>
      <c r="S172" s="606"/>
      <c r="T172" s="607"/>
      <c r="U172" s="34"/>
      <c r="V172" s="34"/>
      <c r="W172" s="35" t="s">
        <v>67</v>
      </c>
      <c r="X172" s="597">
        <v>0</v>
      </c>
      <c r="Y172" s="598">
        <f t="shared" si="21"/>
        <v>0</v>
      </c>
      <c r="Z172" s="36" t="str">
        <f>IFERROR(IF(Y172=0,"",ROUNDUP(Y172/H172,0)*0.00502),"")</f>
        <v/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4301031389</v>
      </c>
      <c r="D173" s="603">
        <v>4680115887763</v>
      </c>
      <c r="E173" s="604"/>
      <c r="F173" s="596">
        <v>0.09</v>
      </c>
      <c r="G173" s="32">
        <v>10</v>
      </c>
      <c r="H173" s="596">
        <v>0.9</v>
      </c>
      <c r="I173" s="596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91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06"/>
      <c r="R173" s="606"/>
      <c r="S173" s="606"/>
      <c r="T173" s="607"/>
      <c r="U173" s="34"/>
      <c r="V173" s="34"/>
      <c r="W173" s="35" t="s">
        <v>67</v>
      </c>
      <c r="X173" s="597">
        <v>4</v>
      </c>
      <c r="Y173" s="598">
        <f t="shared" si="21"/>
        <v>4.5</v>
      </c>
      <c r="Z173" s="36">
        <f>IFERROR(IF(Y173=0,"",ROUNDUP(Y173/H173,0)*0.00417),"")</f>
        <v>2.085E-2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22"/>
        <v>4.9333333333333336</v>
      </c>
      <c r="BN173" s="64">
        <f t="shared" si="23"/>
        <v>5.55</v>
      </c>
      <c r="BO173" s="64">
        <f t="shared" si="24"/>
        <v>1.3227513227513227E-2</v>
      </c>
      <c r="BP173" s="64">
        <f t="shared" si="25"/>
        <v>1.488095238095238E-2</v>
      </c>
    </row>
    <row r="174" spans="1:68" ht="27" customHeight="1" x14ac:dyDescent="0.25">
      <c r="A174" s="54" t="s">
        <v>292</v>
      </c>
      <c r="B174" s="54" t="s">
        <v>295</v>
      </c>
      <c r="C174" s="31">
        <v>4301031510</v>
      </c>
      <c r="D174" s="603">
        <v>4680115887763</v>
      </c>
      <c r="E174" s="604"/>
      <c r="F174" s="596">
        <v>0.09</v>
      </c>
      <c r="G174" s="32">
        <v>8</v>
      </c>
      <c r="H174" s="596">
        <v>0.72</v>
      </c>
      <c r="I174" s="596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65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06"/>
      <c r="R174" s="606"/>
      <c r="S174" s="606"/>
      <c r="T174" s="607"/>
      <c r="U174" s="34"/>
      <c r="V174" s="34"/>
      <c r="W174" s="35" t="s">
        <v>67</v>
      </c>
      <c r="X174" s="597">
        <v>0</v>
      </c>
      <c r="Y174" s="598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4301031454</v>
      </c>
      <c r="D175" s="603">
        <v>4680115887480</v>
      </c>
      <c r="E175" s="604"/>
      <c r="F175" s="596">
        <v>0.28000000000000003</v>
      </c>
      <c r="G175" s="32">
        <v>6</v>
      </c>
      <c r="H175" s="596">
        <v>1.68</v>
      </c>
      <c r="I175" s="596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72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06"/>
      <c r="R175" s="606"/>
      <c r="S175" s="606"/>
      <c r="T175" s="607"/>
      <c r="U175" s="34"/>
      <c r="V175" s="34"/>
      <c r="W175" s="35" t="s">
        <v>67</v>
      </c>
      <c r="X175" s="597">
        <v>64</v>
      </c>
      <c r="Y175" s="598">
        <f t="shared" si="21"/>
        <v>65.52</v>
      </c>
      <c r="Z175" s="36">
        <f>IFERROR(IF(Y175=0,"",ROUNDUP(Y175/H175,0)*0.00502),"")</f>
        <v>0.19578000000000001</v>
      </c>
      <c r="AA175" s="56"/>
      <c r="AB175" s="57"/>
      <c r="AC175" s="229" t="s">
        <v>283</v>
      </c>
      <c r="AG175" s="64"/>
      <c r="AJ175" s="68"/>
      <c r="AK175" s="68">
        <v>0</v>
      </c>
      <c r="BB175" s="230" t="s">
        <v>1</v>
      </c>
      <c r="BM175" s="64">
        <f t="shared" si="22"/>
        <v>67.80952380952381</v>
      </c>
      <c r="BN175" s="64">
        <f t="shared" si="23"/>
        <v>69.42</v>
      </c>
      <c r="BO175" s="64">
        <f t="shared" si="24"/>
        <v>0.16280016280016282</v>
      </c>
      <c r="BP175" s="64">
        <f t="shared" si="25"/>
        <v>0.16666666666666669</v>
      </c>
    </row>
    <row r="176" spans="1:68" ht="27" customHeight="1" x14ac:dyDescent="0.25">
      <c r="A176" s="54" t="s">
        <v>298</v>
      </c>
      <c r="B176" s="54" t="s">
        <v>299</v>
      </c>
      <c r="C176" s="31">
        <v>4301031434</v>
      </c>
      <c r="D176" s="603">
        <v>4680115888067</v>
      </c>
      <c r="E176" s="604"/>
      <c r="F176" s="596">
        <v>0.09</v>
      </c>
      <c r="G176" s="32">
        <v>10</v>
      </c>
      <c r="H176" s="596">
        <v>0.9</v>
      </c>
      <c r="I176" s="596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7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06"/>
      <c r="R176" s="606"/>
      <c r="S176" s="606"/>
      <c r="T176" s="607"/>
      <c r="U176" s="34"/>
      <c r="V176" s="34"/>
      <c r="W176" s="35" t="s">
        <v>67</v>
      </c>
      <c r="X176" s="597">
        <v>1</v>
      </c>
      <c r="Y176" s="598">
        <f t="shared" si="21"/>
        <v>1.8</v>
      </c>
      <c r="Z176" s="36">
        <f>IFERROR(IF(Y176=0,"",ROUNDUP(Y176/H176,0)*0.00417),"")</f>
        <v>8.3400000000000002E-3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2"/>
        <v>1.1111111111111112</v>
      </c>
      <c r="BN176" s="64">
        <f t="shared" si="23"/>
        <v>2</v>
      </c>
      <c r="BO176" s="64">
        <f t="shared" si="24"/>
        <v>3.3068783068783067E-3</v>
      </c>
      <c r="BP176" s="64">
        <f t="shared" si="25"/>
        <v>5.9523809523809521E-3</v>
      </c>
    </row>
    <row r="177" spans="1:68" ht="27" customHeight="1" x14ac:dyDescent="0.25">
      <c r="A177" s="54" t="s">
        <v>301</v>
      </c>
      <c r="B177" s="54" t="s">
        <v>302</v>
      </c>
      <c r="C177" s="31">
        <v>4301031451</v>
      </c>
      <c r="D177" s="603">
        <v>4680115887435</v>
      </c>
      <c r="E177" s="604"/>
      <c r="F177" s="596">
        <v>0.28000000000000003</v>
      </c>
      <c r="G177" s="32">
        <v>6</v>
      </c>
      <c r="H177" s="596">
        <v>1.68</v>
      </c>
      <c r="I177" s="596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72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06"/>
      <c r="R177" s="606"/>
      <c r="S177" s="606"/>
      <c r="T177" s="607"/>
      <c r="U177" s="34"/>
      <c r="V177" s="34"/>
      <c r="W177" s="35" t="s">
        <v>67</v>
      </c>
      <c r="X177" s="597">
        <v>0</v>
      </c>
      <c r="Y177" s="598">
        <f t="shared" si="21"/>
        <v>0</v>
      </c>
      <c r="Z177" s="36" t="str">
        <f>IFERROR(IF(Y177=0,"",ROUNDUP(Y177/H177,0)*0.00502),"")</f>
        <v/>
      </c>
      <c r="AA177" s="56"/>
      <c r="AB177" s="57"/>
      <c r="AC177" s="233" t="s">
        <v>286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x14ac:dyDescent="0.2">
      <c r="A178" s="617"/>
      <c r="B178" s="609"/>
      <c r="C178" s="609"/>
      <c r="D178" s="609"/>
      <c r="E178" s="609"/>
      <c r="F178" s="609"/>
      <c r="G178" s="609"/>
      <c r="H178" s="609"/>
      <c r="I178" s="609"/>
      <c r="J178" s="609"/>
      <c r="K178" s="609"/>
      <c r="L178" s="609"/>
      <c r="M178" s="609"/>
      <c r="N178" s="609"/>
      <c r="O178" s="618"/>
      <c r="P178" s="613" t="s">
        <v>72</v>
      </c>
      <c r="Q178" s="614"/>
      <c r="R178" s="614"/>
      <c r="S178" s="614"/>
      <c r="T178" s="614"/>
      <c r="U178" s="614"/>
      <c r="V178" s="615"/>
      <c r="W178" s="37" t="s">
        <v>73</v>
      </c>
      <c r="X178" s="599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61.047619047619051</v>
      </c>
      <c r="Y178" s="599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65</v>
      </c>
      <c r="Z178" s="59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0.38665000000000005</v>
      </c>
      <c r="AA178" s="600"/>
      <c r="AB178" s="600"/>
      <c r="AC178" s="600"/>
    </row>
    <row r="179" spans="1:68" x14ac:dyDescent="0.2">
      <c r="A179" s="609"/>
      <c r="B179" s="609"/>
      <c r="C179" s="609"/>
      <c r="D179" s="609"/>
      <c r="E179" s="609"/>
      <c r="F179" s="609"/>
      <c r="G179" s="609"/>
      <c r="H179" s="609"/>
      <c r="I179" s="609"/>
      <c r="J179" s="609"/>
      <c r="K179" s="609"/>
      <c r="L179" s="609"/>
      <c r="M179" s="609"/>
      <c r="N179" s="609"/>
      <c r="O179" s="618"/>
      <c r="P179" s="613" t="s">
        <v>72</v>
      </c>
      <c r="Q179" s="614"/>
      <c r="R179" s="614"/>
      <c r="S179" s="614"/>
      <c r="T179" s="614"/>
      <c r="U179" s="614"/>
      <c r="V179" s="615"/>
      <c r="W179" s="37" t="s">
        <v>67</v>
      </c>
      <c r="X179" s="599">
        <f>IFERROR(SUM(X167:X177),"0")</f>
        <v>127</v>
      </c>
      <c r="Y179" s="599">
        <f>IFERROR(SUM(Y167:Y177),"0")</f>
        <v>133.12</v>
      </c>
      <c r="Z179" s="37"/>
      <c r="AA179" s="600"/>
      <c r="AB179" s="600"/>
      <c r="AC179" s="600"/>
    </row>
    <row r="180" spans="1:68" ht="14.25" customHeight="1" x14ac:dyDescent="0.25">
      <c r="A180" s="608" t="s">
        <v>74</v>
      </c>
      <c r="B180" s="609"/>
      <c r="C180" s="609"/>
      <c r="D180" s="609"/>
      <c r="E180" s="609"/>
      <c r="F180" s="609"/>
      <c r="G180" s="609"/>
      <c r="H180" s="609"/>
      <c r="I180" s="609"/>
      <c r="J180" s="609"/>
      <c r="K180" s="609"/>
      <c r="L180" s="609"/>
      <c r="M180" s="609"/>
      <c r="N180" s="609"/>
      <c r="O180" s="609"/>
      <c r="P180" s="609"/>
      <c r="Q180" s="609"/>
      <c r="R180" s="609"/>
      <c r="S180" s="609"/>
      <c r="T180" s="609"/>
      <c r="U180" s="609"/>
      <c r="V180" s="609"/>
      <c r="W180" s="609"/>
      <c r="X180" s="609"/>
      <c r="Y180" s="609"/>
      <c r="Z180" s="609"/>
      <c r="AA180" s="593"/>
      <c r="AB180" s="593"/>
      <c r="AC180" s="593"/>
    </row>
    <row r="181" spans="1:68" ht="16.5" customHeight="1" x14ac:dyDescent="0.25">
      <c r="A181" s="54" t="s">
        <v>303</v>
      </c>
      <c r="B181" s="54" t="s">
        <v>304</v>
      </c>
      <c r="C181" s="31">
        <v>4301052193</v>
      </c>
      <c r="D181" s="603">
        <v>4680115888395</v>
      </c>
      <c r="E181" s="604"/>
      <c r="F181" s="596">
        <v>0.42</v>
      </c>
      <c r="G181" s="32">
        <v>6</v>
      </c>
      <c r="H181" s="596">
        <v>2.52</v>
      </c>
      <c r="I181" s="596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65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06"/>
      <c r="R181" s="606"/>
      <c r="S181" s="606"/>
      <c r="T181" s="607"/>
      <c r="U181" s="34"/>
      <c r="V181" s="34"/>
      <c r="W181" s="35" t="s">
        <v>67</v>
      </c>
      <c r="X181" s="597">
        <v>0</v>
      </c>
      <c r="Y181" s="598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305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306</v>
      </c>
      <c r="B182" s="54" t="s">
        <v>307</v>
      </c>
      <c r="C182" s="31">
        <v>4301052191</v>
      </c>
      <c r="D182" s="603">
        <v>4680115888371</v>
      </c>
      <c r="E182" s="604"/>
      <c r="F182" s="596">
        <v>0.42</v>
      </c>
      <c r="G182" s="32">
        <v>6</v>
      </c>
      <c r="H182" s="596">
        <v>2.52</v>
      </c>
      <c r="I182" s="596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06"/>
      <c r="R182" s="606"/>
      <c r="S182" s="606"/>
      <c r="T182" s="607"/>
      <c r="U182" s="34"/>
      <c r="V182" s="34"/>
      <c r="W182" s="35" t="s">
        <v>67</v>
      </c>
      <c r="X182" s="597">
        <v>0</v>
      </c>
      <c r="Y182" s="598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308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309</v>
      </c>
      <c r="B183" s="54" t="s">
        <v>310</v>
      </c>
      <c r="C183" s="31">
        <v>4301052064</v>
      </c>
      <c r="D183" s="603">
        <v>4680115887459</v>
      </c>
      <c r="E183" s="604"/>
      <c r="F183" s="596">
        <v>0.3</v>
      </c>
      <c r="G183" s="32">
        <v>6</v>
      </c>
      <c r="H183" s="596">
        <v>1.8</v>
      </c>
      <c r="I183" s="596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69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06"/>
      <c r="R183" s="606"/>
      <c r="S183" s="606"/>
      <c r="T183" s="607"/>
      <c r="U183" s="34"/>
      <c r="V183" s="34"/>
      <c r="W183" s="35" t="s">
        <v>67</v>
      </c>
      <c r="X183" s="597">
        <v>0</v>
      </c>
      <c r="Y183" s="598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311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17"/>
      <c r="B184" s="609"/>
      <c r="C184" s="609"/>
      <c r="D184" s="609"/>
      <c r="E184" s="609"/>
      <c r="F184" s="609"/>
      <c r="G184" s="609"/>
      <c r="H184" s="609"/>
      <c r="I184" s="609"/>
      <c r="J184" s="609"/>
      <c r="K184" s="609"/>
      <c r="L184" s="609"/>
      <c r="M184" s="609"/>
      <c r="N184" s="609"/>
      <c r="O184" s="618"/>
      <c r="P184" s="613" t="s">
        <v>72</v>
      </c>
      <c r="Q184" s="614"/>
      <c r="R184" s="614"/>
      <c r="S184" s="614"/>
      <c r="T184" s="614"/>
      <c r="U184" s="614"/>
      <c r="V184" s="615"/>
      <c r="W184" s="37" t="s">
        <v>73</v>
      </c>
      <c r="X184" s="599">
        <f>IFERROR(X181/H181,"0")+IFERROR(X182/H182,"0")+IFERROR(X183/H183,"0")</f>
        <v>0</v>
      </c>
      <c r="Y184" s="599">
        <f>IFERROR(Y181/H181,"0")+IFERROR(Y182/H182,"0")+IFERROR(Y183/H183,"0")</f>
        <v>0</v>
      </c>
      <c r="Z184" s="599">
        <f>IFERROR(IF(Z181="",0,Z181),"0")+IFERROR(IF(Z182="",0,Z182),"0")+IFERROR(IF(Z183="",0,Z183),"0")</f>
        <v>0</v>
      </c>
      <c r="AA184" s="600"/>
      <c r="AB184" s="600"/>
      <c r="AC184" s="600"/>
    </row>
    <row r="185" spans="1:68" x14ac:dyDescent="0.2">
      <c r="A185" s="609"/>
      <c r="B185" s="609"/>
      <c r="C185" s="609"/>
      <c r="D185" s="609"/>
      <c r="E185" s="609"/>
      <c r="F185" s="609"/>
      <c r="G185" s="609"/>
      <c r="H185" s="609"/>
      <c r="I185" s="609"/>
      <c r="J185" s="609"/>
      <c r="K185" s="609"/>
      <c r="L185" s="609"/>
      <c r="M185" s="609"/>
      <c r="N185" s="609"/>
      <c r="O185" s="618"/>
      <c r="P185" s="613" t="s">
        <v>72</v>
      </c>
      <c r="Q185" s="614"/>
      <c r="R185" s="614"/>
      <c r="S185" s="614"/>
      <c r="T185" s="614"/>
      <c r="U185" s="614"/>
      <c r="V185" s="615"/>
      <c r="W185" s="37" t="s">
        <v>67</v>
      </c>
      <c r="X185" s="599">
        <f>IFERROR(SUM(X181:X183),"0")</f>
        <v>0</v>
      </c>
      <c r="Y185" s="599">
        <f>IFERROR(SUM(Y181:Y183),"0")</f>
        <v>0</v>
      </c>
      <c r="Z185" s="37"/>
      <c r="AA185" s="600"/>
      <c r="AB185" s="600"/>
      <c r="AC185" s="600"/>
    </row>
    <row r="186" spans="1:68" ht="14.25" customHeight="1" x14ac:dyDescent="0.25">
      <c r="A186" s="608" t="s">
        <v>95</v>
      </c>
      <c r="B186" s="609"/>
      <c r="C186" s="609"/>
      <c r="D186" s="609"/>
      <c r="E186" s="609"/>
      <c r="F186" s="609"/>
      <c r="G186" s="609"/>
      <c r="H186" s="609"/>
      <c r="I186" s="609"/>
      <c r="J186" s="609"/>
      <c r="K186" s="609"/>
      <c r="L186" s="609"/>
      <c r="M186" s="609"/>
      <c r="N186" s="609"/>
      <c r="O186" s="609"/>
      <c r="P186" s="609"/>
      <c r="Q186" s="609"/>
      <c r="R186" s="609"/>
      <c r="S186" s="609"/>
      <c r="T186" s="609"/>
      <c r="U186" s="609"/>
      <c r="V186" s="609"/>
      <c r="W186" s="609"/>
      <c r="X186" s="609"/>
      <c r="Y186" s="609"/>
      <c r="Z186" s="609"/>
      <c r="AA186" s="593"/>
      <c r="AB186" s="593"/>
      <c r="AC186" s="593"/>
    </row>
    <row r="187" spans="1:68" ht="16.5" customHeight="1" x14ac:dyDescent="0.25">
      <c r="A187" s="54" t="s">
        <v>312</v>
      </c>
      <c r="B187" s="54" t="s">
        <v>313</v>
      </c>
      <c r="C187" s="31">
        <v>4301032058</v>
      </c>
      <c r="D187" s="603">
        <v>4680115889026</v>
      </c>
      <c r="E187" s="604"/>
      <c r="F187" s="596">
        <v>0.06</v>
      </c>
      <c r="G187" s="32">
        <v>18</v>
      </c>
      <c r="H187" s="596">
        <v>1.08</v>
      </c>
      <c r="I187" s="596">
        <v>1.36</v>
      </c>
      <c r="J187" s="32">
        <v>216</v>
      </c>
      <c r="K187" s="32" t="s">
        <v>314</v>
      </c>
      <c r="L187" s="32"/>
      <c r="M187" s="33" t="s">
        <v>315</v>
      </c>
      <c r="N187" s="33"/>
      <c r="O187" s="32">
        <v>60</v>
      </c>
      <c r="P187" s="86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06"/>
      <c r="R187" s="606"/>
      <c r="S187" s="606"/>
      <c r="T187" s="607"/>
      <c r="U187" s="34"/>
      <c r="V187" s="34"/>
      <c r="W187" s="35" t="s">
        <v>67</v>
      </c>
      <c r="X187" s="597">
        <v>0</v>
      </c>
      <c r="Y187" s="598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316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317</v>
      </c>
      <c r="B188" s="54" t="s">
        <v>318</v>
      </c>
      <c r="C188" s="31">
        <v>4301032057</v>
      </c>
      <c r="D188" s="603">
        <v>4680115889088</v>
      </c>
      <c r="E188" s="604"/>
      <c r="F188" s="596">
        <v>0.06</v>
      </c>
      <c r="G188" s="32">
        <v>18</v>
      </c>
      <c r="H188" s="596">
        <v>1.08</v>
      </c>
      <c r="I188" s="596">
        <v>1.36</v>
      </c>
      <c r="J188" s="32">
        <v>216</v>
      </c>
      <c r="K188" s="32" t="s">
        <v>314</v>
      </c>
      <c r="L188" s="32"/>
      <c r="M188" s="33" t="s">
        <v>315</v>
      </c>
      <c r="N188" s="33"/>
      <c r="O188" s="32">
        <v>45</v>
      </c>
      <c r="P188" s="75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06"/>
      <c r="R188" s="606"/>
      <c r="S188" s="606"/>
      <c r="T188" s="607"/>
      <c r="U188" s="34"/>
      <c r="V188" s="34"/>
      <c r="W188" s="35" t="s">
        <v>67</v>
      </c>
      <c r="X188" s="597">
        <v>0</v>
      </c>
      <c r="Y188" s="59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319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17"/>
      <c r="B189" s="609"/>
      <c r="C189" s="609"/>
      <c r="D189" s="609"/>
      <c r="E189" s="609"/>
      <c r="F189" s="609"/>
      <c r="G189" s="609"/>
      <c r="H189" s="609"/>
      <c r="I189" s="609"/>
      <c r="J189" s="609"/>
      <c r="K189" s="609"/>
      <c r="L189" s="609"/>
      <c r="M189" s="609"/>
      <c r="N189" s="609"/>
      <c r="O189" s="618"/>
      <c r="P189" s="613" t="s">
        <v>72</v>
      </c>
      <c r="Q189" s="614"/>
      <c r="R189" s="614"/>
      <c r="S189" s="614"/>
      <c r="T189" s="614"/>
      <c r="U189" s="614"/>
      <c r="V189" s="615"/>
      <c r="W189" s="37" t="s">
        <v>73</v>
      </c>
      <c r="X189" s="599">
        <f>IFERROR(X187/H187,"0")+IFERROR(X188/H188,"0")</f>
        <v>0</v>
      </c>
      <c r="Y189" s="599">
        <f>IFERROR(Y187/H187,"0")+IFERROR(Y188/H188,"0")</f>
        <v>0</v>
      </c>
      <c r="Z189" s="599">
        <f>IFERROR(IF(Z187="",0,Z187),"0")+IFERROR(IF(Z188="",0,Z188),"0")</f>
        <v>0</v>
      </c>
      <c r="AA189" s="600"/>
      <c r="AB189" s="600"/>
      <c r="AC189" s="600"/>
    </row>
    <row r="190" spans="1:68" x14ac:dyDescent="0.2">
      <c r="A190" s="609"/>
      <c r="B190" s="609"/>
      <c r="C190" s="609"/>
      <c r="D190" s="609"/>
      <c r="E190" s="609"/>
      <c r="F190" s="609"/>
      <c r="G190" s="609"/>
      <c r="H190" s="609"/>
      <c r="I190" s="609"/>
      <c r="J190" s="609"/>
      <c r="K190" s="609"/>
      <c r="L190" s="609"/>
      <c r="M190" s="609"/>
      <c r="N190" s="609"/>
      <c r="O190" s="618"/>
      <c r="P190" s="613" t="s">
        <v>72</v>
      </c>
      <c r="Q190" s="614"/>
      <c r="R190" s="614"/>
      <c r="S190" s="614"/>
      <c r="T190" s="614"/>
      <c r="U190" s="614"/>
      <c r="V190" s="615"/>
      <c r="W190" s="37" t="s">
        <v>67</v>
      </c>
      <c r="X190" s="599">
        <f>IFERROR(SUM(X187:X188),"0")</f>
        <v>0</v>
      </c>
      <c r="Y190" s="599">
        <f>IFERROR(SUM(Y187:Y188),"0")</f>
        <v>0</v>
      </c>
      <c r="Z190" s="37"/>
      <c r="AA190" s="600"/>
      <c r="AB190" s="600"/>
      <c r="AC190" s="600"/>
    </row>
    <row r="191" spans="1:68" ht="14.25" customHeight="1" x14ac:dyDescent="0.25">
      <c r="A191" s="608" t="s">
        <v>320</v>
      </c>
      <c r="B191" s="609"/>
      <c r="C191" s="609"/>
      <c r="D191" s="609"/>
      <c r="E191" s="609"/>
      <c r="F191" s="609"/>
      <c r="G191" s="609"/>
      <c r="H191" s="609"/>
      <c r="I191" s="609"/>
      <c r="J191" s="609"/>
      <c r="K191" s="609"/>
      <c r="L191" s="609"/>
      <c r="M191" s="609"/>
      <c r="N191" s="609"/>
      <c r="O191" s="609"/>
      <c r="P191" s="609"/>
      <c r="Q191" s="609"/>
      <c r="R191" s="609"/>
      <c r="S191" s="609"/>
      <c r="T191" s="609"/>
      <c r="U191" s="609"/>
      <c r="V191" s="609"/>
      <c r="W191" s="609"/>
      <c r="X191" s="609"/>
      <c r="Y191" s="609"/>
      <c r="Z191" s="609"/>
      <c r="AA191" s="593"/>
      <c r="AB191" s="593"/>
      <c r="AC191" s="593"/>
    </row>
    <row r="192" spans="1:68" ht="27" customHeight="1" x14ac:dyDescent="0.25">
      <c r="A192" s="54" t="s">
        <v>321</v>
      </c>
      <c r="B192" s="54" t="s">
        <v>322</v>
      </c>
      <c r="C192" s="31">
        <v>4301041009</v>
      </c>
      <c r="D192" s="603">
        <v>4680115889033</v>
      </c>
      <c r="E192" s="604"/>
      <c r="F192" s="596">
        <v>0.11</v>
      </c>
      <c r="G192" s="32">
        <v>15</v>
      </c>
      <c r="H192" s="596">
        <v>1.65</v>
      </c>
      <c r="I192" s="596">
        <v>1.9</v>
      </c>
      <c r="J192" s="32">
        <v>216</v>
      </c>
      <c r="K192" s="32" t="s">
        <v>314</v>
      </c>
      <c r="L192" s="32"/>
      <c r="M192" s="33" t="s">
        <v>315</v>
      </c>
      <c r="N192" s="33"/>
      <c r="O192" s="32">
        <v>60</v>
      </c>
      <c r="P192" s="85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06"/>
      <c r="R192" s="606"/>
      <c r="S192" s="606"/>
      <c r="T192" s="607"/>
      <c r="U192" s="34"/>
      <c r="V192" s="34"/>
      <c r="W192" s="35" t="s">
        <v>67</v>
      </c>
      <c r="X192" s="597">
        <v>0</v>
      </c>
      <c r="Y192" s="598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323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17"/>
      <c r="B193" s="609"/>
      <c r="C193" s="609"/>
      <c r="D193" s="609"/>
      <c r="E193" s="609"/>
      <c r="F193" s="609"/>
      <c r="G193" s="609"/>
      <c r="H193" s="609"/>
      <c r="I193" s="609"/>
      <c r="J193" s="609"/>
      <c r="K193" s="609"/>
      <c r="L193" s="609"/>
      <c r="M193" s="609"/>
      <c r="N193" s="609"/>
      <c r="O193" s="618"/>
      <c r="P193" s="613" t="s">
        <v>72</v>
      </c>
      <c r="Q193" s="614"/>
      <c r="R193" s="614"/>
      <c r="S193" s="614"/>
      <c r="T193" s="614"/>
      <c r="U193" s="614"/>
      <c r="V193" s="615"/>
      <c r="W193" s="37" t="s">
        <v>73</v>
      </c>
      <c r="X193" s="599">
        <f>IFERROR(X192/H192,"0")</f>
        <v>0</v>
      </c>
      <c r="Y193" s="599">
        <f>IFERROR(Y192/H192,"0")</f>
        <v>0</v>
      </c>
      <c r="Z193" s="599">
        <f>IFERROR(IF(Z192="",0,Z192),"0")</f>
        <v>0</v>
      </c>
      <c r="AA193" s="600"/>
      <c r="AB193" s="600"/>
      <c r="AC193" s="600"/>
    </row>
    <row r="194" spans="1:68" x14ac:dyDescent="0.2">
      <c r="A194" s="609"/>
      <c r="B194" s="609"/>
      <c r="C194" s="609"/>
      <c r="D194" s="609"/>
      <c r="E194" s="609"/>
      <c r="F194" s="609"/>
      <c r="G194" s="609"/>
      <c r="H194" s="609"/>
      <c r="I194" s="609"/>
      <c r="J194" s="609"/>
      <c r="K194" s="609"/>
      <c r="L194" s="609"/>
      <c r="M194" s="609"/>
      <c r="N194" s="609"/>
      <c r="O194" s="618"/>
      <c r="P194" s="613" t="s">
        <v>72</v>
      </c>
      <c r="Q194" s="614"/>
      <c r="R194" s="614"/>
      <c r="S194" s="614"/>
      <c r="T194" s="614"/>
      <c r="U194" s="614"/>
      <c r="V194" s="615"/>
      <c r="W194" s="37" t="s">
        <v>67</v>
      </c>
      <c r="X194" s="599">
        <f>IFERROR(SUM(X192:X192),"0")</f>
        <v>0</v>
      </c>
      <c r="Y194" s="599">
        <f>IFERROR(SUM(Y192:Y192),"0")</f>
        <v>0</v>
      </c>
      <c r="Z194" s="37"/>
      <c r="AA194" s="600"/>
      <c r="AB194" s="600"/>
      <c r="AC194" s="600"/>
    </row>
    <row r="195" spans="1:68" ht="27.75" customHeight="1" x14ac:dyDescent="0.2">
      <c r="A195" s="643" t="s">
        <v>324</v>
      </c>
      <c r="B195" s="644"/>
      <c r="C195" s="644"/>
      <c r="D195" s="644"/>
      <c r="E195" s="644"/>
      <c r="F195" s="644"/>
      <c r="G195" s="644"/>
      <c r="H195" s="644"/>
      <c r="I195" s="644"/>
      <c r="J195" s="644"/>
      <c r="K195" s="644"/>
      <c r="L195" s="644"/>
      <c r="M195" s="644"/>
      <c r="N195" s="644"/>
      <c r="O195" s="644"/>
      <c r="P195" s="644"/>
      <c r="Q195" s="644"/>
      <c r="R195" s="644"/>
      <c r="S195" s="644"/>
      <c r="T195" s="644"/>
      <c r="U195" s="644"/>
      <c r="V195" s="644"/>
      <c r="W195" s="644"/>
      <c r="X195" s="644"/>
      <c r="Y195" s="644"/>
      <c r="Z195" s="644"/>
      <c r="AA195" s="48"/>
      <c r="AB195" s="48"/>
      <c r="AC195" s="48"/>
    </row>
    <row r="196" spans="1:68" ht="16.5" customHeight="1" x14ac:dyDescent="0.25">
      <c r="A196" s="612" t="s">
        <v>325</v>
      </c>
      <c r="B196" s="609"/>
      <c r="C196" s="609"/>
      <c r="D196" s="609"/>
      <c r="E196" s="609"/>
      <c r="F196" s="609"/>
      <c r="G196" s="609"/>
      <c r="H196" s="609"/>
      <c r="I196" s="609"/>
      <c r="J196" s="609"/>
      <c r="K196" s="609"/>
      <c r="L196" s="609"/>
      <c r="M196" s="609"/>
      <c r="N196" s="609"/>
      <c r="O196" s="609"/>
      <c r="P196" s="609"/>
      <c r="Q196" s="609"/>
      <c r="R196" s="609"/>
      <c r="S196" s="609"/>
      <c r="T196" s="609"/>
      <c r="U196" s="609"/>
      <c r="V196" s="609"/>
      <c r="W196" s="609"/>
      <c r="X196" s="609"/>
      <c r="Y196" s="609"/>
      <c r="Z196" s="609"/>
      <c r="AA196" s="592"/>
      <c r="AB196" s="592"/>
      <c r="AC196" s="592"/>
    </row>
    <row r="197" spans="1:68" ht="14.25" customHeight="1" x14ac:dyDescent="0.25">
      <c r="A197" s="608" t="s">
        <v>117</v>
      </c>
      <c r="B197" s="609"/>
      <c r="C197" s="609"/>
      <c r="D197" s="609"/>
      <c r="E197" s="609"/>
      <c r="F197" s="609"/>
      <c r="G197" s="609"/>
      <c r="H197" s="609"/>
      <c r="I197" s="609"/>
      <c r="J197" s="609"/>
      <c r="K197" s="609"/>
      <c r="L197" s="609"/>
      <c r="M197" s="609"/>
      <c r="N197" s="609"/>
      <c r="O197" s="609"/>
      <c r="P197" s="609"/>
      <c r="Q197" s="609"/>
      <c r="R197" s="609"/>
      <c r="S197" s="609"/>
      <c r="T197" s="609"/>
      <c r="U197" s="609"/>
      <c r="V197" s="609"/>
      <c r="W197" s="609"/>
      <c r="X197" s="609"/>
      <c r="Y197" s="609"/>
      <c r="Z197" s="609"/>
      <c r="AA197" s="593"/>
      <c r="AB197" s="593"/>
      <c r="AC197" s="593"/>
    </row>
    <row r="198" spans="1:68" ht="27" customHeight="1" x14ac:dyDescent="0.25">
      <c r="A198" s="54" t="s">
        <v>326</v>
      </c>
      <c r="B198" s="54" t="s">
        <v>327</v>
      </c>
      <c r="C198" s="31">
        <v>4301011223</v>
      </c>
      <c r="D198" s="603">
        <v>4607091383423</v>
      </c>
      <c r="E198" s="604"/>
      <c r="F198" s="596">
        <v>1.35</v>
      </c>
      <c r="G198" s="32">
        <v>8</v>
      </c>
      <c r="H198" s="596">
        <v>10.8</v>
      </c>
      <c r="I198" s="596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68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06"/>
      <c r="R198" s="606"/>
      <c r="S198" s="606"/>
      <c r="T198" s="607"/>
      <c r="U198" s="34"/>
      <c r="V198" s="34"/>
      <c r="W198" s="35" t="s">
        <v>67</v>
      </c>
      <c r="X198" s="597">
        <v>0</v>
      </c>
      <c r="Y198" s="59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37.5" customHeight="1" x14ac:dyDescent="0.25">
      <c r="A199" s="54" t="s">
        <v>328</v>
      </c>
      <c r="B199" s="54" t="s">
        <v>329</v>
      </c>
      <c r="C199" s="31">
        <v>4301012199</v>
      </c>
      <c r="D199" s="603">
        <v>4680115886957</v>
      </c>
      <c r="E199" s="604"/>
      <c r="F199" s="596">
        <v>1.35</v>
      </c>
      <c r="G199" s="32">
        <v>8</v>
      </c>
      <c r="H199" s="596">
        <v>10.8</v>
      </c>
      <c r="I199" s="596">
        <v>11.21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30</v>
      </c>
      <c r="P199" s="69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06"/>
      <c r="R199" s="606"/>
      <c r="S199" s="606"/>
      <c r="T199" s="607"/>
      <c r="U199" s="34"/>
      <c r="V199" s="34"/>
      <c r="W199" s="35" t="s">
        <v>67</v>
      </c>
      <c r="X199" s="597">
        <v>0</v>
      </c>
      <c r="Y199" s="59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330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27" customHeight="1" x14ac:dyDescent="0.25">
      <c r="A200" s="54" t="s">
        <v>331</v>
      </c>
      <c r="B200" s="54" t="s">
        <v>332</v>
      </c>
      <c r="C200" s="31">
        <v>4301012098</v>
      </c>
      <c r="D200" s="603">
        <v>4680115885660</v>
      </c>
      <c r="E200" s="604"/>
      <c r="F200" s="596">
        <v>1.35</v>
      </c>
      <c r="G200" s="32">
        <v>8</v>
      </c>
      <c r="H200" s="596">
        <v>10.8</v>
      </c>
      <c r="I200" s="596">
        <v>11.21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6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06"/>
      <c r="R200" s="606"/>
      <c r="S200" s="606"/>
      <c r="T200" s="607"/>
      <c r="U200" s="34"/>
      <c r="V200" s="34"/>
      <c r="W200" s="35" t="s">
        <v>67</v>
      </c>
      <c r="X200" s="597">
        <v>0</v>
      </c>
      <c r="Y200" s="598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334</v>
      </c>
      <c r="B201" s="54" t="s">
        <v>335</v>
      </c>
      <c r="C201" s="31">
        <v>4301012369</v>
      </c>
      <c r="D201" s="603">
        <v>4680115886773</v>
      </c>
      <c r="E201" s="604"/>
      <c r="F201" s="596">
        <v>0.9</v>
      </c>
      <c r="G201" s="32">
        <v>10</v>
      </c>
      <c r="H201" s="596">
        <v>9</v>
      </c>
      <c r="I201" s="596">
        <v>9.51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71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06"/>
      <c r="R201" s="606"/>
      <c r="S201" s="606"/>
      <c r="T201" s="607"/>
      <c r="U201" s="34"/>
      <c r="V201" s="34"/>
      <c r="W201" s="35" t="s">
        <v>67</v>
      </c>
      <c r="X201" s="597">
        <v>0</v>
      </c>
      <c r="Y201" s="598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17"/>
      <c r="B202" s="609"/>
      <c r="C202" s="609"/>
      <c r="D202" s="609"/>
      <c r="E202" s="609"/>
      <c r="F202" s="609"/>
      <c r="G202" s="609"/>
      <c r="H202" s="609"/>
      <c r="I202" s="609"/>
      <c r="J202" s="609"/>
      <c r="K202" s="609"/>
      <c r="L202" s="609"/>
      <c r="M202" s="609"/>
      <c r="N202" s="609"/>
      <c r="O202" s="618"/>
      <c r="P202" s="613" t="s">
        <v>72</v>
      </c>
      <c r="Q202" s="614"/>
      <c r="R202" s="614"/>
      <c r="S202" s="614"/>
      <c r="T202" s="614"/>
      <c r="U202" s="614"/>
      <c r="V202" s="615"/>
      <c r="W202" s="37" t="s">
        <v>73</v>
      </c>
      <c r="X202" s="599">
        <f>IFERROR(X198/H198,"0")+IFERROR(X199/H199,"0")+IFERROR(X200/H200,"0")+IFERROR(X201/H201,"0")</f>
        <v>0</v>
      </c>
      <c r="Y202" s="599">
        <f>IFERROR(Y198/H198,"0")+IFERROR(Y199/H199,"0")+IFERROR(Y200/H200,"0")+IFERROR(Y201/H201,"0")</f>
        <v>0</v>
      </c>
      <c r="Z202" s="599">
        <f>IFERROR(IF(Z198="",0,Z198),"0")+IFERROR(IF(Z199="",0,Z199),"0")+IFERROR(IF(Z200="",0,Z200),"0")+IFERROR(IF(Z201="",0,Z201),"0")</f>
        <v>0</v>
      </c>
      <c r="AA202" s="600"/>
      <c r="AB202" s="600"/>
      <c r="AC202" s="600"/>
    </row>
    <row r="203" spans="1:68" x14ac:dyDescent="0.2">
      <c r="A203" s="609"/>
      <c r="B203" s="609"/>
      <c r="C203" s="609"/>
      <c r="D203" s="609"/>
      <c r="E203" s="609"/>
      <c r="F203" s="609"/>
      <c r="G203" s="609"/>
      <c r="H203" s="609"/>
      <c r="I203" s="609"/>
      <c r="J203" s="609"/>
      <c r="K203" s="609"/>
      <c r="L203" s="609"/>
      <c r="M203" s="609"/>
      <c r="N203" s="609"/>
      <c r="O203" s="618"/>
      <c r="P203" s="613" t="s">
        <v>72</v>
      </c>
      <c r="Q203" s="614"/>
      <c r="R203" s="614"/>
      <c r="S203" s="614"/>
      <c r="T203" s="614"/>
      <c r="U203" s="614"/>
      <c r="V203" s="615"/>
      <c r="W203" s="37" t="s">
        <v>67</v>
      </c>
      <c r="X203" s="599">
        <f>IFERROR(SUM(X198:X201),"0")</f>
        <v>0</v>
      </c>
      <c r="Y203" s="599">
        <f>IFERROR(SUM(Y198:Y201),"0")</f>
        <v>0</v>
      </c>
      <c r="Z203" s="37"/>
      <c r="AA203" s="600"/>
      <c r="AB203" s="600"/>
      <c r="AC203" s="600"/>
    </row>
    <row r="204" spans="1:68" ht="16.5" customHeight="1" x14ac:dyDescent="0.25">
      <c r="A204" s="612" t="s">
        <v>337</v>
      </c>
      <c r="B204" s="609"/>
      <c r="C204" s="609"/>
      <c r="D204" s="609"/>
      <c r="E204" s="609"/>
      <c r="F204" s="609"/>
      <c r="G204" s="609"/>
      <c r="H204" s="609"/>
      <c r="I204" s="609"/>
      <c r="J204" s="609"/>
      <c r="K204" s="609"/>
      <c r="L204" s="609"/>
      <c r="M204" s="609"/>
      <c r="N204" s="609"/>
      <c r="O204" s="609"/>
      <c r="P204" s="609"/>
      <c r="Q204" s="609"/>
      <c r="R204" s="609"/>
      <c r="S204" s="609"/>
      <c r="T204" s="609"/>
      <c r="U204" s="609"/>
      <c r="V204" s="609"/>
      <c r="W204" s="609"/>
      <c r="X204" s="609"/>
      <c r="Y204" s="609"/>
      <c r="Z204" s="609"/>
      <c r="AA204" s="592"/>
      <c r="AB204" s="592"/>
      <c r="AC204" s="592"/>
    </row>
    <row r="205" spans="1:68" ht="14.25" customHeight="1" x14ac:dyDescent="0.25">
      <c r="A205" s="608" t="s">
        <v>152</v>
      </c>
      <c r="B205" s="609"/>
      <c r="C205" s="609"/>
      <c r="D205" s="609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09"/>
      <c r="P205" s="609"/>
      <c r="Q205" s="609"/>
      <c r="R205" s="609"/>
      <c r="S205" s="609"/>
      <c r="T205" s="609"/>
      <c r="U205" s="609"/>
      <c r="V205" s="609"/>
      <c r="W205" s="609"/>
      <c r="X205" s="609"/>
      <c r="Y205" s="609"/>
      <c r="Z205" s="609"/>
      <c r="AA205" s="593"/>
      <c r="AB205" s="593"/>
      <c r="AC205" s="593"/>
    </row>
    <row r="206" spans="1:68" ht="27" customHeight="1" x14ac:dyDescent="0.25">
      <c r="A206" s="54" t="s">
        <v>338</v>
      </c>
      <c r="B206" s="54" t="s">
        <v>339</v>
      </c>
      <c r="C206" s="31">
        <v>4301020323</v>
      </c>
      <c r="D206" s="603">
        <v>4680115886223</v>
      </c>
      <c r="E206" s="604"/>
      <c r="F206" s="596">
        <v>0.33</v>
      </c>
      <c r="G206" s="32">
        <v>6</v>
      </c>
      <c r="H206" s="596">
        <v>1.98</v>
      </c>
      <c r="I206" s="596">
        <v>2.08</v>
      </c>
      <c r="J206" s="32">
        <v>234</v>
      </c>
      <c r="K206" s="32" t="s">
        <v>65</v>
      </c>
      <c r="L206" s="32"/>
      <c r="M206" s="33" t="s">
        <v>66</v>
      </c>
      <c r="N206" s="33"/>
      <c r="O206" s="32">
        <v>40</v>
      </c>
      <c r="P206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06"/>
      <c r="R206" s="606"/>
      <c r="S206" s="606"/>
      <c r="T206" s="607"/>
      <c r="U206" s="34"/>
      <c r="V206" s="34"/>
      <c r="W206" s="35" t="s">
        <v>67</v>
      </c>
      <c r="X206" s="597">
        <v>0</v>
      </c>
      <c r="Y206" s="598">
        <f>IFERROR(IF(X206="",0,CEILING((X206/$H206),1)*$H206),"")</f>
        <v>0</v>
      </c>
      <c r="Z206" s="36" t="str">
        <f>IFERROR(IF(Y206=0,"",ROUNDUP(Y206/H206,0)*0.00502),"")</f>
        <v/>
      </c>
      <c r="AA206" s="56"/>
      <c r="AB206" s="57"/>
      <c r="AC206" s="255" t="s">
        <v>340</v>
      </c>
      <c r="AG206" s="64"/>
      <c r="AJ206" s="68"/>
      <c r="AK206" s="68">
        <v>0</v>
      </c>
      <c r="BB206" s="256" t="s">
        <v>1</v>
      </c>
      <c r="BM206" s="64">
        <f>IFERROR(X206*I206/H206,"0")</f>
        <v>0</v>
      </c>
      <c r="BN206" s="64">
        <f>IFERROR(Y206*I206/H206,"0")</f>
        <v>0</v>
      </c>
      <c r="BO206" s="64">
        <f>IFERROR(1/J206*(X206/H206),"0")</f>
        <v>0</v>
      </c>
      <c r="BP206" s="64">
        <f>IFERROR(1/J206*(Y206/H206),"0")</f>
        <v>0</v>
      </c>
    </row>
    <row r="207" spans="1:68" x14ac:dyDescent="0.2">
      <c r="A207" s="617"/>
      <c r="B207" s="609"/>
      <c r="C207" s="609"/>
      <c r="D207" s="609"/>
      <c r="E207" s="609"/>
      <c r="F207" s="609"/>
      <c r="G207" s="609"/>
      <c r="H207" s="609"/>
      <c r="I207" s="609"/>
      <c r="J207" s="609"/>
      <c r="K207" s="609"/>
      <c r="L207" s="609"/>
      <c r="M207" s="609"/>
      <c r="N207" s="609"/>
      <c r="O207" s="618"/>
      <c r="P207" s="613" t="s">
        <v>72</v>
      </c>
      <c r="Q207" s="614"/>
      <c r="R207" s="614"/>
      <c r="S207" s="614"/>
      <c r="T207" s="614"/>
      <c r="U207" s="614"/>
      <c r="V207" s="615"/>
      <c r="W207" s="37" t="s">
        <v>73</v>
      </c>
      <c r="X207" s="599">
        <f>IFERROR(X206/H206,"0")</f>
        <v>0</v>
      </c>
      <c r="Y207" s="599">
        <f>IFERROR(Y206/H206,"0")</f>
        <v>0</v>
      </c>
      <c r="Z207" s="599">
        <f>IFERROR(IF(Z206="",0,Z206),"0")</f>
        <v>0</v>
      </c>
      <c r="AA207" s="600"/>
      <c r="AB207" s="600"/>
      <c r="AC207" s="600"/>
    </row>
    <row r="208" spans="1:68" x14ac:dyDescent="0.2">
      <c r="A208" s="609"/>
      <c r="B208" s="609"/>
      <c r="C208" s="609"/>
      <c r="D208" s="609"/>
      <c r="E208" s="609"/>
      <c r="F208" s="609"/>
      <c r="G208" s="609"/>
      <c r="H208" s="609"/>
      <c r="I208" s="609"/>
      <c r="J208" s="609"/>
      <c r="K208" s="609"/>
      <c r="L208" s="609"/>
      <c r="M208" s="609"/>
      <c r="N208" s="609"/>
      <c r="O208" s="618"/>
      <c r="P208" s="613" t="s">
        <v>72</v>
      </c>
      <c r="Q208" s="614"/>
      <c r="R208" s="614"/>
      <c r="S208" s="614"/>
      <c r="T208" s="614"/>
      <c r="U208" s="614"/>
      <c r="V208" s="615"/>
      <c r="W208" s="37" t="s">
        <v>67</v>
      </c>
      <c r="X208" s="599">
        <f>IFERROR(SUM(X206:X206),"0")</f>
        <v>0</v>
      </c>
      <c r="Y208" s="599">
        <f>IFERROR(SUM(Y206:Y206),"0")</f>
        <v>0</v>
      </c>
      <c r="Z208" s="37"/>
      <c r="AA208" s="600"/>
      <c r="AB208" s="600"/>
      <c r="AC208" s="600"/>
    </row>
    <row r="209" spans="1:68" ht="14.25" customHeight="1" x14ac:dyDescent="0.25">
      <c r="A209" s="608" t="s">
        <v>62</v>
      </c>
      <c r="B209" s="609"/>
      <c r="C209" s="609"/>
      <c r="D209" s="609"/>
      <c r="E209" s="609"/>
      <c r="F209" s="609"/>
      <c r="G209" s="609"/>
      <c r="H209" s="609"/>
      <c r="I209" s="609"/>
      <c r="J209" s="609"/>
      <c r="K209" s="609"/>
      <c r="L209" s="609"/>
      <c r="M209" s="609"/>
      <c r="N209" s="609"/>
      <c r="O209" s="609"/>
      <c r="P209" s="609"/>
      <c r="Q209" s="609"/>
      <c r="R209" s="609"/>
      <c r="S209" s="609"/>
      <c r="T209" s="609"/>
      <c r="U209" s="609"/>
      <c r="V209" s="609"/>
      <c r="W209" s="609"/>
      <c r="X209" s="609"/>
      <c r="Y209" s="609"/>
      <c r="Z209" s="609"/>
      <c r="AA209" s="593"/>
      <c r="AB209" s="593"/>
      <c r="AC209" s="593"/>
    </row>
    <row r="210" spans="1:68" ht="27" customHeight="1" x14ac:dyDescent="0.25">
      <c r="A210" s="54" t="s">
        <v>341</v>
      </c>
      <c r="B210" s="54" t="s">
        <v>342</v>
      </c>
      <c r="C210" s="31">
        <v>4301031191</v>
      </c>
      <c r="D210" s="603">
        <v>4680115880993</v>
      </c>
      <c r="E210" s="604"/>
      <c r="F210" s="596">
        <v>0.7</v>
      </c>
      <c r="G210" s="32">
        <v>6</v>
      </c>
      <c r="H210" s="596">
        <v>4.2</v>
      </c>
      <c r="I210" s="596">
        <v>4.45</v>
      </c>
      <c r="J210" s="32">
        <v>132</v>
      </c>
      <c r="K210" s="32" t="s">
        <v>129</v>
      </c>
      <c r="L210" s="32"/>
      <c r="M210" s="33" t="s">
        <v>66</v>
      </c>
      <c r="N210" s="33"/>
      <c r="O210" s="32">
        <v>40</v>
      </c>
      <c r="P210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06"/>
      <c r="R210" s="606"/>
      <c r="S210" s="606"/>
      <c r="T210" s="607"/>
      <c r="U210" s="34"/>
      <c r="V210" s="34"/>
      <c r="W210" s="35" t="s">
        <v>67</v>
      </c>
      <c r="X210" s="597">
        <v>0</v>
      </c>
      <c r="Y210" s="598">
        <f t="shared" ref="Y210:Y223" si="26">IFERROR(IF(X210="",0,CEILING((X210/$H210),1)*$H210),"")</f>
        <v>0</v>
      </c>
      <c r="Z210" s="36" t="str">
        <f>IFERROR(IF(Y210=0,"",ROUNDUP(Y210/H210,0)*0.00902),"")</f>
        <v/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ref="BM210:BM223" si="27">IFERROR(X210*I210/H210,"0")</f>
        <v>0</v>
      </c>
      <c r="BN210" s="64">
        <f t="shared" ref="BN210:BN223" si="28">IFERROR(Y210*I210/H210,"0")</f>
        <v>0</v>
      </c>
      <c r="BO210" s="64">
        <f t="shared" ref="BO210:BO223" si="29">IFERROR(1/J210*(X210/H210),"0")</f>
        <v>0</v>
      </c>
      <c r="BP210" s="64">
        <f t="shared" ref="BP210:BP223" si="30">IFERROR(1/J210*(Y210/H210),"0")</f>
        <v>0</v>
      </c>
    </row>
    <row r="211" spans="1:68" ht="27" customHeight="1" x14ac:dyDescent="0.25">
      <c r="A211" s="54" t="s">
        <v>344</v>
      </c>
      <c r="B211" s="54" t="s">
        <v>345</v>
      </c>
      <c r="C211" s="31">
        <v>4301031204</v>
      </c>
      <c r="D211" s="603">
        <v>4680115881761</v>
      </c>
      <c r="E211" s="604"/>
      <c r="F211" s="596">
        <v>0.7</v>
      </c>
      <c r="G211" s="32">
        <v>6</v>
      </c>
      <c r="H211" s="596">
        <v>4.2</v>
      </c>
      <c r="I211" s="596">
        <v>4.45</v>
      </c>
      <c r="J211" s="32">
        <v>132</v>
      </c>
      <c r="K211" s="32" t="s">
        <v>129</v>
      </c>
      <c r="L211" s="32"/>
      <c r="M211" s="33" t="s">
        <v>66</v>
      </c>
      <c r="N211" s="33"/>
      <c r="O211" s="32">
        <v>40</v>
      </c>
      <c r="P211" s="79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06"/>
      <c r="R211" s="606"/>
      <c r="S211" s="606"/>
      <c r="T211" s="607"/>
      <c r="U211" s="34"/>
      <c r="V211" s="34"/>
      <c r="W211" s="35" t="s">
        <v>67</v>
      </c>
      <c r="X211" s="597">
        <v>0</v>
      </c>
      <c r="Y211" s="598">
        <f t="shared" si="26"/>
        <v>0</v>
      </c>
      <c r="Z211" s="36" t="str">
        <f>IFERROR(IF(Y211=0,"",ROUNDUP(Y211/H211,0)*0.00902),"")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27"/>
        <v>0</v>
      </c>
      <c r="BN211" s="64">
        <f t="shared" si="28"/>
        <v>0</v>
      </c>
      <c r="BO211" s="64">
        <f t="shared" si="29"/>
        <v>0</v>
      </c>
      <c r="BP211" s="64">
        <f t="shared" si="30"/>
        <v>0</v>
      </c>
    </row>
    <row r="212" spans="1:68" ht="27" customHeight="1" x14ac:dyDescent="0.25">
      <c r="A212" s="54" t="s">
        <v>347</v>
      </c>
      <c r="B212" s="54" t="s">
        <v>348</v>
      </c>
      <c r="C212" s="31">
        <v>4301031201</v>
      </c>
      <c r="D212" s="603">
        <v>4680115881563</v>
      </c>
      <c r="E212" s="604"/>
      <c r="F212" s="596">
        <v>0.7</v>
      </c>
      <c r="G212" s="32">
        <v>6</v>
      </c>
      <c r="H212" s="596">
        <v>4.2</v>
      </c>
      <c r="I212" s="596">
        <v>4.3899999999999997</v>
      </c>
      <c r="J212" s="32">
        <v>132</v>
      </c>
      <c r="K212" s="32" t="s">
        <v>129</v>
      </c>
      <c r="L212" s="32"/>
      <c r="M212" s="33" t="s">
        <v>66</v>
      </c>
      <c r="N212" s="33"/>
      <c r="O212" s="32">
        <v>40</v>
      </c>
      <c r="P212" s="75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06"/>
      <c r="R212" s="606"/>
      <c r="S212" s="606"/>
      <c r="T212" s="607"/>
      <c r="U212" s="34"/>
      <c r="V212" s="34"/>
      <c r="W212" s="35" t="s">
        <v>67</v>
      </c>
      <c r="X212" s="597">
        <v>0</v>
      </c>
      <c r="Y212" s="598">
        <f t="shared" si="26"/>
        <v>0</v>
      </c>
      <c r="Z212" s="36" t="str">
        <f>IFERROR(IF(Y212=0,"",ROUNDUP(Y212/H212,0)*0.00902),"")</f>
        <v/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27"/>
        <v>0</v>
      </c>
      <c r="BN212" s="64">
        <f t="shared" si="28"/>
        <v>0</v>
      </c>
      <c r="BO212" s="64">
        <f t="shared" si="29"/>
        <v>0</v>
      </c>
      <c r="BP212" s="64">
        <f t="shared" si="30"/>
        <v>0</v>
      </c>
    </row>
    <row r="213" spans="1:68" ht="37.5" customHeight="1" x14ac:dyDescent="0.25">
      <c r="A213" s="54" t="s">
        <v>350</v>
      </c>
      <c r="B213" s="54" t="s">
        <v>351</v>
      </c>
      <c r="C213" s="31">
        <v>4301031447</v>
      </c>
      <c r="D213" s="603">
        <v>4680115887565</v>
      </c>
      <c r="E213" s="604"/>
      <c r="F213" s="596">
        <v>0.08</v>
      </c>
      <c r="G213" s="32">
        <v>10</v>
      </c>
      <c r="H213" s="596">
        <v>0.8</v>
      </c>
      <c r="I213" s="596">
        <v>0.93</v>
      </c>
      <c r="J213" s="32">
        <v>252</v>
      </c>
      <c r="K213" s="32" t="s">
        <v>65</v>
      </c>
      <c r="L213" s="32"/>
      <c r="M213" s="33" t="s">
        <v>66</v>
      </c>
      <c r="N213" s="33"/>
      <c r="O213" s="32">
        <v>45</v>
      </c>
      <c r="P213" s="9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06"/>
      <c r="R213" s="606"/>
      <c r="S213" s="606"/>
      <c r="T213" s="607"/>
      <c r="U213" s="34"/>
      <c r="V213" s="34"/>
      <c r="W213" s="35" t="s">
        <v>67</v>
      </c>
      <c r="X213" s="597">
        <v>10</v>
      </c>
      <c r="Y213" s="598">
        <f t="shared" si="26"/>
        <v>10.4</v>
      </c>
      <c r="Z213" s="36">
        <f>IFERROR(IF(Y213=0,"",ROUNDUP(Y213/H213,0)*0.00556),"")</f>
        <v>7.2279999999999997E-2</v>
      </c>
      <c r="AA213" s="56"/>
      <c r="AB213" s="57"/>
      <c r="AC213" s="263" t="s">
        <v>352</v>
      </c>
      <c r="AG213" s="64"/>
      <c r="AJ213" s="68"/>
      <c r="AK213" s="68">
        <v>0</v>
      </c>
      <c r="BB213" s="264" t="s">
        <v>1</v>
      </c>
      <c r="BM213" s="64">
        <f t="shared" si="27"/>
        <v>11.625</v>
      </c>
      <c r="BN213" s="64">
        <f t="shared" si="28"/>
        <v>12.09</v>
      </c>
      <c r="BO213" s="64">
        <f t="shared" si="29"/>
        <v>4.96031746031746E-2</v>
      </c>
      <c r="BP213" s="64">
        <f t="shared" si="30"/>
        <v>5.1587301587301584E-2</v>
      </c>
    </row>
    <row r="214" spans="1:68" ht="27" customHeight="1" x14ac:dyDescent="0.25">
      <c r="A214" s="54" t="s">
        <v>353</v>
      </c>
      <c r="B214" s="54" t="s">
        <v>354</v>
      </c>
      <c r="C214" s="31">
        <v>4301031199</v>
      </c>
      <c r="D214" s="603">
        <v>4680115880986</v>
      </c>
      <c r="E214" s="604"/>
      <c r="F214" s="596">
        <v>0.35</v>
      </c>
      <c r="G214" s="32">
        <v>6</v>
      </c>
      <c r="H214" s="596">
        <v>2.1</v>
      </c>
      <c r="I214" s="596">
        <v>2.23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7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06"/>
      <c r="R214" s="606"/>
      <c r="S214" s="606"/>
      <c r="T214" s="607"/>
      <c r="U214" s="34"/>
      <c r="V214" s="34"/>
      <c r="W214" s="35" t="s">
        <v>67</v>
      </c>
      <c r="X214" s="597">
        <v>35</v>
      </c>
      <c r="Y214" s="598">
        <f t="shared" si="26"/>
        <v>35.700000000000003</v>
      </c>
      <c r="Z214" s="36">
        <f t="shared" ref="Z214:Z219" si="31">IFERROR(IF(Y214=0,"",ROUNDUP(Y214/H214,0)*0.00502),"")</f>
        <v>8.5339999999999999E-2</v>
      </c>
      <c r="AA214" s="56"/>
      <c r="AB214" s="57"/>
      <c r="AC214" s="265" t="s">
        <v>343</v>
      </c>
      <c r="AG214" s="64"/>
      <c r="AJ214" s="68"/>
      <c r="AK214" s="68">
        <v>0</v>
      </c>
      <c r="BB214" s="266" t="s">
        <v>1</v>
      </c>
      <c r="BM214" s="64">
        <f t="shared" si="27"/>
        <v>37.166666666666664</v>
      </c>
      <c r="BN214" s="64">
        <f t="shared" si="28"/>
        <v>37.910000000000004</v>
      </c>
      <c r="BO214" s="64">
        <f t="shared" si="29"/>
        <v>7.1225071225071226E-2</v>
      </c>
      <c r="BP214" s="64">
        <f t="shared" si="30"/>
        <v>7.2649572649572655E-2</v>
      </c>
    </row>
    <row r="215" spans="1:68" ht="27" customHeight="1" x14ac:dyDescent="0.25">
      <c r="A215" s="54" t="s">
        <v>355</v>
      </c>
      <c r="B215" s="54" t="s">
        <v>356</v>
      </c>
      <c r="C215" s="31">
        <v>4301031443</v>
      </c>
      <c r="D215" s="603">
        <v>4680115887213</v>
      </c>
      <c r="E215" s="604"/>
      <c r="F215" s="596">
        <v>0.3</v>
      </c>
      <c r="G215" s="32">
        <v>6</v>
      </c>
      <c r="H215" s="596">
        <v>1.8</v>
      </c>
      <c r="I215" s="596">
        <v>1.9</v>
      </c>
      <c r="J215" s="32">
        <v>234</v>
      </c>
      <c r="K215" s="32" t="s">
        <v>65</v>
      </c>
      <c r="L215" s="32"/>
      <c r="M215" s="33" t="s">
        <v>66</v>
      </c>
      <c r="N215" s="33"/>
      <c r="O215" s="32">
        <v>45</v>
      </c>
      <c r="P215" s="9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06"/>
      <c r="R215" s="606"/>
      <c r="S215" s="606"/>
      <c r="T215" s="607"/>
      <c r="U215" s="34"/>
      <c r="V215" s="34"/>
      <c r="W215" s="35" t="s">
        <v>67</v>
      </c>
      <c r="X215" s="597">
        <v>0</v>
      </c>
      <c r="Y215" s="598">
        <f t="shared" si="26"/>
        <v>0</v>
      </c>
      <c r="Z215" s="36" t="str">
        <f t="shared" si="31"/>
        <v/>
      </c>
      <c r="AA215" s="56"/>
      <c r="AB215" s="57"/>
      <c r="AC215" s="267" t="s">
        <v>357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358</v>
      </c>
      <c r="B216" s="54" t="s">
        <v>359</v>
      </c>
      <c r="C216" s="31">
        <v>4301031205</v>
      </c>
      <c r="D216" s="603">
        <v>4680115881785</v>
      </c>
      <c r="E216" s="604"/>
      <c r="F216" s="596">
        <v>0.35</v>
      </c>
      <c r="G216" s="32">
        <v>6</v>
      </c>
      <c r="H216" s="596">
        <v>2.1</v>
      </c>
      <c r="I216" s="596">
        <v>2.23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78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06"/>
      <c r="R216" s="606"/>
      <c r="S216" s="606"/>
      <c r="T216" s="607"/>
      <c r="U216" s="34"/>
      <c r="V216" s="34"/>
      <c r="W216" s="35" t="s">
        <v>67</v>
      </c>
      <c r="X216" s="597">
        <v>0</v>
      </c>
      <c r="Y216" s="598">
        <f t="shared" si="26"/>
        <v>0</v>
      </c>
      <c r="Z216" s="36" t="str">
        <f t="shared" si="31"/>
        <v/>
      </c>
      <c r="AA216" s="56"/>
      <c r="AB216" s="57"/>
      <c r="AC216" s="269" t="s">
        <v>346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customHeight="1" x14ac:dyDescent="0.25">
      <c r="A217" s="54" t="s">
        <v>360</v>
      </c>
      <c r="B217" s="54" t="s">
        <v>361</v>
      </c>
      <c r="C217" s="31">
        <v>4301031499</v>
      </c>
      <c r="D217" s="603">
        <v>4680115888432</v>
      </c>
      <c r="E217" s="604"/>
      <c r="F217" s="596">
        <v>0.3</v>
      </c>
      <c r="G217" s="32">
        <v>6</v>
      </c>
      <c r="H217" s="596">
        <v>1.8</v>
      </c>
      <c r="I217" s="596">
        <v>1.93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45</v>
      </c>
      <c r="P217" s="75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06"/>
      <c r="R217" s="606"/>
      <c r="S217" s="606"/>
      <c r="T217" s="607"/>
      <c r="U217" s="34"/>
      <c r="V217" s="34"/>
      <c r="W217" s="35" t="s">
        <v>67</v>
      </c>
      <c r="X217" s="597">
        <v>0</v>
      </c>
      <c r="Y217" s="598">
        <f t="shared" si="26"/>
        <v>0</v>
      </c>
      <c r="Z217" s="36" t="str">
        <f t="shared" si="31"/>
        <v/>
      </c>
      <c r="AA217" s="56"/>
      <c r="AB217" s="57"/>
      <c r="AC217" s="271" t="s">
        <v>362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customHeight="1" x14ac:dyDescent="0.25">
      <c r="A218" s="54" t="s">
        <v>363</v>
      </c>
      <c r="B218" s="54" t="s">
        <v>364</v>
      </c>
      <c r="C218" s="31">
        <v>4301031427</v>
      </c>
      <c r="D218" s="603">
        <v>4680115888104</v>
      </c>
      <c r="E218" s="604"/>
      <c r="F218" s="596">
        <v>0.35</v>
      </c>
      <c r="G218" s="32">
        <v>6</v>
      </c>
      <c r="H218" s="596">
        <v>2.1</v>
      </c>
      <c r="I218" s="596">
        <v>2.2000000000000002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6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06"/>
      <c r="R218" s="606"/>
      <c r="S218" s="606"/>
      <c r="T218" s="607"/>
      <c r="U218" s="34"/>
      <c r="V218" s="34"/>
      <c r="W218" s="35" t="s">
        <v>67</v>
      </c>
      <c r="X218" s="597">
        <v>0</v>
      </c>
      <c r="Y218" s="598">
        <f t="shared" si="26"/>
        <v>0</v>
      </c>
      <c r="Z218" s="36" t="str">
        <f t="shared" si="31"/>
        <v/>
      </c>
      <c r="AA218" s="56"/>
      <c r="AB218" s="57"/>
      <c r="AC218" s="273" t="s">
        <v>365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366</v>
      </c>
      <c r="B219" s="54" t="s">
        <v>367</v>
      </c>
      <c r="C219" s="31">
        <v>4301031399</v>
      </c>
      <c r="D219" s="603">
        <v>4680115886537</v>
      </c>
      <c r="E219" s="604"/>
      <c r="F219" s="596">
        <v>0.3</v>
      </c>
      <c r="G219" s="32">
        <v>6</v>
      </c>
      <c r="H219" s="596">
        <v>1.8</v>
      </c>
      <c r="I219" s="596">
        <v>1.93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2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06"/>
      <c r="R219" s="606"/>
      <c r="S219" s="606"/>
      <c r="T219" s="607"/>
      <c r="U219" s="34"/>
      <c r="V219" s="34"/>
      <c r="W219" s="35" t="s">
        <v>67</v>
      </c>
      <c r="X219" s="597">
        <v>40</v>
      </c>
      <c r="Y219" s="598">
        <f t="shared" si="26"/>
        <v>41.4</v>
      </c>
      <c r="Z219" s="36">
        <f t="shared" si="31"/>
        <v>0.11546000000000001</v>
      </c>
      <c r="AA219" s="56"/>
      <c r="AB219" s="57"/>
      <c r="AC219" s="275" t="s">
        <v>368</v>
      </c>
      <c r="AG219" s="64"/>
      <c r="AJ219" s="68"/>
      <c r="AK219" s="68">
        <v>0</v>
      </c>
      <c r="BB219" s="276" t="s">
        <v>1</v>
      </c>
      <c r="BM219" s="64">
        <f t="shared" si="27"/>
        <v>42.888888888888893</v>
      </c>
      <c r="BN219" s="64">
        <f t="shared" si="28"/>
        <v>44.39</v>
      </c>
      <c r="BO219" s="64">
        <f t="shared" si="29"/>
        <v>9.4966761633428307E-2</v>
      </c>
      <c r="BP219" s="64">
        <f t="shared" si="30"/>
        <v>9.8290598290598302E-2</v>
      </c>
    </row>
    <row r="220" spans="1:68" ht="27" customHeight="1" x14ac:dyDescent="0.25">
      <c r="A220" s="54" t="s">
        <v>369</v>
      </c>
      <c r="B220" s="54" t="s">
        <v>370</v>
      </c>
      <c r="C220" s="31">
        <v>4301031279</v>
      </c>
      <c r="D220" s="603">
        <v>4680115887596</v>
      </c>
      <c r="E220" s="604"/>
      <c r="F220" s="596">
        <v>0.08</v>
      </c>
      <c r="G220" s="32">
        <v>10</v>
      </c>
      <c r="H220" s="596">
        <v>0.8</v>
      </c>
      <c r="I220" s="596">
        <v>1.01</v>
      </c>
      <c r="J220" s="32">
        <v>336</v>
      </c>
      <c r="K220" s="32" t="s">
        <v>125</v>
      </c>
      <c r="L220" s="32"/>
      <c r="M220" s="33" t="s">
        <v>66</v>
      </c>
      <c r="N220" s="33"/>
      <c r="O220" s="32">
        <v>45</v>
      </c>
      <c r="P220" s="9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06"/>
      <c r="R220" s="606"/>
      <c r="S220" s="606"/>
      <c r="T220" s="607"/>
      <c r="U220" s="34"/>
      <c r="V220" s="34"/>
      <c r="W220" s="35" t="s">
        <v>67</v>
      </c>
      <c r="X220" s="597">
        <v>6</v>
      </c>
      <c r="Y220" s="598">
        <f t="shared" si="26"/>
        <v>6.4</v>
      </c>
      <c r="Z220" s="36">
        <f>IFERROR(IF(Y220=0,"",ROUNDUP(Y220/H220,0)*0.00417),"")</f>
        <v>3.3360000000000001E-2</v>
      </c>
      <c r="AA220" s="56"/>
      <c r="AB220" s="57"/>
      <c r="AC220" s="277" t="s">
        <v>371</v>
      </c>
      <c r="AG220" s="64"/>
      <c r="AJ220" s="68"/>
      <c r="AK220" s="68">
        <v>0</v>
      </c>
      <c r="BB220" s="278" t="s">
        <v>1</v>
      </c>
      <c r="BM220" s="64">
        <f t="shared" si="27"/>
        <v>7.5750000000000002</v>
      </c>
      <c r="BN220" s="64">
        <f t="shared" si="28"/>
        <v>8.08</v>
      </c>
      <c r="BO220" s="64">
        <f t="shared" si="29"/>
        <v>2.2321428571428568E-2</v>
      </c>
      <c r="BP220" s="64">
        <f t="shared" si="30"/>
        <v>2.3809523809523808E-2</v>
      </c>
    </row>
    <row r="221" spans="1:68" ht="37.5" customHeight="1" x14ac:dyDescent="0.25">
      <c r="A221" s="54" t="s">
        <v>372</v>
      </c>
      <c r="B221" s="54" t="s">
        <v>373</v>
      </c>
      <c r="C221" s="31">
        <v>4301031202</v>
      </c>
      <c r="D221" s="603">
        <v>4680115881679</v>
      </c>
      <c r="E221" s="604"/>
      <c r="F221" s="596">
        <v>0.35</v>
      </c>
      <c r="G221" s="32">
        <v>6</v>
      </c>
      <c r="H221" s="596">
        <v>2.1</v>
      </c>
      <c r="I221" s="596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9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06"/>
      <c r="R221" s="606"/>
      <c r="S221" s="606"/>
      <c r="T221" s="607"/>
      <c r="U221" s="34"/>
      <c r="V221" s="34"/>
      <c r="W221" s="35" t="s">
        <v>67</v>
      </c>
      <c r="X221" s="597">
        <v>0</v>
      </c>
      <c r="Y221" s="59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349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4301031158</v>
      </c>
      <c r="D222" s="603">
        <v>4680115880191</v>
      </c>
      <c r="E222" s="604"/>
      <c r="F222" s="596">
        <v>0.4</v>
      </c>
      <c r="G222" s="32">
        <v>6</v>
      </c>
      <c r="H222" s="596">
        <v>2.4</v>
      </c>
      <c r="I222" s="596">
        <v>2.58</v>
      </c>
      <c r="J222" s="32">
        <v>182</v>
      </c>
      <c r="K222" s="32" t="s">
        <v>77</v>
      </c>
      <c r="L222" s="32"/>
      <c r="M222" s="33" t="s">
        <v>66</v>
      </c>
      <c r="N222" s="33"/>
      <c r="O222" s="32">
        <v>40</v>
      </c>
      <c r="P222" s="73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06"/>
      <c r="R222" s="606"/>
      <c r="S222" s="606"/>
      <c r="T222" s="607"/>
      <c r="U222" s="34"/>
      <c r="V222" s="34"/>
      <c r="W222" s="35" t="s">
        <v>67</v>
      </c>
      <c r="X222" s="597">
        <v>0</v>
      </c>
      <c r="Y222" s="598">
        <f t="shared" si="26"/>
        <v>0</v>
      </c>
      <c r="Z222" s="36" t="str">
        <f>IFERROR(IF(Y222=0,"",ROUNDUP(Y222/H222,0)*0.00651),"")</f>
        <v/>
      </c>
      <c r="AA222" s="56"/>
      <c r="AB222" s="57"/>
      <c r="AC222" s="281" t="s">
        <v>349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4301031245</v>
      </c>
      <c r="D223" s="603">
        <v>4680115883963</v>
      </c>
      <c r="E223" s="604"/>
      <c r="F223" s="596">
        <v>0.28000000000000003</v>
      </c>
      <c r="G223" s="32">
        <v>6</v>
      </c>
      <c r="H223" s="596">
        <v>1.68</v>
      </c>
      <c r="I223" s="596">
        <v>1.78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87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06"/>
      <c r="R223" s="606"/>
      <c r="S223" s="606"/>
      <c r="T223" s="607"/>
      <c r="U223" s="34"/>
      <c r="V223" s="34"/>
      <c r="W223" s="35" t="s">
        <v>67</v>
      </c>
      <c r="X223" s="597">
        <v>0</v>
      </c>
      <c r="Y223" s="598">
        <f t="shared" si="26"/>
        <v>0</v>
      </c>
      <c r="Z223" s="36" t="str">
        <f>IFERROR(IF(Y223=0,"",ROUNDUP(Y223/H223,0)*0.00502),"")</f>
        <v/>
      </c>
      <c r="AA223" s="56"/>
      <c r="AB223" s="57"/>
      <c r="AC223" s="283" t="s">
        <v>378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x14ac:dyDescent="0.2">
      <c r="A224" s="617"/>
      <c r="B224" s="609"/>
      <c r="C224" s="609"/>
      <c r="D224" s="609"/>
      <c r="E224" s="609"/>
      <c r="F224" s="609"/>
      <c r="G224" s="609"/>
      <c r="H224" s="609"/>
      <c r="I224" s="609"/>
      <c r="J224" s="609"/>
      <c r="K224" s="609"/>
      <c r="L224" s="609"/>
      <c r="M224" s="609"/>
      <c r="N224" s="609"/>
      <c r="O224" s="618"/>
      <c r="P224" s="613" t="s">
        <v>72</v>
      </c>
      <c r="Q224" s="614"/>
      <c r="R224" s="614"/>
      <c r="S224" s="614"/>
      <c r="T224" s="614"/>
      <c r="U224" s="614"/>
      <c r="V224" s="615"/>
      <c r="W224" s="37" t="s">
        <v>73</v>
      </c>
      <c r="X224" s="599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58.888888888888886</v>
      </c>
      <c r="Y224" s="599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61</v>
      </c>
      <c r="Z224" s="599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0.30643999999999999</v>
      </c>
      <c r="AA224" s="600"/>
      <c r="AB224" s="600"/>
      <c r="AC224" s="600"/>
    </row>
    <row r="225" spans="1:68" x14ac:dyDescent="0.2">
      <c r="A225" s="609"/>
      <c r="B225" s="609"/>
      <c r="C225" s="609"/>
      <c r="D225" s="609"/>
      <c r="E225" s="609"/>
      <c r="F225" s="609"/>
      <c r="G225" s="609"/>
      <c r="H225" s="609"/>
      <c r="I225" s="609"/>
      <c r="J225" s="609"/>
      <c r="K225" s="609"/>
      <c r="L225" s="609"/>
      <c r="M225" s="609"/>
      <c r="N225" s="609"/>
      <c r="O225" s="618"/>
      <c r="P225" s="613" t="s">
        <v>72</v>
      </c>
      <c r="Q225" s="614"/>
      <c r="R225" s="614"/>
      <c r="S225" s="614"/>
      <c r="T225" s="614"/>
      <c r="U225" s="614"/>
      <c r="V225" s="615"/>
      <c r="W225" s="37" t="s">
        <v>67</v>
      </c>
      <c r="X225" s="599">
        <f>IFERROR(SUM(X210:X223),"0")</f>
        <v>91</v>
      </c>
      <c r="Y225" s="599">
        <f>IFERROR(SUM(Y210:Y223),"0")</f>
        <v>93.9</v>
      </c>
      <c r="Z225" s="37"/>
      <c r="AA225" s="600"/>
      <c r="AB225" s="600"/>
      <c r="AC225" s="600"/>
    </row>
    <row r="226" spans="1:68" ht="14.25" customHeight="1" x14ac:dyDescent="0.25">
      <c r="A226" s="608" t="s">
        <v>74</v>
      </c>
      <c r="B226" s="609"/>
      <c r="C226" s="609"/>
      <c r="D226" s="609"/>
      <c r="E226" s="609"/>
      <c r="F226" s="609"/>
      <c r="G226" s="609"/>
      <c r="H226" s="609"/>
      <c r="I226" s="609"/>
      <c r="J226" s="609"/>
      <c r="K226" s="609"/>
      <c r="L226" s="609"/>
      <c r="M226" s="609"/>
      <c r="N226" s="609"/>
      <c r="O226" s="609"/>
      <c r="P226" s="609"/>
      <c r="Q226" s="609"/>
      <c r="R226" s="609"/>
      <c r="S226" s="609"/>
      <c r="T226" s="609"/>
      <c r="U226" s="609"/>
      <c r="V226" s="609"/>
      <c r="W226" s="609"/>
      <c r="X226" s="609"/>
      <c r="Y226" s="609"/>
      <c r="Z226" s="609"/>
      <c r="AA226" s="593"/>
      <c r="AB226" s="593"/>
      <c r="AC226" s="593"/>
    </row>
    <row r="227" spans="1:68" ht="16.5" customHeight="1" x14ac:dyDescent="0.25">
      <c r="A227" s="54" t="s">
        <v>379</v>
      </c>
      <c r="B227" s="54" t="s">
        <v>380</v>
      </c>
      <c r="C227" s="31">
        <v>4301052209</v>
      </c>
      <c r="D227" s="603">
        <v>4680115888692</v>
      </c>
      <c r="E227" s="604"/>
      <c r="F227" s="596">
        <v>0.8</v>
      </c>
      <c r="G227" s="32">
        <v>6</v>
      </c>
      <c r="H227" s="596">
        <v>4.8</v>
      </c>
      <c r="I227" s="596">
        <v>5.2220000000000004</v>
      </c>
      <c r="J227" s="32">
        <v>104</v>
      </c>
      <c r="K227" s="32" t="s">
        <v>120</v>
      </c>
      <c r="L227" s="32"/>
      <c r="M227" s="33" t="s">
        <v>84</v>
      </c>
      <c r="N227" s="33"/>
      <c r="O227" s="32">
        <v>35</v>
      </c>
      <c r="P227" s="725" t="s">
        <v>381</v>
      </c>
      <c r="Q227" s="606"/>
      <c r="R227" s="606"/>
      <c r="S227" s="606"/>
      <c r="T227" s="607"/>
      <c r="U227" s="34"/>
      <c r="V227" s="34"/>
      <c r="W227" s="35" t="s">
        <v>67</v>
      </c>
      <c r="X227" s="597">
        <v>0</v>
      </c>
      <c r="Y227" s="598">
        <f>IFERROR(IF(X227="",0,CEILING((X227/$H227),1)*$H227),"")</f>
        <v>0</v>
      </c>
      <c r="Z227" s="36" t="str">
        <f>IFERROR(IF(Y227=0,"",ROUNDUP(Y227/H227,0)*0.01196),"")</f>
        <v/>
      </c>
      <c r="AA227" s="56"/>
      <c r="AB227" s="57" t="s">
        <v>382</v>
      </c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384</v>
      </c>
      <c r="B228" s="54" t="s">
        <v>385</v>
      </c>
      <c r="C228" s="31">
        <v>4301052213</v>
      </c>
      <c r="D228" s="603">
        <v>4680115888722</v>
      </c>
      <c r="E228" s="604"/>
      <c r="F228" s="596">
        <v>0.8</v>
      </c>
      <c r="G228" s="32">
        <v>6</v>
      </c>
      <c r="H228" s="596">
        <v>4.8</v>
      </c>
      <c r="I228" s="596">
        <v>5.2220000000000004</v>
      </c>
      <c r="J228" s="32">
        <v>104</v>
      </c>
      <c r="K228" s="32" t="s">
        <v>120</v>
      </c>
      <c r="L228" s="32"/>
      <c r="M228" s="33" t="s">
        <v>84</v>
      </c>
      <c r="N228" s="33"/>
      <c r="O228" s="32">
        <v>35</v>
      </c>
      <c r="P228" s="650" t="s">
        <v>386</v>
      </c>
      <c r="Q228" s="606"/>
      <c r="R228" s="606"/>
      <c r="S228" s="606"/>
      <c r="T228" s="607"/>
      <c r="U228" s="34"/>
      <c r="V228" s="34"/>
      <c r="W228" s="35" t="s">
        <v>67</v>
      </c>
      <c r="X228" s="597">
        <v>0</v>
      </c>
      <c r="Y228" s="598">
        <f>IFERROR(IF(X228="",0,CEILING((X228/$H228),1)*$H228),"")</f>
        <v>0</v>
      </c>
      <c r="Z228" s="36" t="str">
        <f>IFERROR(IF(Y228=0,"",ROUNDUP(Y228/H228,0)*0.01196),"")</f>
        <v/>
      </c>
      <c r="AA228" s="56"/>
      <c r="AB228" s="57" t="s">
        <v>382</v>
      </c>
      <c r="AC228" s="287" t="s">
        <v>387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customHeight="1" x14ac:dyDescent="0.25">
      <c r="A229" s="54" t="s">
        <v>388</v>
      </c>
      <c r="B229" s="54" t="s">
        <v>389</v>
      </c>
      <c r="C229" s="31">
        <v>4301052177</v>
      </c>
      <c r="D229" s="603">
        <v>4680115888951</v>
      </c>
      <c r="E229" s="604"/>
      <c r="F229" s="596">
        <v>0.36</v>
      </c>
      <c r="G229" s="32">
        <v>6</v>
      </c>
      <c r="H229" s="596">
        <v>2.16</v>
      </c>
      <c r="I229" s="596">
        <v>2.4220000000000002</v>
      </c>
      <c r="J229" s="32">
        <v>132</v>
      </c>
      <c r="K229" s="32" t="s">
        <v>129</v>
      </c>
      <c r="L229" s="32"/>
      <c r="M229" s="33" t="s">
        <v>84</v>
      </c>
      <c r="N229" s="33"/>
      <c r="O229" s="32">
        <v>35</v>
      </c>
      <c r="P229" s="77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06"/>
      <c r="R229" s="606"/>
      <c r="S229" s="606"/>
      <c r="T229" s="607"/>
      <c r="U229" s="34"/>
      <c r="V229" s="34"/>
      <c r="W229" s="35" t="s">
        <v>67</v>
      </c>
      <c r="X229" s="597">
        <v>0</v>
      </c>
      <c r="Y229" s="598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t="27" customHeight="1" x14ac:dyDescent="0.25">
      <c r="A230" s="54" t="s">
        <v>391</v>
      </c>
      <c r="B230" s="54" t="s">
        <v>392</v>
      </c>
      <c r="C230" s="31">
        <v>4301052176</v>
      </c>
      <c r="D230" s="603">
        <v>4680115888982</v>
      </c>
      <c r="E230" s="604"/>
      <c r="F230" s="596">
        <v>0.36</v>
      </c>
      <c r="G230" s="32">
        <v>6</v>
      </c>
      <c r="H230" s="596">
        <v>2.16</v>
      </c>
      <c r="I230" s="596">
        <v>2.4220000000000002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87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06"/>
      <c r="R230" s="606"/>
      <c r="S230" s="606"/>
      <c r="T230" s="607"/>
      <c r="U230" s="34"/>
      <c r="V230" s="34"/>
      <c r="W230" s="35" t="s">
        <v>67</v>
      </c>
      <c r="X230" s="597">
        <v>0</v>
      </c>
      <c r="Y230" s="598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1" t="s">
        <v>387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x14ac:dyDescent="0.2">
      <c r="A231" s="617"/>
      <c r="B231" s="609"/>
      <c r="C231" s="609"/>
      <c r="D231" s="609"/>
      <c r="E231" s="609"/>
      <c r="F231" s="609"/>
      <c r="G231" s="609"/>
      <c r="H231" s="609"/>
      <c r="I231" s="609"/>
      <c r="J231" s="609"/>
      <c r="K231" s="609"/>
      <c r="L231" s="609"/>
      <c r="M231" s="609"/>
      <c r="N231" s="609"/>
      <c r="O231" s="618"/>
      <c r="P231" s="613" t="s">
        <v>72</v>
      </c>
      <c r="Q231" s="614"/>
      <c r="R231" s="614"/>
      <c r="S231" s="614"/>
      <c r="T231" s="614"/>
      <c r="U231" s="614"/>
      <c r="V231" s="615"/>
      <c r="W231" s="37" t="s">
        <v>73</v>
      </c>
      <c r="X231" s="599">
        <f>IFERROR(X227/H227,"0")+IFERROR(X228/H228,"0")+IFERROR(X229/H229,"0")+IFERROR(X230/H230,"0")</f>
        <v>0</v>
      </c>
      <c r="Y231" s="599">
        <f>IFERROR(Y227/H227,"0")+IFERROR(Y228/H228,"0")+IFERROR(Y229/H229,"0")+IFERROR(Y230/H230,"0")</f>
        <v>0</v>
      </c>
      <c r="Z231" s="599">
        <f>IFERROR(IF(Z227="",0,Z227),"0")+IFERROR(IF(Z228="",0,Z228),"0")+IFERROR(IF(Z229="",0,Z229),"0")+IFERROR(IF(Z230="",0,Z230),"0")</f>
        <v>0</v>
      </c>
      <c r="AA231" s="600"/>
      <c r="AB231" s="600"/>
      <c r="AC231" s="600"/>
    </row>
    <row r="232" spans="1:68" x14ac:dyDescent="0.2">
      <c r="A232" s="609"/>
      <c r="B232" s="609"/>
      <c r="C232" s="609"/>
      <c r="D232" s="609"/>
      <c r="E232" s="609"/>
      <c r="F232" s="609"/>
      <c r="G232" s="609"/>
      <c r="H232" s="609"/>
      <c r="I232" s="609"/>
      <c r="J232" s="609"/>
      <c r="K232" s="609"/>
      <c r="L232" s="609"/>
      <c r="M232" s="609"/>
      <c r="N232" s="609"/>
      <c r="O232" s="618"/>
      <c r="P232" s="613" t="s">
        <v>72</v>
      </c>
      <c r="Q232" s="614"/>
      <c r="R232" s="614"/>
      <c r="S232" s="614"/>
      <c r="T232" s="614"/>
      <c r="U232" s="614"/>
      <c r="V232" s="615"/>
      <c r="W232" s="37" t="s">
        <v>67</v>
      </c>
      <c r="X232" s="599">
        <f>IFERROR(SUM(X227:X230),"0")</f>
        <v>0</v>
      </c>
      <c r="Y232" s="599">
        <f>IFERROR(SUM(Y227:Y230),"0")</f>
        <v>0</v>
      </c>
      <c r="Z232" s="37"/>
      <c r="AA232" s="600"/>
      <c r="AB232" s="600"/>
      <c r="AC232" s="600"/>
    </row>
    <row r="233" spans="1:68" ht="14.25" customHeight="1" x14ac:dyDescent="0.25">
      <c r="A233" s="608" t="s">
        <v>95</v>
      </c>
      <c r="B233" s="609"/>
      <c r="C233" s="609"/>
      <c r="D233" s="609"/>
      <c r="E233" s="609"/>
      <c r="F233" s="609"/>
      <c r="G233" s="609"/>
      <c r="H233" s="609"/>
      <c r="I233" s="609"/>
      <c r="J233" s="609"/>
      <c r="K233" s="609"/>
      <c r="L233" s="609"/>
      <c r="M233" s="609"/>
      <c r="N233" s="609"/>
      <c r="O233" s="609"/>
      <c r="P233" s="609"/>
      <c r="Q233" s="609"/>
      <c r="R233" s="609"/>
      <c r="S233" s="609"/>
      <c r="T233" s="609"/>
      <c r="U233" s="609"/>
      <c r="V233" s="609"/>
      <c r="W233" s="609"/>
      <c r="X233" s="609"/>
      <c r="Y233" s="609"/>
      <c r="Z233" s="609"/>
      <c r="AA233" s="593"/>
      <c r="AB233" s="593"/>
      <c r="AC233" s="593"/>
    </row>
    <row r="234" spans="1:68" ht="27" customHeight="1" x14ac:dyDescent="0.25">
      <c r="A234" s="54" t="s">
        <v>393</v>
      </c>
      <c r="B234" s="54" t="s">
        <v>394</v>
      </c>
      <c r="C234" s="31">
        <v>4301032053</v>
      </c>
      <c r="D234" s="603">
        <v>4680115886780</v>
      </c>
      <c r="E234" s="604"/>
      <c r="F234" s="596">
        <v>7.0000000000000007E-2</v>
      </c>
      <c r="G234" s="32">
        <v>18</v>
      </c>
      <c r="H234" s="596">
        <v>1.26</v>
      </c>
      <c r="I234" s="596">
        <v>1.45</v>
      </c>
      <c r="J234" s="32">
        <v>216</v>
      </c>
      <c r="K234" s="32" t="s">
        <v>314</v>
      </c>
      <c r="L234" s="32"/>
      <c r="M234" s="33" t="s">
        <v>315</v>
      </c>
      <c r="N234" s="33"/>
      <c r="O234" s="32">
        <v>60</v>
      </c>
      <c r="P234" s="90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06"/>
      <c r="R234" s="606"/>
      <c r="S234" s="606"/>
      <c r="T234" s="607"/>
      <c r="U234" s="34"/>
      <c r="V234" s="34"/>
      <c r="W234" s="35" t="s">
        <v>67</v>
      </c>
      <c r="X234" s="597">
        <v>0</v>
      </c>
      <c r="Y234" s="598">
        <f>IFERROR(IF(X234="",0,CEILING((X234/$H234),1)*$H234),"")</f>
        <v>0</v>
      </c>
      <c r="Z234" s="36" t="str">
        <f>IFERROR(IF(Y234=0,"",ROUNDUP(Y234/H234,0)*0.0059),"")</f>
        <v/>
      </c>
      <c r="AA234" s="56"/>
      <c r="AB234" s="57"/>
      <c r="AC234" s="293" t="s">
        <v>395</v>
      </c>
      <c r="AG234" s="64"/>
      <c r="AJ234" s="68"/>
      <c r="AK234" s="68">
        <v>0</v>
      </c>
      <c r="BB234" s="294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t="27" customHeight="1" x14ac:dyDescent="0.25">
      <c r="A235" s="54" t="s">
        <v>396</v>
      </c>
      <c r="B235" s="54" t="s">
        <v>397</v>
      </c>
      <c r="C235" s="31">
        <v>4301032051</v>
      </c>
      <c r="D235" s="603">
        <v>4680115886742</v>
      </c>
      <c r="E235" s="604"/>
      <c r="F235" s="596">
        <v>7.0000000000000007E-2</v>
      </c>
      <c r="G235" s="32">
        <v>18</v>
      </c>
      <c r="H235" s="596">
        <v>1.26</v>
      </c>
      <c r="I235" s="596">
        <v>1.45</v>
      </c>
      <c r="J235" s="32">
        <v>216</v>
      </c>
      <c r="K235" s="32" t="s">
        <v>314</v>
      </c>
      <c r="L235" s="32"/>
      <c r="M235" s="33" t="s">
        <v>315</v>
      </c>
      <c r="N235" s="33"/>
      <c r="O235" s="32">
        <v>90</v>
      </c>
      <c r="P235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06"/>
      <c r="R235" s="606"/>
      <c r="S235" s="606"/>
      <c r="T235" s="607"/>
      <c r="U235" s="34"/>
      <c r="V235" s="34"/>
      <c r="W235" s="35" t="s">
        <v>67</v>
      </c>
      <c r="X235" s="597">
        <v>0</v>
      </c>
      <c r="Y235" s="598">
        <f>IFERROR(IF(X235="",0,CEILING((X235/$H235),1)*$H235),"")</f>
        <v>0</v>
      </c>
      <c r="Z235" s="36" t="str">
        <f>IFERROR(IF(Y235=0,"",ROUNDUP(Y235/H235,0)*0.0059),"")</f>
        <v/>
      </c>
      <c r="AA235" s="56"/>
      <c r="AB235" s="57"/>
      <c r="AC235" s="295" t="s">
        <v>398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4301032052</v>
      </c>
      <c r="D236" s="603">
        <v>4680115886766</v>
      </c>
      <c r="E236" s="604"/>
      <c r="F236" s="596">
        <v>7.0000000000000007E-2</v>
      </c>
      <c r="G236" s="32">
        <v>18</v>
      </c>
      <c r="H236" s="596">
        <v>1.26</v>
      </c>
      <c r="I236" s="596">
        <v>1.45</v>
      </c>
      <c r="J236" s="32">
        <v>216</v>
      </c>
      <c r="K236" s="32" t="s">
        <v>314</v>
      </c>
      <c r="L236" s="32"/>
      <c r="M236" s="33" t="s">
        <v>315</v>
      </c>
      <c r="N236" s="33"/>
      <c r="O236" s="32">
        <v>90</v>
      </c>
      <c r="P236" s="9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06"/>
      <c r="R236" s="606"/>
      <c r="S236" s="606"/>
      <c r="T236" s="607"/>
      <c r="U236" s="34"/>
      <c r="V236" s="34"/>
      <c r="W236" s="35" t="s">
        <v>67</v>
      </c>
      <c r="X236" s="597">
        <v>0</v>
      </c>
      <c r="Y236" s="598">
        <f>IFERROR(IF(X236="",0,CEILING((X236/$H236),1)*$H236),"")</f>
        <v>0</v>
      </c>
      <c r="Z236" s="36" t="str">
        <f>IFERROR(IF(Y236=0,"",ROUNDUP(Y236/H236,0)*0.0059),"")</f>
        <v/>
      </c>
      <c r="AA236" s="56"/>
      <c r="AB236" s="57"/>
      <c r="AC236" s="297" t="s">
        <v>398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x14ac:dyDescent="0.2">
      <c r="A237" s="617"/>
      <c r="B237" s="609"/>
      <c r="C237" s="609"/>
      <c r="D237" s="609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18"/>
      <c r="P237" s="613" t="s">
        <v>72</v>
      </c>
      <c r="Q237" s="614"/>
      <c r="R237" s="614"/>
      <c r="S237" s="614"/>
      <c r="T237" s="614"/>
      <c r="U237" s="614"/>
      <c r="V237" s="615"/>
      <c r="W237" s="37" t="s">
        <v>73</v>
      </c>
      <c r="X237" s="599">
        <f>IFERROR(X234/H234,"0")+IFERROR(X235/H235,"0")+IFERROR(X236/H236,"0")</f>
        <v>0</v>
      </c>
      <c r="Y237" s="599">
        <f>IFERROR(Y234/H234,"0")+IFERROR(Y235/H235,"0")+IFERROR(Y236/H236,"0")</f>
        <v>0</v>
      </c>
      <c r="Z237" s="599">
        <f>IFERROR(IF(Z234="",0,Z234),"0")+IFERROR(IF(Z235="",0,Z235),"0")+IFERROR(IF(Z236="",0,Z236),"0")</f>
        <v>0</v>
      </c>
      <c r="AA237" s="600"/>
      <c r="AB237" s="600"/>
      <c r="AC237" s="600"/>
    </row>
    <row r="238" spans="1:68" x14ac:dyDescent="0.2">
      <c r="A238" s="609"/>
      <c r="B238" s="609"/>
      <c r="C238" s="609"/>
      <c r="D238" s="609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618"/>
      <c r="P238" s="613" t="s">
        <v>72</v>
      </c>
      <c r="Q238" s="614"/>
      <c r="R238" s="614"/>
      <c r="S238" s="614"/>
      <c r="T238" s="614"/>
      <c r="U238" s="614"/>
      <c r="V238" s="615"/>
      <c r="W238" s="37" t="s">
        <v>67</v>
      </c>
      <c r="X238" s="599">
        <f>IFERROR(SUM(X234:X236),"0")</f>
        <v>0</v>
      </c>
      <c r="Y238" s="599">
        <f>IFERROR(SUM(Y234:Y236),"0")</f>
        <v>0</v>
      </c>
      <c r="Z238" s="37"/>
      <c r="AA238" s="600"/>
      <c r="AB238" s="600"/>
      <c r="AC238" s="600"/>
    </row>
    <row r="239" spans="1:68" ht="14.25" customHeight="1" x14ac:dyDescent="0.25">
      <c r="A239" s="608" t="s">
        <v>401</v>
      </c>
      <c r="B239" s="609"/>
      <c r="C239" s="609"/>
      <c r="D239" s="609"/>
      <c r="E239" s="609"/>
      <c r="F239" s="609"/>
      <c r="G239" s="609"/>
      <c r="H239" s="609"/>
      <c r="I239" s="609"/>
      <c r="J239" s="609"/>
      <c r="K239" s="609"/>
      <c r="L239" s="609"/>
      <c r="M239" s="609"/>
      <c r="N239" s="609"/>
      <c r="O239" s="609"/>
      <c r="P239" s="609"/>
      <c r="Q239" s="609"/>
      <c r="R239" s="609"/>
      <c r="S239" s="609"/>
      <c r="T239" s="609"/>
      <c r="U239" s="609"/>
      <c r="V239" s="609"/>
      <c r="W239" s="609"/>
      <c r="X239" s="609"/>
      <c r="Y239" s="609"/>
      <c r="Z239" s="609"/>
      <c r="AA239" s="593"/>
      <c r="AB239" s="593"/>
      <c r="AC239" s="593"/>
    </row>
    <row r="240" spans="1:68" ht="27" customHeight="1" x14ac:dyDescent="0.25">
      <c r="A240" s="54" t="s">
        <v>402</v>
      </c>
      <c r="B240" s="54" t="s">
        <v>403</v>
      </c>
      <c r="C240" s="31">
        <v>4301170013</v>
      </c>
      <c r="D240" s="603">
        <v>4680115886797</v>
      </c>
      <c r="E240" s="604"/>
      <c r="F240" s="596">
        <v>7.0000000000000007E-2</v>
      </c>
      <c r="G240" s="32">
        <v>18</v>
      </c>
      <c r="H240" s="596">
        <v>1.26</v>
      </c>
      <c r="I240" s="596">
        <v>1.45</v>
      </c>
      <c r="J240" s="32">
        <v>216</v>
      </c>
      <c r="K240" s="32" t="s">
        <v>314</v>
      </c>
      <c r="L240" s="32"/>
      <c r="M240" s="33" t="s">
        <v>315</v>
      </c>
      <c r="N240" s="33"/>
      <c r="O240" s="32">
        <v>90</v>
      </c>
      <c r="P240" s="89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06"/>
      <c r="R240" s="606"/>
      <c r="S240" s="606"/>
      <c r="T240" s="607"/>
      <c r="U240" s="34"/>
      <c r="V240" s="34"/>
      <c r="W240" s="35" t="s">
        <v>67</v>
      </c>
      <c r="X240" s="597">
        <v>0</v>
      </c>
      <c r="Y240" s="59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299" t="s">
        <v>398</v>
      </c>
      <c r="AG240" s="64"/>
      <c r="AJ240" s="68"/>
      <c r="AK240" s="68">
        <v>0</v>
      </c>
      <c r="BB240" s="300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17"/>
      <c r="B241" s="609"/>
      <c r="C241" s="609"/>
      <c r="D241" s="609"/>
      <c r="E241" s="609"/>
      <c r="F241" s="609"/>
      <c r="G241" s="609"/>
      <c r="H241" s="609"/>
      <c r="I241" s="609"/>
      <c r="J241" s="609"/>
      <c r="K241" s="609"/>
      <c r="L241" s="609"/>
      <c r="M241" s="609"/>
      <c r="N241" s="609"/>
      <c r="O241" s="618"/>
      <c r="P241" s="613" t="s">
        <v>72</v>
      </c>
      <c r="Q241" s="614"/>
      <c r="R241" s="614"/>
      <c r="S241" s="614"/>
      <c r="T241" s="614"/>
      <c r="U241" s="614"/>
      <c r="V241" s="615"/>
      <c r="W241" s="37" t="s">
        <v>73</v>
      </c>
      <c r="X241" s="599">
        <f>IFERROR(X240/H240,"0")</f>
        <v>0</v>
      </c>
      <c r="Y241" s="599">
        <f>IFERROR(Y240/H240,"0")</f>
        <v>0</v>
      </c>
      <c r="Z241" s="599">
        <f>IFERROR(IF(Z240="",0,Z240),"0")</f>
        <v>0</v>
      </c>
      <c r="AA241" s="600"/>
      <c r="AB241" s="600"/>
      <c r="AC241" s="600"/>
    </row>
    <row r="242" spans="1:68" x14ac:dyDescent="0.2">
      <c r="A242" s="609"/>
      <c r="B242" s="609"/>
      <c r="C242" s="609"/>
      <c r="D242" s="609"/>
      <c r="E242" s="609"/>
      <c r="F242" s="609"/>
      <c r="G242" s="609"/>
      <c r="H242" s="609"/>
      <c r="I242" s="609"/>
      <c r="J242" s="609"/>
      <c r="K242" s="609"/>
      <c r="L242" s="609"/>
      <c r="M242" s="609"/>
      <c r="N242" s="609"/>
      <c r="O242" s="618"/>
      <c r="P242" s="613" t="s">
        <v>72</v>
      </c>
      <c r="Q242" s="614"/>
      <c r="R242" s="614"/>
      <c r="S242" s="614"/>
      <c r="T242" s="614"/>
      <c r="U242" s="614"/>
      <c r="V242" s="615"/>
      <c r="W242" s="37" t="s">
        <v>67</v>
      </c>
      <c r="X242" s="599">
        <f>IFERROR(SUM(X240:X240),"0")</f>
        <v>0</v>
      </c>
      <c r="Y242" s="599">
        <f>IFERROR(SUM(Y240:Y240),"0")</f>
        <v>0</v>
      </c>
      <c r="Z242" s="37"/>
      <c r="AA242" s="600"/>
      <c r="AB242" s="600"/>
      <c r="AC242" s="600"/>
    </row>
    <row r="243" spans="1:68" ht="16.5" customHeight="1" x14ac:dyDescent="0.25">
      <c r="A243" s="612" t="s">
        <v>404</v>
      </c>
      <c r="B243" s="609"/>
      <c r="C243" s="609"/>
      <c r="D243" s="609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09"/>
      <c r="P243" s="609"/>
      <c r="Q243" s="609"/>
      <c r="R243" s="609"/>
      <c r="S243" s="609"/>
      <c r="T243" s="609"/>
      <c r="U243" s="609"/>
      <c r="V243" s="609"/>
      <c r="W243" s="609"/>
      <c r="X243" s="609"/>
      <c r="Y243" s="609"/>
      <c r="Z243" s="609"/>
      <c r="AA243" s="592"/>
      <c r="AB243" s="592"/>
      <c r="AC243" s="592"/>
    </row>
    <row r="244" spans="1:68" ht="14.25" customHeight="1" x14ac:dyDescent="0.25">
      <c r="A244" s="608" t="s">
        <v>117</v>
      </c>
      <c r="B244" s="609"/>
      <c r="C244" s="609"/>
      <c r="D244" s="609"/>
      <c r="E244" s="609"/>
      <c r="F244" s="609"/>
      <c r="G244" s="609"/>
      <c r="H244" s="609"/>
      <c r="I244" s="609"/>
      <c r="J244" s="609"/>
      <c r="K244" s="609"/>
      <c r="L244" s="609"/>
      <c r="M244" s="609"/>
      <c r="N244" s="609"/>
      <c r="O244" s="609"/>
      <c r="P244" s="609"/>
      <c r="Q244" s="609"/>
      <c r="R244" s="609"/>
      <c r="S244" s="609"/>
      <c r="T244" s="609"/>
      <c r="U244" s="609"/>
      <c r="V244" s="609"/>
      <c r="W244" s="609"/>
      <c r="X244" s="609"/>
      <c r="Y244" s="609"/>
      <c r="Z244" s="609"/>
      <c r="AA244" s="593"/>
      <c r="AB244" s="593"/>
      <c r="AC244" s="593"/>
    </row>
    <row r="245" spans="1:68" ht="27" customHeight="1" x14ac:dyDescent="0.25">
      <c r="A245" s="54" t="s">
        <v>405</v>
      </c>
      <c r="B245" s="54" t="s">
        <v>406</v>
      </c>
      <c r="C245" s="31">
        <v>4301011450</v>
      </c>
      <c r="D245" s="603">
        <v>4680115881402</v>
      </c>
      <c r="E245" s="604"/>
      <c r="F245" s="596">
        <v>1.35</v>
      </c>
      <c r="G245" s="32">
        <v>8</v>
      </c>
      <c r="H245" s="596">
        <v>10.8</v>
      </c>
      <c r="I245" s="596">
        <v>11.21</v>
      </c>
      <c r="J245" s="32">
        <v>64</v>
      </c>
      <c r="K245" s="32" t="s">
        <v>120</v>
      </c>
      <c r="L245" s="32"/>
      <c r="M245" s="33" t="s">
        <v>121</v>
      </c>
      <c r="N245" s="33"/>
      <c r="O245" s="32">
        <v>55</v>
      </c>
      <c r="P245" s="7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06"/>
      <c r="R245" s="606"/>
      <c r="S245" s="606"/>
      <c r="T245" s="607"/>
      <c r="U245" s="34"/>
      <c r="V245" s="34"/>
      <c r="W245" s="35" t="s">
        <v>67</v>
      </c>
      <c r="X245" s="597">
        <v>0</v>
      </c>
      <c r="Y245" s="598">
        <f>IFERROR(IF(X245="",0,CEILING((X245/$H245),1)*$H245),"")</f>
        <v>0</v>
      </c>
      <c r="Z245" s="36" t="str">
        <f>IFERROR(IF(Y245=0,"",ROUNDUP(Y245/H245,0)*0.01898),"")</f>
        <v/>
      </c>
      <c r="AA245" s="56"/>
      <c r="AB245" s="57"/>
      <c r="AC245" s="301" t="s">
        <v>407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408</v>
      </c>
      <c r="B246" s="54" t="s">
        <v>409</v>
      </c>
      <c r="C246" s="31">
        <v>4301011768</v>
      </c>
      <c r="D246" s="603">
        <v>4680115881396</v>
      </c>
      <c r="E246" s="604"/>
      <c r="F246" s="596">
        <v>0.45</v>
      </c>
      <c r="G246" s="32">
        <v>6</v>
      </c>
      <c r="H246" s="596">
        <v>2.7</v>
      </c>
      <c r="I246" s="596">
        <v>2.88</v>
      </c>
      <c r="J246" s="32">
        <v>182</v>
      </c>
      <c r="K246" s="32" t="s">
        <v>77</v>
      </c>
      <c r="L246" s="32"/>
      <c r="M246" s="33" t="s">
        <v>121</v>
      </c>
      <c r="N246" s="33"/>
      <c r="O246" s="32">
        <v>55</v>
      </c>
      <c r="P24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06"/>
      <c r="R246" s="606"/>
      <c r="S246" s="606"/>
      <c r="T246" s="607"/>
      <c r="U246" s="34"/>
      <c r="V246" s="34"/>
      <c r="W246" s="35" t="s">
        <v>67</v>
      </c>
      <c r="X246" s="597">
        <v>0</v>
      </c>
      <c r="Y246" s="598">
        <f>IFERROR(IF(X246="",0,CEILING((X246/$H246),1)*$H246),"")</f>
        <v>0</v>
      </c>
      <c r="Z246" s="36" t="str">
        <f>IFERROR(IF(Y246=0,"",ROUNDUP(Y246/H246,0)*0.00651),"")</f>
        <v/>
      </c>
      <c r="AA246" s="56"/>
      <c r="AB246" s="57"/>
      <c r="AC246" s="303" t="s">
        <v>407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17"/>
      <c r="B247" s="609"/>
      <c r="C247" s="609"/>
      <c r="D247" s="609"/>
      <c r="E247" s="609"/>
      <c r="F247" s="609"/>
      <c r="G247" s="609"/>
      <c r="H247" s="609"/>
      <c r="I247" s="609"/>
      <c r="J247" s="609"/>
      <c r="K247" s="609"/>
      <c r="L247" s="609"/>
      <c r="M247" s="609"/>
      <c r="N247" s="609"/>
      <c r="O247" s="618"/>
      <c r="P247" s="613" t="s">
        <v>72</v>
      </c>
      <c r="Q247" s="614"/>
      <c r="R247" s="614"/>
      <c r="S247" s="614"/>
      <c r="T247" s="614"/>
      <c r="U247" s="614"/>
      <c r="V247" s="615"/>
      <c r="W247" s="37" t="s">
        <v>73</v>
      </c>
      <c r="X247" s="599">
        <f>IFERROR(X245/H245,"0")+IFERROR(X246/H246,"0")</f>
        <v>0</v>
      </c>
      <c r="Y247" s="599">
        <f>IFERROR(Y245/H245,"0")+IFERROR(Y246/H246,"0")</f>
        <v>0</v>
      </c>
      <c r="Z247" s="599">
        <f>IFERROR(IF(Z245="",0,Z245),"0")+IFERROR(IF(Z246="",0,Z246),"0")</f>
        <v>0</v>
      </c>
      <c r="AA247" s="600"/>
      <c r="AB247" s="600"/>
      <c r="AC247" s="600"/>
    </row>
    <row r="248" spans="1:68" x14ac:dyDescent="0.2">
      <c r="A248" s="609"/>
      <c r="B248" s="609"/>
      <c r="C248" s="609"/>
      <c r="D248" s="609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18"/>
      <c r="P248" s="613" t="s">
        <v>72</v>
      </c>
      <c r="Q248" s="614"/>
      <c r="R248" s="614"/>
      <c r="S248" s="614"/>
      <c r="T248" s="614"/>
      <c r="U248" s="614"/>
      <c r="V248" s="615"/>
      <c r="W248" s="37" t="s">
        <v>67</v>
      </c>
      <c r="X248" s="599">
        <f>IFERROR(SUM(X245:X246),"0")</f>
        <v>0</v>
      </c>
      <c r="Y248" s="599">
        <f>IFERROR(SUM(Y245:Y246),"0")</f>
        <v>0</v>
      </c>
      <c r="Z248" s="37"/>
      <c r="AA248" s="600"/>
      <c r="AB248" s="600"/>
      <c r="AC248" s="600"/>
    </row>
    <row r="249" spans="1:68" ht="14.25" customHeight="1" x14ac:dyDescent="0.25">
      <c r="A249" s="608" t="s">
        <v>152</v>
      </c>
      <c r="B249" s="609"/>
      <c r="C249" s="609"/>
      <c r="D249" s="609"/>
      <c r="E249" s="609"/>
      <c r="F249" s="609"/>
      <c r="G249" s="609"/>
      <c r="H249" s="609"/>
      <c r="I249" s="609"/>
      <c r="J249" s="609"/>
      <c r="K249" s="609"/>
      <c r="L249" s="609"/>
      <c r="M249" s="609"/>
      <c r="N249" s="609"/>
      <c r="O249" s="609"/>
      <c r="P249" s="609"/>
      <c r="Q249" s="609"/>
      <c r="R249" s="609"/>
      <c r="S249" s="609"/>
      <c r="T249" s="609"/>
      <c r="U249" s="609"/>
      <c r="V249" s="609"/>
      <c r="W249" s="609"/>
      <c r="X249" s="609"/>
      <c r="Y249" s="609"/>
      <c r="Z249" s="609"/>
      <c r="AA249" s="593"/>
      <c r="AB249" s="593"/>
      <c r="AC249" s="593"/>
    </row>
    <row r="250" spans="1:68" ht="16.5" customHeight="1" x14ac:dyDescent="0.25">
      <c r="A250" s="54" t="s">
        <v>410</v>
      </c>
      <c r="B250" s="54" t="s">
        <v>411</v>
      </c>
      <c r="C250" s="31">
        <v>4301020261</v>
      </c>
      <c r="D250" s="603">
        <v>4680115882935</v>
      </c>
      <c r="E250" s="604"/>
      <c r="F250" s="596">
        <v>1.35</v>
      </c>
      <c r="G250" s="32">
        <v>8</v>
      </c>
      <c r="H250" s="596">
        <v>10.8</v>
      </c>
      <c r="I250" s="596">
        <v>11.21</v>
      </c>
      <c r="J250" s="32">
        <v>64</v>
      </c>
      <c r="K250" s="32" t="s">
        <v>120</v>
      </c>
      <c r="L250" s="32"/>
      <c r="M250" s="33" t="s">
        <v>121</v>
      </c>
      <c r="N250" s="33"/>
      <c r="O250" s="32">
        <v>50</v>
      </c>
      <c r="P250" s="86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06"/>
      <c r="R250" s="606"/>
      <c r="S250" s="606"/>
      <c r="T250" s="607"/>
      <c r="U250" s="34"/>
      <c r="V250" s="34"/>
      <c r="W250" s="35" t="s">
        <v>67</v>
      </c>
      <c r="X250" s="597">
        <v>0</v>
      </c>
      <c r="Y250" s="598">
        <f>IFERROR(IF(X250="",0,CEILING((X250/$H250),1)*$H250),"")</f>
        <v>0</v>
      </c>
      <c r="Z250" s="36" t="str">
        <f>IFERROR(IF(Y250=0,"",ROUNDUP(Y250/H250,0)*0.01898),"")</f>
        <v/>
      </c>
      <c r="AA250" s="56"/>
      <c r="AB250" s="57"/>
      <c r="AC250" s="305" t="s">
        <v>412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16.5" customHeight="1" x14ac:dyDescent="0.25">
      <c r="A251" s="54" t="s">
        <v>413</v>
      </c>
      <c r="B251" s="54" t="s">
        <v>414</v>
      </c>
      <c r="C251" s="31">
        <v>4301020220</v>
      </c>
      <c r="D251" s="603">
        <v>4680115880764</v>
      </c>
      <c r="E251" s="604"/>
      <c r="F251" s="596">
        <v>0.35</v>
      </c>
      <c r="G251" s="32">
        <v>6</v>
      </c>
      <c r="H251" s="596">
        <v>2.1</v>
      </c>
      <c r="I251" s="596">
        <v>2.2799999999999998</v>
      </c>
      <c r="J251" s="32">
        <v>182</v>
      </c>
      <c r="K251" s="32" t="s">
        <v>77</v>
      </c>
      <c r="L251" s="32"/>
      <c r="M251" s="33" t="s">
        <v>121</v>
      </c>
      <c r="N251" s="33"/>
      <c r="O251" s="32">
        <v>50</v>
      </c>
      <c r="P251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06"/>
      <c r="R251" s="606"/>
      <c r="S251" s="606"/>
      <c r="T251" s="607"/>
      <c r="U251" s="34"/>
      <c r="V251" s="34"/>
      <c r="W251" s="35" t="s">
        <v>67</v>
      </c>
      <c r="X251" s="597">
        <v>0</v>
      </c>
      <c r="Y251" s="598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07" t="s">
        <v>412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x14ac:dyDescent="0.2">
      <c r="A252" s="617"/>
      <c r="B252" s="609"/>
      <c r="C252" s="609"/>
      <c r="D252" s="609"/>
      <c r="E252" s="609"/>
      <c r="F252" s="609"/>
      <c r="G252" s="609"/>
      <c r="H252" s="609"/>
      <c r="I252" s="609"/>
      <c r="J252" s="609"/>
      <c r="K252" s="609"/>
      <c r="L252" s="609"/>
      <c r="M252" s="609"/>
      <c r="N252" s="609"/>
      <c r="O252" s="618"/>
      <c r="P252" s="613" t="s">
        <v>72</v>
      </c>
      <c r="Q252" s="614"/>
      <c r="R252" s="614"/>
      <c r="S252" s="614"/>
      <c r="T252" s="614"/>
      <c r="U252" s="614"/>
      <c r="V252" s="615"/>
      <c r="W252" s="37" t="s">
        <v>73</v>
      </c>
      <c r="X252" s="599">
        <f>IFERROR(X250/H250,"0")+IFERROR(X251/H251,"0")</f>
        <v>0</v>
      </c>
      <c r="Y252" s="599">
        <f>IFERROR(Y250/H250,"0")+IFERROR(Y251/H251,"0")</f>
        <v>0</v>
      </c>
      <c r="Z252" s="599">
        <f>IFERROR(IF(Z250="",0,Z250),"0")+IFERROR(IF(Z251="",0,Z251),"0")</f>
        <v>0</v>
      </c>
      <c r="AA252" s="600"/>
      <c r="AB252" s="600"/>
      <c r="AC252" s="600"/>
    </row>
    <row r="253" spans="1:68" x14ac:dyDescent="0.2">
      <c r="A253" s="609"/>
      <c r="B253" s="609"/>
      <c r="C253" s="609"/>
      <c r="D253" s="609"/>
      <c r="E253" s="609"/>
      <c r="F253" s="609"/>
      <c r="G253" s="609"/>
      <c r="H253" s="609"/>
      <c r="I253" s="609"/>
      <c r="J253" s="609"/>
      <c r="K253" s="609"/>
      <c r="L253" s="609"/>
      <c r="M253" s="609"/>
      <c r="N253" s="609"/>
      <c r="O253" s="618"/>
      <c r="P253" s="613" t="s">
        <v>72</v>
      </c>
      <c r="Q253" s="614"/>
      <c r="R253" s="614"/>
      <c r="S253" s="614"/>
      <c r="T253" s="614"/>
      <c r="U253" s="614"/>
      <c r="V253" s="615"/>
      <c r="W253" s="37" t="s">
        <v>67</v>
      </c>
      <c r="X253" s="599">
        <f>IFERROR(SUM(X250:X251),"0")</f>
        <v>0</v>
      </c>
      <c r="Y253" s="599">
        <f>IFERROR(SUM(Y250:Y251),"0")</f>
        <v>0</v>
      </c>
      <c r="Z253" s="37"/>
      <c r="AA253" s="600"/>
      <c r="AB253" s="600"/>
      <c r="AC253" s="600"/>
    </row>
    <row r="254" spans="1:68" ht="14.25" customHeight="1" x14ac:dyDescent="0.25">
      <c r="A254" s="608" t="s">
        <v>62</v>
      </c>
      <c r="B254" s="609"/>
      <c r="C254" s="609"/>
      <c r="D254" s="609"/>
      <c r="E254" s="609"/>
      <c r="F254" s="609"/>
      <c r="G254" s="609"/>
      <c r="H254" s="609"/>
      <c r="I254" s="609"/>
      <c r="J254" s="609"/>
      <c r="K254" s="609"/>
      <c r="L254" s="609"/>
      <c r="M254" s="609"/>
      <c r="N254" s="609"/>
      <c r="O254" s="609"/>
      <c r="P254" s="609"/>
      <c r="Q254" s="609"/>
      <c r="R254" s="609"/>
      <c r="S254" s="609"/>
      <c r="T254" s="609"/>
      <c r="U254" s="609"/>
      <c r="V254" s="609"/>
      <c r="W254" s="609"/>
      <c r="X254" s="609"/>
      <c r="Y254" s="609"/>
      <c r="Z254" s="609"/>
      <c r="AA254" s="593"/>
      <c r="AB254" s="593"/>
      <c r="AC254" s="593"/>
    </row>
    <row r="255" spans="1:68" ht="27" customHeight="1" x14ac:dyDescent="0.25">
      <c r="A255" s="54" t="s">
        <v>415</v>
      </c>
      <c r="B255" s="54" t="s">
        <v>416</v>
      </c>
      <c r="C255" s="31">
        <v>4301031224</v>
      </c>
      <c r="D255" s="603">
        <v>4680115882683</v>
      </c>
      <c r="E255" s="604"/>
      <c r="F255" s="596">
        <v>0.9</v>
      </c>
      <c r="G255" s="32">
        <v>6</v>
      </c>
      <c r="H255" s="596">
        <v>5.4</v>
      </c>
      <c r="I255" s="596">
        <v>5.59</v>
      </c>
      <c r="J255" s="32">
        <v>132</v>
      </c>
      <c r="K255" s="32" t="s">
        <v>129</v>
      </c>
      <c r="L255" s="32"/>
      <c r="M255" s="33" t="s">
        <v>66</v>
      </c>
      <c r="N255" s="33"/>
      <c r="O255" s="32">
        <v>40</v>
      </c>
      <c r="P255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06"/>
      <c r="R255" s="606"/>
      <c r="S255" s="606"/>
      <c r="T255" s="607"/>
      <c r="U255" s="34"/>
      <c r="V255" s="34"/>
      <c r="W255" s="35" t="s">
        <v>67</v>
      </c>
      <c r="X255" s="597">
        <v>0</v>
      </c>
      <c r="Y255" s="598">
        <f t="shared" ref="Y255:Y262" si="32">IFERROR(IF(X255="",0,CEILING((X255/$H255),1)*$H255),"")</f>
        <v>0</v>
      </c>
      <c r="Z255" s="36" t="str">
        <f>IFERROR(IF(Y255=0,"",ROUNDUP(Y255/H255,0)*0.00902),"")</f>
        <v/>
      </c>
      <c r="AA255" s="56"/>
      <c r="AB255" s="57"/>
      <c r="AC255" s="309" t="s">
        <v>417</v>
      </c>
      <c r="AG255" s="64"/>
      <c r="AJ255" s="68"/>
      <c r="AK255" s="68">
        <v>0</v>
      </c>
      <c r="BB255" s="310" t="s">
        <v>1</v>
      </c>
      <c r="BM255" s="64">
        <f t="shared" ref="BM255:BM262" si="33">IFERROR(X255*I255/H255,"0")</f>
        <v>0</v>
      </c>
      <c r="BN255" s="64">
        <f t="shared" ref="BN255:BN262" si="34">IFERROR(Y255*I255/H255,"0")</f>
        <v>0</v>
      </c>
      <c r="BO255" s="64">
        <f t="shared" ref="BO255:BO262" si="35">IFERROR(1/J255*(X255/H255),"0")</f>
        <v>0</v>
      </c>
      <c r="BP255" s="64">
        <f t="shared" ref="BP255:BP262" si="36"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4301031230</v>
      </c>
      <c r="D256" s="603">
        <v>4680115882690</v>
      </c>
      <c r="E256" s="604"/>
      <c r="F256" s="596">
        <v>0.9</v>
      </c>
      <c r="G256" s="32">
        <v>6</v>
      </c>
      <c r="H256" s="596">
        <v>5.4</v>
      </c>
      <c r="I256" s="596">
        <v>5.59</v>
      </c>
      <c r="J256" s="32">
        <v>132</v>
      </c>
      <c r="K256" s="32" t="s">
        <v>129</v>
      </c>
      <c r="L256" s="32"/>
      <c r="M256" s="33" t="s">
        <v>66</v>
      </c>
      <c r="N256" s="33"/>
      <c r="O256" s="32">
        <v>40</v>
      </c>
      <c r="P256" s="7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06"/>
      <c r="R256" s="606"/>
      <c r="S256" s="606"/>
      <c r="T256" s="607"/>
      <c r="U256" s="34"/>
      <c r="V256" s="34"/>
      <c r="W256" s="35" t="s">
        <v>67</v>
      </c>
      <c r="X256" s="597">
        <v>0</v>
      </c>
      <c r="Y256" s="598">
        <f t="shared" si="32"/>
        <v>0</v>
      </c>
      <c r="Z256" s="36" t="str">
        <f>IFERROR(IF(Y256=0,"",ROUNDUP(Y256/H256,0)*0.00902),"")</f>
        <v/>
      </c>
      <c r="AA256" s="56"/>
      <c r="AB256" s="57"/>
      <c r="AC256" s="311" t="s">
        <v>420</v>
      </c>
      <c r="AG256" s="64"/>
      <c r="AJ256" s="68"/>
      <c r="AK256" s="68">
        <v>0</v>
      </c>
      <c r="BB256" s="312" t="s">
        <v>1</v>
      </c>
      <c r="BM256" s="64">
        <f t="shared" si="33"/>
        <v>0</v>
      </c>
      <c r="BN256" s="64">
        <f t="shared" si="34"/>
        <v>0</v>
      </c>
      <c r="BO256" s="64">
        <f t="shared" si="35"/>
        <v>0</v>
      </c>
      <c r="BP256" s="64">
        <f t="shared" si="36"/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4301031220</v>
      </c>
      <c r="D257" s="603">
        <v>4680115882669</v>
      </c>
      <c r="E257" s="604"/>
      <c r="F257" s="596">
        <v>0.9</v>
      </c>
      <c r="G257" s="32">
        <v>6</v>
      </c>
      <c r="H257" s="596">
        <v>5.4</v>
      </c>
      <c r="I257" s="596">
        <v>5.59</v>
      </c>
      <c r="J257" s="32">
        <v>132</v>
      </c>
      <c r="K257" s="32" t="s">
        <v>129</v>
      </c>
      <c r="L257" s="32"/>
      <c r="M257" s="33" t="s">
        <v>66</v>
      </c>
      <c r="N257" s="33"/>
      <c r="O257" s="32">
        <v>40</v>
      </c>
      <c r="P257" s="74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06"/>
      <c r="R257" s="606"/>
      <c r="S257" s="606"/>
      <c r="T257" s="607"/>
      <c r="U257" s="34"/>
      <c r="V257" s="34"/>
      <c r="W257" s="35" t="s">
        <v>67</v>
      </c>
      <c r="X257" s="597">
        <v>328</v>
      </c>
      <c r="Y257" s="598">
        <f t="shared" si="32"/>
        <v>329.40000000000003</v>
      </c>
      <c r="Z257" s="36">
        <f>IFERROR(IF(Y257=0,"",ROUNDUP(Y257/H257,0)*0.00902),"")</f>
        <v>0.55022000000000004</v>
      </c>
      <c r="AA257" s="56"/>
      <c r="AB257" s="57"/>
      <c r="AC257" s="313" t="s">
        <v>423</v>
      </c>
      <c r="AG257" s="64"/>
      <c r="AJ257" s="68"/>
      <c r="AK257" s="68">
        <v>0</v>
      </c>
      <c r="BB257" s="314" t="s">
        <v>1</v>
      </c>
      <c r="BM257" s="64">
        <f t="shared" si="33"/>
        <v>339.54074074074072</v>
      </c>
      <c r="BN257" s="64">
        <f t="shared" si="34"/>
        <v>340.99</v>
      </c>
      <c r="BO257" s="64">
        <f t="shared" si="35"/>
        <v>0.46015712682379345</v>
      </c>
      <c r="BP257" s="64">
        <f t="shared" si="36"/>
        <v>0.46212121212121215</v>
      </c>
    </row>
    <row r="258" spans="1:68" ht="27" customHeight="1" x14ac:dyDescent="0.25">
      <c r="A258" s="54" t="s">
        <v>424</v>
      </c>
      <c r="B258" s="54" t="s">
        <v>425</v>
      </c>
      <c r="C258" s="31">
        <v>4301031221</v>
      </c>
      <c r="D258" s="603">
        <v>4680115882676</v>
      </c>
      <c r="E258" s="604"/>
      <c r="F258" s="596">
        <v>0.9</v>
      </c>
      <c r="G258" s="32">
        <v>6</v>
      </c>
      <c r="H258" s="596">
        <v>5.4</v>
      </c>
      <c r="I258" s="596">
        <v>5.59</v>
      </c>
      <c r="J258" s="32">
        <v>132</v>
      </c>
      <c r="K258" s="32" t="s">
        <v>129</v>
      </c>
      <c r="L258" s="32"/>
      <c r="M258" s="33" t="s">
        <v>66</v>
      </c>
      <c r="N258" s="33"/>
      <c r="O258" s="32">
        <v>40</v>
      </c>
      <c r="P258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06"/>
      <c r="R258" s="606"/>
      <c r="S258" s="606"/>
      <c r="T258" s="607"/>
      <c r="U258" s="34"/>
      <c r="V258" s="34"/>
      <c r="W258" s="35" t="s">
        <v>67</v>
      </c>
      <c r="X258" s="597">
        <v>0</v>
      </c>
      <c r="Y258" s="598">
        <f t="shared" si="32"/>
        <v>0</v>
      </c>
      <c r="Z258" s="36" t="str">
        <f>IFERROR(IF(Y258=0,"",ROUNDUP(Y258/H258,0)*0.00902),"")</f>
        <v/>
      </c>
      <c r="AA258" s="56"/>
      <c r="AB258" s="57"/>
      <c r="AC258" s="315" t="s">
        <v>426</v>
      </c>
      <c r="AG258" s="64"/>
      <c r="AJ258" s="68"/>
      <c r="AK258" s="68">
        <v>0</v>
      </c>
      <c r="BB258" s="316" t="s">
        <v>1</v>
      </c>
      <c r="BM258" s="64">
        <f t="shared" si="33"/>
        <v>0</v>
      </c>
      <c r="BN258" s="64">
        <f t="shared" si="34"/>
        <v>0</v>
      </c>
      <c r="BO258" s="64">
        <f t="shared" si="35"/>
        <v>0</v>
      </c>
      <c r="BP258" s="64">
        <f t="shared" si="36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4301031223</v>
      </c>
      <c r="D259" s="603">
        <v>4680115884014</v>
      </c>
      <c r="E259" s="604"/>
      <c r="F259" s="596">
        <v>0.3</v>
      </c>
      <c r="G259" s="32">
        <v>6</v>
      </c>
      <c r="H259" s="596">
        <v>1.8</v>
      </c>
      <c r="I259" s="596">
        <v>1.93</v>
      </c>
      <c r="J259" s="32">
        <v>234</v>
      </c>
      <c r="K259" s="32" t="s">
        <v>65</v>
      </c>
      <c r="L259" s="32"/>
      <c r="M259" s="33" t="s">
        <v>66</v>
      </c>
      <c r="N259" s="33"/>
      <c r="O259" s="32">
        <v>40</v>
      </c>
      <c r="P259" s="89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06"/>
      <c r="R259" s="606"/>
      <c r="S259" s="606"/>
      <c r="T259" s="607"/>
      <c r="U259" s="34"/>
      <c r="V259" s="34"/>
      <c r="W259" s="35" t="s">
        <v>67</v>
      </c>
      <c r="X259" s="597">
        <v>0</v>
      </c>
      <c r="Y259" s="598">
        <f t="shared" si="32"/>
        <v>0</v>
      </c>
      <c r="Z259" s="36" t="str">
        <f>IFERROR(IF(Y259=0,"",ROUNDUP(Y259/H259,0)*0.00502),"")</f>
        <v/>
      </c>
      <c r="AA259" s="56"/>
      <c r="AB259" s="57"/>
      <c r="AC259" s="317" t="s">
        <v>417</v>
      </c>
      <c r="AG259" s="64"/>
      <c r="AJ259" s="68"/>
      <c r="AK259" s="68">
        <v>0</v>
      </c>
      <c r="BB259" s="318" t="s">
        <v>1</v>
      </c>
      <c r="BM259" s="64">
        <f t="shared" si="33"/>
        <v>0</v>
      </c>
      <c r="BN259" s="64">
        <f t="shared" si="34"/>
        <v>0</v>
      </c>
      <c r="BO259" s="64">
        <f t="shared" si="35"/>
        <v>0</v>
      </c>
      <c r="BP259" s="64">
        <f t="shared" si="36"/>
        <v>0</v>
      </c>
    </row>
    <row r="260" spans="1:68" ht="27" customHeight="1" x14ac:dyDescent="0.25">
      <c r="A260" s="54" t="s">
        <v>429</v>
      </c>
      <c r="B260" s="54" t="s">
        <v>430</v>
      </c>
      <c r="C260" s="31">
        <v>4301031222</v>
      </c>
      <c r="D260" s="603">
        <v>4680115884007</v>
      </c>
      <c r="E260" s="604"/>
      <c r="F260" s="596">
        <v>0.3</v>
      </c>
      <c r="G260" s="32">
        <v>6</v>
      </c>
      <c r="H260" s="596">
        <v>1.8</v>
      </c>
      <c r="I260" s="596">
        <v>1.9</v>
      </c>
      <c r="J260" s="32">
        <v>234</v>
      </c>
      <c r="K260" s="32" t="s">
        <v>65</v>
      </c>
      <c r="L260" s="32"/>
      <c r="M260" s="33" t="s">
        <v>66</v>
      </c>
      <c r="N260" s="33"/>
      <c r="O260" s="32">
        <v>40</v>
      </c>
      <c r="P260" s="7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06"/>
      <c r="R260" s="606"/>
      <c r="S260" s="606"/>
      <c r="T260" s="607"/>
      <c r="U260" s="34"/>
      <c r="V260" s="34"/>
      <c r="W260" s="35" t="s">
        <v>67</v>
      </c>
      <c r="X260" s="597">
        <v>0</v>
      </c>
      <c r="Y260" s="598">
        <f t="shared" si="32"/>
        <v>0</v>
      </c>
      <c r="Z260" s="36" t="str">
        <f>IFERROR(IF(Y260=0,"",ROUNDUP(Y260/H260,0)*0.00502),"")</f>
        <v/>
      </c>
      <c r="AA260" s="56"/>
      <c r="AB260" s="57"/>
      <c r="AC260" s="319" t="s">
        <v>420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4301031229</v>
      </c>
      <c r="D261" s="603">
        <v>4680115884038</v>
      </c>
      <c r="E261" s="604"/>
      <c r="F261" s="596">
        <v>0.3</v>
      </c>
      <c r="G261" s="32">
        <v>6</v>
      </c>
      <c r="H261" s="596">
        <v>1.8</v>
      </c>
      <c r="I261" s="596">
        <v>1.9</v>
      </c>
      <c r="J261" s="32">
        <v>234</v>
      </c>
      <c r="K261" s="32" t="s">
        <v>65</v>
      </c>
      <c r="L261" s="32"/>
      <c r="M261" s="33" t="s">
        <v>66</v>
      </c>
      <c r="N261" s="33"/>
      <c r="O261" s="32">
        <v>40</v>
      </c>
      <c r="P261" s="75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06"/>
      <c r="R261" s="606"/>
      <c r="S261" s="606"/>
      <c r="T261" s="607"/>
      <c r="U261" s="34"/>
      <c r="V261" s="34"/>
      <c r="W261" s="35" t="s">
        <v>67</v>
      </c>
      <c r="X261" s="597">
        <v>0</v>
      </c>
      <c r="Y261" s="598">
        <f t="shared" si="32"/>
        <v>0</v>
      </c>
      <c r="Z261" s="36" t="str">
        <f>IFERROR(IF(Y261=0,"",ROUNDUP(Y261/H261,0)*0.00502),"")</f>
        <v/>
      </c>
      <c r="AA261" s="56"/>
      <c r="AB261" s="57"/>
      <c r="AC261" s="321" t="s">
        <v>423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customHeight="1" x14ac:dyDescent="0.25">
      <c r="A262" s="54" t="s">
        <v>433</v>
      </c>
      <c r="B262" s="54" t="s">
        <v>434</v>
      </c>
      <c r="C262" s="31">
        <v>4301031225</v>
      </c>
      <c r="D262" s="603">
        <v>4680115884021</v>
      </c>
      <c r="E262" s="604"/>
      <c r="F262" s="596">
        <v>0.3</v>
      </c>
      <c r="G262" s="32">
        <v>6</v>
      </c>
      <c r="H262" s="596">
        <v>1.8</v>
      </c>
      <c r="I262" s="596">
        <v>1.9</v>
      </c>
      <c r="J262" s="32">
        <v>234</v>
      </c>
      <c r="K262" s="32" t="s">
        <v>65</v>
      </c>
      <c r="L262" s="32"/>
      <c r="M262" s="33" t="s">
        <v>66</v>
      </c>
      <c r="N262" s="33"/>
      <c r="O262" s="32">
        <v>40</v>
      </c>
      <c r="P262" s="6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06"/>
      <c r="R262" s="606"/>
      <c r="S262" s="606"/>
      <c r="T262" s="607"/>
      <c r="U262" s="34"/>
      <c r="V262" s="34"/>
      <c r="W262" s="35" t="s">
        <v>67</v>
      </c>
      <c r="X262" s="597">
        <v>0</v>
      </c>
      <c r="Y262" s="598">
        <f t="shared" si="32"/>
        <v>0</v>
      </c>
      <c r="Z262" s="36" t="str">
        <f>IFERROR(IF(Y262=0,"",ROUNDUP(Y262/H262,0)*0.00502),"")</f>
        <v/>
      </c>
      <c r="AA262" s="56"/>
      <c r="AB262" s="57"/>
      <c r="AC262" s="323" t="s">
        <v>426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x14ac:dyDescent="0.2">
      <c r="A263" s="617"/>
      <c r="B263" s="609"/>
      <c r="C263" s="609"/>
      <c r="D263" s="609"/>
      <c r="E263" s="609"/>
      <c r="F263" s="609"/>
      <c r="G263" s="609"/>
      <c r="H263" s="609"/>
      <c r="I263" s="609"/>
      <c r="J263" s="609"/>
      <c r="K263" s="609"/>
      <c r="L263" s="609"/>
      <c r="M263" s="609"/>
      <c r="N263" s="609"/>
      <c r="O263" s="618"/>
      <c r="P263" s="613" t="s">
        <v>72</v>
      </c>
      <c r="Q263" s="614"/>
      <c r="R263" s="614"/>
      <c r="S263" s="614"/>
      <c r="T263" s="614"/>
      <c r="U263" s="614"/>
      <c r="V263" s="615"/>
      <c r="W263" s="37" t="s">
        <v>73</v>
      </c>
      <c r="X263" s="599">
        <f>IFERROR(X255/H255,"0")+IFERROR(X256/H256,"0")+IFERROR(X257/H257,"0")+IFERROR(X258/H258,"0")+IFERROR(X259/H259,"0")+IFERROR(X260/H260,"0")+IFERROR(X261/H261,"0")+IFERROR(X262/H262,"0")</f>
        <v>60.740740740740733</v>
      </c>
      <c r="Y263" s="599">
        <f>IFERROR(Y255/H255,"0")+IFERROR(Y256/H256,"0")+IFERROR(Y257/H257,"0")+IFERROR(Y258/H258,"0")+IFERROR(Y259/H259,"0")+IFERROR(Y260/H260,"0")+IFERROR(Y261/H261,"0")+IFERROR(Y262/H262,"0")</f>
        <v>61</v>
      </c>
      <c r="Z263" s="599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0.55022000000000004</v>
      </c>
      <c r="AA263" s="600"/>
      <c r="AB263" s="600"/>
      <c r="AC263" s="600"/>
    </row>
    <row r="264" spans="1:68" x14ac:dyDescent="0.2">
      <c r="A264" s="609"/>
      <c r="B264" s="609"/>
      <c r="C264" s="609"/>
      <c r="D264" s="609"/>
      <c r="E264" s="609"/>
      <c r="F264" s="609"/>
      <c r="G264" s="609"/>
      <c r="H264" s="609"/>
      <c r="I264" s="609"/>
      <c r="J264" s="609"/>
      <c r="K264" s="609"/>
      <c r="L264" s="609"/>
      <c r="M264" s="609"/>
      <c r="N264" s="609"/>
      <c r="O264" s="618"/>
      <c r="P264" s="613" t="s">
        <v>72</v>
      </c>
      <c r="Q264" s="614"/>
      <c r="R264" s="614"/>
      <c r="S264" s="614"/>
      <c r="T264" s="614"/>
      <c r="U264" s="614"/>
      <c r="V264" s="615"/>
      <c r="W264" s="37" t="s">
        <v>67</v>
      </c>
      <c r="X264" s="599">
        <f>IFERROR(SUM(X255:X262),"0")</f>
        <v>328</v>
      </c>
      <c r="Y264" s="599">
        <f>IFERROR(SUM(Y255:Y262),"0")</f>
        <v>329.40000000000003</v>
      </c>
      <c r="Z264" s="37"/>
      <c r="AA264" s="600"/>
      <c r="AB264" s="600"/>
      <c r="AC264" s="600"/>
    </row>
    <row r="265" spans="1:68" ht="14.25" customHeight="1" x14ac:dyDescent="0.25">
      <c r="A265" s="608" t="s">
        <v>74</v>
      </c>
      <c r="B265" s="609"/>
      <c r="C265" s="609"/>
      <c r="D265" s="609"/>
      <c r="E265" s="609"/>
      <c r="F265" s="609"/>
      <c r="G265" s="609"/>
      <c r="H265" s="609"/>
      <c r="I265" s="609"/>
      <c r="J265" s="609"/>
      <c r="K265" s="609"/>
      <c r="L265" s="609"/>
      <c r="M265" s="609"/>
      <c r="N265" s="609"/>
      <c r="O265" s="609"/>
      <c r="P265" s="609"/>
      <c r="Q265" s="609"/>
      <c r="R265" s="609"/>
      <c r="S265" s="609"/>
      <c r="T265" s="609"/>
      <c r="U265" s="609"/>
      <c r="V265" s="609"/>
      <c r="W265" s="609"/>
      <c r="X265" s="609"/>
      <c r="Y265" s="609"/>
      <c r="Z265" s="609"/>
      <c r="AA265" s="593"/>
      <c r="AB265" s="593"/>
      <c r="AC265" s="593"/>
    </row>
    <row r="266" spans="1:68" ht="27" customHeight="1" x14ac:dyDescent="0.25">
      <c r="A266" s="54" t="s">
        <v>435</v>
      </c>
      <c r="B266" s="54" t="s">
        <v>436</v>
      </c>
      <c r="C266" s="31">
        <v>4301051408</v>
      </c>
      <c r="D266" s="603">
        <v>4680115881594</v>
      </c>
      <c r="E266" s="604"/>
      <c r="F266" s="596">
        <v>1.35</v>
      </c>
      <c r="G266" s="32">
        <v>6</v>
      </c>
      <c r="H266" s="596">
        <v>8.1</v>
      </c>
      <c r="I266" s="596">
        <v>8.5939999999999994</v>
      </c>
      <c r="J266" s="32">
        <v>64</v>
      </c>
      <c r="K266" s="32" t="s">
        <v>120</v>
      </c>
      <c r="L266" s="32"/>
      <c r="M266" s="33" t="s">
        <v>78</v>
      </c>
      <c r="N266" s="33"/>
      <c r="O266" s="32">
        <v>40</v>
      </c>
      <c r="P266" s="9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06"/>
      <c r="R266" s="606"/>
      <c r="S266" s="606"/>
      <c r="T266" s="607"/>
      <c r="U266" s="34"/>
      <c r="V266" s="34"/>
      <c r="W266" s="35" t="s">
        <v>67</v>
      </c>
      <c r="X266" s="597">
        <v>4</v>
      </c>
      <c r="Y266" s="598">
        <f t="shared" ref="Y266:Y277" si="37">IFERROR(IF(X266="",0,CEILING((X266/$H266),1)*$H266),"")</f>
        <v>8.1</v>
      </c>
      <c r="Z266" s="36">
        <f>IFERROR(IF(Y266=0,"",ROUNDUP(Y266/H266,0)*0.01898),"")</f>
        <v>1.898E-2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ref="BM266:BM277" si="38">IFERROR(X266*I266/H266,"0")</f>
        <v>4.243950617283951</v>
      </c>
      <c r="BN266" s="64">
        <f t="shared" ref="BN266:BN277" si="39">IFERROR(Y266*I266/H266,"0")</f>
        <v>8.5939999999999994</v>
      </c>
      <c r="BO266" s="64">
        <f t="shared" ref="BO266:BO277" si="40">IFERROR(1/J266*(X266/H266),"0")</f>
        <v>7.7160493827160498E-3</v>
      </c>
      <c r="BP266" s="64">
        <f t="shared" ref="BP266:BP277" si="41">IFERROR(1/J266*(Y266/H266),"0")</f>
        <v>1.5625E-2</v>
      </c>
    </row>
    <row r="267" spans="1:68" ht="27" customHeight="1" x14ac:dyDescent="0.25">
      <c r="A267" s="54" t="s">
        <v>438</v>
      </c>
      <c r="B267" s="54" t="s">
        <v>439</v>
      </c>
      <c r="C267" s="31">
        <v>4301051411</v>
      </c>
      <c r="D267" s="603">
        <v>4680115881617</v>
      </c>
      <c r="E267" s="604"/>
      <c r="F267" s="596">
        <v>1.35</v>
      </c>
      <c r="G267" s="32">
        <v>6</v>
      </c>
      <c r="H267" s="596">
        <v>8.1</v>
      </c>
      <c r="I267" s="596">
        <v>8.5760000000000005</v>
      </c>
      <c r="J267" s="32">
        <v>64</v>
      </c>
      <c r="K267" s="32" t="s">
        <v>120</v>
      </c>
      <c r="L267" s="32"/>
      <c r="M267" s="33" t="s">
        <v>78</v>
      </c>
      <c r="N267" s="33"/>
      <c r="O267" s="32">
        <v>40</v>
      </c>
      <c r="P267" s="81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06"/>
      <c r="R267" s="606"/>
      <c r="S267" s="606"/>
      <c r="T267" s="607"/>
      <c r="U267" s="34"/>
      <c r="V267" s="34"/>
      <c r="W267" s="35" t="s">
        <v>67</v>
      </c>
      <c r="X267" s="597">
        <v>0</v>
      </c>
      <c r="Y267" s="598">
        <f t="shared" si="37"/>
        <v>0</v>
      </c>
      <c r="Z267" s="36" t="str">
        <f>IFERROR(IF(Y267=0,"",ROUNDUP(Y267/H267,0)*0.01898),"")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customHeight="1" x14ac:dyDescent="0.25">
      <c r="A268" s="54" t="s">
        <v>441</v>
      </c>
      <c r="B268" s="54" t="s">
        <v>442</v>
      </c>
      <c r="C268" s="31">
        <v>4301051656</v>
      </c>
      <c r="D268" s="603">
        <v>4680115880573</v>
      </c>
      <c r="E268" s="604"/>
      <c r="F268" s="596">
        <v>1.45</v>
      </c>
      <c r="G268" s="32">
        <v>6</v>
      </c>
      <c r="H268" s="596">
        <v>8.6999999999999993</v>
      </c>
      <c r="I268" s="596">
        <v>9.1940000000000008</v>
      </c>
      <c r="J268" s="32">
        <v>64</v>
      </c>
      <c r="K268" s="32" t="s">
        <v>120</v>
      </c>
      <c r="L268" s="32"/>
      <c r="M268" s="33" t="s">
        <v>78</v>
      </c>
      <c r="N268" s="33"/>
      <c r="O268" s="32">
        <v>45</v>
      </c>
      <c r="P268" s="8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06"/>
      <c r="R268" s="606"/>
      <c r="S268" s="606"/>
      <c r="T268" s="607"/>
      <c r="U268" s="34"/>
      <c r="V268" s="34"/>
      <c r="W268" s="35" t="s">
        <v>67</v>
      </c>
      <c r="X268" s="597">
        <v>0</v>
      </c>
      <c r="Y268" s="598">
        <f t="shared" si="37"/>
        <v>0</v>
      </c>
      <c r="Z268" s="36" t="str">
        <f>IFERROR(IF(Y268=0,"",ROUNDUP(Y268/H268,0)*0.01898),"")</f>
        <v/>
      </c>
      <c r="AA268" s="56"/>
      <c r="AB268" s="57"/>
      <c r="AC268" s="329" t="s">
        <v>443</v>
      </c>
      <c r="AG268" s="64"/>
      <c r="AJ268" s="68"/>
      <c r="AK268" s="68">
        <v>0</v>
      </c>
      <c r="BB268" s="330" t="s">
        <v>1</v>
      </c>
      <c r="BM268" s="64">
        <f t="shared" si="38"/>
        <v>0</v>
      </c>
      <c r="BN268" s="64">
        <f t="shared" si="39"/>
        <v>0</v>
      </c>
      <c r="BO268" s="64">
        <f t="shared" si="40"/>
        <v>0</v>
      </c>
      <c r="BP268" s="64">
        <f t="shared" si="41"/>
        <v>0</v>
      </c>
    </row>
    <row r="269" spans="1:68" ht="27" customHeight="1" x14ac:dyDescent="0.25">
      <c r="A269" s="54" t="s">
        <v>444</v>
      </c>
      <c r="B269" s="54" t="s">
        <v>445</v>
      </c>
      <c r="C269" s="31">
        <v>4301051407</v>
      </c>
      <c r="D269" s="603">
        <v>4680115882195</v>
      </c>
      <c r="E269" s="604"/>
      <c r="F269" s="596">
        <v>0.4</v>
      </c>
      <c r="G269" s="32">
        <v>6</v>
      </c>
      <c r="H269" s="596">
        <v>2.4</v>
      </c>
      <c r="I269" s="596">
        <v>2.67</v>
      </c>
      <c r="J269" s="32">
        <v>182</v>
      </c>
      <c r="K269" s="32" t="s">
        <v>77</v>
      </c>
      <c r="L269" s="32"/>
      <c r="M269" s="33" t="s">
        <v>78</v>
      </c>
      <c r="N269" s="33"/>
      <c r="O269" s="32">
        <v>40</v>
      </c>
      <c r="P26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06"/>
      <c r="R269" s="606"/>
      <c r="S269" s="606"/>
      <c r="T269" s="607"/>
      <c r="U269" s="34"/>
      <c r="V269" s="34"/>
      <c r="W269" s="35" t="s">
        <v>67</v>
      </c>
      <c r="X269" s="597">
        <v>36</v>
      </c>
      <c r="Y269" s="598">
        <f t="shared" si="37"/>
        <v>36</v>
      </c>
      <c r="Z269" s="36">
        <f>IFERROR(IF(Y269=0,"",ROUNDUP(Y269/H269,0)*0.00651),"")</f>
        <v>9.7650000000000001E-2</v>
      </c>
      <c r="AA269" s="56"/>
      <c r="AB269" s="57"/>
      <c r="AC269" s="331" t="s">
        <v>437</v>
      </c>
      <c r="AG269" s="64"/>
      <c r="AJ269" s="68"/>
      <c r="AK269" s="68">
        <v>0</v>
      </c>
      <c r="BB269" s="332" t="s">
        <v>1</v>
      </c>
      <c r="BM269" s="64">
        <f t="shared" si="38"/>
        <v>40.050000000000004</v>
      </c>
      <c r="BN269" s="64">
        <f t="shared" si="39"/>
        <v>40.050000000000004</v>
      </c>
      <c r="BO269" s="64">
        <f t="shared" si="40"/>
        <v>8.241758241758243E-2</v>
      </c>
      <c r="BP269" s="64">
        <f t="shared" si="41"/>
        <v>8.241758241758243E-2</v>
      </c>
    </row>
    <row r="270" spans="1:68" ht="27" customHeight="1" x14ac:dyDescent="0.25">
      <c r="A270" s="54" t="s">
        <v>446</v>
      </c>
      <c r="B270" s="54" t="s">
        <v>447</v>
      </c>
      <c r="C270" s="31">
        <v>4301051752</v>
      </c>
      <c r="D270" s="603">
        <v>4680115882607</v>
      </c>
      <c r="E270" s="604"/>
      <c r="F270" s="596">
        <v>0.3</v>
      </c>
      <c r="G270" s="32">
        <v>6</v>
      </c>
      <c r="H270" s="596">
        <v>1.8</v>
      </c>
      <c r="I270" s="596">
        <v>2.052</v>
      </c>
      <c r="J270" s="32">
        <v>182</v>
      </c>
      <c r="K270" s="32" t="s">
        <v>77</v>
      </c>
      <c r="L270" s="32"/>
      <c r="M270" s="33" t="s">
        <v>84</v>
      </c>
      <c r="N270" s="33"/>
      <c r="O270" s="32">
        <v>45</v>
      </c>
      <c r="P270" s="7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06"/>
      <c r="R270" s="606"/>
      <c r="S270" s="606"/>
      <c r="T270" s="607"/>
      <c r="U270" s="34"/>
      <c r="V270" s="34"/>
      <c r="W270" s="35" t="s">
        <v>67</v>
      </c>
      <c r="X270" s="597">
        <v>0</v>
      </c>
      <c r="Y270" s="598">
        <f t="shared" si="37"/>
        <v>0</v>
      </c>
      <c r="Z270" s="36" t="str">
        <f>IFERROR(IF(Y270=0,"",ROUNDUP(Y270/H270,0)*0.00651),"")</f>
        <v/>
      </c>
      <c r="AA270" s="56"/>
      <c r="AB270" s="57"/>
      <c r="AC270" s="333" t="s">
        <v>443</v>
      </c>
      <c r="AG270" s="64"/>
      <c r="AJ270" s="68"/>
      <c r="AK270" s="68">
        <v>0</v>
      </c>
      <c r="BB270" s="334" t="s">
        <v>1</v>
      </c>
      <c r="BM270" s="64">
        <f t="shared" si="38"/>
        <v>0</v>
      </c>
      <c r="BN270" s="64">
        <f t="shared" si="39"/>
        <v>0</v>
      </c>
      <c r="BO270" s="64">
        <f t="shared" si="40"/>
        <v>0</v>
      </c>
      <c r="BP270" s="64">
        <f t="shared" si="41"/>
        <v>0</v>
      </c>
    </row>
    <row r="271" spans="1:68" ht="27" customHeight="1" x14ac:dyDescent="0.25">
      <c r="A271" s="54" t="s">
        <v>448</v>
      </c>
      <c r="B271" s="54" t="s">
        <v>449</v>
      </c>
      <c r="C271" s="31">
        <v>4301052143</v>
      </c>
      <c r="D271" s="603">
        <v>4680115882607</v>
      </c>
      <c r="E271" s="604"/>
      <c r="F271" s="596">
        <v>0.3</v>
      </c>
      <c r="G271" s="32">
        <v>6</v>
      </c>
      <c r="H271" s="596">
        <v>1.8</v>
      </c>
      <c r="I271" s="596">
        <v>2.0619999999999998</v>
      </c>
      <c r="J271" s="32">
        <v>132</v>
      </c>
      <c r="K271" s="32" t="s">
        <v>129</v>
      </c>
      <c r="L271" s="32"/>
      <c r="M271" s="33" t="s">
        <v>78</v>
      </c>
      <c r="N271" s="33"/>
      <c r="O271" s="32">
        <v>45</v>
      </c>
      <c r="P271" s="91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06"/>
      <c r="R271" s="606"/>
      <c r="S271" s="606"/>
      <c r="T271" s="607"/>
      <c r="U271" s="34"/>
      <c r="V271" s="34"/>
      <c r="W271" s="35" t="s">
        <v>67</v>
      </c>
      <c r="X271" s="597">
        <v>0</v>
      </c>
      <c r="Y271" s="598">
        <f t="shared" si="37"/>
        <v>0</v>
      </c>
      <c r="Z271" s="36" t="str">
        <f>IFERROR(IF(Y271=0,"",ROUNDUP(Y271/H271,0)*0.00902),"")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4301051666</v>
      </c>
      <c r="D272" s="603">
        <v>4680115880092</v>
      </c>
      <c r="E272" s="604"/>
      <c r="F272" s="596">
        <v>0.4</v>
      </c>
      <c r="G272" s="32">
        <v>6</v>
      </c>
      <c r="H272" s="596">
        <v>2.4</v>
      </c>
      <c r="I272" s="596">
        <v>2.6520000000000001</v>
      </c>
      <c r="J272" s="32">
        <v>182</v>
      </c>
      <c r="K272" s="32" t="s">
        <v>77</v>
      </c>
      <c r="L272" s="32"/>
      <c r="M272" s="33" t="s">
        <v>78</v>
      </c>
      <c r="N272" s="33"/>
      <c r="O272" s="32">
        <v>45</v>
      </c>
      <c r="P272" s="82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06"/>
      <c r="R272" s="606"/>
      <c r="S272" s="606"/>
      <c r="T272" s="607"/>
      <c r="U272" s="34"/>
      <c r="V272" s="34"/>
      <c r="W272" s="35" t="s">
        <v>67</v>
      </c>
      <c r="X272" s="597">
        <v>0</v>
      </c>
      <c r="Y272" s="598">
        <f t="shared" si="37"/>
        <v>0</v>
      </c>
      <c r="Z272" s="36" t="str">
        <f>IFERROR(IF(Y272=0,"",ROUNDUP(Y272/H272,0)*0.00651),"")</f>
        <v/>
      </c>
      <c r="AA272" s="56"/>
      <c r="AB272" s="57"/>
      <c r="AC272" s="337" t="s">
        <v>443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customHeight="1" x14ac:dyDescent="0.25">
      <c r="A273" s="54" t="s">
        <v>453</v>
      </c>
      <c r="B273" s="54" t="s">
        <v>454</v>
      </c>
      <c r="C273" s="31">
        <v>4301052214</v>
      </c>
      <c r="D273" s="603">
        <v>4680115889064</v>
      </c>
      <c r="E273" s="604"/>
      <c r="F273" s="596">
        <v>0.7</v>
      </c>
      <c r="G273" s="32">
        <v>6</v>
      </c>
      <c r="H273" s="596">
        <v>4.2</v>
      </c>
      <c r="I273" s="596">
        <v>4.6159999999999997</v>
      </c>
      <c r="J273" s="32">
        <v>104</v>
      </c>
      <c r="K273" s="32" t="s">
        <v>120</v>
      </c>
      <c r="L273" s="32"/>
      <c r="M273" s="33" t="s">
        <v>78</v>
      </c>
      <c r="N273" s="33"/>
      <c r="O273" s="32">
        <v>45</v>
      </c>
      <c r="P273" s="8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06"/>
      <c r="R273" s="606"/>
      <c r="S273" s="606"/>
      <c r="T273" s="607"/>
      <c r="U273" s="34"/>
      <c r="V273" s="34"/>
      <c r="W273" s="35" t="s">
        <v>67</v>
      </c>
      <c r="X273" s="597">
        <v>0</v>
      </c>
      <c r="Y273" s="598">
        <f t="shared" si="37"/>
        <v>0</v>
      </c>
      <c r="Z273" s="36" t="str">
        <f>IFERROR(IF(Y273=0,"",ROUNDUP(Y273/H273,0)*0.01196),"")</f>
        <v/>
      </c>
      <c r="AA273" s="56"/>
      <c r="AB273" s="57"/>
      <c r="AC273" s="339" t="s">
        <v>450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ht="27" customHeight="1" x14ac:dyDescent="0.25">
      <c r="A274" s="54" t="s">
        <v>455</v>
      </c>
      <c r="B274" s="54" t="s">
        <v>456</v>
      </c>
      <c r="C274" s="31">
        <v>4301051668</v>
      </c>
      <c r="D274" s="603">
        <v>4680115880221</v>
      </c>
      <c r="E274" s="604"/>
      <c r="F274" s="596">
        <v>0.4</v>
      </c>
      <c r="G274" s="32">
        <v>6</v>
      </c>
      <c r="H274" s="596">
        <v>2.4</v>
      </c>
      <c r="I274" s="596">
        <v>2.6520000000000001</v>
      </c>
      <c r="J274" s="32">
        <v>182</v>
      </c>
      <c r="K274" s="32" t="s">
        <v>77</v>
      </c>
      <c r="L274" s="32"/>
      <c r="M274" s="33" t="s">
        <v>78</v>
      </c>
      <c r="N274" s="33"/>
      <c r="O274" s="32">
        <v>45</v>
      </c>
      <c r="P274" s="7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06"/>
      <c r="R274" s="606"/>
      <c r="S274" s="606"/>
      <c r="T274" s="607"/>
      <c r="U274" s="34"/>
      <c r="V274" s="34"/>
      <c r="W274" s="35" t="s">
        <v>67</v>
      </c>
      <c r="X274" s="597">
        <v>0</v>
      </c>
      <c r="Y274" s="598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443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customHeight="1" x14ac:dyDescent="0.25">
      <c r="A275" s="54" t="s">
        <v>457</v>
      </c>
      <c r="B275" s="54" t="s">
        <v>458</v>
      </c>
      <c r="C275" s="31">
        <v>4301051945</v>
      </c>
      <c r="D275" s="603">
        <v>4680115880504</v>
      </c>
      <c r="E275" s="604"/>
      <c r="F275" s="596">
        <v>0.4</v>
      </c>
      <c r="G275" s="32">
        <v>6</v>
      </c>
      <c r="H275" s="596">
        <v>2.4</v>
      </c>
      <c r="I275" s="596">
        <v>2.6520000000000001</v>
      </c>
      <c r="J275" s="32">
        <v>182</v>
      </c>
      <c r="K275" s="32" t="s">
        <v>77</v>
      </c>
      <c r="L275" s="32"/>
      <c r="M275" s="33" t="s">
        <v>84</v>
      </c>
      <c r="N275" s="33"/>
      <c r="O275" s="32">
        <v>40</v>
      </c>
      <c r="P275" s="92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06"/>
      <c r="R275" s="606"/>
      <c r="S275" s="606"/>
      <c r="T275" s="607"/>
      <c r="U275" s="34"/>
      <c r="V275" s="34"/>
      <c r="W275" s="35" t="s">
        <v>67</v>
      </c>
      <c r="X275" s="597">
        <v>51</v>
      </c>
      <c r="Y275" s="598">
        <f t="shared" si="37"/>
        <v>52.8</v>
      </c>
      <c r="Z275" s="36">
        <f>IFERROR(IF(Y275=0,"",ROUNDUP(Y275/H275,0)*0.00651),"")</f>
        <v>0.14322000000000001</v>
      </c>
      <c r="AA275" s="56"/>
      <c r="AB275" s="57"/>
      <c r="AC275" s="343" t="s">
        <v>459</v>
      </c>
      <c r="AG275" s="64"/>
      <c r="AJ275" s="68"/>
      <c r="AK275" s="68">
        <v>0</v>
      </c>
      <c r="BB275" s="344" t="s">
        <v>1</v>
      </c>
      <c r="BM275" s="64">
        <f t="shared" si="38"/>
        <v>56.355000000000004</v>
      </c>
      <c r="BN275" s="64">
        <f t="shared" si="39"/>
        <v>58.344000000000001</v>
      </c>
      <c r="BO275" s="64">
        <f t="shared" si="40"/>
        <v>0.11675824175824177</v>
      </c>
      <c r="BP275" s="64">
        <f t="shared" si="41"/>
        <v>0.12087912087912089</v>
      </c>
    </row>
    <row r="276" spans="1:68" ht="27" customHeight="1" x14ac:dyDescent="0.25">
      <c r="A276" s="54" t="s">
        <v>460</v>
      </c>
      <c r="B276" s="54" t="s">
        <v>461</v>
      </c>
      <c r="C276" s="31">
        <v>4301051410</v>
      </c>
      <c r="D276" s="603">
        <v>4680115882164</v>
      </c>
      <c r="E276" s="604"/>
      <c r="F276" s="596">
        <v>0.4</v>
      </c>
      <c r="G276" s="32">
        <v>6</v>
      </c>
      <c r="H276" s="596">
        <v>2.4</v>
      </c>
      <c r="I276" s="596">
        <v>2.6579999999999999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40</v>
      </c>
      <c r="P276" s="7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06"/>
      <c r="R276" s="606"/>
      <c r="S276" s="606"/>
      <c r="T276" s="607"/>
      <c r="U276" s="34"/>
      <c r="V276" s="34"/>
      <c r="W276" s="35" t="s">
        <v>67</v>
      </c>
      <c r="X276" s="597">
        <v>0</v>
      </c>
      <c r="Y276" s="598">
        <f t="shared" si="37"/>
        <v>0</v>
      </c>
      <c r="Z276" s="36" t="str">
        <f>IFERROR(IF(Y276=0,"",ROUNDUP(Y276/H276,0)*0.00651),"")</f>
        <v/>
      </c>
      <c r="AA276" s="56"/>
      <c r="AB276" s="57"/>
      <c r="AC276" s="345" t="s">
        <v>462</v>
      </c>
      <c r="AG276" s="64"/>
      <c r="AJ276" s="68"/>
      <c r="AK276" s="68">
        <v>0</v>
      </c>
      <c r="BB276" s="346" t="s">
        <v>1</v>
      </c>
      <c r="BM276" s="64">
        <f t="shared" si="38"/>
        <v>0</v>
      </c>
      <c r="BN276" s="64">
        <f t="shared" si="39"/>
        <v>0</v>
      </c>
      <c r="BO276" s="64">
        <f t="shared" si="40"/>
        <v>0</v>
      </c>
      <c r="BP276" s="64">
        <f t="shared" si="41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4301052180</v>
      </c>
      <c r="D277" s="603">
        <v>4680115888340</v>
      </c>
      <c r="E277" s="604"/>
      <c r="F277" s="596">
        <v>0.4</v>
      </c>
      <c r="G277" s="32">
        <v>6</v>
      </c>
      <c r="H277" s="596">
        <v>2.4</v>
      </c>
      <c r="I277" s="596">
        <v>2.6520000000000001</v>
      </c>
      <c r="J277" s="32">
        <v>182</v>
      </c>
      <c r="K277" s="32" t="s">
        <v>77</v>
      </c>
      <c r="L277" s="32"/>
      <c r="M277" s="33" t="s">
        <v>78</v>
      </c>
      <c r="N277" s="33"/>
      <c r="O277" s="32">
        <v>45</v>
      </c>
      <c r="P277" s="82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06"/>
      <c r="R277" s="606"/>
      <c r="S277" s="606"/>
      <c r="T277" s="607"/>
      <c r="U277" s="34"/>
      <c r="V277" s="34"/>
      <c r="W277" s="35" t="s">
        <v>67</v>
      </c>
      <c r="X277" s="597">
        <v>0</v>
      </c>
      <c r="Y277" s="598">
        <f t="shared" si="37"/>
        <v>0</v>
      </c>
      <c r="Z277" s="36" t="str">
        <f>IFERROR(IF(Y277=0,"",ROUNDUP(Y277/H277,0)*0.00651),"")</f>
        <v/>
      </c>
      <c r="AA277" s="56"/>
      <c r="AB277" s="57"/>
      <c r="AC277" s="347" t="s">
        <v>465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x14ac:dyDescent="0.2">
      <c r="A278" s="617"/>
      <c r="B278" s="609"/>
      <c r="C278" s="609"/>
      <c r="D278" s="609"/>
      <c r="E278" s="609"/>
      <c r="F278" s="609"/>
      <c r="G278" s="609"/>
      <c r="H278" s="609"/>
      <c r="I278" s="609"/>
      <c r="J278" s="609"/>
      <c r="K278" s="609"/>
      <c r="L278" s="609"/>
      <c r="M278" s="609"/>
      <c r="N278" s="609"/>
      <c r="O278" s="618"/>
      <c r="P278" s="613" t="s">
        <v>72</v>
      </c>
      <c r="Q278" s="614"/>
      <c r="R278" s="614"/>
      <c r="S278" s="614"/>
      <c r="T278" s="614"/>
      <c r="U278" s="614"/>
      <c r="V278" s="615"/>
      <c r="W278" s="37" t="s">
        <v>73</v>
      </c>
      <c r="X278" s="599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36.743827160493829</v>
      </c>
      <c r="Y278" s="599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38</v>
      </c>
      <c r="Z278" s="599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0.25985000000000003</v>
      </c>
      <c r="AA278" s="600"/>
      <c r="AB278" s="600"/>
      <c r="AC278" s="600"/>
    </row>
    <row r="279" spans="1:68" x14ac:dyDescent="0.2">
      <c r="A279" s="609"/>
      <c r="B279" s="609"/>
      <c r="C279" s="609"/>
      <c r="D279" s="609"/>
      <c r="E279" s="609"/>
      <c r="F279" s="609"/>
      <c r="G279" s="609"/>
      <c r="H279" s="609"/>
      <c r="I279" s="609"/>
      <c r="J279" s="609"/>
      <c r="K279" s="609"/>
      <c r="L279" s="609"/>
      <c r="M279" s="609"/>
      <c r="N279" s="609"/>
      <c r="O279" s="618"/>
      <c r="P279" s="613" t="s">
        <v>72</v>
      </c>
      <c r="Q279" s="614"/>
      <c r="R279" s="614"/>
      <c r="S279" s="614"/>
      <c r="T279" s="614"/>
      <c r="U279" s="614"/>
      <c r="V279" s="615"/>
      <c r="W279" s="37" t="s">
        <v>67</v>
      </c>
      <c r="X279" s="599">
        <f>IFERROR(SUM(X266:X277),"0")</f>
        <v>91</v>
      </c>
      <c r="Y279" s="599">
        <f>IFERROR(SUM(Y266:Y277),"0")</f>
        <v>96.9</v>
      </c>
      <c r="Z279" s="37"/>
      <c r="AA279" s="600"/>
      <c r="AB279" s="600"/>
      <c r="AC279" s="600"/>
    </row>
    <row r="280" spans="1:68" ht="14.25" customHeight="1" x14ac:dyDescent="0.25">
      <c r="A280" s="608" t="s">
        <v>169</v>
      </c>
      <c r="B280" s="609"/>
      <c r="C280" s="609"/>
      <c r="D280" s="609"/>
      <c r="E280" s="609"/>
      <c r="F280" s="609"/>
      <c r="G280" s="609"/>
      <c r="H280" s="609"/>
      <c r="I280" s="609"/>
      <c r="J280" s="609"/>
      <c r="K280" s="609"/>
      <c r="L280" s="609"/>
      <c r="M280" s="609"/>
      <c r="N280" s="609"/>
      <c r="O280" s="609"/>
      <c r="P280" s="609"/>
      <c r="Q280" s="609"/>
      <c r="R280" s="609"/>
      <c r="S280" s="609"/>
      <c r="T280" s="609"/>
      <c r="U280" s="609"/>
      <c r="V280" s="609"/>
      <c r="W280" s="609"/>
      <c r="X280" s="609"/>
      <c r="Y280" s="609"/>
      <c r="Z280" s="609"/>
      <c r="AA280" s="593"/>
      <c r="AB280" s="593"/>
      <c r="AC280" s="593"/>
    </row>
    <row r="281" spans="1:68" ht="27" customHeight="1" x14ac:dyDescent="0.25">
      <c r="A281" s="54" t="s">
        <v>466</v>
      </c>
      <c r="B281" s="54" t="s">
        <v>467</v>
      </c>
      <c r="C281" s="31">
        <v>4301060463</v>
      </c>
      <c r="D281" s="603">
        <v>4680115880818</v>
      </c>
      <c r="E281" s="604"/>
      <c r="F281" s="596">
        <v>0.4</v>
      </c>
      <c r="G281" s="32">
        <v>6</v>
      </c>
      <c r="H281" s="596">
        <v>2.4</v>
      </c>
      <c r="I281" s="596">
        <v>2.6520000000000001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40</v>
      </c>
      <c r="P281" s="85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06"/>
      <c r="R281" s="606"/>
      <c r="S281" s="606"/>
      <c r="T281" s="607"/>
      <c r="U281" s="34"/>
      <c r="V281" s="34"/>
      <c r="W281" s="35" t="s">
        <v>67</v>
      </c>
      <c r="X281" s="597">
        <v>0</v>
      </c>
      <c r="Y281" s="598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49" t="s">
        <v>468</v>
      </c>
      <c r="AG281" s="64"/>
      <c r="AJ281" s="68"/>
      <c r="AK281" s="68">
        <v>0</v>
      </c>
      <c r="BB281" s="350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4301060389</v>
      </c>
      <c r="D282" s="603">
        <v>4680115880801</v>
      </c>
      <c r="E282" s="604"/>
      <c r="F282" s="596">
        <v>0.4</v>
      </c>
      <c r="G282" s="32">
        <v>6</v>
      </c>
      <c r="H282" s="596">
        <v>2.4</v>
      </c>
      <c r="I282" s="596">
        <v>2.6520000000000001</v>
      </c>
      <c r="J282" s="32">
        <v>182</v>
      </c>
      <c r="K282" s="32" t="s">
        <v>77</v>
      </c>
      <c r="L282" s="32"/>
      <c r="M282" s="33" t="s">
        <v>78</v>
      </c>
      <c r="N282" s="33"/>
      <c r="O282" s="32">
        <v>40</v>
      </c>
      <c r="P282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06"/>
      <c r="R282" s="606"/>
      <c r="S282" s="606"/>
      <c r="T282" s="607"/>
      <c r="U282" s="34"/>
      <c r="V282" s="34"/>
      <c r="W282" s="35" t="s">
        <v>67</v>
      </c>
      <c r="X282" s="597">
        <v>0</v>
      </c>
      <c r="Y282" s="598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51" t="s">
        <v>471</v>
      </c>
      <c r="AG282" s="64"/>
      <c r="AJ282" s="68"/>
      <c r="AK282" s="68">
        <v>0</v>
      </c>
      <c r="BB282" s="352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617"/>
      <c r="B283" s="609"/>
      <c r="C283" s="609"/>
      <c r="D283" s="609"/>
      <c r="E283" s="609"/>
      <c r="F283" s="609"/>
      <c r="G283" s="609"/>
      <c r="H283" s="609"/>
      <c r="I283" s="609"/>
      <c r="J283" s="609"/>
      <c r="K283" s="609"/>
      <c r="L283" s="609"/>
      <c r="M283" s="609"/>
      <c r="N283" s="609"/>
      <c r="O283" s="618"/>
      <c r="P283" s="613" t="s">
        <v>72</v>
      </c>
      <c r="Q283" s="614"/>
      <c r="R283" s="614"/>
      <c r="S283" s="614"/>
      <c r="T283" s="614"/>
      <c r="U283" s="614"/>
      <c r="V283" s="615"/>
      <c r="W283" s="37" t="s">
        <v>73</v>
      </c>
      <c r="X283" s="599">
        <f>IFERROR(X281/H281,"0")+IFERROR(X282/H282,"0")</f>
        <v>0</v>
      </c>
      <c r="Y283" s="599">
        <f>IFERROR(Y281/H281,"0")+IFERROR(Y282/H282,"0")</f>
        <v>0</v>
      </c>
      <c r="Z283" s="599">
        <f>IFERROR(IF(Z281="",0,Z281),"0")+IFERROR(IF(Z282="",0,Z282),"0")</f>
        <v>0</v>
      </c>
      <c r="AA283" s="600"/>
      <c r="AB283" s="600"/>
      <c r="AC283" s="600"/>
    </row>
    <row r="284" spans="1:68" x14ac:dyDescent="0.2">
      <c r="A284" s="609"/>
      <c r="B284" s="609"/>
      <c r="C284" s="609"/>
      <c r="D284" s="609"/>
      <c r="E284" s="609"/>
      <c r="F284" s="609"/>
      <c r="G284" s="609"/>
      <c r="H284" s="609"/>
      <c r="I284" s="609"/>
      <c r="J284" s="609"/>
      <c r="K284" s="609"/>
      <c r="L284" s="609"/>
      <c r="M284" s="609"/>
      <c r="N284" s="609"/>
      <c r="O284" s="618"/>
      <c r="P284" s="613" t="s">
        <v>72</v>
      </c>
      <c r="Q284" s="614"/>
      <c r="R284" s="614"/>
      <c r="S284" s="614"/>
      <c r="T284" s="614"/>
      <c r="U284" s="614"/>
      <c r="V284" s="615"/>
      <c r="W284" s="37" t="s">
        <v>67</v>
      </c>
      <c r="X284" s="599">
        <f>IFERROR(SUM(X281:X282),"0")</f>
        <v>0</v>
      </c>
      <c r="Y284" s="599">
        <f>IFERROR(SUM(Y281:Y282),"0")</f>
        <v>0</v>
      </c>
      <c r="Z284" s="37"/>
      <c r="AA284" s="600"/>
      <c r="AB284" s="600"/>
      <c r="AC284" s="600"/>
    </row>
    <row r="285" spans="1:68" ht="16.5" customHeight="1" x14ac:dyDescent="0.25">
      <c r="A285" s="612" t="s">
        <v>472</v>
      </c>
      <c r="B285" s="609"/>
      <c r="C285" s="609"/>
      <c r="D285" s="609"/>
      <c r="E285" s="609"/>
      <c r="F285" s="609"/>
      <c r="G285" s="609"/>
      <c r="H285" s="609"/>
      <c r="I285" s="609"/>
      <c r="J285" s="609"/>
      <c r="K285" s="609"/>
      <c r="L285" s="609"/>
      <c r="M285" s="609"/>
      <c r="N285" s="609"/>
      <c r="O285" s="609"/>
      <c r="P285" s="609"/>
      <c r="Q285" s="609"/>
      <c r="R285" s="609"/>
      <c r="S285" s="609"/>
      <c r="T285" s="609"/>
      <c r="U285" s="609"/>
      <c r="V285" s="609"/>
      <c r="W285" s="609"/>
      <c r="X285" s="609"/>
      <c r="Y285" s="609"/>
      <c r="Z285" s="609"/>
      <c r="AA285" s="592"/>
      <c r="AB285" s="592"/>
      <c r="AC285" s="592"/>
    </row>
    <row r="286" spans="1:68" ht="14.25" customHeight="1" x14ac:dyDescent="0.25">
      <c r="A286" s="608" t="s">
        <v>117</v>
      </c>
      <c r="B286" s="609"/>
      <c r="C286" s="609"/>
      <c r="D286" s="609"/>
      <c r="E286" s="609"/>
      <c r="F286" s="609"/>
      <c r="G286" s="609"/>
      <c r="H286" s="609"/>
      <c r="I286" s="609"/>
      <c r="J286" s="609"/>
      <c r="K286" s="609"/>
      <c r="L286" s="609"/>
      <c r="M286" s="609"/>
      <c r="N286" s="609"/>
      <c r="O286" s="609"/>
      <c r="P286" s="609"/>
      <c r="Q286" s="609"/>
      <c r="R286" s="609"/>
      <c r="S286" s="609"/>
      <c r="T286" s="609"/>
      <c r="U286" s="609"/>
      <c r="V286" s="609"/>
      <c r="W286" s="609"/>
      <c r="X286" s="609"/>
      <c r="Y286" s="609"/>
      <c r="Z286" s="609"/>
      <c r="AA286" s="593"/>
      <c r="AB286" s="593"/>
      <c r="AC286" s="593"/>
    </row>
    <row r="287" spans="1:68" ht="27" customHeight="1" x14ac:dyDescent="0.25">
      <c r="A287" s="54" t="s">
        <v>473</v>
      </c>
      <c r="B287" s="54" t="s">
        <v>474</v>
      </c>
      <c r="C287" s="31">
        <v>4301011826</v>
      </c>
      <c r="D287" s="603">
        <v>4680115884137</v>
      </c>
      <c r="E287" s="604"/>
      <c r="F287" s="596">
        <v>1.45</v>
      </c>
      <c r="G287" s="32">
        <v>8</v>
      </c>
      <c r="H287" s="596">
        <v>11.6</v>
      </c>
      <c r="I287" s="596">
        <v>12.01</v>
      </c>
      <c r="J287" s="32">
        <v>64</v>
      </c>
      <c r="K287" s="32" t="s">
        <v>120</v>
      </c>
      <c r="L287" s="32"/>
      <c r="M287" s="33" t="s">
        <v>121</v>
      </c>
      <c r="N287" s="33"/>
      <c r="O287" s="32">
        <v>55</v>
      </c>
      <c r="P287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06"/>
      <c r="R287" s="606"/>
      <c r="S287" s="606"/>
      <c r="T287" s="607"/>
      <c r="U287" s="34"/>
      <c r="V287" s="34"/>
      <c r="W287" s="35" t="s">
        <v>67</v>
      </c>
      <c r="X287" s="597">
        <v>0</v>
      </c>
      <c r="Y287" s="598">
        <f t="shared" ref="Y287:Y293" si="42">IFERROR(IF(X287="",0,CEILING((X287/$H287),1)*$H287),"")</f>
        <v>0</v>
      </c>
      <c r="Z287" s="36" t="str">
        <f>IFERROR(IF(Y287=0,"",ROUNDUP(Y287/H287,0)*0.01898),"")</f>
        <v/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ref="BM287:BM293" si="43">IFERROR(X287*I287/H287,"0")</f>
        <v>0</v>
      </c>
      <c r="BN287" s="64">
        <f t="shared" ref="BN287:BN293" si="44">IFERROR(Y287*I287/H287,"0")</f>
        <v>0</v>
      </c>
      <c r="BO287" s="64">
        <f t="shared" ref="BO287:BO293" si="45">IFERROR(1/J287*(X287/H287),"0")</f>
        <v>0</v>
      </c>
      <c r="BP287" s="64">
        <f t="shared" ref="BP287:BP293" si="46">IFERROR(1/J287*(Y287/H287),"0")</f>
        <v>0</v>
      </c>
    </row>
    <row r="288" spans="1:68" ht="27" customHeight="1" x14ac:dyDescent="0.25">
      <c r="A288" s="54" t="s">
        <v>476</v>
      </c>
      <c r="B288" s="54" t="s">
        <v>477</v>
      </c>
      <c r="C288" s="31">
        <v>4301011724</v>
      </c>
      <c r="D288" s="603">
        <v>4680115884236</v>
      </c>
      <c r="E288" s="604"/>
      <c r="F288" s="596">
        <v>1.45</v>
      </c>
      <c r="G288" s="32">
        <v>8</v>
      </c>
      <c r="H288" s="596">
        <v>11.6</v>
      </c>
      <c r="I288" s="596">
        <v>12.01</v>
      </c>
      <c r="J288" s="32">
        <v>64</v>
      </c>
      <c r="K288" s="32" t="s">
        <v>120</v>
      </c>
      <c r="L288" s="32"/>
      <c r="M288" s="33" t="s">
        <v>121</v>
      </c>
      <c r="N288" s="33"/>
      <c r="O288" s="32">
        <v>55</v>
      </c>
      <c r="P288" s="6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06"/>
      <c r="R288" s="606"/>
      <c r="S288" s="606"/>
      <c r="T288" s="607"/>
      <c r="U288" s="34"/>
      <c r="V288" s="34"/>
      <c r="W288" s="35" t="s">
        <v>67</v>
      </c>
      <c r="X288" s="597">
        <v>0</v>
      </c>
      <c r="Y288" s="598">
        <f t="shared" si="42"/>
        <v>0</v>
      </c>
      <c r="Z288" s="36" t="str">
        <f>IFERROR(IF(Y288=0,"",ROUNDUP(Y288/H288,0)*0.01898),"")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customHeight="1" x14ac:dyDescent="0.25">
      <c r="A289" s="54" t="s">
        <v>479</v>
      </c>
      <c r="B289" s="54" t="s">
        <v>480</v>
      </c>
      <c r="C289" s="31">
        <v>4301011721</v>
      </c>
      <c r="D289" s="603">
        <v>4680115884175</v>
      </c>
      <c r="E289" s="604"/>
      <c r="F289" s="596">
        <v>1.45</v>
      </c>
      <c r="G289" s="32">
        <v>8</v>
      </c>
      <c r="H289" s="596">
        <v>11.6</v>
      </c>
      <c r="I289" s="596">
        <v>12.01</v>
      </c>
      <c r="J289" s="32">
        <v>64</v>
      </c>
      <c r="K289" s="32" t="s">
        <v>120</v>
      </c>
      <c r="L289" s="32"/>
      <c r="M289" s="33" t="s">
        <v>121</v>
      </c>
      <c r="N289" s="33"/>
      <c r="O289" s="32">
        <v>55</v>
      </c>
      <c r="P289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06"/>
      <c r="R289" s="606"/>
      <c r="S289" s="606"/>
      <c r="T289" s="607"/>
      <c r="U289" s="34"/>
      <c r="V289" s="34"/>
      <c r="W289" s="35" t="s">
        <v>67</v>
      </c>
      <c r="X289" s="597">
        <v>0</v>
      </c>
      <c r="Y289" s="598">
        <f t="shared" si="42"/>
        <v>0</v>
      </c>
      <c r="Z289" s="36" t="str">
        <f>IFERROR(IF(Y289=0,"",ROUNDUP(Y289/H289,0)*0.01898),"")</f>
        <v/>
      </c>
      <c r="AA289" s="56"/>
      <c r="AB289" s="57"/>
      <c r="AC289" s="357" t="s">
        <v>333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ht="27" customHeight="1" x14ac:dyDescent="0.25">
      <c r="A290" s="54" t="s">
        <v>481</v>
      </c>
      <c r="B290" s="54" t="s">
        <v>482</v>
      </c>
      <c r="C290" s="31">
        <v>4301011824</v>
      </c>
      <c r="D290" s="603">
        <v>4680115884144</v>
      </c>
      <c r="E290" s="604"/>
      <c r="F290" s="596">
        <v>0.4</v>
      </c>
      <c r="G290" s="32">
        <v>10</v>
      </c>
      <c r="H290" s="596">
        <v>4</v>
      </c>
      <c r="I290" s="596">
        <v>4.1900000000000004</v>
      </c>
      <c r="J290" s="32">
        <v>132</v>
      </c>
      <c r="K290" s="32" t="s">
        <v>129</v>
      </c>
      <c r="L290" s="32"/>
      <c r="M290" s="33" t="s">
        <v>121</v>
      </c>
      <c r="N290" s="33"/>
      <c r="O290" s="32">
        <v>55</v>
      </c>
      <c r="P290" s="9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06"/>
      <c r="R290" s="606"/>
      <c r="S290" s="606"/>
      <c r="T290" s="607"/>
      <c r="U290" s="34"/>
      <c r="V290" s="34"/>
      <c r="W290" s="35" t="s">
        <v>67</v>
      </c>
      <c r="X290" s="597">
        <v>0</v>
      </c>
      <c r="Y290" s="598">
        <f t="shared" si="42"/>
        <v>0</v>
      </c>
      <c r="Z290" s="36" t="str">
        <f>IFERROR(IF(Y290=0,"",ROUNDUP(Y290/H290,0)*0.00902),"")</f>
        <v/>
      </c>
      <c r="AA290" s="56"/>
      <c r="AB290" s="57"/>
      <c r="AC290" s="359" t="s">
        <v>475</v>
      </c>
      <c r="AG290" s="64"/>
      <c r="AJ290" s="68"/>
      <c r="AK290" s="68">
        <v>0</v>
      </c>
      <c r="BB290" s="360" t="s">
        <v>1</v>
      </c>
      <c r="BM290" s="64">
        <f t="shared" si="43"/>
        <v>0</v>
      </c>
      <c r="BN290" s="64">
        <f t="shared" si="44"/>
        <v>0</v>
      </c>
      <c r="BO290" s="64">
        <f t="shared" si="45"/>
        <v>0</v>
      </c>
      <c r="BP290" s="64">
        <f t="shared" si="46"/>
        <v>0</v>
      </c>
    </row>
    <row r="291" spans="1:68" ht="27" customHeight="1" x14ac:dyDescent="0.25">
      <c r="A291" s="54" t="s">
        <v>483</v>
      </c>
      <c r="B291" s="54" t="s">
        <v>484</v>
      </c>
      <c r="C291" s="31">
        <v>4301012149</v>
      </c>
      <c r="D291" s="603">
        <v>4680115886551</v>
      </c>
      <c r="E291" s="604"/>
      <c r="F291" s="596">
        <v>0.4</v>
      </c>
      <c r="G291" s="32">
        <v>10</v>
      </c>
      <c r="H291" s="596">
        <v>4</v>
      </c>
      <c r="I291" s="596">
        <v>4.1900000000000004</v>
      </c>
      <c r="J291" s="32">
        <v>132</v>
      </c>
      <c r="K291" s="32" t="s">
        <v>129</v>
      </c>
      <c r="L291" s="32"/>
      <c r="M291" s="33" t="s">
        <v>121</v>
      </c>
      <c r="N291" s="33"/>
      <c r="O291" s="32">
        <v>55</v>
      </c>
      <c r="P291" s="6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06"/>
      <c r="R291" s="606"/>
      <c r="S291" s="606"/>
      <c r="T291" s="607"/>
      <c r="U291" s="34"/>
      <c r="V291" s="34"/>
      <c r="W291" s="35" t="s">
        <v>67</v>
      </c>
      <c r="X291" s="597">
        <v>0</v>
      </c>
      <c r="Y291" s="598">
        <f t="shared" si="42"/>
        <v>0</v>
      </c>
      <c r="Z291" s="36" t="str">
        <f>IFERROR(IF(Y291=0,"",ROUNDUP(Y291/H291,0)*0.00902),"")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si="43"/>
        <v>0</v>
      </c>
      <c r="BN291" s="64">
        <f t="shared" si="44"/>
        <v>0</v>
      </c>
      <c r="BO291" s="64">
        <f t="shared" si="45"/>
        <v>0</v>
      </c>
      <c r="BP291" s="64">
        <f t="shared" si="46"/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4301012228</v>
      </c>
      <c r="D292" s="603">
        <v>4680115887282</v>
      </c>
      <c r="E292" s="604"/>
      <c r="F292" s="596">
        <v>0.4</v>
      </c>
      <c r="G292" s="32">
        <v>6</v>
      </c>
      <c r="H292" s="596">
        <v>2.4</v>
      </c>
      <c r="I292" s="596">
        <v>2.58</v>
      </c>
      <c r="J292" s="32">
        <v>182</v>
      </c>
      <c r="K292" s="32" t="s">
        <v>77</v>
      </c>
      <c r="L292" s="32"/>
      <c r="M292" s="33" t="s">
        <v>121</v>
      </c>
      <c r="N292" s="33"/>
      <c r="O292" s="32">
        <v>55</v>
      </c>
      <c r="P292" s="6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06"/>
      <c r="R292" s="606"/>
      <c r="S292" s="606"/>
      <c r="T292" s="607"/>
      <c r="U292" s="34"/>
      <c r="V292" s="34"/>
      <c r="W292" s="35" t="s">
        <v>67</v>
      </c>
      <c r="X292" s="597">
        <v>0</v>
      </c>
      <c r="Y292" s="598">
        <f t="shared" si="42"/>
        <v>0</v>
      </c>
      <c r="Z292" s="36" t="str">
        <f>IFERROR(IF(Y292=0,"",ROUNDUP(Y292/H292,0)*0.00651),"")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4301011722</v>
      </c>
      <c r="D293" s="603">
        <v>4680115884205</v>
      </c>
      <c r="E293" s="604"/>
      <c r="F293" s="596">
        <v>0.4</v>
      </c>
      <c r="G293" s="32">
        <v>10</v>
      </c>
      <c r="H293" s="596">
        <v>4</v>
      </c>
      <c r="I293" s="596">
        <v>4.1900000000000004</v>
      </c>
      <c r="J293" s="32">
        <v>132</v>
      </c>
      <c r="K293" s="32" t="s">
        <v>129</v>
      </c>
      <c r="L293" s="32"/>
      <c r="M293" s="33" t="s">
        <v>121</v>
      </c>
      <c r="N293" s="33"/>
      <c r="O293" s="32">
        <v>55</v>
      </c>
      <c r="P293" s="65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06"/>
      <c r="R293" s="606"/>
      <c r="S293" s="606"/>
      <c r="T293" s="607"/>
      <c r="U293" s="34"/>
      <c r="V293" s="34"/>
      <c r="W293" s="35" t="s">
        <v>67</v>
      </c>
      <c r="X293" s="597">
        <v>0</v>
      </c>
      <c r="Y293" s="598">
        <f t="shared" si="42"/>
        <v>0</v>
      </c>
      <c r="Z293" s="36" t="str">
        <f>IFERROR(IF(Y293=0,"",ROUNDUP(Y293/H293,0)*0.00902),"")</f>
        <v/>
      </c>
      <c r="AA293" s="56"/>
      <c r="AB293" s="57"/>
      <c r="AC293" s="365" t="s">
        <v>333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x14ac:dyDescent="0.2">
      <c r="A294" s="617"/>
      <c r="B294" s="609"/>
      <c r="C294" s="609"/>
      <c r="D294" s="609"/>
      <c r="E294" s="609"/>
      <c r="F294" s="609"/>
      <c r="G294" s="609"/>
      <c r="H294" s="609"/>
      <c r="I294" s="609"/>
      <c r="J294" s="609"/>
      <c r="K294" s="609"/>
      <c r="L294" s="609"/>
      <c r="M294" s="609"/>
      <c r="N294" s="609"/>
      <c r="O294" s="618"/>
      <c r="P294" s="613" t="s">
        <v>72</v>
      </c>
      <c r="Q294" s="614"/>
      <c r="R294" s="614"/>
      <c r="S294" s="614"/>
      <c r="T294" s="614"/>
      <c r="U294" s="614"/>
      <c r="V294" s="615"/>
      <c r="W294" s="37" t="s">
        <v>73</v>
      </c>
      <c r="X294" s="599">
        <f>IFERROR(X287/H287,"0")+IFERROR(X288/H288,"0")+IFERROR(X289/H289,"0")+IFERROR(X290/H290,"0")+IFERROR(X291/H291,"0")+IFERROR(X292/H292,"0")+IFERROR(X293/H293,"0")</f>
        <v>0</v>
      </c>
      <c r="Y294" s="599">
        <f>IFERROR(Y287/H287,"0")+IFERROR(Y288/H288,"0")+IFERROR(Y289/H289,"0")+IFERROR(Y290/H290,"0")+IFERROR(Y291/H291,"0")+IFERROR(Y292/H292,"0")+IFERROR(Y293/H293,"0")</f>
        <v>0</v>
      </c>
      <c r="Z294" s="599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00"/>
      <c r="AB294" s="600"/>
      <c r="AC294" s="600"/>
    </row>
    <row r="295" spans="1:68" x14ac:dyDescent="0.2">
      <c r="A295" s="609"/>
      <c r="B295" s="609"/>
      <c r="C295" s="609"/>
      <c r="D295" s="609"/>
      <c r="E295" s="609"/>
      <c r="F295" s="609"/>
      <c r="G295" s="609"/>
      <c r="H295" s="609"/>
      <c r="I295" s="609"/>
      <c r="J295" s="609"/>
      <c r="K295" s="609"/>
      <c r="L295" s="609"/>
      <c r="M295" s="609"/>
      <c r="N295" s="609"/>
      <c r="O295" s="618"/>
      <c r="P295" s="613" t="s">
        <v>72</v>
      </c>
      <c r="Q295" s="614"/>
      <c r="R295" s="614"/>
      <c r="S295" s="614"/>
      <c r="T295" s="614"/>
      <c r="U295" s="614"/>
      <c r="V295" s="615"/>
      <c r="W295" s="37" t="s">
        <v>67</v>
      </c>
      <c r="X295" s="599">
        <f>IFERROR(SUM(X287:X293),"0")</f>
        <v>0</v>
      </c>
      <c r="Y295" s="599">
        <f>IFERROR(SUM(Y287:Y293),"0")</f>
        <v>0</v>
      </c>
      <c r="Z295" s="37"/>
      <c r="AA295" s="600"/>
      <c r="AB295" s="600"/>
      <c r="AC295" s="600"/>
    </row>
    <row r="296" spans="1:68" ht="14.25" customHeight="1" x14ac:dyDescent="0.25">
      <c r="A296" s="608" t="s">
        <v>152</v>
      </c>
      <c r="B296" s="609"/>
      <c r="C296" s="609"/>
      <c r="D296" s="609"/>
      <c r="E296" s="609"/>
      <c r="F296" s="609"/>
      <c r="G296" s="609"/>
      <c r="H296" s="609"/>
      <c r="I296" s="609"/>
      <c r="J296" s="609"/>
      <c r="K296" s="609"/>
      <c r="L296" s="609"/>
      <c r="M296" s="609"/>
      <c r="N296" s="609"/>
      <c r="O296" s="609"/>
      <c r="P296" s="609"/>
      <c r="Q296" s="609"/>
      <c r="R296" s="609"/>
      <c r="S296" s="609"/>
      <c r="T296" s="609"/>
      <c r="U296" s="609"/>
      <c r="V296" s="609"/>
      <c r="W296" s="609"/>
      <c r="X296" s="609"/>
      <c r="Y296" s="609"/>
      <c r="Z296" s="609"/>
      <c r="AA296" s="593"/>
      <c r="AB296" s="593"/>
      <c r="AC296" s="593"/>
    </row>
    <row r="297" spans="1:68" ht="27" customHeight="1" x14ac:dyDescent="0.25">
      <c r="A297" s="54" t="s">
        <v>491</v>
      </c>
      <c r="B297" s="54" t="s">
        <v>492</v>
      </c>
      <c r="C297" s="31">
        <v>4301020377</v>
      </c>
      <c r="D297" s="603">
        <v>4680115885981</v>
      </c>
      <c r="E297" s="604"/>
      <c r="F297" s="596">
        <v>0.33</v>
      </c>
      <c r="G297" s="32">
        <v>6</v>
      </c>
      <c r="H297" s="596">
        <v>1.98</v>
      </c>
      <c r="I297" s="596">
        <v>2.08</v>
      </c>
      <c r="J297" s="32">
        <v>234</v>
      </c>
      <c r="K297" s="32" t="s">
        <v>65</v>
      </c>
      <c r="L297" s="32"/>
      <c r="M297" s="33" t="s">
        <v>78</v>
      </c>
      <c r="N297" s="33"/>
      <c r="O297" s="32">
        <v>50</v>
      </c>
      <c r="P297" s="70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06"/>
      <c r="R297" s="606"/>
      <c r="S297" s="606"/>
      <c r="T297" s="607"/>
      <c r="U297" s="34"/>
      <c r="V297" s="34"/>
      <c r="W297" s="35" t="s">
        <v>67</v>
      </c>
      <c r="X297" s="597">
        <v>0</v>
      </c>
      <c r="Y297" s="598">
        <f>IFERROR(IF(X297="",0,CEILING((X297/$H297),1)*$H297),"")</f>
        <v>0</v>
      </c>
      <c r="Z297" s="36" t="str">
        <f>IFERROR(IF(Y297=0,"",ROUNDUP(Y297/H297,0)*0.00502),"")</f>
        <v/>
      </c>
      <c r="AA297" s="56"/>
      <c r="AB297" s="57"/>
      <c r="AC297" s="367" t="s">
        <v>493</v>
      </c>
      <c r="AG297" s="64"/>
      <c r="AJ297" s="68"/>
      <c r="AK297" s="68">
        <v>0</v>
      </c>
      <c r="BB297" s="36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x14ac:dyDescent="0.2">
      <c r="A298" s="617"/>
      <c r="B298" s="609"/>
      <c r="C298" s="609"/>
      <c r="D298" s="609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18"/>
      <c r="P298" s="613" t="s">
        <v>72</v>
      </c>
      <c r="Q298" s="614"/>
      <c r="R298" s="614"/>
      <c r="S298" s="614"/>
      <c r="T298" s="614"/>
      <c r="U298" s="614"/>
      <c r="V298" s="615"/>
      <c r="W298" s="37" t="s">
        <v>73</v>
      </c>
      <c r="X298" s="599">
        <f>IFERROR(X297/H297,"0")</f>
        <v>0</v>
      </c>
      <c r="Y298" s="599">
        <f>IFERROR(Y297/H297,"0")</f>
        <v>0</v>
      </c>
      <c r="Z298" s="599">
        <f>IFERROR(IF(Z297="",0,Z297),"0")</f>
        <v>0</v>
      </c>
      <c r="AA298" s="600"/>
      <c r="AB298" s="600"/>
      <c r="AC298" s="600"/>
    </row>
    <row r="299" spans="1:68" x14ac:dyDescent="0.2">
      <c r="A299" s="609"/>
      <c r="B299" s="609"/>
      <c r="C299" s="609"/>
      <c r="D299" s="609"/>
      <c r="E299" s="609"/>
      <c r="F299" s="609"/>
      <c r="G299" s="609"/>
      <c r="H299" s="609"/>
      <c r="I299" s="609"/>
      <c r="J299" s="609"/>
      <c r="K299" s="609"/>
      <c r="L299" s="609"/>
      <c r="M299" s="609"/>
      <c r="N299" s="609"/>
      <c r="O299" s="618"/>
      <c r="P299" s="613" t="s">
        <v>72</v>
      </c>
      <c r="Q299" s="614"/>
      <c r="R299" s="614"/>
      <c r="S299" s="614"/>
      <c r="T299" s="614"/>
      <c r="U299" s="614"/>
      <c r="V299" s="615"/>
      <c r="W299" s="37" t="s">
        <v>67</v>
      </c>
      <c r="X299" s="599">
        <f>IFERROR(SUM(X297:X297),"0")</f>
        <v>0</v>
      </c>
      <c r="Y299" s="599">
        <f>IFERROR(SUM(Y297:Y297),"0")</f>
        <v>0</v>
      </c>
      <c r="Z299" s="37"/>
      <c r="AA299" s="600"/>
      <c r="AB299" s="600"/>
      <c r="AC299" s="600"/>
    </row>
    <row r="300" spans="1:68" ht="14.25" customHeight="1" x14ac:dyDescent="0.25">
      <c r="A300" s="608" t="s">
        <v>494</v>
      </c>
      <c r="B300" s="609"/>
      <c r="C300" s="609"/>
      <c r="D300" s="609"/>
      <c r="E300" s="609"/>
      <c r="F300" s="609"/>
      <c r="G300" s="609"/>
      <c r="H300" s="609"/>
      <c r="I300" s="609"/>
      <c r="J300" s="609"/>
      <c r="K300" s="609"/>
      <c r="L300" s="609"/>
      <c r="M300" s="609"/>
      <c r="N300" s="609"/>
      <c r="O300" s="609"/>
      <c r="P300" s="609"/>
      <c r="Q300" s="609"/>
      <c r="R300" s="609"/>
      <c r="S300" s="609"/>
      <c r="T300" s="609"/>
      <c r="U300" s="609"/>
      <c r="V300" s="609"/>
      <c r="W300" s="609"/>
      <c r="X300" s="609"/>
      <c r="Y300" s="609"/>
      <c r="Z300" s="609"/>
      <c r="AA300" s="593"/>
      <c r="AB300" s="593"/>
      <c r="AC300" s="593"/>
    </row>
    <row r="301" spans="1:68" ht="27" customHeight="1" x14ac:dyDescent="0.25">
      <c r="A301" s="54" t="s">
        <v>495</v>
      </c>
      <c r="B301" s="54" t="s">
        <v>496</v>
      </c>
      <c r="C301" s="31">
        <v>4301040362</v>
      </c>
      <c r="D301" s="603">
        <v>4680115886803</v>
      </c>
      <c r="E301" s="604"/>
      <c r="F301" s="596">
        <v>0.12</v>
      </c>
      <c r="G301" s="32">
        <v>15</v>
      </c>
      <c r="H301" s="596">
        <v>1.8</v>
      </c>
      <c r="I301" s="596">
        <v>1.9750000000000001</v>
      </c>
      <c r="J301" s="32">
        <v>216</v>
      </c>
      <c r="K301" s="32" t="s">
        <v>314</v>
      </c>
      <c r="L301" s="32"/>
      <c r="M301" s="33" t="s">
        <v>315</v>
      </c>
      <c r="N301" s="33"/>
      <c r="O301" s="32">
        <v>45</v>
      </c>
      <c r="P301" s="7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06"/>
      <c r="R301" s="606"/>
      <c r="S301" s="606"/>
      <c r="T301" s="607"/>
      <c r="U301" s="34"/>
      <c r="V301" s="34"/>
      <c r="W301" s="35" t="s">
        <v>67</v>
      </c>
      <c r="X301" s="597">
        <v>4</v>
      </c>
      <c r="Y301" s="598">
        <f>IFERROR(IF(X301="",0,CEILING((X301/$H301),1)*$H301),"")</f>
        <v>5.4</v>
      </c>
      <c r="Z301" s="36">
        <f>IFERROR(IF(Y301=0,"",ROUNDUP(Y301/H301,0)*0.0059),"")</f>
        <v>1.77E-2</v>
      </c>
      <c r="AA301" s="56"/>
      <c r="AB301" s="57"/>
      <c r="AC301" s="369" t="s">
        <v>497</v>
      </c>
      <c r="AG301" s="64"/>
      <c r="AJ301" s="68"/>
      <c r="AK301" s="68">
        <v>0</v>
      </c>
      <c r="BB301" s="370" t="s">
        <v>1</v>
      </c>
      <c r="BM301" s="64">
        <f>IFERROR(X301*I301/H301,"0")</f>
        <v>4.3888888888888893</v>
      </c>
      <c r="BN301" s="64">
        <f>IFERROR(Y301*I301/H301,"0")</f>
        <v>5.9250000000000007</v>
      </c>
      <c r="BO301" s="64">
        <f>IFERROR(1/J301*(X301/H301),"0")</f>
        <v>1.0288065843621399E-2</v>
      </c>
      <c r="BP301" s="64">
        <f>IFERROR(1/J301*(Y301/H301),"0")</f>
        <v>1.3888888888888888E-2</v>
      </c>
    </row>
    <row r="302" spans="1:68" x14ac:dyDescent="0.2">
      <c r="A302" s="617"/>
      <c r="B302" s="609"/>
      <c r="C302" s="609"/>
      <c r="D302" s="609"/>
      <c r="E302" s="609"/>
      <c r="F302" s="609"/>
      <c r="G302" s="609"/>
      <c r="H302" s="609"/>
      <c r="I302" s="609"/>
      <c r="J302" s="609"/>
      <c r="K302" s="609"/>
      <c r="L302" s="609"/>
      <c r="M302" s="609"/>
      <c r="N302" s="609"/>
      <c r="O302" s="618"/>
      <c r="P302" s="613" t="s">
        <v>72</v>
      </c>
      <c r="Q302" s="614"/>
      <c r="R302" s="614"/>
      <c r="S302" s="614"/>
      <c r="T302" s="614"/>
      <c r="U302" s="614"/>
      <c r="V302" s="615"/>
      <c r="W302" s="37" t="s">
        <v>73</v>
      </c>
      <c r="X302" s="599">
        <f>IFERROR(X301/H301,"0")</f>
        <v>2.2222222222222223</v>
      </c>
      <c r="Y302" s="599">
        <f>IFERROR(Y301/H301,"0")</f>
        <v>3</v>
      </c>
      <c r="Z302" s="599">
        <f>IFERROR(IF(Z301="",0,Z301),"0")</f>
        <v>1.77E-2</v>
      </c>
      <c r="AA302" s="600"/>
      <c r="AB302" s="600"/>
      <c r="AC302" s="600"/>
    </row>
    <row r="303" spans="1:68" x14ac:dyDescent="0.2">
      <c r="A303" s="609"/>
      <c r="B303" s="609"/>
      <c r="C303" s="609"/>
      <c r="D303" s="609"/>
      <c r="E303" s="609"/>
      <c r="F303" s="609"/>
      <c r="G303" s="609"/>
      <c r="H303" s="609"/>
      <c r="I303" s="609"/>
      <c r="J303" s="609"/>
      <c r="K303" s="609"/>
      <c r="L303" s="609"/>
      <c r="M303" s="609"/>
      <c r="N303" s="609"/>
      <c r="O303" s="618"/>
      <c r="P303" s="613" t="s">
        <v>72</v>
      </c>
      <c r="Q303" s="614"/>
      <c r="R303" s="614"/>
      <c r="S303" s="614"/>
      <c r="T303" s="614"/>
      <c r="U303" s="614"/>
      <c r="V303" s="615"/>
      <c r="W303" s="37" t="s">
        <v>67</v>
      </c>
      <c r="X303" s="599">
        <f>IFERROR(SUM(X301:X301),"0")</f>
        <v>4</v>
      </c>
      <c r="Y303" s="599">
        <f>IFERROR(SUM(Y301:Y301),"0")</f>
        <v>5.4</v>
      </c>
      <c r="Z303" s="37"/>
      <c r="AA303" s="600"/>
      <c r="AB303" s="600"/>
      <c r="AC303" s="600"/>
    </row>
    <row r="304" spans="1:68" ht="14.25" customHeight="1" x14ac:dyDescent="0.25">
      <c r="A304" s="608" t="s">
        <v>320</v>
      </c>
      <c r="B304" s="609"/>
      <c r="C304" s="609"/>
      <c r="D304" s="609"/>
      <c r="E304" s="609"/>
      <c r="F304" s="609"/>
      <c r="G304" s="609"/>
      <c r="H304" s="609"/>
      <c r="I304" s="609"/>
      <c r="J304" s="609"/>
      <c r="K304" s="609"/>
      <c r="L304" s="609"/>
      <c r="M304" s="609"/>
      <c r="N304" s="609"/>
      <c r="O304" s="609"/>
      <c r="P304" s="609"/>
      <c r="Q304" s="609"/>
      <c r="R304" s="609"/>
      <c r="S304" s="609"/>
      <c r="T304" s="609"/>
      <c r="U304" s="609"/>
      <c r="V304" s="609"/>
      <c r="W304" s="609"/>
      <c r="X304" s="609"/>
      <c r="Y304" s="609"/>
      <c r="Z304" s="609"/>
      <c r="AA304" s="593"/>
      <c r="AB304" s="593"/>
      <c r="AC304" s="593"/>
    </row>
    <row r="305" spans="1:68" ht="27" customHeight="1" x14ac:dyDescent="0.25">
      <c r="A305" s="54" t="s">
        <v>498</v>
      </c>
      <c r="B305" s="54" t="s">
        <v>499</v>
      </c>
      <c r="C305" s="31">
        <v>4301041004</v>
      </c>
      <c r="D305" s="603">
        <v>4680115886704</v>
      </c>
      <c r="E305" s="604"/>
      <c r="F305" s="596">
        <v>5.5E-2</v>
      </c>
      <c r="G305" s="32">
        <v>18</v>
      </c>
      <c r="H305" s="596">
        <v>0.99</v>
      </c>
      <c r="I305" s="596">
        <v>1.18</v>
      </c>
      <c r="J305" s="32">
        <v>216</v>
      </c>
      <c r="K305" s="32" t="s">
        <v>314</v>
      </c>
      <c r="L305" s="32"/>
      <c r="M305" s="33" t="s">
        <v>315</v>
      </c>
      <c r="N305" s="33"/>
      <c r="O305" s="32">
        <v>90</v>
      </c>
      <c r="P305" s="8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06"/>
      <c r="R305" s="606"/>
      <c r="S305" s="606"/>
      <c r="T305" s="607"/>
      <c r="U305" s="34"/>
      <c r="V305" s="34"/>
      <c r="W305" s="35" t="s">
        <v>67</v>
      </c>
      <c r="X305" s="597">
        <v>0</v>
      </c>
      <c r="Y305" s="59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500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customHeight="1" x14ac:dyDescent="0.25">
      <c r="A306" s="54" t="s">
        <v>501</v>
      </c>
      <c r="B306" s="54" t="s">
        <v>502</v>
      </c>
      <c r="C306" s="31">
        <v>4301041008</v>
      </c>
      <c r="D306" s="603">
        <v>4680115886681</v>
      </c>
      <c r="E306" s="604"/>
      <c r="F306" s="596">
        <v>0.12</v>
      </c>
      <c r="G306" s="32">
        <v>15</v>
      </c>
      <c r="H306" s="596">
        <v>1.8</v>
      </c>
      <c r="I306" s="596">
        <v>1.9750000000000001</v>
      </c>
      <c r="J306" s="32">
        <v>216</v>
      </c>
      <c r="K306" s="32" t="s">
        <v>314</v>
      </c>
      <c r="L306" s="32"/>
      <c r="M306" s="33" t="s">
        <v>315</v>
      </c>
      <c r="N306" s="33"/>
      <c r="O306" s="32">
        <v>90</v>
      </c>
      <c r="P306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06"/>
      <c r="R306" s="606"/>
      <c r="S306" s="606"/>
      <c r="T306" s="607"/>
      <c r="U306" s="34"/>
      <c r="V306" s="34"/>
      <c r="W306" s="35" t="s">
        <v>67</v>
      </c>
      <c r="X306" s="597">
        <v>0</v>
      </c>
      <c r="Y306" s="598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3" t="s">
        <v>500</v>
      </c>
      <c r="AG306" s="64"/>
      <c r="AJ306" s="68"/>
      <c r="AK306" s="68">
        <v>0</v>
      </c>
      <c r="BB306" s="37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503</v>
      </c>
      <c r="B307" s="54" t="s">
        <v>504</v>
      </c>
      <c r="C307" s="31">
        <v>4301041007</v>
      </c>
      <c r="D307" s="603">
        <v>4680115886735</v>
      </c>
      <c r="E307" s="604"/>
      <c r="F307" s="596">
        <v>0.05</v>
      </c>
      <c r="G307" s="32">
        <v>18</v>
      </c>
      <c r="H307" s="596">
        <v>0.9</v>
      </c>
      <c r="I307" s="596">
        <v>1.0900000000000001</v>
      </c>
      <c r="J307" s="32">
        <v>216</v>
      </c>
      <c r="K307" s="32" t="s">
        <v>314</v>
      </c>
      <c r="L307" s="32"/>
      <c r="M307" s="33" t="s">
        <v>315</v>
      </c>
      <c r="N307" s="33"/>
      <c r="O307" s="32">
        <v>90</v>
      </c>
      <c r="P307" s="63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06"/>
      <c r="R307" s="606"/>
      <c r="S307" s="606"/>
      <c r="T307" s="607"/>
      <c r="U307" s="34"/>
      <c r="V307" s="34"/>
      <c r="W307" s="35" t="s">
        <v>67</v>
      </c>
      <c r="X307" s="597">
        <v>1</v>
      </c>
      <c r="Y307" s="598">
        <f>IFERROR(IF(X307="",0,CEILING((X307/$H307),1)*$H307),"")</f>
        <v>1.8</v>
      </c>
      <c r="Z307" s="36">
        <f>IFERROR(IF(Y307=0,"",ROUNDUP(Y307/H307,0)*0.0059),"")</f>
        <v>1.18E-2</v>
      </c>
      <c r="AA307" s="56"/>
      <c r="AB307" s="57"/>
      <c r="AC307" s="375" t="s">
        <v>500</v>
      </c>
      <c r="AG307" s="64"/>
      <c r="AJ307" s="68"/>
      <c r="AK307" s="68">
        <v>0</v>
      </c>
      <c r="BB307" s="376" t="s">
        <v>1</v>
      </c>
      <c r="BM307" s="64">
        <f>IFERROR(X307*I307/H307,"0")</f>
        <v>1.2111111111111112</v>
      </c>
      <c r="BN307" s="64">
        <f>IFERROR(Y307*I307/H307,"0")</f>
        <v>2.1800000000000002</v>
      </c>
      <c r="BO307" s="64">
        <f>IFERROR(1/J307*(X307/H307),"0")</f>
        <v>5.1440329218106996E-3</v>
      </c>
      <c r="BP307" s="64">
        <f>IFERROR(1/J307*(Y307/H307),"0")</f>
        <v>9.2592592592592587E-3</v>
      </c>
    </row>
    <row r="308" spans="1:68" x14ac:dyDescent="0.2">
      <c r="A308" s="617"/>
      <c r="B308" s="609"/>
      <c r="C308" s="609"/>
      <c r="D308" s="609"/>
      <c r="E308" s="609"/>
      <c r="F308" s="609"/>
      <c r="G308" s="609"/>
      <c r="H308" s="609"/>
      <c r="I308" s="609"/>
      <c r="J308" s="609"/>
      <c r="K308" s="609"/>
      <c r="L308" s="609"/>
      <c r="M308" s="609"/>
      <c r="N308" s="609"/>
      <c r="O308" s="618"/>
      <c r="P308" s="613" t="s">
        <v>72</v>
      </c>
      <c r="Q308" s="614"/>
      <c r="R308" s="614"/>
      <c r="S308" s="614"/>
      <c r="T308" s="614"/>
      <c r="U308" s="614"/>
      <c r="V308" s="615"/>
      <c r="W308" s="37" t="s">
        <v>73</v>
      </c>
      <c r="X308" s="599">
        <f>IFERROR(X305/H305,"0")+IFERROR(X306/H306,"0")+IFERROR(X307/H307,"0")</f>
        <v>1.1111111111111112</v>
      </c>
      <c r="Y308" s="599">
        <f>IFERROR(Y305/H305,"0")+IFERROR(Y306/H306,"0")+IFERROR(Y307/H307,"0")</f>
        <v>2</v>
      </c>
      <c r="Z308" s="599">
        <f>IFERROR(IF(Z305="",0,Z305),"0")+IFERROR(IF(Z306="",0,Z306),"0")+IFERROR(IF(Z307="",0,Z307),"0")</f>
        <v>1.18E-2</v>
      </c>
      <c r="AA308" s="600"/>
      <c r="AB308" s="600"/>
      <c r="AC308" s="600"/>
    </row>
    <row r="309" spans="1:68" x14ac:dyDescent="0.2">
      <c r="A309" s="609"/>
      <c r="B309" s="609"/>
      <c r="C309" s="609"/>
      <c r="D309" s="609"/>
      <c r="E309" s="609"/>
      <c r="F309" s="609"/>
      <c r="G309" s="609"/>
      <c r="H309" s="609"/>
      <c r="I309" s="609"/>
      <c r="J309" s="609"/>
      <c r="K309" s="609"/>
      <c r="L309" s="609"/>
      <c r="M309" s="609"/>
      <c r="N309" s="609"/>
      <c r="O309" s="618"/>
      <c r="P309" s="613" t="s">
        <v>72</v>
      </c>
      <c r="Q309" s="614"/>
      <c r="R309" s="614"/>
      <c r="S309" s="614"/>
      <c r="T309" s="614"/>
      <c r="U309" s="614"/>
      <c r="V309" s="615"/>
      <c r="W309" s="37" t="s">
        <v>67</v>
      </c>
      <c r="X309" s="599">
        <f>IFERROR(SUM(X305:X307),"0")</f>
        <v>1</v>
      </c>
      <c r="Y309" s="599">
        <f>IFERROR(SUM(Y305:Y307),"0")</f>
        <v>1.8</v>
      </c>
      <c r="Z309" s="37"/>
      <c r="AA309" s="600"/>
      <c r="AB309" s="600"/>
      <c r="AC309" s="600"/>
    </row>
    <row r="310" spans="1:68" ht="16.5" customHeight="1" x14ac:dyDescent="0.25">
      <c r="A310" s="612" t="s">
        <v>505</v>
      </c>
      <c r="B310" s="609"/>
      <c r="C310" s="609"/>
      <c r="D310" s="609"/>
      <c r="E310" s="609"/>
      <c r="F310" s="609"/>
      <c r="G310" s="609"/>
      <c r="H310" s="609"/>
      <c r="I310" s="609"/>
      <c r="J310" s="609"/>
      <c r="K310" s="609"/>
      <c r="L310" s="609"/>
      <c r="M310" s="609"/>
      <c r="N310" s="609"/>
      <c r="O310" s="609"/>
      <c r="P310" s="609"/>
      <c r="Q310" s="609"/>
      <c r="R310" s="609"/>
      <c r="S310" s="609"/>
      <c r="T310" s="609"/>
      <c r="U310" s="609"/>
      <c r="V310" s="609"/>
      <c r="W310" s="609"/>
      <c r="X310" s="609"/>
      <c r="Y310" s="609"/>
      <c r="Z310" s="609"/>
      <c r="AA310" s="592"/>
      <c r="AB310" s="592"/>
      <c r="AC310" s="592"/>
    </row>
    <row r="311" spans="1:68" ht="14.25" customHeight="1" x14ac:dyDescent="0.25">
      <c r="A311" s="608" t="s">
        <v>117</v>
      </c>
      <c r="B311" s="609"/>
      <c r="C311" s="609"/>
      <c r="D311" s="609"/>
      <c r="E311" s="609"/>
      <c r="F311" s="609"/>
      <c r="G311" s="609"/>
      <c r="H311" s="609"/>
      <c r="I311" s="609"/>
      <c r="J311" s="609"/>
      <c r="K311" s="609"/>
      <c r="L311" s="609"/>
      <c r="M311" s="609"/>
      <c r="N311" s="609"/>
      <c r="O311" s="609"/>
      <c r="P311" s="609"/>
      <c r="Q311" s="609"/>
      <c r="R311" s="609"/>
      <c r="S311" s="609"/>
      <c r="T311" s="609"/>
      <c r="U311" s="609"/>
      <c r="V311" s="609"/>
      <c r="W311" s="609"/>
      <c r="X311" s="609"/>
      <c r="Y311" s="609"/>
      <c r="Z311" s="609"/>
      <c r="AA311" s="593"/>
      <c r="AB311" s="593"/>
      <c r="AC311" s="593"/>
    </row>
    <row r="312" spans="1:68" ht="27" customHeight="1" x14ac:dyDescent="0.25">
      <c r="A312" s="54" t="s">
        <v>506</v>
      </c>
      <c r="B312" s="54" t="s">
        <v>507</v>
      </c>
      <c r="C312" s="31">
        <v>4301011855</v>
      </c>
      <c r="D312" s="603">
        <v>4680115885837</v>
      </c>
      <c r="E312" s="604"/>
      <c r="F312" s="596">
        <v>1.35</v>
      </c>
      <c r="G312" s="32">
        <v>8</v>
      </c>
      <c r="H312" s="596">
        <v>10.8</v>
      </c>
      <c r="I312" s="596">
        <v>11.21</v>
      </c>
      <c r="J312" s="32">
        <v>64</v>
      </c>
      <c r="K312" s="32" t="s">
        <v>120</v>
      </c>
      <c r="L312" s="32"/>
      <c r="M312" s="33" t="s">
        <v>121</v>
      </c>
      <c r="N312" s="33"/>
      <c r="O312" s="32">
        <v>55</v>
      </c>
      <c r="P312" s="8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06"/>
      <c r="R312" s="606"/>
      <c r="S312" s="606"/>
      <c r="T312" s="607"/>
      <c r="U312" s="34"/>
      <c r="V312" s="34"/>
      <c r="W312" s="35" t="s">
        <v>67</v>
      </c>
      <c r="X312" s="597">
        <v>0</v>
      </c>
      <c r="Y312" s="59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77" t="s">
        <v>508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customHeight="1" x14ac:dyDescent="0.25">
      <c r="A313" s="54" t="s">
        <v>509</v>
      </c>
      <c r="B313" s="54" t="s">
        <v>510</v>
      </c>
      <c r="C313" s="31">
        <v>4301012234</v>
      </c>
      <c r="D313" s="603">
        <v>4680115887237</v>
      </c>
      <c r="E313" s="604"/>
      <c r="F313" s="596">
        <v>1.35</v>
      </c>
      <c r="G313" s="32">
        <v>8</v>
      </c>
      <c r="H313" s="596">
        <v>10.8</v>
      </c>
      <c r="I313" s="596">
        <v>11.21</v>
      </c>
      <c r="J313" s="32">
        <v>64</v>
      </c>
      <c r="K313" s="32" t="s">
        <v>120</v>
      </c>
      <c r="L313" s="32"/>
      <c r="M313" s="33" t="s">
        <v>121</v>
      </c>
      <c r="N313" s="33"/>
      <c r="O313" s="32">
        <v>55</v>
      </c>
      <c r="P313" s="6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06"/>
      <c r="R313" s="606"/>
      <c r="S313" s="606"/>
      <c r="T313" s="607"/>
      <c r="U313" s="34"/>
      <c r="V313" s="34"/>
      <c r="W313" s="35" t="s">
        <v>67</v>
      </c>
      <c r="X313" s="597">
        <v>0</v>
      </c>
      <c r="Y313" s="59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511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512</v>
      </c>
      <c r="B314" s="54" t="s">
        <v>513</v>
      </c>
      <c r="C314" s="31">
        <v>4301011850</v>
      </c>
      <c r="D314" s="603">
        <v>4680115885806</v>
      </c>
      <c r="E314" s="604"/>
      <c r="F314" s="596">
        <v>1.35</v>
      </c>
      <c r="G314" s="32">
        <v>8</v>
      </c>
      <c r="H314" s="596">
        <v>10.8</v>
      </c>
      <c r="I314" s="596">
        <v>11.21</v>
      </c>
      <c r="J314" s="32">
        <v>64</v>
      </c>
      <c r="K314" s="32" t="s">
        <v>120</v>
      </c>
      <c r="L314" s="32"/>
      <c r="M314" s="33" t="s">
        <v>121</v>
      </c>
      <c r="N314" s="33"/>
      <c r="O314" s="32">
        <v>55</v>
      </c>
      <c r="P314" s="7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06"/>
      <c r="R314" s="606"/>
      <c r="S314" s="606"/>
      <c r="T314" s="607"/>
      <c r="U314" s="34"/>
      <c r="V314" s="34"/>
      <c r="W314" s="35" t="s">
        <v>67</v>
      </c>
      <c r="X314" s="597">
        <v>0</v>
      </c>
      <c r="Y314" s="59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81" t="s">
        <v>514</v>
      </c>
      <c r="AG314" s="64"/>
      <c r="AJ314" s="68"/>
      <c r="AK314" s="68">
        <v>0</v>
      </c>
      <c r="BB314" s="38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515</v>
      </c>
      <c r="B315" s="54" t="s">
        <v>516</v>
      </c>
      <c r="C315" s="31">
        <v>4301011852</v>
      </c>
      <c r="D315" s="603">
        <v>4680115885844</v>
      </c>
      <c r="E315" s="604"/>
      <c r="F315" s="596">
        <v>0.4</v>
      </c>
      <c r="G315" s="32">
        <v>10</v>
      </c>
      <c r="H315" s="596">
        <v>4</v>
      </c>
      <c r="I315" s="596">
        <v>4.1900000000000004</v>
      </c>
      <c r="J315" s="32">
        <v>132</v>
      </c>
      <c r="K315" s="32" t="s">
        <v>129</v>
      </c>
      <c r="L315" s="32"/>
      <c r="M315" s="33" t="s">
        <v>121</v>
      </c>
      <c r="N315" s="33"/>
      <c r="O315" s="32">
        <v>55</v>
      </c>
      <c r="P315" s="94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06"/>
      <c r="R315" s="606"/>
      <c r="S315" s="606"/>
      <c r="T315" s="607"/>
      <c r="U315" s="34"/>
      <c r="V315" s="34"/>
      <c r="W315" s="35" t="s">
        <v>67</v>
      </c>
      <c r="X315" s="597">
        <v>0</v>
      </c>
      <c r="Y315" s="598">
        <f>IFERROR(IF(X315="",0,CEILING((X315/$H315),1)*$H315),"")</f>
        <v>0</v>
      </c>
      <c r="Z315" s="36" t="str">
        <f>IFERROR(IF(Y315=0,"",ROUNDUP(Y315/H315,0)*0.00902),"")</f>
        <v/>
      </c>
      <c r="AA315" s="56"/>
      <c r="AB315" s="57"/>
      <c r="AC315" s="383" t="s">
        <v>517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37.5" customHeight="1" x14ac:dyDescent="0.25">
      <c r="A316" s="54" t="s">
        <v>518</v>
      </c>
      <c r="B316" s="54" t="s">
        <v>519</v>
      </c>
      <c r="C316" s="31">
        <v>4301011851</v>
      </c>
      <c r="D316" s="603">
        <v>4680115885820</v>
      </c>
      <c r="E316" s="604"/>
      <c r="F316" s="596">
        <v>0.4</v>
      </c>
      <c r="G316" s="32">
        <v>10</v>
      </c>
      <c r="H316" s="596">
        <v>4</v>
      </c>
      <c r="I316" s="596">
        <v>4.1900000000000004</v>
      </c>
      <c r="J316" s="32">
        <v>132</v>
      </c>
      <c r="K316" s="32" t="s">
        <v>129</v>
      </c>
      <c r="L316" s="32"/>
      <c r="M316" s="33" t="s">
        <v>121</v>
      </c>
      <c r="N316" s="33"/>
      <c r="O316" s="32">
        <v>55</v>
      </c>
      <c r="P316" s="9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06"/>
      <c r="R316" s="606"/>
      <c r="S316" s="606"/>
      <c r="T316" s="607"/>
      <c r="U316" s="34"/>
      <c r="V316" s="34"/>
      <c r="W316" s="35" t="s">
        <v>67</v>
      </c>
      <c r="X316" s="597">
        <v>0</v>
      </c>
      <c r="Y316" s="598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617"/>
      <c r="B317" s="609"/>
      <c r="C317" s="609"/>
      <c r="D317" s="609"/>
      <c r="E317" s="609"/>
      <c r="F317" s="609"/>
      <c r="G317" s="609"/>
      <c r="H317" s="609"/>
      <c r="I317" s="609"/>
      <c r="J317" s="609"/>
      <c r="K317" s="609"/>
      <c r="L317" s="609"/>
      <c r="M317" s="609"/>
      <c r="N317" s="609"/>
      <c r="O317" s="618"/>
      <c r="P317" s="613" t="s">
        <v>72</v>
      </c>
      <c r="Q317" s="614"/>
      <c r="R317" s="614"/>
      <c r="S317" s="614"/>
      <c r="T317" s="614"/>
      <c r="U317" s="614"/>
      <c r="V317" s="615"/>
      <c r="W317" s="37" t="s">
        <v>73</v>
      </c>
      <c r="X317" s="599">
        <f>IFERROR(X312/H312,"0")+IFERROR(X313/H313,"0")+IFERROR(X314/H314,"0")+IFERROR(X315/H315,"0")+IFERROR(X316/H316,"0")</f>
        <v>0</v>
      </c>
      <c r="Y317" s="599">
        <f>IFERROR(Y312/H312,"0")+IFERROR(Y313/H313,"0")+IFERROR(Y314/H314,"0")+IFERROR(Y315/H315,"0")+IFERROR(Y316/H316,"0")</f>
        <v>0</v>
      </c>
      <c r="Z317" s="599">
        <f>IFERROR(IF(Z312="",0,Z312),"0")+IFERROR(IF(Z313="",0,Z313),"0")+IFERROR(IF(Z314="",0,Z314),"0")+IFERROR(IF(Z315="",0,Z315),"0")+IFERROR(IF(Z316="",0,Z316),"0")</f>
        <v>0</v>
      </c>
      <c r="AA317" s="600"/>
      <c r="AB317" s="600"/>
      <c r="AC317" s="600"/>
    </row>
    <row r="318" spans="1:68" x14ac:dyDescent="0.2">
      <c r="A318" s="609"/>
      <c r="B318" s="609"/>
      <c r="C318" s="609"/>
      <c r="D318" s="609"/>
      <c r="E318" s="609"/>
      <c r="F318" s="609"/>
      <c r="G318" s="609"/>
      <c r="H318" s="609"/>
      <c r="I318" s="609"/>
      <c r="J318" s="609"/>
      <c r="K318" s="609"/>
      <c r="L318" s="609"/>
      <c r="M318" s="609"/>
      <c r="N318" s="609"/>
      <c r="O318" s="618"/>
      <c r="P318" s="613" t="s">
        <v>72</v>
      </c>
      <c r="Q318" s="614"/>
      <c r="R318" s="614"/>
      <c r="S318" s="614"/>
      <c r="T318" s="614"/>
      <c r="U318" s="614"/>
      <c r="V318" s="615"/>
      <c r="W318" s="37" t="s">
        <v>67</v>
      </c>
      <c r="X318" s="599">
        <f>IFERROR(SUM(X312:X316),"0")</f>
        <v>0</v>
      </c>
      <c r="Y318" s="599">
        <f>IFERROR(SUM(Y312:Y316),"0")</f>
        <v>0</v>
      </c>
      <c r="Z318" s="37"/>
      <c r="AA318" s="600"/>
      <c r="AB318" s="600"/>
      <c r="AC318" s="600"/>
    </row>
    <row r="319" spans="1:68" ht="16.5" customHeight="1" x14ac:dyDescent="0.25">
      <c r="A319" s="612" t="s">
        <v>521</v>
      </c>
      <c r="B319" s="609"/>
      <c r="C319" s="609"/>
      <c r="D319" s="609"/>
      <c r="E319" s="609"/>
      <c r="F319" s="609"/>
      <c r="G319" s="609"/>
      <c r="H319" s="609"/>
      <c r="I319" s="609"/>
      <c r="J319" s="609"/>
      <c r="K319" s="609"/>
      <c r="L319" s="609"/>
      <c r="M319" s="609"/>
      <c r="N319" s="609"/>
      <c r="O319" s="609"/>
      <c r="P319" s="609"/>
      <c r="Q319" s="609"/>
      <c r="R319" s="609"/>
      <c r="S319" s="609"/>
      <c r="T319" s="609"/>
      <c r="U319" s="609"/>
      <c r="V319" s="609"/>
      <c r="W319" s="609"/>
      <c r="X319" s="609"/>
      <c r="Y319" s="609"/>
      <c r="Z319" s="609"/>
      <c r="AA319" s="592"/>
      <c r="AB319" s="592"/>
      <c r="AC319" s="592"/>
    </row>
    <row r="320" spans="1:68" ht="14.25" customHeight="1" x14ac:dyDescent="0.25">
      <c r="A320" s="608" t="s">
        <v>74</v>
      </c>
      <c r="B320" s="609"/>
      <c r="C320" s="609"/>
      <c r="D320" s="609"/>
      <c r="E320" s="609"/>
      <c r="F320" s="609"/>
      <c r="G320" s="609"/>
      <c r="H320" s="609"/>
      <c r="I320" s="609"/>
      <c r="J320" s="609"/>
      <c r="K320" s="609"/>
      <c r="L320" s="609"/>
      <c r="M320" s="609"/>
      <c r="N320" s="609"/>
      <c r="O320" s="609"/>
      <c r="P320" s="609"/>
      <c r="Q320" s="609"/>
      <c r="R320" s="609"/>
      <c r="S320" s="609"/>
      <c r="T320" s="609"/>
      <c r="U320" s="609"/>
      <c r="V320" s="609"/>
      <c r="W320" s="609"/>
      <c r="X320" s="609"/>
      <c r="Y320" s="609"/>
      <c r="Z320" s="609"/>
      <c r="AA320" s="593"/>
      <c r="AB320" s="593"/>
      <c r="AC320" s="593"/>
    </row>
    <row r="321" spans="1:68" ht="27" customHeight="1" x14ac:dyDescent="0.25">
      <c r="A321" s="54" t="s">
        <v>522</v>
      </c>
      <c r="B321" s="54" t="s">
        <v>523</v>
      </c>
      <c r="C321" s="31">
        <v>4301051893</v>
      </c>
      <c r="D321" s="603">
        <v>4680115886186</v>
      </c>
      <c r="E321" s="604"/>
      <c r="F321" s="596">
        <v>0.3</v>
      </c>
      <c r="G321" s="32">
        <v>6</v>
      </c>
      <c r="H321" s="596">
        <v>1.8</v>
      </c>
      <c r="I321" s="596">
        <v>1.98</v>
      </c>
      <c r="J321" s="32">
        <v>182</v>
      </c>
      <c r="K321" s="32" t="s">
        <v>77</v>
      </c>
      <c r="L321" s="32"/>
      <c r="M321" s="33" t="s">
        <v>78</v>
      </c>
      <c r="N321" s="33"/>
      <c r="O321" s="32">
        <v>45</v>
      </c>
      <c r="P321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06"/>
      <c r="R321" s="606"/>
      <c r="S321" s="606"/>
      <c r="T321" s="607"/>
      <c r="U321" s="34"/>
      <c r="V321" s="34"/>
      <c r="W321" s="35" t="s">
        <v>67</v>
      </c>
      <c r="X321" s="597">
        <v>0</v>
      </c>
      <c r="Y321" s="598">
        <f>IFERROR(IF(X321="",0,CEILING((X321/$H321),1)*$H321),"")</f>
        <v>0</v>
      </c>
      <c r="Z321" s="36" t="str">
        <f>IFERROR(IF(Y321=0,"",ROUNDUP(Y321/H321,0)*0.00651),"")</f>
        <v/>
      </c>
      <c r="AA321" s="56"/>
      <c r="AB321" s="57"/>
      <c r="AC321" s="387" t="s">
        <v>524</v>
      </c>
      <c r="AG321" s="64"/>
      <c r="AJ321" s="68"/>
      <c r="AK321" s="68">
        <v>0</v>
      </c>
      <c r="BB321" s="38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525</v>
      </c>
      <c r="B322" s="54" t="s">
        <v>526</v>
      </c>
      <c r="C322" s="31">
        <v>4301051795</v>
      </c>
      <c r="D322" s="603">
        <v>4680115881228</v>
      </c>
      <c r="E322" s="604"/>
      <c r="F322" s="596">
        <v>0.4</v>
      </c>
      <c r="G322" s="32">
        <v>6</v>
      </c>
      <c r="H322" s="596">
        <v>2.4</v>
      </c>
      <c r="I322" s="596">
        <v>2.6520000000000001</v>
      </c>
      <c r="J322" s="32">
        <v>182</v>
      </c>
      <c r="K322" s="32" t="s">
        <v>77</v>
      </c>
      <c r="L322" s="32"/>
      <c r="M322" s="33" t="s">
        <v>84</v>
      </c>
      <c r="N322" s="33"/>
      <c r="O322" s="32">
        <v>40</v>
      </c>
      <c r="P322" s="7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06"/>
      <c r="R322" s="606"/>
      <c r="S322" s="606"/>
      <c r="T322" s="607"/>
      <c r="U322" s="34"/>
      <c r="V322" s="34"/>
      <c r="W322" s="35" t="s">
        <v>67</v>
      </c>
      <c r="X322" s="597">
        <v>0</v>
      </c>
      <c r="Y322" s="598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89" t="s">
        <v>527</v>
      </c>
      <c r="AG322" s="64"/>
      <c r="AJ322" s="68"/>
      <c r="AK322" s="68">
        <v>0</v>
      </c>
      <c r="BB322" s="39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528</v>
      </c>
      <c r="B323" s="54" t="s">
        <v>529</v>
      </c>
      <c r="C323" s="31">
        <v>4301051388</v>
      </c>
      <c r="D323" s="603">
        <v>4680115881211</v>
      </c>
      <c r="E323" s="604"/>
      <c r="F323" s="596">
        <v>0.4</v>
      </c>
      <c r="G323" s="32">
        <v>6</v>
      </c>
      <c r="H323" s="596">
        <v>2.4</v>
      </c>
      <c r="I323" s="596">
        <v>2.58</v>
      </c>
      <c r="J323" s="32">
        <v>182</v>
      </c>
      <c r="K323" s="32" t="s">
        <v>77</v>
      </c>
      <c r="L323" s="32"/>
      <c r="M323" s="33" t="s">
        <v>78</v>
      </c>
      <c r="N323" s="33"/>
      <c r="O323" s="32">
        <v>45</v>
      </c>
      <c r="P323" s="7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06"/>
      <c r="R323" s="606"/>
      <c r="S323" s="606"/>
      <c r="T323" s="607"/>
      <c r="U323" s="34"/>
      <c r="V323" s="34"/>
      <c r="W323" s="35" t="s">
        <v>67</v>
      </c>
      <c r="X323" s="597">
        <v>31</v>
      </c>
      <c r="Y323" s="598">
        <f>IFERROR(IF(X323="",0,CEILING((X323/$H323),1)*$H323),"")</f>
        <v>31.2</v>
      </c>
      <c r="Z323" s="36">
        <f>IFERROR(IF(Y323=0,"",ROUNDUP(Y323/H323,0)*0.00651),"")</f>
        <v>8.4629999999999997E-2</v>
      </c>
      <c r="AA323" s="56"/>
      <c r="AB323" s="57"/>
      <c r="AC323" s="391" t="s">
        <v>524</v>
      </c>
      <c r="AG323" s="64"/>
      <c r="AJ323" s="68"/>
      <c r="AK323" s="68">
        <v>0</v>
      </c>
      <c r="BB323" s="392" t="s">
        <v>1</v>
      </c>
      <c r="BM323" s="64">
        <f>IFERROR(X323*I323/H323,"0")</f>
        <v>33.325000000000003</v>
      </c>
      <c r="BN323" s="64">
        <f>IFERROR(Y323*I323/H323,"0")</f>
        <v>33.54</v>
      </c>
      <c r="BO323" s="64">
        <f>IFERROR(1/J323*(X323/H323),"0")</f>
        <v>7.0970695970695982E-2</v>
      </c>
      <c r="BP323" s="64">
        <f>IFERROR(1/J323*(Y323/H323),"0")</f>
        <v>7.1428571428571438E-2</v>
      </c>
    </row>
    <row r="324" spans="1:68" x14ac:dyDescent="0.2">
      <c r="A324" s="617"/>
      <c r="B324" s="609"/>
      <c r="C324" s="609"/>
      <c r="D324" s="609"/>
      <c r="E324" s="609"/>
      <c r="F324" s="609"/>
      <c r="G324" s="609"/>
      <c r="H324" s="609"/>
      <c r="I324" s="609"/>
      <c r="J324" s="609"/>
      <c r="K324" s="609"/>
      <c r="L324" s="609"/>
      <c r="M324" s="609"/>
      <c r="N324" s="609"/>
      <c r="O324" s="618"/>
      <c r="P324" s="613" t="s">
        <v>72</v>
      </c>
      <c r="Q324" s="614"/>
      <c r="R324" s="614"/>
      <c r="S324" s="614"/>
      <c r="T324" s="614"/>
      <c r="U324" s="614"/>
      <c r="V324" s="615"/>
      <c r="W324" s="37" t="s">
        <v>73</v>
      </c>
      <c r="X324" s="599">
        <f>IFERROR(X321/H321,"0")+IFERROR(X322/H322,"0")+IFERROR(X323/H323,"0")</f>
        <v>12.916666666666668</v>
      </c>
      <c r="Y324" s="599">
        <f>IFERROR(Y321/H321,"0")+IFERROR(Y322/H322,"0")+IFERROR(Y323/H323,"0")</f>
        <v>13</v>
      </c>
      <c r="Z324" s="599">
        <f>IFERROR(IF(Z321="",0,Z321),"0")+IFERROR(IF(Z322="",0,Z322),"0")+IFERROR(IF(Z323="",0,Z323),"0")</f>
        <v>8.4629999999999997E-2</v>
      </c>
      <c r="AA324" s="600"/>
      <c r="AB324" s="600"/>
      <c r="AC324" s="600"/>
    </row>
    <row r="325" spans="1:68" x14ac:dyDescent="0.2">
      <c r="A325" s="609"/>
      <c r="B325" s="609"/>
      <c r="C325" s="609"/>
      <c r="D325" s="609"/>
      <c r="E325" s="609"/>
      <c r="F325" s="609"/>
      <c r="G325" s="609"/>
      <c r="H325" s="609"/>
      <c r="I325" s="609"/>
      <c r="J325" s="609"/>
      <c r="K325" s="609"/>
      <c r="L325" s="609"/>
      <c r="M325" s="609"/>
      <c r="N325" s="609"/>
      <c r="O325" s="618"/>
      <c r="P325" s="613" t="s">
        <v>72</v>
      </c>
      <c r="Q325" s="614"/>
      <c r="R325" s="614"/>
      <c r="S325" s="614"/>
      <c r="T325" s="614"/>
      <c r="U325" s="614"/>
      <c r="V325" s="615"/>
      <c r="W325" s="37" t="s">
        <v>67</v>
      </c>
      <c r="X325" s="599">
        <f>IFERROR(SUM(X321:X323),"0")</f>
        <v>31</v>
      </c>
      <c r="Y325" s="599">
        <f>IFERROR(SUM(Y321:Y323),"0")</f>
        <v>31.2</v>
      </c>
      <c r="Z325" s="37"/>
      <c r="AA325" s="600"/>
      <c r="AB325" s="600"/>
      <c r="AC325" s="600"/>
    </row>
    <row r="326" spans="1:68" ht="16.5" customHeight="1" x14ac:dyDescent="0.25">
      <c r="A326" s="612" t="s">
        <v>530</v>
      </c>
      <c r="B326" s="609"/>
      <c r="C326" s="609"/>
      <c r="D326" s="609"/>
      <c r="E326" s="609"/>
      <c r="F326" s="609"/>
      <c r="G326" s="609"/>
      <c r="H326" s="609"/>
      <c r="I326" s="609"/>
      <c r="J326" s="609"/>
      <c r="K326" s="609"/>
      <c r="L326" s="609"/>
      <c r="M326" s="609"/>
      <c r="N326" s="609"/>
      <c r="O326" s="609"/>
      <c r="P326" s="609"/>
      <c r="Q326" s="609"/>
      <c r="R326" s="609"/>
      <c r="S326" s="609"/>
      <c r="T326" s="609"/>
      <c r="U326" s="609"/>
      <c r="V326" s="609"/>
      <c r="W326" s="609"/>
      <c r="X326" s="609"/>
      <c r="Y326" s="609"/>
      <c r="Z326" s="609"/>
      <c r="AA326" s="592"/>
      <c r="AB326" s="592"/>
      <c r="AC326" s="592"/>
    </row>
    <row r="327" spans="1:68" ht="14.25" customHeight="1" x14ac:dyDescent="0.25">
      <c r="A327" s="608" t="s">
        <v>62</v>
      </c>
      <c r="B327" s="609"/>
      <c r="C327" s="609"/>
      <c r="D327" s="609"/>
      <c r="E327" s="609"/>
      <c r="F327" s="609"/>
      <c r="G327" s="609"/>
      <c r="H327" s="609"/>
      <c r="I327" s="609"/>
      <c r="J327" s="609"/>
      <c r="K327" s="609"/>
      <c r="L327" s="609"/>
      <c r="M327" s="609"/>
      <c r="N327" s="609"/>
      <c r="O327" s="609"/>
      <c r="P327" s="609"/>
      <c r="Q327" s="609"/>
      <c r="R327" s="609"/>
      <c r="S327" s="609"/>
      <c r="T327" s="609"/>
      <c r="U327" s="609"/>
      <c r="V327" s="609"/>
      <c r="W327" s="609"/>
      <c r="X327" s="609"/>
      <c r="Y327" s="609"/>
      <c r="Z327" s="609"/>
      <c r="AA327" s="593"/>
      <c r="AB327" s="593"/>
      <c r="AC327" s="593"/>
    </row>
    <row r="328" spans="1:68" ht="27" customHeight="1" x14ac:dyDescent="0.25">
      <c r="A328" s="54" t="s">
        <v>531</v>
      </c>
      <c r="B328" s="54" t="s">
        <v>532</v>
      </c>
      <c r="C328" s="31">
        <v>4301031445</v>
      </c>
      <c r="D328" s="603">
        <v>4680115888319</v>
      </c>
      <c r="E328" s="604"/>
      <c r="F328" s="596">
        <v>0.35</v>
      </c>
      <c r="G328" s="32">
        <v>6</v>
      </c>
      <c r="H328" s="596">
        <v>2.1</v>
      </c>
      <c r="I328" s="596">
        <v>2.23</v>
      </c>
      <c r="J328" s="32">
        <v>234</v>
      </c>
      <c r="K328" s="32" t="s">
        <v>65</v>
      </c>
      <c r="L328" s="32"/>
      <c r="M328" s="33" t="s">
        <v>66</v>
      </c>
      <c r="N328" s="33"/>
      <c r="O328" s="32">
        <v>45</v>
      </c>
      <c r="P328" s="9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06"/>
      <c r="R328" s="606"/>
      <c r="S328" s="606"/>
      <c r="T328" s="607"/>
      <c r="U328" s="34"/>
      <c r="V328" s="34"/>
      <c r="W328" s="35" t="s">
        <v>67</v>
      </c>
      <c r="X328" s="597">
        <v>0</v>
      </c>
      <c r="Y328" s="598">
        <f>IFERROR(IF(X328="",0,CEILING((X328/$H328),1)*$H328),"")</f>
        <v>0</v>
      </c>
      <c r="Z328" s="36" t="str">
        <f>IFERROR(IF(Y328=0,"",ROUNDUP(Y328/H328,0)*0.00502),"")</f>
        <v/>
      </c>
      <c r="AA328" s="56"/>
      <c r="AB328" s="57"/>
      <c r="AC328" s="393" t="s">
        <v>365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4301031502</v>
      </c>
      <c r="D329" s="603">
        <v>4680115884700</v>
      </c>
      <c r="E329" s="604"/>
      <c r="F329" s="596">
        <v>0.57999999999999996</v>
      </c>
      <c r="G329" s="32">
        <v>4</v>
      </c>
      <c r="H329" s="596">
        <v>2.3199999999999998</v>
      </c>
      <c r="I329" s="596">
        <v>2.42</v>
      </c>
      <c r="J329" s="32">
        <v>234</v>
      </c>
      <c r="K329" s="32" t="s">
        <v>65</v>
      </c>
      <c r="L329" s="32"/>
      <c r="M329" s="33" t="s">
        <v>66</v>
      </c>
      <c r="N329" s="33"/>
      <c r="O329" s="32">
        <v>40</v>
      </c>
      <c r="P329" s="90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06"/>
      <c r="R329" s="606"/>
      <c r="S329" s="606"/>
      <c r="T329" s="607"/>
      <c r="U329" s="34"/>
      <c r="V329" s="34"/>
      <c r="W329" s="35" t="s">
        <v>67</v>
      </c>
      <c r="X329" s="597">
        <v>0</v>
      </c>
      <c r="Y329" s="598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535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4301031307</v>
      </c>
      <c r="D330" s="603">
        <v>4680115880344</v>
      </c>
      <c r="E330" s="604"/>
      <c r="F330" s="596">
        <v>0.28000000000000003</v>
      </c>
      <c r="G330" s="32">
        <v>6</v>
      </c>
      <c r="H330" s="596">
        <v>1.68</v>
      </c>
      <c r="I330" s="596">
        <v>1.78</v>
      </c>
      <c r="J330" s="32">
        <v>234</v>
      </c>
      <c r="K330" s="32" t="s">
        <v>65</v>
      </c>
      <c r="L330" s="32"/>
      <c r="M330" s="33" t="s">
        <v>66</v>
      </c>
      <c r="N330" s="33"/>
      <c r="O330" s="32">
        <v>40</v>
      </c>
      <c r="P330" s="76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06"/>
      <c r="R330" s="606"/>
      <c r="S330" s="606"/>
      <c r="T330" s="607"/>
      <c r="U330" s="34"/>
      <c r="V330" s="34"/>
      <c r="W330" s="35" t="s">
        <v>67</v>
      </c>
      <c r="X330" s="597">
        <v>0</v>
      </c>
      <c r="Y330" s="598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538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539</v>
      </c>
      <c r="B331" s="54" t="s">
        <v>540</v>
      </c>
      <c r="C331" s="31">
        <v>4301031501</v>
      </c>
      <c r="D331" s="603">
        <v>4680115886919</v>
      </c>
      <c r="E331" s="604"/>
      <c r="F331" s="596">
        <v>0.4</v>
      </c>
      <c r="G331" s="32">
        <v>6</v>
      </c>
      <c r="H331" s="596">
        <v>2.4</v>
      </c>
      <c r="I331" s="596">
        <v>2.58</v>
      </c>
      <c r="J331" s="32">
        <v>182</v>
      </c>
      <c r="K331" s="32" t="s">
        <v>77</v>
      </c>
      <c r="L331" s="32"/>
      <c r="M331" s="33" t="s">
        <v>66</v>
      </c>
      <c r="N331" s="33"/>
      <c r="O331" s="32">
        <v>40</v>
      </c>
      <c r="P33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06"/>
      <c r="R331" s="606"/>
      <c r="S331" s="606"/>
      <c r="T331" s="607"/>
      <c r="U331" s="34"/>
      <c r="V331" s="34"/>
      <c r="W331" s="35" t="s">
        <v>67</v>
      </c>
      <c r="X331" s="597">
        <v>0</v>
      </c>
      <c r="Y331" s="598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9" t="s">
        <v>541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542</v>
      </c>
      <c r="B332" s="54" t="s">
        <v>543</v>
      </c>
      <c r="C332" s="31">
        <v>4301031246</v>
      </c>
      <c r="D332" s="603">
        <v>4680115883970</v>
      </c>
      <c r="E332" s="604"/>
      <c r="F332" s="596">
        <v>0.28000000000000003</v>
      </c>
      <c r="G332" s="32">
        <v>6</v>
      </c>
      <c r="H332" s="596">
        <v>1.68</v>
      </c>
      <c r="I332" s="596">
        <v>2.5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40</v>
      </c>
      <c r="P332" s="76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06"/>
      <c r="R332" s="606"/>
      <c r="S332" s="606"/>
      <c r="T332" s="607"/>
      <c r="U332" s="34"/>
      <c r="V332" s="34"/>
      <c r="W332" s="35" t="s">
        <v>67</v>
      </c>
      <c r="X332" s="597">
        <v>0</v>
      </c>
      <c r="Y332" s="59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544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617"/>
      <c r="B333" s="609"/>
      <c r="C333" s="609"/>
      <c r="D333" s="609"/>
      <c r="E333" s="609"/>
      <c r="F333" s="609"/>
      <c r="G333" s="609"/>
      <c r="H333" s="609"/>
      <c r="I333" s="609"/>
      <c r="J333" s="609"/>
      <c r="K333" s="609"/>
      <c r="L333" s="609"/>
      <c r="M333" s="609"/>
      <c r="N333" s="609"/>
      <c r="O333" s="618"/>
      <c r="P333" s="613" t="s">
        <v>72</v>
      </c>
      <c r="Q333" s="614"/>
      <c r="R333" s="614"/>
      <c r="S333" s="614"/>
      <c r="T333" s="614"/>
      <c r="U333" s="614"/>
      <c r="V333" s="615"/>
      <c r="W333" s="37" t="s">
        <v>73</v>
      </c>
      <c r="X333" s="599">
        <f>IFERROR(X328/H328,"0")+IFERROR(X329/H329,"0")+IFERROR(X330/H330,"0")+IFERROR(X331/H331,"0")+IFERROR(X332/H332,"0")</f>
        <v>0</v>
      </c>
      <c r="Y333" s="599">
        <f>IFERROR(Y328/H328,"0")+IFERROR(Y329/H329,"0")+IFERROR(Y330/H330,"0")+IFERROR(Y331/H331,"0")+IFERROR(Y332/H332,"0")</f>
        <v>0</v>
      </c>
      <c r="Z333" s="599">
        <f>IFERROR(IF(Z328="",0,Z328),"0")+IFERROR(IF(Z329="",0,Z329),"0")+IFERROR(IF(Z330="",0,Z330),"0")+IFERROR(IF(Z331="",0,Z331),"0")+IFERROR(IF(Z332="",0,Z332),"0")</f>
        <v>0</v>
      </c>
      <c r="AA333" s="600"/>
      <c r="AB333" s="600"/>
      <c r="AC333" s="600"/>
    </row>
    <row r="334" spans="1:68" x14ac:dyDescent="0.2">
      <c r="A334" s="609"/>
      <c r="B334" s="609"/>
      <c r="C334" s="609"/>
      <c r="D334" s="609"/>
      <c r="E334" s="609"/>
      <c r="F334" s="609"/>
      <c r="G334" s="609"/>
      <c r="H334" s="609"/>
      <c r="I334" s="609"/>
      <c r="J334" s="609"/>
      <c r="K334" s="609"/>
      <c r="L334" s="609"/>
      <c r="M334" s="609"/>
      <c r="N334" s="609"/>
      <c r="O334" s="618"/>
      <c r="P334" s="613" t="s">
        <v>72</v>
      </c>
      <c r="Q334" s="614"/>
      <c r="R334" s="614"/>
      <c r="S334" s="614"/>
      <c r="T334" s="614"/>
      <c r="U334" s="614"/>
      <c r="V334" s="615"/>
      <c r="W334" s="37" t="s">
        <v>67</v>
      </c>
      <c r="X334" s="599">
        <f>IFERROR(SUM(X328:X332),"0")</f>
        <v>0</v>
      </c>
      <c r="Y334" s="599">
        <f>IFERROR(SUM(Y328:Y332),"0")</f>
        <v>0</v>
      </c>
      <c r="Z334" s="37"/>
      <c r="AA334" s="600"/>
      <c r="AB334" s="600"/>
      <c r="AC334" s="600"/>
    </row>
    <row r="335" spans="1:68" ht="14.25" customHeight="1" x14ac:dyDescent="0.25">
      <c r="A335" s="608" t="s">
        <v>74</v>
      </c>
      <c r="B335" s="609"/>
      <c r="C335" s="609"/>
      <c r="D335" s="609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09"/>
      <c r="P335" s="609"/>
      <c r="Q335" s="609"/>
      <c r="R335" s="609"/>
      <c r="S335" s="609"/>
      <c r="T335" s="609"/>
      <c r="U335" s="609"/>
      <c r="V335" s="609"/>
      <c r="W335" s="609"/>
      <c r="X335" s="609"/>
      <c r="Y335" s="609"/>
      <c r="Z335" s="609"/>
      <c r="AA335" s="593"/>
      <c r="AB335" s="593"/>
      <c r="AC335" s="593"/>
    </row>
    <row r="336" spans="1:68" ht="27" customHeight="1" x14ac:dyDescent="0.25">
      <c r="A336" s="54" t="s">
        <v>545</v>
      </c>
      <c r="B336" s="54" t="s">
        <v>546</v>
      </c>
      <c r="C336" s="31">
        <v>4301051782</v>
      </c>
      <c r="D336" s="603">
        <v>4680115884618</v>
      </c>
      <c r="E336" s="604"/>
      <c r="F336" s="596">
        <v>0.6</v>
      </c>
      <c r="G336" s="32">
        <v>6</v>
      </c>
      <c r="H336" s="596">
        <v>3.6</v>
      </c>
      <c r="I336" s="596">
        <v>3.79</v>
      </c>
      <c r="J336" s="32">
        <v>132</v>
      </c>
      <c r="K336" s="32" t="s">
        <v>129</v>
      </c>
      <c r="L336" s="32"/>
      <c r="M336" s="33" t="s">
        <v>78</v>
      </c>
      <c r="N336" s="33"/>
      <c r="O336" s="32">
        <v>45</v>
      </c>
      <c r="P336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06"/>
      <c r="R336" s="606"/>
      <c r="S336" s="606"/>
      <c r="T336" s="607"/>
      <c r="U336" s="34"/>
      <c r="V336" s="34"/>
      <c r="W336" s="35" t="s">
        <v>67</v>
      </c>
      <c r="X336" s="597">
        <v>0</v>
      </c>
      <c r="Y336" s="59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03" t="s">
        <v>547</v>
      </c>
      <c r="AG336" s="64"/>
      <c r="AJ336" s="68"/>
      <c r="AK336" s="68">
        <v>0</v>
      </c>
      <c r="BB336" s="404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4301052057</v>
      </c>
      <c r="D337" s="603">
        <v>4680115887114</v>
      </c>
      <c r="E337" s="604"/>
      <c r="F337" s="596">
        <v>0.55000000000000004</v>
      </c>
      <c r="G337" s="32">
        <v>6</v>
      </c>
      <c r="H337" s="596">
        <v>3.3</v>
      </c>
      <c r="I337" s="596">
        <v>3.49</v>
      </c>
      <c r="J337" s="32">
        <v>132</v>
      </c>
      <c r="K337" s="32" t="s">
        <v>129</v>
      </c>
      <c r="L337" s="32"/>
      <c r="M337" s="33" t="s">
        <v>78</v>
      </c>
      <c r="N337" s="33"/>
      <c r="O337" s="32">
        <v>45</v>
      </c>
      <c r="P337" s="88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06"/>
      <c r="R337" s="606"/>
      <c r="S337" s="606"/>
      <c r="T337" s="607"/>
      <c r="U337" s="34"/>
      <c r="V337" s="34"/>
      <c r="W337" s="35" t="s">
        <v>67</v>
      </c>
      <c r="X337" s="597">
        <v>0</v>
      </c>
      <c r="Y337" s="59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550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17"/>
      <c r="B338" s="609"/>
      <c r="C338" s="609"/>
      <c r="D338" s="609"/>
      <c r="E338" s="609"/>
      <c r="F338" s="609"/>
      <c r="G338" s="609"/>
      <c r="H338" s="609"/>
      <c r="I338" s="609"/>
      <c r="J338" s="609"/>
      <c r="K338" s="609"/>
      <c r="L338" s="609"/>
      <c r="M338" s="609"/>
      <c r="N338" s="609"/>
      <c r="O338" s="618"/>
      <c r="P338" s="613" t="s">
        <v>72</v>
      </c>
      <c r="Q338" s="614"/>
      <c r="R338" s="614"/>
      <c r="S338" s="614"/>
      <c r="T338" s="614"/>
      <c r="U338" s="614"/>
      <c r="V338" s="615"/>
      <c r="W338" s="37" t="s">
        <v>73</v>
      </c>
      <c r="X338" s="599">
        <f>IFERROR(X336/H336,"0")+IFERROR(X337/H337,"0")</f>
        <v>0</v>
      </c>
      <c r="Y338" s="599">
        <f>IFERROR(Y336/H336,"0")+IFERROR(Y337/H337,"0")</f>
        <v>0</v>
      </c>
      <c r="Z338" s="599">
        <f>IFERROR(IF(Z336="",0,Z336),"0")+IFERROR(IF(Z337="",0,Z337),"0")</f>
        <v>0</v>
      </c>
      <c r="AA338" s="600"/>
      <c r="AB338" s="600"/>
      <c r="AC338" s="600"/>
    </row>
    <row r="339" spans="1:68" x14ac:dyDescent="0.2">
      <c r="A339" s="609"/>
      <c r="B339" s="609"/>
      <c r="C339" s="609"/>
      <c r="D339" s="609"/>
      <c r="E339" s="609"/>
      <c r="F339" s="609"/>
      <c r="G339" s="609"/>
      <c r="H339" s="609"/>
      <c r="I339" s="609"/>
      <c r="J339" s="609"/>
      <c r="K339" s="609"/>
      <c r="L339" s="609"/>
      <c r="M339" s="609"/>
      <c r="N339" s="609"/>
      <c r="O339" s="618"/>
      <c r="P339" s="613" t="s">
        <v>72</v>
      </c>
      <c r="Q339" s="614"/>
      <c r="R339" s="614"/>
      <c r="S339" s="614"/>
      <c r="T339" s="614"/>
      <c r="U339" s="614"/>
      <c r="V339" s="615"/>
      <c r="W339" s="37" t="s">
        <v>67</v>
      </c>
      <c r="X339" s="599">
        <f>IFERROR(SUM(X336:X337),"0")</f>
        <v>0</v>
      </c>
      <c r="Y339" s="599">
        <f>IFERROR(SUM(Y336:Y337),"0")</f>
        <v>0</v>
      </c>
      <c r="Z339" s="37"/>
      <c r="AA339" s="600"/>
      <c r="AB339" s="600"/>
      <c r="AC339" s="600"/>
    </row>
    <row r="340" spans="1:68" ht="16.5" customHeight="1" x14ac:dyDescent="0.25">
      <c r="A340" s="612" t="s">
        <v>551</v>
      </c>
      <c r="B340" s="609"/>
      <c r="C340" s="609"/>
      <c r="D340" s="609"/>
      <c r="E340" s="609"/>
      <c r="F340" s="609"/>
      <c r="G340" s="609"/>
      <c r="H340" s="609"/>
      <c r="I340" s="609"/>
      <c r="J340" s="609"/>
      <c r="K340" s="609"/>
      <c r="L340" s="609"/>
      <c r="M340" s="609"/>
      <c r="N340" s="609"/>
      <c r="O340" s="609"/>
      <c r="P340" s="609"/>
      <c r="Q340" s="609"/>
      <c r="R340" s="609"/>
      <c r="S340" s="609"/>
      <c r="T340" s="609"/>
      <c r="U340" s="609"/>
      <c r="V340" s="609"/>
      <c r="W340" s="609"/>
      <c r="X340" s="609"/>
      <c r="Y340" s="609"/>
      <c r="Z340" s="609"/>
      <c r="AA340" s="592"/>
      <c r="AB340" s="592"/>
      <c r="AC340" s="592"/>
    </row>
    <row r="341" spans="1:68" ht="14.25" customHeight="1" x14ac:dyDescent="0.25">
      <c r="A341" s="608" t="s">
        <v>117</v>
      </c>
      <c r="B341" s="609"/>
      <c r="C341" s="609"/>
      <c r="D341" s="609"/>
      <c r="E341" s="609"/>
      <c r="F341" s="609"/>
      <c r="G341" s="609"/>
      <c r="H341" s="609"/>
      <c r="I341" s="609"/>
      <c r="J341" s="609"/>
      <c r="K341" s="609"/>
      <c r="L341" s="609"/>
      <c r="M341" s="609"/>
      <c r="N341" s="609"/>
      <c r="O341" s="609"/>
      <c r="P341" s="609"/>
      <c r="Q341" s="609"/>
      <c r="R341" s="609"/>
      <c r="S341" s="609"/>
      <c r="T341" s="609"/>
      <c r="U341" s="609"/>
      <c r="V341" s="609"/>
      <c r="W341" s="609"/>
      <c r="X341" s="609"/>
      <c r="Y341" s="609"/>
      <c r="Z341" s="609"/>
      <c r="AA341" s="593"/>
      <c r="AB341" s="593"/>
      <c r="AC341" s="593"/>
    </row>
    <row r="342" spans="1:68" ht="27" customHeight="1" x14ac:dyDescent="0.25">
      <c r="A342" s="54" t="s">
        <v>552</v>
      </c>
      <c r="B342" s="54" t="s">
        <v>553</v>
      </c>
      <c r="C342" s="31">
        <v>4301012324</v>
      </c>
      <c r="D342" s="603">
        <v>4680115887947</v>
      </c>
      <c r="E342" s="604"/>
      <c r="F342" s="596">
        <v>1.3</v>
      </c>
      <c r="G342" s="32">
        <v>6</v>
      </c>
      <c r="H342" s="596">
        <v>7.8</v>
      </c>
      <c r="I342" s="596">
        <v>8.2100000000000009</v>
      </c>
      <c r="J342" s="32">
        <v>64</v>
      </c>
      <c r="K342" s="32" t="s">
        <v>120</v>
      </c>
      <c r="L342" s="32"/>
      <c r="M342" s="33" t="s">
        <v>78</v>
      </c>
      <c r="N342" s="33"/>
      <c r="O342" s="32">
        <v>60</v>
      </c>
      <c r="P342" s="6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06"/>
      <c r="R342" s="606"/>
      <c r="S342" s="606"/>
      <c r="T342" s="607"/>
      <c r="U342" s="34"/>
      <c r="V342" s="34"/>
      <c r="W342" s="35" t="s">
        <v>67</v>
      </c>
      <c r="X342" s="597">
        <v>0</v>
      </c>
      <c r="Y342" s="598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407" t="s">
        <v>554</v>
      </c>
      <c r="AG342" s="64"/>
      <c r="AJ342" s="68"/>
      <c r="AK342" s="68">
        <v>0</v>
      </c>
      <c r="BB342" s="408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555</v>
      </c>
      <c r="B343" s="54" t="s">
        <v>556</v>
      </c>
      <c r="C343" s="31">
        <v>4301012325</v>
      </c>
      <c r="D343" s="603">
        <v>4680115887978</v>
      </c>
      <c r="E343" s="604"/>
      <c r="F343" s="596">
        <v>1.3</v>
      </c>
      <c r="G343" s="32">
        <v>6</v>
      </c>
      <c r="H343" s="596">
        <v>7.8</v>
      </c>
      <c r="I343" s="596">
        <v>8.2100000000000009</v>
      </c>
      <c r="J343" s="32">
        <v>64</v>
      </c>
      <c r="K343" s="32" t="s">
        <v>120</v>
      </c>
      <c r="L343" s="32"/>
      <c r="M343" s="33" t="s">
        <v>78</v>
      </c>
      <c r="N343" s="33"/>
      <c r="O343" s="32">
        <v>60</v>
      </c>
      <c r="P343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06"/>
      <c r="R343" s="606"/>
      <c r="S343" s="606"/>
      <c r="T343" s="607"/>
      <c r="U343" s="34"/>
      <c r="V343" s="34"/>
      <c r="W343" s="35" t="s">
        <v>67</v>
      </c>
      <c r="X343" s="597">
        <v>0</v>
      </c>
      <c r="Y343" s="59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9" t="s">
        <v>557</v>
      </c>
      <c r="AG343" s="64"/>
      <c r="AJ343" s="68"/>
      <c r="AK343" s="68">
        <v>0</v>
      </c>
      <c r="BB343" s="41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558</v>
      </c>
      <c r="B344" s="54" t="s">
        <v>559</v>
      </c>
      <c r="C344" s="31">
        <v>4301012327</v>
      </c>
      <c r="D344" s="603">
        <v>4680115887992</v>
      </c>
      <c r="E344" s="604"/>
      <c r="F344" s="596">
        <v>1.3</v>
      </c>
      <c r="G344" s="32">
        <v>6</v>
      </c>
      <c r="H344" s="596">
        <v>7.8</v>
      </c>
      <c r="I344" s="596">
        <v>8.2100000000000009</v>
      </c>
      <c r="J344" s="32">
        <v>64</v>
      </c>
      <c r="K344" s="32" t="s">
        <v>120</v>
      </c>
      <c r="L344" s="32"/>
      <c r="M344" s="33" t="s">
        <v>78</v>
      </c>
      <c r="N344" s="33"/>
      <c r="O344" s="32">
        <v>60</v>
      </c>
      <c r="P344" s="65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06"/>
      <c r="R344" s="606"/>
      <c r="S344" s="606"/>
      <c r="T344" s="607"/>
      <c r="U344" s="34"/>
      <c r="V344" s="34"/>
      <c r="W344" s="35" t="s">
        <v>67</v>
      </c>
      <c r="X344" s="597">
        <v>0</v>
      </c>
      <c r="Y344" s="59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411" t="s">
        <v>560</v>
      </c>
      <c r="AG344" s="64"/>
      <c r="AJ344" s="68"/>
      <c r="AK344" s="68">
        <v>0</v>
      </c>
      <c r="BB344" s="41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17"/>
      <c r="B345" s="609"/>
      <c r="C345" s="609"/>
      <c r="D345" s="609"/>
      <c r="E345" s="609"/>
      <c r="F345" s="609"/>
      <c r="G345" s="609"/>
      <c r="H345" s="609"/>
      <c r="I345" s="609"/>
      <c r="J345" s="609"/>
      <c r="K345" s="609"/>
      <c r="L345" s="609"/>
      <c r="M345" s="609"/>
      <c r="N345" s="609"/>
      <c r="O345" s="618"/>
      <c r="P345" s="613" t="s">
        <v>72</v>
      </c>
      <c r="Q345" s="614"/>
      <c r="R345" s="614"/>
      <c r="S345" s="614"/>
      <c r="T345" s="614"/>
      <c r="U345" s="614"/>
      <c r="V345" s="615"/>
      <c r="W345" s="37" t="s">
        <v>73</v>
      </c>
      <c r="X345" s="599">
        <f>IFERROR(X342/H342,"0")+IFERROR(X343/H343,"0")+IFERROR(X344/H344,"0")</f>
        <v>0</v>
      </c>
      <c r="Y345" s="599">
        <f>IFERROR(Y342/H342,"0")+IFERROR(Y343/H343,"0")+IFERROR(Y344/H344,"0")</f>
        <v>0</v>
      </c>
      <c r="Z345" s="599">
        <f>IFERROR(IF(Z342="",0,Z342),"0")+IFERROR(IF(Z343="",0,Z343),"0")+IFERROR(IF(Z344="",0,Z344),"0")</f>
        <v>0</v>
      </c>
      <c r="AA345" s="600"/>
      <c r="AB345" s="600"/>
      <c r="AC345" s="600"/>
    </row>
    <row r="346" spans="1:68" x14ac:dyDescent="0.2">
      <c r="A346" s="609"/>
      <c r="B346" s="609"/>
      <c r="C346" s="609"/>
      <c r="D346" s="609"/>
      <c r="E346" s="609"/>
      <c r="F346" s="609"/>
      <c r="G346" s="609"/>
      <c r="H346" s="609"/>
      <c r="I346" s="609"/>
      <c r="J346" s="609"/>
      <c r="K346" s="609"/>
      <c r="L346" s="609"/>
      <c r="M346" s="609"/>
      <c r="N346" s="609"/>
      <c r="O346" s="618"/>
      <c r="P346" s="613" t="s">
        <v>72</v>
      </c>
      <c r="Q346" s="614"/>
      <c r="R346" s="614"/>
      <c r="S346" s="614"/>
      <c r="T346" s="614"/>
      <c r="U346" s="614"/>
      <c r="V346" s="615"/>
      <c r="W346" s="37" t="s">
        <v>67</v>
      </c>
      <c r="X346" s="599">
        <f>IFERROR(SUM(X342:X344),"0")</f>
        <v>0</v>
      </c>
      <c r="Y346" s="599">
        <f>IFERROR(SUM(Y342:Y344),"0")</f>
        <v>0</v>
      </c>
      <c r="Z346" s="37"/>
      <c r="AA346" s="600"/>
      <c r="AB346" s="600"/>
      <c r="AC346" s="600"/>
    </row>
    <row r="347" spans="1:68" ht="16.5" customHeight="1" x14ac:dyDescent="0.25">
      <c r="A347" s="612" t="s">
        <v>561</v>
      </c>
      <c r="B347" s="609"/>
      <c r="C347" s="609"/>
      <c r="D347" s="609"/>
      <c r="E347" s="609"/>
      <c r="F347" s="609"/>
      <c r="G347" s="609"/>
      <c r="H347" s="609"/>
      <c r="I347" s="609"/>
      <c r="J347" s="609"/>
      <c r="K347" s="609"/>
      <c r="L347" s="609"/>
      <c r="M347" s="609"/>
      <c r="N347" s="609"/>
      <c r="O347" s="609"/>
      <c r="P347" s="609"/>
      <c r="Q347" s="609"/>
      <c r="R347" s="609"/>
      <c r="S347" s="609"/>
      <c r="T347" s="609"/>
      <c r="U347" s="609"/>
      <c r="V347" s="609"/>
      <c r="W347" s="609"/>
      <c r="X347" s="609"/>
      <c r="Y347" s="609"/>
      <c r="Z347" s="609"/>
      <c r="AA347" s="592"/>
      <c r="AB347" s="592"/>
      <c r="AC347" s="592"/>
    </row>
    <row r="348" spans="1:68" ht="14.25" customHeight="1" x14ac:dyDescent="0.25">
      <c r="A348" s="608" t="s">
        <v>117</v>
      </c>
      <c r="B348" s="609"/>
      <c r="C348" s="609"/>
      <c r="D348" s="609"/>
      <c r="E348" s="609"/>
      <c r="F348" s="609"/>
      <c r="G348" s="609"/>
      <c r="H348" s="609"/>
      <c r="I348" s="609"/>
      <c r="J348" s="609"/>
      <c r="K348" s="609"/>
      <c r="L348" s="609"/>
      <c r="M348" s="609"/>
      <c r="N348" s="609"/>
      <c r="O348" s="609"/>
      <c r="P348" s="609"/>
      <c r="Q348" s="609"/>
      <c r="R348" s="609"/>
      <c r="S348" s="609"/>
      <c r="T348" s="609"/>
      <c r="U348" s="609"/>
      <c r="V348" s="609"/>
      <c r="W348" s="609"/>
      <c r="X348" s="609"/>
      <c r="Y348" s="609"/>
      <c r="Z348" s="609"/>
      <c r="AA348" s="593"/>
      <c r="AB348" s="593"/>
      <c r="AC348" s="593"/>
    </row>
    <row r="349" spans="1:68" ht="27" customHeight="1" x14ac:dyDescent="0.25">
      <c r="A349" s="54" t="s">
        <v>562</v>
      </c>
      <c r="B349" s="54" t="s">
        <v>563</v>
      </c>
      <c r="C349" s="31">
        <v>4301012235</v>
      </c>
      <c r="D349" s="603">
        <v>4680115887190</v>
      </c>
      <c r="E349" s="604"/>
      <c r="F349" s="596">
        <v>1.35</v>
      </c>
      <c r="G349" s="32">
        <v>8</v>
      </c>
      <c r="H349" s="596">
        <v>10.8</v>
      </c>
      <c r="I349" s="596">
        <v>11.21</v>
      </c>
      <c r="J349" s="32">
        <v>64</v>
      </c>
      <c r="K349" s="32" t="s">
        <v>120</v>
      </c>
      <c r="L349" s="32"/>
      <c r="M349" s="33" t="s">
        <v>121</v>
      </c>
      <c r="N349" s="33"/>
      <c r="O349" s="32">
        <v>55</v>
      </c>
      <c r="P349" s="68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9" s="606"/>
      <c r="R349" s="606"/>
      <c r="S349" s="606"/>
      <c r="T349" s="607"/>
      <c r="U349" s="34"/>
      <c r="V349" s="34"/>
      <c r="W349" s="35" t="s">
        <v>67</v>
      </c>
      <c r="X349" s="597">
        <v>0</v>
      </c>
      <c r="Y349" s="598">
        <f>IFERROR(IF(X349="",0,CEILING((X349/$H349),1)*$H349),"")</f>
        <v>0</v>
      </c>
      <c r="Z349" s="36" t="str">
        <f>IFERROR(IF(Y349=0,"",ROUNDUP(Y349/H349,0)*0.01898),"")</f>
        <v/>
      </c>
      <c r="AA349" s="56"/>
      <c r="AB349" s="57"/>
      <c r="AC349" s="413" t="s">
        <v>564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customHeight="1" x14ac:dyDescent="0.25">
      <c r="A350" s="54" t="s">
        <v>565</v>
      </c>
      <c r="B350" s="54" t="s">
        <v>566</v>
      </c>
      <c r="C350" s="31">
        <v>4301012233</v>
      </c>
      <c r="D350" s="603">
        <v>4680115887138</v>
      </c>
      <c r="E350" s="604"/>
      <c r="F350" s="596">
        <v>1.35</v>
      </c>
      <c r="G350" s="32">
        <v>8</v>
      </c>
      <c r="H350" s="596">
        <v>10.8</v>
      </c>
      <c r="I350" s="596">
        <v>11.21</v>
      </c>
      <c r="J350" s="32">
        <v>64</v>
      </c>
      <c r="K350" s="32" t="s">
        <v>120</v>
      </c>
      <c r="L350" s="32"/>
      <c r="M350" s="33" t="s">
        <v>121</v>
      </c>
      <c r="N350" s="33"/>
      <c r="O350" s="32">
        <v>55</v>
      </c>
      <c r="P350" s="87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0" s="606"/>
      <c r="R350" s="606"/>
      <c r="S350" s="606"/>
      <c r="T350" s="607"/>
      <c r="U350" s="34"/>
      <c r="V350" s="34"/>
      <c r="W350" s="35" t="s">
        <v>67</v>
      </c>
      <c r="X350" s="597">
        <v>0</v>
      </c>
      <c r="Y350" s="598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567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4301012016</v>
      </c>
      <c r="D351" s="603">
        <v>4680115885554</v>
      </c>
      <c r="E351" s="604"/>
      <c r="F351" s="596">
        <v>1.35</v>
      </c>
      <c r="G351" s="32">
        <v>8</v>
      </c>
      <c r="H351" s="596">
        <v>10.8</v>
      </c>
      <c r="I351" s="596">
        <v>11.21</v>
      </c>
      <c r="J351" s="32">
        <v>64</v>
      </c>
      <c r="K351" s="32" t="s">
        <v>120</v>
      </c>
      <c r="L351" s="32"/>
      <c r="M351" s="33" t="s">
        <v>78</v>
      </c>
      <c r="N351" s="33"/>
      <c r="O351" s="32">
        <v>55</v>
      </c>
      <c r="P351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1" s="606"/>
      <c r="R351" s="606"/>
      <c r="S351" s="606"/>
      <c r="T351" s="607"/>
      <c r="U351" s="34"/>
      <c r="V351" s="34"/>
      <c r="W351" s="35" t="s">
        <v>67</v>
      </c>
      <c r="X351" s="597">
        <v>0</v>
      </c>
      <c r="Y351" s="59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570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4301012236</v>
      </c>
      <c r="D352" s="603">
        <v>4680115887220</v>
      </c>
      <c r="E352" s="604"/>
      <c r="F352" s="596">
        <v>0.4</v>
      </c>
      <c r="G352" s="32">
        <v>10</v>
      </c>
      <c r="H352" s="596">
        <v>4</v>
      </c>
      <c r="I352" s="596">
        <v>4.1900000000000004</v>
      </c>
      <c r="J352" s="32">
        <v>132</v>
      </c>
      <c r="K352" s="32" t="s">
        <v>129</v>
      </c>
      <c r="L352" s="32"/>
      <c r="M352" s="33" t="s">
        <v>121</v>
      </c>
      <c r="N352" s="33"/>
      <c r="O352" s="32">
        <v>55</v>
      </c>
      <c r="P352" s="8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2" s="606"/>
      <c r="R352" s="606"/>
      <c r="S352" s="606"/>
      <c r="T352" s="607"/>
      <c r="U352" s="34"/>
      <c r="V352" s="34"/>
      <c r="W352" s="35" t="s">
        <v>67</v>
      </c>
      <c r="X352" s="597">
        <v>0</v>
      </c>
      <c r="Y352" s="598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19" t="s">
        <v>564</v>
      </c>
      <c r="AG352" s="64"/>
      <c r="AJ352" s="68"/>
      <c r="AK352" s="68">
        <v>0</v>
      </c>
      <c r="BB352" s="420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573</v>
      </c>
      <c r="B353" s="54" t="s">
        <v>574</v>
      </c>
      <c r="C353" s="31">
        <v>4301011859</v>
      </c>
      <c r="D353" s="603">
        <v>4680115885608</v>
      </c>
      <c r="E353" s="604"/>
      <c r="F353" s="596">
        <v>0.4</v>
      </c>
      <c r="G353" s="32">
        <v>10</v>
      </c>
      <c r="H353" s="596">
        <v>4</v>
      </c>
      <c r="I353" s="596">
        <v>4.1900000000000004</v>
      </c>
      <c r="J353" s="32">
        <v>132</v>
      </c>
      <c r="K353" s="32" t="s">
        <v>129</v>
      </c>
      <c r="L353" s="32"/>
      <c r="M353" s="33" t="s">
        <v>121</v>
      </c>
      <c r="N353" s="33"/>
      <c r="O353" s="32">
        <v>55</v>
      </c>
      <c r="P353" s="83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3" s="606"/>
      <c r="R353" s="606"/>
      <c r="S353" s="606"/>
      <c r="T353" s="607"/>
      <c r="U353" s="34"/>
      <c r="V353" s="34"/>
      <c r="W353" s="35" t="s">
        <v>67</v>
      </c>
      <c r="X353" s="597">
        <v>0</v>
      </c>
      <c r="Y353" s="59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17"/>
      <c r="B354" s="609"/>
      <c r="C354" s="609"/>
      <c r="D354" s="609"/>
      <c r="E354" s="609"/>
      <c r="F354" s="609"/>
      <c r="G354" s="609"/>
      <c r="H354" s="609"/>
      <c r="I354" s="609"/>
      <c r="J354" s="609"/>
      <c r="K354" s="609"/>
      <c r="L354" s="609"/>
      <c r="M354" s="609"/>
      <c r="N354" s="609"/>
      <c r="O354" s="618"/>
      <c r="P354" s="613" t="s">
        <v>72</v>
      </c>
      <c r="Q354" s="614"/>
      <c r="R354" s="614"/>
      <c r="S354" s="614"/>
      <c r="T354" s="614"/>
      <c r="U354" s="614"/>
      <c r="V354" s="615"/>
      <c r="W354" s="37" t="s">
        <v>73</v>
      </c>
      <c r="X354" s="599">
        <f>IFERROR(X349/H349,"0")+IFERROR(X350/H350,"0")+IFERROR(X351/H351,"0")+IFERROR(X352/H352,"0")+IFERROR(X353/H353,"0")</f>
        <v>0</v>
      </c>
      <c r="Y354" s="599">
        <f>IFERROR(Y349/H349,"0")+IFERROR(Y350/H350,"0")+IFERROR(Y351/H351,"0")+IFERROR(Y352/H352,"0")+IFERROR(Y353/H353,"0")</f>
        <v>0</v>
      </c>
      <c r="Z354" s="599">
        <f>IFERROR(IF(Z349="",0,Z349),"0")+IFERROR(IF(Z350="",0,Z350),"0")+IFERROR(IF(Z351="",0,Z351),"0")+IFERROR(IF(Z352="",0,Z352),"0")+IFERROR(IF(Z353="",0,Z353),"0")</f>
        <v>0</v>
      </c>
      <c r="AA354" s="600"/>
      <c r="AB354" s="600"/>
      <c r="AC354" s="600"/>
    </row>
    <row r="355" spans="1:68" x14ac:dyDescent="0.2">
      <c r="A355" s="609"/>
      <c r="B355" s="609"/>
      <c r="C355" s="609"/>
      <c r="D355" s="609"/>
      <c r="E355" s="609"/>
      <c r="F355" s="609"/>
      <c r="G355" s="609"/>
      <c r="H355" s="609"/>
      <c r="I355" s="609"/>
      <c r="J355" s="609"/>
      <c r="K355" s="609"/>
      <c r="L355" s="609"/>
      <c r="M355" s="609"/>
      <c r="N355" s="609"/>
      <c r="O355" s="618"/>
      <c r="P355" s="613" t="s">
        <v>72</v>
      </c>
      <c r="Q355" s="614"/>
      <c r="R355" s="614"/>
      <c r="S355" s="614"/>
      <c r="T355" s="614"/>
      <c r="U355" s="614"/>
      <c r="V355" s="615"/>
      <c r="W355" s="37" t="s">
        <v>67</v>
      </c>
      <c r="X355" s="599">
        <f>IFERROR(SUM(X349:X353),"0")</f>
        <v>0</v>
      </c>
      <c r="Y355" s="599">
        <f>IFERROR(SUM(Y349:Y353),"0")</f>
        <v>0</v>
      </c>
      <c r="Z355" s="37"/>
      <c r="AA355" s="600"/>
      <c r="AB355" s="600"/>
      <c r="AC355" s="600"/>
    </row>
    <row r="356" spans="1:68" ht="14.25" customHeight="1" x14ac:dyDescent="0.25">
      <c r="A356" s="608" t="s">
        <v>62</v>
      </c>
      <c r="B356" s="609"/>
      <c r="C356" s="609"/>
      <c r="D356" s="609"/>
      <c r="E356" s="609"/>
      <c r="F356" s="609"/>
      <c r="G356" s="609"/>
      <c r="H356" s="609"/>
      <c r="I356" s="609"/>
      <c r="J356" s="609"/>
      <c r="K356" s="609"/>
      <c r="L356" s="609"/>
      <c r="M356" s="609"/>
      <c r="N356" s="609"/>
      <c r="O356" s="609"/>
      <c r="P356" s="609"/>
      <c r="Q356" s="609"/>
      <c r="R356" s="609"/>
      <c r="S356" s="609"/>
      <c r="T356" s="609"/>
      <c r="U356" s="609"/>
      <c r="V356" s="609"/>
      <c r="W356" s="609"/>
      <c r="X356" s="609"/>
      <c r="Y356" s="609"/>
      <c r="Z356" s="609"/>
      <c r="AA356" s="593"/>
      <c r="AB356" s="593"/>
      <c r="AC356" s="593"/>
    </row>
    <row r="357" spans="1:68" ht="27" customHeight="1" x14ac:dyDescent="0.25">
      <c r="A357" s="54" t="s">
        <v>576</v>
      </c>
      <c r="B357" s="54" t="s">
        <v>577</v>
      </c>
      <c r="C357" s="31">
        <v>4301030878</v>
      </c>
      <c r="D357" s="603">
        <v>4607091387193</v>
      </c>
      <c r="E357" s="604"/>
      <c r="F357" s="596">
        <v>0.7</v>
      </c>
      <c r="G357" s="32">
        <v>6</v>
      </c>
      <c r="H357" s="596">
        <v>4.2</v>
      </c>
      <c r="I357" s="596">
        <v>4.45</v>
      </c>
      <c r="J357" s="32">
        <v>132</v>
      </c>
      <c r="K357" s="32" t="s">
        <v>129</v>
      </c>
      <c r="L357" s="32"/>
      <c r="M357" s="33" t="s">
        <v>66</v>
      </c>
      <c r="N357" s="33"/>
      <c r="O357" s="32">
        <v>35</v>
      </c>
      <c r="P357" s="6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7" s="606"/>
      <c r="R357" s="606"/>
      <c r="S357" s="606"/>
      <c r="T357" s="607"/>
      <c r="U357" s="34"/>
      <c r="V357" s="34"/>
      <c r="W357" s="35" t="s">
        <v>67</v>
      </c>
      <c r="X357" s="597">
        <v>0</v>
      </c>
      <c r="Y357" s="598">
        <f t="shared" ref="Y357:Y363" si="47"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3" t="s">
        <v>578</v>
      </c>
      <c r="AG357" s="64"/>
      <c r="AJ357" s="68"/>
      <c r="AK357" s="68">
        <v>0</v>
      </c>
      <c r="BB357" s="424" t="s">
        <v>1</v>
      </c>
      <c r="BM357" s="64">
        <f t="shared" ref="BM357:BM363" si="48">IFERROR(X357*I357/H357,"0")</f>
        <v>0</v>
      </c>
      <c r="BN357" s="64">
        <f t="shared" ref="BN357:BN363" si="49">IFERROR(Y357*I357/H357,"0")</f>
        <v>0</v>
      </c>
      <c r="BO357" s="64">
        <f t="shared" ref="BO357:BO363" si="50">IFERROR(1/J357*(X357/H357),"0")</f>
        <v>0</v>
      </c>
      <c r="BP357" s="64">
        <f t="shared" ref="BP357:BP363" si="51">IFERROR(1/J357*(Y357/H357),"0")</f>
        <v>0</v>
      </c>
    </row>
    <row r="358" spans="1:68" ht="27" customHeight="1" x14ac:dyDescent="0.25">
      <c r="A358" s="54" t="s">
        <v>579</v>
      </c>
      <c r="B358" s="54" t="s">
        <v>580</v>
      </c>
      <c r="C358" s="31">
        <v>4301031153</v>
      </c>
      <c r="D358" s="603">
        <v>4607091387230</v>
      </c>
      <c r="E358" s="604"/>
      <c r="F358" s="596">
        <v>0.7</v>
      </c>
      <c r="G358" s="32">
        <v>6</v>
      </c>
      <c r="H358" s="596">
        <v>4.2</v>
      </c>
      <c r="I358" s="596">
        <v>4.45</v>
      </c>
      <c r="J358" s="32">
        <v>132</v>
      </c>
      <c r="K358" s="32" t="s">
        <v>129</v>
      </c>
      <c r="L358" s="32"/>
      <c r="M358" s="33" t="s">
        <v>66</v>
      </c>
      <c r="N358" s="33"/>
      <c r="O358" s="32">
        <v>40</v>
      </c>
      <c r="P358" s="8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8" s="606"/>
      <c r="R358" s="606"/>
      <c r="S358" s="606"/>
      <c r="T358" s="607"/>
      <c r="U358" s="34"/>
      <c r="V358" s="34"/>
      <c r="W358" s="35" t="s">
        <v>67</v>
      </c>
      <c r="X358" s="597">
        <v>0</v>
      </c>
      <c r="Y358" s="598">
        <f t="shared" si="47"/>
        <v>0</v>
      </c>
      <c r="Z358" s="36" t="str">
        <f>IFERROR(IF(Y358=0,"",ROUNDUP(Y358/H358,0)*0.00902),"")</f>
        <v/>
      </c>
      <c r="AA358" s="56"/>
      <c r="AB358" s="57"/>
      <c r="AC358" s="425" t="s">
        <v>581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customHeight="1" x14ac:dyDescent="0.25">
      <c r="A359" s="54" t="s">
        <v>582</v>
      </c>
      <c r="B359" s="54" t="s">
        <v>583</v>
      </c>
      <c r="C359" s="31">
        <v>4301031154</v>
      </c>
      <c r="D359" s="603">
        <v>4607091387292</v>
      </c>
      <c r="E359" s="604"/>
      <c r="F359" s="596">
        <v>0.73</v>
      </c>
      <c r="G359" s="32">
        <v>6</v>
      </c>
      <c r="H359" s="596">
        <v>4.38</v>
      </c>
      <c r="I359" s="596">
        <v>4.63</v>
      </c>
      <c r="J359" s="32">
        <v>132</v>
      </c>
      <c r="K359" s="32" t="s">
        <v>129</v>
      </c>
      <c r="L359" s="32"/>
      <c r="M359" s="33" t="s">
        <v>66</v>
      </c>
      <c r="N359" s="33"/>
      <c r="O359" s="32">
        <v>45</v>
      </c>
      <c r="P359" s="77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9" s="606"/>
      <c r="R359" s="606"/>
      <c r="S359" s="606"/>
      <c r="T359" s="607"/>
      <c r="U359" s="34"/>
      <c r="V359" s="34"/>
      <c r="W359" s="35" t="s">
        <v>67</v>
      </c>
      <c r="X359" s="597">
        <v>0</v>
      </c>
      <c r="Y359" s="598">
        <f t="shared" si="47"/>
        <v>0</v>
      </c>
      <c r="Z359" s="36" t="str">
        <f>IFERROR(IF(Y359=0,"",ROUNDUP(Y359/H359,0)*0.00902),"")</f>
        <v/>
      </c>
      <c r="AA359" s="56"/>
      <c r="AB359" s="57"/>
      <c r="AC359" s="427" t="s">
        <v>584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customHeight="1" x14ac:dyDescent="0.25">
      <c r="A360" s="54" t="s">
        <v>585</v>
      </c>
      <c r="B360" s="54" t="s">
        <v>586</v>
      </c>
      <c r="C360" s="31">
        <v>4301031152</v>
      </c>
      <c r="D360" s="603">
        <v>4607091387285</v>
      </c>
      <c r="E360" s="604"/>
      <c r="F360" s="596">
        <v>0.35</v>
      </c>
      <c r="G360" s="32">
        <v>6</v>
      </c>
      <c r="H360" s="596">
        <v>2.1</v>
      </c>
      <c r="I360" s="596">
        <v>2.23</v>
      </c>
      <c r="J360" s="32">
        <v>234</v>
      </c>
      <c r="K360" s="32" t="s">
        <v>65</v>
      </c>
      <c r="L360" s="32"/>
      <c r="M360" s="33" t="s">
        <v>66</v>
      </c>
      <c r="N360" s="33"/>
      <c r="O360" s="32">
        <v>40</v>
      </c>
      <c r="P360" s="6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0" s="606"/>
      <c r="R360" s="606"/>
      <c r="S360" s="606"/>
      <c r="T360" s="607"/>
      <c r="U360" s="34"/>
      <c r="V360" s="34"/>
      <c r="W360" s="35" t="s">
        <v>67</v>
      </c>
      <c r="X360" s="597">
        <v>0</v>
      </c>
      <c r="Y360" s="598">
        <f t="shared" si="47"/>
        <v>0</v>
      </c>
      <c r="Z360" s="36" t="str">
        <f>IFERROR(IF(Y360=0,"",ROUNDUP(Y360/H360,0)*0.00502),"")</f>
        <v/>
      </c>
      <c r="AA360" s="56"/>
      <c r="AB360" s="57"/>
      <c r="AC360" s="429" t="s">
        <v>581</v>
      </c>
      <c r="AG360" s="64"/>
      <c r="AJ360" s="68"/>
      <c r="AK360" s="68">
        <v>0</v>
      </c>
      <c r="BB360" s="430" t="s">
        <v>1</v>
      </c>
      <c r="BM360" s="64">
        <f t="shared" si="48"/>
        <v>0</v>
      </c>
      <c r="BN360" s="64">
        <f t="shared" si="49"/>
        <v>0</v>
      </c>
      <c r="BO360" s="64">
        <f t="shared" si="50"/>
        <v>0</v>
      </c>
      <c r="BP360" s="64">
        <f t="shared" si="51"/>
        <v>0</v>
      </c>
    </row>
    <row r="361" spans="1:68" ht="27" customHeight="1" x14ac:dyDescent="0.25">
      <c r="A361" s="54" t="s">
        <v>587</v>
      </c>
      <c r="B361" s="54" t="s">
        <v>588</v>
      </c>
      <c r="C361" s="31">
        <v>4301031305</v>
      </c>
      <c r="D361" s="603">
        <v>4607091389845</v>
      </c>
      <c r="E361" s="604"/>
      <c r="F361" s="596">
        <v>0.35</v>
      </c>
      <c r="G361" s="32">
        <v>6</v>
      </c>
      <c r="H361" s="596">
        <v>2.1</v>
      </c>
      <c r="I361" s="596">
        <v>2.2000000000000002</v>
      </c>
      <c r="J361" s="32">
        <v>234</v>
      </c>
      <c r="K361" s="32" t="s">
        <v>65</v>
      </c>
      <c r="L361" s="32"/>
      <c r="M361" s="33" t="s">
        <v>66</v>
      </c>
      <c r="N361" s="33"/>
      <c r="O361" s="32">
        <v>40</v>
      </c>
      <c r="P361" s="80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1" s="606"/>
      <c r="R361" s="606"/>
      <c r="S361" s="606"/>
      <c r="T361" s="607"/>
      <c r="U361" s="34"/>
      <c r="V361" s="34"/>
      <c r="W361" s="35" t="s">
        <v>67</v>
      </c>
      <c r="X361" s="597">
        <v>0</v>
      </c>
      <c r="Y361" s="598">
        <f t="shared" si="47"/>
        <v>0</v>
      </c>
      <c r="Z361" s="36" t="str">
        <f>IFERROR(IF(Y361=0,"",ROUNDUP(Y361/H361,0)*0.00502),"")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si="48"/>
        <v>0</v>
      </c>
      <c r="BN361" s="64">
        <f t="shared" si="49"/>
        <v>0</v>
      </c>
      <c r="BO361" s="64">
        <f t="shared" si="50"/>
        <v>0</v>
      </c>
      <c r="BP361" s="64">
        <f t="shared" si="51"/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4301031460</v>
      </c>
      <c r="D362" s="603">
        <v>4680115887442</v>
      </c>
      <c r="E362" s="604"/>
      <c r="F362" s="596">
        <v>0.73</v>
      </c>
      <c r="G362" s="32">
        <v>6</v>
      </c>
      <c r="H362" s="596">
        <v>4.38</v>
      </c>
      <c r="I362" s="596">
        <v>4.63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45</v>
      </c>
      <c r="P362" s="67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2" s="606"/>
      <c r="R362" s="606"/>
      <c r="S362" s="606"/>
      <c r="T362" s="607"/>
      <c r="U362" s="34"/>
      <c r="V362" s="34"/>
      <c r="W362" s="35" t="s">
        <v>67</v>
      </c>
      <c r="X362" s="597">
        <v>0</v>
      </c>
      <c r="Y362" s="598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584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592</v>
      </c>
      <c r="B363" s="54" t="s">
        <v>593</v>
      </c>
      <c r="C363" s="31">
        <v>4301031066</v>
      </c>
      <c r="D363" s="603">
        <v>4607091383836</v>
      </c>
      <c r="E363" s="604"/>
      <c r="F363" s="596">
        <v>0.3</v>
      </c>
      <c r="G363" s="32">
        <v>6</v>
      </c>
      <c r="H363" s="596">
        <v>1.8</v>
      </c>
      <c r="I363" s="596">
        <v>2.028</v>
      </c>
      <c r="J363" s="32">
        <v>182</v>
      </c>
      <c r="K363" s="32" t="s">
        <v>77</v>
      </c>
      <c r="L363" s="32"/>
      <c r="M363" s="33" t="s">
        <v>66</v>
      </c>
      <c r="N363" s="33"/>
      <c r="O363" s="32">
        <v>40</v>
      </c>
      <c r="P363" s="6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06"/>
      <c r="R363" s="606"/>
      <c r="S363" s="606"/>
      <c r="T363" s="607"/>
      <c r="U363" s="34"/>
      <c r="V363" s="34"/>
      <c r="W363" s="35" t="s">
        <v>67</v>
      </c>
      <c r="X363" s="597">
        <v>0</v>
      </c>
      <c r="Y363" s="598">
        <f t="shared" si="47"/>
        <v>0</v>
      </c>
      <c r="Z363" s="36" t="str">
        <f>IFERROR(IF(Y363=0,"",ROUNDUP(Y363/H363,0)*0.00651),"")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x14ac:dyDescent="0.2">
      <c r="A364" s="617"/>
      <c r="B364" s="609"/>
      <c r="C364" s="609"/>
      <c r="D364" s="609"/>
      <c r="E364" s="609"/>
      <c r="F364" s="609"/>
      <c r="G364" s="609"/>
      <c r="H364" s="609"/>
      <c r="I364" s="609"/>
      <c r="J364" s="609"/>
      <c r="K364" s="609"/>
      <c r="L364" s="609"/>
      <c r="M364" s="609"/>
      <c r="N364" s="609"/>
      <c r="O364" s="618"/>
      <c r="P364" s="613" t="s">
        <v>72</v>
      </c>
      <c r="Q364" s="614"/>
      <c r="R364" s="614"/>
      <c r="S364" s="614"/>
      <c r="T364" s="614"/>
      <c r="U364" s="614"/>
      <c r="V364" s="615"/>
      <c r="W364" s="37" t="s">
        <v>73</v>
      </c>
      <c r="X364" s="599">
        <f>IFERROR(X357/H357,"0")+IFERROR(X358/H358,"0")+IFERROR(X359/H359,"0")+IFERROR(X360/H360,"0")+IFERROR(X361/H361,"0")+IFERROR(X362/H362,"0")+IFERROR(X363/H363,"0")</f>
        <v>0</v>
      </c>
      <c r="Y364" s="599">
        <f>IFERROR(Y357/H357,"0")+IFERROR(Y358/H358,"0")+IFERROR(Y359/H359,"0")+IFERROR(Y360/H360,"0")+IFERROR(Y361/H361,"0")+IFERROR(Y362/H362,"0")+IFERROR(Y363/H363,"0")</f>
        <v>0</v>
      </c>
      <c r="Z364" s="599">
        <f>IFERROR(IF(Z357="",0,Z357),"0")+IFERROR(IF(Z358="",0,Z358),"0")+IFERROR(IF(Z359="",0,Z359),"0")+IFERROR(IF(Z360="",0,Z360),"0")+IFERROR(IF(Z361="",0,Z361),"0")+IFERROR(IF(Z362="",0,Z362),"0")+IFERROR(IF(Z363="",0,Z363),"0")</f>
        <v>0</v>
      </c>
      <c r="AA364" s="600"/>
      <c r="AB364" s="600"/>
      <c r="AC364" s="600"/>
    </row>
    <row r="365" spans="1:68" x14ac:dyDescent="0.2">
      <c r="A365" s="609"/>
      <c r="B365" s="609"/>
      <c r="C365" s="609"/>
      <c r="D365" s="609"/>
      <c r="E365" s="609"/>
      <c r="F365" s="609"/>
      <c r="G365" s="609"/>
      <c r="H365" s="609"/>
      <c r="I365" s="609"/>
      <c r="J365" s="609"/>
      <c r="K365" s="609"/>
      <c r="L365" s="609"/>
      <c r="M365" s="609"/>
      <c r="N365" s="609"/>
      <c r="O365" s="618"/>
      <c r="P365" s="613" t="s">
        <v>72</v>
      </c>
      <c r="Q365" s="614"/>
      <c r="R365" s="614"/>
      <c r="S365" s="614"/>
      <c r="T365" s="614"/>
      <c r="U365" s="614"/>
      <c r="V365" s="615"/>
      <c r="W365" s="37" t="s">
        <v>67</v>
      </c>
      <c r="X365" s="599">
        <f>IFERROR(SUM(X357:X363),"0")</f>
        <v>0</v>
      </c>
      <c r="Y365" s="599">
        <f>IFERROR(SUM(Y357:Y363),"0")</f>
        <v>0</v>
      </c>
      <c r="Z365" s="37"/>
      <c r="AA365" s="600"/>
      <c r="AB365" s="600"/>
      <c r="AC365" s="600"/>
    </row>
    <row r="366" spans="1:68" ht="14.25" customHeight="1" x14ac:dyDescent="0.25">
      <c r="A366" s="608" t="s">
        <v>74</v>
      </c>
      <c r="B366" s="609"/>
      <c r="C366" s="609"/>
      <c r="D366" s="609"/>
      <c r="E366" s="609"/>
      <c r="F366" s="609"/>
      <c r="G366" s="609"/>
      <c r="H366" s="609"/>
      <c r="I366" s="609"/>
      <c r="J366" s="609"/>
      <c r="K366" s="609"/>
      <c r="L366" s="609"/>
      <c r="M366" s="609"/>
      <c r="N366" s="609"/>
      <c r="O366" s="609"/>
      <c r="P366" s="609"/>
      <c r="Q366" s="609"/>
      <c r="R366" s="609"/>
      <c r="S366" s="609"/>
      <c r="T366" s="609"/>
      <c r="U366" s="609"/>
      <c r="V366" s="609"/>
      <c r="W366" s="609"/>
      <c r="X366" s="609"/>
      <c r="Y366" s="609"/>
      <c r="Z366" s="609"/>
      <c r="AA366" s="593"/>
      <c r="AB366" s="593"/>
      <c r="AC366" s="593"/>
    </row>
    <row r="367" spans="1:68" ht="27" customHeight="1" x14ac:dyDescent="0.25">
      <c r="A367" s="54" t="s">
        <v>595</v>
      </c>
      <c r="B367" s="54" t="s">
        <v>596</v>
      </c>
      <c r="C367" s="31">
        <v>4301051100</v>
      </c>
      <c r="D367" s="603">
        <v>4607091387766</v>
      </c>
      <c r="E367" s="604"/>
      <c r="F367" s="596">
        <v>1.3</v>
      </c>
      <c r="G367" s="32">
        <v>6</v>
      </c>
      <c r="H367" s="596">
        <v>7.8</v>
      </c>
      <c r="I367" s="596">
        <v>8.2880000000000003</v>
      </c>
      <c r="J367" s="32">
        <v>64</v>
      </c>
      <c r="K367" s="32" t="s">
        <v>120</v>
      </c>
      <c r="L367" s="32"/>
      <c r="M367" s="33" t="s">
        <v>78</v>
      </c>
      <c r="N367" s="33"/>
      <c r="O367" s="32">
        <v>40</v>
      </c>
      <c r="P367" s="6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7" s="606"/>
      <c r="R367" s="606"/>
      <c r="S367" s="606"/>
      <c r="T367" s="607"/>
      <c r="U367" s="34"/>
      <c r="V367" s="34"/>
      <c r="W367" s="35" t="s">
        <v>67</v>
      </c>
      <c r="X367" s="597">
        <v>0</v>
      </c>
      <c r="Y367" s="59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7" t="s">
        <v>597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598</v>
      </c>
      <c r="B368" s="54" t="s">
        <v>599</v>
      </c>
      <c r="C368" s="31">
        <v>4301051818</v>
      </c>
      <c r="D368" s="603">
        <v>4607091387957</v>
      </c>
      <c r="E368" s="604"/>
      <c r="F368" s="596">
        <v>1.3</v>
      </c>
      <c r="G368" s="32">
        <v>6</v>
      </c>
      <c r="H368" s="596">
        <v>7.8</v>
      </c>
      <c r="I368" s="596">
        <v>8.2940000000000005</v>
      </c>
      <c r="J368" s="32">
        <v>64</v>
      </c>
      <c r="K368" s="32" t="s">
        <v>120</v>
      </c>
      <c r="L368" s="32"/>
      <c r="M368" s="33" t="s">
        <v>78</v>
      </c>
      <c r="N368" s="33"/>
      <c r="O368" s="32">
        <v>40</v>
      </c>
      <c r="P368" s="6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8" s="606"/>
      <c r="R368" s="606"/>
      <c r="S368" s="606"/>
      <c r="T368" s="607"/>
      <c r="U368" s="34"/>
      <c r="V368" s="34"/>
      <c r="W368" s="35" t="s">
        <v>67</v>
      </c>
      <c r="X368" s="597">
        <v>0</v>
      </c>
      <c r="Y368" s="59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39" t="s">
        <v>600</v>
      </c>
      <c r="AG368" s="64"/>
      <c r="AJ368" s="68"/>
      <c r="AK368" s="68">
        <v>0</v>
      </c>
      <c r="BB368" s="440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601</v>
      </c>
      <c r="B369" s="54" t="s">
        <v>602</v>
      </c>
      <c r="C369" s="31">
        <v>4301051819</v>
      </c>
      <c r="D369" s="603">
        <v>4607091387964</v>
      </c>
      <c r="E369" s="604"/>
      <c r="F369" s="596">
        <v>1.35</v>
      </c>
      <c r="G369" s="32">
        <v>6</v>
      </c>
      <c r="H369" s="596">
        <v>8.1</v>
      </c>
      <c r="I369" s="596">
        <v>8.5760000000000005</v>
      </c>
      <c r="J369" s="32">
        <v>64</v>
      </c>
      <c r="K369" s="32" t="s">
        <v>120</v>
      </c>
      <c r="L369" s="32"/>
      <c r="M369" s="33" t="s">
        <v>78</v>
      </c>
      <c r="N369" s="33"/>
      <c r="O369" s="32">
        <v>40</v>
      </c>
      <c r="P369" s="68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9" s="606"/>
      <c r="R369" s="606"/>
      <c r="S369" s="606"/>
      <c r="T369" s="607"/>
      <c r="U369" s="34"/>
      <c r="V369" s="34"/>
      <c r="W369" s="35" t="s">
        <v>67</v>
      </c>
      <c r="X369" s="597">
        <v>0</v>
      </c>
      <c r="Y369" s="59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603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customHeight="1" x14ac:dyDescent="0.25">
      <c r="A370" s="54" t="s">
        <v>604</v>
      </c>
      <c r="B370" s="54" t="s">
        <v>605</v>
      </c>
      <c r="C370" s="31">
        <v>4301051734</v>
      </c>
      <c r="D370" s="603">
        <v>4680115884588</v>
      </c>
      <c r="E370" s="604"/>
      <c r="F370" s="596">
        <v>0.5</v>
      </c>
      <c r="G370" s="32">
        <v>6</v>
      </c>
      <c r="H370" s="596">
        <v>3</v>
      </c>
      <c r="I370" s="596">
        <v>3.246</v>
      </c>
      <c r="J370" s="32">
        <v>182</v>
      </c>
      <c r="K370" s="32" t="s">
        <v>77</v>
      </c>
      <c r="L370" s="32"/>
      <c r="M370" s="33" t="s">
        <v>78</v>
      </c>
      <c r="N370" s="33"/>
      <c r="O370" s="32">
        <v>40</v>
      </c>
      <c r="P370" s="69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0" s="606"/>
      <c r="R370" s="606"/>
      <c r="S370" s="606"/>
      <c r="T370" s="607"/>
      <c r="U370" s="34"/>
      <c r="V370" s="34"/>
      <c r="W370" s="35" t="s">
        <v>67</v>
      </c>
      <c r="X370" s="597">
        <v>0</v>
      </c>
      <c r="Y370" s="598">
        <f>IFERROR(IF(X370="",0,CEILING((X370/$H370),1)*$H370),"")</f>
        <v>0</v>
      </c>
      <c r="Z370" s="36" t="str">
        <f>IFERROR(IF(Y370=0,"",ROUNDUP(Y370/H370,0)*0.00651),"")</f>
        <v/>
      </c>
      <c r="AA370" s="56"/>
      <c r="AB370" s="57"/>
      <c r="AC370" s="443" t="s">
        <v>597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17"/>
      <c r="B371" s="609"/>
      <c r="C371" s="609"/>
      <c r="D371" s="609"/>
      <c r="E371" s="609"/>
      <c r="F371" s="609"/>
      <c r="G371" s="609"/>
      <c r="H371" s="609"/>
      <c r="I371" s="609"/>
      <c r="J371" s="609"/>
      <c r="K371" s="609"/>
      <c r="L371" s="609"/>
      <c r="M371" s="609"/>
      <c r="N371" s="609"/>
      <c r="O371" s="618"/>
      <c r="P371" s="613" t="s">
        <v>72</v>
      </c>
      <c r="Q371" s="614"/>
      <c r="R371" s="614"/>
      <c r="S371" s="614"/>
      <c r="T371" s="614"/>
      <c r="U371" s="614"/>
      <c r="V371" s="615"/>
      <c r="W371" s="37" t="s">
        <v>73</v>
      </c>
      <c r="X371" s="599">
        <f>IFERROR(X367/H367,"0")+IFERROR(X368/H368,"0")+IFERROR(X369/H369,"0")+IFERROR(X370/H370,"0")</f>
        <v>0</v>
      </c>
      <c r="Y371" s="599">
        <f>IFERROR(Y367/H367,"0")+IFERROR(Y368/H368,"0")+IFERROR(Y369/H369,"0")+IFERROR(Y370/H370,"0")</f>
        <v>0</v>
      </c>
      <c r="Z371" s="599">
        <f>IFERROR(IF(Z367="",0,Z367),"0")+IFERROR(IF(Z368="",0,Z368),"0")+IFERROR(IF(Z369="",0,Z369),"0")+IFERROR(IF(Z370="",0,Z370),"0")</f>
        <v>0</v>
      </c>
      <c r="AA371" s="600"/>
      <c r="AB371" s="600"/>
      <c r="AC371" s="600"/>
    </row>
    <row r="372" spans="1:68" x14ac:dyDescent="0.2">
      <c r="A372" s="609"/>
      <c r="B372" s="609"/>
      <c r="C372" s="609"/>
      <c r="D372" s="609"/>
      <c r="E372" s="609"/>
      <c r="F372" s="609"/>
      <c r="G372" s="609"/>
      <c r="H372" s="609"/>
      <c r="I372" s="609"/>
      <c r="J372" s="609"/>
      <c r="K372" s="609"/>
      <c r="L372" s="609"/>
      <c r="M372" s="609"/>
      <c r="N372" s="609"/>
      <c r="O372" s="618"/>
      <c r="P372" s="613" t="s">
        <v>72</v>
      </c>
      <c r="Q372" s="614"/>
      <c r="R372" s="614"/>
      <c r="S372" s="614"/>
      <c r="T372" s="614"/>
      <c r="U372" s="614"/>
      <c r="V372" s="615"/>
      <c r="W372" s="37" t="s">
        <v>67</v>
      </c>
      <c r="X372" s="599">
        <f>IFERROR(SUM(X367:X370),"0")</f>
        <v>0</v>
      </c>
      <c r="Y372" s="599">
        <f>IFERROR(SUM(Y367:Y370),"0")</f>
        <v>0</v>
      </c>
      <c r="Z372" s="37"/>
      <c r="AA372" s="600"/>
      <c r="AB372" s="600"/>
      <c r="AC372" s="600"/>
    </row>
    <row r="373" spans="1:68" ht="14.25" customHeight="1" x14ac:dyDescent="0.25">
      <c r="A373" s="608" t="s">
        <v>169</v>
      </c>
      <c r="B373" s="609"/>
      <c r="C373" s="609"/>
      <c r="D373" s="609"/>
      <c r="E373" s="609"/>
      <c r="F373" s="609"/>
      <c r="G373" s="609"/>
      <c r="H373" s="609"/>
      <c r="I373" s="609"/>
      <c r="J373" s="609"/>
      <c r="K373" s="609"/>
      <c r="L373" s="609"/>
      <c r="M373" s="609"/>
      <c r="N373" s="609"/>
      <c r="O373" s="609"/>
      <c r="P373" s="609"/>
      <c r="Q373" s="609"/>
      <c r="R373" s="609"/>
      <c r="S373" s="609"/>
      <c r="T373" s="609"/>
      <c r="U373" s="609"/>
      <c r="V373" s="609"/>
      <c r="W373" s="609"/>
      <c r="X373" s="609"/>
      <c r="Y373" s="609"/>
      <c r="Z373" s="609"/>
      <c r="AA373" s="593"/>
      <c r="AB373" s="593"/>
      <c r="AC373" s="593"/>
    </row>
    <row r="374" spans="1:68" ht="27" customHeight="1" x14ac:dyDescent="0.25">
      <c r="A374" s="54" t="s">
        <v>606</v>
      </c>
      <c r="B374" s="54" t="s">
        <v>607</v>
      </c>
      <c r="C374" s="31">
        <v>4301060387</v>
      </c>
      <c r="D374" s="603">
        <v>4607091380880</v>
      </c>
      <c r="E374" s="604"/>
      <c r="F374" s="596">
        <v>1.4</v>
      </c>
      <c r="G374" s="32">
        <v>6</v>
      </c>
      <c r="H374" s="596">
        <v>8.4</v>
      </c>
      <c r="I374" s="596">
        <v>8.8940000000000001</v>
      </c>
      <c r="J374" s="32">
        <v>64</v>
      </c>
      <c r="K374" s="32" t="s">
        <v>120</v>
      </c>
      <c r="L374" s="32"/>
      <c r="M374" s="33" t="s">
        <v>78</v>
      </c>
      <c r="N374" s="33"/>
      <c r="O374" s="32">
        <v>30</v>
      </c>
      <c r="P374" s="80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4" s="606"/>
      <c r="R374" s="606"/>
      <c r="S374" s="606"/>
      <c r="T374" s="607"/>
      <c r="U374" s="34"/>
      <c r="V374" s="34"/>
      <c r="W374" s="35" t="s">
        <v>67</v>
      </c>
      <c r="X374" s="597">
        <v>0</v>
      </c>
      <c r="Y374" s="59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45" t="s">
        <v>608</v>
      </c>
      <c r="AG374" s="64"/>
      <c r="AJ374" s="68"/>
      <c r="AK374" s="68">
        <v>0</v>
      </c>
      <c r="BB374" s="446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609</v>
      </c>
      <c r="B375" s="54" t="s">
        <v>610</v>
      </c>
      <c r="C375" s="31">
        <v>4301060406</v>
      </c>
      <c r="D375" s="603">
        <v>4607091384482</v>
      </c>
      <c r="E375" s="604"/>
      <c r="F375" s="596">
        <v>1.3</v>
      </c>
      <c r="G375" s="32">
        <v>6</v>
      </c>
      <c r="H375" s="596">
        <v>7.8</v>
      </c>
      <c r="I375" s="596">
        <v>8.2940000000000005</v>
      </c>
      <c r="J375" s="32">
        <v>64</v>
      </c>
      <c r="K375" s="32" t="s">
        <v>120</v>
      </c>
      <c r="L375" s="32"/>
      <c r="M375" s="33" t="s">
        <v>78</v>
      </c>
      <c r="N375" s="33"/>
      <c r="O375" s="32">
        <v>30</v>
      </c>
      <c r="P375" s="77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5" s="606"/>
      <c r="R375" s="606"/>
      <c r="S375" s="606"/>
      <c r="T375" s="607"/>
      <c r="U375" s="34"/>
      <c r="V375" s="34"/>
      <c r="W375" s="35" t="s">
        <v>67</v>
      </c>
      <c r="X375" s="597">
        <v>0</v>
      </c>
      <c r="Y375" s="59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47" t="s">
        <v>611</v>
      </c>
      <c r="AG375" s="64"/>
      <c r="AJ375" s="68"/>
      <c r="AK375" s="68">
        <v>0</v>
      </c>
      <c r="BB375" s="448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16.5" customHeight="1" x14ac:dyDescent="0.25">
      <c r="A376" s="54" t="s">
        <v>612</v>
      </c>
      <c r="B376" s="54" t="s">
        <v>613</v>
      </c>
      <c r="C376" s="31">
        <v>4301060484</v>
      </c>
      <c r="D376" s="603">
        <v>4607091380897</v>
      </c>
      <c r="E376" s="604"/>
      <c r="F376" s="596">
        <v>1.4</v>
      </c>
      <c r="G376" s="32">
        <v>6</v>
      </c>
      <c r="H376" s="596">
        <v>8.4</v>
      </c>
      <c r="I376" s="596">
        <v>8.8940000000000001</v>
      </c>
      <c r="J376" s="32">
        <v>64</v>
      </c>
      <c r="K376" s="32" t="s">
        <v>120</v>
      </c>
      <c r="L376" s="32"/>
      <c r="M376" s="33" t="s">
        <v>84</v>
      </c>
      <c r="N376" s="33"/>
      <c r="O376" s="32">
        <v>30</v>
      </c>
      <c r="P376" s="85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6" s="606"/>
      <c r="R376" s="606"/>
      <c r="S376" s="606"/>
      <c r="T376" s="607"/>
      <c r="U376" s="34"/>
      <c r="V376" s="34"/>
      <c r="W376" s="35" t="s">
        <v>67</v>
      </c>
      <c r="X376" s="597">
        <v>105</v>
      </c>
      <c r="Y376" s="598">
        <f>IFERROR(IF(X376="",0,CEILING((X376/$H376),1)*$H376),"")</f>
        <v>109.2</v>
      </c>
      <c r="Z376" s="36">
        <f>IFERROR(IF(Y376=0,"",ROUNDUP(Y376/H376,0)*0.01898),"")</f>
        <v>0.24674000000000001</v>
      </c>
      <c r="AA376" s="56"/>
      <c r="AB376" s="57"/>
      <c r="AC376" s="449" t="s">
        <v>614</v>
      </c>
      <c r="AG376" s="64"/>
      <c r="AJ376" s="68"/>
      <c r="AK376" s="68">
        <v>0</v>
      </c>
      <c r="BB376" s="450" t="s">
        <v>1</v>
      </c>
      <c r="BM376" s="64">
        <f>IFERROR(X376*I376/H376,"0")</f>
        <v>111.175</v>
      </c>
      <c r="BN376" s="64">
        <f>IFERROR(Y376*I376/H376,"0")</f>
        <v>115.622</v>
      </c>
      <c r="BO376" s="64">
        <f>IFERROR(1/J376*(X376/H376),"0")</f>
        <v>0.1953125</v>
      </c>
      <c r="BP376" s="64">
        <f>IFERROR(1/J376*(Y376/H376),"0")</f>
        <v>0.203125</v>
      </c>
    </row>
    <row r="377" spans="1:68" x14ac:dyDescent="0.2">
      <c r="A377" s="617"/>
      <c r="B377" s="609"/>
      <c r="C377" s="609"/>
      <c r="D377" s="609"/>
      <c r="E377" s="609"/>
      <c r="F377" s="609"/>
      <c r="G377" s="609"/>
      <c r="H377" s="609"/>
      <c r="I377" s="609"/>
      <c r="J377" s="609"/>
      <c r="K377" s="609"/>
      <c r="L377" s="609"/>
      <c r="M377" s="609"/>
      <c r="N377" s="609"/>
      <c r="O377" s="618"/>
      <c r="P377" s="613" t="s">
        <v>72</v>
      </c>
      <c r="Q377" s="614"/>
      <c r="R377" s="614"/>
      <c r="S377" s="614"/>
      <c r="T377" s="614"/>
      <c r="U377" s="614"/>
      <c r="V377" s="615"/>
      <c r="W377" s="37" t="s">
        <v>73</v>
      </c>
      <c r="X377" s="599">
        <f>IFERROR(X374/H374,"0")+IFERROR(X375/H375,"0")+IFERROR(X376/H376,"0")</f>
        <v>12.5</v>
      </c>
      <c r="Y377" s="599">
        <f>IFERROR(Y374/H374,"0")+IFERROR(Y375/H375,"0")+IFERROR(Y376/H376,"0")</f>
        <v>13</v>
      </c>
      <c r="Z377" s="599">
        <f>IFERROR(IF(Z374="",0,Z374),"0")+IFERROR(IF(Z375="",0,Z375),"0")+IFERROR(IF(Z376="",0,Z376),"0")</f>
        <v>0.24674000000000001</v>
      </c>
      <c r="AA377" s="600"/>
      <c r="AB377" s="600"/>
      <c r="AC377" s="600"/>
    </row>
    <row r="378" spans="1:68" x14ac:dyDescent="0.2">
      <c r="A378" s="609"/>
      <c r="B378" s="609"/>
      <c r="C378" s="609"/>
      <c r="D378" s="609"/>
      <c r="E378" s="609"/>
      <c r="F378" s="609"/>
      <c r="G378" s="609"/>
      <c r="H378" s="609"/>
      <c r="I378" s="609"/>
      <c r="J378" s="609"/>
      <c r="K378" s="609"/>
      <c r="L378" s="609"/>
      <c r="M378" s="609"/>
      <c r="N378" s="609"/>
      <c r="O378" s="618"/>
      <c r="P378" s="613" t="s">
        <v>72</v>
      </c>
      <c r="Q378" s="614"/>
      <c r="R378" s="614"/>
      <c r="S378" s="614"/>
      <c r="T378" s="614"/>
      <c r="U378" s="614"/>
      <c r="V378" s="615"/>
      <c r="W378" s="37" t="s">
        <v>67</v>
      </c>
      <c r="X378" s="599">
        <f>IFERROR(SUM(X374:X376),"0")</f>
        <v>105</v>
      </c>
      <c r="Y378" s="599">
        <f>IFERROR(SUM(Y374:Y376),"0")</f>
        <v>109.2</v>
      </c>
      <c r="Z378" s="37"/>
      <c r="AA378" s="600"/>
      <c r="AB378" s="600"/>
      <c r="AC378" s="600"/>
    </row>
    <row r="379" spans="1:68" ht="14.25" customHeight="1" x14ac:dyDescent="0.25">
      <c r="A379" s="608" t="s">
        <v>95</v>
      </c>
      <c r="B379" s="609"/>
      <c r="C379" s="609"/>
      <c r="D379" s="609"/>
      <c r="E379" s="609"/>
      <c r="F379" s="609"/>
      <c r="G379" s="609"/>
      <c r="H379" s="609"/>
      <c r="I379" s="609"/>
      <c r="J379" s="609"/>
      <c r="K379" s="609"/>
      <c r="L379" s="609"/>
      <c r="M379" s="609"/>
      <c r="N379" s="609"/>
      <c r="O379" s="609"/>
      <c r="P379" s="609"/>
      <c r="Q379" s="609"/>
      <c r="R379" s="609"/>
      <c r="S379" s="609"/>
      <c r="T379" s="609"/>
      <c r="U379" s="609"/>
      <c r="V379" s="609"/>
      <c r="W379" s="609"/>
      <c r="X379" s="609"/>
      <c r="Y379" s="609"/>
      <c r="Z379" s="609"/>
      <c r="AA379" s="593"/>
      <c r="AB379" s="593"/>
      <c r="AC379" s="593"/>
    </row>
    <row r="380" spans="1:68" ht="27" customHeight="1" x14ac:dyDescent="0.25">
      <c r="A380" s="54" t="s">
        <v>615</v>
      </c>
      <c r="B380" s="54" t="s">
        <v>616</v>
      </c>
      <c r="C380" s="31">
        <v>4301030235</v>
      </c>
      <c r="D380" s="603">
        <v>4607091388381</v>
      </c>
      <c r="E380" s="604"/>
      <c r="F380" s="596">
        <v>0.38</v>
      </c>
      <c r="G380" s="32">
        <v>8</v>
      </c>
      <c r="H380" s="596">
        <v>3.04</v>
      </c>
      <c r="I380" s="596">
        <v>3.31</v>
      </c>
      <c r="J380" s="32">
        <v>132</v>
      </c>
      <c r="K380" s="32" t="s">
        <v>129</v>
      </c>
      <c r="L380" s="32"/>
      <c r="M380" s="33" t="s">
        <v>98</v>
      </c>
      <c r="N380" s="33"/>
      <c r="O380" s="32">
        <v>180</v>
      </c>
      <c r="P380" s="8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0" s="606"/>
      <c r="R380" s="606"/>
      <c r="S380" s="606"/>
      <c r="T380" s="607"/>
      <c r="U380" s="34"/>
      <c r="V380" s="34"/>
      <c r="W380" s="35" t="s">
        <v>67</v>
      </c>
      <c r="X380" s="597">
        <v>0</v>
      </c>
      <c r="Y380" s="59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51" t="s">
        <v>617</v>
      </c>
      <c r="AG380" s="64"/>
      <c r="AJ380" s="68"/>
      <c r="AK380" s="68">
        <v>0</v>
      </c>
      <c r="BB380" s="452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618</v>
      </c>
      <c r="B381" s="54" t="s">
        <v>619</v>
      </c>
      <c r="C381" s="31">
        <v>4301030232</v>
      </c>
      <c r="D381" s="603">
        <v>4607091388374</v>
      </c>
      <c r="E381" s="604"/>
      <c r="F381" s="596">
        <v>0.38</v>
      </c>
      <c r="G381" s="32">
        <v>8</v>
      </c>
      <c r="H381" s="596">
        <v>3.04</v>
      </c>
      <c r="I381" s="596">
        <v>3.27</v>
      </c>
      <c r="J381" s="32">
        <v>132</v>
      </c>
      <c r="K381" s="32" t="s">
        <v>129</v>
      </c>
      <c r="L381" s="32"/>
      <c r="M381" s="33" t="s">
        <v>98</v>
      </c>
      <c r="N381" s="33"/>
      <c r="O381" s="32">
        <v>180</v>
      </c>
      <c r="P381" s="91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1" s="606"/>
      <c r="R381" s="606"/>
      <c r="S381" s="606"/>
      <c r="T381" s="607"/>
      <c r="U381" s="34"/>
      <c r="V381" s="34"/>
      <c r="W381" s="35" t="s">
        <v>67</v>
      </c>
      <c r="X381" s="597">
        <v>0</v>
      </c>
      <c r="Y381" s="598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3" t="s">
        <v>617</v>
      </c>
      <c r="AG381" s="64"/>
      <c r="AJ381" s="68"/>
      <c r="AK381" s="68">
        <v>0</v>
      </c>
      <c r="BB381" s="454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620</v>
      </c>
      <c r="B382" s="54" t="s">
        <v>621</v>
      </c>
      <c r="C382" s="31">
        <v>4301032015</v>
      </c>
      <c r="D382" s="603">
        <v>4607091383102</v>
      </c>
      <c r="E382" s="604"/>
      <c r="F382" s="596">
        <v>0.17</v>
      </c>
      <c r="G382" s="32">
        <v>15</v>
      </c>
      <c r="H382" s="596">
        <v>2.5499999999999998</v>
      </c>
      <c r="I382" s="596">
        <v>2.9550000000000001</v>
      </c>
      <c r="J382" s="32">
        <v>182</v>
      </c>
      <c r="K382" s="32" t="s">
        <v>77</v>
      </c>
      <c r="L382" s="32"/>
      <c r="M382" s="33" t="s">
        <v>98</v>
      </c>
      <c r="N382" s="33"/>
      <c r="O382" s="32">
        <v>180</v>
      </c>
      <c r="P382" s="89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2" s="606"/>
      <c r="R382" s="606"/>
      <c r="S382" s="606"/>
      <c r="T382" s="607"/>
      <c r="U382" s="34"/>
      <c r="V382" s="34"/>
      <c r="W382" s="35" t="s">
        <v>67</v>
      </c>
      <c r="X382" s="597">
        <v>0</v>
      </c>
      <c r="Y382" s="598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55" t="s">
        <v>617</v>
      </c>
      <c r="AG382" s="64"/>
      <c r="AJ382" s="68"/>
      <c r="AK382" s="68">
        <v>0</v>
      </c>
      <c r="BB382" s="456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622</v>
      </c>
      <c r="B383" s="54" t="s">
        <v>623</v>
      </c>
      <c r="C383" s="31">
        <v>4301030233</v>
      </c>
      <c r="D383" s="603">
        <v>4607091388404</v>
      </c>
      <c r="E383" s="604"/>
      <c r="F383" s="596">
        <v>0.17</v>
      </c>
      <c r="G383" s="32">
        <v>15</v>
      </c>
      <c r="H383" s="596">
        <v>2.5499999999999998</v>
      </c>
      <c r="I383" s="596">
        <v>2.88</v>
      </c>
      <c r="J383" s="32">
        <v>182</v>
      </c>
      <c r="K383" s="32" t="s">
        <v>77</v>
      </c>
      <c r="L383" s="32"/>
      <c r="M383" s="33" t="s">
        <v>98</v>
      </c>
      <c r="N383" s="33"/>
      <c r="O383" s="32">
        <v>180</v>
      </c>
      <c r="P383" s="65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3" s="606"/>
      <c r="R383" s="606"/>
      <c r="S383" s="606"/>
      <c r="T383" s="607"/>
      <c r="U383" s="34"/>
      <c r="V383" s="34"/>
      <c r="W383" s="35" t="s">
        <v>67</v>
      </c>
      <c r="X383" s="597">
        <v>0</v>
      </c>
      <c r="Y383" s="59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57" t="s">
        <v>617</v>
      </c>
      <c r="AG383" s="64"/>
      <c r="AJ383" s="68"/>
      <c r="AK383" s="68">
        <v>0</v>
      </c>
      <c r="BB383" s="458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617"/>
      <c r="B384" s="609"/>
      <c r="C384" s="609"/>
      <c r="D384" s="609"/>
      <c r="E384" s="609"/>
      <c r="F384" s="609"/>
      <c r="G384" s="609"/>
      <c r="H384" s="609"/>
      <c r="I384" s="609"/>
      <c r="J384" s="609"/>
      <c r="K384" s="609"/>
      <c r="L384" s="609"/>
      <c r="M384" s="609"/>
      <c r="N384" s="609"/>
      <c r="O384" s="618"/>
      <c r="P384" s="613" t="s">
        <v>72</v>
      </c>
      <c r="Q384" s="614"/>
      <c r="R384" s="614"/>
      <c r="S384" s="614"/>
      <c r="T384" s="614"/>
      <c r="U384" s="614"/>
      <c r="V384" s="615"/>
      <c r="W384" s="37" t="s">
        <v>73</v>
      </c>
      <c r="X384" s="599">
        <f>IFERROR(X380/H380,"0")+IFERROR(X381/H381,"0")+IFERROR(X382/H382,"0")+IFERROR(X383/H383,"0")</f>
        <v>0</v>
      </c>
      <c r="Y384" s="599">
        <f>IFERROR(Y380/H380,"0")+IFERROR(Y381/H381,"0")+IFERROR(Y382/H382,"0")+IFERROR(Y383/H383,"0")</f>
        <v>0</v>
      </c>
      <c r="Z384" s="599">
        <f>IFERROR(IF(Z380="",0,Z380),"0")+IFERROR(IF(Z381="",0,Z381),"0")+IFERROR(IF(Z382="",0,Z382),"0")+IFERROR(IF(Z383="",0,Z383),"0")</f>
        <v>0</v>
      </c>
      <c r="AA384" s="600"/>
      <c r="AB384" s="600"/>
      <c r="AC384" s="600"/>
    </row>
    <row r="385" spans="1:68" x14ac:dyDescent="0.2">
      <c r="A385" s="609"/>
      <c r="B385" s="609"/>
      <c r="C385" s="609"/>
      <c r="D385" s="609"/>
      <c r="E385" s="609"/>
      <c r="F385" s="609"/>
      <c r="G385" s="609"/>
      <c r="H385" s="609"/>
      <c r="I385" s="609"/>
      <c r="J385" s="609"/>
      <c r="K385" s="609"/>
      <c r="L385" s="609"/>
      <c r="M385" s="609"/>
      <c r="N385" s="609"/>
      <c r="O385" s="618"/>
      <c r="P385" s="613" t="s">
        <v>72</v>
      </c>
      <c r="Q385" s="614"/>
      <c r="R385" s="614"/>
      <c r="S385" s="614"/>
      <c r="T385" s="614"/>
      <c r="U385" s="614"/>
      <c r="V385" s="615"/>
      <c r="W385" s="37" t="s">
        <v>67</v>
      </c>
      <c r="X385" s="599">
        <f>IFERROR(SUM(X380:X383),"0")</f>
        <v>0</v>
      </c>
      <c r="Y385" s="599">
        <f>IFERROR(SUM(Y380:Y383),"0")</f>
        <v>0</v>
      </c>
      <c r="Z385" s="37"/>
      <c r="AA385" s="600"/>
      <c r="AB385" s="600"/>
      <c r="AC385" s="600"/>
    </row>
    <row r="386" spans="1:68" ht="14.25" customHeight="1" x14ac:dyDescent="0.25">
      <c r="A386" s="608" t="s">
        <v>624</v>
      </c>
      <c r="B386" s="609"/>
      <c r="C386" s="609"/>
      <c r="D386" s="609"/>
      <c r="E386" s="609"/>
      <c r="F386" s="609"/>
      <c r="G386" s="609"/>
      <c r="H386" s="609"/>
      <c r="I386" s="609"/>
      <c r="J386" s="609"/>
      <c r="K386" s="609"/>
      <c r="L386" s="609"/>
      <c r="M386" s="609"/>
      <c r="N386" s="609"/>
      <c r="O386" s="609"/>
      <c r="P386" s="609"/>
      <c r="Q386" s="609"/>
      <c r="R386" s="609"/>
      <c r="S386" s="609"/>
      <c r="T386" s="609"/>
      <c r="U386" s="609"/>
      <c r="V386" s="609"/>
      <c r="W386" s="609"/>
      <c r="X386" s="609"/>
      <c r="Y386" s="609"/>
      <c r="Z386" s="609"/>
      <c r="AA386" s="593"/>
      <c r="AB386" s="593"/>
      <c r="AC386" s="593"/>
    </row>
    <row r="387" spans="1:68" ht="16.5" customHeight="1" x14ac:dyDescent="0.25">
      <c r="A387" s="54" t="s">
        <v>625</v>
      </c>
      <c r="B387" s="54" t="s">
        <v>626</v>
      </c>
      <c r="C387" s="31">
        <v>4301180007</v>
      </c>
      <c r="D387" s="603">
        <v>4680115881808</v>
      </c>
      <c r="E387" s="604"/>
      <c r="F387" s="596">
        <v>0.1</v>
      </c>
      <c r="G387" s="32">
        <v>20</v>
      </c>
      <c r="H387" s="596">
        <v>2</v>
      </c>
      <c r="I387" s="596">
        <v>2.2400000000000002</v>
      </c>
      <c r="J387" s="32">
        <v>238</v>
      </c>
      <c r="K387" s="32" t="s">
        <v>77</v>
      </c>
      <c r="L387" s="32"/>
      <c r="M387" s="33" t="s">
        <v>627</v>
      </c>
      <c r="N387" s="33"/>
      <c r="O387" s="32">
        <v>731</v>
      </c>
      <c r="P387" s="7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7" s="606"/>
      <c r="R387" s="606"/>
      <c r="S387" s="606"/>
      <c r="T387" s="607"/>
      <c r="U387" s="34"/>
      <c r="V387" s="34"/>
      <c r="W387" s="35" t="s">
        <v>67</v>
      </c>
      <c r="X387" s="597">
        <v>0</v>
      </c>
      <c r="Y387" s="598">
        <f>IFERROR(IF(X387="",0,CEILING((X387/$H387),1)*$H387),"")</f>
        <v>0</v>
      </c>
      <c r="Z387" s="36" t="str">
        <f>IFERROR(IF(Y387=0,"",ROUNDUP(Y387/H387,0)*0.00474),"")</f>
        <v/>
      </c>
      <c r="AA387" s="56"/>
      <c r="AB387" s="57"/>
      <c r="AC387" s="459" t="s">
        <v>628</v>
      </c>
      <c r="AG387" s="64"/>
      <c r="AJ387" s="68"/>
      <c r="AK387" s="68">
        <v>0</v>
      </c>
      <c r="BB387" s="460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629</v>
      </c>
      <c r="B388" s="54" t="s">
        <v>630</v>
      </c>
      <c r="C388" s="31">
        <v>4301180006</v>
      </c>
      <c r="D388" s="603">
        <v>4680115881822</v>
      </c>
      <c r="E388" s="604"/>
      <c r="F388" s="596">
        <v>0.1</v>
      </c>
      <c r="G388" s="32">
        <v>20</v>
      </c>
      <c r="H388" s="596">
        <v>2</v>
      </c>
      <c r="I388" s="596">
        <v>2.2400000000000002</v>
      </c>
      <c r="J388" s="32">
        <v>238</v>
      </c>
      <c r="K388" s="32" t="s">
        <v>77</v>
      </c>
      <c r="L388" s="32"/>
      <c r="M388" s="33" t="s">
        <v>627</v>
      </c>
      <c r="N388" s="33"/>
      <c r="O388" s="32">
        <v>731</v>
      </c>
      <c r="P388" s="76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8" s="606"/>
      <c r="R388" s="606"/>
      <c r="S388" s="606"/>
      <c r="T388" s="607"/>
      <c r="U388" s="34"/>
      <c r="V388" s="34"/>
      <c r="W388" s="35" t="s">
        <v>67</v>
      </c>
      <c r="X388" s="597">
        <v>0</v>
      </c>
      <c r="Y388" s="598">
        <f>IFERROR(IF(X388="",0,CEILING((X388/$H388),1)*$H388),"")</f>
        <v>0</v>
      </c>
      <c r="Z388" s="36" t="str">
        <f>IFERROR(IF(Y388=0,"",ROUNDUP(Y388/H388,0)*0.00474),"")</f>
        <v/>
      </c>
      <c r="AA388" s="56"/>
      <c r="AB388" s="57"/>
      <c r="AC388" s="461" t="s">
        <v>628</v>
      </c>
      <c r="AG388" s="64"/>
      <c r="AJ388" s="68"/>
      <c r="AK388" s="68">
        <v>0</v>
      </c>
      <c r="BB388" s="462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631</v>
      </c>
      <c r="B389" s="54" t="s">
        <v>632</v>
      </c>
      <c r="C389" s="31">
        <v>4301180001</v>
      </c>
      <c r="D389" s="603">
        <v>4680115880016</v>
      </c>
      <c r="E389" s="604"/>
      <c r="F389" s="596">
        <v>0.1</v>
      </c>
      <c r="G389" s="32">
        <v>20</v>
      </c>
      <c r="H389" s="596">
        <v>2</v>
      </c>
      <c r="I389" s="596">
        <v>2.2400000000000002</v>
      </c>
      <c r="J389" s="32">
        <v>238</v>
      </c>
      <c r="K389" s="32" t="s">
        <v>77</v>
      </c>
      <c r="L389" s="32"/>
      <c r="M389" s="33" t="s">
        <v>627</v>
      </c>
      <c r="N389" s="33"/>
      <c r="O389" s="32">
        <v>731</v>
      </c>
      <c r="P389" s="9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9" s="606"/>
      <c r="R389" s="606"/>
      <c r="S389" s="606"/>
      <c r="T389" s="607"/>
      <c r="U389" s="34"/>
      <c r="V389" s="34"/>
      <c r="W389" s="35" t="s">
        <v>67</v>
      </c>
      <c r="X389" s="597">
        <v>0</v>
      </c>
      <c r="Y389" s="598">
        <f>IFERROR(IF(X389="",0,CEILING((X389/$H389),1)*$H389),"")</f>
        <v>0</v>
      </c>
      <c r="Z389" s="36" t="str">
        <f>IFERROR(IF(Y389=0,"",ROUNDUP(Y389/H389,0)*0.00474),"")</f>
        <v/>
      </c>
      <c r="AA389" s="56"/>
      <c r="AB389" s="57"/>
      <c r="AC389" s="463" t="s">
        <v>628</v>
      </c>
      <c r="AG389" s="64"/>
      <c r="AJ389" s="68"/>
      <c r="AK389" s="68">
        <v>0</v>
      </c>
      <c r="BB389" s="464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17"/>
      <c r="B390" s="609"/>
      <c r="C390" s="609"/>
      <c r="D390" s="609"/>
      <c r="E390" s="609"/>
      <c r="F390" s="609"/>
      <c r="G390" s="609"/>
      <c r="H390" s="609"/>
      <c r="I390" s="609"/>
      <c r="J390" s="609"/>
      <c r="K390" s="609"/>
      <c r="L390" s="609"/>
      <c r="M390" s="609"/>
      <c r="N390" s="609"/>
      <c r="O390" s="618"/>
      <c r="P390" s="613" t="s">
        <v>72</v>
      </c>
      <c r="Q390" s="614"/>
      <c r="R390" s="614"/>
      <c r="S390" s="614"/>
      <c r="T390" s="614"/>
      <c r="U390" s="614"/>
      <c r="V390" s="615"/>
      <c r="W390" s="37" t="s">
        <v>73</v>
      </c>
      <c r="X390" s="599">
        <f>IFERROR(X387/H387,"0")+IFERROR(X388/H388,"0")+IFERROR(X389/H389,"0")</f>
        <v>0</v>
      </c>
      <c r="Y390" s="599">
        <f>IFERROR(Y387/H387,"0")+IFERROR(Y388/H388,"0")+IFERROR(Y389/H389,"0")</f>
        <v>0</v>
      </c>
      <c r="Z390" s="599">
        <f>IFERROR(IF(Z387="",0,Z387),"0")+IFERROR(IF(Z388="",0,Z388),"0")+IFERROR(IF(Z389="",0,Z389),"0")</f>
        <v>0</v>
      </c>
      <c r="AA390" s="600"/>
      <c r="AB390" s="600"/>
      <c r="AC390" s="600"/>
    </row>
    <row r="391" spans="1:68" x14ac:dyDescent="0.2">
      <c r="A391" s="609"/>
      <c r="B391" s="609"/>
      <c r="C391" s="609"/>
      <c r="D391" s="609"/>
      <c r="E391" s="609"/>
      <c r="F391" s="609"/>
      <c r="G391" s="609"/>
      <c r="H391" s="609"/>
      <c r="I391" s="609"/>
      <c r="J391" s="609"/>
      <c r="K391" s="609"/>
      <c r="L391" s="609"/>
      <c r="M391" s="609"/>
      <c r="N391" s="609"/>
      <c r="O391" s="618"/>
      <c r="P391" s="613" t="s">
        <v>72</v>
      </c>
      <c r="Q391" s="614"/>
      <c r="R391" s="614"/>
      <c r="S391" s="614"/>
      <c r="T391" s="614"/>
      <c r="U391" s="614"/>
      <c r="V391" s="615"/>
      <c r="W391" s="37" t="s">
        <v>67</v>
      </c>
      <c r="X391" s="599">
        <f>IFERROR(SUM(X387:X389),"0")</f>
        <v>0</v>
      </c>
      <c r="Y391" s="599">
        <f>IFERROR(SUM(Y387:Y389),"0")</f>
        <v>0</v>
      </c>
      <c r="Z391" s="37"/>
      <c r="AA391" s="600"/>
      <c r="AB391" s="600"/>
      <c r="AC391" s="600"/>
    </row>
    <row r="392" spans="1:68" ht="16.5" customHeight="1" x14ac:dyDescent="0.25">
      <c r="A392" s="612" t="s">
        <v>633</v>
      </c>
      <c r="B392" s="609"/>
      <c r="C392" s="609"/>
      <c r="D392" s="609"/>
      <c r="E392" s="609"/>
      <c r="F392" s="609"/>
      <c r="G392" s="609"/>
      <c r="H392" s="609"/>
      <c r="I392" s="609"/>
      <c r="J392" s="609"/>
      <c r="K392" s="609"/>
      <c r="L392" s="609"/>
      <c r="M392" s="609"/>
      <c r="N392" s="609"/>
      <c r="O392" s="609"/>
      <c r="P392" s="609"/>
      <c r="Q392" s="609"/>
      <c r="R392" s="609"/>
      <c r="S392" s="609"/>
      <c r="T392" s="609"/>
      <c r="U392" s="609"/>
      <c r="V392" s="609"/>
      <c r="W392" s="609"/>
      <c r="X392" s="609"/>
      <c r="Y392" s="609"/>
      <c r="Z392" s="609"/>
      <c r="AA392" s="592"/>
      <c r="AB392" s="592"/>
      <c r="AC392" s="592"/>
    </row>
    <row r="393" spans="1:68" ht="14.25" customHeight="1" x14ac:dyDescent="0.25">
      <c r="A393" s="608" t="s">
        <v>74</v>
      </c>
      <c r="B393" s="609"/>
      <c r="C393" s="609"/>
      <c r="D393" s="609"/>
      <c r="E393" s="609"/>
      <c r="F393" s="609"/>
      <c r="G393" s="609"/>
      <c r="H393" s="609"/>
      <c r="I393" s="609"/>
      <c r="J393" s="609"/>
      <c r="K393" s="609"/>
      <c r="L393" s="609"/>
      <c r="M393" s="609"/>
      <c r="N393" s="609"/>
      <c r="O393" s="609"/>
      <c r="P393" s="609"/>
      <c r="Q393" s="609"/>
      <c r="R393" s="609"/>
      <c r="S393" s="609"/>
      <c r="T393" s="609"/>
      <c r="U393" s="609"/>
      <c r="V393" s="609"/>
      <c r="W393" s="609"/>
      <c r="X393" s="609"/>
      <c r="Y393" s="609"/>
      <c r="Z393" s="609"/>
      <c r="AA393" s="593"/>
      <c r="AB393" s="593"/>
      <c r="AC393" s="593"/>
    </row>
    <row r="394" spans="1:68" ht="27" customHeight="1" x14ac:dyDescent="0.25">
      <c r="A394" s="54" t="s">
        <v>634</v>
      </c>
      <c r="B394" s="54" t="s">
        <v>635</v>
      </c>
      <c r="C394" s="31">
        <v>4301051489</v>
      </c>
      <c r="D394" s="603">
        <v>4607091387919</v>
      </c>
      <c r="E394" s="604"/>
      <c r="F394" s="596">
        <v>1.35</v>
      </c>
      <c r="G394" s="32">
        <v>6</v>
      </c>
      <c r="H394" s="596">
        <v>8.1</v>
      </c>
      <c r="I394" s="596">
        <v>8.5939999999999994</v>
      </c>
      <c r="J394" s="32">
        <v>64</v>
      </c>
      <c r="K394" s="32" t="s">
        <v>120</v>
      </c>
      <c r="L394" s="32"/>
      <c r="M394" s="33" t="s">
        <v>84</v>
      </c>
      <c r="N394" s="33"/>
      <c r="O394" s="32">
        <v>45</v>
      </c>
      <c r="P394" s="9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4" s="606"/>
      <c r="R394" s="606"/>
      <c r="S394" s="606"/>
      <c r="T394" s="607"/>
      <c r="U394" s="34"/>
      <c r="V394" s="34"/>
      <c r="W394" s="35" t="s">
        <v>67</v>
      </c>
      <c r="X394" s="597">
        <v>0</v>
      </c>
      <c r="Y394" s="598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65" t="s">
        <v>636</v>
      </c>
      <c r="AG394" s="64"/>
      <c r="AJ394" s="68"/>
      <c r="AK394" s="68">
        <v>0</v>
      </c>
      <c r="BB394" s="46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637</v>
      </c>
      <c r="B395" s="54" t="s">
        <v>638</v>
      </c>
      <c r="C395" s="31">
        <v>4301051461</v>
      </c>
      <c r="D395" s="603">
        <v>4680115883604</v>
      </c>
      <c r="E395" s="604"/>
      <c r="F395" s="596">
        <v>0.35</v>
      </c>
      <c r="G395" s="32">
        <v>6</v>
      </c>
      <c r="H395" s="596">
        <v>2.1</v>
      </c>
      <c r="I395" s="596">
        <v>2.3519999999999999</v>
      </c>
      <c r="J395" s="32">
        <v>182</v>
      </c>
      <c r="K395" s="32" t="s">
        <v>77</v>
      </c>
      <c r="L395" s="32"/>
      <c r="M395" s="33" t="s">
        <v>78</v>
      </c>
      <c r="N395" s="33"/>
      <c r="O395" s="32">
        <v>45</v>
      </c>
      <c r="P395" s="77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5" s="606"/>
      <c r="R395" s="606"/>
      <c r="S395" s="606"/>
      <c r="T395" s="607"/>
      <c r="U395" s="34"/>
      <c r="V395" s="34"/>
      <c r="W395" s="35" t="s">
        <v>67</v>
      </c>
      <c r="X395" s="597">
        <v>103</v>
      </c>
      <c r="Y395" s="598">
        <f>IFERROR(IF(X395="",0,CEILING((X395/$H395),1)*$H395),"")</f>
        <v>105</v>
      </c>
      <c r="Z395" s="36">
        <f>IFERROR(IF(Y395=0,"",ROUNDUP(Y395/H395,0)*0.00651),"")</f>
        <v>0.32550000000000001</v>
      </c>
      <c r="AA395" s="56"/>
      <c r="AB395" s="57"/>
      <c r="AC395" s="467" t="s">
        <v>639</v>
      </c>
      <c r="AG395" s="64"/>
      <c r="AJ395" s="68"/>
      <c r="AK395" s="68">
        <v>0</v>
      </c>
      <c r="BB395" s="468" t="s">
        <v>1</v>
      </c>
      <c r="BM395" s="64">
        <f>IFERROR(X395*I395/H395,"0")</f>
        <v>115.36</v>
      </c>
      <c r="BN395" s="64">
        <f>IFERROR(Y395*I395/H395,"0")</f>
        <v>117.59999999999998</v>
      </c>
      <c r="BO395" s="64">
        <f>IFERROR(1/J395*(X395/H395),"0")</f>
        <v>0.26949241234955523</v>
      </c>
      <c r="BP395" s="64">
        <f>IFERROR(1/J395*(Y395/H395),"0")</f>
        <v>0.27472527472527475</v>
      </c>
    </row>
    <row r="396" spans="1:68" ht="27" customHeight="1" x14ac:dyDescent="0.25">
      <c r="A396" s="54" t="s">
        <v>640</v>
      </c>
      <c r="B396" s="54" t="s">
        <v>641</v>
      </c>
      <c r="C396" s="31">
        <v>4301051864</v>
      </c>
      <c r="D396" s="603">
        <v>4680115883567</v>
      </c>
      <c r="E396" s="604"/>
      <c r="F396" s="596">
        <v>0.35</v>
      </c>
      <c r="G396" s="32">
        <v>6</v>
      </c>
      <c r="H396" s="596">
        <v>2.1</v>
      </c>
      <c r="I396" s="596">
        <v>2.34</v>
      </c>
      <c r="J396" s="32">
        <v>182</v>
      </c>
      <c r="K396" s="32" t="s">
        <v>77</v>
      </c>
      <c r="L396" s="32"/>
      <c r="M396" s="33" t="s">
        <v>84</v>
      </c>
      <c r="N396" s="33"/>
      <c r="O396" s="32">
        <v>40</v>
      </c>
      <c r="P396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6" s="606"/>
      <c r="R396" s="606"/>
      <c r="S396" s="606"/>
      <c r="T396" s="607"/>
      <c r="U396" s="34"/>
      <c r="V396" s="34"/>
      <c r="W396" s="35" t="s">
        <v>67</v>
      </c>
      <c r="X396" s="597">
        <v>0</v>
      </c>
      <c r="Y396" s="59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69" t="s">
        <v>642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17"/>
      <c r="B397" s="609"/>
      <c r="C397" s="609"/>
      <c r="D397" s="609"/>
      <c r="E397" s="609"/>
      <c r="F397" s="609"/>
      <c r="G397" s="609"/>
      <c r="H397" s="609"/>
      <c r="I397" s="609"/>
      <c r="J397" s="609"/>
      <c r="K397" s="609"/>
      <c r="L397" s="609"/>
      <c r="M397" s="609"/>
      <c r="N397" s="609"/>
      <c r="O397" s="618"/>
      <c r="P397" s="613" t="s">
        <v>72</v>
      </c>
      <c r="Q397" s="614"/>
      <c r="R397" s="614"/>
      <c r="S397" s="614"/>
      <c r="T397" s="614"/>
      <c r="U397" s="614"/>
      <c r="V397" s="615"/>
      <c r="W397" s="37" t="s">
        <v>73</v>
      </c>
      <c r="X397" s="599">
        <f>IFERROR(X394/H394,"0")+IFERROR(X395/H395,"0")+IFERROR(X396/H396,"0")</f>
        <v>49.047619047619044</v>
      </c>
      <c r="Y397" s="599">
        <f>IFERROR(Y394/H394,"0")+IFERROR(Y395/H395,"0")+IFERROR(Y396/H396,"0")</f>
        <v>50</v>
      </c>
      <c r="Z397" s="599">
        <f>IFERROR(IF(Z394="",0,Z394),"0")+IFERROR(IF(Z395="",0,Z395),"0")+IFERROR(IF(Z396="",0,Z396),"0")</f>
        <v>0.32550000000000001</v>
      </c>
      <c r="AA397" s="600"/>
      <c r="AB397" s="600"/>
      <c r="AC397" s="600"/>
    </row>
    <row r="398" spans="1:68" x14ac:dyDescent="0.2">
      <c r="A398" s="609"/>
      <c r="B398" s="609"/>
      <c r="C398" s="609"/>
      <c r="D398" s="609"/>
      <c r="E398" s="609"/>
      <c r="F398" s="609"/>
      <c r="G398" s="609"/>
      <c r="H398" s="609"/>
      <c r="I398" s="609"/>
      <c r="J398" s="609"/>
      <c r="K398" s="609"/>
      <c r="L398" s="609"/>
      <c r="M398" s="609"/>
      <c r="N398" s="609"/>
      <c r="O398" s="618"/>
      <c r="P398" s="613" t="s">
        <v>72</v>
      </c>
      <c r="Q398" s="614"/>
      <c r="R398" s="614"/>
      <c r="S398" s="614"/>
      <c r="T398" s="614"/>
      <c r="U398" s="614"/>
      <c r="V398" s="615"/>
      <c r="W398" s="37" t="s">
        <v>67</v>
      </c>
      <c r="X398" s="599">
        <f>IFERROR(SUM(X394:X396),"0")</f>
        <v>103</v>
      </c>
      <c r="Y398" s="599">
        <f>IFERROR(SUM(Y394:Y396),"0")</f>
        <v>105</v>
      </c>
      <c r="Z398" s="37"/>
      <c r="AA398" s="600"/>
      <c r="AB398" s="600"/>
      <c r="AC398" s="600"/>
    </row>
    <row r="399" spans="1:68" ht="27.75" customHeight="1" x14ac:dyDescent="0.2">
      <c r="A399" s="643" t="s">
        <v>643</v>
      </c>
      <c r="B399" s="644"/>
      <c r="C399" s="644"/>
      <c r="D399" s="644"/>
      <c r="E399" s="644"/>
      <c r="F399" s="644"/>
      <c r="G399" s="644"/>
      <c r="H399" s="644"/>
      <c r="I399" s="644"/>
      <c r="J399" s="644"/>
      <c r="K399" s="644"/>
      <c r="L399" s="644"/>
      <c r="M399" s="644"/>
      <c r="N399" s="644"/>
      <c r="O399" s="644"/>
      <c r="P399" s="644"/>
      <c r="Q399" s="644"/>
      <c r="R399" s="644"/>
      <c r="S399" s="644"/>
      <c r="T399" s="644"/>
      <c r="U399" s="644"/>
      <c r="V399" s="644"/>
      <c r="W399" s="644"/>
      <c r="X399" s="644"/>
      <c r="Y399" s="644"/>
      <c r="Z399" s="644"/>
      <c r="AA399" s="48"/>
      <c r="AB399" s="48"/>
      <c r="AC399" s="48"/>
    </row>
    <row r="400" spans="1:68" ht="16.5" customHeight="1" x14ac:dyDescent="0.25">
      <c r="A400" s="612" t="s">
        <v>644</v>
      </c>
      <c r="B400" s="609"/>
      <c r="C400" s="609"/>
      <c r="D400" s="609"/>
      <c r="E400" s="609"/>
      <c r="F400" s="609"/>
      <c r="G400" s="609"/>
      <c r="H400" s="609"/>
      <c r="I400" s="609"/>
      <c r="J400" s="609"/>
      <c r="K400" s="609"/>
      <c r="L400" s="609"/>
      <c r="M400" s="609"/>
      <c r="N400" s="609"/>
      <c r="O400" s="609"/>
      <c r="P400" s="609"/>
      <c r="Q400" s="609"/>
      <c r="R400" s="609"/>
      <c r="S400" s="609"/>
      <c r="T400" s="609"/>
      <c r="U400" s="609"/>
      <c r="V400" s="609"/>
      <c r="W400" s="609"/>
      <c r="X400" s="609"/>
      <c r="Y400" s="609"/>
      <c r="Z400" s="609"/>
      <c r="AA400" s="592"/>
      <c r="AB400" s="592"/>
      <c r="AC400" s="592"/>
    </row>
    <row r="401" spans="1:68" ht="14.25" customHeight="1" x14ac:dyDescent="0.25">
      <c r="A401" s="608" t="s">
        <v>117</v>
      </c>
      <c r="B401" s="609"/>
      <c r="C401" s="609"/>
      <c r="D401" s="609"/>
      <c r="E401" s="609"/>
      <c r="F401" s="609"/>
      <c r="G401" s="609"/>
      <c r="H401" s="609"/>
      <c r="I401" s="609"/>
      <c r="J401" s="609"/>
      <c r="K401" s="609"/>
      <c r="L401" s="609"/>
      <c r="M401" s="609"/>
      <c r="N401" s="609"/>
      <c r="O401" s="609"/>
      <c r="P401" s="609"/>
      <c r="Q401" s="609"/>
      <c r="R401" s="609"/>
      <c r="S401" s="609"/>
      <c r="T401" s="609"/>
      <c r="U401" s="609"/>
      <c r="V401" s="609"/>
      <c r="W401" s="609"/>
      <c r="X401" s="609"/>
      <c r="Y401" s="609"/>
      <c r="Z401" s="609"/>
      <c r="AA401" s="593"/>
      <c r="AB401" s="593"/>
      <c r="AC401" s="593"/>
    </row>
    <row r="402" spans="1:68" ht="27" customHeight="1" x14ac:dyDescent="0.25">
      <c r="A402" s="54" t="s">
        <v>645</v>
      </c>
      <c r="B402" s="54" t="s">
        <v>646</v>
      </c>
      <c r="C402" s="31">
        <v>4301012332</v>
      </c>
      <c r="D402" s="603">
        <v>4680115888401</v>
      </c>
      <c r="E402" s="604"/>
      <c r="F402" s="596">
        <v>2.5</v>
      </c>
      <c r="G402" s="32">
        <v>6</v>
      </c>
      <c r="H402" s="596">
        <v>15</v>
      </c>
      <c r="I402" s="596">
        <v>15.47</v>
      </c>
      <c r="J402" s="32">
        <v>48</v>
      </c>
      <c r="K402" s="32" t="s">
        <v>120</v>
      </c>
      <c r="L402" s="32"/>
      <c r="M402" s="33" t="s">
        <v>84</v>
      </c>
      <c r="N402" s="33"/>
      <c r="O402" s="32">
        <v>60</v>
      </c>
      <c r="P402" s="8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2" s="606"/>
      <c r="R402" s="606"/>
      <c r="S402" s="606"/>
      <c r="T402" s="607"/>
      <c r="U402" s="34"/>
      <c r="V402" s="34"/>
      <c r="W402" s="35" t="s">
        <v>67</v>
      </c>
      <c r="X402" s="597">
        <v>0</v>
      </c>
      <c r="Y402" s="598">
        <f t="shared" ref="Y402:Y409" si="52">IFERROR(IF(X402="",0,CEILING((X402/$H402),1)*$H402),"")</f>
        <v>0</v>
      </c>
      <c r="Z402" s="36" t="str">
        <f>IFERROR(IF(Y402=0,"",ROUNDUP(Y402/H402,0)*0.02175),"")</f>
        <v/>
      </c>
      <c r="AA402" s="56"/>
      <c r="AB402" s="57"/>
      <c r="AC402" s="471" t="s">
        <v>647</v>
      </c>
      <c r="AG402" s="64"/>
      <c r="AJ402" s="68"/>
      <c r="AK402" s="68">
        <v>0</v>
      </c>
      <c r="BB402" s="472" t="s">
        <v>1</v>
      </c>
      <c r="BM402" s="64">
        <f t="shared" ref="BM402:BM409" si="53">IFERROR(X402*I402/H402,"0")</f>
        <v>0</v>
      </c>
      <c r="BN402" s="64">
        <f t="shared" ref="BN402:BN409" si="54">IFERROR(Y402*I402/H402,"0")</f>
        <v>0</v>
      </c>
      <c r="BO402" s="64">
        <f t="shared" ref="BO402:BO409" si="55">IFERROR(1/J402*(X402/H402),"0")</f>
        <v>0</v>
      </c>
      <c r="BP402" s="64">
        <f t="shared" ref="BP402:BP409" si="56">IFERROR(1/J402*(Y402/H402),"0")</f>
        <v>0</v>
      </c>
    </row>
    <row r="403" spans="1:68" ht="37.5" customHeight="1" x14ac:dyDescent="0.25">
      <c r="A403" s="54" t="s">
        <v>648</v>
      </c>
      <c r="B403" s="54" t="s">
        <v>649</v>
      </c>
      <c r="C403" s="31">
        <v>4301011869</v>
      </c>
      <c r="D403" s="603">
        <v>4680115884847</v>
      </c>
      <c r="E403" s="604"/>
      <c r="F403" s="596">
        <v>2.5</v>
      </c>
      <c r="G403" s="32">
        <v>6</v>
      </c>
      <c r="H403" s="596">
        <v>15</v>
      </c>
      <c r="I403" s="596">
        <v>15.47</v>
      </c>
      <c r="J403" s="32">
        <v>48</v>
      </c>
      <c r="K403" s="32" t="s">
        <v>120</v>
      </c>
      <c r="L403" s="32"/>
      <c r="M403" s="33" t="s">
        <v>66</v>
      </c>
      <c r="N403" s="33"/>
      <c r="O403" s="32">
        <v>60</v>
      </c>
      <c r="P403" s="8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3" s="606"/>
      <c r="R403" s="606"/>
      <c r="S403" s="606"/>
      <c r="T403" s="607"/>
      <c r="U403" s="34"/>
      <c r="V403" s="34"/>
      <c r="W403" s="35" t="s">
        <v>67</v>
      </c>
      <c r="X403" s="597">
        <v>0</v>
      </c>
      <c r="Y403" s="598">
        <f t="shared" si="52"/>
        <v>0</v>
      </c>
      <c r="Z403" s="36" t="str">
        <f>IFERROR(IF(Y403=0,"",ROUNDUP(Y403/H403,0)*0.02175),"")</f>
        <v/>
      </c>
      <c r="AA403" s="56"/>
      <c r="AB403" s="57"/>
      <c r="AC403" s="473" t="s">
        <v>650</v>
      </c>
      <c r="AG403" s="64"/>
      <c r="AJ403" s="68"/>
      <c r="AK403" s="68">
        <v>0</v>
      </c>
      <c r="BB403" s="474" t="s">
        <v>1</v>
      </c>
      <c r="BM403" s="64">
        <f t="shared" si="53"/>
        <v>0</v>
      </c>
      <c r="BN403" s="64">
        <f t="shared" si="54"/>
        <v>0</v>
      </c>
      <c r="BO403" s="64">
        <f t="shared" si="55"/>
        <v>0</v>
      </c>
      <c r="BP403" s="64">
        <f t="shared" si="56"/>
        <v>0</v>
      </c>
    </row>
    <row r="404" spans="1:68" ht="27" customHeight="1" x14ac:dyDescent="0.25">
      <c r="A404" s="54" t="s">
        <v>651</v>
      </c>
      <c r="B404" s="54" t="s">
        <v>652</v>
      </c>
      <c r="C404" s="31">
        <v>4301012083</v>
      </c>
      <c r="D404" s="603">
        <v>4680115884854</v>
      </c>
      <c r="E404" s="604"/>
      <c r="F404" s="596">
        <v>2.5</v>
      </c>
      <c r="G404" s="32">
        <v>6</v>
      </c>
      <c r="H404" s="596">
        <v>15</v>
      </c>
      <c r="I404" s="596">
        <v>15.47</v>
      </c>
      <c r="J404" s="32">
        <v>48</v>
      </c>
      <c r="K404" s="32" t="s">
        <v>120</v>
      </c>
      <c r="L404" s="32"/>
      <c r="M404" s="33" t="s">
        <v>121</v>
      </c>
      <c r="N404" s="33"/>
      <c r="O404" s="32">
        <v>60</v>
      </c>
      <c r="P404" s="9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4" s="606"/>
      <c r="R404" s="606"/>
      <c r="S404" s="606"/>
      <c r="T404" s="607"/>
      <c r="U404" s="34"/>
      <c r="V404" s="34"/>
      <c r="W404" s="35" t="s">
        <v>67</v>
      </c>
      <c r="X404" s="597">
        <v>0</v>
      </c>
      <c r="Y404" s="598">
        <f t="shared" si="52"/>
        <v>0</v>
      </c>
      <c r="Z404" s="36" t="str">
        <f>IFERROR(IF(Y404=0,"",ROUNDUP(Y404/H404,0)*0.02175),"")</f>
        <v/>
      </c>
      <c r="AA404" s="56"/>
      <c r="AB404" s="57"/>
      <c r="AC404" s="475" t="s">
        <v>653</v>
      </c>
      <c r="AG404" s="64"/>
      <c r="AJ404" s="68"/>
      <c r="AK404" s="68">
        <v>0</v>
      </c>
      <c r="BB404" s="476" t="s">
        <v>1</v>
      </c>
      <c r="BM404" s="64">
        <f t="shared" si="53"/>
        <v>0</v>
      </c>
      <c r="BN404" s="64">
        <f t="shared" si="54"/>
        <v>0</v>
      </c>
      <c r="BO404" s="64">
        <f t="shared" si="55"/>
        <v>0</v>
      </c>
      <c r="BP404" s="64">
        <f t="shared" si="56"/>
        <v>0</v>
      </c>
    </row>
    <row r="405" spans="1:68" ht="27" customHeight="1" x14ac:dyDescent="0.25">
      <c r="A405" s="54" t="s">
        <v>654</v>
      </c>
      <c r="B405" s="54" t="s">
        <v>655</v>
      </c>
      <c r="C405" s="31">
        <v>4301011867</v>
      </c>
      <c r="D405" s="603">
        <v>4680115884830</v>
      </c>
      <c r="E405" s="604"/>
      <c r="F405" s="596">
        <v>2.5</v>
      </c>
      <c r="G405" s="32">
        <v>6</v>
      </c>
      <c r="H405" s="596">
        <v>15</v>
      </c>
      <c r="I405" s="596">
        <v>15.47</v>
      </c>
      <c r="J405" s="32">
        <v>48</v>
      </c>
      <c r="K405" s="32" t="s">
        <v>120</v>
      </c>
      <c r="L405" s="32"/>
      <c r="M405" s="33" t="s">
        <v>66</v>
      </c>
      <c r="N405" s="33"/>
      <c r="O405" s="32">
        <v>60</v>
      </c>
      <c r="P405" s="94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5" s="606"/>
      <c r="R405" s="606"/>
      <c r="S405" s="606"/>
      <c r="T405" s="607"/>
      <c r="U405" s="34"/>
      <c r="V405" s="34"/>
      <c r="W405" s="35" t="s">
        <v>67</v>
      </c>
      <c r="X405" s="597">
        <v>0</v>
      </c>
      <c r="Y405" s="598">
        <f t="shared" si="52"/>
        <v>0</v>
      </c>
      <c r="Z405" s="36" t="str">
        <f>IFERROR(IF(Y405=0,"",ROUNDUP(Y405/H405,0)*0.02175),"")</f>
        <v/>
      </c>
      <c r="AA405" s="56"/>
      <c r="AB405" s="57"/>
      <c r="AC405" s="477" t="s">
        <v>656</v>
      </c>
      <c r="AG405" s="64"/>
      <c r="AJ405" s="68"/>
      <c r="AK405" s="68">
        <v>0</v>
      </c>
      <c r="BB405" s="478" t="s">
        <v>1</v>
      </c>
      <c r="BM405" s="64">
        <f t="shared" si="53"/>
        <v>0</v>
      </c>
      <c r="BN405" s="64">
        <f t="shared" si="54"/>
        <v>0</v>
      </c>
      <c r="BO405" s="64">
        <f t="shared" si="55"/>
        <v>0</v>
      </c>
      <c r="BP405" s="64">
        <f t="shared" si="56"/>
        <v>0</v>
      </c>
    </row>
    <row r="406" spans="1:68" ht="27" customHeight="1" x14ac:dyDescent="0.25">
      <c r="A406" s="54" t="s">
        <v>657</v>
      </c>
      <c r="B406" s="54" t="s">
        <v>658</v>
      </c>
      <c r="C406" s="31">
        <v>4301012356</v>
      </c>
      <c r="D406" s="603">
        <v>4680115889231</v>
      </c>
      <c r="E406" s="604"/>
      <c r="F406" s="596">
        <v>2.5</v>
      </c>
      <c r="G406" s="32">
        <v>6</v>
      </c>
      <c r="H406" s="596">
        <v>15</v>
      </c>
      <c r="I406" s="596">
        <v>15.47</v>
      </c>
      <c r="J406" s="32">
        <v>48</v>
      </c>
      <c r="K406" s="32" t="s">
        <v>120</v>
      </c>
      <c r="L406" s="32"/>
      <c r="M406" s="33" t="s">
        <v>84</v>
      </c>
      <c r="N406" s="33"/>
      <c r="O406" s="32">
        <v>60</v>
      </c>
      <c r="P406" s="8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6" s="606"/>
      <c r="R406" s="606"/>
      <c r="S406" s="606"/>
      <c r="T406" s="607"/>
      <c r="U406" s="34"/>
      <c r="V406" s="34"/>
      <c r="W406" s="35" t="s">
        <v>67</v>
      </c>
      <c r="X406" s="597">
        <v>0</v>
      </c>
      <c r="Y406" s="598">
        <f t="shared" si="52"/>
        <v>0</v>
      </c>
      <c r="Z406" s="36" t="str">
        <f>IFERROR(IF(Y406=0,"",ROUNDUP(Y406/H406,0)*0.02175),"")</f>
        <v/>
      </c>
      <c r="AA406" s="56"/>
      <c r="AB406" s="57"/>
      <c r="AC406" s="479" t="s">
        <v>659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ht="27" customHeight="1" x14ac:dyDescent="0.25">
      <c r="A407" s="54" t="s">
        <v>660</v>
      </c>
      <c r="B407" s="54" t="s">
        <v>661</v>
      </c>
      <c r="C407" s="31">
        <v>4301011433</v>
      </c>
      <c r="D407" s="603">
        <v>4680115882638</v>
      </c>
      <c r="E407" s="604"/>
      <c r="F407" s="596">
        <v>0.4</v>
      </c>
      <c r="G407" s="32">
        <v>10</v>
      </c>
      <c r="H407" s="596">
        <v>4</v>
      </c>
      <c r="I407" s="596">
        <v>4.1900000000000004</v>
      </c>
      <c r="J407" s="32">
        <v>132</v>
      </c>
      <c r="K407" s="32" t="s">
        <v>129</v>
      </c>
      <c r="L407" s="32"/>
      <c r="M407" s="33" t="s">
        <v>121</v>
      </c>
      <c r="N407" s="33"/>
      <c r="O407" s="32">
        <v>90</v>
      </c>
      <c r="P407" s="8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7" s="606"/>
      <c r="R407" s="606"/>
      <c r="S407" s="606"/>
      <c r="T407" s="607"/>
      <c r="U407" s="34"/>
      <c r="V407" s="34"/>
      <c r="W407" s="35" t="s">
        <v>67</v>
      </c>
      <c r="X407" s="597">
        <v>0</v>
      </c>
      <c r="Y407" s="598">
        <f t="shared" si="52"/>
        <v>0</v>
      </c>
      <c r="Z407" s="36" t="str">
        <f>IFERROR(IF(Y407=0,"",ROUNDUP(Y407/H407,0)*0.00902),"")</f>
        <v/>
      </c>
      <c r="AA407" s="56"/>
      <c r="AB407" s="57"/>
      <c r="AC407" s="481" t="s">
        <v>662</v>
      </c>
      <c r="AG407" s="64"/>
      <c r="AJ407" s="68"/>
      <c r="AK407" s="68">
        <v>0</v>
      </c>
      <c r="BB407" s="482" t="s">
        <v>1</v>
      </c>
      <c r="BM407" s="64">
        <f t="shared" si="53"/>
        <v>0</v>
      </c>
      <c r="BN407" s="64">
        <f t="shared" si="54"/>
        <v>0</v>
      </c>
      <c r="BO407" s="64">
        <f t="shared" si="55"/>
        <v>0</v>
      </c>
      <c r="BP407" s="64">
        <f t="shared" si="56"/>
        <v>0</v>
      </c>
    </row>
    <row r="408" spans="1:68" ht="27" customHeight="1" x14ac:dyDescent="0.25">
      <c r="A408" s="54" t="s">
        <v>663</v>
      </c>
      <c r="B408" s="54" t="s">
        <v>664</v>
      </c>
      <c r="C408" s="31">
        <v>4301011952</v>
      </c>
      <c r="D408" s="603">
        <v>4680115884922</v>
      </c>
      <c r="E408" s="604"/>
      <c r="F408" s="596">
        <v>0.5</v>
      </c>
      <c r="G408" s="32">
        <v>10</v>
      </c>
      <c r="H408" s="596">
        <v>5</v>
      </c>
      <c r="I408" s="596">
        <v>5.19</v>
      </c>
      <c r="J408" s="32">
        <v>132</v>
      </c>
      <c r="K408" s="32" t="s">
        <v>129</v>
      </c>
      <c r="L408" s="32"/>
      <c r="M408" s="33" t="s">
        <v>66</v>
      </c>
      <c r="N408" s="33"/>
      <c r="O408" s="32">
        <v>60</v>
      </c>
      <c r="P408" s="66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8" s="606"/>
      <c r="R408" s="606"/>
      <c r="S408" s="606"/>
      <c r="T408" s="607"/>
      <c r="U408" s="34"/>
      <c r="V408" s="34"/>
      <c r="W408" s="35" t="s">
        <v>67</v>
      </c>
      <c r="X408" s="597">
        <v>0</v>
      </c>
      <c r="Y408" s="598">
        <f t="shared" si="52"/>
        <v>0</v>
      </c>
      <c r="Z408" s="36" t="str">
        <f>IFERROR(IF(Y408=0,"",ROUNDUP(Y408/H408,0)*0.00902),"")</f>
        <v/>
      </c>
      <c r="AA408" s="56"/>
      <c r="AB408" s="57"/>
      <c r="AC408" s="483" t="s">
        <v>665</v>
      </c>
      <c r="AG408" s="64"/>
      <c r="AJ408" s="68"/>
      <c r="AK408" s="68">
        <v>0</v>
      </c>
      <c r="BB408" s="484" t="s">
        <v>1</v>
      </c>
      <c r="BM408" s="64">
        <f t="shared" si="53"/>
        <v>0</v>
      </c>
      <c r="BN408" s="64">
        <f t="shared" si="54"/>
        <v>0</v>
      </c>
      <c r="BO408" s="64">
        <f t="shared" si="55"/>
        <v>0</v>
      </c>
      <c r="BP408" s="64">
        <f t="shared" si="56"/>
        <v>0</v>
      </c>
    </row>
    <row r="409" spans="1:68" ht="37.5" customHeight="1" x14ac:dyDescent="0.25">
      <c r="A409" s="54" t="s">
        <v>666</v>
      </c>
      <c r="B409" s="54" t="s">
        <v>667</v>
      </c>
      <c r="C409" s="31">
        <v>4301011868</v>
      </c>
      <c r="D409" s="603">
        <v>4680115884861</v>
      </c>
      <c r="E409" s="604"/>
      <c r="F409" s="596">
        <v>0.5</v>
      </c>
      <c r="G409" s="32">
        <v>10</v>
      </c>
      <c r="H409" s="596">
        <v>5</v>
      </c>
      <c r="I409" s="596">
        <v>5.19</v>
      </c>
      <c r="J409" s="32">
        <v>132</v>
      </c>
      <c r="K409" s="32" t="s">
        <v>129</v>
      </c>
      <c r="L409" s="32"/>
      <c r="M409" s="33" t="s">
        <v>66</v>
      </c>
      <c r="N409" s="33"/>
      <c r="O409" s="32">
        <v>60</v>
      </c>
      <c r="P409" s="76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9" s="606"/>
      <c r="R409" s="606"/>
      <c r="S409" s="606"/>
      <c r="T409" s="607"/>
      <c r="U409" s="34"/>
      <c r="V409" s="34"/>
      <c r="W409" s="35" t="s">
        <v>67</v>
      </c>
      <c r="X409" s="597">
        <v>0</v>
      </c>
      <c r="Y409" s="598">
        <f t="shared" si="52"/>
        <v>0</v>
      </c>
      <c r="Z409" s="36" t="str">
        <f>IFERROR(IF(Y409=0,"",ROUNDUP(Y409/H409,0)*0.00902),"")</f>
        <v/>
      </c>
      <c r="AA409" s="56"/>
      <c r="AB409" s="57"/>
      <c r="AC409" s="485" t="s">
        <v>668</v>
      </c>
      <c r="AG409" s="64"/>
      <c r="AJ409" s="68"/>
      <c r="AK409" s="68">
        <v>0</v>
      </c>
      <c r="BB409" s="486" t="s">
        <v>1</v>
      </c>
      <c r="BM409" s="64">
        <f t="shared" si="53"/>
        <v>0</v>
      </c>
      <c r="BN409" s="64">
        <f t="shared" si="54"/>
        <v>0</v>
      </c>
      <c r="BO409" s="64">
        <f t="shared" si="55"/>
        <v>0</v>
      </c>
      <c r="BP409" s="64">
        <f t="shared" si="56"/>
        <v>0</v>
      </c>
    </row>
    <row r="410" spans="1:68" x14ac:dyDescent="0.2">
      <c r="A410" s="617"/>
      <c r="B410" s="609"/>
      <c r="C410" s="609"/>
      <c r="D410" s="609"/>
      <c r="E410" s="609"/>
      <c r="F410" s="609"/>
      <c r="G410" s="609"/>
      <c r="H410" s="609"/>
      <c r="I410" s="609"/>
      <c r="J410" s="609"/>
      <c r="K410" s="609"/>
      <c r="L410" s="609"/>
      <c r="M410" s="609"/>
      <c r="N410" s="609"/>
      <c r="O410" s="618"/>
      <c r="P410" s="613" t="s">
        <v>72</v>
      </c>
      <c r="Q410" s="614"/>
      <c r="R410" s="614"/>
      <c r="S410" s="614"/>
      <c r="T410" s="614"/>
      <c r="U410" s="614"/>
      <c r="V410" s="615"/>
      <c r="W410" s="37" t="s">
        <v>73</v>
      </c>
      <c r="X410" s="599">
        <f>IFERROR(X402/H402,"0")+IFERROR(X403/H403,"0")+IFERROR(X404/H404,"0")+IFERROR(X405/H405,"0")+IFERROR(X406/H406,"0")+IFERROR(X407/H407,"0")+IFERROR(X408/H408,"0")+IFERROR(X409/H409,"0")</f>
        <v>0</v>
      </c>
      <c r="Y410" s="599">
        <f>IFERROR(Y402/H402,"0")+IFERROR(Y403/H403,"0")+IFERROR(Y404/H404,"0")+IFERROR(Y405/H405,"0")+IFERROR(Y406/H406,"0")+IFERROR(Y407/H407,"0")+IFERROR(Y408/H408,"0")+IFERROR(Y409/H409,"0")</f>
        <v>0</v>
      </c>
      <c r="Z410" s="599">
        <f>IFERROR(IF(Z402="",0,Z402),"0")+IFERROR(IF(Z403="",0,Z403),"0")+IFERROR(IF(Z404="",0,Z404),"0")+IFERROR(IF(Z405="",0,Z405),"0")+IFERROR(IF(Z406="",0,Z406),"0")+IFERROR(IF(Z407="",0,Z407),"0")+IFERROR(IF(Z408="",0,Z408),"0")+IFERROR(IF(Z409="",0,Z409),"0")</f>
        <v>0</v>
      </c>
      <c r="AA410" s="600"/>
      <c r="AB410" s="600"/>
      <c r="AC410" s="600"/>
    </row>
    <row r="411" spans="1:68" x14ac:dyDescent="0.2">
      <c r="A411" s="609"/>
      <c r="B411" s="609"/>
      <c r="C411" s="609"/>
      <c r="D411" s="609"/>
      <c r="E411" s="609"/>
      <c r="F411" s="609"/>
      <c r="G411" s="609"/>
      <c r="H411" s="609"/>
      <c r="I411" s="609"/>
      <c r="J411" s="609"/>
      <c r="K411" s="609"/>
      <c r="L411" s="609"/>
      <c r="M411" s="609"/>
      <c r="N411" s="609"/>
      <c r="O411" s="618"/>
      <c r="P411" s="613" t="s">
        <v>72</v>
      </c>
      <c r="Q411" s="614"/>
      <c r="R411" s="614"/>
      <c r="S411" s="614"/>
      <c r="T411" s="614"/>
      <c r="U411" s="614"/>
      <c r="V411" s="615"/>
      <c r="W411" s="37" t="s">
        <v>67</v>
      </c>
      <c r="X411" s="599">
        <f>IFERROR(SUM(X402:X409),"0")</f>
        <v>0</v>
      </c>
      <c r="Y411" s="599">
        <f>IFERROR(SUM(Y402:Y409),"0")</f>
        <v>0</v>
      </c>
      <c r="Z411" s="37"/>
      <c r="AA411" s="600"/>
      <c r="AB411" s="600"/>
      <c r="AC411" s="600"/>
    </row>
    <row r="412" spans="1:68" ht="14.25" customHeight="1" x14ac:dyDescent="0.25">
      <c r="A412" s="608" t="s">
        <v>152</v>
      </c>
      <c r="B412" s="609"/>
      <c r="C412" s="609"/>
      <c r="D412" s="609"/>
      <c r="E412" s="609"/>
      <c r="F412" s="609"/>
      <c r="G412" s="609"/>
      <c r="H412" s="609"/>
      <c r="I412" s="609"/>
      <c r="J412" s="609"/>
      <c r="K412" s="609"/>
      <c r="L412" s="609"/>
      <c r="M412" s="609"/>
      <c r="N412" s="609"/>
      <c r="O412" s="609"/>
      <c r="P412" s="609"/>
      <c r="Q412" s="609"/>
      <c r="R412" s="609"/>
      <c r="S412" s="609"/>
      <c r="T412" s="609"/>
      <c r="U412" s="609"/>
      <c r="V412" s="609"/>
      <c r="W412" s="609"/>
      <c r="X412" s="609"/>
      <c r="Y412" s="609"/>
      <c r="Z412" s="609"/>
      <c r="AA412" s="593"/>
      <c r="AB412" s="593"/>
      <c r="AC412" s="593"/>
    </row>
    <row r="413" spans="1:68" ht="27" customHeight="1" x14ac:dyDescent="0.25">
      <c r="A413" s="54" t="s">
        <v>669</v>
      </c>
      <c r="B413" s="54" t="s">
        <v>670</v>
      </c>
      <c r="C413" s="31">
        <v>4301020178</v>
      </c>
      <c r="D413" s="603">
        <v>4607091383980</v>
      </c>
      <c r="E413" s="604"/>
      <c r="F413" s="596">
        <v>2.5</v>
      </c>
      <c r="G413" s="32">
        <v>6</v>
      </c>
      <c r="H413" s="596">
        <v>15</v>
      </c>
      <c r="I413" s="596">
        <v>15.47</v>
      </c>
      <c r="J413" s="32">
        <v>48</v>
      </c>
      <c r="K413" s="32" t="s">
        <v>120</v>
      </c>
      <c r="L413" s="32"/>
      <c r="M413" s="33" t="s">
        <v>121</v>
      </c>
      <c r="N413" s="33"/>
      <c r="O413" s="32">
        <v>50</v>
      </c>
      <c r="P413" s="9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3" s="606"/>
      <c r="R413" s="606"/>
      <c r="S413" s="606"/>
      <c r="T413" s="607"/>
      <c r="U413" s="34"/>
      <c r="V413" s="34"/>
      <c r="W413" s="35" t="s">
        <v>67</v>
      </c>
      <c r="X413" s="597">
        <v>500</v>
      </c>
      <c r="Y413" s="598">
        <f>IFERROR(IF(X413="",0,CEILING((X413/$H413),1)*$H413),"")</f>
        <v>510</v>
      </c>
      <c r="Z413" s="36">
        <f>IFERROR(IF(Y413=0,"",ROUNDUP(Y413/H413,0)*0.02175),"")</f>
        <v>0.73949999999999994</v>
      </c>
      <c r="AA413" s="56"/>
      <c r="AB413" s="57"/>
      <c r="AC413" s="487" t="s">
        <v>671</v>
      </c>
      <c r="AG413" s="64"/>
      <c r="AJ413" s="68"/>
      <c r="AK413" s="68">
        <v>0</v>
      </c>
      <c r="BB413" s="488" t="s">
        <v>1</v>
      </c>
      <c r="BM413" s="64">
        <f>IFERROR(X413*I413/H413,"0")</f>
        <v>515.66666666666663</v>
      </c>
      <c r="BN413" s="64">
        <f>IFERROR(Y413*I413/H413,"0")</f>
        <v>525.98</v>
      </c>
      <c r="BO413" s="64">
        <f>IFERROR(1/J413*(X413/H413),"0")</f>
        <v>0.69444444444444442</v>
      </c>
      <c r="BP413" s="64">
        <f>IFERROR(1/J413*(Y413/H413),"0")</f>
        <v>0.70833333333333326</v>
      </c>
    </row>
    <row r="414" spans="1:68" ht="27" customHeight="1" x14ac:dyDescent="0.25">
      <c r="A414" s="54" t="s">
        <v>672</v>
      </c>
      <c r="B414" s="54" t="s">
        <v>673</v>
      </c>
      <c r="C414" s="31">
        <v>4301020355</v>
      </c>
      <c r="D414" s="603">
        <v>4680115888425</v>
      </c>
      <c r="E414" s="604"/>
      <c r="F414" s="596">
        <v>2.5</v>
      </c>
      <c r="G414" s="32">
        <v>6</v>
      </c>
      <c r="H414" s="596">
        <v>15</v>
      </c>
      <c r="I414" s="596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50</v>
      </c>
      <c r="P414" s="8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4" s="606"/>
      <c r="R414" s="606"/>
      <c r="S414" s="606"/>
      <c r="T414" s="607"/>
      <c r="U414" s="34"/>
      <c r="V414" s="34"/>
      <c r="W414" s="35" t="s">
        <v>67</v>
      </c>
      <c r="X414" s="597">
        <v>0</v>
      </c>
      <c r="Y414" s="598">
        <f>IFERROR(IF(X414="",0,CEILING((X414/$H414),1)*$H414),"")</f>
        <v>0</v>
      </c>
      <c r="Z414" s="36" t="str">
        <f>IFERROR(IF(Y414=0,"",ROUNDUP(Y414/H414,0)*0.02175),"")</f>
        <v/>
      </c>
      <c r="AA414" s="56"/>
      <c r="AB414" s="57"/>
      <c r="AC414" s="489" t="s">
        <v>674</v>
      </c>
      <c r="AG414" s="64"/>
      <c r="AJ414" s="68"/>
      <c r="AK414" s="68">
        <v>0</v>
      </c>
      <c r="BB414" s="49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675</v>
      </c>
      <c r="B415" s="54" t="s">
        <v>676</v>
      </c>
      <c r="C415" s="31">
        <v>4301020179</v>
      </c>
      <c r="D415" s="603">
        <v>4607091384178</v>
      </c>
      <c r="E415" s="604"/>
      <c r="F415" s="596">
        <v>0.4</v>
      </c>
      <c r="G415" s="32">
        <v>10</v>
      </c>
      <c r="H415" s="596">
        <v>4</v>
      </c>
      <c r="I415" s="596">
        <v>4.1900000000000004</v>
      </c>
      <c r="J415" s="32">
        <v>132</v>
      </c>
      <c r="K415" s="32" t="s">
        <v>129</v>
      </c>
      <c r="L415" s="32"/>
      <c r="M415" s="33" t="s">
        <v>121</v>
      </c>
      <c r="N415" s="33"/>
      <c r="O415" s="32">
        <v>50</v>
      </c>
      <c r="P415" s="6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5" s="606"/>
      <c r="R415" s="606"/>
      <c r="S415" s="606"/>
      <c r="T415" s="607"/>
      <c r="U415" s="34"/>
      <c r="V415" s="34"/>
      <c r="W415" s="35" t="s">
        <v>67</v>
      </c>
      <c r="X415" s="597">
        <v>0</v>
      </c>
      <c r="Y415" s="59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91" t="s">
        <v>677</v>
      </c>
      <c r="AG415" s="64"/>
      <c r="AJ415" s="68"/>
      <c r="AK415" s="68">
        <v>0</v>
      </c>
      <c r="BB415" s="49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17"/>
      <c r="B416" s="609"/>
      <c r="C416" s="609"/>
      <c r="D416" s="609"/>
      <c r="E416" s="609"/>
      <c r="F416" s="609"/>
      <c r="G416" s="609"/>
      <c r="H416" s="609"/>
      <c r="I416" s="609"/>
      <c r="J416" s="609"/>
      <c r="K416" s="609"/>
      <c r="L416" s="609"/>
      <c r="M416" s="609"/>
      <c r="N416" s="609"/>
      <c r="O416" s="618"/>
      <c r="P416" s="613" t="s">
        <v>72</v>
      </c>
      <c r="Q416" s="614"/>
      <c r="R416" s="614"/>
      <c r="S416" s="614"/>
      <c r="T416" s="614"/>
      <c r="U416" s="614"/>
      <c r="V416" s="615"/>
      <c r="W416" s="37" t="s">
        <v>73</v>
      </c>
      <c r="X416" s="599">
        <f>IFERROR(X413/H413,"0")+IFERROR(X414/H414,"0")+IFERROR(X415/H415,"0")</f>
        <v>33.333333333333336</v>
      </c>
      <c r="Y416" s="599">
        <f>IFERROR(Y413/H413,"0")+IFERROR(Y414/H414,"0")+IFERROR(Y415/H415,"0")</f>
        <v>34</v>
      </c>
      <c r="Z416" s="599">
        <f>IFERROR(IF(Z413="",0,Z413),"0")+IFERROR(IF(Z414="",0,Z414),"0")+IFERROR(IF(Z415="",0,Z415),"0")</f>
        <v>0.73949999999999994</v>
      </c>
      <c r="AA416" s="600"/>
      <c r="AB416" s="600"/>
      <c r="AC416" s="600"/>
    </row>
    <row r="417" spans="1:68" x14ac:dyDescent="0.2">
      <c r="A417" s="609"/>
      <c r="B417" s="609"/>
      <c r="C417" s="609"/>
      <c r="D417" s="609"/>
      <c r="E417" s="609"/>
      <c r="F417" s="609"/>
      <c r="G417" s="609"/>
      <c r="H417" s="609"/>
      <c r="I417" s="609"/>
      <c r="J417" s="609"/>
      <c r="K417" s="609"/>
      <c r="L417" s="609"/>
      <c r="M417" s="609"/>
      <c r="N417" s="609"/>
      <c r="O417" s="618"/>
      <c r="P417" s="613" t="s">
        <v>72</v>
      </c>
      <c r="Q417" s="614"/>
      <c r="R417" s="614"/>
      <c r="S417" s="614"/>
      <c r="T417" s="614"/>
      <c r="U417" s="614"/>
      <c r="V417" s="615"/>
      <c r="W417" s="37" t="s">
        <v>67</v>
      </c>
      <c r="X417" s="599">
        <f>IFERROR(SUM(X413:X415),"0")</f>
        <v>500</v>
      </c>
      <c r="Y417" s="599">
        <f>IFERROR(SUM(Y413:Y415),"0")</f>
        <v>510</v>
      </c>
      <c r="Z417" s="37"/>
      <c r="AA417" s="600"/>
      <c r="AB417" s="600"/>
      <c r="AC417" s="600"/>
    </row>
    <row r="418" spans="1:68" ht="14.25" customHeight="1" x14ac:dyDescent="0.25">
      <c r="A418" s="608" t="s">
        <v>74</v>
      </c>
      <c r="B418" s="609"/>
      <c r="C418" s="609"/>
      <c r="D418" s="609"/>
      <c r="E418" s="609"/>
      <c r="F418" s="609"/>
      <c r="G418" s="609"/>
      <c r="H418" s="609"/>
      <c r="I418" s="609"/>
      <c r="J418" s="609"/>
      <c r="K418" s="609"/>
      <c r="L418" s="609"/>
      <c r="M418" s="609"/>
      <c r="N418" s="609"/>
      <c r="O418" s="609"/>
      <c r="P418" s="609"/>
      <c r="Q418" s="609"/>
      <c r="R418" s="609"/>
      <c r="S418" s="609"/>
      <c r="T418" s="609"/>
      <c r="U418" s="609"/>
      <c r="V418" s="609"/>
      <c r="W418" s="609"/>
      <c r="X418" s="609"/>
      <c r="Y418" s="609"/>
      <c r="Z418" s="609"/>
      <c r="AA418" s="593"/>
      <c r="AB418" s="593"/>
      <c r="AC418" s="593"/>
    </row>
    <row r="419" spans="1:68" ht="27" customHeight="1" x14ac:dyDescent="0.25">
      <c r="A419" s="54" t="s">
        <v>678</v>
      </c>
      <c r="B419" s="54" t="s">
        <v>679</v>
      </c>
      <c r="C419" s="31">
        <v>4301051903</v>
      </c>
      <c r="D419" s="603">
        <v>4607091383928</v>
      </c>
      <c r="E419" s="604"/>
      <c r="F419" s="596">
        <v>1.5</v>
      </c>
      <c r="G419" s="32">
        <v>6</v>
      </c>
      <c r="H419" s="596">
        <v>9</v>
      </c>
      <c r="I419" s="596">
        <v>9.5</v>
      </c>
      <c r="J419" s="32">
        <v>64</v>
      </c>
      <c r="K419" s="32" t="s">
        <v>120</v>
      </c>
      <c r="L419" s="32"/>
      <c r="M419" s="33" t="s">
        <v>78</v>
      </c>
      <c r="N419" s="33"/>
      <c r="O419" s="32">
        <v>40</v>
      </c>
      <c r="P419" s="8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9" s="606"/>
      <c r="R419" s="606"/>
      <c r="S419" s="606"/>
      <c r="T419" s="607"/>
      <c r="U419" s="34"/>
      <c r="V419" s="34"/>
      <c r="W419" s="35" t="s">
        <v>67</v>
      </c>
      <c r="X419" s="597">
        <v>0</v>
      </c>
      <c r="Y419" s="59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493" t="s">
        <v>680</v>
      </c>
      <c r="AG419" s="64"/>
      <c r="AJ419" s="68"/>
      <c r="AK419" s="68">
        <v>0</v>
      </c>
      <c r="BB419" s="494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681</v>
      </c>
      <c r="B420" s="54" t="s">
        <v>682</v>
      </c>
      <c r="C420" s="31">
        <v>4301051897</v>
      </c>
      <c r="D420" s="603">
        <v>4607091384260</v>
      </c>
      <c r="E420" s="604"/>
      <c r="F420" s="596">
        <v>1.5</v>
      </c>
      <c r="G420" s="32">
        <v>6</v>
      </c>
      <c r="H420" s="596">
        <v>9</v>
      </c>
      <c r="I420" s="596">
        <v>9.4939999999999998</v>
      </c>
      <c r="J420" s="32">
        <v>64</v>
      </c>
      <c r="K420" s="32" t="s">
        <v>120</v>
      </c>
      <c r="L420" s="32"/>
      <c r="M420" s="33" t="s">
        <v>78</v>
      </c>
      <c r="N420" s="33"/>
      <c r="O420" s="32">
        <v>40</v>
      </c>
      <c r="P420" s="6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0" s="606"/>
      <c r="R420" s="606"/>
      <c r="S420" s="606"/>
      <c r="T420" s="607"/>
      <c r="U420" s="34"/>
      <c r="V420" s="34"/>
      <c r="W420" s="35" t="s">
        <v>67</v>
      </c>
      <c r="X420" s="597">
        <v>20</v>
      </c>
      <c r="Y420" s="598">
        <f>IFERROR(IF(X420="",0,CEILING((X420/$H420),1)*$H420),"")</f>
        <v>27</v>
      </c>
      <c r="Z420" s="36">
        <f>IFERROR(IF(Y420=0,"",ROUNDUP(Y420/H420,0)*0.01898),"")</f>
        <v>5.6940000000000004E-2</v>
      </c>
      <c r="AA420" s="56"/>
      <c r="AB420" s="57"/>
      <c r="AC420" s="495" t="s">
        <v>683</v>
      </c>
      <c r="AG420" s="64"/>
      <c r="AJ420" s="68"/>
      <c r="AK420" s="68">
        <v>0</v>
      </c>
      <c r="BB420" s="496" t="s">
        <v>1</v>
      </c>
      <c r="BM420" s="64">
        <f>IFERROR(X420*I420/H420,"0")</f>
        <v>21.097777777777779</v>
      </c>
      <c r="BN420" s="64">
        <f>IFERROR(Y420*I420/H420,"0")</f>
        <v>28.481999999999996</v>
      </c>
      <c r="BO420" s="64">
        <f>IFERROR(1/J420*(X420/H420),"0")</f>
        <v>3.4722222222222224E-2</v>
      </c>
      <c r="BP420" s="64">
        <f>IFERROR(1/J420*(Y420/H420),"0")</f>
        <v>4.6875E-2</v>
      </c>
    </row>
    <row r="421" spans="1:68" x14ac:dyDescent="0.2">
      <c r="A421" s="617"/>
      <c r="B421" s="609"/>
      <c r="C421" s="609"/>
      <c r="D421" s="609"/>
      <c r="E421" s="609"/>
      <c r="F421" s="609"/>
      <c r="G421" s="609"/>
      <c r="H421" s="609"/>
      <c r="I421" s="609"/>
      <c r="J421" s="609"/>
      <c r="K421" s="609"/>
      <c r="L421" s="609"/>
      <c r="M421" s="609"/>
      <c r="N421" s="609"/>
      <c r="O421" s="618"/>
      <c r="P421" s="613" t="s">
        <v>72</v>
      </c>
      <c r="Q421" s="614"/>
      <c r="R421" s="614"/>
      <c r="S421" s="614"/>
      <c r="T421" s="614"/>
      <c r="U421" s="614"/>
      <c r="V421" s="615"/>
      <c r="W421" s="37" t="s">
        <v>73</v>
      </c>
      <c r="X421" s="599">
        <f>IFERROR(X419/H419,"0")+IFERROR(X420/H420,"0")</f>
        <v>2.2222222222222223</v>
      </c>
      <c r="Y421" s="599">
        <f>IFERROR(Y419/H419,"0")+IFERROR(Y420/H420,"0")</f>
        <v>3</v>
      </c>
      <c r="Z421" s="599">
        <f>IFERROR(IF(Z419="",0,Z419),"0")+IFERROR(IF(Z420="",0,Z420),"0")</f>
        <v>5.6940000000000004E-2</v>
      </c>
      <c r="AA421" s="600"/>
      <c r="AB421" s="600"/>
      <c r="AC421" s="600"/>
    </row>
    <row r="422" spans="1:68" x14ac:dyDescent="0.2">
      <c r="A422" s="609"/>
      <c r="B422" s="609"/>
      <c r="C422" s="609"/>
      <c r="D422" s="609"/>
      <c r="E422" s="609"/>
      <c r="F422" s="609"/>
      <c r="G422" s="609"/>
      <c r="H422" s="609"/>
      <c r="I422" s="609"/>
      <c r="J422" s="609"/>
      <c r="K422" s="609"/>
      <c r="L422" s="609"/>
      <c r="M422" s="609"/>
      <c r="N422" s="609"/>
      <c r="O422" s="618"/>
      <c r="P422" s="613" t="s">
        <v>72</v>
      </c>
      <c r="Q422" s="614"/>
      <c r="R422" s="614"/>
      <c r="S422" s="614"/>
      <c r="T422" s="614"/>
      <c r="U422" s="614"/>
      <c r="V422" s="615"/>
      <c r="W422" s="37" t="s">
        <v>67</v>
      </c>
      <c r="X422" s="599">
        <f>IFERROR(SUM(X419:X420),"0")</f>
        <v>20</v>
      </c>
      <c r="Y422" s="599">
        <f>IFERROR(SUM(Y419:Y420),"0")</f>
        <v>27</v>
      </c>
      <c r="Z422" s="37"/>
      <c r="AA422" s="600"/>
      <c r="AB422" s="600"/>
      <c r="AC422" s="600"/>
    </row>
    <row r="423" spans="1:68" ht="14.25" customHeight="1" x14ac:dyDescent="0.25">
      <c r="A423" s="608" t="s">
        <v>169</v>
      </c>
      <c r="B423" s="609"/>
      <c r="C423" s="609"/>
      <c r="D423" s="609"/>
      <c r="E423" s="609"/>
      <c r="F423" s="609"/>
      <c r="G423" s="609"/>
      <c r="H423" s="609"/>
      <c r="I423" s="609"/>
      <c r="J423" s="609"/>
      <c r="K423" s="609"/>
      <c r="L423" s="609"/>
      <c r="M423" s="609"/>
      <c r="N423" s="609"/>
      <c r="O423" s="609"/>
      <c r="P423" s="609"/>
      <c r="Q423" s="609"/>
      <c r="R423" s="609"/>
      <c r="S423" s="609"/>
      <c r="T423" s="609"/>
      <c r="U423" s="609"/>
      <c r="V423" s="609"/>
      <c r="W423" s="609"/>
      <c r="X423" s="609"/>
      <c r="Y423" s="609"/>
      <c r="Z423" s="609"/>
      <c r="AA423" s="593"/>
      <c r="AB423" s="593"/>
      <c r="AC423" s="593"/>
    </row>
    <row r="424" spans="1:68" ht="16.5" customHeight="1" x14ac:dyDescent="0.25">
      <c r="A424" s="54" t="s">
        <v>684</v>
      </c>
      <c r="B424" s="54" t="s">
        <v>685</v>
      </c>
      <c r="C424" s="31">
        <v>4301060524</v>
      </c>
      <c r="D424" s="603">
        <v>4607091384673</v>
      </c>
      <c r="E424" s="604"/>
      <c r="F424" s="596">
        <v>1.5</v>
      </c>
      <c r="G424" s="32">
        <v>6</v>
      </c>
      <c r="H424" s="596">
        <v>9</v>
      </c>
      <c r="I424" s="596">
        <v>9.4939999999999998</v>
      </c>
      <c r="J424" s="32">
        <v>64</v>
      </c>
      <c r="K424" s="32" t="s">
        <v>120</v>
      </c>
      <c r="L424" s="32"/>
      <c r="M424" s="33" t="s">
        <v>78</v>
      </c>
      <c r="N424" s="33"/>
      <c r="O424" s="32">
        <v>40</v>
      </c>
      <c r="P424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4" s="606"/>
      <c r="R424" s="606"/>
      <c r="S424" s="606"/>
      <c r="T424" s="607"/>
      <c r="U424" s="34"/>
      <c r="V424" s="34"/>
      <c r="W424" s="35" t="s">
        <v>67</v>
      </c>
      <c r="X424" s="597">
        <v>0</v>
      </c>
      <c r="Y424" s="598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7" t="s">
        <v>686</v>
      </c>
      <c r="AG424" s="64"/>
      <c r="AJ424" s="68"/>
      <c r="AK424" s="68">
        <v>0</v>
      </c>
      <c r="BB424" s="49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17"/>
      <c r="B425" s="609"/>
      <c r="C425" s="609"/>
      <c r="D425" s="609"/>
      <c r="E425" s="609"/>
      <c r="F425" s="609"/>
      <c r="G425" s="609"/>
      <c r="H425" s="609"/>
      <c r="I425" s="609"/>
      <c r="J425" s="609"/>
      <c r="K425" s="609"/>
      <c r="L425" s="609"/>
      <c r="M425" s="609"/>
      <c r="N425" s="609"/>
      <c r="O425" s="618"/>
      <c r="P425" s="613" t="s">
        <v>72</v>
      </c>
      <c r="Q425" s="614"/>
      <c r="R425" s="614"/>
      <c r="S425" s="614"/>
      <c r="T425" s="614"/>
      <c r="U425" s="614"/>
      <c r="V425" s="615"/>
      <c r="W425" s="37" t="s">
        <v>73</v>
      </c>
      <c r="X425" s="599">
        <f>IFERROR(X424/H424,"0")</f>
        <v>0</v>
      </c>
      <c r="Y425" s="599">
        <f>IFERROR(Y424/H424,"0")</f>
        <v>0</v>
      </c>
      <c r="Z425" s="599">
        <f>IFERROR(IF(Z424="",0,Z424),"0")</f>
        <v>0</v>
      </c>
      <c r="AA425" s="600"/>
      <c r="AB425" s="600"/>
      <c r="AC425" s="600"/>
    </row>
    <row r="426" spans="1:68" x14ac:dyDescent="0.2">
      <c r="A426" s="609"/>
      <c r="B426" s="609"/>
      <c r="C426" s="609"/>
      <c r="D426" s="609"/>
      <c r="E426" s="609"/>
      <c r="F426" s="609"/>
      <c r="G426" s="609"/>
      <c r="H426" s="609"/>
      <c r="I426" s="609"/>
      <c r="J426" s="609"/>
      <c r="K426" s="609"/>
      <c r="L426" s="609"/>
      <c r="M426" s="609"/>
      <c r="N426" s="609"/>
      <c r="O426" s="618"/>
      <c r="P426" s="613" t="s">
        <v>72</v>
      </c>
      <c r="Q426" s="614"/>
      <c r="R426" s="614"/>
      <c r="S426" s="614"/>
      <c r="T426" s="614"/>
      <c r="U426" s="614"/>
      <c r="V426" s="615"/>
      <c r="W426" s="37" t="s">
        <v>67</v>
      </c>
      <c r="X426" s="599">
        <f>IFERROR(SUM(X424:X424),"0")</f>
        <v>0</v>
      </c>
      <c r="Y426" s="599">
        <f>IFERROR(SUM(Y424:Y424),"0")</f>
        <v>0</v>
      </c>
      <c r="Z426" s="37"/>
      <c r="AA426" s="600"/>
      <c r="AB426" s="600"/>
      <c r="AC426" s="600"/>
    </row>
    <row r="427" spans="1:68" ht="16.5" customHeight="1" x14ac:dyDescent="0.25">
      <c r="A427" s="612" t="s">
        <v>687</v>
      </c>
      <c r="B427" s="609"/>
      <c r="C427" s="609"/>
      <c r="D427" s="609"/>
      <c r="E427" s="609"/>
      <c r="F427" s="609"/>
      <c r="G427" s="609"/>
      <c r="H427" s="609"/>
      <c r="I427" s="609"/>
      <c r="J427" s="609"/>
      <c r="K427" s="609"/>
      <c r="L427" s="609"/>
      <c r="M427" s="609"/>
      <c r="N427" s="609"/>
      <c r="O427" s="609"/>
      <c r="P427" s="609"/>
      <c r="Q427" s="609"/>
      <c r="R427" s="609"/>
      <c r="S427" s="609"/>
      <c r="T427" s="609"/>
      <c r="U427" s="609"/>
      <c r="V427" s="609"/>
      <c r="W427" s="609"/>
      <c r="X427" s="609"/>
      <c r="Y427" s="609"/>
      <c r="Z427" s="609"/>
      <c r="AA427" s="592"/>
      <c r="AB427" s="592"/>
      <c r="AC427" s="592"/>
    </row>
    <row r="428" spans="1:68" ht="14.25" customHeight="1" x14ac:dyDescent="0.25">
      <c r="A428" s="608" t="s">
        <v>117</v>
      </c>
      <c r="B428" s="609"/>
      <c r="C428" s="609"/>
      <c r="D428" s="609"/>
      <c r="E428" s="609"/>
      <c r="F428" s="609"/>
      <c r="G428" s="609"/>
      <c r="H428" s="609"/>
      <c r="I428" s="609"/>
      <c r="J428" s="609"/>
      <c r="K428" s="609"/>
      <c r="L428" s="609"/>
      <c r="M428" s="609"/>
      <c r="N428" s="609"/>
      <c r="O428" s="609"/>
      <c r="P428" s="609"/>
      <c r="Q428" s="609"/>
      <c r="R428" s="609"/>
      <c r="S428" s="609"/>
      <c r="T428" s="609"/>
      <c r="U428" s="609"/>
      <c r="V428" s="609"/>
      <c r="W428" s="609"/>
      <c r="X428" s="609"/>
      <c r="Y428" s="609"/>
      <c r="Z428" s="609"/>
      <c r="AA428" s="593"/>
      <c r="AB428" s="593"/>
      <c r="AC428" s="593"/>
    </row>
    <row r="429" spans="1:68" ht="27" customHeight="1" x14ac:dyDescent="0.25">
      <c r="A429" s="54" t="s">
        <v>688</v>
      </c>
      <c r="B429" s="54" t="s">
        <v>689</v>
      </c>
      <c r="C429" s="31">
        <v>4301011875</v>
      </c>
      <c r="D429" s="603">
        <v>4680115884885</v>
      </c>
      <c r="E429" s="604"/>
      <c r="F429" s="596">
        <v>0.8</v>
      </c>
      <c r="G429" s="32">
        <v>15</v>
      </c>
      <c r="H429" s="596">
        <v>12</v>
      </c>
      <c r="I429" s="596">
        <v>12.41</v>
      </c>
      <c r="J429" s="32">
        <v>64</v>
      </c>
      <c r="K429" s="32" t="s">
        <v>120</v>
      </c>
      <c r="L429" s="32"/>
      <c r="M429" s="33" t="s">
        <v>66</v>
      </c>
      <c r="N429" s="33"/>
      <c r="O429" s="32">
        <v>60</v>
      </c>
      <c r="P429" s="8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9" s="606"/>
      <c r="R429" s="606"/>
      <c r="S429" s="606"/>
      <c r="T429" s="607"/>
      <c r="U429" s="34"/>
      <c r="V429" s="34"/>
      <c r="W429" s="35" t="s">
        <v>67</v>
      </c>
      <c r="X429" s="597">
        <v>0</v>
      </c>
      <c r="Y429" s="598">
        <f>IFERROR(IF(X429="",0,CEILING((X429/$H429),1)*$H429),"")</f>
        <v>0</v>
      </c>
      <c r="Z429" s="36" t="str">
        <f>IFERROR(IF(Y429=0,"",ROUNDUP(Y429/H429,0)*0.01898),"")</f>
        <v/>
      </c>
      <c r="AA429" s="56"/>
      <c r="AB429" s="57"/>
      <c r="AC429" s="499" t="s">
        <v>690</v>
      </c>
      <c r="AG429" s="64"/>
      <c r="AJ429" s="68"/>
      <c r="AK429" s="68">
        <v>0</v>
      </c>
      <c r="BB429" s="500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4301011871</v>
      </c>
      <c r="D430" s="603">
        <v>4680115884908</v>
      </c>
      <c r="E430" s="604"/>
      <c r="F430" s="596">
        <v>0.4</v>
      </c>
      <c r="G430" s="32">
        <v>10</v>
      </c>
      <c r="H430" s="596">
        <v>4</v>
      </c>
      <c r="I430" s="596">
        <v>4.1900000000000004</v>
      </c>
      <c r="J430" s="32">
        <v>132</v>
      </c>
      <c r="K430" s="32" t="s">
        <v>129</v>
      </c>
      <c r="L430" s="32"/>
      <c r="M430" s="33" t="s">
        <v>66</v>
      </c>
      <c r="N430" s="33"/>
      <c r="O430" s="32">
        <v>60</v>
      </c>
      <c r="P430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0" s="606"/>
      <c r="R430" s="606"/>
      <c r="S430" s="606"/>
      <c r="T430" s="607"/>
      <c r="U430" s="34"/>
      <c r="V430" s="34"/>
      <c r="W430" s="35" t="s">
        <v>67</v>
      </c>
      <c r="X430" s="597">
        <v>0</v>
      </c>
      <c r="Y430" s="598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501" t="s">
        <v>690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17"/>
      <c r="B431" s="609"/>
      <c r="C431" s="609"/>
      <c r="D431" s="609"/>
      <c r="E431" s="609"/>
      <c r="F431" s="609"/>
      <c r="G431" s="609"/>
      <c r="H431" s="609"/>
      <c r="I431" s="609"/>
      <c r="J431" s="609"/>
      <c r="K431" s="609"/>
      <c r="L431" s="609"/>
      <c r="M431" s="609"/>
      <c r="N431" s="609"/>
      <c r="O431" s="618"/>
      <c r="P431" s="613" t="s">
        <v>72</v>
      </c>
      <c r="Q431" s="614"/>
      <c r="R431" s="614"/>
      <c r="S431" s="614"/>
      <c r="T431" s="614"/>
      <c r="U431" s="614"/>
      <c r="V431" s="615"/>
      <c r="W431" s="37" t="s">
        <v>73</v>
      </c>
      <c r="X431" s="599">
        <f>IFERROR(X429/H429,"0")+IFERROR(X430/H430,"0")</f>
        <v>0</v>
      </c>
      <c r="Y431" s="599">
        <f>IFERROR(Y429/H429,"0")+IFERROR(Y430/H430,"0")</f>
        <v>0</v>
      </c>
      <c r="Z431" s="599">
        <f>IFERROR(IF(Z429="",0,Z429),"0")+IFERROR(IF(Z430="",0,Z430),"0")</f>
        <v>0</v>
      </c>
      <c r="AA431" s="600"/>
      <c r="AB431" s="600"/>
      <c r="AC431" s="600"/>
    </row>
    <row r="432" spans="1:68" x14ac:dyDescent="0.2">
      <c r="A432" s="609"/>
      <c r="B432" s="609"/>
      <c r="C432" s="609"/>
      <c r="D432" s="609"/>
      <c r="E432" s="609"/>
      <c r="F432" s="609"/>
      <c r="G432" s="609"/>
      <c r="H432" s="609"/>
      <c r="I432" s="609"/>
      <c r="J432" s="609"/>
      <c r="K432" s="609"/>
      <c r="L432" s="609"/>
      <c r="M432" s="609"/>
      <c r="N432" s="609"/>
      <c r="O432" s="618"/>
      <c r="P432" s="613" t="s">
        <v>72</v>
      </c>
      <c r="Q432" s="614"/>
      <c r="R432" s="614"/>
      <c r="S432" s="614"/>
      <c r="T432" s="614"/>
      <c r="U432" s="614"/>
      <c r="V432" s="615"/>
      <c r="W432" s="37" t="s">
        <v>67</v>
      </c>
      <c r="X432" s="599">
        <f>IFERROR(SUM(X429:X430),"0")</f>
        <v>0</v>
      </c>
      <c r="Y432" s="599">
        <f>IFERROR(SUM(Y429:Y430),"0")</f>
        <v>0</v>
      </c>
      <c r="Z432" s="37"/>
      <c r="AA432" s="600"/>
      <c r="AB432" s="600"/>
      <c r="AC432" s="600"/>
    </row>
    <row r="433" spans="1:68" ht="14.25" customHeight="1" x14ac:dyDescent="0.25">
      <c r="A433" s="608" t="s">
        <v>62</v>
      </c>
      <c r="B433" s="609"/>
      <c r="C433" s="609"/>
      <c r="D433" s="609"/>
      <c r="E433" s="609"/>
      <c r="F433" s="609"/>
      <c r="G433" s="609"/>
      <c r="H433" s="609"/>
      <c r="I433" s="609"/>
      <c r="J433" s="609"/>
      <c r="K433" s="609"/>
      <c r="L433" s="609"/>
      <c r="M433" s="609"/>
      <c r="N433" s="609"/>
      <c r="O433" s="609"/>
      <c r="P433" s="609"/>
      <c r="Q433" s="609"/>
      <c r="R433" s="609"/>
      <c r="S433" s="609"/>
      <c r="T433" s="609"/>
      <c r="U433" s="609"/>
      <c r="V433" s="609"/>
      <c r="W433" s="609"/>
      <c r="X433" s="609"/>
      <c r="Y433" s="609"/>
      <c r="Z433" s="609"/>
      <c r="AA433" s="593"/>
      <c r="AB433" s="593"/>
      <c r="AC433" s="593"/>
    </row>
    <row r="434" spans="1:68" ht="27" customHeight="1" x14ac:dyDescent="0.25">
      <c r="A434" s="54" t="s">
        <v>693</v>
      </c>
      <c r="B434" s="54" t="s">
        <v>694</v>
      </c>
      <c r="C434" s="31">
        <v>4301031457</v>
      </c>
      <c r="D434" s="603">
        <v>4607091384802</v>
      </c>
      <c r="E434" s="604"/>
      <c r="F434" s="596">
        <v>0.7</v>
      </c>
      <c r="G434" s="32">
        <v>6</v>
      </c>
      <c r="H434" s="596">
        <v>4.2</v>
      </c>
      <c r="I434" s="596">
        <v>4.45</v>
      </c>
      <c r="J434" s="32">
        <v>132</v>
      </c>
      <c r="K434" s="32" t="s">
        <v>129</v>
      </c>
      <c r="L434" s="32"/>
      <c r="M434" s="33" t="s">
        <v>66</v>
      </c>
      <c r="N434" s="33"/>
      <c r="O434" s="32">
        <v>50</v>
      </c>
      <c r="P434" s="6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4" s="606"/>
      <c r="R434" s="606"/>
      <c r="S434" s="606"/>
      <c r="T434" s="607"/>
      <c r="U434" s="34"/>
      <c r="V434" s="34"/>
      <c r="W434" s="35" t="s">
        <v>67</v>
      </c>
      <c r="X434" s="597">
        <v>0</v>
      </c>
      <c r="Y434" s="598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3" t="s">
        <v>695</v>
      </c>
      <c r="AG434" s="64"/>
      <c r="AJ434" s="68"/>
      <c r="AK434" s="68">
        <v>0</v>
      </c>
      <c r="BB434" s="504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17"/>
      <c r="B435" s="609"/>
      <c r="C435" s="609"/>
      <c r="D435" s="609"/>
      <c r="E435" s="609"/>
      <c r="F435" s="609"/>
      <c r="G435" s="609"/>
      <c r="H435" s="609"/>
      <c r="I435" s="609"/>
      <c r="J435" s="609"/>
      <c r="K435" s="609"/>
      <c r="L435" s="609"/>
      <c r="M435" s="609"/>
      <c r="N435" s="609"/>
      <c r="O435" s="618"/>
      <c r="P435" s="613" t="s">
        <v>72</v>
      </c>
      <c r="Q435" s="614"/>
      <c r="R435" s="614"/>
      <c r="S435" s="614"/>
      <c r="T435" s="614"/>
      <c r="U435" s="614"/>
      <c r="V435" s="615"/>
      <c r="W435" s="37" t="s">
        <v>73</v>
      </c>
      <c r="X435" s="599">
        <f>IFERROR(X434/H434,"0")</f>
        <v>0</v>
      </c>
      <c r="Y435" s="599">
        <f>IFERROR(Y434/H434,"0")</f>
        <v>0</v>
      </c>
      <c r="Z435" s="599">
        <f>IFERROR(IF(Z434="",0,Z434),"0")</f>
        <v>0</v>
      </c>
      <c r="AA435" s="600"/>
      <c r="AB435" s="600"/>
      <c r="AC435" s="600"/>
    </row>
    <row r="436" spans="1:68" x14ac:dyDescent="0.2">
      <c r="A436" s="609"/>
      <c r="B436" s="609"/>
      <c r="C436" s="609"/>
      <c r="D436" s="609"/>
      <c r="E436" s="609"/>
      <c r="F436" s="609"/>
      <c r="G436" s="609"/>
      <c r="H436" s="609"/>
      <c r="I436" s="609"/>
      <c r="J436" s="609"/>
      <c r="K436" s="609"/>
      <c r="L436" s="609"/>
      <c r="M436" s="609"/>
      <c r="N436" s="609"/>
      <c r="O436" s="618"/>
      <c r="P436" s="613" t="s">
        <v>72</v>
      </c>
      <c r="Q436" s="614"/>
      <c r="R436" s="614"/>
      <c r="S436" s="614"/>
      <c r="T436" s="614"/>
      <c r="U436" s="614"/>
      <c r="V436" s="615"/>
      <c r="W436" s="37" t="s">
        <v>67</v>
      </c>
      <c r="X436" s="599">
        <f>IFERROR(SUM(X434:X434),"0")</f>
        <v>0</v>
      </c>
      <c r="Y436" s="599">
        <f>IFERROR(SUM(Y434:Y434),"0")</f>
        <v>0</v>
      </c>
      <c r="Z436" s="37"/>
      <c r="AA436" s="600"/>
      <c r="AB436" s="600"/>
      <c r="AC436" s="600"/>
    </row>
    <row r="437" spans="1:68" ht="14.25" customHeight="1" x14ac:dyDescent="0.25">
      <c r="A437" s="608" t="s">
        <v>74</v>
      </c>
      <c r="B437" s="609"/>
      <c r="C437" s="609"/>
      <c r="D437" s="609"/>
      <c r="E437" s="609"/>
      <c r="F437" s="609"/>
      <c r="G437" s="609"/>
      <c r="H437" s="609"/>
      <c r="I437" s="609"/>
      <c r="J437" s="609"/>
      <c r="K437" s="609"/>
      <c r="L437" s="609"/>
      <c r="M437" s="609"/>
      <c r="N437" s="609"/>
      <c r="O437" s="609"/>
      <c r="P437" s="609"/>
      <c r="Q437" s="609"/>
      <c r="R437" s="609"/>
      <c r="S437" s="609"/>
      <c r="T437" s="609"/>
      <c r="U437" s="609"/>
      <c r="V437" s="609"/>
      <c r="W437" s="609"/>
      <c r="X437" s="609"/>
      <c r="Y437" s="609"/>
      <c r="Z437" s="609"/>
      <c r="AA437" s="593"/>
      <c r="AB437" s="593"/>
      <c r="AC437" s="593"/>
    </row>
    <row r="438" spans="1:68" ht="27" customHeight="1" x14ac:dyDescent="0.25">
      <c r="A438" s="54" t="s">
        <v>696</v>
      </c>
      <c r="B438" s="54" t="s">
        <v>697</v>
      </c>
      <c r="C438" s="31">
        <v>4301051899</v>
      </c>
      <c r="D438" s="603">
        <v>4607091384246</v>
      </c>
      <c r="E438" s="604"/>
      <c r="F438" s="596">
        <v>1.5</v>
      </c>
      <c r="G438" s="32">
        <v>6</v>
      </c>
      <c r="H438" s="596">
        <v>9</v>
      </c>
      <c r="I438" s="596">
        <v>9.4939999999999998</v>
      </c>
      <c r="J438" s="32">
        <v>64</v>
      </c>
      <c r="K438" s="32" t="s">
        <v>120</v>
      </c>
      <c r="L438" s="32"/>
      <c r="M438" s="33" t="s">
        <v>78</v>
      </c>
      <c r="N438" s="33"/>
      <c r="O438" s="32">
        <v>40</v>
      </c>
      <c r="P438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8" s="606"/>
      <c r="R438" s="606"/>
      <c r="S438" s="606"/>
      <c r="T438" s="607"/>
      <c r="U438" s="34"/>
      <c r="V438" s="34"/>
      <c r="W438" s="35" t="s">
        <v>67</v>
      </c>
      <c r="X438" s="597">
        <v>1200</v>
      </c>
      <c r="Y438" s="598">
        <f>IFERROR(IF(X438="",0,CEILING((X438/$H438),1)*$H438),"")</f>
        <v>1206</v>
      </c>
      <c r="Z438" s="36">
        <f>IFERROR(IF(Y438=0,"",ROUNDUP(Y438/H438,0)*0.01898),"")</f>
        <v>2.54332</v>
      </c>
      <c r="AA438" s="56"/>
      <c r="AB438" s="57"/>
      <c r="AC438" s="505" t="s">
        <v>698</v>
      </c>
      <c r="AG438" s="64"/>
      <c r="AJ438" s="68"/>
      <c r="AK438" s="68">
        <v>0</v>
      </c>
      <c r="BB438" s="506" t="s">
        <v>1</v>
      </c>
      <c r="BM438" s="64">
        <f>IFERROR(X438*I438/H438,"0")</f>
        <v>1265.8666666666666</v>
      </c>
      <c r="BN438" s="64">
        <f>IFERROR(Y438*I438/H438,"0")</f>
        <v>1272.1959999999999</v>
      </c>
      <c r="BO438" s="64">
        <f>IFERROR(1/J438*(X438/H438),"0")</f>
        <v>2.0833333333333335</v>
      </c>
      <c r="BP438" s="64">
        <f>IFERROR(1/J438*(Y438/H438),"0")</f>
        <v>2.09375</v>
      </c>
    </row>
    <row r="439" spans="1:68" ht="27" customHeight="1" x14ac:dyDescent="0.25">
      <c r="A439" s="54" t="s">
        <v>699</v>
      </c>
      <c r="B439" s="54" t="s">
        <v>700</v>
      </c>
      <c r="C439" s="31">
        <v>4301051660</v>
      </c>
      <c r="D439" s="603">
        <v>4607091384253</v>
      </c>
      <c r="E439" s="604"/>
      <c r="F439" s="596">
        <v>0.4</v>
      </c>
      <c r="G439" s="32">
        <v>6</v>
      </c>
      <c r="H439" s="596">
        <v>2.4</v>
      </c>
      <c r="I439" s="596">
        <v>2.6640000000000001</v>
      </c>
      <c r="J439" s="32">
        <v>182</v>
      </c>
      <c r="K439" s="32" t="s">
        <v>77</v>
      </c>
      <c r="L439" s="32"/>
      <c r="M439" s="33" t="s">
        <v>78</v>
      </c>
      <c r="N439" s="33"/>
      <c r="O439" s="32">
        <v>40</v>
      </c>
      <c r="P439" s="6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9" s="606"/>
      <c r="R439" s="606"/>
      <c r="S439" s="606"/>
      <c r="T439" s="607"/>
      <c r="U439" s="34"/>
      <c r="V439" s="34"/>
      <c r="W439" s="35" t="s">
        <v>67</v>
      </c>
      <c r="X439" s="597">
        <v>9</v>
      </c>
      <c r="Y439" s="598">
        <f>IFERROR(IF(X439="",0,CEILING((X439/$H439),1)*$H439),"")</f>
        <v>9.6</v>
      </c>
      <c r="Z439" s="36">
        <f>IFERROR(IF(Y439=0,"",ROUNDUP(Y439/H439,0)*0.00651),"")</f>
        <v>2.6040000000000001E-2</v>
      </c>
      <c r="AA439" s="56"/>
      <c r="AB439" s="57"/>
      <c r="AC439" s="507" t="s">
        <v>698</v>
      </c>
      <c r="AG439" s="64"/>
      <c r="AJ439" s="68"/>
      <c r="AK439" s="68">
        <v>0</v>
      </c>
      <c r="BB439" s="508" t="s">
        <v>1</v>
      </c>
      <c r="BM439" s="64">
        <f>IFERROR(X439*I439/H439,"0")</f>
        <v>9.990000000000002</v>
      </c>
      <c r="BN439" s="64">
        <f>IFERROR(Y439*I439/H439,"0")</f>
        <v>10.656000000000001</v>
      </c>
      <c r="BO439" s="64">
        <f>IFERROR(1/J439*(X439/H439),"0")</f>
        <v>2.0604395604395608E-2</v>
      </c>
      <c r="BP439" s="64">
        <f>IFERROR(1/J439*(Y439/H439),"0")</f>
        <v>2.197802197802198E-2</v>
      </c>
    </row>
    <row r="440" spans="1:68" ht="27" customHeight="1" x14ac:dyDescent="0.25">
      <c r="A440" s="54" t="s">
        <v>699</v>
      </c>
      <c r="B440" s="54" t="s">
        <v>701</v>
      </c>
      <c r="C440" s="31">
        <v>4301052069</v>
      </c>
      <c r="D440" s="603">
        <v>4607091384253</v>
      </c>
      <c r="E440" s="604"/>
      <c r="F440" s="596">
        <v>0.4</v>
      </c>
      <c r="G440" s="32">
        <v>6</v>
      </c>
      <c r="H440" s="596">
        <v>2.4</v>
      </c>
      <c r="I440" s="596">
        <v>2.6640000000000001</v>
      </c>
      <c r="J440" s="32">
        <v>182</v>
      </c>
      <c r="K440" s="32" t="s">
        <v>77</v>
      </c>
      <c r="L440" s="32"/>
      <c r="M440" s="33" t="s">
        <v>78</v>
      </c>
      <c r="N440" s="33"/>
      <c r="O440" s="32">
        <v>40</v>
      </c>
      <c r="P440" s="78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0" s="606"/>
      <c r="R440" s="606"/>
      <c r="S440" s="606"/>
      <c r="T440" s="607"/>
      <c r="U440" s="34"/>
      <c r="V440" s="34"/>
      <c r="W440" s="35" t="s">
        <v>67</v>
      </c>
      <c r="X440" s="597">
        <v>0</v>
      </c>
      <c r="Y440" s="598">
        <f>IFERROR(IF(X440="",0,CEILING((X440/$H440),1)*$H440),"")</f>
        <v>0</v>
      </c>
      <c r="Z440" s="36" t="str">
        <f>IFERROR(IF(Y440=0,"",ROUNDUP(Y440/H440,0)*0.00651),"")</f>
        <v/>
      </c>
      <c r="AA440" s="56"/>
      <c r="AB440" s="57"/>
      <c r="AC440" s="509" t="s">
        <v>702</v>
      </c>
      <c r="AG440" s="64"/>
      <c r="AJ440" s="68"/>
      <c r="AK440" s="68">
        <v>0</v>
      </c>
      <c r="BB440" s="510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x14ac:dyDescent="0.2">
      <c r="A441" s="617"/>
      <c r="B441" s="609"/>
      <c r="C441" s="609"/>
      <c r="D441" s="609"/>
      <c r="E441" s="609"/>
      <c r="F441" s="609"/>
      <c r="G441" s="609"/>
      <c r="H441" s="609"/>
      <c r="I441" s="609"/>
      <c r="J441" s="609"/>
      <c r="K441" s="609"/>
      <c r="L441" s="609"/>
      <c r="M441" s="609"/>
      <c r="N441" s="609"/>
      <c r="O441" s="618"/>
      <c r="P441" s="613" t="s">
        <v>72</v>
      </c>
      <c r="Q441" s="614"/>
      <c r="R441" s="614"/>
      <c r="S441" s="614"/>
      <c r="T441" s="614"/>
      <c r="U441" s="614"/>
      <c r="V441" s="615"/>
      <c r="W441" s="37" t="s">
        <v>73</v>
      </c>
      <c r="X441" s="599">
        <f>IFERROR(X438/H438,"0")+IFERROR(X439/H439,"0")+IFERROR(X440/H440,"0")</f>
        <v>137.08333333333334</v>
      </c>
      <c r="Y441" s="599">
        <f>IFERROR(Y438/H438,"0")+IFERROR(Y439/H439,"0")+IFERROR(Y440/H440,"0")</f>
        <v>138</v>
      </c>
      <c r="Z441" s="599">
        <f>IFERROR(IF(Z438="",0,Z438),"0")+IFERROR(IF(Z439="",0,Z439),"0")+IFERROR(IF(Z440="",0,Z440),"0")</f>
        <v>2.5693600000000001</v>
      </c>
      <c r="AA441" s="600"/>
      <c r="AB441" s="600"/>
      <c r="AC441" s="600"/>
    </row>
    <row r="442" spans="1:68" x14ac:dyDescent="0.2">
      <c r="A442" s="609"/>
      <c r="B442" s="609"/>
      <c r="C442" s="609"/>
      <c r="D442" s="609"/>
      <c r="E442" s="609"/>
      <c r="F442" s="609"/>
      <c r="G442" s="609"/>
      <c r="H442" s="609"/>
      <c r="I442" s="609"/>
      <c r="J442" s="609"/>
      <c r="K442" s="609"/>
      <c r="L442" s="609"/>
      <c r="M442" s="609"/>
      <c r="N442" s="609"/>
      <c r="O442" s="618"/>
      <c r="P442" s="613" t="s">
        <v>72</v>
      </c>
      <c r="Q442" s="614"/>
      <c r="R442" s="614"/>
      <c r="S442" s="614"/>
      <c r="T442" s="614"/>
      <c r="U442" s="614"/>
      <c r="V442" s="615"/>
      <c r="W442" s="37" t="s">
        <v>67</v>
      </c>
      <c r="X442" s="599">
        <f>IFERROR(SUM(X438:X440),"0")</f>
        <v>1209</v>
      </c>
      <c r="Y442" s="599">
        <f>IFERROR(SUM(Y438:Y440),"0")</f>
        <v>1215.5999999999999</v>
      </c>
      <c r="Z442" s="37"/>
      <c r="AA442" s="600"/>
      <c r="AB442" s="600"/>
      <c r="AC442" s="600"/>
    </row>
    <row r="443" spans="1:68" ht="27.75" customHeight="1" x14ac:dyDescent="0.2">
      <c r="A443" s="643" t="s">
        <v>703</v>
      </c>
      <c r="B443" s="644"/>
      <c r="C443" s="644"/>
      <c r="D443" s="644"/>
      <c r="E443" s="644"/>
      <c r="F443" s="644"/>
      <c r="G443" s="644"/>
      <c r="H443" s="644"/>
      <c r="I443" s="644"/>
      <c r="J443" s="644"/>
      <c r="K443" s="644"/>
      <c r="L443" s="644"/>
      <c r="M443" s="644"/>
      <c r="N443" s="644"/>
      <c r="O443" s="644"/>
      <c r="P443" s="644"/>
      <c r="Q443" s="644"/>
      <c r="R443" s="644"/>
      <c r="S443" s="644"/>
      <c r="T443" s="644"/>
      <c r="U443" s="644"/>
      <c r="V443" s="644"/>
      <c r="W443" s="644"/>
      <c r="X443" s="644"/>
      <c r="Y443" s="644"/>
      <c r="Z443" s="644"/>
      <c r="AA443" s="48"/>
      <c r="AB443" s="48"/>
      <c r="AC443" s="48"/>
    </row>
    <row r="444" spans="1:68" ht="16.5" customHeight="1" x14ac:dyDescent="0.25">
      <c r="A444" s="612" t="s">
        <v>704</v>
      </c>
      <c r="B444" s="609"/>
      <c r="C444" s="609"/>
      <c r="D444" s="609"/>
      <c r="E444" s="609"/>
      <c r="F444" s="609"/>
      <c r="G444" s="609"/>
      <c r="H444" s="609"/>
      <c r="I444" s="609"/>
      <c r="J444" s="609"/>
      <c r="K444" s="609"/>
      <c r="L444" s="609"/>
      <c r="M444" s="609"/>
      <c r="N444" s="609"/>
      <c r="O444" s="609"/>
      <c r="P444" s="609"/>
      <c r="Q444" s="609"/>
      <c r="R444" s="609"/>
      <c r="S444" s="609"/>
      <c r="T444" s="609"/>
      <c r="U444" s="609"/>
      <c r="V444" s="609"/>
      <c r="W444" s="609"/>
      <c r="X444" s="609"/>
      <c r="Y444" s="609"/>
      <c r="Z444" s="609"/>
      <c r="AA444" s="592"/>
      <c r="AB444" s="592"/>
      <c r="AC444" s="592"/>
    </row>
    <row r="445" spans="1:68" ht="14.25" customHeight="1" x14ac:dyDescent="0.25">
      <c r="A445" s="608" t="s">
        <v>62</v>
      </c>
      <c r="B445" s="609"/>
      <c r="C445" s="609"/>
      <c r="D445" s="609"/>
      <c r="E445" s="609"/>
      <c r="F445" s="609"/>
      <c r="G445" s="609"/>
      <c r="H445" s="609"/>
      <c r="I445" s="609"/>
      <c r="J445" s="609"/>
      <c r="K445" s="609"/>
      <c r="L445" s="609"/>
      <c r="M445" s="609"/>
      <c r="N445" s="609"/>
      <c r="O445" s="609"/>
      <c r="P445" s="609"/>
      <c r="Q445" s="609"/>
      <c r="R445" s="609"/>
      <c r="S445" s="609"/>
      <c r="T445" s="609"/>
      <c r="U445" s="609"/>
      <c r="V445" s="609"/>
      <c r="W445" s="609"/>
      <c r="X445" s="609"/>
      <c r="Y445" s="609"/>
      <c r="Z445" s="609"/>
      <c r="AA445" s="593"/>
      <c r="AB445" s="593"/>
      <c r="AC445" s="593"/>
    </row>
    <row r="446" spans="1:68" ht="27" customHeight="1" x14ac:dyDescent="0.25">
      <c r="A446" s="54" t="s">
        <v>705</v>
      </c>
      <c r="B446" s="54" t="s">
        <v>706</v>
      </c>
      <c r="C446" s="31">
        <v>4301031405</v>
      </c>
      <c r="D446" s="603">
        <v>4680115886100</v>
      </c>
      <c r="E446" s="604"/>
      <c r="F446" s="596">
        <v>0.9</v>
      </c>
      <c r="G446" s="32">
        <v>6</v>
      </c>
      <c r="H446" s="596">
        <v>5.4</v>
      </c>
      <c r="I446" s="596">
        <v>5.59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7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6" s="606"/>
      <c r="R446" s="606"/>
      <c r="S446" s="606"/>
      <c r="T446" s="607"/>
      <c r="U446" s="34"/>
      <c r="V446" s="34"/>
      <c r="W446" s="35" t="s">
        <v>67</v>
      </c>
      <c r="X446" s="597">
        <v>0</v>
      </c>
      <c r="Y446" s="598">
        <f t="shared" ref="Y446:Y451" si="57"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11" t="s">
        <v>707</v>
      </c>
      <c r="AG446" s="64"/>
      <c r="AJ446" s="68"/>
      <c r="AK446" s="68">
        <v>0</v>
      </c>
      <c r="BB446" s="512" t="s">
        <v>1</v>
      </c>
      <c r="BM446" s="64">
        <f t="shared" ref="BM446:BM451" si="58">IFERROR(X446*I446/H446,"0")</f>
        <v>0</v>
      </c>
      <c r="BN446" s="64">
        <f t="shared" ref="BN446:BN451" si="59">IFERROR(Y446*I446/H446,"0")</f>
        <v>0</v>
      </c>
      <c r="BO446" s="64">
        <f t="shared" ref="BO446:BO451" si="60">IFERROR(1/J446*(X446/H446),"0")</f>
        <v>0</v>
      </c>
      <c r="BP446" s="64">
        <f t="shared" ref="BP446:BP451" si="61">IFERROR(1/J446*(Y446/H446),"0")</f>
        <v>0</v>
      </c>
    </row>
    <row r="447" spans="1:68" ht="27" customHeight="1" x14ac:dyDescent="0.25">
      <c r="A447" s="54" t="s">
        <v>708</v>
      </c>
      <c r="B447" s="54" t="s">
        <v>709</v>
      </c>
      <c r="C447" s="31">
        <v>4301031402</v>
      </c>
      <c r="D447" s="603">
        <v>4680115886124</v>
      </c>
      <c r="E447" s="604"/>
      <c r="F447" s="596">
        <v>0.9</v>
      </c>
      <c r="G447" s="32">
        <v>6</v>
      </c>
      <c r="H447" s="596">
        <v>5.4</v>
      </c>
      <c r="I447" s="596">
        <v>5.59</v>
      </c>
      <c r="J447" s="32">
        <v>132</v>
      </c>
      <c r="K447" s="32" t="s">
        <v>129</v>
      </c>
      <c r="L447" s="32"/>
      <c r="M447" s="33" t="s">
        <v>66</v>
      </c>
      <c r="N447" s="33"/>
      <c r="O447" s="32">
        <v>50</v>
      </c>
      <c r="P447" s="6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7" s="606"/>
      <c r="R447" s="606"/>
      <c r="S447" s="606"/>
      <c r="T447" s="607"/>
      <c r="U447" s="34"/>
      <c r="V447" s="34"/>
      <c r="W447" s="35" t="s">
        <v>67</v>
      </c>
      <c r="X447" s="597">
        <v>0</v>
      </c>
      <c r="Y447" s="598">
        <f t="shared" si="57"/>
        <v>0</v>
      </c>
      <c r="Z447" s="36" t="str">
        <f>IFERROR(IF(Y447=0,"",ROUNDUP(Y447/H447,0)*0.00902),"")</f>
        <v/>
      </c>
      <c r="AA447" s="56"/>
      <c r="AB447" s="57"/>
      <c r="AC447" s="513" t="s">
        <v>710</v>
      </c>
      <c r="AG447" s="64"/>
      <c r="AJ447" s="68"/>
      <c r="AK447" s="68">
        <v>0</v>
      </c>
      <c r="BB447" s="514" t="s">
        <v>1</v>
      </c>
      <c r="BM447" s="64">
        <f t="shared" si="58"/>
        <v>0</v>
      </c>
      <c r="BN447" s="64">
        <f t="shared" si="59"/>
        <v>0</v>
      </c>
      <c r="BO447" s="64">
        <f t="shared" si="60"/>
        <v>0</v>
      </c>
      <c r="BP447" s="64">
        <f t="shared" si="61"/>
        <v>0</v>
      </c>
    </row>
    <row r="448" spans="1:68" ht="27" customHeight="1" x14ac:dyDescent="0.25">
      <c r="A448" s="54" t="s">
        <v>711</v>
      </c>
      <c r="B448" s="54" t="s">
        <v>712</v>
      </c>
      <c r="C448" s="31">
        <v>4301031362</v>
      </c>
      <c r="D448" s="603">
        <v>4607091384338</v>
      </c>
      <c r="E448" s="604"/>
      <c r="F448" s="596">
        <v>0.35</v>
      </c>
      <c r="G448" s="32">
        <v>6</v>
      </c>
      <c r="H448" s="596">
        <v>2.1</v>
      </c>
      <c r="I448" s="596">
        <v>2.23</v>
      </c>
      <c r="J448" s="32">
        <v>234</v>
      </c>
      <c r="K448" s="32" t="s">
        <v>65</v>
      </c>
      <c r="L448" s="32"/>
      <c r="M448" s="33" t="s">
        <v>66</v>
      </c>
      <c r="N448" s="33"/>
      <c r="O448" s="32">
        <v>50</v>
      </c>
      <c r="P448" s="81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8" s="606"/>
      <c r="R448" s="606"/>
      <c r="S448" s="606"/>
      <c r="T448" s="607"/>
      <c r="U448" s="34"/>
      <c r="V448" s="34"/>
      <c r="W448" s="35" t="s">
        <v>67</v>
      </c>
      <c r="X448" s="597">
        <v>0</v>
      </c>
      <c r="Y448" s="598">
        <f t="shared" si="57"/>
        <v>0</v>
      </c>
      <c r="Z448" s="36" t="str">
        <f>IFERROR(IF(Y448=0,"",ROUNDUP(Y448/H448,0)*0.00502),"")</f>
        <v/>
      </c>
      <c r="AA448" s="56"/>
      <c r="AB448" s="57"/>
      <c r="AC448" s="515" t="s">
        <v>707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ht="27" customHeight="1" x14ac:dyDescent="0.25">
      <c r="A449" s="54" t="s">
        <v>713</v>
      </c>
      <c r="B449" s="54" t="s">
        <v>714</v>
      </c>
      <c r="C449" s="31">
        <v>4301031364</v>
      </c>
      <c r="D449" s="603">
        <v>4680115883161</v>
      </c>
      <c r="E449" s="604"/>
      <c r="F449" s="596">
        <v>0.28000000000000003</v>
      </c>
      <c r="G449" s="32">
        <v>6</v>
      </c>
      <c r="H449" s="596">
        <v>1.68</v>
      </c>
      <c r="I449" s="596">
        <v>1.81</v>
      </c>
      <c r="J449" s="32">
        <v>234</v>
      </c>
      <c r="K449" s="32" t="s">
        <v>65</v>
      </c>
      <c r="L449" s="32"/>
      <c r="M449" s="33" t="s">
        <v>66</v>
      </c>
      <c r="N449" s="33"/>
      <c r="O449" s="32">
        <v>50</v>
      </c>
      <c r="P449" s="6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9" s="606"/>
      <c r="R449" s="606"/>
      <c r="S449" s="606"/>
      <c r="T449" s="607"/>
      <c r="U449" s="34"/>
      <c r="V449" s="34"/>
      <c r="W449" s="35" t="s">
        <v>67</v>
      </c>
      <c r="X449" s="597">
        <v>0</v>
      </c>
      <c r="Y449" s="598">
        <f t="shared" si="57"/>
        <v>0</v>
      </c>
      <c r="Z449" s="36" t="str">
        <f>IFERROR(IF(Y449=0,"",ROUNDUP(Y449/H449,0)*0.00502),"")</f>
        <v/>
      </c>
      <c r="AA449" s="56"/>
      <c r="AB449" s="57"/>
      <c r="AC449" s="517" t="s">
        <v>715</v>
      </c>
      <c r="AG449" s="64"/>
      <c r="AJ449" s="68"/>
      <c r="AK449" s="68">
        <v>0</v>
      </c>
      <c r="BB449" s="518" t="s">
        <v>1</v>
      </c>
      <c r="BM449" s="64">
        <f t="shared" si="58"/>
        <v>0</v>
      </c>
      <c r="BN449" s="64">
        <f t="shared" si="59"/>
        <v>0</v>
      </c>
      <c r="BO449" s="64">
        <f t="shared" si="60"/>
        <v>0</v>
      </c>
      <c r="BP449" s="64">
        <f t="shared" si="61"/>
        <v>0</v>
      </c>
    </row>
    <row r="450" spans="1:68" ht="27" customHeight="1" x14ac:dyDescent="0.25">
      <c r="A450" s="54" t="s">
        <v>716</v>
      </c>
      <c r="B450" s="54" t="s">
        <v>717</v>
      </c>
      <c r="C450" s="31">
        <v>4301031358</v>
      </c>
      <c r="D450" s="603">
        <v>4607091389531</v>
      </c>
      <c r="E450" s="604"/>
      <c r="F450" s="596">
        <v>0.35</v>
      </c>
      <c r="G450" s="32">
        <v>6</v>
      </c>
      <c r="H450" s="596">
        <v>2.1</v>
      </c>
      <c r="I450" s="596">
        <v>2.23</v>
      </c>
      <c r="J450" s="32">
        <v>234</v>
      </c>
      <c r="K450" s="32" t="s">
        <v>65</v>
      </c>
      <c r="L450" s="32"/>
      <c r="M450" s="33" t="s">
        <v>66</v>
      </c>
      <c r="N450" s="33"/>
      <c r="O450" s="32">
        <v>50</v>
      </c>
      <c r="P450" s="95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0" s="606"/>
      <c r="R450" s="606"/>
      <c r="S450" s="606"/>
      <c r="T450" s="607"/>
      <c r="U450" s="34"/>
      <c r="V450" s="34"/>
      <c r="W450" s="35" t="s">
        <v>67</v>
      </c>
      <c r="X450" s="597">
        <v>0</v>
      </c>
      <c r="Y450" s="598">
        <f t="shared" si="57"/>
        <v>0</v>
      </c>
      <c r="Z450" s="36" t="str">
        <f>IFERROR(IF(Y450=0,"",ROUNDUP(Y450/H450,0)*0.00502),"")</f>
        <v/>
      </c>
      <c r="AA450" s="56"/>
      <c r="AB450" s="57"/>
      <c r="AC450" s="519" t="s">
        <v>718</v>
      </c>
      <c r="AG450" s="64"/>
      <c r="AJ450" s="68"/>
      <c r="AK450" s="68">
        <v>0</v>
      </c>
      <c r="BB450" s="520" t="s">
        <v>1</v>
      </c>
      <c r="BM450" s="64">
        <f t="shared" si="58"/>
        <v>0</v>
      </c>
      <c r="BN450" s="64">
        <f t="shared" si="59"/>
        <v>0</v>
      </c>
      <c r="BO450" s="64">
        <f t="shared" si="60"/>
        <v>0</v>
      </c>
      <c r="BP450" s="64">
        <f t="shared" si="61"/>
        <v>0</v>
      </c>
    </row>
    <row r="451" spans="1:68" ht="37.5" customHeight="1" x14ac:dyDescent="0.25">
      <c r="A451" s="54" t="s">
        <v>719</v>
      </c>
      <c r="B451" s="54" t="s">
        <v>720</v>
      </c>
      <c r="C451" s="31">
        <v>4301031360</v>
      </c>
      <c r="D451" s="603">
        <v>4607091384345</v>
      </c>
      <c r="E451" s="604"/>
      <c r="F451" s="596">
        <v>0.35</v>
      </c>
      <c r="G451" s="32">
        <v>6</v>
      </c>
      <c r="H451" s="596">
        <v>2.1</v>
      </c>
      <c r="I451" s="596">
        <v>2.23</v>
      </c>
      <c r="J451" s="32">
        <v>234</v>
      </c>
      <c r="K451" s="32" t="s">
        <v>65</v>
      </c>
      <c r="L451" s="32"/>
      <c r="M451" s="33" t="s">
        <v>66</v>
      </c>
      <c r="N451" s="33"/>
      <c r="O451" s="32">
        <v>50</v>
      </c>
      <c r="P451" s="7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1" s="606"/>
      <c r="R451" s="606"/>
      <c r="S451" s="606"/>
      <c r="T451" s="607"/>
      <c r="U451" s="34"/>
      <c r="V451" s="34"/>
      <c r="W451" s="35" t="s">
        <v>67</v>
      </c>
      <c r="X451" s="597">
        <v>0</v>
      </c>
      <c r="Y451" s="598">
        <f t="shared" si="57"/>
        <v>0</v>
      </c>
      <c r="Z451" s="36" t="str">
        <f>IFERROR(IF(Y451=0,"",ROUNDUP(Y451/H451,0)*0.00502),"")</f>
        <v/>
      </c>
      <c r="AA451" s="56"/>
      <c r="AB451" s="57"/>
      <c r="AC451" s="521" t="s">
        <v>715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x14ac:dyDescent="0.2">
      <c r="A452" s="617"/>
      <c r="B452" s="609"/>
      <c r="C452" s="609"/>
      <c r="D452" s="609"/>
      <c r="E452" s="609"/>
      <c r="F452" s="609"/>
      <c r="G452" s="609"/>
      <c r="H452" s="609"/>
      <c r="I452" s="609"/>
      <c r="J452" s="609"/>
      <c r="K452" s="609"/>
      <c r="L452" s="609"/>
      <c r="M452" s="609"/>
      <c r="N452" s="609"/>
      <c r="O452" s="618"/>
      <c r="P452" s="613" t="s">
        <v>72</v>
      </c>
      <c r="Q452" s="614"/>
      <c r="R452" s="614"/>
      <c r="S452" s="614"/>
      <c r="T452" s="614"/>
      <c r="U452" s="614"/>
      <c r="V452" s="615"/>
      <c r="W452" s="37" t="s">
        <v>73</v>
      </c>
      <c r="X452" s="599">
        <f>IFERROR(X446/H446,"0")+IFERROR(X447/H447,"0")+IFERROR(X448/H448,"0")+IFERROR(X449/H449,"0")+IFERROR(X450/H450,"0")+IFERROR(X451/H451,"0")</f>
        <v>0</v>
      </c>
      <c r="Y452" s="599">
        <f>IFERROR(Y446/H446,"0")+IFERROR(Y447/H447,"0")+IFERROR(Y448/H448,"0")+IFERROR(Y449/H449,"0")+IFERROR(Y450/H450,"0")+IFERROR(Y451/H451,"0")</f>
        <v>0</v>
      </c>
      <c r="Z452" s="599">
        <f>IFERROR(IF(Z446="",0,Z446),"0")+IFERROR(IF(Z447="",0,Z447),"0")+IFERROR(IF(Z448="",0,Z448),"0")+IFERROR(IF(Z449="",0,Z449),"0")+IFERROR(IF(Z450="",0,Z450),"0")+IFERROR(IF(Z451="",0,Z451),"0")</f>
        <v>0</v>
      </c>
      <c r="AA452" s="600"/>
      <c r="AB452" s="600"/>
      <c r="AC452" s="600"/>
    </row>
    <row r="453" spans="1:68" x14ac:dyDescent="0.2">
      <c r="A453" s="609"/>
      <c r="B453" s="609"/>
      <c r="C453" s="609"/>
      <c r="D453" s="609"/>
      <c r="E453" s="609"/>
      <c r="F453" s="609"/>
      <c r="G453" s="609"/>
      <c r="H453" s="609"/>
      <c r="I453" s="609"/>
      <c r="J453" s="609"/>
      <c r="K453" s="609"/>
      <c r="L453" s="609"/>
      <c r="M453" s="609"/>
      <c r="N453" s="609"/>
      <c r="O453" s="618"/>
      <c r="P453" s="613" t="s">
        <v>72</v>
      </c>
      <c r="Q453" s="614"/>
      <c r="R453" s="614"/>
      <c r="S453" s="614"/>
      <c r="T453" s="614"/>
      <c r="U453" s="614"/>
      <c r="V453" s="615"/>
      <c r="W453" s="37" t="s">
        <v>67</v>
      </c>
      <c r="X453" s="599">
        <f>IFERROR(SUM(X446:X451),"0")</f>
        <v>0</v>
      </c>
      <c r="Y453" s="599">
        <f>IFERROR(SUM(Y446:Y451),"0")</f>
        <v>0</v>
      </c>
      <c r="Z453" s="37"/>
      <c r="AA453" s="600"/>
      <c r="AB453" s="600"/>
      <c r="AC453" s="600"/>
    </row>
    <row r="454" spans="1:68" ht="14.25" customHeight="1" x14ac:dyDescent="0.25">
      <c r="A454" s="608" t="s">
        <v>74</v>
      </c>
      <c r="B454" s="609"/>
      <c r="C454" s="609"/>
      <c r="D454" s="609"/>
      <c r="E454" s="609"/>
      <c r="F454" s="609"/>
      <c r="G454" s="609"/>
      <c r="H454" s="609"/>
      <c r="I454" s="609"/>
      <c r="J454" s="609"/>
      <c r="K454" s="609"/>
      <c r="L454" s="609"/>
      <c r="M454" s="609"/>
      <c r="N454" s="609"/>
      <c r="O454" s="609"/>
      <c r="P454" s="609"/>
      <c r="Q454" s="609"/>
      <c r="R454" s="609"/>
      <c r="S454" s="609"/>
      <c r="T454" s="609"/>
      <c r="U454" s="609"/>
      <c r="V454" s="609"/>
      <c r="W454" s="609"/>
      <c r="X454" s="609"/>
      <c r="Y454" s="609"/>
      <c r="Z454" s="609"/>
      <c r="AA454" s="593"/>
      <c r="AB454" s="593"/>
      <c r="AC454" s="593"/>
    </row>
    <row r="455" spans="1:68" ht="27" customHeight="1" x14ac:dyDescent="0.25">
      <c r="A455" s="54" t="s">
        <v>721</v>
      </c>
      <c r="B455" s="54" t="s">
        <v>722</v>
      </c>
      <c r="C455" s="31">
        <v>4301051284</v>
      </c>
      <c r="D455" s="603">
        <v>4607091384352</v>
      </c>
      <c r="E455" s="604"/>
      <c r="F455" s="596">
        <v>0.6</v>
      </c>
      <c r="G455" s="32">
        <v>4</v>
      </c>
      <c r="H455" s="596">
        <v>2.4</v>
      </c>
      <c r="I455" s="596">
        <v>2.6259999999999999</v>
      </c>
      <c r="J455" s="32">
        <v>132</v>
      </c>
      <c r="K455" s="32" t="s">
        <v>129</v>
      </c>
      <c r="L455" s="32"/>
      <c r="M455" s="33" t="s">
        <v>78</v>
      </c>
      <c r="N455" s="33"/>
      <c r="O455" s="32">
        <v>45</v>
      </c>
      <c r="P45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5" s="606"/>
      <c r="R455" s="606"/>
      <c r="S455" s="606"/>
      <c r="T455" s="607"/>
      <c r="U455" s="34"/>
      <c r="V455" s="34"/>
      <c r="W455" s="35" t="s">
        <v>67</v>
      </c>
      <c r="X455" s="597">
        <v>0</v>
      </c>
      <c r="Y455" s="598">
        <f>IFERROR(IF(X455="",0,CEILING((X455/$H455),1)*$H455),"")</f>
        <v>0</v>
      </c>
      <c r="Z455" s="36" t="str">
        <f>IFERROR(IF(Y455=0,"",ROUNDUP(Y455/H455,0)*0.00902),"")</f>
        <v/>
      </c>
      <c r="AA455" s="56"/>
      <c r="AB455" s="57"/>
      <c r="AC455" s="523" t="s">
        <v>723</v>
      </c>
      <c r="AG455" s="64"/>
      <c r="AJ455" s="68"/>
      <c r="AK455" s="68">
        <v>0</v>
      </c>
      <c r="BB455" s="52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customHeight="1" x14ac:dyDescent="0.25">
      <c r="A456" s="54" t="s">
        <v>724</v>
      </c>
      <c r="B456" s="54" t="s">
        <v>725</v>
      </c>
      <c r="C456" s="31">
        <v>4301051431</v>
      </c>
      <c r="D456" s="603">
        <v>4607091389654</v>
      </c>
      <c r="E456" s="604"/>
      <c r="F456" s="596">
        <v>0.33</v>
      </c>
      <c r="G456" s="32">
        <v>6</v>
      </c>
      <c r="H456" s="596">
        <v>1.98</v>
      </c>
      <c r="I456" s="596">
        <v>2.238</v>
      </c>
      <c r="J456" s="32">
        <v>182</v>
      </c>
      <c r="K456" s="32" t="s">
        <v>77</v>
      </c>
      <c r="L456" s="32"/>
      <c r="M456" s="33" t="s">
        <v>78</v>
      </c>
      <c r="N456" s="33"/>
      <c r="O456" s="32">
        <v>45</v>
      </c>
      <c r="P456" s="8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6" s="606"/>
      <c r="R456" s="606"/>
      <c r="S456" s="606"/>
      <c r="T456" s="607"/>
      <c r="U456" s="34"/>
      <c r="V456" s="34"/>
      <c r="W456" s="35" t="s">
        <v>67</v>
      </c>
      <c r="X456" s="597">
        <v>0</v>
      </c>
      <c r="Y456" s="59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25" t="s">
        <v>726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17"/>
      <c r="B457" s="609"/>
      <c r="C457" s="609"/>
      <c r="D457" s="609"/>
      <c r="E457" s="609"/>
      <c r="F457" s="609"/>
      <c r="G457" s="609"/>
      <c r="H457" s="609"/>
      <c r="I457" s="609"/>
      <c r="J457" s="609"/>
      <c r="K457" s="609"/>
      <c r="L457" s="609"/>
      <c r="M457" s="609"/>
      <c r="N457" s="609"/>
      <c r="O457" s="618"/>
      <c r="P457" s="613" t="s">
        <v>72</v>
      </c>
      <c r="Q457" s="614"/>
      <c r="R457" s="614"/>
      <c r="S457" s="614"/>
      <c r="T457" s="614"/>
      <c r="U457" s="614"/>
      <c r="V457" s="615"/>
      <c r="W457" s="37" t="s">
        <v>73</v>
      </c>
      <c r="X457" s="599">
        <f>IFERROR(X455/H455,"0")+IFERROR(X456/H456,"0")</f>
        <v>0</v>
      </c>
      <c r="Y457" s="599">
        <f>IFERROR(Y455/H455,"0")+IFERROR(Y456/H456,"0")</f>
        <v>0</v>
      </c>
      <c r="Z457" s="599">
        <f>IFERROR(IF(Z455="",0,Z455),"0")+IFERROR(IF(Z456="",0,Z456),"0")</f>
        <v>0</v>
      </c>
      <c r="AA457" s="600"/>
      <c r="AB457" s="600"/>
      <c r="AC457" s="600"/>
    </row>
    <row r="458" spans="1:68" x14ac:dyDescent="0.2">
      <c r="A458" s="609"/>
      <c r="B458" s="609"/>
      <c r="C458" s="609"/>
      <c r="D458" s="609"/>
      <c r="E458" s="609"/>
      <c r="F458" s="609"/>
      <c r="G458" s="609"/>
      <c r="H458" s="609"/>
      <c r="I458" s="609"/>
      <c r="J458" s="609"/>
      <c r="K458" s="609"/>
      <c r="L458" s="609"/>
      <c r="M458" s="609"/>
      <c r="N458" s="609"/>
      <c r="O458" s="618"/>
      <c r="P458" s="613" t="s">
        <v>72</v>
      </c>
      <c r="Q458" s="614"/>
      <c r="R458" s="614"/>
      <c r="S458" s="614"/>
      <c r="T458" s="614"/>
      <c r="U458" s="614"/>
      <c r="V458" s="615"/>
      <c r="W458" s="37" t="s">
        <v>67</v>
      </c>
      <c r="X458" s="599">
        <f>IFERROR(SUM(X455:X456),"0")</f>
        <v>0</v>
      </c>
      <c r="Y458" s="599">
        <f>IFERROR(SUM(Y455:Y456),"0")</f>
        <v>0</v>
      </c>
      <c r="Z458" s="37"/>
      <c r="AA458" s="600"/>
      <c r="AB458" s="600"/>
      <c r="AC458" s="600"/>
    </row>
    <row r="459" spans="1:68" ht="16.5" customHeight="1" x14ac:dyDescent="0.25">
      <c r="A459" s="612" t="s">
        <v>727</v>
      </c>
      <c r="B459" s="609"/>
      <c r="C459" s="609"/>
      <c r="D459" s="609"/>
      <c r="E459" s="609"/>
      <c r="F459" s="609"/>
      <c r="G459" s="609"/>
      <c r="H459" s="609"/>
      <c r="I459" s="609"/>
      <c r="J459" s="609"/>
      <c r="K459" s="609"/>
      <c r="L459" s="609"/>
      <c r="M459" s="609"/>
      <c r="N459" s="609"/>
      <c r="O459" s="609"/>
      <c r="P459" s="609"/>
      <c r="Q459" s="609"/>
      <c r="R459" s="609"/>
      <c r="S459" s="609"/>
      <c r="T459" s="609"/>
      <c r="U459" s="609"/>
      <c r="V459" s="609"/>
      <c r="W459" s="609"/>
      <c r="X459" s="609"/>
      <c r="Y459" s="609"/>
      <c r="Z459" s="609"/>
      <c r="AA459" s="592"/>
      <c r="AB459" s="592"/>
      <c r="AC459" s="592"/>
    </row>
    <row r="460" spans="1:68" ht="14.25" customHeight="1" x14ac:dyDescent="0.25">
      <c r="A460" s="608" t="s">
        <v>152</v>
      </c>
      <c r="B460" s="609"/>
      <c r="C460" s="609"/>
      <c r="D460" s="609"/>
      <c r="E460" s="609"/>
      <c r="F460" s="609"/>
      <c r="G460" s="609"/>
      <c r="H460" s="609"/>
      <c r="I460" s="609"/>
      <c r="J460" s="609"/>
      <c r="K460" s="609"/>
      <c r="L460" s="609"/>
      <c r="M460" s="609"/>
      <c r="N460" s="609"/>
      <c r="O460" s="609"/>
      <c r="P460" s="609"/>
      <c r="Q460" s="609"/>
      <c r="R460" s="609"/>
      <c r="S460" s="609"/>
      <c r="T460" s="609"/>
      <c r="U460" s="609"/>
      <c r="V460" s="609"/>
      <c r="W460" s="609"/>
      <c r="X460" s="609"/>
      <c r="Y460" s="609"/>
      <c r="Z460" s="609"/>
      <c r="AA460" s="593"/>
      <c r="AB460" s="593"/>
      <c r="AC460" s="593"/>
    </row>
    <row r="461" spans="1:68" ht="27" customHeight="1" x14ac:dyDescent="0.25">
      <c r="A461" s="54" t="s">
        <v>728</v>
      </c>
      <c r="B461" s="54" t="s">
        <v>729</v>
      </c>
      <c r="C461" s="31">
        <v>4301020416</v>
      </c>
      <c r="D461" s="603">
        <v>4680115885240</v>
      </c>
      <c r="E461" s="604"/>
      <c r="F461" s="596">
        <v>0.35</v>
      </c>
      <c r="G461" s="32">
        <v>6</v>
      </c>
      <c r="H461" s="596">
        <v>2.1</v>
      </c>
      <c r="I461" s="596">
        <v>2.31</v>
      </c>
      <c r="J461" s="32">
        <v>182</v>
      </c>
      <c r="K461" s="32" t="s">
        <v>77</v>
      </c>
      <c r="L461" s="32"/>
      <c r="M461" s="33" t="s">
        <v>66</v>
      </c>
      <c r="N461" s="33"/>
      <c r="O461" s="32">
        <v>40</v>
      </c>
      <c r="P461" s="7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1" s="606"/>
      <c r="R461" s="606"/>
      <c r="S461" s="606"/>
      <c r="T461" s="607"/>
      <c r="U461" s="34"/>
      <c r="V461" s="34"/>
      <c r="W461" s="35" t="s">
        <v>67</v>
      </c>
      <c r="X461" s="597">
        <v>0</v>
      </c>
      <c r="Y461" s="59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27" t="s">
        <v>730</v>
      </c>
      <c r="AG461" s="64"/>
      <c r="AJ461" s="68"/>
      <c r="AK461" s="68">
        <v>0</v>
      </c>
      <c r="BB461" s="52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617"/>
      <c r="B462" s="609"/>
      <c r="C462" s="609"/>
      <c r="D462" s="609"/>
      <c r="E462" s="609"/>
      <c r="F462" s="609"/>
      <c r="G462" s="609"/>
      <c r="H462" s="609"/>
      <c r="I462" s="609"/>
      <c r="J462" s="609"/>
      <c r="K462" s="609"/>
      <c r="L462" s="609"/>
      <c r="M462" s="609"/>
      <c r="N462" s="609"/>
      <c r="O462" s="618"/>
      <c r="P462" s="613" t="s">
        <v>72</v>
      </c>
      <c r="Q462" s="614"/>
      <c r="R462" s="614"/>
      <c r="S462" s="614"/>
      <c r="T462" s="614"/>
      <c r="U462" s="614"/>
      <c r="V462" s="615"/>
      <c r="W462" s="37" t="s">
        <v>73</v>
      </c>
      <c r="X462" s="599">
        <f>IFERROR(X461/H461,"0")</f>
        <v>0</v>
      </c>
      <c r="Y462" s="599">
        <f>IFERROR(Y461/H461,"0")</f>
        <v>0</v>
      </c>
      <c r="Z462" s="599">
        <f>IFERROR(IF(Z461="",0,Z461),"0")</f>
        <v>0</v>
      </c>
      <c r="AA462" s="600"/>
      <c r="AB462" s="600"/>
      <c r="AC462" s="600"/>
    </row>
    <row r="463" spans="1:68" x14ac:dyDescent="0.2">
      <c r="A463" s="609"/>
      <c r="B463" s="609"/>
      <c r="C463" s="609"/>
      <c r="D463" s="609"/>
      <c r="E463" s="609"/>
      <c r="F463" s="609"/>
      <c r="G463" s="609"/>
      <c r="H463" s="609"/>
      <c r="I463" s="609"/>
      <c r="J463" s="609"/>
      <c r="K463" s="609"/>
      <c r="L463" s="609"/>
      <c r="M463" s="609"/>
      <c r="N463" s="609"/>
      <c r="O463" s="618"/>
      <c r="P463" s="613" t="s">
        <v>72</v>
      </c>
      <c r="Q463" s="614"/>
      <c r="R463" s="614"/>
      <c r="S463" s="614"/>
      <c r="T463" s="614"/>
      <c r="U463" s="614"/>
      <c r="V463" s="615"/>
      <c r="W463" s="37" t="s">
        <v>67</v>
      </c>
      <c r="X463" s="599">
        <f>IFERROR(SUM(X461:X461),"0")</f>
        <v>0</v>
      </c>
      <c r="Y463" s="599">
        <f>IFERROR(SUM(Y461:Y461),"0")</f>
        <v>0</v>
      </c>
      <c r="Z463" s="37"/>
      <c r="AA463" s="600"/>
      <c r="AB463" s="600"/>
      <c r="AC463" s="600"/>
    </row>
    <row r="464" spans="1:68" ht="14.25" customHeight="1" x14ac:dyDescent="0.25">
      <c r="A464" s="608" t="s">
        <v>62</v>
      </c>
      <c r="B464" s="609"/>
      <c r="C464" s="609"/>
      <c r="D464" s="609"/>
      <c r="E464" s="609"/>
      <c r="F464" s="609"/>
      <c r="G464" s="609"/>
      <c r="H464" s="609"/>
      <c r="I464" s="609"/>
      <c r="J464" s="609"/>
      <c r="K464" s="609"/>
      <c r="L464" s="609"/>
      <c r="M464" s="609"/>
      <c r="N464" s="609"/>
      <c r="O464" s="609"/>
      <c r="P464" s="609"/>
      <c r="Q464" s="609"/>
      <c r="R464" s="609"/>
      <c r="S464" s="609"/>
      <c r="T464" s="609"/>
      <c r="U464" s="609"/>
      <c r="V464" s="609"/>
      <c r="W464" s="609"/>
      <c r="X464" s="609"/>
      <c r="Y464" s="609"/>
      <c r="Z464" s="609"/>
      <c r="AA464" s="593"/>
      <c r="AB464" s="593"/>
      <c r="AC464" s="593"/>
    </row>
    <row r="465" spans="1:68" ht="27" customHeight="1" x14ac:dyDescent="0.25">
      <c r="A465" s="54" t="s">
        <v>731</v>
      </c>
      <c r="B465" s="54" t="s">
        <v>732</v>
      </c>
      <c r="C465" s="31">
        <v>4301031407</v>
      </c>
      <c r="D465" s="603">
        <v>4680115886094</v>
      </c>
      <c r="E465" s="604"/>
      <c r="F465" s="596">
        <v>0.9</v>
      </c>
      <c r="G465" s="32">
        <v>6</v>
      </c>
      <c r="H465" s="596">
        <v>5.4</v>
      </c>
      <c r="I465" s="596">
        <v>5.59</v>
      </c>
      <c r="J465" s="32">
        <v>132</v>
      </c>
      <c r="K465" s="32" t="s">
        <v>129</v>
      </c>
      <c r="L465" s="32"/>
      <c r="M465" s="33" t="s">
        <v>66</v>
      </c>
      <c r="N465" s="33"/>
      <c r="O465" s="32">
        <v>50</v>
      </c>
      <c r="P465" s="70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5" s="606"/>
      <c r="R465" s="606"/>
      <c r="S465" s="606"/>
      <c r="T465" s="607"/>
      <c r="U465" s="34"/>
      <c r="V465" s="34"/>
      <c r="W465" s="35" t="s">
        <v>67</v>
      </c>
      <c r="X465" s="597">
        <v>0</v>
      </c>
      <c r="Y465" s="59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9" t="s">
        <v>733</v>
      </c>
      <c r="AG465" s="64"/>
      <c r="AJ465" s="68"/>
      <c r="AK465" s="68">
        <v>0</v>
      </c>
      <c r="BB465" s="530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734</v>
      </c>
      <c r="B466" s="54" t="s">
        <v>735</v>
      </c>
      <c r="C466" s="31">
        <v>4301031373</v>
      </c>
      <c r="D466" s="603">
        <v>4680115880771</v>
      </c>
      <c r="E466" s="604"/>
      <c r="F466" s="596">
        <v>0.28000000000000003</v>
      </c>
      <c r="G466" s="32">
        <v>6</v>
      </c>
      <c r="H466" s="596">
        <v>1.68</v>
      </c>
      <c r="I466" s="596">
        <v>1.81</v>
      </c>
      <c r="J466" s="32">
        <v>234</v>
      </c>
      <c r="K466" s="32" t="s">
        <v>65</v>
      </c>
      <c r="L466" s="32"/>
      <c r="M466" s="33" t="s">
        <v>66</v>
      </c>
      <c r="N466" s="33"/>
      <c r="O466" s="32">
        <v>50</v>
      </c>
      <c r="P466" s="8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6" s="606"/>
      <c r="R466" s="606"/>
      <c r="S466" s="606"/>
      <c r="T466" s="607"/>
      <c r="U466" s="34"/>
      <c r="V466" s="34"/>
      <c r="W466" s="35" t="s">
        <v>67</v>
      </c>
      <c r="X466" s="597">
        <v>0</v>
      </c>
      <c r="Y466" s="598">
        <f>IFERROR(IF(X466="",0,CEILING((X466/$H466),1)*$H466),"")</f>
        <v>0</v>
      </c>
      <c r="Z466" s="36" t="str">
        <f>IFERROR(IF(Y466=0,"",ROUNDUP(Y466/H466,0)*0.00502),"")</f>
        <v/>
      </c>
      <c r="AA466" s="56"/>
      <c r="AB466" s="57"/>
      <c r="AC466" s="531" t="s">
        <v>736</v>
      </c>
      <c r="AG466" s="64"/>
      <c r="AJ466" s="68"/>
      <c r="AK466" s="68">
        <v>0</v>
      </c>
      <c r="BB466" s="532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737</v>
      </c>
      <c r="B467" s="54" t="s">
        <v>738</v>
      </c>
      <c r="C467" s="31">
        <v>4301031359</v>
      </c>
      <c r="D467" s="603">
        <v>4607091389500</v>
      </c>
      <c r="E467" s="604"/>
      <c r="F467" s="596">
        <v>0.35</v>
      </c>
      <c r="G467" s="32">
        <v>6</v>
      </c>
      <c r="H467" s="596">
        <v>2.1</v>
      </c>
      <c r="I467" s="596">
        <v>2.23</v>
      </c>
      <c r="J467" s="32">
        <v>234</v>
      </c>
      <c r="K467" s="32" t="s">
        <v>65</v>
      </c>
      <c r="L467" s="32"/>
      <c r="M467" s="33" t="s">
        <v>66</v>
      </c>
      <c r="N467" s="33"/>
      <c r="O467" s="32">
        <v>50</v>
      </c>
      <c r="P467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7" s="606"/>
      <c r="R467" s="606"/>
      <c r="S467" s="606"/>
      <c r="T467" s="607"/>
      <c r="U467" s="34"/>
      <c r="V467" s="34"/>
      <c r="W467" s="35" t="s">
        <v>67</v>
      </c>
      <c r="X467" s="597">
        <v>0</v>
      </c>
      <c r="Y467" s="598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736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617"/>
      <c r="B468" s="609"/>
      <c r="C468" s="609"/>
      <c r="D468" s="609"/>
      <c r="E468" s="609"/>
      <c r="F468" s="609"/>
      <c r="G468" s="609"/>
      <c r="H468" s="609"/>
      <c r="I468" s="609"/>
      <c r="J468" s="609"/>
      <c r="K468" s="609"/>
      <c r="L468" s="609"/>
      <c r="M468" s="609"/>
      <c r="N468" s="609"/>
      <c r="O468" s="618"/>
      <c r="P468" s="613" t="s">
        <v>72</v>
      </c>
      <c r="Q468" s="614"/>
      <c r="R468" s="614"/>
      <c r="S468" s="614"/>
      <c r="T468" s="614"/>
      <c r="U468" s="614"/>
      <c r="V468" s="615"/>
      <c r="W468" s="37" t="s">
        <v>73</v>
      </c>
      <c r="X468" s="599">
        <f>IFERROR(X465/H465,"0")+IFERROR(X466/H466,"0")+IFERROR(X467/H467,"0")</f>
        <v>0</v>
      </c>
      <c r="Y468" s="599">
        <f>IFERROR(Y465/H465,"0")+IFERROR(Y466/H466,"0")+IFERROR(Y467/H467,"0")</f>
        <v>0</v>
      </c>
      <c r="Z468" s="599">
        <f>IFERROR(IF(Z465="",0,Z465),"0")+IFERROR(IF(Z466="",0,Z466),"0")+IFERROR(IF(Z467="",0,Z467),"0")</f>
        <v>0</v>
      </c>
      <c r="AA468" s="600"/>
      <c r="AB468" s="600"/>
      <c r="AC468" s="600"/>
    </row>
    <row r="469" spans="1:68" x14ac:dyDescent="0.2">
      <c r="A469" s="609"/>
      <c r="B469" s="609"/>
      <c r="C469" s="609"/>
      <c r="D469" s="609"/>
      <c r="E469" s="609"/>
      <c r="F469" s="609"/>
      <c r="G469" s="609"/>
      <c r="H469" s="609"/>
      <c r="I469" s="609"/>
      <c r="J469" s="609"/>
      <c r="K469" s="609"/>
      <c r="L469" s="609"/>
      <c r="M469" s="609"/>
      <c r="N469" s="609"/>
      <c r="O469" s="618"/>
      <c r="P469" s="613" t="s">
        <v>72</v>
      </c>
      <c r="Q469" s="614"/>
      <c r="R469" s="614"/>
      <c r="S469" s="614"/>
      <c r="T469" s="614"/>
      <c r="U469" s="614"/>
      <c r="V469" s="615"/>
      <c r="W469" s="37" t="s">
        <v>67</v>
      </c>
      <c r="X469" s="599">
        <f>IFERROR(SUM(X465:X467),"0")</f>
        <v>0</v>
      </c>
      <c r="Y469" s="599">
        <f>IFERROR(SUM(Y465:Y467),"0")</f>
        <v>0</v>
      </c>
      <c r="Z469" s="37"/>
      <c r="AA469" s="600"/>
      <c r="AB469" s="600"/>
      <c r="AC469" s="600"/>
    </row>
    <row r="470" spans="1:68" ht="27.75" customHeight="1" x14ac:dyDescent="0.2">
      <c r="A470" s="643" t="s">
        <v>739</v>
      </c>
      <c r="B470" s="644"/>
      <c r="C470" s="644"/>
      <c r="D470" s="644"/>
      <c r="E470" s="644"/>
      <c r="F470" s="644"/>
      <c r="G470" s="644"/>
      <c r="H470" s="644"/>
      <c r="I470" s="644"/>
      <c r="J470" s="644"/>
      <c r="K470" s="644"/>
      <c r="L470" s="644"/>
      <c r="M470" s="644"/>
      <c r="N470" s="644"/>
      <c r="O470" s="644"/>
      <c r="P470" s="644"/>
      <c r="Q470" s="644"/>
      <c r="R470" s="644"/>
      <c r="S470" s="644"/>
      <c r="T470" s="644"/>
      <c r="U470" s="644"/>
      <c r="V470" s="644"/>
      <c r="W470" s="644"/>
      <c r="X470" s="644"/>
      <c r="Y470" s="644"/>
      <c r="Z470" s="644"/>
      <c r="AA470" s="48"/>
      <c r="AB470" s="48"/>
      <c r="AC470" s="48"/>
    </row>
    <row r="471" spans="1:68" ht="16.5" customHeight="1" x14ac:dyDescent="0.25">
      <c r="A471" s="612" t="s">
        <v>739</v>
      </c>
      <c r="B471" s="609"/>
      <c r="C471" s="609"/>
      <c r="D471" s="609"/>
      <c r="E471" s="609"/>
      <c r="F471" s="609"/>
      <c r="G471" s="609"/>
      <c r="H471" s="609"/>
      <c r="I471" s="609"/>
      <c r="J471" s="609"/>
      <c r="K471" s="609"/>
      <c r="L471" s="609"/>
      <c r="M471" s="609"/>
      <c r="N471" s="609"/>
      <c r="O471" s="609"/>
      <c r="P471" s="609"/>
      <c r="Q471" s="609"/>
      <c r="R471" s="609"/>
      <c r="S471" s="609"/>
      <c r="T471" s="609"/>
      <c r="U471" s="609"/>
      <c r="V471" s="609"/>
      <c r="W471" s="609"/>
      <c r="X471" s="609"/>
      <c r="Y471" s="609"/>
      <c r="Z471" s="609"/>
      <c r="AA471" s="592"/>
      <c r="AB471" s="592"/>
      <c r="AC471" s="592"/>
    </row>
    <row r="472" spans="1:68" ht="14.25" customHeight="1" x14ac:dyDescent="0.25">
      <c r="A472" s="608" t="s">
        <v>117</v>
      </c>
      <c r="B472" s="609"/>
      <c r="C472" s="609"/>
      <c r="D472" s="609"/>
      <c r="E472" s="609"/>
      <c r="F472" s="609"/>
      <c r="G472" s="609"/>
      <c r="H472" s="609"/>
      <c r="I472" s="609"/>
      <c r="J472" s="609"/>
      <c r="K472" s="609"/>
      <c r="L472" s="609"/>
      <c r="M472" s="609"/>
      <c r="N472" s="609"/>
      <c r="O472" s="609"/>
      <c r="P472" s="609"/>
      <c r="Q472" s="609"/>
      <c r="R472" s="609"/>
      <c r="S472" s="609"/>
      <c r="T472" s="609"/>
      <c r="U472" s="609"/>
      <c r="V472" s="609"/>
      <c r="W472" s="609"/>
      <c r="X472" s="609"/>
      <c r="Y472" s="609"/>
      <c r="Z472" s="609"/>
      <c r="AA472" s="593"/>
      <c r="AB472" s="593"/>
      <c r="AC472" s="593"/>
    </row>
    <row r="473" spans="1:68" ht="27" customHeight="1" x14ac:dyDescent="0.25">
      <c r="A473" s="54" t="s">
        <v>740</v>
      </c>
      <c r="B473" s="54" t="s">
        <v>741</v>
      </c>
      <c r="C473" s="31">
        <v>4301011769</v>
      </c>
      <c r="D473" s="603">
        <v>4607091389067</v>
      </c>
      <c r="E473" s="604"/>
      <c r="F473" s="596">
        <v>0.88</v>
      </c>
      <c r="G473" s="32">
        <v>6</v>
      </c>
      <c r="H473" s="596">
        <v>5.28</v>
      </c>
      <c r="I473" s="596">
        <v>5.63</v>
      </c>
      <c r="J473" s="32">
        <v>104</v>
      </c>
      <c r="K473" s="32" t="s">
        <v>120</v>
      </c>
      <c r="L473" s="32"/>
      <c r="M473" s="33" t="s">
        <v>78</v>
      </c>
      <c r="N473" s="33"/>
      <c r="O473" s="32">
        <v>60</v>
      </c>
      <c r="P473" s="90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3" s="606"/>
      <c r="R473" s="606"/>
      <c r="S473" s="606"/>
      <c r="T473" s="607"/>
      <c r="U473" s="34"/>
      <c r="V473" s="34"/>
      <c r="W473" s="35" t="s">
        <v>67</v>
      </c>
      <c r="X473" s="597">
        <v>35</v>
      </c>
      <c r="Y473" s="598">
        <f t="shared" ref="Y473:Y481" si="62">IFERROR(IF(X473="",0,CEILING((X473/$H473),1)*$H473),"")</f>
        <v>36.96</v>
      </c>
      <c r="Z473" s="36">
        <f t="shared" ref="Z473:Z478" si="63">IFERROR(IF(Y473=0,"",ROUNDUP(Y473/H473,0)*0.01196),"")</f>
        <v>8.3720000000000003E-2</v>
      </c>
      <c r="AA473" s="56"/>
      <c r="AB473" s="57"/>
      <c r="AC473" s="535" t="s">
        <v>122</v>
      </c>
      <c r="AG473" s="64"/>
      <c r="AJ473" s="68"/>
      <c r="AK473" s="68">
        <v>0</v>
      </c>
      <c r="BB473" s="536" t="s">
        <v>1</v>
      </c>
      <c r="BM473" s="64">
        <f t="shared" ref="BM473:BM481" si="64">IFERROR(X473*I473/H473,"0")</f>
        <v>37.320075757575751</v>
      </c>
      <c r="BN473" s="64">
        <f t="shared" ref="BN473:BN481" si="65">IFERROR(Y473*I473/H473,"0")</f>
        <v>39.409999999999997</v>
      </c>
      <c r="BO473" s="64">
        <f t="shared" ref="BO473:BO481" si="66">IFERROR(1/J473*(X473/H473),"0")</f>
        <v>6.3738344988344992E-2</v>
      </c>
      <c r="BP473" s="64">
        <f t="shared" ref="BP473:BP481" si="67">IFERROR(1/J473*(Y473/H473),"0")</f>
        <v>6.7307692307692318E-2</v>
      </c>
    </row>
    <row r="474" spans="1:68" ht="27" customHeight="1" x14ac:dyDescent="0.25">
      <c r="A474" s="54" t="s">
        <v>742</v>
      </c>
      <c r="B474" s="54" t="s">
        <v>743</v>
      </c>
      <c r="C474" s="31">
        <v>4301012210</v>
      </c>
      <c r="D474" s="603">
        <v>4607091383522</v>
      </c>
      <c r="E474" s="604"/>
      <c r="F474" s="596">
        <v>0.88</v>
      </c>
      <c r="G474" s="32">
        <v>6</v>
      </c>
      <c r="H474" s="596">
        <v>5.28</v>
      </c>
      <c r="I474" s="596">
        <v>5.63</v>
      </c>
      <c r="J474" s="32">
        <v>104</v>
      </c>
      <c r="K474" s="32" t="s">
        <v>120</v>
      </c>
      <c r="L474" s="32"/>
      <c r="M474" s="33" t="s">
        <v>121</v>
      </c>
      <c r="N474" s="33"/>
      <c r="O474" s="32">
        <v>60</v>
      </c>
      <c r="P474" s="94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4" s="606"/>
      <c r="R474" s="606"/>
      <c r="S474" s="606"/>
      <c r="T474" s="607"/>
      <c r="U474" s="34"/>
      <c r="V474" s="34"/>
      <c r="W474" s="35" t="s">
        <v>67</v>
      </c>
      <c r="X474" s="597">
        <v>0</v>
      </c>
      <c r="Y474" s="598">
        <f t="shared" si="62"/>
        <v>0</v>
      </c>
      <c r="Z474" s="36" t="str">
        <f t="shared" si="63"/>
        <v/>
      </c>
      <c r="AA474" s="56"/>
      <c r="AB474" s="57"/>
      <c r="AC474" s="537" t="s">
        <v>744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customHeight="1" x14ac:dyDescent="0.25">
      <c r="A475" s="54" t="s">
        <v>745</v>
      </c>
      <c r="B475" s="54" t="s">
        <v>746</v>
      </c>
      <c r="C475" s="31">
        <v>4301011961</v>
      </c>
      <c r="D475" s="603">
        <v>4680115885271</v>
      </c>
      <c r="E475" s="604"/>
      <c r="F475" s="596">
        <v>0.88</v>
      </c>
      <c r="G475" s="32">
        <v>6</v>
      </c>
      <c r="H475" s="596">
        <v>5.28</v>
      </c>
      <c r="I475" s="596">
        <v>5.63</v>
      </c>
      <c r="J475" s="32">
        <v>104</v>
      </c>
      <c r="K475" s="32" t="s">
        <v>120</v>
      </c>
      <c r="L475" s="32"/>
      <c r="M475" s="33" t="s">
        <v>121</v>
      </c>
      <c r="N475" s="33"/>
      <c r="O475" s="32">
        <v>60</v>
      </c>
      <c r="P475" s="72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5" s="606"/>
      <c r="R475" s="606"/>
      <c r="S475" s="606"/>
      <c r="T475" s="607"/>
      <c r="U475" s="34"/>
      <c r="V475" s="34"/>
      <c r="W475" s="35" t="s">
        <v>67</v>
      </c>
      <c r="X475" s="597">
        <v>4</v>
      </c>
      <c r="Y475" s="598">
        <f t="shared" si="62"/>
        <v>5.28</v>
      </c>
      <c r="Z475" s="36">
        <f t="shared" si="63"/>
        <v>1.196E-2</v>
      </c>
      <c r="AA475" s="56"/>
      <c r="AB475" s="57"/>
      <c r="AC475" s="539" t="s">
        <v>747</v>
      </c>
      <c r="AG475" s="64"/>
      <c r="AJ475" s="68"/>
      <c r="AK475" s="68">
        <v>0</v>
      </c>
      <c r="BB475" s="540" t="s">
        <v>1</v>
      </c>
      <c r="BM475" s="64">
        <f t="shared" si="64"/>
        <v>4.2651515151515147</v>
      </c>
      <c r="BN475" s="64">
        <f t="shared" si="65"/>
        <v>5.63</v>
      </c>
      <c r="BO475" s="64">
        <f t="shared" si="66"/>
        <v>7.2843822843822849E-3</v>
      </c>
      <c r="BP475" s="64">
        <f t="shared" si="67"/>
        <v>9.6153846153846159E-3</v>
      </c>
    </row>
    <row r="476" spans="1:68" ht="27" customHeight="1" x14ac:dyDescent="0.25">
      <c r="A476" s="54" t="s">
        <v>748</v>
      </c>
      <c r="B476" s="54" t="s">
        <v>749</v>
      </c>
      <c r="C476" s="31">
        <v>4301011369</v>
      </c>
      <c r="D476" s="603">
        <v>4680115885226</v>
      </c>
      <c r="E476" s="604"/>
      <c r="F476" s="596">
        <v>0.88</v>
      </c>
      <c r="G476" s="32">
        <v>6</v>
      </c>
      <c r="H476" s="596">
        <v>5.28</v>
      </c>
      <c r="I476" s="596">
        <v>5.63</v>
      </c>
      <c r="J476" s="32">
        <v>104</v>
      </c>
      <c r="K476" s="32" t="s">
        <v>120</v>
      </c>
      <c r="L476" s="32"/>
      <c r="M476" s="33" t="s">
        <v>121</v>
      </c>
      <c r="N476" s="33"/>
      <c r="O476" s="32">
        <v>60</v>
      </c>
      <c r="P476" s="9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6" s="606"/>
      <c r="R476" s="606"/>
      <c r="S476" s="606"/>
      <c r="T476" s="607"/>
      <c r="U476" s="34"/>
      <c r="V476" s="34"/>
      <c r="W476" s="35" t="s">
        <v>67</v>
      </c>
      <c r="X476" s="597">
        <v>0</v>
      </c>
      <c r="Y476" s="598">
        <f t="shared" si="62"/>
        <v>0</v>
      </c>
      <c r="Z476" s="36" t="str">
        <f t="shared" si="63"/>
        <v/>
      </c>
      <c r="AA476" s="56"/>
      <c r="AB476" s="57"/>
      <c r="AC476" s="541" t="s">
        <v>750</v>
      </c>
      <c r="AG476" s="64"/>
      <c r="AJ476" s="68"/>
      <c r="AK476" s="68">
        <v>0</v>
      </c>
      <c r="BB476" s="542" t="s">
        <v>1</v>
      </c>
      <c r="BM476" s="64">
        <f t="shared" si="64"/>
        <v>0</v>
      </c>
      <c r="BN476" s="64">
        <f t="shared" si="65"/>
        <v>0</v>
      </c>
      <c r="BO476" s="64">
        <f t="shared" si="66"/>
        <v>0</v>
      </c>
      <c r="BP476" s="64">
        <f t="shared" si="67"/>
        <v>0</v>
      </c>
    </row>
    <row r="477" spans="1:68" ht="16.5" customHeight="1" x14ac:dyDescent="0.25">
      <c r="A477" s="54" t="s">
        <v>751</v>
      </c>
      <c r="B477" s="54" t="s">
        <v>752</v>
      </c>
      <c r="C477" s="31">
        <v>4301011797</v>
      </c>
      <c r="D477" s="603">
        <v>4680115884502</v>
      </c>
      <c r="E477" s="604"/>
      <c r="F477" s="596">
        <v>0.88</v>
      </c>
      <c r="G477" s="32">
        <v>6</v>
      </c>
      <c r="H477" s="596">
        <v>5.28</v>
      </c>
      <c r="I477" s="596">
        <v>5.63</v>
      </c>
      <c r="J477" s="32">
        <v>104</v>
      </c>
      <c r="K477" s="32" t="s">
        <v>120</v>
      </c>
      <c r="L477" s="32"/>
      <c r="M477" s="33" t="s">
        <v>78</v>
      </c>
      <c r="N477" s="33"/>
      <c r="O477" s="32">
        <v>60</v>
      </c>
      <c r="P477" s="7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7" s="606"/>
      <c r="R477" s="606"/>
      <c r="S477" s="606"/>
      <c r="T477" s="607"/>
      <c r="U477" s="34"/>
      <c r="V477" s="34"/>
      <c r="W477" s="35" t="s">
        <v>67</v>
      </c>
      <c r="X477" s="597">
        <v>0</v>
      </c>
      <c r="Y477" s="598">
        <f t="shared" si="62"/>
        <v>0</v>
      </c>
      <c r="Z477" s="36" t="str">
        <f t="shared" si="63"/>
        <v/>
      </c>
      <c r="AA477" s="56"/>
      <c r="AB477" s="57"/>
      <c r="AC477" s="543" t="s">
        <v>753</v>
      </c>
      <c r="AG477" s="64"/>
      <c r="AJ477" s="68"/>
      <c r="AK477" s="68">
        <v>0</v>
      </c>
      <c r="BB477" s="544" t="s">
        <v>1</v>
      </c>
      <c r="BM477" s="64">
        <f t="shared" si="64"/>
        <v>0</v>
      </c>
      <c r="BN477" s="64">
        <f t="shared" si="65"/>
        <v>0</v>
      </c>
      <c r="BO477" s="64">
        <f t="shared" si="66"/>
        <v>0</v>
      </c>
      <c r="BP477" s="64">
        <f t="shared" si="67"/>
        <v>0</v>
      </c>
    </row>
    <row r="478" spans="1:68" ht="27" customHeight="1" x14ac:dyDescent="0.25">
      <c r="A478" s="54" t="s">
        <v>754</v>
      </c>
      <c r="B478" s="54" t="s">
        <v>755</v>
      </c>
      <c r="C478" s="31">
        <v>4301011771</v>
      </c>
      <c r="D478" s="603">
        <v>4607091389104</v>
      </c>
      <c r="E478" s="604"/>
      <c r="F478" s="596">
        <v>0.88</v>
      </c>
      <c r="G478" s="32">
        <v>6</v>
      </c>
      <c r="H478" s="596">
        <v>5.28</v>
      </c>
      <c r="I478" s="596">
        <v>5.63</v>
      </c>
      <c r="J478" s="32">
        <v>104</v>
      </c>
      <c r="K478" s="32" t="s">
        <v>120</v>
      </c>
      <c r="L478" s="32"/>
      <c r="M478" s="33" t="s">
        <v>121</v>
      </c>
      <c r="N478" s="33"/>
      <c r="O478" s="32">
        <v>60</v>
      </c>
      <c r="P478" s="7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8" s="606"/>
      <c r="R478" s="606"/>
      <c r="S478" s="606"/>
      <c r="T478" s="607"/>
      <c r="U478" s="34"/>
      <c r="V478" s="34"/>
      <c r="W478" s="35" t="s">
        <v>67</v>
      </c>
      <c r="X478" s="597">
        <v>0</v>
      </c>
      <c r="Y478" s="598">
        <f t="shared" si="62"/>
        <v>0</v>
      </c>
      <c r="Z478" s="36" t="str">
        <f t="shared" si="63"/>
        <v/>
      </c>
      <c r="AA478" s="56"/>
      <c r="AB478" s="57"/>
      <c r="AC478" s="545" t="s">
        <v>756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customHeight="1" x14ac:dyDescent="0.25">
      <c r="A479" s="54" t="s">
        <v>757</v>
      </c>
      <c r="B479" s="54" t="s">
        <v>758</v>
      </c>
      <c r="C479" s="31">
        <v>4301012125</v>
      </c>
      <c r="D479" s="603">
        <v>4680115886391</v>
      </c>
      <c r="E479" s="604"/>
      <c r="F479" s="596">
        <v>0.4</v>
      </c>
      <c r="G479" s="32">
        <v>6</v>
      </c>
      <c r="H479" s="596">
        <v>2.4</v>
      </c>
      <c r="I479" s="596">
        <v>2.58</v>
      </c>
      <c r="J479" s="32">
        <v>182</v>
      </c>
      <c r="K479" s="32" t="s">
        <v>77</v>
      </c>
      <c r="L479" s="32"/>
      <c r="M479" s="33" t="s">
        <v>78</v>
      </c>
      <c r="N479" s="33"/>
      <c r="O479" s="32">
        <v>60</v>
      </c>
      <c r="P479" s="8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9" s="606"/>
      <c r="R479" s="606"/>
      <c r="S479" s="606"/>
      <c r="T479" s="607"/>
      <c r="U479" s="34"/>
      <c r="V479" s="34"/>
      <c r="W479" s="35" t="s">
        <v>67</v>
      </c>
      <c r="X479" s="597">
        <v>0</v>
      </c>
      <c r="Y479" s="598">
        <f t="shared" si="62"/>
        <v>0</v>
      </c>
      <c r="Z479" s="36" t="str">
        <f>IFERROR(IF(Y479=0,"",ROUNDUP(Y479/H479,0)*0.00651),"")</f>
        <v/>
      </c>
      <c r="AA479" s="56"/>
      <c r="AB479" s="57"/>
      <c r="AC479" s="547" t="s">
        <v>122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759</v>
      </c>
      <c r="B480" s="54" t="s">
        <v>760</v>
      </c>
      <c r="C480" s="31">
        <v>4301012048</v>
      </c>
      <c r="D480" s="603">
        <v>4680115880603</v>
      </c>
      <c r="E480" s="604"/>
      <c r="F480" s="596">
        <v>0.6</v>
      </c>
      <c r="G480" s="32">
        <v>8</v>
      </c>
      <c r="H480" s="596">
        <v>4.8</v>
      </c>
      <c r="I480" s="596">
        <v>6.91</v>
      </c>
      <c r="J480" s="32">
        <v>132</v>
      </c>
      <c r="K480" s="32" t="s">
        <v>129</v>
      </c>
      <c r="L480" s="32"/>
      <c r="M480" s="33" t="s">
        <v>78</v>
      </c>
      <c r="N480" s="33"/>
      <c r="O480" s="32">
        <v>60</v>
      </c>
      <c r="P480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0" s="606"/>
      <c r="R480" s="606"/>
      <c r="S480" s="606"/>
      <c r="T480" s="607"/>
      <c r="U480" s="34"/>
      <c r="V480" s="34"/>
      <c r="W480" s="35" t="s">
        <v>67</v>
      </c>
      <c r="X480" s="597">
        <v>0</v>
      </c>
      <c r="Y480" s="598">
        <f t="shared" si="62"/>
        <v>0</v>
      </c>
      <c r="Z480" s="36" t="str">
        <f>IFERROR(IF(Y480=0,"",ROUNDUP(Y480/H480,0)*0.00902),"")</f>
        <v/>
      </c>
      <c r="AA480" s="56"/>
      <c r="AB480" s="57"/>
      <c r="AC480" s="549" t="s">
        <v>122</v>
      </c>
      <c r="AG480" s="64"/>
      <c r="AJ480" s="68"/>
      <c r="AK480" s="68">
        <v>0</v>
      </c>
      <c r="BB480" s="550" t="s">
        <v>1</v>
      </c>
      <c r="BM480" s="64">
        <f t="shared" si="64"/>
        <v>0</v>
      </c>
      <c r="BN480" s="64">
        <f t="shared" si="65"/>
        <v>0</v>
      </c>
      <c r="BO480" s="64">
        <f t="shared" si="66"/>
        <v>0</v>
      </c>
      <c r="BP480" s="64">
        <f t="shared" si="67"/>
        <v>0</v>
      </c>
    </row>
    <row r="481" spans="1:68" ht="27" customHeight="1" x14ac:dyDescent="0.25">
      <c r="A481" s="54" t="s">
        <v>761</v>
      </c>
      <c r="B481" s="54" t="s">
        <v>762</v>
      </c>
      <c r="C481" s="31">
        <v>4301012034</v>
      </c>
      <c r="D481" s="603">
        <v>4607091389982</v>
      </c>
      <c r="E481" s="604"/>
      <c r="F481" s="596">
        <v>0.6</v>
      </c>
      <c r="G481" s="32">
        <v>8</v>
      </c>
      <c r="H481" s="596">
        <v>4.8</v>
      </c>
      <c r="I481" s="596">
        <v>6.91</v>
      </c>
      <c r="J481" s="32">
        <v>132</v>
      </c>
      <c r="K481" s="32" t="s">
        <v>129</v>
      </c>
      <c r="L481" s="32"/>
      <c r="M481" s="33" t="s">
        <v>121</v>
      </c>
      <c r="N481" s="33"/>
      <c r="O481" s="32">
        <v>60</v>
      </c>
      <c r="P481" s="8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1" s="606"/>
      <c r="R481" s="606"/>
      <c r="S481" s="606"/>
      <c r="T481" s="607"/>
      <c r="U481" s="34"/>
      <c r="V481" s="34"/>
      <c r="W481" s="35" t="s">
        <v>67</v>
      </c>
      <c r="X481" s="597">
        <v>101</v>
      </c>
      <c r="Y481" s="598">
        <f t="shared" si="62"/>
        <v>105.6</v>
      </c>
      <c r="Z481" s="36">
        <f>IFERROR(IF(Y481=0,"",ROUNDUP(Y481/H481,0)*0.00902),"")</f>
        <v>0.19844000000000001</v>
      </c>
      <c r="AA481" s="56"/>
      <c r="AB481" s="57"/>
      <c r="AC481" s="551" t="s">
        <v>756</v>
      </c>
      <c r="AG481" s="64"/>
      <c r="AJ481" s="68"/>
      <c r="AK481" s="68">
        <v>0</v>
      </c>
      <c r="BB481" s="552" t="s">
        <v>1</v>
      </c>
      <c r="BM481" s="64">
        <f t="shared" si="64"/>
        <v>145.39791666666667</v>
      </c>
      <c r="BN481" s="64">
        <f t="shared" si="65"/>
        <v>152.02000000000001</v>
      </c>
      <c r="BO481" s="64">
        <f t="shared" si="66"/>
        <v>0.15940656565656566</v>
      </c>
      <c r="BP481" s="64">
        <f t="shared" si="67"/>
        <v>0.16666666666666669</v>
      </c>
    </row>
    <row r="482" spans="1:68" x14ac:dyDescent="0.2">
      <c r="A482" s="617"/>
      <c r="B482" s="609"/>
      <c r="C482" s="609"/>
      <c r="D482" s="609"/>
      <c r="E482" s="609"/>
      <c r="F482" s="609"/>
      <c r="G482" s="609"/>
      <c r="H482" s="609"/>
      <c r="I482" s="609"/>
      <c r="J482" s="609"/>
      <c r="K482" s="609"/>
      <c r="L482" s="609"/>
      <c r="M482" s="609"/>
      <c r="N482" s="609"/>
      <c r="O482" s="618"/>
      <c r="P482" s="613" t="s">
        <v>72</v>
      </c>
      <c r="Q482" s="614"/>
      <c r="R482" s="614"/>
      <c r="S482" s="614"/>
      <c r="T482" s="614"/>
      <c r="U482" s="614"/>
      <c r="V482" s="615"/>
      <c r="W482" s="37" t="s">
        <v>73</v>
      </c>
      <c r="X482" s="599">
        <f>IFERROR(X473/H473,"0")+IFERROR(X474/H474,"0")+IFERROR(X475/H475,"0")+IFERROR(X476/H476,"0")+IFERROR(X477/H477,"0")+IFERROR(X478/H478,"0")+IFERROR(X479/H479,"0")+IFERROR(X480/H480,"0")+IFERROR(X481/H481,"0")</f>
        <v>28.428030303030305</v>
      </c>
      <c r="Y482" s="599">
        <f>IFERROR(Y473/H473,"0")+IFERROR(Y474/H474,"0")+IFERROR(Y475/H475,"0")+IFERROR(Y476/H476,"0")+IFERROR(Y477/H477,"0")+IFERROR(Y478/H478,"0")+IFERROR(Y479/H479,"0")+IFERROR(Y480/H480,"0")+IFERROR(Y481/H481,"0")</f>
        <v>30</v>
      </c>
      <c r="Z482" s="599">
        <f>IFERROR(IF(Z473="",0,Z473),"0")+IFERROR(IF(Z474="",0,Z474),"0")+IFERROR(IF(Z475="",0,Z475),"0")+IFERROR(IF(Z476="",0,Z476),"0")+IFERROR(IF(Z477="",0,Z477),"0")+IFERROR(IF(Z478="",0,Z478),"0")+IFERROR(IF(Z479="",0,Z479),"0")+IFERROR(IF(Z480="",0,Z480),"0")+IFERROR(IF(Z481="",0,Z481),"0")</f>
        <v>0.29411999999999999</v>
      </c>
      <c r="AA482" s="600"/>
      <c r="AB482" s="600"/>
      <c r="AC482" s="600"/>
    </row>
    <row r="483" spans="1:68" x14ac:dyDescent="0.2">
      <c r="A483" s="609"/>
      <c r="B483" s="609"/>
      <c r="C483" s="609"/>
      <c r="D483" s="609"/>
      <c r="E483" s="609"/>
      <c r="F483" s="609"/>
      <c r="G483" s="609"/>
      <c r="H483" s="609"/>
      <c r="I483" s="609"/>
      <c r="J483" s="609"/>
      <c r="K483" s="609"/>
      <c r="L483" s="609"/>
      <c r="M483" s="609"/>
      <c r="N483" s="609"/>
      <c r="O483" s="618"/>
      <c r="P483" s="613" t="s">
        <v>72</v>
      </c>
      <c r="Q483" s="614"/>
      <c r="R483" s="614"/>
      <c r="S483" s="614"/>
      <c r="T483" s="614"/>
      <c r="U483" s="614"/>
      <c r="V483" s="615"/>
      <c r="W483" s="37" t="s">
        <v>67</v>
      </c>
      <c r="X483" s="599">
        <f>IFERROR(SUM(X473:X481),"0")</f>
        <v>140</v>
      </c>
      <c r="Y483" s="599">
        <f>IFERROR(SUM(Y473:Y481),"0")</f>
        <v>147.84</v>
      </c>
      <c r="Z483" s="37"/>
      <c r="AA483" s="600"/>
      <c r="AB483" s="600"/>
      <c r="AC483" s="600"/>
    </row>
    <row r="484" spans="1:68" ht="14.25" customHeight="1" x14ac:dyDescent="0.25">
      <c r="A484" s="608" t="s">
        <v>152</v>
      </c>
      <c r="B484" s="609"/>
      <c r="C484" s="609"/>
      <c r="D484" s="609"/>
      <c r="E484" s="609"/>
      <c r="F484" s="609"/>
      <c r="G484" s="609"/>
      <c r="H484" s="609"/>
      <c r="I484" s="609"/>
      <c r="J484" s="609"/>
      <c r="K484" s="609"/>
      <c r="L484" s="609"/>
      <c r="M484" s="609"/>
      <c r="N484" s="609"/>
      <c r="O484" s="609"/>
      <c r="P484" s="609"/>
      <c r="Q484" s="609"/>
      <c r="R484" s="609"/>
      <c r="S484" s="609"/>
      <c r="T484" s="609"/>
      <c r="U484" s="609"/>
      <c r="V484" s="609"/>
      <c r="W484" s="609"/>
      <c r="X484" s="609"/>
      <c r="Y484" s="609"/>
      <c r="Z484" s="609"/>
      <c r="AA484" s="593"/>
      <c r="AB484" s="593"/>
      <c r="AC484" s="593"/>
    </row>
    <row r="485" spans="1:68" ht="16.5" customHeight="1" x14ac:dyDescent="0.25">
      <c r="A485" s="54" t="s">
        <v>763</v>
      </c>
      <c r="B485" s="54" t="s">
        <v>764</v>
      </c>
      <c r="C485" s="31">
        <v>4301020334</v>
      </c>
      <c r="D485" s="603">
        <v>4607091388930</v>
      </c>
      <c r="E485" s="604"/>
      <c r="F485" s="596">
        <v>0.88</v>
      </c>
      <c r="G485" s="32">
        <v>6</v>
      </c>
      <c r="H485" s="596">
        <v>5.28</v>
      </c>
      <c r="I485" s="596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70</v>
      </c>
      <c r="P485" s="7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5" s="606"/>
      <c r="R485" s="606"/>
      <c r="S485" s="606"/>
      <c r="T485" s="607"/>
      <c r="U485" s="34"/>
      <c r="V485" s="34"/>
      <c r="W485" s="35" t="s">
        <v>67</v>
      </c>
      <c r="X485" s="597">
        <v>0</v>
      </c>
      <c r="Y485" s="598">
        <f>IFERROR(IF(X485="",0,CEILING((X485/$H485),1)*$H485),"")</f>
        <v>0</v>
      </c>
      <c r="Z485" s="36" t="str">
        <f>IFERROR(IF(Y485=0,"",ROUNDUP(Y485/H485,0)*0.01196),"")</f>
        <v/>
      </c>
      <c r="AA485" s="56"/>
      <c r="AB485" s="57"/>
      <c r="AC485" s="553" t="s">
        <v>765</v>
      </c>
      <c r="AG485" s="64"/>
      <c r="AJ485" s="68"/>
      <c r="AK485" s="68">
        <v>0</v>
      </c>
      <c r="BB485" s="554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16.5" customHeight="1" x14ac:dyDescent="0.25">
      <c r="A486" s="54" t="s">
        <v>766</v>
      </c>
      <c r="B486" s="54" t="s">
        <v>767</v>
      </c>
      <c r="C486" s="31">
        <v>4301020374</v>
      </c>
      <c r="D486" s="603">
        <v>4680115886407</v>
      </c>
      <c r="E486" s="604"/>
      <c r="F486" s="596">
        <v>0.4</v>
      </c>
      <c r="G486" s="32">
        <v>6</v>
      </c>
      <c r="H486" s="596">
        <v>2.4</v>
      </c>
      <c r="I486" s="596">
        <v>2.58</v>
      </c>
      <c r="J486" s="32">
        <v>182</v>
      </c>
      <c r="K486" s="32" t="s">
        <v>77</v>
      </c>
      <c r="L486" s="32"/>
      <c r="M486" s="33" t="s">
        <v>121</v>
      </c>
      <c r="N486" s="33"/>
      <c r="O486" s="32">
        <v>70</v>
      </c>
      <c r="P486" s="6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6" s="606"/>
      <c r="R486" s="606"/>
      <c r="S486" s="606"/>
      <c r="T486" s="607"/>
      <c r="U486" s="34"/>
      <c r="V486" s="34"/>
      <c r="W486" s="35" t="s">
        <v>67</v>
      </c>
      <c r="X486" s="597">
        <v>0</v>
      </c>
      <c r="Y486" s="598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55" t="s">
        <v>765</v>
      </c>
      <c r="AG486" s="64"/>
      <c r="AJ486" s="68"/>
      <c r="AK486" s="68">
        <v>0</v>
      </c>
      <c r="BB486" s="556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16.5" customHeight="1" x14ac:dyDescent="0.25">
      <c r="A487" s="54" t="s">
        <v>768</v>
      </c>
      <c r="B487" s="54" t="s">
        <v>769</v>
      </c>
      <c r="C487" s="31">
        <v>4301020385</v>
      </c>
      <c r="D487" s="603">
        <v>4680115880054</v>
      </c>
      <c r="E487" s="604"/>
      <c r="F487" s="596">
        <v>0.6</v>
      </c>
      <c r="G487" s="32">
        <v>8</v>
      </c>
      <c r="H487" s="596">
        <v>4.8</v>
      </c>
      <c r="I487" s="596">
        <v>6.91</v>
      </c>
      <c r="J487" s="32">
        <v>132</v>
      </c>
      <c r="K487" s="32" t="s">
        <v>129</v>
      </c>
      <c r="L487" s="32"/>
      <c r="M487" s="33" t="s">
        <v>121</v>
      </c>
      <c r="N487" s="33"/>
      <c r="O487" s="32">
        <v>70</v>
      </c>
      <c r="P487" s="7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7" s="606"/>
      <c r="R487" s="606"/>
      <c r="S487" s="606"/>
      <c r="T487" s="607"/>
      <c r="U487" s="34"/>
      <c r="V487" s="34"/>
      <c r="W487" s="35" t="s">
        <v>67</v>
      </c>
      <c r="X487" s="597">
        <v>75</v>
      </c>
      <c r="Y487" s="598">
        <f>IFERROR(IF(X487="",0,CEILING((X487/$H487),1)*$H487),"")</f>
        <v>76.8</v>
      </c>
      <c r="Z487" s="36">
        <f>IFERROR(IF(Y487=0,"",ROUNDUP(Y487/H487,0)*0.00902),"")</f>
        <v>0.14432</v>
      </c>
      <c r="AA487" s="56"/>
      <c r="AB487" s="57"/>
      <c r="AC487" s="557" t="s">
        <v>765</v>
      </c>
      <c r="AG487" s="64"/>
      <c r="AJ487" s="68"/>
      <c r="AK487" s="68">
        <v>0</v>
      </c>
      <c r="BB487" s="558" t="s">
        <v>1</v>
      </c>
      <c r="BM487" s="64">
        <f>IFERROR(X487*I487/H487,"0")</f>
        <v>107.96875</v>
      </c>
      <c r="BN487" s="64">
        <f>IFERROR(Y487*I487/H487,"0")</f>
        <v>110.56</v>
      </c>
      <c r="BO487" s="64">
        <f>IFERROR(1/J487*(X487/H487),"0")</f>
        <v>0.11837121212121213</v>
      </c>
      <c r="BP487" s="64">
        <f>IFERROR(1/J487*(Y487/H487),"0")</f>
        <v>0.12121212121212122</v>
      </c>
    </row>
    <row r="488" spans="1:68" x14ac:dyDescent="0.2">
      <c r="A488" s="617"/>
      <c r="B488" s="609"/>
      <c r="C488" s="609"/>
      <c r="D488" s="609"/>
      <c r="E488" s="609"/>
      <c r="F488" s="609"/>
      <c r="G488" s="609"/>
      <c r="H488" s="609"/>
      <c r="I488" s="609"/>
      <c r="J488" s="609"/>
      <c r="K488" s="609"/>
      <c r="L488" s="609"/>
      <c r="M488" s="609"/>
      <c r="N488" s="609"/>
      <c r="O488" s="618"/>
      <c r="P488" s="613" t="s">
        <v>72</v>
      </c>
      <c r="Q488" s="614"/>
      <c r="R488" s="614"/>
      <c r="S488" s="614"/>
      <c r="T488" s="614"/>
      <c r="U488" s="614"/>
      <c r="V488" s="615"/>
      <c r="W488" s="37" t="s">
        <v>73</v>
      </c>
      <c r="X488" s="599">
        <f>IFERROR(X485/H485,"0")+IFERROR(X486/H486,"0")+IFERROR(X487/H487,"0")</f>
        <v>15.625</v>
      </c>
      <c r="Y488" s="599">
        <f>IFERROR(Y485/H485,"0")+IFERROR(Y486/H486,"0")+IFERROR(Y487/H487,"0")</f>
        <v>16</v>
      </c>
      <c r="Z488" s="599">
        <f>IFERROR(IF(Z485="",0,Z485),"0")+IFERROR(IF(Z486="",0,Z486),"0")+IFERROR(IF(Z487="",0,Z487),"0")</f>
        <v>0.14432</v>
      </c>
      <c r="AA488" s="600"/>
      <c r="AB488" s="600"/>
      <c r="AC488" s="600"/>
    </row>
    <row r="489" spans="1:68" x14ac:dyDescent="0.2">
      <c r="A489" s="609"/>
      <c r="B489" s="609"/>
      <c r="C489" s="609"/>
      <c r="D489" s="609"/>
      <c r="E489" s="609"/>
      <c r="F489" s="609"/>
      <c r="G489" s="609"/>
      <c r="H489" s="609"/>
      <c r="I489" s="609"/>
      <c r="J489" s="609"/>
      <c r="K489" s="609"/>
      <c r="L489" s="609"/>
      <c r="M489" s="609"/>
      <c r="N489" s="609"/>
      <c r="O489" s="618"/>
      <c r="P489" s="613" t="s">
        <v>72</v>
      </c>
      <c r="Q489" s="614"/>
      <c r="R489" s="614"/>
      <c r="S489" s="614"/>
      <c r="T489" s="614"/>
      <c r="U489" s="614"/>
      <c r="V489" s="615"/>
      <c r="W489" s="37" t="s">
        <v>67</v>
      </c>
      <c r="X489" s="599">
        <f>IFERROR(SUM(X485:X487),"0")</f>
        <v>75</v>
      </c>
      <c r="Y489" s="599">
        <f>IFERROR(SUM(Y485:Y487),"0")</f>
        <v>76.8</v>
      </c>
      <c r="Z489" s="37"/>
      <c r="AA489" s="600"/>
      <c r="AB489" s="600"/>
      <c r="AC489" s="600"/>
    </row>
    <row r="490" spans="1:68" ht="14.25" customHeight="1" x14ac:dyDescent="0.25">
      <c r="A490" s="608" t="s">
        <v>62</v>
      </c>
      <c r="B490" s="609"/>
      <c r="C490" s="609"/>
      <c r="D490" s="609"/>
      <c r="E490" s="609"/>
      <c r="F490" s="609"/>
      <c r="G490" s="609"/>
      <c r="H490" s="609"/>
      <c r="I490" s="609"/>
      <c r="J490" s="609"/>
      <c r="K490" s="609"/>
      <c r="L490" s="609"/>
      <c r="M490" s="609"/>
      <c r="N490" s="609"/>
      <c r="O490" s="609"/>
      <c r="P490" s="609"/>
      <c r="Q490" s="609"/>
      <c r="R490" s="609"/>
      <c r="S490" s="609"/>
      <c r="T490" s="609"/>
      <c r="U490" s="609"/>
      <c r="V490" s="609"/>
      <c r="W490" s="609"/>
      <c r="X490" s="609"/>
      <c r="Y490" s="609"/>
      <c r="Z490" s="609"/>
      <c r="AA490" s="593"/>
      <c r="AB490" s="593"/>
      <c r="AC490" s="593"/>
    </row>
    <row r="491" spans="1:68" ht="27" customHeight="1" x14ac:dyDescent="0.25">
      <c r="A491" s="54" t="s">
        <v>770</v>
      </c>
      <c r="B491" s="54" t="s">
        <v>771</v>
      </c>
      <c r="C491" s="31">
        <v>4301031349</v>
      </c>
      <c r="D491" s="603">
        <v>4680115883116</v>
      </c>
      <c r="E491" s="604"/>
      <c r="F491" s="596">
        <v>0.88</v>
      </c>
      <c r="G491" s="32">
        <v>6</v>
      </c>
      <c r="H491" s="596">
        <v>5.28</v>
      </c>
      <c r="I491" s="596">
        <v>5.63</v>
      </c>
      <c r="J491" s="32">
        <v>104</v>
      </c>
      <c r="K491" s="32" t="s">
        <v>120</v>
      </c>
      <c r="L491" s="32"/>
      <c r="M491" s="33" t="s">
        <v>121</v>
      </c>
      <c r="N491" s="33"/>
      <c r="O491" s="32">
        <v>70</v>
      </c>
      <c r="P491" s="7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1" s="606"/>
      <c r="R491" s="606"/>
      <c r="S491" s="606"/>
      <c r="T491" s="607"/>
      <c r="U491" s="34"/>
      <c r="V491" s="34"/>
      <c r="W491" s="35" t="s">
        <v>67</v>
      </c>
      <c r="X491" s="597">
        <v>37</v>
      </c>
      <c r="Y491" s="598">
        <f t="shared" ref="Y491:Y497" si="68">IFERROR(IF(X491="",0,CEILING((X491/$H491),1)*$H491),"")</f>
        <v>42.24</v>
      </c>
      <c r="Z491" s="36">
        <f>IFERROR(IF(Y491=0,"",ROUNDUP(Y491/H491,0)*0.01196),"")</f>
        <v>9.5680000000000001E-2</v>
      </c>
      <c r="AA491" s="56"/>
      <c r="AB491" s="57"/>
      <c r="AC491" s="559" t="s">
        <v>772</v>
      </c>
      <c r="AG491" s="64"/>
      <c r="AJ491" s="68"/>
      <c r="AK491" s="68">
        <v>0</v>
      </c>
      <c r="BB491" s="560" t="s">
        <v>1</v>
      </c>
      <c r="BM491" s="64">
        <f t="shared" ref="BM491:BM497" si="69">IFERROR(X491*I491/H491,"0")</f>
        <v>39.452651515151516</v>
      </c>
      <c r="BN491" s="64">
        <f t="shared" ref="BN491:BN497" si="70">IFERROR(Y491*I491/H491,"0")</f>
        <v>45.04</v>
      </c>
      <c r="BO491" s="64">
        <f t="shared" ref="BO491:BO497" si="71">IFERROR(1/J491*(X491/H491),"0")</f>
        <v>6.7380536130536128E-2</v>
      </c>
      <c r="BP491" s="64">
        <f t="shared" ref="BP491:BP497" si="72">IFERROR(1/J491*(Y491/H491),"0")</f>
        <v>7.6923076923076927E-2</v>
      </c>
    </row>
    <row r="492" spans="1:68" ht="27" customHeight="1" x14ac:dyDescent="0.25">
      <c r="A492" s="54" t="s">
        <v>773</v>
      </c>
      <c r="B492" s="54" t="s">
        <v>774</v>
      </c>
      <c r="C492" s="31">
        <v>4301031350</v>
      </c>
      <c r="D492" s="603">
        <v>4680115883093</v>
      </c>
      <c r="E492" s="604"/>
      <c r="F492" s="596">
        <v>0.88</v>
      </c>
      <c r="G492" s="32">
        <v>6</v>
      </c>
      <c r="H492" s="596">
        <v>5.28</v>
      </c>
      <c r="I492" s="596">
        <v>5.63</v>
      </c>
      <c r="J492" s="32">
        <v>104</v>
      </c>
      <c r="K492" s="32" t="s">
        <v>120</v>
      </c>
      <c r="L492" s="32"/>
      <c r="M492" s="33" t="s">
        <v>66</v>
      </c>
      <c r="N492" s="33"/>
      <c r="O492" s="32">
        <v>70</v>
      </c>
      <c r="P492" s="8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2" s="606"/>
      <c r="R492" s="606"/>
      <c r="S492" s="606"/>
      <c r="T492" s="607"/>
      <c r="U492" s="34"/>
      <c r="V492" s="34"/>
      <c r="W492" s="35" t="s">
        <v>67</v>
      </c>
      <c r="X492" s="597">
        <v>0</v>
      </c>
      <c r="Y492" s="598">
        <f t="shared" si="68"/>
        <v>0</v>
      </c>
      <c r="Z492" s="36" t="str">
        <f>IFERROR(IF(Y492=0,"",ROUNDUP(Y492/H492,0)*0.01196),"")</f>
        <v/>
      </c>
      <c r="AA492" s="56"/>
      <c r="AB492" s="57"/>
      <c r="AC492" s="561" t="s">
        <v>775</v>
      </c>
      <c r="AG492" s="64"/>
      <c r="AJ492" s="68"/>
      <c r="AK492" s="68">
        <v>0</v>
      </c>
      <c r="BB492" s="562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776</v>
      </c>
      <c r="B493" s="54" t="s">
        <v>777</v>
      </c>
      <c r="C493" s="31">
        <v>4301031353</v>
      </c>
      <c r="D493" s="603">
        <v>4680115883109</v>
      </c>
      <c r="E493" s="604"/>
      <c r="F493" s="596">
        <v>0.88</v>
      </c>
      <c r="G493" s="32">
        <v>6</v>
      </c>
      <c r="H493" s="596">
        <v>5.28</v>
      </c>
      <c r="I493" s="596">
        <v>5.63</v>
      </c>
      <c r="J493" s="32">
        <v>104</v>
      </c>
      <c r="K493" s="32" t="s">
        <v>120</v>
      </c>
      <c r="L493" s="32"/>
      <c r="M493" s="33" t="s">
        <v>66</v>
      </c>
      <c r="N493" s="33"/>
      <c r="O493" s="32">
        <v>70</v>
      </c>
      <c r="P493" s="8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3" s="606"/>
      <c r="R493" s="606"/>
      <c r="S493" s="606"/>
      <c r="T493" s="607"/>
      <c r="U493" s="34"/>
      <c r="V493" s="34"/>
      <c r="W493" s="35" t="s">
        <v>67</v>
      </c>
      <c r="X493" s="597">
        <v>0</v>
      </c>
      <c r="Y493" s="598">
        <f t="shared" si="68"/>
        <v>0</v>
      </c>
      <c r="Z493" s="36" t="str">
        <f>IFERROR(IF(Y493=0,"",ROUNDUP(Y493/H493,0)*0.01196),"")</f>
        <v/>
      </c>
      <c r="AA493" s="56"/>
      <c r="AB493" s="57"/>
      <c r="AC493" s="563" t="s">
        <v>778</v>
      </c>
      <c r="AG493" s="64"/>
      <c r="AJ493" s="68"/>
      <c r="AK493" s="68">
        <v>0</v>
      </c>
      <c r="BB493" s="564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customHeight="1" x14ac:dyDescent="0.25">
      <c r="A494" s="54" t="s">
        <v>779</v>
      </c>
      <c r="B494" s="54" t="s">
        <v>780</v>
      </c>
      <c r="C494" s="31">
        <v>4301031419</v>
      </c>
      <c r="D494" s="603">
        <v>4680115882072</v>
      </c>
      <c r="E494" s="604"/>
      <c r="F494" s="596">
        <v>0.6</v>
      </c>
      <c r="G494" s="32">
        <v>8</v>
      </c>
      <c r="H494" s="596">
        <v>4.8</v>
      </c>
      <c r="I494" s="596">
        <v>6.91</v>
      </c>
      <c r="J494" s="32">
        <v>132</v>
      </c>
      <c r="K494" s="32" t="s">
        <v>129</v>
      </c>
      <c r="L494" s="32"/>
      <c r="M494" s="33" t="s">
        <v>121</v>
      </c>
      <c r="N494" s="33"/>
      <c r="O494" s="32">
        <v>70</v>
      </c>
      <c r="P494" s="8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06"/>
      <c r="R494" s="606"/>
      <c r="S494" s="606"/>
      <c r="T494" s="607"/>
      <c r="U494" s="34"/>
      <c r="V494" s="34"/>
      <c r="W494" s="35" t="s">
        <v>67</v>
      </c>
      <c r="X494" s="597">
        <v>0</v>
      </c>
      <c r="Y494" s="598">
        <f t="shared" si="68"/>
        <v>0</v>
      </c>
      <c r="Z494" s="36" t="str">
        <f>IFERROR(IF(Y494=0,"",ROUNDUP(Y494/H494,0)*0.00902),"")</f>
        <v/>
      </c>
      <c r="AA494" s="56"/>
      <c r="AB494" s="57"/>
      <c r="AC494" s="565" t="s">
        <v>772</v>
      </c>
      <c r="AG494" s="64"/>
      <c r="AJ494" s="68"/>
      <c r="AK494" s="68">
        <v>0</v>
      </c>
      <c r="BB494" s="566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4301031352</v>
      </c>
      <c r="D495" s="603">
        <v>4680115882102</v>
      </c>
      <c r="E495" s="604"/>
      <c r="F495" s="596">
        <v>0.6</v>
      </c>
      <c r="G495" s="32">
        <v>6</v>
      </c>
      <c r="H495" s="596">
        <v>3.6</v>
      </c>
      <c r="I495" s="596">
        <v>3.79</v>
      </c>
      <c r="J495" s="32">
        <v>132</v>
      </c>
      <c r="K495" s="32" t="s">
        <v>129</v>
      </c>
      <c r="L495" s="32"/>
      <c r="M495" s="33" t="s">
        <v>66</v>
      </c>
      <c r="N495" s="33"/>
      <c r="O495" s="32">
        <v>70</v>
      </c>
      <c r="P495" s="95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5" s="606"/>
      <c r="R495" s="606"/>
      <c r="S495" s="606"/>
      <c r="T495" s="607"/>
      <c r="U495" s="34"/>
      <c r="V495" s="34"/>
      <c r="W495" s="35" t="s">
        <v>67</v>
      </c>
      <c r="X495" s="597">
        <v>0</v>
      </c>
      <c r="Y495" s="598">
        <f t="shared" si="68"/>
        <v>0</v>
      </c>
      <c r="Z495" s="36" t="str">
        <f>IFERROR(IF(Y495=0,"",ROUNDUP(Y495/H495,0)*0.00902),"")</f>
        <v/>
      </c>
      <c r="AA495" s="56"/>
      <c r="AB495" s="57"/>
      <c r="AC495" s="567" t="s">
        <v>775</v>
      </c>
      <c r="AG495" s="64"/>
      <c r="AJ495" s="68"/>
      <c r="AK495" s="68">
        <v>0</v>
      </c>
      <c r="BB495" s="568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ht="27" customHeight="1" x14ac:dyDescent="0.25">
      <c r="A496" s="54" t="s">
        <v>781</v>
      </c>
      <c r="B496" s="54" t="s">
        <v>783</v>
      </c>
      <c r="C496" s="31">
        <v>4301031418</v>
      </c>
      <c r="D496" s="603">
        <v>4680115882102</v>
      </c>
      <c r="E496" s="604"/>
      <c r="F496" s="596">
        <v>0.6</v>
      </c>
      <c r="G496" s="32">
        <v>8</v>
      </c>
      <c r="H496" s="596">
        <v>4.8</v>
      </c>
      <c r="I496" s="596">
        <v>6.67</v>
      </c>
      <c r="J496" s="32">
        <v>132</v>
      </c>
      <c r="K496" s="32" t="s">
        <v>129</v>
      </c>
      <c r="L496" s="32"/>
      <c r="M496" s="33" t="s">
        <v>66</v>
      </c>
      <c r="N496" s="33"/>
      <c r="O496" s="32">
        <v>70</v>
      </c>
      <c r="P496" s="8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06"/>
      <c r="R496" s="606"/>
      <c r="S496" s="606"/>
      <c r="T496" s="607"/>
      <c r="U496" s="34"/>
      <c r="V496" s="34"/>
      <c r="W496" s="35" t="s">
        <v>67</v>
      </c>
      <c r="X496" s="597">
        <v>0</v>
      </c>
      <c r="Y496" s="598">
        <f t="shared" si="68"/>
        <v>0</v>
      </c>
      <c r="Z496" s="36" t="str">
        <f>IFERROR(IF(Y496=0,"",ROUNDUP(Y496/H496,0)*0.00902),"")</f>
        <v/>
      </c>
      <c r="AA496" s="56"/>
      <c r="AB496" s="57"/>
      <c r="AC496" s="569" t="s">
        <v>775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customHeight="1" x14ac:dyDescent="0.25">
      <c r="A497" s="54" t="s">
        <v>784</v>
      </c>
      <c r="B497" s="54" t="s">
        <v>785</v>
      </c>
      <c r="C497" s="31">
        <v>4301031417</v>
      </c>
      <c r="D497" s="603">
        <v>4680115882096</v>
      </c>
      <c r="E497" s="604"/>
      <c r="F497" s="596">
        <v>0.6</v>
      </c>
      <c r="G497" s="32">
        <v>8</v>
      </c>
      <c r="H497" s="596">
        <v>4.8</v>
      </c>
      <c r="I497" s="596">
        <v>6.67</v>
      </c>
      <c r="J497" s="32">
        <v>132</v>
      </c>
      <c r="K497" s="32" t="s">
        <v>129</v>
      </c>
      <c r="L497" s="32"/>
      <c r="M497" s="33" t="s">
        <v>66</v>
      </c>
      <c r="N497" s="33"/>
      <c r="O497" s="32">
        <v>70</v>
      </c>
      <c r="P497" s="6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06"/>
      <c r="R497" s="606"/>
      <c r="S497" s="606"/>
      <c r="T497" s="607"/>
      <c r="U497" s="34"/>
      <c r="V497" s="34"/>
      <c r="W497" s="35" t="s">
        <v>67</v>
      </c>
      <c r="X497" s="597">
        <v>0</v>
      </c>
      <c r="Y497" s="598">
        <f t="shared" si="68"/>
        <v>0</v>
      </c>
      <c r="Z497" s="36" t="str">
        <f>IFERROR(IF(Y497=0,"",ROUNDUP(Y497/H497,0)*0.00902),"")</f>
        <v/>
      </c>
      <c r="AA497" s="56"/>
      <c r="AB497" s="57"/>
      <c r="AC497" s="571" t="s">
        <v>778</v>
      </c>
      <c r="AG497" s="64"/>
      <c r="AJ497" s="68"/>
      <c r="AK497" s="68">
        <v>0</v>
      </c>
      <c r="BB497" s="572" t="s">
        <v>1</v>
      </c>
      <c r="BM497" s="64">
        <f t="shared" si="69"/>
        <v>0</v>
      </c>
      <c r="BN497" s="64">
        <f t="shared" si="70"/>
        <v>0</v>
      </c>
      <c r="BO497" s="64">
        <f t="shared" si="71"/>
        <v>0</v>
      </c>
      <c r="BP497" s="64">
        <f t="shared" si="72"/>
        <v>0</v>
      </c>
    </row>
    <row r="498" spans="1:68" x14ac:dyDescent="0.2">
      <c r="A498" s="617"/>
      <c r="B498" s="609"/>
      <c r="C498" s="609"/>
      <c r="D498" s="609"/>
      <c r="E498" s="609"/>
      <c r="F498" s="609"/>
      <c r="G498" s="609"/>
      <c r="H498" s="609"/>
      <c r="I498" s="609"/>
      <c r="J498" s="609"/>
      <c r="K498" s="609"/>
      <c r="L498" s="609"/>
      <c r="M498" s="609"/>
      <c r="N498" s="609"/>
      <c r="O498" s="618"/>
      <c r="P498" s="613" t="s">
        <v>72</v>
      </c>
      <c r="Q498" s="614"/>
      <c r="R498" s="614"/>
      <c r="S498" s="614"/>
      <c r="T498" s="614"/>
      <c r="U498" s="614"/>
      <c r="V498" s="615"/>
      <c r="W498" s="37" t="s">
        <v>73</v>
      </c>
      <c r="X498" s="599">
        <f>IFERROR(X491/H491,"0")+IFERROR(X492/H492,"0")+IFERROR(X493/H493,"0")+IFERROR(X494/H494,"0")+IFERROR(X495/H495,"0")+IFERROR(X496/H496,"0")+IFERROR(X497/H497,"0")</f>
        <v>7.0075757575757569</v>
      </c>
      <c r="Y498" s="599">
        <f>IFERROR(Y491/H491,"0")+IFERROR(Y492/H492,"0")+IFERROR(Y493/H493,"0")+IFERROR(Y494/H494,"0")+IFERROR(Y495/H495,"0")+IFERROR(Y496/H496,"0")+IFERROR(Y497/H497,"0")</f>
        <v>8</v>
      </c>
      <c r="Z498" s="599">
        <f>IFERROR(IF(Z491="",0,Z491),"0")+IFERROR(IF(Z492="",0,Z492),"0")+IFERROR(IF(Z493="",0,Z493),"0")+IFERROR(IF(Z494="",0,Z494),"0")+IFERROR(IF(Z495="",0,Z495),"0")+IFERROR(IF(Z496="",0,Z496),"0")+IFERROR(IF(Z497="",0,Z497),"0")</f>
        <v>9.5680000000000001E-2</v>
      </c>
      <c r="AA498" s="600"/>
      <c r="AB498" s="600"/>
      <c r="AC498" s="600"/>
    </row>
    <row r="499" spans="1:68" x14ac:dyDescent="0.2">
      <c r="A499" s="609"/>
      <c r="B499" s="609"/>
      <c r="C499" s="609"/>
      <c r="D499" s="609"/>
      <c r="E499" s="609"/>
      <c r="F499" s="609"/>
      <c r="G499" s="609"/>
      <c r="H499" s="609"/>
      <c r="I499" s="609"/>
      <c r="J499" s="609"/>
      <c r="K499" s="609"/>
      <c r="L499" s="609"/>
      <c r="M499" s="609"/>
      <c r="N499" s="609"/>
      <c r="O499" s="618"/>
      <c r="P499" s="613" t="s">
        <v>72</v>
      </c>
      <c r="Q499" s="614"/>
      <c r="R499" s="614"/>
      <c r="S499" s="614"/>
      <c r="T499" s="614"/>
      <c r="U499" s="614"/>
      <c r="V499" s="615"/>
      <c r="W499" s="37" t="s">
        <v>67</v>
      </c>
      <c r="X499" s="599">
        <f>IFERROR(SUM(X491:X497),"0")</f>
        <v>37</v>
      </c>
      <c r="Y499" s="599">
        <f>IFERROR(SUM(Y491:Y497),"0")</f>
        <v>42.24</v>
      </c>
      <c r="Z499" s="37"/>
      <c r="AA499" s="600"/>
      <c r="AB499" s="600"/>
      <c r="AC499" s="600"/>
    </row>
    <row r="500" spans="1:68" ht="27.75" customHeight="1" x14ac:dyDescent="0.2">
      <c r="A500" s="643" t="s">
        <v>786</v>
      </c>
      <c r="B500" s="644"/>
      <c r="C500" s="644"/>
      <c r="D500" s="644"/>
      <c r="E500" s="644"/>
      <c r="F500" s="644"/>
      <c r="G500" s="644"/>
      <c r="H500" s="644"/>
      <c r="I500" s="644"/>
      <c r="J500" s="644"/>
      <c r="K500" s="644"/>
      <c r="L500" s="644"/>
      <c r="M500" s="644"/>
      <c r="N500" s="644"/>
      <c r="O500" s="644"/>
      <c r="P500" s="644"/>
      <c r="Q500" s="644"/>
      <c r="R500" s="644"/>
      <c r="S500" s="644"/>
      <c r="T500" s="644"/>
      <c r="U500" s="644"/>
      <c r="V500" s="644"/>
      <c r="W500" s="644"/>
      <c r="X500" s="644"/>
      <c r="Y500" s="644"/>
      <c r="Z500" s="644"/>
      <c r="AA500" s="48"/>
      <c r="AB500" s="48"/>
      <c r="AC500" s="48"/>
    </row>
    <row r="501" spans="1:68" ht="16.5" customHeight="1" x14ac:dyDescent="0.25">
      <c r="A501" s="612" t="s">
        <v>786</v>
      </c>
      <c r="B501" s="609"/>
      <c r="C501" s="609"/>
      <c r="D501" s="609"/>
      <c r="E501" s="609"/>
      <c r="F501" s="609"/>
      <c r="G501" s="609"/>
      <c r="H501" s="609"/>
      <c r="I501" s="609"/>
      <c r="J501" s="609"/>
      <c r="K501" s="609"/>
      <c r="L501" s="609"/>
      <c r="M501" s="609"/>
      <c r="N501" s="609"/>
      <c r="O501" s="609"/>
      <c r="P501" s="609"/>
      <c r="Q501" s="609"/>
      <c r="R501" s="609"/>
      <c r="S501" s="609"/>
      <c r="T501" s="609"/>
      <c r="U501" s="609"/>
      <c r="V501" s="609"/>
      <c r="W501" s="609"/>
      <c r="X501" s="609"/>
      <c r="Y501" s="609"/>
      <c r="Z501" s="609"/>
      <c r="AA501" s="592"/>
      <c r="AB501" s="592"/>
      <c r="AC501" s="592"/>
    </row>
    <row r="502" spans="1:68" ht="14.25" customHeight="1" x14ac:dyDescent="0.25">
      <c r="A502" s="608" t="s">
        <v>117</v>
      </c>
      <c r="B502" s="609"/>
      <c r="C502" s="609"/>
      <c r="D502" s="609"/>
      <c r="E502" s="609"/>
      <c r="F502" s="609"/>
      <c r="G502" s="609"/>
      <c r="H502" s="609"/>
      <c r="I502" s="609"/>
      <c r="J502" s="609"/>
      <c r="K502" s="609"/>
      <c r="L502" s="609"/>
      <c r="M502" s="609"/>
      <c r="N502" s="609"/>
      <c r="O502" s="609"/>
      <c r="P502" s="609"/>
      <c r="Q502" s="609"/>
      <c r="R502" s="609"/>
      <c r="S502" s="609"/>
      <c r="T502" s="609"/>
      <c r="U502" s="609"/>
      <c r="V502" s="609"/>
      <c r="W502" s="609"/>
      <c r="X502" s="609"/>
      <c r="Y502" s="609"/>
      <c r="Z502" s="609"/>
      <c r="AA502" s="593"/>
      <c r="AB502" s="593"/>
      <c r="AC502" s="593"/>
    </row>
    <row r="503" spans="1:68" ht="27" customHeight="1" x14ac:dyDescent="0.25">
      <c r="A503" s="54" t="s">
        <v>787</v>
      </c>
      <c r="B503" s="54" t="s">
        <v>788</v>
      </c>
      <c r="C503" s="31">
        <v>4301011584</v>
      </c>
      <c r="D503" s="603">
        <v>4640242180564</v>
      </c>
      <c r="E503" s="604"/>
      <c r="F503" s="596">
        <v>1.5</v>
      </c>
      <c r="G503" s="32">
        <v>8</v>
      </c>
      <c r="H503" s="596">
        <v>12</v>
      </c>
      <c r="I503" s="596">
        <v>12.41</v>
      </c>
      <c r="J503" s="32">
        <v>64</v>
      </c>
      <c r="K503" s="32" t="s">
        <v>120</v>
      </c>
      <c r="L503" s="32"/>
      <c r="M503" s="33" t="s">
        <v>121</v>
      </c>
      <c r="N503" s="33"/>
      <c r="O503" s="32">
        <v>50</v>
      </c>
      <c r="P503" s="76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3" s="606"/>
      <c r="R503" s="606"/>
      <c r="S503" s="606"/>
      <c r="T503" s="607"/>
      <c r="U503" s="34"/>
      <c r="V503" s="34"/>
      <c r="W503" s="35" t="s">
        <v>67</v>
      </c>
      <c r="X503" s="597">
        <v>0</v>
      </c>
      <c r="Y503" s="598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73" t="s">
        <v>789</v>
      </c>
      <c r="AG503" s="64"/>
      <c r="AJ503" s="68"/>
      <c r="AK503" s="68">
        <v>0</v>
      </c>
      <c r="BB503" s="57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x14ac:dyDescent="0.2">
      <c r="A504" s="617"/>
      <c r="B504" s="609"/>
      <c r="C504" s="609"/>
      <c r="D504" s="609"/>
      <c r="E504" s="609"/>
      <c r="F504" s="609"/>
      <c r="G504" s="609"/>
      <c r="H504" s="609"/>
      <c r="I504" s="609"/>
      <c r="J504" s="609"/>
      <c r="K504" s="609"/>
      <c r="L504" s="609"/>
      <c r="M504" s="609"/>
      <c r="N504" s="609"/>
      <c r="O504" s="618"/>
      <c r="P504" s="613" t="s">
        <v>72</v>
      </c>
      <c r="Q504" s="614"/>
      <c r="R504" s="614"/>
      <c r="S504" s="614"/>
      <c r="T504" s="614"/>
      <c r="U504" s="614"/>
      <c r="V504" s="615"/>
      <c r="W504" s="37" t="s">
        <v>73</v>
      </c>
      <c r="X504" s="599">
        <f>IFERROR(X503/H503,"0")</f>
        <v>0</v>
      </c>
      <c r="Y504" s="599">
        <f>IFERROR(Y503/H503,"0")</f>
        <v>0</v>
      </c>
      <c r="Z504" s="599">
        <f>IFERROR(IF(Z503="",0,Z503),"0")</f>
        <v>0</v>
      </c>
      <c r="AA504" s="600"/>
      <c r="AB504" s="600"/>
      <c r="AC504" s="600"/>
    </row>
    <row r="505" spans="1:68" x14ac:dyDescent="0.2">
      <c r="A505" s="609"/>
      <c r="B505" s="609"/>
      <c r="C505" s="609"/>
      <c r="D505" s="609"/>
      <c r="E505" s="609"/>
      <c r="F505" s="609"/>
      <c r="G505" s="609"/>
      <c r="H505" s="609"/>
      <c r="I505" s="609"/>
      <c r="J505" s="609"/>
      <c r="K505" s="609"/>
      <c r="L505" s="609"/>
      <c r="M505" s="609"/>
      <c r="N505" s="609"/>
      <c r="O505" s="618"/>
      <c r="P505" s="613" t="s">
        <v>72</v>
      </c>
      <c r="Q505" s="614"/>
      <c r="R505" s="614"/>
      <c r="S505" s="614"/>
      <c r="T505" s="614"/>
      <c r="U505" s="614"/>
      <c r="V505" s="615"/>
      <c r="W505" s="37" t="s">
        <v>67</v>
      </c>
      <c r="X505" s="599">
        <f>IFERROR(SUM(X503:X503),"0")</f>
        <v>0</v>
      </c>
      <c r="Y505" s="599">
        <f>IFERROR(SUM(Y503:Y503),"0")</f>
        <v>0</v>
      </c>
      <c r="Z505" s="37"/>
      <c r="AA505" s="600"/>
      <c r="AB505" s="600"/>
      <c r="AC505" s="600"/>
    </row>
    <row r="506" spans="1:68" ht="14.25" customHeight="1" x14ac:dyDescent="0.25">
      <c r="A506" s="608" t="s">
        <v>152</v>
      </c>
      <c r="B506" s="609"/>
      <c r="C506" s="609"/>
      <c r="D506" s="609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09"/>
      <c r="P506" s="609"/>
      <c r="Q506" s="609"/>
      <c r="R506" s="609"/>
      <c r="S506" s="609"/>
      <c r="T506" s="609"/>
      <c r="U506" s="609"/>
      <c r="V506" s="609"/>
      <c r="W506" s="609"/>
      <c r="X506" s="609"/>
      <c r="Y506" s="609"/>
      <c r="Z506" s="609"/>
      <c r="AA506" s="593"/>
      <c r="AB506" s="593"/>
      <c r="AC506" s="593"/>
    </row>
    <row r="507" spans="1:68" ht="27" customHeight="1" x14ac:dyDescent="0.25">
      <c r="A507" s="54" t="s">
        <v>790</v>
      </c>
      <c r="B507" s="54" t="s">
        <v>791</v>
      </c>
      <c r="C507" s="31">
        <v>4301020400</v>
      </c>
      <c r="D507" s="603">
        <v>4640242180519</v>
      </c>
      <c r="E507" s="604"/>
      <c r="F507" s="596">
        <v>1.5</v>
      </c>
      <c r="G507" s="32">
        <v>8</v>
      </c>
      <c r="H507" s="596">
        <v>12</v>
      </c>
      <c r="I507" s="596">
        <v>12.41</v>
      </c>
      <c r="J507" s="32">
        <v>64</v>
      </c>
      <c r="K507" s="32" t="s">
        <v>120</v>
      </c>
      <c r="L507" s="32"/>
      <c r="M507" s="33" t="s">
        <v>121</v>
      </c>
      <c r="N507" s="33"/>
      <c r="O507" s="32">
        <v>50</v>
      </c>
      <c r="P507" s="61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7" s="606"/>
      <c r="R507" s="606"/>
      <c r="S507" s="606"/>
      <c r="T507" s="607"/>
      <c r="U507" s="34"/>
      <c r="V507" s="34"/>
      <c r="W507" s="35" t="s">
        <v>67</v>
      </c>
      <c r="X507" s="597">
        <v>0</v>
      </c>
      <c r="Y507" s="598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75" t="s">
        <v>792</v>
      </c>
      <c r="AG507" s="64"/>
      <c r="AJ507" s="68"/>
      <c r="AK507" s="68">
        <v>0</v>
      </c>
      <c r="BB507" s="57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17"/>
      <c r="B508" s="609"/>
      <c r="C508" s="609"/>
      <c r="D508" s="609"/>
      <c r="E508" s="609"/>
      <c r="F508" s="609"/>
      <c r="G508" s="609"/>
      <c r="H508" s="609"/>
      <c r="I508" s="609"/>
      <c r="J508" s="609"/>
      <c r="K508" s="609"/>
      <c r="L508" s="609"/>
      <c r="M508" s="609"/>
      <c r="N508" s="609"/>
      <c r="O508" s="618"/>
      <c r="P508" s="613" t="s">
        <v>72</v>
      </c>
      <c r="Q508" s="614"/>
      <c r="R508" s="614"/>
      <c r="S508" s="614"/>
      <c r="T508" s="614"/>
      <c r="U508" s="614"/>
      <c r="V508" s="615"/>
      <c r="W508" s="37" t="s">
        <v>73</v>
      </c>
      <c r="X508" s="599">
        <f>IFERROR(X507/H507,"0")</f>
        <v>0</v>
      </c>
      <c r="Y508" s="599">
        <f>IFERROR(Y507/H507,"0")</f>
        <v>0</v>
      </c>
      <c r="Z508" s="599">
        <f>IFERROR(IF(Z507="",0,Z507),"0")</f>
        <v>0</v>
      </c>
      <c r="AA508" s="600"/>
      <c r="AB508" s="600"/>
      <c r="AC508" s="600"/>
    </row>
    <row r="509" spans="1:68" x14ac:dyDescent="0.2">
      <c r="A509" s="609"/>
      <c r="B509" s="609"/>
      <c r="C509" s="609"/>
      <c r="D509" s="609"/>
      <c r="E509" s="609"/>
      <c r="F509" s="609"/>
      <c r="G509" s="609"/>
      <c r="H509" s="609"/>
      <c r="I509" s="609"/>
      <c r="J509" s="609"/>
      <c r="K509" s="609"/>
      <c r="L509" s="609"/>
      <c r="M509" s="609"/>
      <c r="N509" s="609"/>
      <c r="O509" s="618"/>
      <c r="P509" s="613" t="s">
        <v>72</v>
      </c>
      <c r="Q509" s="614"/>
      <c r="R509" s="614"/>
      <c r="S509" s="614"/>
      <c r="T509" s="614"/>
      <c r="U509" s="614"/>
      <c r="V509" s="615"/>
      <c r="W509" s="37" t="s">
        <v>67</v>
      </c>
      <c r="X509" s="599">
        <f>IFERROR(SUM(X507:X507),"0")</f>
        <v>0</v>
      </c>
      <c r="Y509" s="599">
        <f>IFERROR(SUM(Y507:Y507),"0")</f>
        <v>0</v>
      </c>
      <c r="Z509" s="37"/>
      <c r="AA509" s="600"/>
      <c r="AB509" s="600"/>
      <c r="AC509" s="600"/>
    </row>
    <row r="510" spans="1:68" ht="14.25" customHeight="1" x14ac:dyDescent="0.25">
      <c r="A510" s="608" t="s">
        <v>62</v>
      </c>
      <c r="B510" s="609"/>
      <c r="C510" s="609"/>
      <c r="D510" s="609"/>
      <c r="E510" s="609"/>
      <c r="F510" s="609"/>
      <c r="G510" s="609"/>
      <c r="H510" s="609"/>
      <c r="I510" s="609"/>
      <c r="J510" s="609"/>
      <c r="K510" s="609"/>
      <c r="L510" s="609"/>
      <c r="M510" s="609"/>
      <c r="N510" s="609"/>
      <c r="O510" s="609"/>
      <c r="P510" s="609"/>
      <c r="Q510" s="609"/>
      <c r="R510" s="609"/>
      <c r="S510" s="609"/>
      <c r="T510" s="609"/>
      <c r="U510" s="609"/>
      <c r="V510" s="609"/>
      <c r="W510" s="609"/>
      <c r="X510" s="609"/>
      <c r="Y510" s="609"/>
      <c r="Z510" s="609"/>
      <c r="AA510" s="593"/>
      <c r="AB510" s="593"/>
      <c r="AC510" s="593"/>
    </row>
    <row r="511" spans="1:68" ht="27" customHeight="1" x14ac:dyDescent="0.25">
      <c r="A511" s="54" t="s">
        <v>793</v>
      </c>
      <c r="B511" s="54" t="s">
        <v>794</v>
      </c>
      <c r="C511" s="31">
        <v>4301031467</v>
      </c>
      <c r="D511" s="603">
        <v>4640242180595</v>
      </c>
      <c r="E511" s="604"/>
      <c r="F511" s="596">
        <v>0.8</v>
      </c>
      <c r="G511" s="32">
        <v>6</v>
      </c>
      <c r="H511" s="596">
        <v>4.8</v>
      </c>
      <c r="I511" s="596">
        <v>5.05</v>
      </c>
      <c r="J511" s="32">
        <v>132</v>
      </c>
      <c r="K511" s="32" t="s">
        <v>129</v>
      </c>
      <c r="L511" s="32"/>
      <c r="M511" s="33" t="s">
        <v>66</v>
      </c>
      <c r="N511" s="33"/>
      <c r="O511" s="32">
        <v>40</v>
      </c>
      <c r="P511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1" s="606"/>
      <c r="R511" s="606"/>
      <c r="S511" s="606"/>
      <c r="T511" s="607"/>
      <c r="U511" s="34"/>
      <c r="V511" s="34"/>
      <c r="W511" s="35" t="s">
        <v>67</v>
      </c>
      <c r="X511" s="597">
        <v>0</v>
      </c>
      <c r="Y511" s="598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77" t="s">
        <v>795</v>
      </c>
      <c r="AG511" s="64"/>
      <c r="AJ511" s="68"/>
      <c r="AK511" s="68">
        <v>0</v>
      </c>
      <c r="BB511" s="578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27" customHeight="1" x14ac:dyDescent="0.25">
      <c r="A512" s="54" t="s">
        <v>793</v>
      </c>
      <c r="B512" s="54" t="s">
        <v>796</v>
      </c>
      <c r="C512" s="31">
        <v>4301031500</v>
      </c>
      <c r="D512" s="603">
        <v>4640242180595</v>
      </c>
      <c r="E512" s="604"/>
      <c r="F512" s="596">
        <v>0.7</v>
      </c>
      <c r="G512" s="32">
        <v>6</v>
      </c>
      <c r="H512" s="596">
        <v>4.2</v>
      </c>
      <c r="I512" s="596">
        <v>4.45</v>
      </c>
      <c r="J512" s="32">
        <v>132</v>
      </c>
      <c r="K512" s="32" t="s">
        <v>129</v>
      </c>
      <c r="L512" s="32"/>
      <c r="M512" s="33" t="s">
        <v>66</v>
      </c>
      <c r="N512" s="33"/>
      <c r="O512" s="32">
        <v>40</v>
      </c>
      <c r="P512" s="7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06"/>
      <c r="R512" s="606"/>
      <c r="S512" s="606"/>
      <c r="T512" s="607"/>
      <c r="U512" s="34"/>
      <c r="V512" s="34"/>
      <c r="W512" s="35" t="s">
        <v>67</v>
      </c>
      <c r="X512" s="597">
        <v>0</v>
      </c>
      <c r="Y512" s="598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797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x14ac:dyDescent="0.2">
      <c r="A513" s="617"/>
      <c r="B513" s="609"/>
      <c r="C513" s="609"/>
      <c r="D513" s="609"/>
      <c r="E513" s="609"/>
      <c r="F513" s="609"/>
      <c r="G513" s="609"/>
      <c r="H513" s="609"/>
      <c r="I513" s="609"/>
      <c r="J513" s="609"/>
      <c r="K513" s="609"/>
      <c r="L513" s="609"/>
      <c r="M513" s="609"/>
      <c r="N513" s="609"/>
      <c r="O513" s="618"/>
      <c r="P513" s="613" t="s">
        <v>72</v>
      </c>
      <c r="Q513" s="614"/>
      <c r="R513" s="614"/>
      <c r="S513" s="614"/>
      <c r="T513" s="614"/>
      <c r="U513" s="614"/>
      <c r="V513" s="615"/>
      <c r="W513" s="37" t="s">
        <v>73</v>
      </c>
      <c r="X513" s="599">
        <f>IFERROR(X511/H511,"0")+IFERROR(X512/H512,"0")</f>
        <v>0</v>
      </c>
      <c r="Y513" s="599">
        <f>IFERROR(Y511/H511,"0")+IFERROR(Y512/H512,"0")</f>
        <v>0</v>
      </c>
      <c r="Z513" s="599">
        <f>IFERROR(IF(Z511="",0,Z511),"0")+IFERROR(IF(Z512="",0,Z512),"0")</f>
        <v>0</v>
      </c>
      <c r="AA513" s="600"/>
      <c r="AB513" s="600"/>
      <c r="AC513" s="600"/>
    </row>
    <row r="514" spans="1:68" x14ac:dyDescent="0.2">
      <c r="A514" s="609"/>
      <c r="B514" s="609"/>
      <c r="C514" s="609"/>
      <c r="D514" s="609"/>
      <c r="E514" s="609"/>
      <c r="F514" s="609"/>
      <c r="G514" s="609"/>
      <c r="H514" s="609"/>
      <c r="I514" s="609"/>
      <c r="J514" s="609"/>
      <c r="K514" s="609"/>
      <c r="L514" s="609"/>
      <c r="M514" s="609"/>
      <c r="N514" s="609"/>
      <c r="O514" s="618"/>
      <c r="P514" s="613" t="s">
        <v>72</v>
      </c>
      <c r="Q514" s="614"/>
      <c r="R514" s="614"/>
      <c r="S514" s="614"/>
      <c r="T514" s="614"/>
      <c r="U514" s="614"/>
      <c r="V514" s="615"/>
      <c r="W514" s="37" t="s">
        <v>67</v>
      </c>
      <c r="X514" s="599">
        <f>IFERROR(SUM(X511:X512),"0")</f>
        <v>0</v>
      </c>
      <c r="Y514" s="599">
        <f>IFERROR(SUM(Y511:Y512),"0")</f>
        <v>0</v>
      </c>
      <c r="Z514" s="37"/>
      <c r="AA514" s="600"/>
      <c r="AB514" s="600"/>
      <c r="AC514" s="600"/>
    </row>
    <row r="515" spans="1:68" ht="14.25" customHeight="1" x14ac:dyDescent="0.25">
      <c r="A515" s="608" t="s">
        <v>74</v>
      </c>
      <c r="B515" s="609"/>
      <c r="C515" s="609"/>
      <c r="D515" s="609"/>
      <c r="E515" s="609"/>
      <c r="F515" s="609"/>
      <c r="G515" s="609"/>
      <c r="H515" s="609"/>
      <c r="I515" s="609"/>
      <c r="J515" s="609"/>
      <c r="K515" s="609"/>
      <c r="L515" s="609"/>
      <c r="M515" s="609"/>
      <c r="N515" s="609"/>
      <c r="O515" s="609"/>
      <c r="P515" s="609"/>
      <c r="Q515" s="609"/>
      <c r="R515" s="609"/>
      <c r="S515" s="609"/>
      <c r="T515" s="609"/>
      <c r="U515" s="609"/>
      <c r="V515" s="609"/>
      <c r="W515" s="609"/>
      <c r="X515" s="609"/>
      <c r="Y515" s="609"/>
      <c r="Z515" s="609"/>
      <c r="AA515" s="593"/>
      <c r="AB515" s="593"/>
      <c r="AC515" s="593"/>
    </row>
    <row r="516" spans="1:68" ht="27" customHeight="1" x14ac:dyDescent="0.25">
      <c r="A516" s="54" t="s">
        <v>798</v>
      </c>
      <c r="B516" s="54" t="s">
        <v>799</v>
      </c>
      <c r="C516" s="31">
        <v>4301052043</v>
      </c>
      <c r="D516" s="603">
        <v>4640242180533</v>
      </c>
      <c r="E516" s="604"/>
      <c r="F516" s="596">
        <v>1.5</v>
      </c>
      <c r="G516" s="32">
        <v>6</v>
      </c>
      <c r="H516" s="596">
        <v>9</v>
      </c>
      <c r="I516" s="596">
        <v>9.4939999999999998</v>
      </c>
      <c r="J516" s="32">
        <v>64</v>
      </c>
      <c r="K516" s="32" t="s">
        <v>120</v>
      </c>
      <c r="L516" s="32"/>
      <c r="M516" s="33" t="s">
        <v>78</v>
      </c>
      <c r="N516" s="33"/>
      <c r="O516" s="32">
        <v>45</v>
      </c>
      <c r="P516" s="78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6" s="606"/>
      <c r="R516" s="606"/>
      <c r="S516" s="606"/>
      <c r="T516" s="607"/>
      <c r="U516" s="34"/>
      <c r="V516" s="34"/>
      <c r="W516" s="35" t="s">
        <v>67</v>
      </c>
      <c r="X516" s="597">
        <v>160</v>
      </c>
      <c r="Y516" s="598">
        <f>IFERROR(IF(X516="",0,CEILING((X516/$H516),1)*$H516),"")</f>
        <v>162</v>
      </c>
      <c r="Z516" s="36">
        <f>IFERROR(IF(Y516=0,"",ROUNDUP(Y516/H516,0)*0.01898),"")</f>
        <v>0.34164</v>
      </c>
      <c r="AA516" s="56"/>
      <c r="AB516" s="57"/>
      <c r="AC516" s="581" t="s">
        <v>800</v>
      </c>
      <c r="AG516" s="64"/>
      <c r="AJ516" s="68"/>
      <c r="AK516" s="68">
        <v>0</v>
      </c>
      <c r="BB516" s="582" t="s">
        <v>1</v>
      </c>
      <c r="BM516" s="64">
        <f>IFERROR(X516*I516/H516,"0")</f>
        <v>168.78222222222223</v>
      </c>
      <c r="BN516" s="64">
        <f>IFERROR(Y516*I516/H516,"0")</f>
        <v>170.892</v>
      </c>
      <c r="BO516" s="64">
        <f>IFERROR(1/J516*(X516/H516),"0")</f>
        <v>0.27777777777777779</v>
      </c>
      <c r="BP516" s="64">
        <f>IFERROR(1/J516*(Y516/H516),"0")</f>
        <v>0.28125</v>
      </c>
    </row>
    <row r="517" spans="1:68" x14ac:dyDescent="0.2">
      <c r="A517" s="617"/>
      <c r="B517" s="609"/>
      <c r="C517" s="609"/>
      <c r="D517" s="609"/>
      <c r="E517" s="609"/>
      <c r="F517" s="609"/>
      <c r="G517" s="609"/>
      <c r="H517" s="609"/>
      <c r="I517" s="609"/>
      <c r="J517" s="609"/>
      <c r="K517" s="609"/>
      <c r="L517" s="609"/>
      <c r="M517" s="609"/>
      <c r="N517" s="609"/>
      <c r="O517" s="618"/>
      <c r="P517" s="613" t="s">
        <v>72</v>
      </c>
      <c r="Q517" s="614"/>
      <c r="R517" s="614"/>
      <c r="S517" s="614"/>
      <c r="T517" s="614"/>
      <c r="U517" s="614"/>
      <c r="V517" s="615"/>
      <c r="W517" s="37" t="s">
        <v>73</v>
      </c>
      <c r="X517" s="599">
        <f>IFERROR(X516/H516,"0")</f>
        <v>17.777777777777779</v>
      </c>
      <c r="Y517" s="599">
        <f>IFERROR(Y516/H516,"0")</f>
        <v>18</v>
      </c>
      <c r="Z517" s="599">
        <f>IFERROR(IF(Z516="",0,Z516),"0")</f>
        <v>0.34164</v>
      </c>
      <c r="AA517" s="600"/>
      <c r="AB517" s="600"/>
      <c r="AC517" s="600"/>
    </row>
    <row r="518" spans="1:68" x14ac:dyDescent="0.2">
      <c r="A518" s="609"/>
      <c r="B518" s="609"/>
      <c r="C518" s="609"/>
      <c r="D518" s="609"/>
      <c r="E518" s="609"/>
      <c r="F518" s="609"/>
      <c r="G518" s="609"/>
      <c r="H518" s="609"/>
      <c r="I518" s="609"/>
      <c r="J518" s="609"/>
      <c r="K518" s="609"/>
      <c r="L518" s="609"/>
      <c r="M518" s="609"/>
      <c r="N518" s="609"/>
      <c r="O518" s="618"/>
      <c r="P518" s="613" t="s">
        <v>72</v>
      </c>
      <c r="Q518" s="614"/>
      <c r="R518" s="614"/>
      <c r="S518" s="614"/>
      <c r="T518" s="614"/>
      <c r="U518" s="614"/>
      <c r="V518" s="615"/>
      <c r="W518" s="37" t="s">
        <v>67</v>
      </c>
      <c r="X518" s="599">
        <f>IFERROR(SUM(X516:X516),"0")</f>
        <v>160</v>
      </c>
      <c r="Y518" s="599">
        <f>IFERROR(SUM(Y516:Y516),"0")</f>
        <v>162</v>
      </c>
      <c r="Z518" s="37"/>
      <c r="AA518" s="600"/>
      <c r="AB518" s="600"/>
      <c r="AC518" s="600"/>
    </row>
    <row r="519" spans="1:68" ht="14.25" customHeight="1" x14ac:dyDescent="0.25">
      <c r="A519" s="608" t="s">
        <v>169</v>
      </c>
      <c r="B519" s="609"/>
      <c r="C519" s="609"/>
      <c r="D519" s="609"/>
      <c r="E519" s="609"/>
      <c r="F519" s="609"/>
      <c r="G519" s="609"/>
      <c r="H519" s="609"/>
      <c r="I519" s="609"/>
      <c r="J519" s="609"/>
      <c r="K519" s="609"/>
      <c r="L519" s="609"/>
      <c r="M519" s="609"/>
      <c r="N519" s="609"/>
      <c r="O519" s="609"/>
      <c r="P519" s="609"/>
      <c r="Q519" s="609"/>
      <c r="R519" s="609"/>
      <c r="S519" s="609"/>
      <c r="T519" s="609"/>
      <c r="U519" s="609"/>
      <c r="V519" s="609"/>
      <c r="W519" s="609"/>
      <c r="X519" s="609"/>
      <c r="Y519" s="609"/>
      <c r="Z519" s="609"/>
      <c r="AA519" s="593"/>
      <c r="AB519" s="593"/>
      <c r="AC519" s="593"/>
    </row>
    <row r="520" spans="1:68" ht="27" customHeight="1" x14ac:dyDescent="0.25">
      <c r="A520" s="54" t="s">
        <v>801</v>
      </c>
      <c r="B520" s="54" t="s">
        <v>802</v>
      </c>
      <c r="C520" s="31">
        <v>4301060535</v>
      </c>
      <c r="D520" s="603">
        <v>4640242180120</v>
      </c>
      <c r="E520" s="604"/>
      <c r="F520" s="596">
        <v>1.5</v>
      </c>
      <c r="G520" s="32">
        <v>6</v>
      </c>
      <c r="H520" s="596">
        <v>9</v>
      </c>
      <c r="I520" s="596">
        <v>9.41</v>
      </c>
      <c r="J520" s="32">
        <v>64</v>
      </c>
      <c r="K520" s="32" t="s">
        <v>120</v>
      </c>
      <c r="L520" s="32"/>
      <c r="M520" s="33" t="s">
        <v>78</v>
      </c>
      <c r="N520" s="33"/>
      <c r="O520" s="32">
        <v>40</v>
      </c>
      <c r="P520" s="92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0" s="606"/>
      <c r="R520" s="606"/>
      <c r="S520" s="606"/>
      <c r="T520" s="607"/>
      <c r="U520" s="34"/>
      <c r="V520" s="34"/>
      <c r="W520" s="35" t="s">
        <v>67</v>
      </c>
      <c r="X520" s="597">
        <v>0</v>
      </c>
      <c r="Y520" s="598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803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804</v>
      </c>
      <c r="B521" s="54" t="s">
        <v>805</v>
      </c>
      <c r="C521" s="31">
        <v>4301060536</v>
      </c>
      <c r="D521" s="603">
        <v>4640242180137</v>
      </c>
      <c r="E521" s="604"/>
      <c r="F521" s="596">
        <v>1.5</v>
      </c>
      <c r="G521" s="32">
        <v>6</v>
      </c>
      <c r="H521" s="596">
        <v>9</v>
      </c>
      <c r="I521" s="596">
        <v>9.41</v>
      </c>
      <c r="J521" s="32">
        <v>64</v>
      </c>
      <c r="K521" s="32" t="s">
        <v>120</v>
      </c>
      <c r="L521" s="32"/>
      <c r="M521" s="33" t="s">
        <v>78</v>
      </c>
      <c r="N521" s="33"/>
      <c r="O521" s="32">
        <v>40</v>
      </c>
      <c r="P521" s="90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1" s="606"/>
      <c r="R521" s="606"/>
      <c r="S521" s="606"/>
      <c r="T521" s="607"/>
      <c r="U521" s="34"/>
      <c r="V521" s="34"/>
      <c r="W521" s="35" t="s">
        <v>67</v>
      </c>
      <c r="X521" s="597">
        <v>0</v>
      </c>
      <c r="Y521" s="59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806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x14ac:dyDescent="0.2">
      <c r="A522" s="617"/>
      <c r="B522" s="609"/>
      <c r="C522" s="609"/>
      <c r="D522" s="609"/>
      <c r="E522" s="609"/>
      <c r="F522" s="609"/>
      <c r="G522" s="609"/>
      <c r="H522" s="609"/>
      <c r="I522" s="609"/>
      <c r="J522" s="609"/>
      <c r="K522" s="609"/>
      <c r="L522" s="609"/>
      <c r="M522" s="609"/>
      <c r="N522" s="609"/>
      <c r="O522" s="618"/>
      <c r="P522" s="613" t="s">
        <v>72</v>
      </c>
      <c r="Q522" s="614"/>
      <c r="R522" s="614"/>
      <c r="S522" s="614"/>
      <c r="T522" s="614"/>
      <c r="U522" s="614"/>
      <c r="V522" s="615"/>
      <c r="W522" s="37" t="s">
        <v>73</v>
      </c>
      <c r="X522" s="599">
        <f>IFERROR(X520/H520,"0")+IFERROR(X521/H521,"0")</f>
        <v>0</v>
      </c>
      <c r="Y522" s="599">
        <f>IFERROR(Y520/H520,"0")+IFERROR(Y521/H521,"0")</f>
        <v>0</v>
      </c>
      <c r="Z522" s="599">
        <f>IFERROR(IF(Z520="",0,Z520),"0")+IFERROR(IF(Z521="",0,Z521),"0")</f>
        <v>0</v>
      </c>
      <c r="AA522" s="600"/>
      <c r="AB522" s="600"/>
      <c r="AC522" s="600"/>
    </row>
    <row r="523" spans="1:68" x14ac:dyDescent="0.2">
      <c r="A523" s="609"/>
      <c r="B523" s="609"/>
      <c r="C523" s="609"/>
      <c r="D523" s="609"/>
      <c r="E523" s="609"/>
      <c r="F523" s="609"/>
      <c r="G523" s="609"/>
      <c r="H523" s="609"/>
      <c r="I523" s="609"/>
      <c r="J523" s="609"/>
      <c r="K523" s="609"/>
      <c r="L523" s="609"/>
      <c r="M523" s="609"/>
      <c r="N523" s="609"/>
      <c r="O523" s="618"/>
      <c r="P523" s="613" t="s">
        <v>72</v>
      </c>
      <c r="Q523" s="614"/>
      <c r="R523" s="614"/>
      <c r="S523" s="614"/>
      <c r="T523" s="614"/>
      <c r="U523" s="614"/>
      <c r="V523" s="615"/>
      <c r="W523" s="37" t="s">
        <v>67</v>
      </c>
      <c r="X523" s="599">
        <f>IFERROR(SUM(X520:X521),"0")</f>
        <v>0</v>
      </c>
      <c r="Y523" s="599">
        <f>IFERROR(SUM(Y520:Y521),"0")</f>
        <v>0</v>
      </c>
      <c r="Z523" s="37"/>
      <c r="AA523" s="600"/>
      <c r="AB523" s="600"/>
      <c r="AC523" s="600"/>
    </row>
    <row r="524" spans="1:68" ht="16.5" customHeight="1" x14ac:dyDescent="0.25">
      <c r="A524" s="612" t="s">
        <v>807</v>
      </c>
      <c r="B524" s="609"/>
      <c r="C524" s="609"/>
      <c r="D524" s="609"/>
      <c r="E524" s="609"/>
      <c r="F524" s="609"/>
      <c r="G524" s="609"/>
      <c r="H524" s="609"/>
      <c r="I524" s="609"/>
      <c r="J524" s="609"/>
      <c r="K524" s="609"/>
      <c r="L524" s="609"/>
      <c r="M524" s="609"/>
      <c r="N524" s="609"/>
      <c r="O524" s="609"/>
      <c r="P524" s="609"/>
      <c r="Q524" s="609"/>
      <c r="R524" s="609"/>
      <c r="S524" s="609"/>
      <c r="T524" s="609"/>
      <c r="U524" s="609"/>
      <c r="V524" s="609"/>
      <c r="W524" s="609"/>
      <c r="X524" s="609"/>
      <c r="Y524" s="609"/>
      <c r="Z524" s="609"/>
      <c r="AA524" s="592"/>
      <c r="AB524" s="592"/>
      <c r="AC524" s="592"/>
    </row>
    <row r="525" spans="1:68" ht="14.25" customHeight="1" x14ac:dyDescent="0.25">
      <c r="A525" s="608" t="s">
        <v>152</v>
      </c>
      <c r="B525" s="609"/>
      <c r="C525" s="609"/>
      <c r="D525" s="609"/>
      <c r="E525" s="609"/>
      <c r="F525" s="609"/>
      <c r="G525" s="609"/>
      <c r="H525" s="609"/>
      <c r="I525" s="609"/>
      <c r="J525" s="609"/>
      <c r="K525" s="609"/>
      <c r="L525" s="609"/>
      <c r="M525" s="609"/>
      <c r="N525" s="609"/>
      <c r="O525" s="609"/>
      <c r="P525" s="609"/>
      <c r="Q525" s="609"/>
      <c r="R525" s="609"/>
      <c r="S525" s="609"/>
      <c r="T525" s="609"/>
      <c r="U525" s="609"/>
      <c r="V525" s="609"/>
      <c r="W525" s="609"/>
      <c r="X525" s="609"/>
      <c r="Y525" s="609"/>
      <c r="Z525" s="609"/>
      <c r="AA525" s="593"/>
      <c r="AB525" s="593"/>
      <c r="AC525" s="593"/>
    </row>
    <row r="526" spans="1:68" ht="27" customHeight="1" x14ac:dyDescent="0.25">
      <c r="A526" s="54" t="s">
        <v>808</v>
      </c>
      <c r="B526" s="54" t="s">
        <v>809</v>
      </c>
      <c r="C526" s="31">
        <v>4301020428</v>
      </c>
      <c r="D526" s="603">
        <v>4640242180090</v>
      </c>
      <c r="E526" s="604"/>
      <c r="F526" s="596">
        <v>1.5</v>
      </c>
      <c r="G526" s="32">
        <v>8</v>
      </c>
      <c r="H526" s="596">
        <v>12</v>
      </c>
      <c r="I526" s="596">
        <v>12.41</v>
      </c>
      <c r="J526" s="32">
        <v>64</v>
      </c>
      <c r="K526" s="32" t="s">
        <v>120</v>
      </c>
      <c r="L526" s="32"/>
      <c r="M526" s="33" t="s">
        <v>121</v>
      </c>
      <c r="N526" s="33"/>
      <c r="O526" s="32">
        <v>50</v>
      </c>
      <c r="P526" s="7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6" s="606"/>
      <c r="R526" s="606"/>
      <c r="S526" s="606"/>
      <c r="T526" s="607"/>
      <c r="U526" s="34"/>
      <c r="V526" s="34"/>
      <c r="W526" s="35" t="s">
        <v>67</v>
      </c>
      <c r="X526" s="597">
        <v>0</v>
      </c>
      <c r="Y526" s="59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810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x14ac:dyDescent="0.2">
      <c r="A527" s="617"/>
      <c r="B527" s="609"/>
      <c r="C527" s="609"/>
      <c r="D527" s="609"/>
      <c r="E527" s="609"/>
      <c r="F527" s="609"/>
      <c r="G527" s="609"/>
      <c r="H527" s="609"/>
      <c r="I527" s="609"/>
      <c r="J527" s="609"/>
      <c r="K527" s="609"/>
      <c r="L527" s="609"/>
      <c r="M527" s="609"/>
      <c r="N527" s="609"/>
      <c r="O527" s="618"/>
      <c r="P527" s="613" t="s">
        <v>72</v>
      </c>
      <c r="Q527" s="614"/>
      <c r="R527" s="614"/>
      <c r="S527" s="614"/>
      <c r="T527" s="614"/>
      <c r="U527" s="614"/>
      <c r="V527" s="615"/>
      <c r="W527" s="37" t="s">
        <v>73</v>
      </c>
      <c r="X527" s="599">
        <f>IFERROR(X526/H526,"0")</f>
        <v>0</v>
      </c>
      <c r="Y527" s="599">
        <f>IFERROR(Y526/H526,"0")</f>
        <v>0</v>
      </c>
      <c r="Z527" s="599">
        <f>IFERROR(IF(Z526="",0,Z526),"0")</f>
        <v>0</v>
      </c>
      <c r="AA527" s="600"/>
      <c r="AB527" s="600"/>
      <c r="AC527" s="600"/>
    </row>
    <row r="528" spans="1:68" x14ac:dyDescent="0.2">
      <c r="A528" s="609"/>
      <c r="B528" s="609"/>
      <c r="C528" s="609"/>
      <c r="D528" s="609"/>
      <c r="E528" s="609"/>
      <c r="F528" s="609"/>
      <c r="G528" s="609"/>
      <c r="H528" s="609"/>
      <c r="I528" s="609"/>
      <c r="J528" s="609"/>
      <c r="K528" s="609"/>
      <c r="L528" s="609"/>
      <c r="M528" s="609"/>
      <c r="N528" s="609"/>
      <c r="O528" s="618"/>
      <c r="P528" s="613" t="s">
        <v>72</v>
      </c>
      <c r="Q528" s="614"/>
      <c r="R528" s="614"/>
      <c r="S528" s="614"/>
      <c r="T528" s="614"/>
      <c r="U528" s="614"/>
      <c r="V528" s="615"/>
      <c r="W528" s="37" t="s">
        <v>67</v>
      </c>
      <c r="X528" s="599">
        <f>IFERROR(SUM(X526:X526),"0")</f>
        <v>0</v>
      </c>
      <c r="Y528" s="599">
        <f>IFERROR(SUM(Y526:Y526),"0")</f>
        <v>0</v>
      </c>
      <c r="Z528" s="37"/>
      <c r="AA528" s="600"/>
      <c r="AB528" s="600"/>
      <c r="AC528" s="600"/>
    </row>
    <row r="529" spans="1:32" ht="15" customHeight="1" x14ac:dyDescent="0.2">
      <c r="A529" s="866"/>
      <c r="B529" s="609"/>
      <c r="C529" s="609"/>
      <c r="D529" s="609"/>
      <c r="E529" s="609"/>
      <c r="F529" s="609"/>
      <c r="G529" s="609"/>
      <c r="H529" s="609"/>
      <c r="I529" s="609"/>
      <c r="J529" s="609"/>
      <c r="K529" s="609"/>
      <c r="L529" s="609"/>
      <c r="M529" s="609"/>
      <c r="N529" s="609"/>
      <c r="O529" s="793"/>
      <c r="P529" s="660" t="s">
        <v>811</v>
      </c>
      <c r="Q529" s="661"/>
      <c r="R529" s="661"/>
      <c r="S529" s="661"/>
      <c r="T529" s="661"/>
      <c r="U529" s="661"/>
      <c r="V529" s="630"/>
      <c r="W529" s="37" t="s">
        <v>67</v>
      </c>
      <c r="X529" s="599">
        <f>IFERROR(X25+X34+X38+X47+X56+X67+X74+X79+X84+X92+X99+X110+X120+X127+X131+X137+X142+X147+X155+X161+X165+X179+X185+X190+X194+X203+X208+X225+X232+X238+X242+X248+X253+X264+X279+X284+X295+X299+X303+X309+X318+X325+X334+X339+X346+X355+X365+X372+X378+X385+X391+X398+X411+X417+X422+X426+X432+X436+X442+X453+X458+X463+X469+X483+X489+X499+X505+X509+X514+X518+X523+X528,"0")</f>
        <v>3278</v>
      </c>
      <c r="Y529" s="599">
        <f>IFERROR(Y25+Y34+Y38+Y47+Y56+Y67+Y74+Y79+Y84+Y92+Y99+Y110+Y120+Y127+Y131+Y137+Y142+Y147+Y155+Y161+Y165+Y179+Y185+Y190+Y194+Y203+Y208+Y225+Y232+Y238+Y242+Y248+Y253+Y264+Y279+Y284+Y295+Y299+Y303+Y309+Y318+Y325+Y334+Y339+Y346+Y355+Y365+Y372+Y378+Y385+Y391+Y398+Y411+Y417+Y422+Y426+Y432+Y436+Y442+Y453+Y458+Y463+Y469+Y483+Y489+Y499+Y505+Y509+Y514+Y518+Y523+Y528,"0")</f>
        <v>3359.36</v>
      </c>
      <c r="Z529" s="37"/>
      <c r="AA529" s="600"/>
      <c r="AB529" s="600"/>
      <c r="AC529" s="600"/>
    </row>
    <row r="530" spans="1:32" x14ac:dyDescent="0.2">
      <c r="A530" s="609"/>
      <c r="B530" s="609"/>
      <c r="C530" s="609"/>
      <c r="D530" s="609"/>
      <c r="E530" s="609"/>
      <c r="F530" s="609"/>
      <c r="G530" s="609"/>
      <c r="H530" s="609"/>
      <c r="I530" s="609"/>
      <c r="J530" s="609"/>
      <c r="K530" s="609"/>
      <c r="L530" s="609"/>
      <c r="M530" s="609"/>
      <c r="N530" s="609"/>
      <c r="O530" s="793"/>
      <c r="P530" s="660" t="s">
        <v>812</v>
      </c>
      <c r="Q530" s="661"/>
      <c r="R530" s="661"/>
      <c r="S530" s="661"/>
      <c r="T530" s="661"/>
      <c r="U530" s="661"/>
      <c r="V530" s="630"/>
      <c r="W530" s="37" t="s">
        <v>67</v>
      </c>
      <c r="X530" s="599">
        <f>IFERROR(SUM(BM22:BM526),"0")</f>
        <v>3529.5750873068464</v>
      </c>
      <c r="Y530" s="599">
        <f>IFERROR(SUM(BN22:BN526),"0")</f>
        <v>3618.7829999999994</v>
      </c>
      <c r="Z530" s="37"/>
      <c r="AA530" s="600"/>
      <c r="AB530" s="600"/>
      <c r="AC530" s="600"/>
    </row>
    <row r="531" spans="1:32" x14ac:dyDescent="0.2">
      <c r="A531" s="609"/>
      <c r="B531" s="609"/>
      <c r="C531" s="609"/>
      <c r="D531" s="609"/>
      <c r="E531" s="609"/>
      <c r="F531" s="609"/>
      <c r="G531" s="609"/>
      <c r="H531" s="609"/>
      <c r="I531" s="609"/>
      <c r="J531" s="609"/>
      <c r="K531" s="609"/>
      <c r="L531" s="609"/>
      <c r="M531" s="609"/>
      <c r="N531" s="609"/>
      <c r="O531" s="793"/>
      <c r="P531" s="660" t="s">
        <v>813</v>
      </c>
      <c r="Q531" s="661"/>
      <c r="R531" s="661"/>
      <c r="S531" s="661"/>
      <c r="T531" s="661"/>
      <c r="U531" s="661"/>
      <c r="V531" s="630"/>
      <c r="W531" s="37" t="s">
        <v>814</v>
      </c>
      <c r="X531" s="38">
        <f>ROUNDUP(SUM(BO22:BO526),0)</f>
        <v>6</v>
      </c>
      <c r="Y531" s="38">
        <f>ROUNDUP(SUM(BP22:BP526),0)</f>
        <v>6</v>
      </c>
      <c r="Z531" s="37"/>
      <c r="AA531" s="600"/>
      <c r="AB531" s="600"/>
      <c r="AC531" s="600"/>
    </row>
    <row r="532" spans="1:32" x14ac:dyDescent="0.2">
      <c r="A532" s="609"/>
      <c r="B532" s="609"/>
      <c r="C532" s="609"/>
      <c r="D532" s="609"/>
      <c r="E532" s="609"/>
      <c r="F532" s="609"/>
      <c r="G532" s="609"/>
      <c r="H532" s="609"/>
      <c r="I532" s="609"/>
      <c r="J532" s="609"/>
      <c r="K532" s="609"/>
      <c r="L532" s="609"/>
      <c r="M532" s="609"/>
      <c r="N532" s="609"/>
      <c r="O532" s="793"/>
      <c r="P532" s="660" t="s">
        <v>815</v>
      </c>
      <c r="Q532" s="661"/>
      <c r="R532" s="661"/>
      <c r="S532" s="661"/>
      <c r="T532" s="661"/>
      <c r="U532" s="661"/>
      <c r="V532" s="630"/>
      <c r="W532" s="37" t="s">
        <v>67</v>
      </c>
      <c r="X532" s="599">
        <f>GrossWeightTotal+PalletQtyTotal*25</f>
        <v>3679.5750873068464</v>
      </c>
      <c r="Y532" s="599">
        <f>GrossWeightTotalR+PalletQtyTotalR*25</f>
        <v>3768.7829999999994</v>
      </c>
      <c r="Z532" s="37"/>
      <c r="AA532" s="600"/>
      <c r="AB532" s="600"/>
      <c r="AC532" s="600"/>
    </row>
    <row r="533" spans="1:32" x14ac:dyDescent="0.2">
      <c r="A533" s="609"/>
      <c r="B533" s="609"/>
      <c r="C533" s="609"/>
      <c r="D533" s="609"/>
      <c r="E533" s="609"/>
      <c r="F533" s="609"/>
      <c r="G533" s="609"/>
      <c r="H533" s="609"/>
      <c r="I533" s="609"/>
      <c r="J533" s="609"/>
      <c r="K533" s="609"/>
      <c r="L533" s="609"/>
      <c r="M533" s="609"/>
      <c r="N533" s="609"/>
      <c r="O533" s="793"/>
      <c r="P533" s="660" t="s">
        <v>816</v>
      </c>
      <c r="Q533" s="661"/>
      <c r="R533" s="661"/>
      <c r="S533" s="661"/>
      <c r="T533" s="661"/>
      <c r="U533" s="661"/>
      <c r="V533" s="630"/>
      <c r="W533" s="37" t="s">
        <v>814</v>
      </c>
      <c r="X533" s="599">
        <f>IFERROR(X24+X33+X37+X46+X55+X66+X73+X78+X83+X91+X98+X109+X119+X126+X130+X136+X141+X146+X154+X160+X164+X178+X184+X189+X193+X202+X207+X224+X231+X237+X241+X247+X252+X263+X278+X283+X294+X298+X302+X308+X317+X324+X333+X338+X345+X354+X364+X371+X377+X384+X390+X397+X410+X416+X421+X425+X431+X435+X441+X452+X457+X462+X468+X482+X488+X498+X504+X508+X513+X517+X522+X527,"0")</f>
        <v>605.95521699614835</v>
      </c>
      <c r="Y533" s="599">
        <f>IFERROR(Y24+Y33+Y37+Y46+Y55+Y66+Y73+Y78+Y83+Y91+Y98+Y109+Y119+Y126+Y130+Y136+Y141+Y146+Y154+Y160+Y164+Y178+Y184+Y189+Y193+Y202+Y207+Y224+Y231+Y237+Y241+Y247+Y252+Y263+Y278+Y283+Y294+Y298+Y302+Y308+Y317+Y324+Y333+Y338+Y345+Y354+Y364+Y371+Y377+Y384+Y390+Y397+Y410+Y416+Y421+Y425+Y431+Y435+Y441+Y452+Y457+Y462+Y468+Y482+Y488+Y498+Y504+Y508+Y513+Y517+Y522+Y527,"0")</f>
        <v>627</v>
      </c>
      <c r="Z533" s="37"/>
      <c r="AA533" s="600"/>
      <c r="AB533" s="600"/>
      <c r="AC533" s="600"/>
    </row>
    <row r="534" spans="1:32" ht="14.25" customHeight="1" x14ac:dyDescent="0.2">
      <c r="A534" s="609"/>
      <c r="B534" s="609"/>
      <c r="C534" s="609"/>
      <c r="D534" s="609"/>
      <c r="E534" s="609"/>
      <c r="F534" s="609"/>
      <c r="G534" s="609"/>
      <c r="H534" s="609"/>
      <c r="I534" s="609"/>
      <c r="J534" s="609"/>
      <c r="K534" s="609"/>
      <c r="L534" s="609"/>
      <c r="M534" s="609"/>
      <c r="N534" s="609"/>
      <c r="O534" s="793"/>
      <c r="P534" s="660" t="s">
        <v>817</v>
      </c>
      <c r="Q534" s="661"/>
      <c r="R534" s="661"/>
      <c r="S534" s="661"/>
      <c r="T534" s="661"/>
      <c r="U534" s="661"/>
      <c r="V534" s="630"/>
      <c r="W534" s="39" t="s">
        <v>818</v>
      </c>
      <c r="X534" s="37"/>
      <c r="Y534" s="37"/>
      <c r="Z534" s="37">
        <f>IFERROR(Z24+Z33+Z37+Z46+Z55+Z66+Z73+Z78+Z83+Z91+Z98+Z109+Z119+Z126+Z130+Z136+Z141+Z146+Z154+Z160+Z164+Z178+Z184+Z189+Z193+Z202+Z207+Z224+Z231+Z237+Z241+Z247+Z252+Z263+Z278+Z283+Z294+Z298+Z302+Z308+Z317+Z324+Z333+Z338+Z345+Z354+Z364+Z371+Z377+Z384+Z390+Z397+Z410+Z416+Z421+Z425+Z431+Z435+Z441+Z452+Z457+Z462+Z468+Z482+Z488+Z498+Z504+Z508+Z513+Z517+Z522+Z527,"0")</f>
        <v>7.0699000000000005</v>
      </c>
      <c r="AA534" s="600"/>
      <c r="AB534" s="600"/>
      <c r="AC534" s="600"/>
    </row>
    <row r="535" spans="1:32" ht="13.5" customHeight="1" thickBot="1" x14ac:dyDescent="0.25"/>
    <row r="536" spans="1:32" ht="27" customHeight="1" thickTop="1" thickBot="1" x14ac:dyDescent="0.25">
      <c r="A536" s="40" t="s">
        <v>819</v>
      </c>
      <c r="B536" s="594" t="s">
        <v>61</v>
      </c>
      <c r="C536" s="594" t="s">
        <v>101</v>
      </c>
      <c r="D536" s="601" t="s">
        <v>115</v>
      </c>
      <c r="E536" s="835"/>
      <c r="F536" s="835"/>
      <c r="G536" s="835"/>
      <c r="H536" s="835"/>
      <c r="I536" s="835"/>
      <c r="J536" s="757"/>
      <c r="K536" s="601" t="s">
        <v>324</v>
      </c>
      <c r="L536" s="835"/>
      <c r="M536" s="835"/>
      <c r="N536" s="835"/>
      <c r="O536" s="835"/>
      <c r="P536" s="835"/>
      <c r="Q536" s="835"/>
      <c r="R536" s="835"/>
      <c r="S536" s="835"/>
      <c r="T536" s="835"/>
      <c r="U536" s="757"/>
      <c r="V536" s="601" t="s">
        <v>643</v>
      </c>
      <c r="W536" s="757"/>
      <c r="X536" s="601" t="s">
        <v>703</v>
      </c>
      <c r="Y536" s="757"/>
      <c r="Z536" s="594" t="s">
        <v>739</v>
      </c>
      <c r="AA536" s="601" t="s">
        <v>786</v>
      </c>
      <c r="AB536" s="757"/>
      <c r="AC536" s="52"/>
      <c r="AF536" s="595"/>
    </row>
    <row r="537" spans="1:32" ht="14.25" customHeight="1" thickTop="1" x14ac:dyDescent="0.2">
      <c r="A537" s="886" t="s">
        <v>820</v>
      </c>
      <c r="B537" s="601" t="s">
        <v>61</v>
      </c>
      <c r="C537" s="601" t="s">
        <v>102</v>
      </c>
      <c r="D537" s="601" t="s">
        <v>116</v>
      </c>
      <c r="E537" s="601" t="s">
        <v>132</v>
      </c>
      <c r="F537" s="601" t="s">
        <v>176</v>
      </c>
      <c r="G537" s="601" t="s">
        <v>197</v>
      </c>
      <c r="H537" s="601" t="s">
        <v>241</v>
      </c>
      <c r="I537" s="601" t="s">
        <v>253</v>
      </c>
      <c r="J537" s="601" t="s">
        <v>115</v>
      </c>
      <c r="K537" s="601" t="s">
        <v>325</v>
      </c>
      <c r="L537" s="601" t="s">
        <v>337</v>
      </c>
      <c r="M537" s="601" t="s">
        <v>404</v>
      </c>
      <c r="N537" s="595"/>
      <c r="O537" s="601" t="s">
        <v>472</v>
      </c>
      <c r="P537" s="601" t="s">
        <v>505</v>
      </c>
      <c r="Q537" s="601" t="s">
        <v>521</v>
      </c>
      <c r="R537" s="601" t="s">
        <v>530</v>
      </c>
      <c r="S537" s="601" t="s">
        <v>551</v>
      </c>
      <c r="T537" s="601" t="s">
        <v>561</v>
      </c>
      <c r="U537" s="601" t="s">
        <v>633</v>
      </c>
      <c r="V537" s="601" t="s">
        <v>644</v>
      </c>
      <c r="W537" s="601" t="s">
        <v>687</v>
      </c>
      <c r="X537" s="601" t="s">
        <v>704</v>
      </c>
      <c r="Y537" s="601" t="s">
        <v>727</v>
      </c>
      <c r="Z537" s="601" t="s">
        <v>739</v>
      </c>
      <c r="AA537" s="601" t="s">
        <v>786</v>
      </c>
      <c r="AB537" s="601" t="s">
        <v>807</v>
      </c>
      <c r="AC537" s="52"/>
      <c r="AF537" s="595"/>
    </row>
    <row r="538" spans="1:32" ht="13.5" customHeight="1" thickBot="1" x14ac:dyDescent="0.25">
      <c r="A538" s="887"/>
      <c r="B538" s="602"/>
      <c r="C538" s="602"/>
      <c r="D538" s="602"/>
      <c r="E538" s="602"/>
      <c r="F538" s="602"/>
      <c r="G538" s="602"/>
      <c r="H538" s="602"/>
      <c r="I538" s="602"/>
      <c r="J538" s="602"/>
      <c r="K538" s="602"/>
      <c r="L538" s="602"/>
      <c r="M538" s="602"/>
      <c r="N538" s="595"/>
      <c r="O538" s="602"/>
      <c r="P538" s="602"/>
      <c r="Q538" s="602"/>
      <c r="R538" s="602"/>
      <c r="S538" s="602"/>
      <c r="T538" s="602"/>
      <c r="U538" s="602"/>
      <c r="V538" s="602"/>
      <c r="W538" s="602"/>
      <c r="X538" s="602"/>
      <c r="Y538" s="602"/>
      <c r="Z538" s="602"/>
      <c r="AA538" s="602"/>
      <c r="AB538" s="602"/>
      <c r="AC538" s="52"/>
      <c r="AF538" s="595"/>
    </row>
    <row r="539" spans="1:32" ht="18" customHeight="1" thickTop="1" thickBot="1" x14ac:dyDescent="0.25">
      <c r="A539" s="40" t="s">
        <v>821</v>
      </c>
      <c r="B539" s="46">
        <f>IFERROR(Y22*1,"0")+IFERROR(Y23*1,"0")+IFERROR(Y27*1,"0")+IFERROR(Y28*1,"0")+IFERROR(Y29*1,"0")+IFERROR(Y30*1,"0")+IFERROR(Y31*1,"0")+IFERROR(Y32*1,"0")+IFERROR(Y36*1,"0")</f>
        <v>0</v>
      </c>
      <c r="C539" s="46">
        <f>IFERROR(Y42*1,"0")+IFERROR(Y43*1,"0")+IFERROR(Y44*1,"0")+IFERROR(Y45*1,"0")</f>
        <v>0</v>
      </c>
      <c r="D539" s="46">
        <f>IFERROR(Y51*1,"0")+IFERROR(Y52*1,"0")+IFERROR(Y53*1,"0")+IFERROR(Y54*1,"0")</f>
        <v>0</v>
      </c>
      <c r="E539" s="46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100.5</v>
      </c>
      <c r="F539" s="46">
        <f>IFERROR(Y87*1,"0")+IFERROR(Y88*1,"0")+IFERROR(Y89*1,"0")+IFERROR(Y90*1,"0")+IFERROR(Y94*1,"0")+IFERROR(Y95*1,"0")+IFERROR(Y96*1,"0")+IFERROR(Y97*1,"0")</f>
        <v>3.4</v>
      </c>
      <c r="G539" s="46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85.1</v>
      </c>
      <c r="H539" s="46">
        <f>IFERROR(Y134*1,"0")+IFERROR(Y135*1,"0")+IFERROR(Y139*1,"0")+IFERROR(Y140*1,"0")+IFERROR(Y144*1,"0")+IFERROR(Y145*1,"0")</f>
        <v>82.960000000000008</v>
      </c>
      <c r="I539" s="46">
        <f>IFERROR(Y150*1,"0")+IFERROR(Y151*1,"0")+IFERROR(Y152*1,"0")+IFERROR(Y153*1,"0")</f>
        <v>0</v>
      </c>
      <c r="J539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133.12</v>
      </c>
      <c r="K539" s="46">
        <f>IFERROR(Y198*1,"0")+IFERROR(Y199*1,"0")+IFERROR(Y200*1,"0")+IFERROR(Y201*1,"0")</f>
        <v>0</v>
      </c>
      <c r="L539" s="46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93.9</v>
      </c>
      <c r="M539" s="46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426.30000000000007</v>
      </c>
      <c r="N539" s="595"/>
      <c r="O539" s="46">
        <f>IFERROR(Y287*1,"0")+IFERROR(Y288*1,"0")+IFERROR(Y289*1,"0")+IFERROR(Y290*1,"0")+IFERROR(Y291*1,"0")+IFERROR(Y292*1,"0")+IFERROR(Y293*1,"0")+IFERROR(Y297*1,"0")+IFERROR(Y301*1,"0")+IFERROR(Y305*1,"0")+IFERROR(Y306*1,"0")+IFERROR(Y307*1,"0")</f>
        <v>7.2</v>
      </c>
      <c r="P539" s="46">
        <f>IFERROR(Y312*1,"0")+IFERROR(Y313*1,"0")+IFERROR(Y314*1,"0")+IFERROR(Y315*1,"0")+IFERROR(Y316*1,"0")</f>
        <v>0</v>
      </c>
      <c r="Q539" s="46">
        <f>IFERROR(Y321*1,"0")+IFERROR(Y322*1,"0")+IFERROR(Y323*1,"0")</f>
        <v>31.2</v>
      </c>
      <c r="R539" s="46">
        <f>IFERROR(Y328*1,"0")+IFERROR(Y329*1,"0")+IFERROR(Y330*1,"0")+IFERROR(Y331*1,"0")+IFERROR(Y332*1,"0")+IFERROR(Y336*1,"0")+IFERROR(Y337*1,"0")</f>
        <v>0</v>
      </c>
      <c r="S539" s="46">
        <f>IFERROR(Y342*1,"0")+IFERROR(Y343*1,"0")+IFERROR(Y344*1,"0")</f>
        <v>0</v>
      </c>
      <c r="T539" s="46">
        <f>IFERROR(Y349*1,"0")+IFERROR(Y350*1,"0")+IFERROR(Y351*1,"0")+IFERROR(Y352*1,"0")+IFERROR(Y353*1,"0")+IFERROR(Y357*1,"0")+IFERROR(Y358*1,"0")+IFERROR(Y359*1,"0")+IFERROR(Y360*1,"0")+IFERROR(Y361*1,"0")+IFERROR(Y362*1,"0")+IFERROR(Y363*1,"0")+IFERROR(Y367*1,"0")+IFERROR(Y368*1,"0")+IFERROR(Y369*1,"0")+IFERROR(Y370*1,"0")+IFERROR(Y374*1,"0")+IFERROR(Y375*1,"0")+IFERROR(Y376*1,"0")+IFERROR(Y380*1,"0")+IFERROR(Y381*1,"0")+IFERROR(Y382*1,"0")+IFERROR(Y383*1,"0")+IFERROR(Y387*1,"0")+IFERROR(Y388*1,"0")+IFERROR(Y389*1,"0")</f>
        <v>109.2</v>
      </c>
      <c r="U539" s="46">
        <f>IFERROR(Y394*1,"0")+IFERROR(Y395*1,"0")+IFERROR(Y396*1,"0")</f>
        <v>105</v>
      </c>
      <c r="V539" s="46">
        <f>IFERROR(Y402*1,"0")+IFERROR(Y403*1,"0")+IFERROR(Y404*1,"0")+IFERROR(Y405*1,"0")+IFERROR(Y406*1,"0")+IFERROR(Y407*1,"0")+IFERROR(Y408*1,"0")+IFERROR(Y409*1,"0")+IFERROR(Y413*1,"0")+IFERROR(Y414*1,"0")+IFERROR(Y415*1,"0")+IFERROR(Y419*1,"0")+IFERROR(Y420*1,"0")+IFERROR(Y424*1,"0")</f>
        <v>537</v>
      </c>
      <c r="W539" s="46">
        <f>IFERROR(Y429*1,"0")+IFERROR(Y430*1,"0")+IFERROR(Y434*1,"0")+IFERROR(Y438*1,"0")+IFERROR(Y439*1,"0")+IFERROR(Y440*1,"0")</f>
        <v>1215.5999999999999</v>
      </c>
      <c r="X539" s="46">
        <f>IFERROR(Y446*1,"0")+IFERROR(Y447*1,"0")+IFERROR(Y448*1,"0")+IFERROR(Y449*1,"0")+IFERROR(Y450*1,"0")+IFERROR(Y451*1,"0")+IFERROR(Y455*1,"0")+IFERROR(Y456*1,"0")</f>
        <v>0</v>
      </c>
      <c r="Y539" s="46">
        <f>IFERROR(Y461*1,"0")+IFERROR(Y465*1,"0")+IFERROR(Y466*1,"0")+IFERROR(Y467*1,"0")</f>
        <v>0</v>
      </c>
      <c r="Z539" s="46">
        <f>IFERROR(Y473*1,"0")+IFERROR(Y474*1,"0")+IFERROR(Y475*1,"0")+IFERROR(Y476*1,"0")+IFERROR(Y477*1,"0")+IFERROR(Y478*1,"0")+IFERROR(Y479*1,"0")+IFERROR(Y480*1,"0")+IFERROR(Y481*1,"0")+IFERROR(Y485*1,"0")+IFERROR(Y486*1,"0")+IFERROR(Y487*1,"0")+IFERROR(Y491*1,"0")+IFERROR(Y492*1,"0")+IFERROR(Y493*1,"0")+IFERROR(Y494*1,"0")+IFERROR(Y495*1,"0")+IFERROR(Y496*1,"0")+IFERROR(Y497*1,"0")</f>
        <v>266.88</v>
      </c>
      <c r="AA539" s="46">
        <f>IFERROR(Y503*1,"0")+IFERROR(Y507*1,"0")+IFERROR(Y511*1,"0")+IFERROR(Y512*1,"0")+IFERROR(Y516*1,"0")+IFERROR(Y520*1,"0")+IFERROR(Y521*1,"0")</f>
        <v>162</v>
      </c>
      <c r="AB539" s="46">
        <f>IFERROR(Y526*1,"0")</f>
        <v>0</v>
      </c>
      <c r="AC539" s="52"/>
      <c r="AF539" s="595"/>
    </row>
  </sheetData>
  <sheetProtection algorithmName="SHA-512" hashValue="I9bupEZuWL/goZMOf/t6ktWwM0LrzMR5yQZEjEAx/f14inl1V/ZId9D1OTlCY2QBWrGvJ4Hcs5nIl5rsDqxb9A==" saltValue="CD28L43Hm+AxONyuPgXsr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7">
    <mergeCell ref="D473:E473"/>
    <mergeCell ref="P514:V514"/>
    <mergeCell ref="A510:Z510"/>
    <mergeCell ref="A513:O514"/>
    <mergeCell ref="P315:T315"/>
    <mergeCell ref="D187:E187"/>
    <mergeCell ref="P144:T144"/>
    <mergeCell ref="D60:E60"/>
    <mergeCell ref="D174:E174"/>
    <mergeCell ref="D486:E486"/>
    <mergeCell ref="P455:T455"/>
    <mergeCell ref="P476:T476"/>
    <mergeCell ref="D236:E236"/>
    <mergeCell ref="D117:E117"/>
    <mergeCell ref="P171:T171"/>
    <mergeCell ref="A410:O411"/>
    <mergeCell ref="P413:T413"/>
    <mergeCell ref="P474:T474"/>
    <mergeCell ref="P103:T103"/>
    <mergeCell ref="P495:T495"/>
    <mergeCell ref="A338:O339"/>
    <mergeCell ref="D396:E396"/>
    <mergeCell ref="P450:T450"/>
    <mergeCell ref="D456:E456"/>
    <mergeCell ref="H9:I9"/>
    <mergeCell ref="D45:E45"/>
    <mergeCell ref="P24:V24"/>
    <mergeCell ref="P224:V224"/>
    <mergeCell ref="A49:Z49"/>
    <mergeCell ref="D281:E281"/>
    <mergeCell ref="P453:V453"/>
    <mergeCell ref="P389:T389"/>
    <mergeCell ref="P309:V309"/>
    <mergeCell ref="D297:E297"/>
    <mergeCell ref="P324:V324"/>
    <mergeCell ref="A205:Z205"/>
    <mergeCell ref="D70:E70"/>
    <mergeCell ref="D312:E312"/>
    <mergeCell ref="P220:T220"/>
    <mergeCell ref="P328:T328"/>
    <mergeCell ref="P213:T213"/>
    <mergeCell ref="D134:E134"/>
    <mergeCell ref="D376:E376"/>
    <mergeCell ref="A80:Z80"/>
    <mergeCell ref="A101:Z101"/>
    <mergeCell ref="P405:T405"/>
    <mergeCell ref="D28:E28"/>
    <mergeCell ref="D313:E313"/>
    <mergeCell ref="P520:T520"/>
    <mergeCell ref="D363:E363"/>
    <mergeCell ref="D357:E357"/>
    <mergeCell ref="P172:T172"/>
    <mergeCell ref="R1:T1"/>
    <mergeCell ref="P150:T150"/>
    <mergeCell ref="D71:E71"/>
    <mergeCell ref="P221:T221"/>
    <mergeCell ref="P28:T28"/>
    <mergeCell ref="A345:O346"/>
    <mergeCell ref="D332:E332"/>
    <mergeCell ref="D307:E307"/>
    <mergeCell ref="P215:T215"/>
    <mergeCell ref="A46:O47"/>
    <mergeCell ref="P152:T152"/>
    <mergeCell ref="P30:T30"/>
    <mergeCell ref="P179:V179"/>
    <mergeCell ref="P290:T290"/>
    <mergeCell ref="P141:V141"/>
    <mergeCell ref="D7:M7"/>
    <mergeCell ref="D8:M8"/>
    <mergeCell ref="H1:Q1"/>
    <mergeCell ref="D495:E495"/>
    <mergeCell ref="A66:O67"/>
    <mergeCell ref="A525:Z525"/>
    <mergeCell ref="P377:V377"/>
    <mergeCell ref="P504:V504"/>
    <mergeCell ref="A500:Z500"/>
    <mergeCell ref="A58:Z58"/>
    <mergeCell ref="P37:V37"/>
    <mergeCell ref="P275:T275"/>
    <mergeCell ref="P104:T104"/>
    <mergeCell ref="B17:B18"/>
    <mergeCell ref="D479:E479"/>
    <mergeCell ref="P248:V248"/>
    <mergeCell ref="P441:V441"/>
    <mergeCell ref="A437:Z437"/>
    <mergeCell ref="D258:E258"/>
    <mergeCell ref="A502:Z502"/>
    <mergeCell ref="P517:V517"/>
    <mergeCell ref="A149:Z149"/>
    <mergeCell ref="A193:O194"/>
    <mergeCell ref="A50:Z50"/>
    <mergeCell ref="W17:W18"/>
    <mergeCell ref="P29:T29"/>
    <mergeCell ref="D81:E81"/>
    <mergeCell ref="D259:E259"/>
    <mergeCell ref="A237:O238"/>
    <mergeCell ref="P533:V533"/>
    <mergeCell ref="D494:E494"/>
    <mergeCell ref="P404:T404"/>
    <mergeCell ref="P207:V207"/>
    <mergeCell ref="D536:J536"/>
    <mergeCell ref="D124:E124"/>
    <mergeCell ref="P81:T81"/>
    <mergeCell ref="A197:Z197"/>
    <mergeCell ref="V10:W10"/>
    <mergeCell ref="D493:E493"/>
    <mergeCell ref="D360:E360"/>
    <mergeCell ref="P299:V299"/>
    <mergeCell ref="D287:E287"/>
    <mergeCell ref="P170:T170"/>
    <mergeCell ref="D474:E474"/>
    <mergeCell ref="P316:T316"/>
    <mergeCell ref="P145:T145"/>
    <mergeCell ref="P381:T381"/>
    <mergeCell ref="D53:E53"/>
    <mergeCell ref="P232:V232"/>
    <mergeCell ref="D351:E351"/>
    <mergeCell ref="A498:O499"/>
    <mergeCell ref="D289:E289"/>
    <mergeCell ref="A522:O523"/>
    <mergeCell ref="P532:V532"/>
    <mergeCell ref="P161:V161"/>
    <mergeCell ref="A86:Z86"/>
    <mergeCell ref="A515:Z515"/>
    <mergeCell ref="P234:T234"/>
    <mergeCell ref="P325:V325"/>
    <mergeCell ref="P154:V154"/>
    <mergeCell ref="P390:V390"/>
    <mergeCell ref="A386:Z386"/>
    <mergeCell ref="D129:E129"/>
    <mergeCell ref="A373:Z373"/>
    <mergeCell ref="P91:V91"/>
    <mergeCell ref="P236:T236"/>
    <mergeCell ref="P394:T394"/>
    <mergeCell ref="D315:E315"/>
    <mergeCell ref="A184:O185"/>
    <mergeCell ref="P521:T521"/>
    <mergeCell ref="D144:E144"/>
    <mergeCell ref="D429:E429"/>
    <mergeCell ref="P173:T173"/>
    <mergeCell ref="P271:T271"/>
    <mergeCell ref="P94:T94"/>
    <mergeCell ref="P193:V193"/>
    <mergeCell ref="D520:E520"/>
    <mergeCell ref="W537:W538"/>
    <mergeCell ref="P44:T44"/>
    <mergeCell ref="P279:V279"/>
    <mergeCell ref="A226:Z226"/>
    <mergeCell ref="P31:T31"/>
    <mergeCell ref="P473:T473"/>
    <mergeCell ref="P329:T329"/>
    <mergeCell ref="P158:T158"/>
    <mergeCell ref="D139:E139"/>
    <mergeCell ref="D406:E406"/>
    <mergeCell ref="P416:V416"/>
    <mergeCell ref="A98:O99"/>
    <mergeCell ref="P266:T266"/>
    <mergeCell ref="P530:V530"/>
    <mergeCell ref="P95:T95"/>
    <mergeCell ref="P331:T331"/>
    <mergeCell ref="P38:V38"/>
    <mergeCell ref="A501:Z501"/>
    <mergeCell ref="P109:V109"/>
    <mergeCell ref="A243:Z243"/>
    <mergeCell ref="A366:Z366"/>
    <mergeCell ref="P345:V345"/>
    <mergeCell ref="D214:E214"/>
    <mergeCell ref="A286:Z286"/>
    <mergeCell ref="D30:E30"/>
    <mergeCell ref="D353:E353"/>
    <mergeCell ref="P407:T407"/>
    <mergeCell ref="A311:Z311"/>
    <mergeCell ref="D5:E5"/>
    <mergeCell ref="P382:T382"/>
    <mergeCell ref="D496:E496"/>
    <mergeCell ref="P42:T42"/>
    <mergeCell ref="D290:E290"/>
    <mergeCell ref="D94:E94"/>
    <mergeCell ref="D361:E361"/>
    <mergeCell ref="P98:V98"/>
    <mergeCell ref="A392:Z392"/>
    <mergeCell ref="P259:T259"/>
    <mergeCell ref="A278:O279"/>
    <mergeCell ref="D69:E69"/>
    <mergeCell ref="A109:O110"/>
    <mergeCell ref="P240:T240"/>
    <mergeCell ref="P398:V398"/>
    <mergeCell ref="D301:E301"/>
    <mergeCell ref="D245:E245"/>
    <mergeCell ref="D122:E122"/>
    <mergeCell ref="P116:T116"/>
    <mergeCell ref="P32:T32"/>
    <mergeCell ref="P537:P538"/>
    <mergeCell ref="P33:V33"/>
    <mergeCell ref="A300:Z300"/>
    <mergeCell ref="P264:V264"/>
    <mergeCell ref="P164:V164"/>
    <mergeCell ref="P462:V462"/>
    <mergeCell ref="P333:V333"/>
    <mergeCell ref="D316:E316"/>
    <mergeCell ref="A537:A538"/>
    <mergeCell ref="D387:E387"/>
    <mergeCell ref="D272:E272"/>
    <mergeCell ref="C537:C538"/>
    <mergeCell ref="D381:E381"/>
    <mergeCell ref="P273:T273"/>
    <mergeCell ref="A421:O422"/>
    <mergeCell ref="D210:E210"/>
    <mergeCell ref="D145:E145"/>
    <mergeCell ref="D380:E380"/>
    <mergeCell ref="A527:O528"/>
    <mergeCell ref="P337:T337"/>
    <mergeCell ref="D87:E87"/>
    <mergeCell ref="P402:T402"/>
    <mergeCell ref="D274:E274"/>
    <mergeCell ref="D516:E516"/>
    <mergeCell ref="A26:Z26"/>
    <mergeCell ref="P268:T268"/>
    <mergeCell ref="P230:T230"/>
    <mergeCell ref="D382:E382"/>
    <mergeCell ref="D211:E211"/>
    <mergeCell ref="P190:V190"/>
    <mergeCell ref="P466:T466"/>
    <mergeCell ref="P168:T168"/>
    <mergeCell ref="P488:V488"/>
    <mergeCell ref="P130:V130"/>
    <mergeCell ref="P97:T97"/>
    <mergeCell ref="P46:V46"/>
    <mergeCell ref="A37:O38"/>
    <mergeCell ref="D260:E260"/>
    <mergeCell ref="D448:E448"/>
    <mergeCell ref="D90:E90"/>
    <mergeCell ref="D118:E118"/>
    <mergeCell ref="A354:O355"/>
    <mergeCell ref="P53:T53"/>
    <mergeCell ref="A425:O426"/>
    <mergeCell ref="P351:T351"/>
    <mergeCell ref="D167:E167"/>
    <mergeCell ref="P289:T289"/>
    <mergeCell ref="D27:E27"/>
    <mergeCell ref="D1:F1"/>
    <mergeCell ref="A164:O165"/>
    <mergeCell ref="J17:J18"/>
    <mergeCell ref="A91:O92"/>
    <mergeCell ref="D82:E82"/>
    <mergeCell ref="L17:L18"/>
    <mergeCell ref="D240:E240"/>
    <mergeCell ref="D511:E511"/>
    <mergeCell ref="A244:Z244"/>
    <mergeCell ref="P255:T255"/>
    <mergeCell ref="A100:Z100"/>
    <mergeCell ref="P346:V346"/>
    <mergeCell ref="P258:T258"/>
    <mergeCell ref="D369:E369"/>
    <mergeCell ref="D108:E108"/>
    <mergeCell ref="P223:T223"/>
    <mergeCell ref="P494:T494"/>
    <mergeCell ref="P52:T52"/>
    <mergeCell ref="P350:T350"/>
    <mergeCell ref="P481:T481"/>
    <mergeCell ref="I17:I18"/>
    <mergeCell ref="D72:E72"/>
    <mergeCell ref="P34:V34"/>
    <mergeCell ref="Q9:R9"/>
    <mergeCell ref="X537:X538"/>
    <mergeCell ref="P192:T192"/>
    <mergeCell ref="P113:T113"/>
    <mergeCell ref="A400:Z400"/>
    <mergeCell ref="P17:T18"/>
    <mergeCell ref="A471:Z471"/>
    <mergeCell ref="P129:T129"/>
    <mergeCell ref="A148:Z148"/>
    <mergeCell ref="P63:T63"/>
    <mergeCell ref="P250:T250"/>
    <mergeCell ref="P492:T492"/>
    <mergeCell ref="D31:E31"/>
    <mergeCell ref="A166:Z166"/>
    <mergeCell ref="A482:O483"/>
    <mergeCell ref="A416:O417"/>
    <mergeCell ref="D329:E329"/>
    <mergeCell ref="D158:E158"/>
    <mergeCell ref="P479:T479"/>
    <mergeCell ref="D229:E229"/>
    <mergeCell ref="A529:O534"/>
    <mergeCell ref="D77:E77"/>
    <mergeCell ref="P187:T187"/>
    <mergeCell ref="D375:E375"/>
    <mergeCell ref="P429:T429"/>
    <mergeCell ref="AA536:AB536"/>
    <mergeCell ref="D306:E306"/>
    <mergeCell ref="D135:E135"/>
    <mergeCell ref="P456:T456"/>
    <mergeCell ref="A119:O120"/>
    <mergeCell ref="P287:T287"/>
    <mergeCell ref="P414:T414"/>
    <mergeCell ref="P281:T281"/>
    <mergeCell ref="P352:T352"/>
    <mergeCell ref="P203:V203"/>
    <mergeCell ref="A326:Z326"/>
    <mergeCell ref="P295:V295"/>
    <mergeCell ref="P178:V178"/>
    <mergeCell ref="D235:E235"/>
    <mergeCell ref="A239:Z239"/>
    <mergeCell ref="P463:V463"/>
    <mergeCell ref="A393:Z393"/>
    <mergeCell ref="P312:T312"/>
    <mergeCell ref="D451:E451"/>
    <mergeCell ref="D255:E255"/>
    <mergeCell ref="A524:Z524"/>
    <mergeCell ref="P278:V278"/>
    <mergeCell ref="D322:E322"/>
    <mergeCell ref="P376:T376"/>
    <mergeCell ref="Q11:R11"/>
    <mergeCell ref="A6:C6"/>
    <mergeCell ref="D113:E113"/>
    <mergeCell ref="P118:T118"/>
    <mergeCell ref="Q537:Q538"/>
    <mergeCell ref="P167:T167"/>
    <mergeCell ref="D88:E88"/>
    <mergeCell ref="S537:S538"/>
    <mergeCell ref="A459:Z459"/>
    <mergeCell ref="K537:K538"/>
    <mergeCell ref="P403:T403"/>
    <mergeCell ref="P117:T117"/>
    <mergeCell ref="A324:O325"/>
    <mergeCell ref="D115:E115"/>
    <mergeCell ref="P182:T182"/>
    <mergeCell ref="P417:V417"/>
    <mergeCell ref="P480:T480"/>
    <mergeCell ref="Q12:R12"/>
    <mergeCell ref="D261:E261"/>
    <mergeCell ref="P169:T169"/>
    <mergeCell ref="A130:O131"/>
    <mergeCell ref="P467:T467"/>
    <mergeCell ref="D388:E388"/>
    <mergeCell ref="P489:V489"/>
    <mergeCell ref="B537:B538"/>
    <mergeCell ref="P354:V354"/>
    <mergeCell ref="P246:T246"/>
    <mergeCell ref="K536:U536"/>
    <mergeCell ref="P298:V298"/>
    <mergeCell ref="P127:V127"/>
    <mergeCell ref="A5:C5"/>
    <mergeCell ref="P406:T406"/>
    <mergeCell ref="A423:Z423"/>
    <mergeCell ref="A472:Z472"/>
    <mergeCell ref="D337:E337"/>
    <mergeCell ref="D402:E402"/>
    <mergeCell ref="A17:A18"/>
    <mergeCell ref="P364:V364"/>
    <mergeCell ref="K17:K18"/>
    <mergeCell ref="P493:T493"/>
    <mergeCell ref="C17:C18"/>
    <mergeCell ref="D103:E103"/>
    <mergeCell ref="A488:O489"/>
    <mergeCell ref="P358:T358"/>
    <mergeCell ref="D230:E230"/>
    <mergeCell ref="D168:E168"/>
    <mergeCell ref="D466:E466"/>
    <mergeCell ref="D9:E9"/>
    <mergeCell ref="F9:G9"/>
    <mergeCell ref="D403:E403"/>
    <mergeCell ref="P238:V238"/>
    <mergeCell ref="P509:V509"/>
    <mergeCell ref="P67:V67"/>
    <mergeCell ref="A247:O248"/>
    <mergeCell ref="D169:E169"/>
    <mergeCell ref="P353:T353"/>
    <mergeCell ref="P253:V253"/>
    <mergeCell ref="A265:Z265"/>
    <mergeCell ref="A121:Z121"/>
    <mergeCell ref="D507:E507"/>
    <mergeCell ref="P317:V317"/>
    <mergeCell ref="P146:V146"/>
    <mergeCell ref="D63:E63"/>
    <mergeCell ref="D330:E330"/>
    <mergeCell ref="D492:E492"/>
    <mergeCell ref="P305:T305"/>
    <mergeCell ref="A304:Z304"/>
    <mergeCell ref="D96:E96"/>
    <mergeCell ref="D52:E52"/>
    <mergeCell ref="D350:E350"/>
    <mergeCell ref="P110:V110"/>
    <mergeCell ref="A162:Z162"/>
    <mergeCell ref="P15:T16"/>
    <mergeCell ref="D116:E116"/>
    <mergeCell ref="D414:E414"/>
    <mergeCell ref="D352:E352"/>
    <mergeCell ref="P419:T419"/>
    <mergeCell ref="P219:T219"/>
    <mergeCell ref="P23:T23"/>
    <mergeCell ref="A335:Z335"/>
    <mergeCell ref="P272:T272"/>
    <mergeCell ref="P210:T210"/>
    <mergeCell ref="D106:E106"/>
    <mergeCell ref="A146:O147"/>
    <mergeCell ref="P277:T277"/>
    <mergeCell ref="D220:E220"/>
    <mergeCell ref="P235:T235"/>
    <mergeCell ref="A40:Z40"/>
    <mergeCell ref="A186:Z186"/>
    <mergeCell ref="P165:V165"/>
    <mergeCell ref="P159:T159"/>
    <mergeCell ref="D140:E140"/>
    <mergeCell ref="P96:T96"/>
    <mergeCell ref="P61:T61"/>
    <mergeCell ref="D200:E200"/>
    <mergeCell ref="A178:O179"/>
    <mergeCell ref="H537:H538"/>
    <mergeCell ref="A195:Z195"/>
    <mergeCell ref="J537:J538"/>
    <mergeCell ref="P122:T122"/>
    <mergeCell ref="P435:V435"/>
    <mergeCell ref="P43:T43"/>
    <mergeCell ref="D328:E328"/>
    <mergeCell ref="P136:V136"/>
    <mergeCell ref="P263:V263"/>
    <mergeCell ref="D251:E251"/>
    <mergeCell ref="P499:V499"/>
    <mergeCell ref="P528:V528"/>
    <mergeCell ref="Y537:Y538"/>
    <mergeCell ref="P511:T511"/>
    <mergeCell ref="P534:V534"/>
    <mergeCell ref="Z537:Z538"/>
    <mergeCell ref="D491:E491"/>
    <mergeCell ref="D114:E114"/>
    <mergeCell ref="P391:V391"/>
    <mergeCell ref="A390:O391"/>
    <mergeCell ref="P518:V518"/>
    <mergeCell ref="D64:E64"/>
    <mergeCell ref="D362:E362"/>
    <mergeCell ref="D51:E51"/>
    <mergeCell ref="A12:M12"/>
    <mergeCell ref="P355:V355"/>
    <mergeCell ref="A180:Z180"/>
    <mergeCell ref="D487:E487"/>
    <mergeCell ref="D343:E343"/>
    <mergeCell ref="A68:Z68"/>
    <mergeCell ref="P436:V436"/>
    <mergeCell ref="A19:Z19"/>
    <mergeCell ref="D182:E182"/>
    <mergeCell ref="D480:E480"/>
    <mergeCell ref="A160:O161"/>
    <mergeCell ref="P163:T163"/>
    <mergeCell ref="A111:Z111"/>
    <mergeCell ref="A14:M14"/>
    <mergeCell ref="D467:E467"/>
    <mergeCell ref="P424:T424"/>
    <mergeCell ref="P83:V83"/>
    <mergeCell ref="D485:E485"/>
    <mergeCell ref="A441:O442"/>
    <mergeCell ref="A435:O436"/>
    <mergeCell ref="P380:T380"/>
    <mergeCell ref="P448:T448"/>
    <mergeCell ref="P155:V155"/>
    <mergeCell ref="A154:O155"/>
    <mergeCell ref="T5:U5"/>
    <mergeCell ref="P76:T76"/>
    <mergeCell ref="V5:W5"/>
    <mergeCell ref="P496:T496"/>
    <mergeCell ref="P374:T374"/>
    <mergeCell ref="A490:Z490"/>
    <mergeCell ref="A319:Z319"/>
    <mergeCell ref="P294:V294"/>
    <mergeCell ref="D246:E246"/>
    <mergeCell ref="P361:T361"/>
    <mergeCell ref="D282:E282"/>
    <mergeCell ref="A224:O225"/>
    <mergeCell ref="D409:E409"/>
    <mergeCell ref="A48:Z48"/>
    <mergeCell ref="Q8:R8"/>
    <mergeCell ref="P69:T69"/>
    <mergeCell ref="D183:E183"/>
    <mergeCell ref="P140:T140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18:V318"/>
    <mergeCell ref="D277:E277"/>
    <mergeCell ref="P25:V25"/>
    <mergeCell ref="A379:Z379"/>
    <mergeCell ref="A252:O253"/>
    <mergeCell ref="P84:V84"/>
    <mergeCell ref="D43:E43"/>
    <mergeCell ref="D59:E59"/>
    <mergeCell ref="D172:E172"/>
    <mergeCell ref="P88:T88"/>
    <mergeCell ref="P51:T51"/>
    <mergeCell ref="P153:T153"/>
    <mergeCell ref="P338:V338"/>
    <mergeCell ref="D36:E36"/>
    <mergeCell ref="A138:Z138"/>
    <mergeCell ref="P202:V202"/>
    <mergeCell ref="J9:M9"/>
    <mergeCell ref="A283:O284"/>
    <mergeCell ref="D62:E62"/>
    <mergeCell ref="P206:T206"/>
    <mergeCell ref="D176:E176"/>
    <mergeCell ref="A298:O299"/>
    <mergeCell ref="AA537:AA538"/>
    <mergeCell ref="A443:Z443"/>
    <mergeCell ref="P385:V385"/>
    <mergeCell ref="P387:T387"/>
    <mergeCell ref="P216:T216"/>
    <mergeCell ref="P87:T87"/>
    <mergeCell ref="P451:T451"/>
    <mergeCell ref="A470:Z470"/>
    <mergeCell ref="D201:E201"/>
    <mergeCell ref="P245:T245"/>
    <mergeCell ref="P516:T516"/>
    <mergeCell ref="D188:E188"/>
    <mergeCell ref="P126:V126"/>
    <mergeCell ref="D424:E424"/>
    <mergeCell ref="P491:T491"/>
    <mergeCell ref="P322:T322"/>
    <mergeCell ref="P260:T260"/>
    <mergeCell ref="P211:T211"/>
    <mergeCell ref="A141:O142"/>
    <mergeCell ref="P89:T89"/>
    <mergeCell ref="A377:O378"/>
    <mergeCell ref="P505:V505"/>
    <mergeCell ref="A504:O505"/>
    <mergeCell ref="P225:V225"/>
    <mergeCell ref="AB537:AB538"/>
    <mergeCell ref="A13:M13"/>
    <mergeCell ref="P79:V79"/>
    <mergeCell ref="P73:V73"/>
    <mergeCell ref="A196:Z196"/>
    <mergeCell ref="P115:T115"/>
    <mergeCell ref="A427:Z427"/>
    <mergeCell ref="P231:V231"/>
    <mergeCell ref="P302:V302"/>
    <mergeCell ref="I537:I538"/>
    <mergeCell ref="D61:E61"/>
    <mergeCell ref="A15:M15"/>
    <mergeCell ref="P229:T229"/>
    <mergeCell ref="D477:E477"/>
    <mergeCell ref="A517:O518"/>
    <mergeCell ref="A133:Z133"/>
    <mergeCell ref="P77:T77"/>
    <mergeCell ref="P375:T375"/>
    <mergeCell ref="D125:E125"/>
    <mergeCell ref="P446:T446"/>
    <mergeCell ref="P440:T440"/>
    <mergeCell ref="A418:Z418"/>
    <mergeCell ref="D112:E112"/>
    <mergeCell ref="A356:Z356"/>
    <mergeCell ref="P477:T477"/>
    <mergeCell ref="D349:E349"/>
    <mergeCell ref="P306:T306"/>
    <mergeCell ref="D476:E476"/>
    <mergeCell ref="P384:V384"/>
    <mergeCell ref="A209:Z209"/>
    <mergeCell ref="A280:Z280"/>
    <mergeCell ref="A445:Z445"/>
    <mergeCell ref="A302:O303"/>
    <mergeCell ref="P457:V457"/>
    <mergeCell ref="D374:E374"/>
    <mergeCell ref="A431:O432"/>
    <mergeCell ref="P330:T330"/>
    <mergeCell ref="D438:E438"/>
    <mergeCell ref="P395:T395"/>
    <mergeCell ref="A340:Z340"/>
    <mergeCell ref="D267:E267"/>
    <mergeCell ref="D359:E359"/>
    <mergeCell ref="A444:Z444"/>
    <mergeCell ref="P359:T359"/>
    <mergeCell ref="D292:E292"/>
    <mergeCell ref="D227:E227"/>
    <mergeCell ref="A397:O398"/>
    <mergeCell ref="P321:T321"/>
    <mergeCell ref="P531:V531"/>
    <mergeCell ref="H17:H18"/>
    <mergeCell ref="P261:T261"/>
    <mergeCell ref="P90:T90"/>
    <mergeCell ref="P503:T503"/>
    <mergeCell ref="P452:V452"/>
    <mergeCell ref="P388:T388"/>
    <mergeCell ref="P332:T332"/>
    <mergeCell ref="D465:E465"/>
    <mergeCell ref="D440:E440"/>
    <mergeCell ref="D269:E269"/>
    <mergeCell ref="A508:O509"/>
    <mergeCell ref="P526:T526"/>
    <mergeCell ref="A452:O453"/>
    <mergeCell ref="A296:Z296"/>
    <mergeCell ref="D288:E288"/>
    <mergeCell ref="P59:T59"/>
    <mergeCell ref="P421:V421"/>
    <mergeCell ref="D434:E434"/>
    <mergeCell ref="P482:V482"/>
    <mergeCell ref="A241:O242"/>
    <mergeCell ref="P282:T282"/>
    <mergeCell ref="P409:T409"/>
    <mergeCell ref="D461:E461"/>
    <mergeCell ref="R537:R538"/>
    <mergeCell ref="P217:T217"/>
    <mergeCell ref="A207:O208"/>
    <mergeCell ref="D198:E198"/>
    <mergeCell ref="P27:T27"/>
    <mergeCell ref="A78:O79"/>
    <mergeCell ref="P247:V247"/>
    <mergeCell ref="D206:E206"/>
    <mergeCell ref="P241:V241"/>
    <mergeCell ref="P483:V483"/>
    <mergeCell ref="D181:E181"/>
    <mergeCell ref="A457:O458"/>
    <mergeCell ref="D273:E273"/>
    <mergeCell ref="P252:V252"/>
    <mergeCell ref="P56:V56"/>
    <mergeCell ref="P99:V99"/>
    <mergeCell ref="P468:V468"/>
    <mergeCell ref="A464:Z464"/>
    <mergeCell ref="P212:T212"/>
    <mergeCell ref="P512:T512"/>
    <mergeCell ref="P487:T487"/>
    <mergeCell ref="V536:W536"/>
    <mergeCell ref="X536:Y536"/>
    <mergeCell ref="A519:Z519"/>
    <mergeCell ref="AA17:AA18"/>
    <mergeCell ref="H10:M10"/>
    <mergeCell ref="A433:Z433"/>
    <mergeCell ref="P485:T485"/>
    <mergeCell ref="AC17:AC18"/>
    <mergeCell ref="P108:T108"/>
    <mergeCell ref="D89:E89"/>
    <mergeCell ref="P147:V147"/>
    <mergeCell ref="P251:T251"/>
    <mergeCell ref="P45:T45"/>
    <mergeCell ref="P343:T343"/>
    <mergeCell ref="D153:E153"/>
    <mergeCell ref="D420:E420"/>
    <mergeCell ref="P256:T256"/>
    <mergeCell ref="Z17:Z18"/>
    <mergeCell ref="AB17:AB18"/>
    <mergeCell ref="D222:E222"/>
    <mergeCell ref="G17:G18"/>
    <mergeCell ref="D314:E314"/>
    <mergeCell ref="P184:V184"/>
    <mergeCell ref="A143:Z143"/>
    <mergeCell ref="P242:V242"/>
    <mergeCell ref="D159:E159"/>
    <mergeCell ref="P188:T188"/>
    <mergeCell ref="V6:W9"/>
    <mergeCell ref="D199:E199"/>
    <mergeCell ref="D497:E497"/>
    <mergeCell ref="P274:T274"/>
    <mergeCell ref="D413:E413"/>
    <mergeCell ref="D217:E217"/>
    <mergeCell ref="P222:T222"/>
    <mergeCell ref="A462:O463"/>
    <mergeCell ref="D65:E65"/>
    <mergeCell ref="P22:T22"/>
    <mergeCell ref="P314:T314"/>
    <mergeCell ref="P92:V92"/>
    <mergeCell ref="D415:E415"/>
    <mergeCell ref="P334:V334"/>
    <mergeCell ref="P257:T257"/>
    <mergeCell ref="A41:Z41"/>
    <mergeCell ref="P458:V458"/>
    <mergeCell ref="D446:E446"/>
    <mergeCell ref="P237:V237"/>
    <mergeCell ref="D367:E367"/>
    <mergeCell ref="P120:V120"/>
    <mergeCell ref="D370:E370"/>
    <mergeCell ref="A401:Z401"/>
    <mergeCell ref="A231:O232"/>
    <mergeCell ref="A75:Z75"/>
    <mergeCell ref="H5:M5"/>
    <mergeCell ref="P522:V522"/>
    <mergeCell ref="D212:E212"/>
    <mergeCell ref="D439:E439"/>
    <mergeCell ref="P396:T396"/>
    <mergeCell ref="A341:Z341"/>
    <mergeCell ref="A285:Z285"/>
    <mergeCell ref="D6:M6"/>
    <mergeCell ref="P461:T461"/>
    <mergeCell ref="A317:O318"/>
    <mergeCell ref="P175:T175"/>
    <mergeCell ref="A85:Z85"/>
    <mergeCell ref="P227:T227"/>
    <mergeCell ref="A384:O385"/>
    <mergeCell ref="D512:E512"/>
    <mergeCell ref="D368:E368"/>
    <mergeCell ref="P106:T106"/>
    <mergeCell ref="P177:T177"/>
    <mergeCell ref="P475:T475"/>
    <mergeCell ref="D481:E481"/>
    <mergeCell ref="A294:O295"/>
    <mergeCell ref="D256:E256"/>
    <mergeCell ref="P269:T269"/>
    <mergeCell ref="P465:T465"/>
    <mergeCell ref="P125:T125"/>
    <mergeCell ref="A9:C9"/>
    <mergeCell ref="P112:T112"/>
    <mergeCell ref="P323:T323"/>
    <mergeCell ref="D358:E358"/>
    <mergeCell ref="P508:V508"/>
    <mergeCell ref="A460:Z460"/>
    <mergeCell ref="A327:Z327"/>
    <mergeCell ref="A156:Z156"/>
    <mergeCell ref="A454:Z454"/>
    <mergeCell ref="A33:O34"/>
    <mergeCell ref="Q13:R13"/>
    <mergeCell ref="A93:Z93"/>
    <mergeCell ref="P339:V339"/>
    <mergeCell ref="P201:T201"/>
    <mergeCell ref="D389:E389"/>
    <mergeCell ref="P139:T139"/>
    <mergeCell ref="P47:V47"/>
    <mergeCell ref="P176:T176"/>
    <mergeCell ref="P114:T114"/>
    <mergeCell ref="D215:E215"/>
    <mergeCell ref="P194:V194"/>
    <mergeCell ref="A364:O365"/>
    <mergeCell ref="D95:E95"/>
    <mergeCell ref="P74:V74"/>
    <mergeCell ref="L537:L538"/>
    <mergeCell ref="A157:Z157"/>
    <mergeCell ref="D537:D538"/>
    <mergeCell ref="D22:E22"/>
    <mergeCell ref="A333:O334"/>
    <mergeCell ref="F537:F538"/>
    <mergeCell ref="D447:E447"/>
    <mergeCell ref="P426:V426"/>
    <mergeCell ref="P301:T301"/>
    <mergeCell ref="P276:T276"/>
    <mergeCell ref="P105:T105"/>
    <mergeCell ref="D257:E257"/>
    <mergeCell ref="P270:T270"/>
    <mergeCell ref="P214:T214"/>
    <mergeCell ref="D213:E213"/>
    <mergeCell ref="D151:E151"/>
    <mergeCell ref="D449:E449"/>
    <mergeCell ref="P284:V284"/>
    <mergeCell ref="P36:T36"/>
    <mergeCell ref="P478:T478"/>
    <mergeCell ref="D321:E321"/>
    <mergeCell ref="D150:E150"/>
    <mergeCell ref="P336:T336"/>
    <mergeCell ref="P131:V131"/>
    <mergeCell ref="P430:T430"/>
    <mergeCell ref="P410:V410"/>
    <mergeCell ref="P102:T102"/>
    <mergeCell ref="P189:V189"/>
    <mergeCell ref="D177:E177"/>
    <mergeCell ref="P183:T183"/>
    <mergeCell ref="P297:T297"/>
    <mergeCell ref="P107:T107"/>
    <mergeCell ref="D383:E383"/>
    <mergeCell ref="P523:V523"/>
    <mergeCell ref="P62:T62"/>
    <mergeCell ref="P2:W3"/>
    <mergeCell ref="P498:V498"/>
    <mergeCell ref="P369:T369"/>
    <mergeCell ref="P198:T198"/>
    <mergeCell ref="P54:T54"/>
    <mergeCell ref="A371:O372"/>
    <mergeCell ref="D228:E228"/>
    <mergeCell ref="P439:T439"/>
    <mergeCell ref="A191:Z191"/>
    <mergeCell ref="P262:T262"/>
    <mergeCell ref="D276:E276"/>
    <mergeCell ref="D105:E105"/>
    <mergeCell ref="A83:O84"/>
    <mergeCell ref="D170:E170"/>
    <mergeCell ref="P303:V303"/>
    <mergeCell ref="P72:T72"/>
    <mergeCell ref="N17:N18"/>
    <mergeCell ref="Q5:R5"/>
    <mergeCell ref="P370:T370"/>
    <mergeCell ref="P199:T199"/>
    <mergeCell ref="F17:F18"/>
    <mergeCell ref="P497:T497"/>
    <mergeCell ref="D526:E526"/>
    <mergeCell ref="D404:E404"/>
    <mergeCell ref="D10:E10"/>
    <mergeCell ref="P64:T64"/>
    <mergeCell ref="P135:T135"/>
    <mergeCell ref="P362:T362"/>
    <mergeCell ref="F10:G10"/>
    <mergeCell ref="D305:E305"/>
    <mergeCell ref="A308:O309"/>
    <mergeCell ref="P349:T349"/>
    <mergeCell ref="D270:E270"/>
    <mergeCell ref="P420:T420"/>
    <mergeCell ref="P78:V78"/>
    <mergeCell ref="D503:E503"/>
    <mergeCell ref="P411:V411"/>
    <mergeCell ref="P442:V442"/>
    <mergeCell ref="D455:E455"/>
    <mergeCell ref="D430:E430"/>
    <mergeCell ref="P469:V469"/>
    <mergeCell ref="A320:Z320"/>
    <mergeCell ref="A347:Z347"/>
    <mergeCell ref="P422:V422"/>
    <mergeCell ref="A412:Z412"/>
    <mergeCell ref="P432:V432"/>
    <mergeCell ref="AD17:AF18"/>
    <mergeCell ref="P142:V142"/>
    <mergeCell ref="A132:Z132"/>
    <mergeCell ref="A399:Z399"/>
    <mergeCell ref="P378:V378"/>
    <mergeCell ref="D76:E76"/>
    <mergeCell ref="F5:G5"/>
    <mergeCell ref="P55:V55"/>
    <mergeCell ref="P365:V365"/>
    <mergeCell ref="P119:V119"/>
    <mergeCell ref="D175:E175"/>
    <mergeCell ref="P82:T82"/>
    <mergeCell ref="D221:E221"/>
    <mergeCell ref="V11:W11"/>
    <mergeCell ref="P367:T367"/>
    <mergeCell ref="A136:O137"/>
    <mergeCell ref="D29:E29"/>
    <mergeCell ref="D23:E23"/>
    <mergeCell ref="A20:Z20"/>
    <mergeCell ref="P123:T123"/>
    <mergeCell ref="P66:V66"/>
    <mergeCell ref="D218:E218"/>
    <mergeCell ref="P137:V137"/>
    <mergeCell ref="A249:Z249"/>
    <mergeCell ref="T537:T538"/>
    <mergeCell ref="P486:T486"/>
    <mergeCell ref="D475:E475"/>
    <mergeCell ref="V537:V538"/>
    <mergeCell ref="P342:T342"/>
    <mergeCell ref="D323:E323"/>
    <mergeCell ref="D152:E152"/>
    <mergeCell ref="D394:E394"/>
    <mergeCell ref="D450:E450"/>
    <mergeCell ref="A263:O264"/>
    <mergeCell ref="D521:E521"/>
    <mergeCell ref="A254:Z254"/>
    <mergeCell ref="D223:E223"/>
    <mergeCell ref="P181:T181"/>
    <mergeCell ref="P357:T357"/>
    <mergeCell ref="P344:T344"/>
    <mergeCell ref="D216:E216"/>
    <mergeCell ref="E537:E538"/>
    <mergeCell ref="P371:V371"/>
    <mergeCell ref="P431:V431"/>
    <mergeCell ref="G537:G538"/>
    <mergeCell ref="P529:V529"/>
    <mergeCell ref="A348:Z348"/>
    <mergeCell ref="P408:T408"/>
    <mergeCell ref="D478:E478"/>
    <mergeCell ref="D107:E107"/>
    <mergeCell ref="P291:T291"/>
    <mergeCell ref="D163:E163"/>
    <mergeCell ref="D405:E405"/>
    <mergeCell ref="P288:T288"/>
    <mergeCell ref="D234:E234"/>
    <mergeCell ref="A24:O25"/>
    <mergeCell ref="P65:T65"/>
    <mergeCell ref="P70:T70"/>
    <mergeCell ref="P434:T434"/>
    <mergeCell ref="P228:T228"/>
    <mergeCell ref="D342:E342"/>
    <mergeCell ref="D171:E171"/>
    <mergeCell ref="D336:E336"/>
    <mergeCell ref="P293:T293"/>
    <mergeCell ref="D407:E407"/>
    <mergeCell ref="P383:T383"/>
    <mergeCell ref="A202:O203"/>
    <mergeCell ref="P60:T60"/>
    <mergeCell ref="D291:E291"/>
    <mergeCell ref="P397:V397"/>
    <mergeCell ref="D266:E266"/>
    <mergeCell ref="P174:T174"/>
    <mergeCell ref="Q6:R6"/>
    <mergeCell ref="P200:T200"/>
    <mergeCell ref="P513:V513"/>
    <mergeCell ref="P134:T134"/>
    <mergeCell ref="P292:T292"/>
    <mergeCell ref="A189:O190"/>
    <mergeCell ref="D102:E102"/>
    <mergeCell ref="P208:V208"/>
    <mergeCell ref="A204:Z204"/>
    <mergeCell ref="A55:O56"/>
    <mergeCell ref="A126:O127"/>
    <mergeCell ref="A35:Z35"/>
    <mergeCell ref="P308:V308"/>
    <mergeCell ref="D54:E54"/>
    <mergeCell ref="P185:V185"/>
    <mergeCell ref="P160:V160"/>
    <mergeCell ref="P283:V283"/>
    <mergeCell ref="D271:E271"/>
    <mergeCell ref="V12:W12"/>
    <mergeCell ref="D262:E262"/>
    <mergeCell ref="A506:Z506"/>
    <mergeCell ref="P368:T368"/>
    <mergeCell ref="A39:Z39"/>
    <mergeCell ref="A310:Z310"/>
    <mergeCell ref="P447:T447"/>
    <mergeCell ref="P372:V372"/>
    <mergeCell ref="D331:E331"/>
    <mergeCell ref="A73:O74"/>
    <mergeCell ref="Y17:Y18"/>
    <mergeCell ref="P124:T124"/>
    <mergeCell ref="U17:V17"/>
    <mergeCell ref="A8:C8"/>
    <mergeCell ref="D293:E293"/>
    <mergeCell ref="P360:T360"/>
    <mergeCell ref="D32:E32"/>
    <mergeCell ref="D268:E268"/>
    <mergeCell ref="P151:T151"/>
    <mergeCell ref="P313:T313"/>
    <mergeCell ref="D123:E123"/>
    <mergeCell ref="P307:T307"/>
    <mergeCell ref="X17:X18"/>
    <mergeCell ref="D250:E250"/>
    <mergeCell ref="D44:E44"/>
    <mergeCell ref="D408:E408"/>
    <mergeCell ref="P415:T415"/>
    <mergeCell ref="A233:Z233"/>
    <mergeCell ref="M17:M18"/>
    <mergeCell ref="O17:O18"/>
    <mergeCell ref="U537:U538"/>
    <mergeCell ref="D395:E395"/>
    <mergeCell ref="P449:T449"/>
    <mergeCell ref="M537:M538"/>
    <mergeCell ref="A128:Z128"/>
    <mergeCell ref="D97:E97"/>
    <mergeCell ref="O537:O538"/>
    <mergeCell ref="A10:C10"/>
    <mergeCell ref="A484:Z484"/>
    <mergeCell ref="P218:T218"/>
    <mergeCell ref="A21:Z21"/>
    <mergeCell ref="A428:Z428"/>
    <mergeCell ref="A57:Z57"/>
    <mergeCell ref="P425:V425"/>
    <mergeCell ref="D192:E192"/>
    <mergeCell ref="P527:V527"/>
    <mergeCell ref="P507:T507"/>
    <mergeCell ref="A468:O469"/>
    <mergeCell ref="P363:T363"/>
    <mergeCell ref="D344:E344"/>
    <mergeCell ref="D173:E173"/>
    <mergeCell ref="D42:E42"/>
    <mergeCell ref="D17:E18"/>
    <mergeCell ref="P71:T7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52"/>
    </row>
    <row r="3" spans="2:8" x14ac:dyDescent="0.2">
      <c r="B3" s="47" t="s">
        <v>823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824</v>
      </c>
      <c r="C6" s="47" t="s">
        <v>825</v>
      </c>
      <c r="D6" s="47" t="s">
        <v>826</v>
      </c>
      <c r="E6" s="47"/>
    </row>
    <row r="7" spans="2:8" x14ac:dyDescent="0.2">
      <c r="B7" s="47" t="s">
        <v>827</v>
      </c>
      <c r="C7" s="47" t="s">
        <v>828</v>
      </c>
      <c r="D7" s="47" t="s">
        <v>829</v>
      </c>
      <c r="E7" s="47"/>
    </row>
    <row r="8" spans="2:8" x14ac:dyDescent="0.2">
      <c r="B8" s="47" t="s">
        <v>830</v>
      </c>
      <c r="C8" s="47" t="s">
        <v>831</v>
      </c>
      <c r="D8" s="47" t="s">
        <v>832</v>
      </c>
      <c r="E8" s="47"/>
    </row>
    <row r="9" spans="2:8" x14ac:dyDescent="0.2">
      <c r="B9" s="47" t="s">
        <v>833</v>
      </c>
      <c r="C9" s="47" t="s">
        <v>834</v>
      </c>
      <c r="D9" s="47" t="s">
        <v>835</v>
      </c>
      <c r="E9" s="47"/>
    </row>
    <row r="10" spans="2:8" x14ac:dyDescent="0.2">
      <c r="B10" s="47" t="s">
        <v>836</v>
      </c>
      <c r="C10" s="47" t="s">
        <v>837</v>
      </c>
      <c r="D10" s="47" t="s">
        <v>838</v>
      </c>
      <c r="E10" s="47"/>
    </row>
    <row r="11" spans="2:8" x14ac:dyDescent="0.2">
      <c r="B11" s="47" t="s">
        <v>839</v>
      </c>
      <c r="C11" s="47" t="s">
        <v>840</v>
      </c>
      <c r="D11" s="47" t="s">
        <v>841</v>
      </c>
      <c r="E11" s="47"/>
    </row>
    <row r="12" spans="2:8" x14ac:dyDescent="0.2">
      <c r="B12" s="47" t="s">
        <v>842</v>
      </c>
      <c r="C12" s="47" t="s">
        <v>843</v>
      </c>
      <c r="D12" s="47" t="s">
        <v>844</v>
      </c>
      <c r="E12" s="47"/>
    </row>
    <row r="14" spans="2:8" x14ac:dyDescent="0.2">
      <c r="B14" s="47" t="s">
        <v>845</v>
      </c>
      <c r="C14" s="47" t="s">
        <v>825</v>
      </c>
      <c r="D14" s="47"/>
      <c r="E14" s="47"/>
    </row>
    <row r="16" spans="2:8" x14ac:dyDescent="0.2">
      <c r="B16" s="47" t="s">
        <v>846</v>
      </c>
      <c r="C16" s="47" t="s">
        <v>828</v>
      </c>
      <c r="D16" s="47"/>
      <c r="E16" s="47"/>
    </row>
    <row r="18" spans="2:5" x14ac:dyDescent="0.2">
      <c r="B18" s="47" t="s">
        <v>847</v>
      </c>
      <c r="C18" s="47" t="s">
        <v>831</v>
      </c>
      <c r="D18" s="47"/>
      <c r="E18" s="47"/>
    </row>
    <row r="20" spans="2:5" x14ac:dyDescent="0.2">
      <c r="B20" s="47" t="s">
        <v>848</v>
      </c>
      <c r="C20" s="47" t="s">
        <v>834</v>
      </c>
      <c r="D20" s="47"/>
      <c r="E20" s="47"/>
    </row>
    <row r="22" spans="2:5" x14ac:dyDescent="0.2">
      <c r="B22" s="47" t="s">
        <v>849</v>
      </c>
      <c r="C22" s="47" t="s">
        <v>837</v>
      </c>
      <c r="D22" s="47"/>
      <c r="E22" s="47"/>
    </row>
    <row r="24" spans="2:5" x14ac:dyDescent="0.2">
      <c r="B24" s="47" t="s">
        <v>850</v>
      </c>
      <c r="C24" s="47" t="s">
        <v>840</v>
      </c>
      <c r="D24" s="47"/>
      <c r="E24" s="47"/>
    </row>
    <row r="26" spans="2:5" x14ac:dyDescent="0.2">
      <c r="B26" s="47" t="s">
        <v>851</v>
      </c>
      <c r="C26" s="47" t="s">
        <v>843</v>
      </c>
      <c r="D26" s="47"/>
      <c r="E26" s="47"/>
    </row>
    <row r="28" spans="2:5" x14ac:dyDescent="0.2">
      <c r="B28" s="47" t="s">
        <v>852</v>
      </c>
      <c r="C28" s="47"/>
      <c r="D28" s="47"/>
      <c r="E28" s="47"/>
    </row>
    <row r="29" spans="2:5" x14ac:dyDescent="0.2">
      <c r="B29" s="47" t="s">
        <v>853</v>
      </c>
      <c r="C29" s="47"/>
      <c r="D29" s="47"/>
      <c r="E29" s="47"/>
    </row>
    <row r="30" spans="2:5" x14ac:dyDescent="0.2">
      <c r="B30" s="47" t="s">
        <v>854</v>
      </c>
      <c r="C30" s="47"/>
      <c r="D30" s="47"/>
      <c r="E30" s="47"/>
    </row>
    <row r="31" spans="2:5" x14ac:dyDescent="0.2">
      <c r="B31" s="47" t="s">
        <v>855</v>
      </c>
      <c r="C31" s="47"/>
      <c r="D31" s="47"/>
      <c r="E31" s="47"/>
    </row>
    <row r="32" spans="2:5" x14ac:dyDescent="0.2">
      <c r="B32" s="47" t="s">
        <v>856</v>
      </c>
      <c r="C32" s="47"/>
      <c r="D32" s="47"/>
      <c r="E32" s="47"/>
    </row>
    <row r="33" spans="2:5" x14ac:dyDescent="0.2">
      <c r="B33" s="47" t="s">
        <v>857</v>
      </c>
      <c r="C33" s="47"/>
      <c r="D33" s="47"/>
      <c r="E33" s="47"/>
    </row>
    <row r="34" spans="2:5" x14ac:dyDescent="0.2">
      <c r="B34" s="47" t="s">
        <v>858</v>
      </c>
      <c r="C34" s="47"/>
      <c r="D34" s="47"/>
      <c r="E34" s="47"/>
    </row>
    <row r="35" spans="2:5" x14ac:dyDescent="0.2">
      <c r="B35" s="47" t="s">
        <v>859</v>
      </c>
      <c r="C35" s="47"/>
      <c r="D35" s="47"/>
      <c r="E35" s="47"/>
    </row>
    <row r="36" spans="2:5" x14ac:dyDescent="0.2">
      <c r="B36" s="47" t="s">
        <v>860</v>
      </c>
      <c r="C36" s="47"/>
      <c r="D36" s="47"/>
      <c r="E36" s="47"/>
    </row>
    <row r="37" spans="2:5" x14ac:dyDescent="0.2">
      <c r="B37" s="47" t="s">
        <v>861</v>
      </c>
      <c r="C37" s="47"/>
      <c r="D37" s="47"/>
      <c r="E37" s="47"/>
    </row>
    <row r="38" spans="2:5" x14ac:dyDescent="0.2">
      <c r="B38" s="47" t="s">
        <v>862</v>
      </c>
      <c r="C38" s="47"/>
      <c r="D38" s="47"/>
      <c r="E38" s="47"/>
    </row>
  </sheetData>
  <sheetProtection algorithmName="SHA-512" hashValue="k4jFN6gXorFb9PwvsPPyw0HhFIfXN3kn/dKuFU8p/tM51r73XQ+6MFNQSZruKVo/vApNLXh6Q4l+nHo0nHNniA==" saltValue="QyqEGcDwXzg9gFmBIvtHK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2026-07-03T11:10:02Z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