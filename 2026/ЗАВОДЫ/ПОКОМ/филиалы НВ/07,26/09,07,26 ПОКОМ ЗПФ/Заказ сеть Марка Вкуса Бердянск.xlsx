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BE85FB3-10BB-4D9B-B074-286E08466C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7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32" i="1"/>
  <c r="F33" i="1"/>
  <c r="F34" i="1"/>
  <c r="F35" i="1"/>
  <c r="F2" i="1"/>
  <c r="E36" i="1"/>
</calcChain>
</file>

<file path=xl/sharedStrings.xml><?xml version="1.0" encoding="utf-8"?>
<sst xmlns="http://schemas.openxmlformats.org/spreadsheetml/2006/main" count="359" uniqueCount="212">
  <si>
    <t>Наггетсы с куриным филе и сыром ТМ Вязанка ТС Из печи Сливушки 0,25 кг.  Поком</t>
  </si>
  <si>
    <t>Хрустящие крылышки ТМ Горячая штучка 0,3 кг зам  ПОКОМ</t>
  </si>
  <si>
    <t>Круггетсы сочные ТМ Горячая штучка ТС Круггетсы флоу-пак  0,2 кг.  ПОКОМ</t>
  </si>
  <si>
    <t>Круггетсы с сырным соусом ТМ Горячая штучка ТС Круггетсы флоу-пак 0,2 кг  ПОКОМ</t>
  </si>
  <si>
    <t>Готовые чебуреки с мясом ТМ Горячая штучка 0,09 кг флоу-пак ПОКОМ</t>
  </si>
  <si>
    <t>Пельмени Бульмени со сливочным маслом ТМ Горячая штучка флоу-пак сфера 0,7 кг .  Поком</t>
  </si>
  <si>
    <t>Пельмени Бульмени с говядиной и свининой ТМ Горячая штучка БУЛЬМЕНИ  флоу-пак сфера 0,7 кг.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</si>
  <si>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</si>
  <si>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</si>
  <si>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Бигбули со сливочным маслом  ТС Бигбули ГШ#МЕГАМАСЛИЩЕ флоу-пак сфера 0,7.  Поком</t>
  </si>
  <si>
    <t>Готовые чебупели сочные с мясом ТМ Горячая штучка флоу-пак 0,24 кг  ПОКОМ</t>
  </si>
  <si>
    <t>Пельмени Бигбули #МЕГАВКУСИЩЕ с сочной грудинкой  ТМ Горячая штучка  флоу-пак сфера 0,7 кг.  Поком</t>
  </si>
  <si>
    <t xml:space="preserve">Пельмени Бульмени мини с мясом и оливковым маслом  ТС Бульмени ГШ флоу-пак сфера 0,7кг  Поком 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</si>
  <si>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</si>
  <si>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</si>
  <si>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</si>
  <si>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Мясные с говядиной ТМ Стародворье сфера флоу-пак 1 кг  ПОКОМ</t>
  </si>
  <si>
    <t>Наггетсы с индейкой 0,25кг ТМ Вязанка ТС Из печи Сливушки ПОКОМ</t>
  </si>
  <si>
    <t>Готовые чебуманы с говядиной ТМ горячая штучка 0,28 кг.  Поком</t>
  </si>
  <si>
    <t>Наггетсы Хрустящие ТМ Стародворье с сочной курочкой 0,23 кг  ПОКОМ</t>
  </si>
  <si>
    <t>Готовые чебупели острые с мясом ТМ Горячая штучка флоу-пак 0,24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</si>
  <si>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</si>
  <si>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</si>
  <si>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</si>
  <si>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</si>
  <si>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</si>
  <si>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</si>
  <si>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</si>
  <si>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</si>
  <si>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</si>
  <si>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</si>
  <si>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</si>
  <si>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</si>
  <si>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из печи 0,25кг ТМ Вязанка замор.  ПОКОМ</t>
  </si>
  <si>
    <t>SU003795</t>
  </si>
  <si>
    <t>SU003591</t>
  </si>
  <si>
    <t>SU003870</t>
  </si>
  <si>
    <t>SU003872</t>
  </si>
  <si>
    <t>SU002573</t>
  </si>
  <si>
    <t>SU003459</t>
  </si>
  <si>
    <t>SU003460</t>
  </si>
  <si>
    <t>SU003527</t>
  </si>
  <si>
    <t>SU003528</t>
  </si>
  <si>
    <t>SU003385</t>
  </si>
  <si>
    <t>SU003884</t>
  </si>
  <si>
    <t>SU003532</t>
  </si>
  <si>
    <t>SU003717</t>
  </si>
  <si>
    <t>SU003826</t>
  </si>
  <si>
    <t>SU003827</t>
  </si>
  <si>
    <t>SU003828</t>
  </si>
  <si>
    <t>SU003935</t>
  </si>
  <si>
    <t>SU003800</t>
  </si>
  <si>
    <t>SU003601</t>
  </si>
  <si>
    <t>SU003930</t>
  </si>
  <si>
    <t>SU003887</t>
  </si>
  <si>
    <t>SU003944</t>
  </si>
  <si>
    <t>SU002293</t>
  </si>
  <si>
    <t>SU003596</t>
  </si>
  <si>
    <t>SU003529</t>
  </si>
  <si>
    <t>SU003530</t>
  </si>
  <si>
    <t>SU003576</t>
  </si>
  <si>
    <t>SU003889</t>
  </si>
  <si>
    <t>SU003892</t>
  </si>
  <si>
    <t>SU003578</t>
  </si>
  <si>
    <t>SU003580</t>
  </si>
  <si>
    <t>SU003600</t>
  </si>
  <si>
    <t>SU003598</t>
  </si>
  <si>
    <t>SU003797</t>
  </si>
  <si>
    <t>Филиал пропускает заказ (мало). Следующий заказ через неделю.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</si>
  <si>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</si>
  <si>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</si>
  <si>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</si>
  <si>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</si>
  <si>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</si>
  <si>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</si>
  <si>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</si>
  <si>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</si>
  <si>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</si>
  <si>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</si>
  <si>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</si>
  <si>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</si>
  <si>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</si>
  <si>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</si>
  <si>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</si>
  <si>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</si>
  <si>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</si>
  <si>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</si>
  <si>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</si>
  <si>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</si>
  <si>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</si>
  <si>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</si>
  <si>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</si>
  <si>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</si>
  <si>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</si>
  <si>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</si>
  <si>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</si>
  <si>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</si>
  <si>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</si>
  <si>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</si>
  <si>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</si>
  <si>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</si>
  <si>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</si>
  <si>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</si>
  <si>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</si>
  <si>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</si>
  <si>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</si>
  <si>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</si>
  <si>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</si>
  <si>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</si>
  <si>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</si>
  <si>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</si>
  <si>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</si>
  <si>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</si>
  <si>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</si>
  <si>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</si>
  <si>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</si>
  <si>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</si>
  <si>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</si>
  <si>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</si>
  <si>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P004597</t>
  </si>
  <si>
    <t>P004969</t>
  </si>
  <si>
    <t>P004971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</si>
  <si>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</si>
  <si>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</si>
  <si>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</si>
  <si>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</si>
  <si>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</si>
  <si>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</si>
  <si>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</si>
  <si>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</si>
  <si>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</si>
  <si>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</si>
  <si>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</si>
  <si>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</si>
  <si>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</si>
  <si>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</si>
  <si>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P004956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</si>
  <si>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</si>
  <si>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</si>
  <si>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</si>
  <si>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</si>
  <si>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</si>
  <si>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P004602</t>
  </si>
  <si>
    <t>P004600</t>
  </si>
  <si>
    <t>Наггетсы Хрустящие ТМ Зареченские ТС Зареченские продукты. Поком</t>
  </si>
  <si>
    <t>P003486</t>
  </si>
  <si>
    <t>P005043</t>
  </si>
  <si>
    <t>P004497</t>
  </si>
  <si>
    <t>P004496</t>
  </si>
  <si>
    <t>Наггетсы с индейкой 0,25кг ТМ Вязанка ТС Няняггетсы Сливушки НД2 замор.  ПОКОМ</t>
  </si>
  <si>
    <t>P004535</t>
  </si>
  <si>
    <t>P004594</t>
  </si>
  <si>
    <t>P004887</t>
  </si>
  <si>
    <t>P004889</t>
  </si>
  <si>
    <t>P004888</t>
  </si>
  <si>
    <t>Пельмени «Медвежье ушко Премиум Мясные» 0,8 классическая форма ТМ «Медвежье ушко»</t>
  </si>
  <si>
    <t>P005158</t>
  </si>
  <si>
    <t>новинка</t>
  </si>
  <si>
    <t>P004440</t>
  </si>
  <si>
    <t>P004442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</si>
  <si>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</si>
  <si>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</si>
  <si>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</si>
  <si>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</si>
  <si>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</si>
  <si>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P004474</t>
  </si>
  <si>
    <t>P004345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</si>
  <si>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</si>
  <si>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</si>
  <si>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</si>
  <si>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</si>
  <si>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</si>
  <si>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</si>
  <si>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</si>
  <si>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</si>
  <si>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</si>
  <si>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</si>
  <si>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</si>
  <si>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</si>
  <si>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</si>
  <si>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</si>
  <si>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</si>
  <si>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</si>
  <si>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</si>
  <si>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</si>
  <si>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</si>
  <si>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</si>
  <si>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</si>
  <si>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</si>
  <si>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</si>
  <si>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</si>
  <si>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</si>
  <si>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P004588</t>
  </si>
  <si>
    <t>Хрустящие крылышки острые к пиву ТМ Горячая штучка 0,3кг зам  ПОКОМ</t>
  </si>
  <si>
    <t>P004589</t>
  </si>
  <si>
    <t>P004113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</si>
  <si>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</si>
  <si>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</si>
  <si>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</si>
  <si>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</si>
  <si>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</si>
  <si>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</si>
  <si>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</si>
  <si>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</si>
  <si>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</si>
  <si>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</si>
  <si>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</si>
  <si>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Кол-во</t>
  </si>
  <si>
    <t>Наименование</t>
  </si>
  <si>
    <t>Код</t>
  </si>
  <si>
    <t>Един</t>
  </si>
  <si>
    <t>Фасовка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</si>
</sst>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64" formatCode="#,##0.00&quot;р.&quot;;\-#,##0.00&quot;р.&quot;"/>
    <numFmt numFmtId="165" formatCode="_-* #,##0.00_р_._-;\-* #,##0.00_р_._-;_-* &quot;-&quot;??_р_._-;_-@_-"/>
    <numFmt numFmtId="166" formatCode="_(\$* #,##0_);_(\$* \(#,##0\);_(\$* \-_);_(@_)"/>
    <numFmt numFmtId="167" formatCode="_(\$* #,##0.00_);_(\$* \(#,##0.00\);_(\$* \-??_);_(@_)"/>
    <numFmt numFmtId="168" formatCode="_(* #,##0_);_(* \(#,##0\);_(* \-??_);_(@_)"/>
    <numFmt numFmtId="169" formatCode="#,##0;[Red]#,##0"/>
    <numFmt numFmtId="170" formatCode="\\#,##0;[Red]&quot;-\&quot;#,##0"/>
    <numFmt numFmtId="171" formatCode="\?#,##0_);&quot;(?&quot;#,##0\)"/>
    <numFmt numFmtId="172" formatCode="_-* #,##0\ _F_B_-;\-* #,##0\ _F_B_-;_-* &quot;- &quot;_F_B_-;_-@_-"/>
    <numFmt numFmtId="173" formatCode="_-* #,##0.00_-;\-* #,##0.00_-;_-* \-??_-;_-@_-"/>
    <numFmt numFmtId="174" formatCode="_-* #,##0&quot; FB&quot;_-;\-* #,##0&quot; FB&quot;_-;_-* &quot;- FB&quot;_-;_-@_-"/>
    <numFmt numFmtId="175" formatCode="_(* #,##0.00_);[Red]_(* \(#,##0.00\);_(* \-??_);_(@_)"/>
    <numFmt numFmtId="176" formatCode="\$#,##0\ ;&quot;($&quot;#,##0\)"/>
    <numFmt numFmtId="177" formatCode="_-* #,##0.00&quot; FB&quot;_-;\-* #,##0.00&quot; FB&quot;_-;_-* \-??&quot; FB&quot;_-;_-@_-"/>
    <numFmt numFmtId="178" formatCode="0.0\x"/>
    <numFmt numFmtId="179" formatCode="_-* #,##0.00\ _F_B_-;\-* #,##0.00\ _F_B_-;_-* \-??\ _F_B_-;_-@_-"/>
    <numFmt numFmtId="180" formatCode="d\ mmm&quot;, &quot;yy"/>
    <numFmt numFmtId="181" formatCode="_-* #,##0_-;_-* #,##0\-;_-* \-_-;_-@_-"/>
    <numFmt numFmtId="182" formatCode="_-* #,##0.00_-;_-* #,##0.00\-;_-* \-??_-;_-@_-"/>
    <numFmt numFmtId="183" formatCode="_-* #,##0\ _$_-;\-* #,##0\ _$_-;_-* &quot;- &quot;_$_-;_-@_-"/>
    <numFmt numFmtId="184" formatCode="_-* #,##0.00\ _$_-;\-* #,##0.00\ _$_-;_-* \-??\ _$_-;_-@_-"/>
    <numFmt numFmtId="185" formatCode="_-* #,##0&quot; $&quot;_-;\-* #,##0&quot; $&quot;_-;_-* &quot;- $&quot;_-;_-@_-"/>
    <numFmt numFmtId="186" formatCode="_-* #,##0.00&quot; $&quot;_-;\-* #,##0.00&quot; $&quot;_-;_-* \-??&quot; $&quot;_-;_-@_-"/>
    <numFmt numFmtId="187" formatCode="_(* #,##0.000_);[Red]_(* \(#,##0.000\);_(* \-??_);_(@_)"/>
    <numFmt numFmtId="188" formatCode="\$#,##0.0_);&quot;($&quot;#,##0.0\)"/>
    <numFmt numFmtId="189" formatCode="0.00\x"/>
    <numFmt numFmtId="190" formatCode="0.0000"/>
    <numFmt numFmtId="191" formatCode="0.0%"/>
    <numFmt numFmtId="192" formatCode="_-&quot;F &quot;* #,##0_-;_-&quot;F &quot;* #,##0\-;_-&quot;F &quot;* \-_-;_-@_-"/>
    <numFmt numFmtId="193" formatCode="_-&quot;F &quot;* #,##0.00_-;_-&quot;F &quot;* #,##0.00\-;_-&quot;F &quot;* \-??_-;_-@_-"/>
    <numFmt numFmtId="194" formatCode="_-* #,##0\ _F_-;\-* #,##0\ _F_-;_-* &quot;- &quot;_F_-;_-@_-"/>
    <numFmt numFmtId="195" formatCode="_-* #,##0.00\ _F_-;\-* #,##0.00\ _F_-;_-* \-??\ _F_-;_-@_-"/>
    <numFmt numFmtId="196" formatCode="0_ ;[Red]\-0\ "/>
    <numFmt numFmtId="197" formatCode="0.0"/>
  </numFmts>
  <fonts count="8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20"/>
      <name val="Arial"/>
      <family val="2"/>
      <charset val="204"/>
    </font>
    <font>
      <b/>
      <sz val="16"/>
      <color indexed="9"/>
      <name val="Arial"/>
      <family val="2"/>
      <charset val="204"/>
    </font>
    <font>
      <b/>
      <sz val="14"/>
      <name val="Arial"/>
      <family val="2"/>
      <charset val="204"/>
    </font>
    <font>
      <b/>
      <i/>
      <sz val="2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177"/>
    </font>
    <font>
      <sz val="12"/>
      <name val="Arial"/>
      <family val="2"/>
      <charset val="204"/>
    </font>
    <font>
      <sz val="10"/>
      <name val="Courier New"/>
      <family val="3"/>
      <charset val="204"/>
    </font>
    <font>
      <b/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±???A?"/>
      <charset val="129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u val="double"/>
      <sz val="10"/>
      <name val="Arial"/>
      <family val="2"/>
      <charset val="204"/>
    </font>
    <font>
      <sz val="7"/>
      <name val="Palatino"/>
      <family val="1"/>
      <charset val="204"/>
    </font>
    <font>
      <sz val="10"/>
      <color indexed="17"/>
      <name val="Times New Roman"/>
      <family val="1"/>
      <charset val="204"/>
    </font>
    <font>
      <sz val="6"/>
      <color indexed="16"/>
      <name val="Palatino"/>
      <family val="1"/>
      <charset val="204"/>
    </font>
    <font>
      <b/>
      <sz val="8"/>
      <name val="Palatino"/>
      <family val="1"/>
      <charset val="204"/>
    </font>
    <font>
      <sz val="12"/>
      <name val="Arial Black"/>
      <family val="2"/>
      <charset val="204"/>
    </font>
    <font>
      <sz val="11"/>
      <name val="Arial Black"/>
      <family val="2"/>
      <charset val="204"/>
    </font>
    <font>
      <i/>
      <sz val="14"/>
      <name val="Palatino"/>
      <family val="1"/>
      <charset val="204"/>
    </font>
    <font>
      <b/>
      <sz val="8"/>
      <name val="Palatino"/>
      <family val="1"/>
      <charset val="177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  <charset val="204"/>
    </font>
    <font>
      <sz val="7"/>
      <name val="Small Fonts"/>
      <family val="2"/>
      <charset val="204"/>
    </font>
    <font>
      <sz val="10"/>
      <name val="Book Antiqua"/>
      <family val="1"/>
      <charset val="204"/>
    </font>
    <font>
      <sz val="8"/>
      <name val="Tahoma"/>
      <family val="2"/>
      <charset val="204"/>
    </font>
    <font>
      <sz val="10"/>
      <name val="Palatino"/>
      <family val="1"/>
      <charset val="204"/>
    </font>
    <font>
      <sz val="10"/>
      <name val="Times New Roman CE"/>
      <family val="1"/>
      <charset val="238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10"/>
      <color indexed="13"/>
      <name val="Arial"/>
      <family val="2"/>
      <charset val="204"/>
    </font>
    <font>
      <sz val="10"/>
      <color indexed="16"/>
      <name val="Helvetica-Black"/>
      <charset val="204"/>
    </font>
    <font>
      <sz val="10"/>
      <color indexed="10"/>
      <name val="Times New Roman"/>
      <family val="1"/>
      <charset val="204"/>
    </font>
    <font>
      <sz val="9.5"/>
      <color indexed="23"/>
      <name val="Helvetica-Black"/>
      <charset val="204"/>
    </font>
    <font>
      <u/>
      <sz val="10"/>
      <name val="Arial"/>
      <family val="2"/>
      <charset val="204"/>
    </font>
    <font>
      <sz val="10"/>
      <name val="ZapfCalligr BT"/>
      <charset val="204"/>
    </font>
    <font>
      <b/>
      <sz val="18"/>
      <name val="Times New Roman"/>
      <family val="1"/>
      <charset val="204"/>
    </font>
    <font>
      <b/>
      <sz val="9"/>
      <name val="Palatino"/>
      <family val="1"/>
      <charset val="204"/>
    </font>
    <font>
      <sz val="9"/>
      <color indexed="21"/>
      <name val="Helvetica-Black"/>
      <charset val="204"/>
    </font>
    <font>
      <b/>
      <sz val="10"/>
      <name val="Palatino"/>
      <family val="1"/>
      <charset val="204"/>
    </font>
    <font>
      <sz val="9"/>
      <name val="Helvetica-Black"/>
      <charset val="204"/>
    </font>
    <font>
      <b/>
      <sz val="10"/>
      <name val="Times New Roman"/>
      <family val="1"/>
      <charset val="204"/>
    </font>
    <font>
      <sz val="12"/>
      <color indexed="8"/>
      <name val="Palatino"/>
      <family val="1"/>
      <charset val="204"/>
    </font>
    <font>
      <sz val="11"/>
      <color indexed="8"/>
      <name val="Helvetica-Black"/>
      <charset val="204"/>
    </font>
    <font>
      <u/>
      <sz val="8"/>
      <color indexed="8"/>
      <name val="Arial"/>
      <family val="2"/>
      <charset val="204"/>
    </font>
    <font>
      <b/>
      <i/>
      <sz val="8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8"/>
      <name val="Arial Cyr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8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0"/>
      <color indexed="9"/>
      <name val="Arial Cyr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Arial CYR"/>
      <family val="2"/>
      <charset val="204"/>
    </font>
    <font>
      <sz val="14"/>
      <name val="Arial Cyr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11"/>
        <bgColor indexed="49"/>
      </patternFill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4"/>
        <bgColor indexed="33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7"/>
        <bgColor indexed="21"/>
      </patternFill>
    </fill>
    <fill>
      <patternFill patternType="solid">
        <fgColor indexed="16"/>
        <bgColor indexed="37"/>
      </patternFill>
    </fill>
    <fill>
      <patternFill patternType="solid">
        <fgColor indexed="8"/>
        <bgColor indexed="58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2">
    <xf numFmtId="0" fontId="0" fillId="0" borderId="0"/>
    <xf numFmtId="0" fontId="2" fillId="0" borderId="0"/>
    <xf numFmtId="0" fontId="16" fillId="0" borderId="0" applyFill="0" applyBorder="0" applyAlignment="0"/>
    <xf numFmtId="166" fontId="16" fillId="0" borderId="0" applyFill="0" applyBorder="0" applyAlignment="0" applyProtection="0"/>
    <xf numFmtId="167" fontId="16" fillId="0" borderId="0" applyFill="0" applyBorder="0" applyAlignment="0" applyProtection="0"/>
    <xf numFmtId="0" fontId="3" fillId="0" borderId="0"/>
    <xf numFmtId="0" fontId="4" fillId="0" borderId="0" applyNumberFormat="0" applyFill="0" applyBorder="0" applyAlignment="0"/>
    <xf numFmtId="0" fontId="5" fillId="0" borderId="0" applyNumberFormat="0" applyFill="0" applyBorder="0" applyAlignment="0"/>
    <xf numFmtId="0" fontId="6" fillId="0" borderId="0" applyNumberFormat="0" applyFill="0" applyBorder="0" applyAlignment="0"/>
    <xf numFmtId="0" fontId="7" fillId="0" borderId="0" applyNumberFormat="0" applyFill="0" applyBorder="0" applyAlignment="0"/>
    <xf numFmtId="0" fontId="8" fillId="0" borderId="0" applyNumberFormat="0" applyFill="0" applyBorder="0" applyAlignment="0"/>
    <xf numFmtId="0" fontId="9" fillId="0" borderId="0" applyNumberFormat="0" applyFill="0" applyBorder="0" applyAlignment="0"/>
    <xf numFmtId="0" fontId="10" fillId="0" borderId="0" applyNumberFormat="0" applyFill="0" applyBorder="0" applyAlignment="0"/>
    <xf numFmtId="0" fontId="11" fillId="0" borderId="0" applyNumberFormat="0" applyFill="0" applyBorder="0" applyAlignment="0"/>
    <xf numFmtId="0" fontId="11" fillId="0" borderId="0" applyNumberFormat="0" applyFill="0" applyBorder="0" applyAlignment="0"/>
    <xf numFmtId="0" fontId="12" fillId="0" borderId="0" applyNumberFormat="0" applyFill="0" applyBorder="0" applyAlignment="0"/>
    <xf numFmtId="0" fontId="11" fillId="0" borderId="0" applyNumberFormat="0" applyFill="0" applyBorder="0" applyAlignment="0"/>
    <xf numFmtId="0" fontId="15" fillId="0" borderId="0">
      <alignment horizontal="right"/>
    </xf>
    <xf numFmtId="166" fontId="16" fillId="0" borderId="0" applyFill="0" applyBorder="0" applyAlignment="0" applyProtection="0"/>
    <xf numFmtId="167" fontId="16" fillId="0" borderId="0" applyFill="0" applyBorder="0" applyAlignment="0" applyProtection="0"/>
    <xf numFmtId="168" fontId="16" fillId="0" borderId="0" applyFill="0" applyBorder="0" applyProtection="0"/>
    <xf numFmtId="169" fontId="16" fillId="0" borderId="0" applyFill="0" applyBorder="0" applyAlignment="0" applyProtection="0"/>
    <xf numFmtId="170" fontId="16" fillId="0" borderId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3" borderId="0"/>
    <xf numFmtId="0" fontId="19" fillId="3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1" fontId="16" fillId="0" borderId="0" applyFill="0" applyBorder="0" applyAlignment="0" applyProtection="0"/>
    <xf numFmtId="0" fontId="23" fillId="0" borderId="0"/>
    <xf numFmtId="0" fontId="16" fillId="4" borderId="0" applyNumberFormat="0" applyBorder="0" applyAlignment="0"/>
    <xf numFmtId="0" fontId="16" fillId="0" borderId="1" applyNumberFormat="0" applyFill="0" applyProtection="0">
      <alignment horizontal="center" vertical="center"/>
    </xf>
    <xf numFmtId="0" fontId="16" fillId="5" borderId="0" applyNumberFormat="0" applyBorder="0" applyAlignment="0" applyProtection="0"/>
    <xf numFmtId="0" fontId="24" fillId="0" borderId="0" applyNumberFormat="0" applyFill="0" applyBorder="0" applyProtection="0">
      <alignment horizontal="center" vertical="center"/>
    </xf>
    <xf numFmtId="172" fontId="16" fillId="0" borderId="0" applyFill="0" applyBorder="0" applyAlignment="0" applyProtection="0"/>
    <xf numFmtId="0" fontId="16" fillId="0" borderId="0" applyFill="0" applyBorder="0" applyAlignment="0" applyProtection="0"/>
    <xf numFmtId="0" fontId="16" fillId="0" borderId="0" applyFill="0" applyBorder="0" applyAlignment="0" applyProtection="0"/>
    <xf numFmtId="0" fontId="16" fillId="0" borderId="0" applyFill="0" applyBorder="0" applyAlignment="0" applyProtection="0"/>
    <xf numFmtId="0" fontId="16" fillId="0" borderId="0" applyFill="0" applyBorder="0" applyAlignment="0" applyProtection="0"/>
    <xf numFmtId="173" fontId="16" fillId="0" borderId="0" applyFill="0" applyBorder="0" applyAlignment="0" applyProtection="0"/>
    <xf numFmtId="3" fontId="16" fillId="0" borderId="0" applyFill="0" applyBorder="0" applyAlignment="0" applyProtection="0"/>
    <xf numFmtId="174" fontId="16" fillId="0" borderId="0" applyFill="0" applyBorder="0" applyAlignment="0" applyProtection="0"/>
    <xf numFmtId="175" fontId="16" fillId="0" borderId="0" applyFill="0" applyBorder="0" applyAlignment="0" applyProtection="0"/>
    <xf numFmtId="0" fontId="16" fillId="0" borderId="0" applyFill="0" applyBorder="0" applyAlignment="0" applyProtection="0"/>
    <xf numFmtId="0" fontId="16" fillId="0" borderId="0" applyFill="0" applyBorder="0" applyAlignment="0" applyProtection="0"/>
    <xf numFmtId="177" fontId="16" fillId="0" borderId="0" applyFill="0" applyBorder="0" applyAlignment="0" applyProtection="0"/>
    <xf numFmtId="176" fontId="16" fillId="0" borderId="0" applyFill="0" applyBorder="0" applyAlignment="0" applyProtection="0"/>
    <xf numFmtId="0" fontId="18" fillId="6" borderId="0"/>
    <xf numFmtId="0" fontId="19" fillId="7" borderId="0"/>
    <xf numFmtId="14" fontId="25" fillId="0" borderId="0"/>
    <xf numFmtId="0" fontId="16" fillId="0" borderId="0" applyFill="0" applyBorder="0" applyAlignment="0" applyProtection="0"/>
    <xf numFmtId="0" fontId="16" fillId="0" borderId="0" applyFill="0" applyBorder="0" applyAlignment="0" applyProtection="0"/>
    <xf numFmtId="38" fontId="16" fillId="0" borderId="0" applyFill="0" applyBorder="0" applyAlignment="0" applyProtection="0"/>
    <xf numFmtId="178" fontId="16" fillId="0" borderId="0" applyFill="0" applyBorder="0" applyAlignment="0" applyProtection="0"/>
    <xf numFmtId="0" fontId="16" fillId="0" borderId="2" applyNumberFormat="0" applyFill="0" applyAlignment="0" applyProtection="0"/>
    <xf numFmtId="0" fontId="26" fillId="0" borderId="0" applyFill="0" applyBorder="0" applyAlignment="0" applyProtection="0"/>
    <xf numFmtId="0" fontId="16" fillId="0" borderId="0" applyFill="0" applyBorder="0" applyAlignment="0" applyProtection="0"/>
    <xf numFmtId="172" fontId="16" fillId="0" borderId="0" applyFill="0" applyBorder="0" applyAlignment="0" applyProtection="0"/>
    <xf numFmtId="179" fontId="16" fillId="0" borderId="0" applyFill="0" applyBorder="0" applyAlignment="0" applyProtection="0"/>
    <xf numFmtId="2" fontId="16" fillId="0" borderId="0" applyFill="0" applyBorder="0" applyAlignment="0" applyProtection="0"/>
    <xf numFmtId="180" fontId="3" fillId="0" borderId="0">
      <alignment vertical="center"/>
    </xf>
    <xf numFmtId="0" fontId="27" fillId="0" borderId="0" applyFill="0" applyBorder="0" applyProtection="0">
      <alignment horizontal="left"/>
    </xf>
    <xf numFmtId="0" fontId="28" fillId="0" borderId="0" applyNumberFormat="0" applyFill="0" applyBorder="0" applyAlignment="0" applyProtection="0"/>
    <xf numFmtId="0" fontId="16" fillId="0" borderId="0" applyFill="0" applyBorder="0" applyAlignment="0" applyProtection="0"/>
    <xf numFmtId="0" fontId="29" fillId="0" borderId="0" applyProtection="0">
      <alignment horizontal="right"/>
    </xf>
    <xf numFmtId="0" fontId="5" fillId="0" borderId="3" applyNumberFormat="0" applyAlignment="0" applyProtection="0"/>
    <xf numFmtId="0" fontId="5" fillId="0" borderId="4">
      <alignment horizontal="left" vertical="center"/>
    </xf>
    <xf numFmtId="0" fontId="30" fillId="0" borderId="0">
      <alignment horizontal="center"/>
    </xf>
    <xf numFmtId="38" fontId="31" fillId="0" borderId="0"/>
    <xf numFmtId="38" fontId="32" fillId="0" borderId="0">
      <alignment horizontal="left"/>
    </xf>
    <xf numFmtId="0" fontId="33" fillId="0" borderId="0" applyProtection="0">
      <alignment horizontal="left"/>
    </xf>
    <xf numFmtId="0" fontId="34" fillId="0" borderId="0">
      <alignment horizontal="center"/>
    </xf>
    <xf numFmtId="0" fontId="35" fillId="0" borderId="0" applyNumberFormat="0" applyFill="0" applyBorder="0" applyAlignment="0" applyProtection="0"/>
    <xf numFmtId="0" fontId="36" fillId="8" borderId="0" applyNumberFormat="0" applyBorder="0" applyAlignment="0" applyProtection="0"/>
    <xf numFmtId="0" fontId="3" fillId="0" borderId="0"/>
    <xf numFmtId="0" fontId="16" fillId="9" borderId="0" applyNumberFormat="0" applyBorder="0" applyAlignment="0"/>
    <xf numFmtId="181" fontId="16" fillId="0" borderId="0" applyFill="0" applyBorder="0" applyAlignment="0" applyProtection="0"/>
    <xf numFmtId="182" fontId="16" fillId="0" borderId="0" applyFill="0" applyBorder="0" applyAlignment="0" applyProtection="0"/>
    <xf numFmtId="183" fontId="16" fillId="0" borderId="0" applyFill="0" applyBorder="0" applyAlignment="0" applyProtection="0"/>
    <xf numFmtId="184" fontId="16" fillId="0" borderId="0" applyFill="0" applyBorder="0" applyAlignment="0" applyProtection="0"/>
    <xf numFmtId="185" fontId="16" fillId="0" borderId="0" applyFill="0" applyBorder="0" applyAlignment="0" applyProtection="0"/>
    <xf numFmtId="186" fontId="16" fillId="0" borderId="0" applyFill="0" applyBorder="0" applyAlignment="0" applyProtection="0"/>
    <xf numFmtId="187" fontId="16" fillId="0" borderId="0" applyFill="0" applyBorder="0" applyAlignment="0" applyProtection="0"/>
    <xf numFmtId="188" fontId="16" fillId="0" borderId="0" applyFill="0" applyBorder="0" applyAlignment="0" applyProtection="0"/>
    <xf numFmtId="189" fontId="16" fillId="0" borderId="0" applyFill="0" applyBorder="0" applyAlignment="0" applyProtection="0"/>
    <xf numFmtId="178" fontId="16" fillId="0" borderId="0" applyFill="0" applyBorder="0" applyAlignment="0" applyProtection="0"/>
    <xf numFmtId="37" fontId="37" fillId="0" borderId="0"/>
    <xf numFmtId="0" fontId="41" fillId="0" borderId="0"/>
    <xf numFmtId="0" fontId="83" fillId="0" borderId="0"/>
    <xf numFmtId="190" fontId="38" fillId="0" borderId="0"/>
    <xf numFmtId="37" fontId="39" fillId="8" borderId="0" applyBorder="0">
      <alignment horizontal="left" vertical="center"/>
    </xf>
    <xf numFmtId="0" fontId="2" fillId="0" borderId="0"/>
    <xf numFmtId="0" fontId="40" fillId="0" borderId="0"/>
    <xf numFmtId="40" fontId="42" fillId="8" borderId="0">
      <alignment horizontal="right"/>
    </xf>
    <xf numFmtId="0" fontId="43" fillId="9" borderId="0">
      <alignment horizontal="center"/>
    </xf>
    <xf numFmtId="0" fontId="44" fillId="10" borderId="0"/>
    <xf numFmtId="0" fontId="45" fillId="8" borderId="0" applyBorder="0">
      <alignment horizontal="center"/>
    </xf>
    <xf numFmtId="0" fontId="46" fillId="10" borderId="0" applyBorder="0">
      <alignment horizontal="center"/>
    </xf>
    <xf numFmtId="0" fontId="5" fillId="0" borderId="0" applyNumberFormat="0" applyFill="0" applyBorder="0" applyAlignment="0" applyProtection="0"/>
    <xf numFmtId="174" fontId="16" fillId="0" borderId="0" applyFill="0" applyBorder="0" applyAlignment="0" applyProtection="0"/>
    <xf numFmtId="177" fontId="16" fillId="0" borderId="0" applyFill="0" applyBorder="0" applyAlignment="0" applyProtection="0"/>
    <xf numFmtId="1" fontId="47" fillId="0" borderId="0" applyProtection="0">
      <alignment horizontal="right" vertical="center"/>
    </xf>
    <xf numFmtId="9" fontId="16" fillId="0" borderId="0" applyFill="0" applyBorder="0" applyAlignment="0" applyProtection="0"/>
    <xf numFmtId="191" fontId="16" fillId="0" borderId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5">
      <alignment vertical="center"/>
    </xf>
    <xf numFmtId="4" fontId="15" fillId="2" borderId="6" applyNumberFormat="0" applyProtection="0">
      <alignment horizontal="left" vertical="center"/>
    </xf>
    <xf numFmtId="0" fontId="25" fillId="0" borderId="7"/>
    <xf numFmtId="0" fontId="50" fillId="0" borderId="0" applyFill="0" applyBorder="0" applyAlignment="0" applyProtection="0"/>
    <xf numFmtId="0" fontId="15" fillId="0" borderId="0" applyNumberFormat="0" applyFill="0" applyBorder="0" applyAlignment="0" applyProtection="0"/>
    <xf numFmtId="0" fontId="51" fillId="0" borderId="0"/>
    <xf numFmtId="0" fontId="52" fillId="0" borderId="0"/>
    <xf numFmtId="0" fontId="53" fillId="0" borderId="0" applyBorder="0" applyProtection="0">
      <alignment vertical="center"/>
    </xf>
    <xf numFmtId="0" fontId="53" fillId="0" borderId="0" applyBorder="0" applyProtection="0">
      <alignment horizontal="right" vertical="center"/>
    </xf>
    <xf numFmtId="0" fontId="54" fillId="11" borderId="0" applyBorder="0" applyProtection="0">
      <alignment horizontal="center" vertical="center"/>
    </xf>
    <xf numFmtId="0" fontId="54" fillId="12" borderId="0" applyBorder="0" applyProtection="0">
      <alignment horizontal="center" vertical="center"/>
    </xf>
    <xf numFmtId="0" fontId="55" fillId="0" borderId="0"/>
    <xf numFmtId="0" fontId="40" fillId="0" borderId="0"/>
    <xf numFmtId="0" fontId="56" fillId="0" borderId="0" applyFill="0" applyBorder="0" applyProtection="0">
      <alignment horizontal="left"/>
    </xf>
    <xf numFmtId="0" fontId="27" fillId="0" borderId="0" applyFill="0" applyBorder="0" applyProtection="0">
      <alignment horizontal="left" vertical="top"/>
    </xf>
    <xf numFmtId="0" fontId="57" fillId="0" borderId="0">
      <alignment horizontal="center"/>
    </xf>
    <xf numFmtId="0" fontId="58" fillId="0" borderId="0"/>
    <xf numFmtId="0" fontId="59" fillId="0" borderId="0"/>
    <xf numFmtId="0" fontId="2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/>
    <xf numFmtId="0" fontId="16" fillId="0" borderId="8" applyNumberFormat="0" applyFill="0" applyAlignment="0" applyProtection="0"/>
    <xf numFmtId="0" fontId="60" fillId="0" borderId="0">
      <alignment horizontal="fill"/>
    </xf>
    <xf numFmtId="192" fontId="16" fillId="0" borderId="0" applyFill="0" applyBorder="0" applyAlignment="0" applyProtection="0"/>
    <xf numFmtId="193" fontId="16" fillId="0" borderId="0" applyFill="0" applyBorder="0" applyAlignment="0" applyProtection="0"/>
    <xf numFmtId="0" fontId="61" fillId="0" borderId="0" applyBorder="0" applyProtection="0">
      <alignment horizontal="right"/>
    </xf>
    <xf numFmtId="171" fontId="16" fillId="0" borderId="0" applyFill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62" fillId="19" borderId="9" applyNumberFormat="0" applyAlignment="0" applyProtection="0"/>
    <xf numFmtId="3" fontId="63" fillId="0" borderId="0">
      <alignment horizontal="center" vertical="center" textRotation="90" wrapText="1"/>
    </xf>
    <xf numFmtId="0" fontId="64" fillId="20" borderId="10" applyNumberFormat="0" applyAlignment="0" applyProtection="0"/>
    <xf numFmtId="0" fontId="65" fillId="20" borderId="9" applyNumberFormat="0" applyAlignment="0" applyProtection="0"/>
    <xf numFmtId="14" fontId="66" fillId="0" borderId="0"/>
    <xf numFmtId="0" fontId="67" fillId="0" borderId="11" applyNumberFormat="0" applyFill="0" applyAlignment="0" applyProtection="0"/>
    <xf numFmtId="0" fontId="68" fillId="0" borderId="12" applyNumberFormat="0" applyFill="0" applyAlignment="0" applyProtection="0"/>
    <xf numFmtId="0" fontId="69" fillId="0" borderId="13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14" applyNumberFormat="0" applyFill="0" applyAlignment="0" applyProtection="0"/>
    <xf numFmtId="0" fontId="71" fillId="21" borderId="15" applyNumberFormat="0" applyAlignment="0" applyProtection="0"/>
    <xf numFmtId="0" fontId="72" fillId="0" borderId="0" applyNumberFormat="0" applyFill="0" applyBorder="0" applyAlignment="0" applyProtection="0"/>
    <xf numFmtId="164" fontId="73" fillId="0" borderId="0"/>
    <xf numFmtId="0" fontId="74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5" fillId="22" borderId="0" applyNumberFormat="0" applyBorder="0" applyAlignment="0" applyProtection="0"/>
    <xf numFmtId="0" fontId="76" fillId="0" borderId="0" applyNumberFormat="0" applyFill="0" applyBorder="0" applyAlignment="0" applyProtection="0"/>
    <xf numFmtId="0" fontId="16" fillId="6" borderId="16" applyNumberFormat="0" applyAlignment="0" applyProtection="0"/>
    <xf numFmtId="9" fontId="3" fillId="0" borderId="0" applyFill="0" applyBorder="0" applyAlignment="0" applyProtection="0"/>
    <xf numFmtId="9" fontId="2" fillId="0" borderId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0" fontId="77" fillId="0" borderId="17" applyNumberFormat="0" applyFill="0" applyAlignment="0" applyProtection="0"/>
    <xf numFmtId="49" fontId="78" fillId="0" borderId="0"/>
    <xf numFmtId="49" fontId="79" fillId="0" borderId="0">
      <alignment vertical="top"/>
    </xf>
    <xf numFmtId="0" fontId="80" fillId="0" borderId="0" applyNumberFormat="0" applyFill="0" applyBorder="0" applyAlignment="0" applyProtection="0"/>
    <xf numFmtId="194" fontId="16" fillId="0" borderId="0" applyFill="0" applyBorder="0" applyAlignment="0" applyProtection="0"/>
    <xf numFmtId="195" fontId="16" fillId="0" borderId="0" applyFill="0" applyBorder="0" applyAlignment="0" applyProtection="0"/>
    <xf numFmtId="165" fontId="82" fillId="0" borderId="0" applyFont="0" applyFill="0" applyBorder="0" applyAlignment="0" applyProtection="0"/>
    <xf numFmtId="0" fontId="81" fillId="23" borderId="0" applyNumberFormat="0" applyBorder="0" applyAlignment="0" applyProtection="0"/>
    <xf numFmtId="0" fontId="66" fillId="0" borderId="18" applyNumberFormat="0" applyFill="0" applyAlignment="0" applyProtection="0"/>
    <xf numFmtId="0" fontId="13" fillId="0" borderId="0"/>
    <xf numFmtId="0" fontId="3" fillId="0" borderId="0"/>
    <xf numFmtId="0" fontId="3" fillId="0" borderId="0" applyNumberFormat="0" applyFill="0" applyBorder="0" applyAlignment="0" applyProtection="0"/>
    <xf numFmtId="180" fontId="3" fillId="0" borderId="0">
      <alignment vertical="center"/>
    </xf>
    <xf numFmtId="4" fontId="15" fillId="2" borderId="6" applyNumberFormat="0" applyProtection="0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0" fontId="84" fillId="0" borderId="0"/>
    <xf numFmtId="0" fontId="3" fillId="0" borderId="0"/>
  </cellStyleXfs>
  <cellXfs count="28">
    <xf numFmtId="0" fontId="0" fillId="0" borderId="0" xfId="0"/>
    <xf numFmtId="196" fontId="85" fillId="25" borderId="0" xfId="211" applyNumberFormat="1" applyFont="1" applyFill="1"/>
    <xf numFmtId="196" fontId="3" fillId="26" borderId="0" xfId="211" applyNumberFormat="1" applyFill="1"/>
    <xf numFmtId="2" fontId="3" fillId="0" borderId="0" xfId="211" applyNumberFormat="1"/>
    <xf numFmtId="197" fontId="3" fillId="0" borderId="0" xfId="211" applyNumberFormat="1"/>
    <xf numFmtId="197" fontId="3" fillId="26" borderId="0" xfId="211" applyNumberFormat="1" applyFill="1"/>
    <xf numFmtId="196" fontId="3" fillId="0" borderId="0" xfId="211" applyNumberFormat="1" applyFont="1"/>
    <xf numFmtId="196" fontId="3" fillId="0" borderId="0" xfId="211" applyNumberFormat="1"/>
    <xf numFmtId="196" fontId="3" fillId="27" borderId="0" xfId="211" applyNumberFormat="1" applyFill="1"/>
    <xf numFmtId="2" fontId="3" fillId="27" borderId="0" xfId="211" applyNumberFormat="1" applyFill="1"/>
    <xf numFmtId="196" fontId="3" fillId="27" borderId="20" xfId="211" applyNumberFormat="1" applyFill="1" applyBorder="1"/>
    <xf numFmtId="197" fontId="3" fillId="27" borderId="0" xfId="211" applyNumberFormat="1" applyFill="1"/>
    <xf numFmtId="196" fontId="3" fillId="27" borderId="0" xfId="211" applyNumberFormat="1" applyFont="1" applyFill="1"/>
    <xf numFmtId="196" fontId="87" fillId="24" borderId="0" xfId="211" applyNumberFormat="1" applyFont="1" applyFill="1"/>
    <xf numFmtId="196" fontId="88" fillId="28" borderId="0" xfId="211" applyNumberFormat="1" applyFont="1" applyFill="1"/>
    <xf numFmtId="0" fontId="0" fillId="0" borderId="19" xfId="0" applyBorder="1"/>
    <xf numFmtId="196" fontId="3" fillId="0" borderId="19" xfId="211" applyNumberFormat="1" applyBorder="1"/>
    <xf numFmtId="0" fontId="2" fillId="0" borderId="19" xfId="1" applyFont="1" applyBorder="1" applyAlignment="1">
      <alignment horizontal="left"/>
    </xf>
    <xf numFmtId="196" fontId="86" fillId="25" borderId="0" xfId="211" applyNumberFormat="1" applyFont="1" applyFill="1"/>
    <xf numFmtId="196" fontId="3" fillId="0" borderId="20" xfId="211" applyNumberFormat="1" applyBorder="1"/>
    <xf numFmtId="197" fontId="85" fillId="25" borderId="0" xfId="211" applyNumberFormat="1" applyFont="1" applyFill="1"/>
    <xf numFmtId="2" fontId="85" fillId="25" borderId="0" xfId="211" applyNumberFormat="1" applyFont="1" applyFill="1"/>
    <xf numFmtId="0" fontId="2" fillId="0" borderId="19" xfId="1" applyFont="1" applyBorder="1"/>
    <xf numFmtId="0" fontId="2" fillId="29" borderId="19" xfId="1" applyFont="1" applyFill="1" applyBorder="1"/>
    <xf numFmtId="0" fontId="2" fillId="29" borderId="19" xfId="1" applyFont="1" applyFill="1" applyBorder="1" applyAlignment="1">
      <alignment horizontal="left"/>
    </xf>
    <xf numFmtId="0" fontId="0" fillId="29" borderId="19" xfId="0" applyFill="1" applyBorder="1"/>
    <xf numFmtId="0" fontId="0" fillId="29" borderId="0" xfId="0" applyFill="1"/>
    <xf numFmtId="196" fontId="87" fillId="0" borderId="0" xfId="211" applyNumberFormat="1" applyFont="1" applyAlignment="1">
      <alignment horizontal="center" wrapText="1"/>
    </xf>
  </cellXfs>
  <cellStyles count="212">
    <cellStyle name=";;;" xfId="2" xr:uid="{00000000-0005-0000-0000-000000000000}"/>
    <cellStyle name="???????? [0]_vaqduGfTSN7qyUJNWHRlcWo3H" xfId="3" xr:uid="{00000000-0005-0000-0000-000001000000}"/>
    <cellStyle name="????????_vaqduGfTSN7qyUJNWHRlcWo3H" xfId="4" xr:uid="{00000000-0005-0000-0000-000002000000}"/>
    <cellStyle name="???????_vaqduGfTSN7qyUJNWHRlcWo3H" xfId="5" xr:uid="{00000000-0005-0000-0000-000003000000}"/>
    <cellStyle name="1Outputbox1" xfId="6" xr:uid="{00000000-0005-0000-0000-000004000000}"/>
    <cellStyle name="1Outputbox2" xfId="7" xr:uid="{00000000-0005-0000-0000-000005000000}"/>
    <cellStyle name="1Outputheader" xfId="8" xr:uid="{00000000-0005-0000-0000-000006000000}"/>
    <cellStyle name="1Outputheader2" xfId="9" xr:uid="{00000000-0005-0000-0000-000007000000}"/>
    <cellStyle name="1Outputsubtitle" xfId="10" xr:uid="{00000000-0005-0000-0000-000008000000}"/>
    <cellStyle name="1Outputtitle" xfId="11" xr:uid="{00000000-0005-0000-0000-000009000000}"/>
    <cellStyle name="1Profileheader" xfId="12" xr:uid="{00000000-0005-0000-0000-00000A000000}"/>
    <cellStyle name="1Profilelowerbox" xfId="13" xr:uid="{00000000-0005-0000-0000-00000B000000}"/>
    <cellStyle name="1Profilesubheader" xfId="14" xr:uid="{00000000-0005-0000-0000-00000C000000}"/>
    <cellStyle name="1Profiletitle" xfId="15" xr:uid="{00000000-0005-0000-0000-00000D000000}"/>
    <cellStyle name="1Profiletopbox" xfId="16" xr:uid="{00000000-0005-0000-0000-00000E000000}"/>
    <cellStyle name="8pt" xfId="17" xr:uid="{00000000-0005-0000-0000-00000F000000}"/>
    <cellStyle name="Aaia?iue [0]_vaqduGfTSN7qyUJNWHRlcWo3H" xfId="18" xr:uid="{00000000-0005-0000-0000-000010000000}"/>
    <cellStyle name="Aaia?iue_vaqduGfTSN7qyUJNWHRlcWo3H" xfId="19" xr:uid="{00000000-0005-0000-0000-000011000000}"/>
    <cellStyle name="acct" xfId="20" xr:uid="{00000000-0005-0000-0000-000012000000}"/>
    <cellStyle name="AeE­ [0]_?A°??µAoC?" xfId="21" xr:uid="{00000000-0005-0000-0000-000013000000}"/>
    <cellStyle name="AeE­_?A°??µAoC?" xfId="22" xr:uid="{00000000-0005-0000-0000-000014000000}"/>
    <cellStyle name="AFE" xfId="23" xr:uid="{00000000-0005-0000-0000-000015000000}"/>
    <cellStyle name="AFE 2" xfId="191" xr:uid="{00000000-0005-0000-0000-000016000000}"/>
    <cellStyle name="Arial 10" xfId="24" xr:uid="{00000000-0005-0000-0000-000017000000}"/>
    <cellStyle name="Arial 10 2" xfId="192" xr:uid="{00000000-0005-0000-0000-000018000000}"/>
    <cellStyle name="Arial 12" xfId="25" xr:uid="{00000000-0005-0000-0000-000019000000}"/>
    <cellStyle name="Arial10px" xfId="211" xr:uid="{00000000-0005-0000-0000-00001A000000}"/>
    <cellStyle name="Balance" xfId="26" xr:uid="{00000000-0005-0000-0000-00001B000000}"/>
    <cellStyle name="BalanceBold" xfId="27" xr:uid="{00000000-0005-0000-0000-00001C000000}"/>
    <cellStyle name="BLACK" xfId="28" xr:uid="{00000000-0005-0000-0000-00001D000000}"/>
    <cellStyle name="Blue" xfId="29" xr:uid="{00000000-0005-0000-0000-00001E000000}"/>
    <cellStyle name="Body" xfId="30" xr:uid="{00000000-0005-0000-0000-00001F000000}"/>
    <cellStyle name="British Pound" xfId="31" xr:uid="{00000000-0005-0000-0000-000020000000}"/>
    <cellStyle name="C?AO_?A°??µAoC?" xfId="32" xr:uid="{00000000-0005-0000-0000-000021000000}"/>
    <cellStyle name="Case" xfId="33" xr:uid="{00000000-0005-0000-0000-000022000000}"/>
    <cellStyle name="Center Across" xfId="34" xr:uid="{00000000-0005-0000-0000-000023000000}"/>
    <cellStyle name="Check" xfId="35" xr:uid="{00000000-0005-0000-0000-000024000000}"/>
    <cellStyle name="Column Heading" xfId="36" xr:uid="{00000000-0005-0000-0000-000025000000}"/>
    <cellStyle name="Comma [0]_Bdgt99D09_04Dep" xfId="37" xr:uid="{00000000-0005-0000-0000-000026000000}"/>
    <cellStyle name="Comma [1]" xfId="38" xr:uid="{00000000-0005-0000-0000-000027000000}"/>
    <cellStyle name="Comma 0" xfId="39" xr:uid="{00000000-0005-0000-0000-000028000000}"/>
    <cellStyle name="Comma 0*" xfId="40" xr:uid="{00000000-0005-0000-0000-000029000000}"/>
    <cellStyle name="Comma 2" xfId="41" xr:uid="{00000000-0005-0000-0000-00002A000000}"/>
    <cellStyle name="Comma_AR 19.11. for sales" xfId="42" xr:uid="{00000000-0005-0000-0000-00002B000000}"/>
    <cellStyle name="Comma0" xfId="43" xr:uid="{00000000-0005-0000-0000-00002C000000}"/>
    <cellStyle name="Currency [0]_Bdgt99D09_04Dep" xfId="44" xr:uid="{00000000-0005-0000-0000-00002D000000}"/>
    <cellStyle name="Currency [1]" xfId="45" xr:uid="{00000000-0005-0000-0000-00002E000000}"/>
    <cellStyle name="Currency 0" xfId="46" xr:uid="{00000000-0005-0000-0000-00002F000000}"/>
    <cellStyle name="Currency 2" xfId="47" xr:uid="{00000000-0005-0000-0000-000030000000}"/>
    <cellStyle name="Currency_Bdgt99D09_04Dep" xfId="48" xr:uid="{00000000-0005-0000-0000-000031000000}"/>
    <cellStyle name="Currency0" xfId="49" xr:uid="{00000000-0005-0000-0000-000032000000}"/>
    <cellStyle name="Data" xfId="50" xr:uid="{00000000-0005-0000-0000-000033000000}"/>
    <cellStyle name="DataBold" xfId="51" xr:uid="{00000000-0005-0000-0000-000034000000}"/>
    <cellStyle name="Date" xfId="52" xr:uid="{00000000-0005-0000-0000-000035000000}"/>
    <cellStyle name="Date Aligned" xfId="53" xr:uid="{00000000-0005-0000-0000-000036000000}"/>
    <cellStyle name="Date_LRP Model (13.05.02)" xfId="54" xr:uid="{00000000-0005-0000-0000-000037000000}"/>
    <cellStyle name="Dec_0" xfId="55" xr:uid="{00000000-0005-0000-0000-000038000000}"/>
    <cellStyle name="Dollars" xfId="56" xr:uid="{00000000-0005-0000-0000-000039000000}"/>
    <cellStyle name="Dotted Line" xfId="57" xr:uid="{00000000-0005-0000-0000-00003A000000}"/>
    <cellStyle name="Double Accounting" xfId="58" xr:uid="{00000000-0005-0000-0000-00003B000000}"/>
    <cellStyle name="Euro" xfId="59" xr:uid="{00000000-0005-0000-0000-00003C000000}"/>
    <cellStyle name="Excel Built-in Normal" xfId="190" xr:uid="{00000000-0005-0000-0000-00003D000000}"/>
    <cellStyle name="Ezres [0]_Document" xfId="60" xr:uid="{00000000-0005-0000-0000-00003E000000}"/>
    <cellStyle name="Ezres_Document" xfId="61" xr:uid="{00000000-0005-0000-0000-00003F000000}"/>
    <cellStyle name="Fixed" xfId="62" xr:uid="{00000000-0005-0000-0000-000040000000}"/>
    <cellStyle name="footer" xfId="63" xr:uid="{00000000-0005-0000-0000-000041000000}"/>
    <cellStyle name="footer 2" xfId="193" xr:uid="{00000000-0005-0000-0000-000042000000}"/>
    <cellStyle name="Footnote" xfId="64" xr:uid="{00000000-0005-0000-0000-000043000000}"/>
    <cellStyle name="Green" xfId="65" xr:uid="{00000000-0005-0000-0000-000044000000}"/>
    <cellStyle name="Hard Percent" xfId="66" xr:uid="{00000000-0005-0000-0000-000045000000}"/>
    <cellStyle name="Header" xfId="67" xr:uid="{00000000-0005-0000-0000-000046000000}"/>
    <cellStyle name="Header1" xfId="68" xr:uid="{00000000-0005-0000-0000-000047000000}"/>
    <cellStyle name="Header2" xfId="69" xr:uid="{00000000-0005-0000-0000-000048000000}"/>
    <cellStyle name="heading" xfId="70" xr:uid="{00000000-0005-0000-0000-000049000000}"/>
    <cellStyle name="Heading 1" xfId="71" xr:uid="{00000000-0005-0000-0000-00004A000000}"/>
    <cellStyle name="Heading 2" xfId="72" xr:uid="{00000000-0005-0000-0000-00004B000000}"/>
    <cellStyle name="Heading 3" xfId="73" xr:uid="{00000000-0005-0000-0000-00004C000000}"/>
    <cellStyle name="heading_a2" xfId="74" xr:uid="{00000000-0005-0000-0000-00004D000000}"/>
    <cellStyle name="HeadingS" xfId="75" xr:uid="{00000000-0005-0000-0000-00004E000000}"/>
    <cellStyle name="Hide" xfId="76" xr:uid="{00000000-0005-0000-0000-00004F000000}"/>
    <cellStyle name="Iau?iue_vaqduGfTSN7qyUJNWHRlcWo3H" xfId="77" xr:uid="{00000000-0005-0000-0000-000050000000}"/>
    <cellStyle name="Input" xfId="78" xr:uid="{00000000-0005-0000-0000-000051000000}"/>
    <cellStyle name="Komma [0]_Arcen" xfId="79" xr:uid="{00000000-0005-0000-0000-000052000000}"/>
    <cellStyle name="Komma_Arcen" xfId="80" xr:uid="{00000000-0005-0000-0000-000053000000}"/>
    <cellStyle name="Milliers [0]_BUDGET" xfId="81" xr:uid="{00000000-0005-0000-0000-000054000000}"/>
    <cellStyle name="Milliers_BUDGET" xfId="82" xr:uid="{00000000-0005-0000-0000-000055000000}"/>
    <cellStyle name="Mon?taire [0]_BUDGET" xfId="83" xr:uid="{00000000-0005-0000-0000-000056000000}"/>
    <cellStyle name="Mon?taire_BUDGET" xfId="84" xr:uid="{00000000-0005-0000-0000-000057000000}"/>
    <cellStyle name="Multiple" xfId="85" xr:uid="{00000000-0005-0000-0000-000058000000}"/>
    <cellStyle name="Multiple [0]" xfId="86" xr:uid="{00000000-0005-0000-0000-000059000000}"/>
    <cellStyle name="Multiple [1]" xfId="87" xr:uid="{00000000-0005-0000-0000-00005A000000}"/>
    <cellStyle name="Multiple_1 Dec" xfId="88" xr:uid="{00000000-0005-0000-0000-00005B000000}"/>
    <cellStyle name="no dec" xfId="89" xr:uid="{00000000-0005-0000-0000-00005C000000}"/>
    <cellStyle name="Norm?l_1." xfId="90" xr:uid="{00000000-0005-0000-0000-00005D000000}"/>
    <cellStyle name="Normal" xfId="91" xr:uid="{00000000-0005-0000-0000-00005E000000}"/>
    <cellStyle name="Normal - Style1" xfId="92" xr:uid="{00000000-0005-0000-0000-00005F000000}"/>
    <cellStyle name="Normal 2" xfId="93" xr:uid="{00000000-0005-0000-0000-000060000000}"/>
    <cellStyle name="Normal_2001зm" xfId="94" xr:uid="{00000000-0005-0000-0000-000061000000}"/>
    <cellStyle name="NormalGB" xfId="95" xr:uid="{00000000-0005-0000-0000-000062000000}"/>
    <cellStyle name="Output Amounts" xfId="96" xr:uid="{00000000-0005-0000-0000-000063000000}"/>
    <cellStyle name="Output Column Headings" xfId="97" xr:uid="{00000000-0005-0000-0000-000064000000}"/>
    <cellStyle name="Output Line Items" xfId="98" xr:uid="{00000000-0005-0000-0000-000065000000}"/>
    <cellStyle name="Output Report Heading" xfId="99" xr:uid="{00000000-0005-0000-0000-000066000000}"/>
    <cellStyle name="Output Report Title" xfId="100" xr:uid="{00000000-0005-0000-0000-000067000000}"/>
    <cellStyle name="Outputtitle" xfId="101" xr:uid="{00000000-0005-0000-0000-000068000000}"/>
    <cellStyle name="P?nznem [0]_Document" xfId="102" xr:uid="{00000000-0005-0000-0000-000069000000}"/>
    <cellStyle name="P?nznem_Document" xfId="103" xr:uid="{00000000-0005-0000-0000-00006A000000}"/>
    <cellStyle name="Page Number" xfId="104" xr:uid="{00000000-0005-0000-0000-00006B000000}"/>
    <cellStyle name="Percent [0]" xfId="105" xr:uid="{00000000-0005-0000-0000-00006C000000}"/>
    <cellStyle name="Percent [1]" xfId="106" xr:uid="{00000000-0005-0000-0000-00006D000000}"/>
    <cellStyle name="Red" xfId="107" xr:uid="{00000000-0005-0000-0000-00006E000000}"/>
    <cellStyle name="Salomon Logo" xfId="108" xr:uid="{00000000-0005-0000-0000-00006F000000}"/>
    <cellStyle name="SAPBEXstdItem" xfId="109" xr:uid="{00000000-0005-0000-0000-000070000000}"/>
    <cellStyle name="SAPBEXstdItem 2" xfId="194" xr:uid="{00000000-0005-0000-0000-000071000000}"/>
    <cellStyle name="ScotchRule" xfId="110" xr:uid="{00000000-0005-0000-0000-000072000000}"/>
    <cellStyle name="Single Accounting" xfId="111" xr:uid="{00000000-0005-0000-0000-000073000000}"/>
    <cellStyle name="small" xfId="112" xr:uid="{00000000-0005-0000-0000-000074000000}"/>
    <cellStyle name="Standard_tabelle" xfId="113" xr:uid="{00000000-0005-0000-0000-000075000000}"/>
    <cellStyle name="Subtitle" xfId="114" xr:uid="{00000000-0005-0000-0000-000076000000}"/>
    <cellStyle name="Table Head" xfId="115" xr:uid="{00000000-0005-0000-0000-000077000000}"/>
    <cellStyle name="Table Head Aligned" xfId="116" xr:uid="{00000000-0005-0000-0000-000078000000}"/>
    <cellStyle name="Table Head Blue" xfId="117" xr:uid="{00000000-0005-0000-0000-000079000000}"/>
    <cellStyle name="Table Head Green" xfId="118" xr:uid="{00000000-0005-0000-0000-00007A000000}"/>
    <cellStyle name="Table Head_Val_Sum_Graph" xfId="119" xr:uid="{00000000-0005-0000-0000-00007B000000}"/>
    <cellStyle name="Table Text" xfId="120" xr:uid="{00000000-0005-0000-0000-00007C000000}"/>
    <cellStyle name="Table Title" xfId="121" xr:uid="{00000000-0005-0000-0000-00007D000000}"/>
    <cellStyle name="Table Units" xfId="122" xr:uid="{00000000-0005-0000-0000-00007E000000}"/>
    <cellStyle name="Table_Header" xfId="123" xr:uid="{00000000-0005-0000-0000-00007F000000}"/>
    <cellStyle name="Text 1" xfId="124" xr:uid="{00000000-0005-0000-0000-000080000000}"/>
    <cellStyle name="Text Head 1" xfId="125" xr:uid="{00000000-0005-0000-0000-000081000000}"/>
    <cellStyle name="Times 10" xfId="126" xr:uid="{00000000-0005-0000-0000-000082000000}"/>
    <cellStyle name="Times 12" xfId="127" xr:uid="{00000000-0005-0000-0000-000083000000}"/>
    <cellStyle name="Title" xfId="128" xr:uid="{00000000-0005-0000-0000-000084000000}"/>
    <cellStyle name="Total" xfId="129" xr:uid="{00000000-0005-0000-0000-000085000000}"/>
    <cellStyle name="Underline_Single" xfId="130" xr:uid="{00000000-0005-0000-0000-000086000000}"/>
    <cellStyle name="Valuta [0]_Arcen" xfId="131" xr:uid="{00000000-0005-0000-0000-000087000000}"/>
    <cellStyle name="Valuta_Arcen" xfId="132" xr:uid="{00000000-0005-0000-0000-000088000000}"/>
    <cellStyle name="year" xfId="133" xr:uid="{00000000-0005-0000-0000-000089000000}"/>
    <cellStyle name="Yen" xfId="134" xr:uid="{00000000-0005-0000-0000-00008A000000}"/>
    <cellStyle name="Акцент1 2" xfId="135" xr:uid="{00000000-0005-0000-0000-00008B000000}"/>
    <cellStyle name="Акцент2 2" xfId="136" xr:uid="{00000000-0005-0000-0000-00008C000000}"/>
    <cellStyle name="Акцент3 2" xfId="137" xr:uid="{00000000-0005-0000-0000-00008D000000}"/>
    <cellStyle name="Акцент4 2" xfId="138" xr:uid="{00000000-0005-0000-0000-00008E000000}"/>
    <cellStyle name="Акцент5 2" xfId="139" xr:uid="{00000000-0005-0000-0000-00008F000000}"/>
    <cellStyle name="Акцент6 2" xfId="140" xr:uid="{00000000-0005-0000-0000-000090000000}"/>
    <cellStyle name="Ввод  2" xfId="141" xr:uid="{00000000-0005-0000-0000-000091000000}"/>
    <cellStyle name="Верт. заголовок" xfId="142" xr:uid="{00000000-0005-0000-0000-000092000000}"/>
    <cellStyle name="Вывод 2" xfId="143" xr:uid="{00000000-0005-0000-0000-000093000000}"/>
    <cellStyle name="Вычисление 2" xfId="144" xr:uid="{00000000-0005-0000-0000-000094000000}"/>
    <cellStyle name="Дата" xfId="145" xr:uid="{00000000-0005-0000-0000-000095000000}"/>
    <cellStyle name="Заголовок 1 2" xfId="146" xr:uid="{00000000-0005-0000-0000-000096000000}"/>
    <cellStyle name="Заголовок 2 2" xfId="147" xr:uid="{00000000-0005-0000-0000-000097000000}"/>
    <cellStyle name="Заголовок 3 2" xfId="148" xr:uid="{00000000-0005-0000-0000-000098000000}"/>
    <cellStyle name="Заголовок 4 2" xfId="149" xr:uid="{00000000-0005-0000-0000-000099000000}"/>
    <cellStyle name="Итог 2" xfId="150" xr:uid="{00000000-0005-0000-0000-00009A000000}"/>
    <cellStyle name="Контрольная ячейка 2" xfId="151" xr:uid="{00000000-0005-0000-0000-00009B000000}"/>
    <cellStyle name="Название 2" xfId="152" xr:uid="{00000000-0005-0000-0000-00009C000000}"/>
    <cellStyle name="Невидимый" xfId="153" xr:uid="{00000000-0005-0000-0000-00009D000000}"/>
    <cellStyle name="Нейтральный 2" xfId="154" xr:uid="{00000000-0005-0000-0000-00009E000000}"/>
    <cellStyle name="Обычный" xfId="0" builtinId="0"/>
    <cellStyle name="Обычный 2" xfId="155" xr:uid="{00000000-0005-0000-0000-0000A0000000}"/>
    <cellStyle name="Обычный 2 2" xfId="156" xr:uid="{00000000-0005-0000-0000-0000A1000000}"/>
    <cellStyle name="Обычный 2 2 2" xfId="196" xr:uid="{00000000-0005-0000-0000-0000A2000000}"/>
    <cellStyle name="Обычный 2 3" xfId="157" xr:uid="{00000000-0005-0000-0000-0000A3000000}"/>
    <cellStyle name="Обычный 2 3 2" xfId="197" xr:uid="{00000000-0005-0000-0000-0000A4000000}"/>
    <cellStyle name="Обычный 2 4" xfId="158" xr:uid="{00000000-0005-0000-0000-0000A5000000}"/>
    <cellStyle name="Обычный 2 4 2" xfId="198" xr:uid="{00000000-0005-0000-0000-0000A6000000}"/>
    <cellStyle name="Обычный 2 5" xfId="195" xr:uid="{00000000-0005-0000-0000-0000A7000000}"/>
    <cellStyle name="Обычный 247" xfId="159" xr:uid="{00000000-0005-0000-0000-0000A8000000}"/>
    <cellStyle name="Обычный 247 2" xfId="199" xr:uid="{00000000-0005-0000-0000-0000A9000000}"/>
    <cellStyle name="Обычный 248" xfId="160" xr:uid="{00000000-0005-0000-0000-0000AA000000}"/>
    <cellStyle name="Обычный 248 2" xfId="200" xr:uid="{00000000-0005-0000-0000-0000AB000000}"/>
    <cellStyle name="Обычный 257" xfId="161" xr:uid="{00000000-0005-0000-0000-0000AC000000}"/>
    <cellStyle name="Обычный 257 2" xfId="201" xr:uid="{00000000-0005-0000-0000-0000AD000000}"/>
    <cellStyle name="Обычный 258" xfId="162" xr:uid="{00000000-0005-0000-0000-0000AE000000}"/>
    <cellStyle name="Обычный 258 2" xfId="202" xr:uid="{00000000-0005-0000-0000-0000AF000000}"/>
    <cellStyle name="Обычный 3" xfId="163" xr:uid="{00000000-0005-0000-0000-0000B0000000}"/>
    <cellStyle name="Обычный 3 2" xfId="203" xr:uid="{00000000-0005-0000-0000-0000B1000000}"/>
    <cellStyle name="Обычный 4" xfId="164" xr:uid="{00000000-0005-0000-0000-0000B2000000}"/>
    <cellStyle name="Обычный 4 2" xfId="204" xr:uid="{00000000-0005-0000-0000-0000B3000000}"/>
    <cellStyle name="Обычный 5" xfId="165" xr:uid="{00000000-0005-0000-0000-0000B4000000}"/>
    <cellStyle name="Обычный 5 2" xfId="205" xr:uid="{00000000-0005-0000-0000-0000B5000000}"/>
    <cellStyle name="Обычный 6" xfId="166" xr:uid="{00000000-0005-0000-0000-0000B6000000}"/>
    <cellStyle name="Обычный 6 2" xfId="206" xr:uid="{00000000-0005-0000-0000-0000B7000000}"/>
    <cellStyle name="Обычный 7" xfId="1" xr:uid="{00000000-0005-0000-0000-0000B8000000}"/>
    <cellStyle name="Обычный 8" xfId="210" xr:uid="{00000000-0005-0000-0000-0000B9000000}"/>
    <cellStyle name="Плохой 2" xfId="167" xr:uid="{00000000-0005-0000-0000-0000BA000000}"/>
    <cellStyle name="Пояснение 2" xfId="168" xr:uid="{00000000-0005-0000-0000-0000BB000000}"/>
    <cellStyle name="Примечание 2" xfId="169" xr:uid="{00000000-0005-0000-0000-0000BC000000}"/>
    <cellStyle name="Процентный 2" xfId="171" xr:uid="{00000000-0005-0000-0000-0000BD000000}"/>
    <cellStyle name="Процентный 2 2" xfId="172" xr:uid="{00000000-0005-0000-0000-0000BE000000}"/>
    <cellStyle name="Процентный 2 3" xfId="173" xr:uid="{00000000-0005-0000-0000-0000BF000000}"/>
    <cellStyle name="Процентный 2 4" xfId="174" xr:uid="{00000000-0005-0000-0000-0000C0000000}"/>
    <cellStyle name="Процентный 2 5" xfId="175" xr:uid="{00000000-0005-0000-0000-0000C1000000}"/>
    <cellStyle name="Процентный 2 6" xfId="176" xr:uid="{00000000-0005-0000-0000-0000C2000000}"/>
    <cellStyle name="Процентный 3" xfId="177" xr:uid="{00000000-0005-0000-0000-0000C3000000}"/>
    <cellStyle name="Процентный 4" xfId="178" xr:uid="{00000000-0005-0000-0000-0000C4000000}"/>
    <cellStyle name="Процентный 4 2" xfId="207" xr:uid="{00000000-0005-0000-0000-0000C5000000}"/>
    <cellStyle name="Процентный 5" xfId="179" xr:uid="{00000000-0005-0000-0000-0000C6000000}"/>
    <cellStyle name="Процентный 5 2" xfId="208" xr:uid="{00000000-0005-0000-0000-0000C7000000}"/>
    <cellStyle name="Процентный 6" xfId="180" xr:uid="{00000000-0005-0000-0000-0000C8000000}"/>
    <cellStyle name="Процентный 6 2" xfId="209" xr:uid="{00000000-0005-0000-0000-0000C9000000}"/>
    <cellStyle name="Процентный 7" xfId="170" xr:uid="{00000000-0005-0000-0000-0000CA000000}"/>
    <cellStyle name="Связанная ячейка 2" xfId="181" xr:uid="{00000000-0005-0000-0000-0000CB000000}"/>
    <cellStyle name="Субсчет" xfId="182" xr:uid="{00000000-0005-0000-0000-0000CC000000}"/>
    <cellStyle name="Счет" xfId="183" xr:uid="{00000000-0005-0000-0000-0000CD000000}"/>
    <cellStyle name="Текст предупреждения 2" xfId="184" xr:uid="{00000000-0005-0000-0000-0000CE000000}"/>
    <cellStyle name="Тысячи [0]_Example " xfId="185" xr:uid="{00000000-0005-0000-0000-0000CF000000}"/>
    <cellStyle name="Тысячи_Example " xfId="186" xr:uid="{00000000-0005-0000-0000-0000D0000000}"/>
    <cellStyle name="Финансовый 2" xfId="187" xr:uid="{00000000-0005-0000-0000-0000D1000000}"/>
    <cellStyle name="Хороший 2" xfId="188" xr:uid="{00000000-0005-0000-0000-0000D2000000}"/>
    <cellStyle name="ШАУ" xfId="189" xr:uid="{00000000-0005-0000-0000-0000D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9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C27" sqref="C27"/>
    </sheetView>
  </sheetViews>
  <sheetFormatPr defaultRowHeight="15"/>
  <cols>
    <col min="3" max="3" width="93.85546875" bestFit="1" customWidth="1"/>
  </cols>
  <sheetData>
    <row r="1" spans="1:7">
      <c r="A1" s="15" t="s">
        <v>210</v>
      </c>
      <c r="B1" s="15" t="s">
        <v>209</v>
      </c>
      <c r="C1" s="15" t="s">
        <v>208</v>
      </c>
      <c r="D1" s="15" t="s">
        <v>211</v>
      </c>
      <c r="E1" s="15" t="s">
        <v>207</v>
      </c>
    </row>
    <row r="2" spans="1:7">
      <c r="A2" s="22" t="s">
        <v>34</v>
      </c>
      <c r="B2" s="22" t="s">
        <v>150</v>
      </c>
      <c r="C2" s="17" t="s">
        <v>0</v>
      </c>
      <c r="D2" s="17">
        <v>0.25</v>
      </c>
      <c r="E2" s="15">
        <v>150</v>
      </c>
      <c r="F2" t="e">
        <f>VLOOKUP(A2,[1]Sheet!$AK:$AK,1,0)</f>
        <v>#N/A</v>
      </c>
      <c r="G2" t="b">
        <f>COUNTIF(A:A,A2)&gt;1</f>
        <v>0</v>
      </c>
    </row>
    <row r="3" spans="1:7">
      <c r="A3" s="22" t="s">
        <v>35</v>
      </c>
      <c r="B3" s="22" t="s">
        <v>192</v>
      </c>
      <c r="C3" s="17" t="s">
        <v>1</v>
      </c>
      <c r="D3" s="17">
        <v>0.3</v>
      </c>
      <c r="E3" s="15">
        <v>150</v>
      </c>
      <c r="F3" t="e">
        <f>VLOOKUP(A3,[1]Sheet!$AK:$AK,1,0)</f>
        <v>#N/A</v>
      </c>
      <c r="G3" t="b">
        <f t="shared" ref="G3:G35" si="0">COUNTIF(A:A,A3)&gt;1</f>
        <v>0</v>
      </c>
    </row>
    <row r="4" spans="1:7">
      <c r="A4" s="22" t="s">
        <v>36</v>
      </c>
      <c r="B4" s="22" t="s">
        <v>137</v>
      </c>
      <c r="C4" s="17" t="s">
        <v>2</v>
      </c>
      <c r="D4" s="17">
        <v>0.2</v>
      </c>
      <c r="E4" s="15">
        <v>150</v>
      </c>
      <c r="F4" t="e">
        <f>VLOOKUP(A4,[1]Sheet!$AK:$AK,1,0)</f>
        <v>#N/A</v>
      </c>
      <c r="G4" t="b">
        <f t="shared" si="0"/>
        <v>0</v>
      </c>
    </row>
    <row r="5" spans="1:7">
      <c r="A5" s="22" t="s">
        <v>37</v>
      </c>
      <c r="B5" s="22" t="s">
        <v>136</v>
      </c>
      <c r="C5" s="17" t="s">
        <v>3</v>
      </c>
      <c r="D5" s="17">
        <v>0.2</v>
      </c>
      <c r="E5" s="15">
        <v>150</v>
      </c>
      <c r="F5" t="e">
        <f>VLOOKUP(A5,[1]Sheet!$AK:$AK,1,0)</f>
        <v>#N/A</v>
      </c>
      <c r="G5" t="b">
        <f t="shared" si="0"/>
        <v>0</v>
      </c>
    </row>
    <row r="6" spans="1:7">
      <c r="A6" s="22" t="s">
        <v>38</v>
      </c>
      <c r="B6" s="22" t="s">
        <v>126</v>
      </c>
      <c r="C6" s="17" t="s">
        <v>4</v>
      </c>
      <c r="D6" s="17">
        <v>0.09</v>
      </c>
      <c r="E6" s="15">
        <v>150</v>
      </c>
      <c r="F6" t="e">
        <f>VLOOKUP(A6,[1]Sheet!$AK:$AK,1,0)</f>
        <v>#N/A</v>
      </c>
      <c r="G6" t="b">
        <f t="shared" si="0"/>
        <v>0</v>
      </c>
    </row>
    <row r="7" spans="1:7">
      <c r="A7" s="22" t="s">
        <v>39</v>
      </c>
      <c r="B7" s="22" t="s">
        <v>168</v>
      </c>
      <c r="C7" s="17" t="s">
        <v>5</v>
      </c>
      <c r="D7" s="17">
        <v>0.7</v>
      </c>
      <c r="E7" s="15">
        <v>150</v>
      </c>
      <c r="F7" t="e">
        <f>VLOOKUP(A7,[1]Sheet!$AK:$AK,1,0)</f>
        <v>#N/A</v>
      </c>
      <c r="G7" t="b">
        <f t="shared" si="0"/>
        <v>0</v>
      </c>
    </row>
    <row r="8" spans="1:7">
      <c r="A8" s="22" t="s">
        <v>40</v>
      </c>
      <c r="B8" s="22" t="s">
        <v>166</v>
      </c>
      <c r="C8" s="17" t="s">
        <v>6</v>
      </c>
      <c r="D8" s="17">
        <v>0.7</v>
      </c>
      <c r="E8" s="15">
        <v>150</v>
      </c>
      <c r="F8" t="e">
        <f>VLOOKUP(A8,[1]Sheet!$AK:$AK,1,0)</f>
        <v>#N/A</v>
      </c>
      <c r="G8" t="b">
        <f t="shared" si="0"/>
        <v>0</v>
      </c>
    </row>
    <row r="9" spans="1:7">
      <c r="A9" s="22" t="s">
        <v>41</v>
      </c>
      <c r="B9" s="22" t="s">
        <v>165</v>
      </c>
      <c r="C9" s="17" t="s">
        <v>7</v>
      </c>
      <c r="D9" s="17">
        <v>0.4</v>
      </c>
      <c r="E9" s="15">
        <v>150</v>
      </c>
      <c r="F9" t="e">
        <f>VLOOKUP(A9,[1]Sheet!$AK:$AK,1,0)</f>
        <v>#N/A</v>
      </c>
      <c r="G9" t="b">
        <f t="shared" si="0"/>
        <v>0</v>
      </c>
    </row>
    <row r="10" spans="1:7">
      <c r="A10" s="22" t="s">
        <v>42</v>
      </c>
      <c r="B10" s="22" t="s">
        <v>167</v>
      </c>
      <c r="C10" s="17" t="s">
        <v>8</v>
      </c>
      <c r="D10" s="17">
        <v>0.4</v>
      </c>
      <c r="E10" s="15">
        <v>150</v>
      </c>
      <c r="F10" t="e">
        <f>VLOOKUP(A10,[1]Sheet!$AK:$AK,1,0)</f>
        <v>#N/A</v>
      </c>
      <c r="G10" t="b">
        <f t="shared" si="0"/>
        <v>0</v>
      </c>
    </row>
    <row r="11" spans="1:7">
      <c r="A11" s="22" t="s">
        <v>43</v>
      </c>
      <c r="B11" s="22" t="s">
        <v>160</v>
      </c>
      <c r="C11" s="17" t="s">
        <v>9</v>
      </c>
      <c r="D11" s="17">
        <v>0.7</v>
      </c>
      <c r="E11" s="15">
        <v>150</v>
      </c>
      <c r="F11" t="e">
        <f>VLOOKUP(A11,[1]Sheet!$AK:$AK,1,0)</f>
        <v>#N/A</v>
      </c>
      <c r="G11" t="b">
        <f t="shared" si="0"/>
        <v>0</v>
      </c>
    </row>
    <row r="12" spans="1:7">
      <c r="A12" s="22" t="s">
        <v>44</v>
      </c>
      <c r="B12" s="22" t="s">
        <v>123</v>
      </c>
      <c r="C12" s="17" t="s">
        <v>10</v>
      </c>
      <c r="D12" s="17">
        <v>0.24</v>
      </c>
      <c r="E12" s="15">
        <v>150</v>
      </c>
      <c r="F12" t="e">
        <f>VLOOKUP(A12,[1]Sheet!$AK:$AK,1,0)</f>
        <v>#N/A</v>
      </c>
      <c r="G12" t="b">
        <f t="shared" si="0"/>
        <v>0</v>
      </c>
    </row>
    <row r="13" spans="1:7">
      <c r="A13" s="22" t="s">
        <v>45</v>
      </c>
      <c r="B13" s="22" t="s">
        <v>158</v>
      </c>
      <c r="C13" s="17" t="s">
        <v>11</v>
      </c>
      <c r="D13" s="17">
        <v>0.7</v>
      </c>
      <c r="E13" s="15">
        <v>150</v>
      </c>
      <c r="F13" t="e">
        <f>VLOOKUP(A13,[1]Sheet!$AK:$AK,1,0)</f>
        <v>#N/A</v>
      </c>
      <c r="G13" t="b">
        <f t="shared" si="0"/>
        <v>0</v>
      </c>
    </row>
    <row r="14" spans="1:7">
      <c r="A14" s="22" t="s">
        <v>46</v>
      </c>
      <c r="B14" s="16" t="s">
        <v>162</v>
      </c>
      <c r="C14" s="17" t="s">
        <v>12</v>
      </c>
      <c r="D14" s="17">
        <v>0.7</v>
      </c>
      <c r="E14" s="15">
        <v>150</v>
      </c>
      <c r="F14" t="e">
        <f>VLOOKUP(A14,[1]Sheet!$AK:$AK,1,0)</f>
        <v>#N/A</v>
      </c>
      <c r="G14" t="b">
        <f t="shared" si="0"/>
        <v>0</v>
      </c>
    </row>
    <row r="15" spans="1:7">
      <c r="A15" s="22" t="s">
        <v>47</v>
      </c>
      <c r="B15" s="22" t="s">
        <v>152</v>
      </c>
      <c r="C15" s="17" t="s">
        <v>13</v>
      </c>
      <c r="D15" s="17">
        <v>0.7</v>
      </c>
      <c r="E15" s="15">
        <v>150</v>
      </c>
      <c r="F15" t="e">
        <f>VLOOKUP(A15,[1]Sheet!$AK:$AK,1,0)</f>
        <v>#N/A</v>
      </c>
      <c r="G15" t="b">
        <f t="shared" si="0"/>
        <v>0</v>
      </c>
    </row>
    <row r="16" spans="1:7">
      <c r="A16" s="22" t="s">
        <v>48</v>
      </c>
      <c r="B16" s="22" t="s">
        <v>154</v>
      </c>
      <c r="C16" s="17" t="s">
        <v>14</v>
      </c>
      <c r="D16" s="17">
        <v>0.7</v>
      </c>
      <c r="E16" s="15">
        <v>150</v>
      </c>
      <c r="F16" t="e">
        <f>VLOOKUP(A16,[1]Sheet!$AK:$AK,1,0)</f>
        <v>#N/A</v>
      </c>
      <c r="G16" t="b">
        <f t="shared" si="0"/>
        <v>0</v>
      </c>
    </row>
    <row r="17" spans="1:7">
      <c r="A17" s="22" t="s">
        <v>49</v>
      </c>
      <c r="B17" s="22" t="s">
        <v>153</v>
      </c>
      <c r="C17" s="17" t="s">
        <v>15</v>
      </c>
      <c r="D17" s="17">
        <v>0.7</v>
      </c>
      <c r="E17" s="15">
        <v>150</v>
      </c>
      <c r="F17" t="e">
        <f>VLOOKUP(A17,[1]Sheet!$AK:$AK,1,0)</f>
        <v>#N/A</v>
      </c>
      <c r="G17" t="b">
        <f t="shared" si="0"/>
        <v>0</v>
      </c>
    </row>
    <row r="18" spans="1:7">
      <c r="A18" s="22" t="s">
        <v>50</v>
      </c>
      <c r="B18" s="22" t="s">
        <v>171</v>
      </c>
      <c r="C18" s="17" t="s">
        <v>16</v>
      </c>
      <c r="D18" s="17">
        <v>1</v>
      </c>
      <c r="E18" s="15">
        <v>150</v>
      </c>
      <c r="F18" t="e">
        <f>VLOOKUP(A18,[1]Sheet!$AK:$AK,1,0)</f>
        <v>#N/A</v>
      </c>
      <c r="G18" t="b">
        <f t="shared" si="0"/>
        <v>0</v>
      </c>
    </row>
    <row r="19" spans="1:7">
      <c r="A19" s="22" t="s">
        <v>51</v>
      </c>
      <c r="B19" s="22" t="s">
        <v>148</v>
      </c>
      <c r="C19" s="17" t="s">
        <v>17</v>
      </c>
      <c r="D19" s="17">
        <v>0.25</v>
      </c>
      <c r="E19" s="15">
        <v>150</v>
      </c>
      <c r="F19" t="e">
        <f>VLOOKUP(A19,[1]Sheet!$AK:$AK,1,0)</f>
        <v>#N/A</v>
      </c>
      <c r="G19" t="b">
        <f t="shared" si="0"/>
        <v>0</v>
      </c>
    </row>
    <row r="20" spans="1:7">
      <c r="A20" s="22" t="s">
        <v>52</v>
      </c>
      <c r="B20" s="22" t="s">
        <v>119</v>
      </c>
      <c r="C20" s="17" t="s">
        <v>18</v>
      </c>
      <c r="D20" s="17">
        <v>0.28000000000000003</v>
      </c>
      <c r="E20" s="15">
        <v>150</v>
      </c>
      <c r="F20" t="e">
        <f>VLOOKUP(A20,[1]Sheet!$AK:$AK,1,0)</f>
        <v>#N/A</v>
      </c>
      <c r="G20" t="b">
        <f t="shared" si="0"/>
        <v>0</v>
      </c>
    </row>
    <row r="21" spans="1:7">
      <c r="A21" s="22" t="s">
        <v>53</v>
      </c>
      <c r="B21" s="22" t="s">
        <v>146</v>
      </c>
      <c r="C21" s="17" t="s">
        <v>19</v>
      </c>
      <c r="D21" s="17">
        <v>0.23</v>
      </c>
      <c r="E21" s="15">
        <v>150</v>
      </c>
      <c r="F21" t="e">
        <f>VLOOKUP(A21,[1]Sheet!$AK:$AK,1,0)</f>
        <v>#N/A</v>
      </c>
      <c r="G21" t="b">
        <f t="shared" si="0"/>
        <v>0</v>
      </c>
    </row>
    <row r="22" spans="1:7">
      <c r="A22" s="22" t="s">
        <v>54</v>
      </c>
      <c r="B22" s="22" t="s">
        <v>120</v>
      </c>
      <c r="C22" s="17" t="s">
        <v>20</v>
      </c>
      <c r="D22" s="17">
        <v>0.24</v>
      </c>
      <c r="E22" s="15">
        <v>150</v>
      </c>
      <c r="F22" t="e">
        <f>VLOOKUP(A22,[1]Sheet!$AK:$AK,1,0)</f>
        <v>#N/A</v>
      </c>
      <c r="G22" t="b">
        <f t="shared" si="0"/>
        <v>0</v>
      </c>
    </row>
    <row r="23" spans="1:7">
      <c r="A23" s="22" t="s">
        <v>55</v>
      </c>
      <c r="B23" s="22" t="s">
        <v>184</v>
      </c>
      <c r="C23" s="17" t="s">
        <v>21</v>
      </c>
      <c r="D23" s="17">
        <v>0.25</v>
      </c>
      <c r="E23" s="15">
        <v>150</v>
      </c>
      <c r="F23" t="e">
        <f>VLOOKUP(A23,[1]Sheet!$AK:$AK,1,0)</f>
        <v>#N/A</v>
      </c>
      <c r="G23" t="b">
        <f t="shared" si="0"/>
        <v>0</v>
      </c>
    </row>
    <row r="24" spans="1:7">
      <c r="A24" s="22" t="s">
        <v>56</v>
      </c>
      <c r="B24" s="22" t="s">
        <v>195</v>
      </c>
      <c r="C24" s="17" t="s">
        <v>22</v>
      </c>
      <c r="D24" s="17">
        <v>0.3</v>
      </c>
      <c r="E24" s="15">
        <v>150</v>
      </c>
      <c r="F24" t="e">
        <f>VLOOKUP(A24,[1]Sheet!$AK:$AK,1,0)</f>
        <v>#N/A</v>
      </c>
      <c r="G24" t="b">
        <f t="shared" si="0"/>
        <v>0</v>
      </c>
    </row>
    <row r="25" spans="1:7">
      <c r="A25" s="22" t="s">
        <v>57</v>
      </c>
      <c r="B25" s="22" t="s">
        <v>151</v>
      </c>
      <c r="C25" s="17" t="s">
        <v>23</v>
      </c>
      <c r="D25" s="17">
        <v>0.25</v>
      </c>
      <c r="E25" s="15">
        <v>150</v>
      </c>
      <c r="F25" t="e">
        <f>VLOOKUP(A25,[1]Sheet!$AK:$AK,1,0)</f>
        <v>#N/A</v>
      </c>
      <c r="G25" t="b">
        <f t="shared" si="0"/>
        <v>0</v>
      </c>
    </row>
    <row r="26" spans="1:7">
      <c r="A26" s="22" t="s">
        <v>58</v>
      </c>
      <c r="B26" s="22" t="s">
        <v>159</v>
      </c>
      <c r="C26" s="17" t="s">
        <v>24</v>
      </c>
      <c r="D26" s="17">
        <v>0.7</v>
      </c>
      <c r="E26" s="15">
        <v>150</v>
      </c>
      <c r="F26" t="e">
        <f>VLOOKUP(A26,[1]Sheet!$AK:$AK,1,0)</f>
        <v>#N/A</v>
      </c>
      <c r="G26" t="b">
        <f t="shared" si="0"/>
        <v>0</v>
      </c>
    </row>
    <row r="27" spans="1:7">
      <c r="A27" s="23" t="s">
        <v>59</v>
      </c>
      <c r="B27" s="23" t="e">
        <v>#N/A</v>
      </c>
      <c r="C27" s="24" t="s">
        <v>25</v>
      </c>
      <c r="D27" s="24">
        <v>0.4</v>
      </c>
      <c r="E27" s="25">
        <v>150</v>
      </c>
      <c r="F27" s="26" t="e">
        <f>VLOOKUP(A27,[1]Sheet!$AK:$AK,1,0)</f>
        <v>#N/A</v>
      </c>
      <c r="G27" s="26" t="b">
        <f t="shared" si="0"/>
        <v>0</v>
      </c>
    </row>
    <row r="28" spans="1:7">
      <c r="A28" s="22" t="s">
        <v>60</v>
      </c>
      <c r="B28" s="22" t="s">
        <v>183</v>
      </c>
      <c r="C28" s="17" t="s">
        <v>26</v>
      </c>
      <c r="D28" s="17">
        <v>0.25</v>
      </c>
      <c r="E28" s="15">
        <v>150</v>
      </c>
      <c r="F28" t="e">
        <f>VLOOKUP(A28,[1]Sheet!$AK:$AK,1,0)</f>
        <v>#N/A</v>
      </c>
      <c r="G28" t="b">
        <f t="shared" si="0"/>
        <v>0</v>
      </c>
    </row>
    <row r="29" spans="1:7">
      <c r="A29" s="22" t="s">
        <v>61</v>
      </c>
      <c r="B29" s="22" t="s">
        <v>121</v>
      </c>
      <c r="C29" s="17" t="s">
        <v>27</v>
      </c>
      <c r="D29" s="17">
        <v>0.24</v>
      </c>
      <c r="E29" s="15">
        <v>150</v>
      </c>
      <c r="F29" t="e">
        <f>VLOOKUP(A29,[1]Sheet!$AK:$AK,1,0)</f>
        <v>#N/A</v>
      </c>
      <c r="G29" t="b">
        <f t="shared" si="0"/>
        <v>0</v>
      </c>
    </row>
    <row r="30" spans="1:7">
      <c r="A30" s="22" t="s">
        <v>62</v>
      </c>
      <c r="B30" s="22" t="s">
        <v>122</v>
      </c>
      <c r="C30" s="17" t="s">
        <v>28</v>
      </c>
      <c r="D30" s="17">
        <v>0.24</v>
      </c>
      <c r="E30" s="15">
        <v>150</v>
      </c>
      <c r="F30" t="e">
        <f>VLOOKUP(A30,[1]Sheet!$AK:$AK,1,0)</f>
        <v>#N/A</v>
      </c>
      <c r="G30" t="b">
        <f t="shared" si="0"/>
        <v>0</v>
      </c>
    </row>
    <row r="31" spans="1:7">
      <c r="A31" s="22" t="s">
        <v>63</v>
      </c>
      <c r="B31" s="22" t="s">
        <v>197</v>
      </c>
      <c r="C31" s="17" t="s">
        <v>29</v>
      </c>
      <c r="D31" s="17">
        <v>0.25</v>
      </c>
      <c r="E31" s="15">
        <v>150</v>
      </c>
      <c r="F31" t="e">
        <f>VLOOKUP(A31,[1]Sheet!$AK:$AK,1,0)</f>
        <v>#N/A</v>
      </c>
      <c r="G31" t="b">
        <f t="shared" si="0"/>
        <v>0</v>
      </c>
    </row>
    <row r="32" spans="1:7">
      <c r="A32" s="22" t="s">
        <v>64</v>
      </c>
      <c r="B32" s="22" t="s">
        <v>196</v>
      </c>
      <c r="C32" s="17" t="s">
        <v>30</v>
      </c>
      <c r="D32" s="17">
        <v>0.25</v>
      </c>
      <c r="E32" s="15">
        <v>150</v>
      </c>
      <c r="F32" t="e">
        <f>VLOOKUP(A32,[1]Sheet!$AK:$AK,1,0)</f>
        <v>#N/A</v>
      </c>
      <c r="G32" t="b">
        <f t="shared" si="0"/>
        <v>0</v>
      </c>
    </row>
    <row r="33" spans="1:7">
      <c r="A33" s="22" t="s">
        <v>65</v>
      </c>
      <c r="B33" s="22" t="s">
        <v>143</v>
      </c>
      <c r="C33" s="17" t="s">
        <v>31</v>
      </c>
      <c r="D33" s="17">
        <v>0.25</v>
      </c>
      <c r="E33" s="15">
        <v>150</v>
      </c>
      <c r="F33" t="e">
        <f>VLOOKUP(A33,[1]Sheet!$AK:$AK,1,0)</f>
        <v>#N/A</v>
      </c>
      <c r="G33" t="b">
        <f t="shared" si="0"/>
        <v>0</v>
      </c>
    </row>
    <row r="34" spans="1:7">
      <c r="A34" s="22" t="s">
        <v>66</v>
      </c>
      <c r="B34" s="22" t="s">
        <v>142</v>
      </c>
      <c r="C34" s="17" t="s">
        <v>32</v>
      </c>
      <c r="D34" s="17">
        <v>0.25</v>
      </c>
      <c r="E34" s="15">
        <v>150</v>
      </c>
      <c r="F34" t="e">
        <f>VLOOKUP(A34,[1]Sheet!$AK:$AK,1,0)</f>
        <v>#N/A</v>
      </c>
      <c r="G34" t="b">
        <f t="shared" si="0"/>
        <v>0</v>
      </c>
    </row>
    <row r="35" spans="1:7">
      <c r="A35" s="22" t="s">
        <v>67</v>
      </c>
      <c r="B35" s="22" t="s">
        <v>147</v>
      </c>
      <c r="C35" s="17" t="s">
        <v>33</v>
      </c>
      <c r="D35" s="17">
        <v>0.25</v>
      </c>
      <c r="E35" s="15">
        <v>150</v>
      </c>
      <c r="F35" t="e">
        <f>VLOOKUP(A35,[1]Sheet!$AK:$AK,1,0)</f>
        <v>#N/A</v>
      </c>
      <c r="G35" t="b">
        <f t="shared" si="0"/>
        <v>0</v>
      </c>
    </row>
    <row r="36" spans="1:7">
      <c r="E36">
        <f>SUM(E2:E35)</f>
        <v>5100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1"/>
  <sheetViews>
    <sheetView zoomScale="70" zoomScaleNormal="70" workbookViewId="0">
      <selection activeCell="D59" sqref="D59"/>
    </sheetView>
  </sheetViews>
  <sheetFormatPr defaultRowHeight="15"/>
  <cols>
    <col min="1" max="1" width="93.85546875" bestFit="1" customWidth="1"/>
  </cols>
  <sheetData>
    <row r="1" spans="1:35">
      <c r="A1" s="7"/>
      <c r="B1" s="7"/>
      <c r="C1" s="7"/>
      <c r="D1" s="7"/>
      <c r="E1" s="7"/>
      <c r="F1" s="7"/>
      <c r="G1" s="3"/>
      <c r="H1" s="7"/>
      <c r="I1" s="7"/>
      <c r="J1" s="7"/>
      <c r="K1" s="7"/>
      <c r="L1" s="7"/>
      <c r="M1" s="7"/>
      <c r="N1" s="7"/>
      <c r="O1" s="7"/>
      <c r="P1" s="7"/>
      <c r="Q1" s="27" t="s">
        <v>68</v>
      </c>
      <c r="R1" s="2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3"/>
      <c r="AE1" s="4"/>
      <c r="AF1" s="7"/>
      <c r="AG1" s="7"/>
      <c r="AH1" s="7"/>
      <c r="AI1" s="4"/>
    </row>
    <row r="2" spans="1:35">
      <c r="A2" s="7"/>
      <c r="B2" s="7"/>
      <c r="C2" s="7"/>
      <c r="D2" s="7"/>
      <c r="E2" s="7"/>
      <c r="F2" s="7"/>
      <c r="G2" s="3"/>
      <c r="H2" s="7"/>
      <c r="I2" s="7"/>
      <c r="J2" s="7"/>
      <c r="K2" s="7"/>
      <c r="L2" s="7"/>
      <c r="M2" s="7"/>
      <c r="N2" s="7"/>
      <c r="O2" s="7"/>
      <c r="P2" s="7"/>
      <c r="Q2" s="27"/>
      <c r="R2" s="2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3"/>
      <c r="AE2" s="4"/>
      <c r="AF2" s="7"/>
      <c r="AG2" s="7"/>
      <c r="AH2" s="7"/>
      <c r="AI2" s="4"/>
    </row>
    <row r="3" spans="1:35">
      <c r="A3" s="1" t="s">
        <v>69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74</v>
      </c>
      <c r="G3" s="21" t="s">
        <v>75</v>
      </c>
      <c r="H3" s="1" t="s">
        <v>76</v>
      </c>
      <c r="I3" s="1" t="s">
        <v>77</v>
      </c>
      <c r="J3" s="1" t="s">
        <v>78</v>
      </c>
      <c r="K3" s="1" t="s">
        <v>79</v>
      </c>
      <c r="L3" s="1" t="s">
        <v>80</v>
      </c>
      <c r="M3" s="1" t="s">
        <v>81</v>
      </c>
      <c r="N3" s="1" t="s">
        <v>82</v>
      </c>
      <c r="O3" s="1" t="s">
        <v>83</v>
      </c>
      <c r="P3" s="1" t="s">
        <v>84</v>
      </c>
      <c r="Q3" s="18" t="s">
        <v>85</v>
      </c>
      <c r="R3" s="18" t="s">
        <v>86</v>
      </c>
      <c r="S3" s="1" t="s">
        <v>87</v>
      </c>
      <c r="T3" s="1" t="s">
        <v>88</v>
      </c>
      <c r="U3" s="1" t="s">
        <v>89</v>
      </c>
      <c r="V3" s="1" t="s">
        <v>89</v>
      </c>
      <c r="W3" s="1" t="s">
        <v>89</v>
      </c>
      <c r="X3" s="1" t="s">
        <v>89</v>
      </c>
      <c r="Y3" s="1" t="s">
        <v>89</v>
      </c>
      <c r="Z3" s="1" t="s">
        <v>89</v>
      </c>
      <c r="AA3" s="1" t="s">
        <v>89</v>
      </c>
      <c r="AB3" s="1" t="s">
        <v>90</v>
      </c>
      <c r="AC3" s="1" t="s">
        <v>91</v>
      </c>
      <c r="AD3" s="21" t="s">
        <v>92</v>
      </c>
      <c r="AE3" s="20" t="s">
        <v>93</v>
      </c>
      <c r="AF3" s="1" t="s">
        <v>94</v>
      </c>
      <c r="AG3" s="1" t="s">
        <v>95</v>
      </c>
      <c r="AH3" s="1" t="s">
        <v>96</v>
      </c>
      <c r="AI3" s="20" t="s">
        <v>97</v>
      </c>
    </row>
    <row r="4" spans="1:35">
      <c r="A4" s="7"/>
      <c r="B4" s="7"/>
      <c r="C4" s="7"/>
      <c r="D4" s="7"/>
      <c r="E4" s="7"/>
      <c r="F4" s="7"/>
      <c r="G4" s="3"/>
      <c r="H4" s="7"/>
      <c r="I4" s="7"/>
      <c r="J4" s="7"/>
      <c r="K4" s="7"/>
      <c r="L4" s="7"/>
      <c r="M4" s="7"/>
      <c r="N4" s="7"/>
      <c r="O4" s="7" t="s">
        <v>98</v>
      </c>
      <c r="P4" s="7" t="s">
        <v>99</v>
      </c>
      <c r="Q4" s="7"/>
      <c r="R4" s="7"/>
      <c r="S4" s="7"/>
      <c r="T4" s="7"/>
      <c r="U4" s="7" t="s">
        <v>100</v>
      </c>
      <c r="V4" s="7" t="s">
        <v>101</v>
      </c>
      <c r="W4" s="7" t="s">
        <v>102</v>
      </c>
      <c r="X4" s="7" t="s">
        <v>103</v>
      </c>
      <c r="Y4" s="7" t="s">
        <v>104</v>
      </c>
      <c r="Z4" s="7" t="s">
        <v>105</v>
      </c>
      <c r="AA4" s="7" t="s">
        <v>106</v>
      </c>
      <c r="AB4" s="7"/>
      <c r="AC4" s="7"/>
      <c r="AD4" s="3"/>
      <c r="AE4" s="4"/>
      <c r="AF4" s="7"/>
      <c r="AG4" s="7"/>
      <c r="AH4" s="7"/>
      <c r="AI4" s="4"/>
    </row>
    <row r="5" spans="1:35">
      <c r="A5" s="7"/>
      <c r="B5" s="7"/>
      <c r="C5" s="7"/>
      <c r="D5" s="7"/>
      <c r="E5" s="2">
        <v>12756</v>
      </c>
      <c r="F5" s="2">
        <v>22942.999999999996</v>
      </c>
      <c r="G5" s="3"/>
      <c r="H5" s="7"/>
      <c r="I5" s="7"/>
      <c r="J5" s="7"/>
      <c r="K5" s="2">
        <v>14066.000000000002</v>
      </c>
      <c r="L5" s="2">
        <v>-1310</v>
      </c>
      <c r="M5" s="2">
        <v>0</v>
      </c>
      <c r="N5" s="2">
        <v>0</v>
      </c>
      <c r="O5" s="2">
        <v>12563.8</v>
      </c>
      <c r="P5" s="2">
        <v>2551.1999999999998</v>
      </c>
      <c r="Q5" s="2">
        <v>5655.5999999999995</v>
      </c>
      <c r="R5" s="2">
        <v>5668</v>
      </c>
      <c r="S5" s="7"/>
      <c r="T5" s="7"/>
      <c r="U5" s="2">
        <v>2273.0000000000005</v>
      </c>
      <c r="V5" s="2">
        <v>2385.1799999999998</v>
      </c>
      <c r="W5" s="2">
        <v>2426.4199999999996</v>
      </c>
      <c r="X5" s="2">
        <v>2159.9659999999994</v>
      </c>
      <c r="Y5" s="2">
        <v>2317.7799999999997</v>
      </c>
      <c r="Z5" s="2">
        <v>2162.94</v>
      </c>
      <c r="AA5" s="2">
        <v>2675.66</v>
      </c>
      <c r="AB5" s="7"/>
      <c r="AC5" s="2">
        <v>2487.9740000000002</v>
      </c>
      <c r="AD5" s="3"/>
      <c r="AE5" s="5">
        <v>618</v>
      </c>
      <c r="AF5" s="2">
        <v>2400.4799999999996</v>
      </c>
      <c r="AG5" s="7"/>
      <c r="AH5" s="7"/>
      <c r="AI5" s="5">
        <v>7.3682539682539696</v>
      </c>
    </row>
    <row r="6" spans="1:35">
      <c r="A6" s="8" t="s">
        <v>107</v>
      </c>
      <c r="B6" s="8" t="s">
        <v>108</v>
      </c>
      <c r="C6" s="8">
        <v>-82</v>
      </c>
      <c r="D6" s="8"/>
      <c r="E6" s="14">
        <v>46</v>
      </c>
      <c r="F6" s="14">
        <v>-128</v>
      </c>
      <c r="G6" s="9">
        <v>0</v>
      </c>
      <c r="H6" s="8"/>
      <c r="I6" s="8" t="s">
        <v>109</v>
      </c>
      <c r="J6" s="8" t="s">
        <v>10</v>
      </c>
      <c r="K6" s="8">
        <v>46</v>
      </c>
      <c r="L6" s="8">
        <v>0</v>
      </c>
      <c r="M6" s="8"/>
      <c r="N6" s="8"/>
      <c r="O6" s="8"/>
      <c r="P6" s="8">
        <v>9.1999999999999993</v>
      </c>
      <c r="Q6" s="10"/>
      <c r="R6" s="10"/>
      <c r="S6" s="8">
        <v>-13.913043478260871</v>
      </c>
      <c r="T6" s="8">
        <v>-13.913043478260871</v>
      </c>
      <c r="U6" s="8">
        <v>4.2</v>
      </c>
      <c r="V6" s="8">
        <v>9</v>
      </c>
      <c r="W6" s="8">
        <v>11.2</v>
      </c>
      <c r="X6" s="8">
        <v>6</v>
      </c>
      <c r="Y6" s="8">
        <v>10.199999999999999</v>
      </c>
      <c r="Z6" s="8">
        <v>9.6</v>
      </c>
      <c r="AA6" s="8">
        <v>37.6</v>
      </c>
      <c r="AB6" s="8"/>
      <c r="AC6" s="8"/>
      <c r="AD6" s="9"/>
      <c r="AE6" s="11"/>
      <c r="AF6" s="8"/>
      <c r="AG6" s="8"/>
      <c r="AH6" s="8"/>
      <c r="AI6" s="11"/>
    </row>
    <row r="7" spans="1:35">
      <c r="A7" s="8" t="s">
        <v>110</v>
      </c>
      <c r="B7" s="8" t="s">
        <v>108</v>
      </c>
      <c r="C7" s="8">
        <v>-10</v>
      </c>
      <c r="D7" s="8"/>
      <c r="E7" s="14">
        <v>54</v>
      </c>
      <c r="F7" s="14">
        <v>-65</v>
      </c>
      <c r="G7" s="9">
        <v>0</v>
      </c>
      <c r="H7" s="8"/>
      <c r="I7" s="8" t="s">
        <v>109</v>
      </c>
      <c r="J7" s="8" t="s">
        <v>5</v>
      </c>
      <c r="K7" s="8">
        <v>56</v>
      </c>
      <c r="L7" s="8">
        <v>-2</v>
      </c>
      <c r="M7" s="8"/>
      <c r="N7" s="8"/>
      <c r="O7" s="8"/>
      <c r="P7" s="8">
        <v>10.8</v>
      </c>
      <c r="Q7" s="10"/>
      <c r="R7" s="10"/>
      <c r="S7" s="8">
        <v>-6.0185185185185182</v>
      </c>
      <c r="T7" s="8">
        <v>-6.0185185185185182</v>
      </c>
      <c r="U7" s="8">
        <v>12.6</v>
      </c>
      <c r="V7" s="8">
        <v>13.8</v>
      </c>
      <c r="W7" s="8">
        <v>12.6</v>
      </c>
      <c r="X7" s="8">
        <v>9</v>
      </c>
      <c r="Y7" s="8">
        <v>10</v>
      </c>
      <c r="Z7" s="8">
        <v>17</v>
      </c>
      <c r="AA7" s="8">
        <v>36.6</v>
      </c>
      <c r="AB7" s="8"/>
      <c r="AC7" s="8"/>
      <c r="AD7" s="9"/>
      <c r="AE7" s="11"/>
      <c r="AF7" s="8"/>
      <c r="AG7" s="8"/>
      <c r="AH7" s="8"/>
      <c r="AI7" s="11"/>
    </row>
    <row r="8" spans="1:35">
      <c r="A8" s="8" t="s">
        <v>111</v>
      </c>
      <c r="B8" s="8" t="s">
        <v>112</v>
      </c>
      <c r="C8" s="8">
        <v>-7.4</v>
      </c>
      <c r="D8" s="8">
        <v>3.7</v>
      </c>
      <c r="E8" s="14">
        <v>3.7</v>
      </c>
      <c r="F8" s="14">
        <v>-7.4</v>
      </c>
      <c r="G8" s="9">
        <v>0</v>
      </c>
      <c r="H8" s="8"/>
      <c r="I8" s="8" t="s">
        <v>109</v>
      </c>
      <c r="J8" s="8" t="s">
        <v>113</v>
      </c>
      <c r="K8" s="8">
        <v>7.4</v>
      </c>
      <c r="L8" s="8">
        <v>-3.7</v>
      </c>
      <c r="M8" s="8"/>
      <c r="N8" s="8"/>
      <c r="O8" s="8"/>
      <c r="P8" s="8">
        <v>0.74</v>
      </c>
      <c r="Q8" s="10"/>
      <c r="R8" s="10"/>
      <c r="S8" s="8">
        <v>-10</v>
      </c>
      <c r="T8" s="8">
        <v>-10</v>
      </c>
      <c r="U8" s="8">
        <v>1.48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/>
      <c r="AC8" s="8"/>
      <c r="AD8" s="9"/>
      <c r="AE8" s="11"/>
      <c r="AF8" s="8"/>
      <c r="AG8" s="8"/>
      <c r="AH8" s="8"/>
      <c r="AI8" s="11"/>
    </row>
    <row r="9" spans="1:35">
      <c r="A9" s="8" t="s">
        <v>114</v>
      </c>
      <c r="B9" s="8" t="s">
        <v>108</v>
      </c>
      <c r="C9" s="8">
        <v>32</v>
      </c>
      <c r="D9" s="8"/>
      <c r="E9" s="14">
        <v>5</v>
      </c>
      <c r="F9" s="14">
        <v>27</v>
      </c>
      <c r="G9" s="9">
        <v>0</v>
      </c>
      <c r="H9" s="8"/>
      <c r="I9" s="8" t="s">
        <v>109</v>
      </c>
      <c r="J9" s="8" t="s">
        <v>29</v>
      </c>
      <c r="K9" s="8">
        <v>29</v>
      </c>
      <c r="L9" s="8">
        <v>-24</v>
      </c>
      <c r="M9" s="8"/>
      <c r="N9" s="8"/>
      <c r="O9" s="8"/>
      <c r="P9" s="8">
        <v>1</v>
      </c>
      <c r="Q9" s="10"/>
      <c r="R9" s="10"/>
      <c r="S9" s="8">
        <v>27</v>
      </c>
      <c r="T9" s="8">
        <v>27</v>
      </c>
      <c r="U9" s="8">
        <v>0.4</v>
      </c>
      <c r="V9" s="8">
        <v>5.2</v>
      </c>
      <c r="W9" s="8">
        <v>8.4</v>
      </c>
      <c r="X9" s="8">
        <v>0.2</v>
      </c>
      <c r="Y9" s="8">
        <v>0.8</v>
      </c>
      <c r="Z9" s="8">
        <v>2.6</v>
      </c>
      <c r="AA9" s="8">
        <v>10.4</v>
      </c>
      <c r="AB9" s="8"/>
      <c r="AC9" s="8"/>
      <c r="AD9" s="9"/>
      <c r="AE9" s="11"/>
      <c r="AF9" s="8"/>
      <c r="AG9" s="8"/>
      <c r="AH9" s="8"/>
      <c r="AI9" s="11"/>
    </row>
    <row r="10" spans="1:35">
      <c r="A10" s="7" t="s">
        <v>115</v>
      </c>
      <c r="B10" s="7" t="s">
        <v>108</v>
      </c>
      <c r="C10" s="7">
        <v>6</v>
      </c>
      <c r="D10" s="7">
        <v>336</v>
      </c>
      <c r="E10" s="7">
        <v>30</v>
      </c>
      <c r="F10" s="7">
        <v>312</v>
      </c>
      <c r="G10" s="3">
        <v>0.22</v>
      </c>
      <c r="H10" s="7">
        <v>180</v>
      </c>
      <c r="I10" s="7" t="s">
        <v>116</v>
      </c>
      <c r="J10" s="7"/>
      <c r="K10" s="7">
        <v>34</v>
      </c>
      <c r="L10" s="7">
        <v>-4</v>
      </c>
      <c r="M10" s="7"/>
      <c r="N10" s="7"/>
      <c r="O10" s="7">
        <v>0</v>
      </c>
      <c r="P10" s="7">
        <v>6</v>
      </c>
      <c r="Q10" s="19"/>
      <c r="R10" s="19">
        <v>0</v>
      </c>
      <c r="S10" s="7">
        <v>52</v>
      </c>
      <c r="T10" s="7">
        <v>52</v>
      </c>
      <c r="U10" s="7">
        <v>5.2</v>
      </c>
      <c r="V10" s="7">
        <v>11</v>
      </c>
      <c r="W10" s="7">
        <v>7.6</v>
      </c>
      <c r="X10" s="7">
        <v>7.6</v>
      </c>
      <c r="Y10" s="7">
        <v>7.6</v>
      </c>
      <c r="Z10" s="7">
        <v>11.2</v>
      </c>
      <c r="AA10" s="7">
        <v>6.2</v>
      </c>
      <c r="AB10" s="7"/>
      <c r="AC10" s="7">
        <v>0</v>
      </c>
      <c r="AD10" s="3">
        <v>12</v>
      </c>
      <c r="AE10" s="4">
        <v>0</v>
      </c>
      <c r="AF10" s="7">
        <v>0</v>
      </c>
      <c r="AG10" s="7">
        <v>14</v>
      </c>
      <c r="AH10" s="7">
        <v>70</v>
      </c>
      <c r="AI10" s="4">
        <v>0</v>
      </c>
    </row>
    <row r="11" spans="1:35">
      <c r="A11" s="7" t="s">
        <v>117</v>
      </c>
      <c r="B11" s="7" t="s">
        <v>108</v>
      </c>
      <c r="C11" s="7">
        <v>80</v>
      </c>
      <c r="D11" s="7">
        <v>352</v>
      </c>
      <c r="E11" s="7">
        <v>179</v>
      </c>
      <c r="F11" s="7">
        <v>256</v>
      </c>
      <c r="G11" s="3">
        <v>0.3</v>
      </c>
      <c r="H11" s="7">
        <v>180</v>
      </c>
      <c r="I11" s="7" t="s">
        <v>118</v>
      </c>
      <c r="J11" s="7"/>
      <c r="K11" s="7">
        <v>174</v>
      </c>
      <c r="L11" s="7">
        <v>5</v>
      </c>
      <c r="M11" s="7"/>
      <c r="N11" s="7"/>
      <c r="O11" s="7">
        <v>336</v>
      </c>
      <c r="P11" s="7">
        <v>35.799999999999997</v>
      </c>
      <c r="Q11" s="19"/>
      <c r="R11" s="19">
        <v>0</v>
      </c>
      <c r="S11" s="7">
        <v>16.536312849162012</v>
      </c>
      <c r="T11" s="7">
        <v>16.536312849162012</v>
      </c>
      <c r="U11" s="7">
        <v>43.8</v>
      </c>
      <c r="V11" s="7">
        <v>20.2</v>
      </c>
      <c r="W11" s="7">
        <v>29.8</v>
      </c>
      <c r="X11" s="7">
        <v>30.6</v>
      </c>
      <c r="Y11" s="7">
        <v>22.2</v>
      </c>
      <c r="Z11" s="7">
        <v>27</v>
      </c>
      <c r="AA11" s="7">
        <v>27.4</v>
      </c>
      <c r="AB11" s="7"/>
      <c r="AC11" s="7">
        <v>0</v>
      </c>
      <c r="AD11" s="3">
        <v>12</v>
      </c>
      <c r="AE11" s="4">
        <v>0</v>
      </c>
      <c r="AF11" s="7">
        <v>0</v>
      </c>
      <c r="AG11" s="7">
        <v>14</v>
      </c>
      <c r="AH11" s="7">
        <v>70</v>
      </c>
      <c r="AI11" s="4">
        <v>0</v>
      </c>
    </row>
    <row r="12" spans="1:35">
      <c r="A12" s="7" t="s">
        <v>18</v>
      </c>
      <c r="B12" s="7" t="s">
        <v>108</v>
      </c>
      <c r="C12" s="7"/>
      <c r="D12" s="7">
        <v>596</v>
      </c>
      <c r="E12" s="7">
        <v>202</v>
      </c>
      <c r="F12" s="7">
        <v>386</v>
      </c>
      <c r="G12" s="3">
        <v>0.28000000000000003</v>
      </c>
      <c r="H12" s="7">
        <v>180</v>
      </c>
      <c r="I12" s="7" t="s">
        <v>119</v>
      </c>
      <c r="J12" s="7"/>
      <c r="K12" s="7">
        <v>265</v>
      </c>
      <c r="L12" s="7">
        <v>-63</v>
      </c>
      <c r="M12" s="7"/>
      <c r="N12" s="7"/>
      <c r="O12" s="7">
        <v>0</v>
      </c>
      <c r="P12" s="7">
        <v>40.4</v>
      </c>
      <c r="Q12" s="19">
        <v>179.60000000000002</v>
      </c>
      <c r="R12" s="19">
        <v>168</v>
      </c>
      <c r="S12" s="7">
        <v>13.712871287128714</v>
      </c>
      <c r="T12" s="7">
        <v>9.5544554455445549</v>
      </c>
      <c r="U12" s="7">
        <v>31.8</v>
      </c>
      <c r="V12" s="7">
        <v>72</v>
      </c>
      <c r="W12" s="7">
        <v>50.4</v>
      </c>
      <c r="X12" s="7">
        <v>4.8</v>
      </c>
      <c r="Y12" s="7">
        <v>46.2</v>
      </c>
      <c r="Z12" s="7">
        <v>53</v>
      </c>
      <c r="AA12" s="7">
        <v>89.2</v>
      </c>
      <c r="AB12" s="7"/>
      <c r="AC12" s="7">
        <v>50.288000000000011</v>
      </c>
      <c r="AD12" s="3">
        <v>6</v>
      </c>
      <c r="AE12" s="4">
        <v>28</v>
      </c>
      <c r="AF12" s="7">
        <v>47.040000000000006</v>
      </c>
      <c r="AG12" s="7">
        <v>14</v>
      </c>
      <c r="AH12" s="7">
        <v>140</v>
      </c>
      <c r="AI12" s="4">
        <v>0.2</v>
      </c>
    </row>
    <row r="13" spans="1:35">
      <c r="A13" s="7" t="s">
        <v>20</v>
      </c>
      <c r="B13" s="7" t="s">
        <v>108</v>
      </c>
      <c r="C13" s="7">
        <v>17</v>
      </c>
      <c r="D13" s="7">
        <v>856</v>
      </c>
      <c r="E13" s="7">
        <v>402</v>
      </c>
      <c r="F13" s="7">
        <v>483</v>
      </c>
      <c r="G13" s="3">
        <v>0.24</v>
      </c>
      <c r="H13" s="7">
        <v>180</v>
      </c>
      <c r="I13" s="7" t="s">
        <v>120</v>
      </c>
      <c r="J13" s="7"/>
      <c r="K13" s="7">
        <v>446</v>
      </c>
      <c r="L13" s="7">
        <v>-44</v>
      </c>
      <c r="M13" s="7"/>
      <c r="N13" s="7"/>
      <c r="O13" s="7">
        <v>840</v>
      </c>
      <c r="P13" s="7">
        <v>80.400000000000006</v>
      </c>
      <c r="Q13" s="19"/>
      <c r="R13" s="19">
        <v>0</v>
      </c>
      <c r="S13" s="7">
        <v>16.455223880597014</v>
      </c>
      <c r="T13" s="7">
        <v>16.455223880597014</v>
      </c>
      <c r="U13" s="7">
        <v>100.2</v>
      </c>
      <c r="V13" s="7">
        <v>39</v>
      </c>
      <c r="W13" s="7">
        <v>70</v>
      </c>
      <c r="X13" s="7">
        <v>68.599999999999994</v>
      </c>
      <c r="Y13" s="7">
        <v>57</v>
      </c>
      <c r="Z13" s="7">
        <v>68</v>
      </c>
      <c r="AA13" s="7">
        <v>76.2</v>
      </c>
      <c r="AB13" s="7"/>
      <c r="AC13" s="7">
        <v>0</v>
      </c>
      <c r="AD13" s="3">
        <v>12</v>
      </c>
      <c r="AE13" s="4">
        <v>0</v>
      </c>
      <c r="AF13" s="7">
        <v>0</v>
      </c>
      <c r="AG13" s="7">
        <v>14</v>
      </c>
      <c r="AH13" s="7">
        <v>70</v>
      </c>
      <c r="AI13" s="4">
        <v>0</v>
      </c>
    </row>
    <row r="14" spans="1:35">
      <c r="A14" s="7" t="s">
        <v>27</v>
      </c>
      <c r="B14" s="7" t="s">
        <v>108</v>
      </c>
      <c r="C14" s="7">
        <v>-22</v>
      </c>
      <c r="D14" s="7">
        <v>526</v>
      </c>
      <c r="E14" s="7">
        <v>299</v>
      </c>
      <c r="F14" s="7">
        <v>197</v>
      </c>
      <c r="G14" s="3">
        <v>0.24</v>
      </c>
      <c r="H14" s="7">
        <v>180</v>
      </c>
      <c r="I14" s="7" t="s">
        <v>121</v>
      </c>
      <c r="J14" s="7"/>
      <c r="K14" s="7">
        <v>343</v>
      </c>
      <c r="L14" s="7">
        <v>-44</v>
      </c>
      <c r="M14" s="7"/>
      <c r="N14" s="7"/>
      <c r="O14" s="7">
        <v>1008</v>
      </c>
      <c r="P14" s="7">
        <v>59.8</v>
      </c>
      <c r="Q14" s="19"/>
      <c r="R14" s="19">
        <v>0</v>
      </c>
      <c r="S14" s="7">
        <v>20.150501672240804</v>
      </c>
      <c r="T14" s="7">
        <v>20.150501672240804</v>
      </c>
      <c r="U14" s="7">
        <v>82.8</v>
      </c>
      <c r="V14" s="7">
        <v>80.599999999999994</v>
      </c>
      <c r="W14" s="7">
        <v>94.6</v>
      </c>
      <c r="X14" s="7">
        <v>67.8</v>
      </c>
      <c r="Y14" s="7">
        <v>77.599999999999994</v>
      </c>
      <c r="Z14" s="7">
        <v>50.4</v>
      </c>
      <c r="AA14" s="7">
        <v>75.2</v>
      </c>
      <c r="AB14" s="7"/>
      <c r="AC14" s="7">
        <v>0</v>
      </c>
      <c r="AD14" s="3">
        <v>12</v>
      </c>
      <c r="AE14" s="4">
        <v>0</v>
      </c>
      <c r="AF14" s="7">
        <v>0</v>
      </c>
      <c r="AG14" s="7">
        <v>14</v>
      </c>
      <c r="AH14" s="7">
        <v>70</v>
      </c>
      <c r="AI14" s="4">
        <v>0</v>
      </c>
    </row>
    <row r="15" spans="1:35">
      <c r="A15" s="7" t="s">
        <v>28</v>
      </c>
      <c r="B15" s="7" t="s">
        <v>108</v>
      </c>
      <c r="C15" s="7">
        <v>2</v>
      </c>
      <c r="D15" s="7">
        <v>680</v>
      </c>
      <c r="E15" s="7">
        <v>316</v>
      </c>
      <c r="F15" s="7">
        <v>363</v>
      </c>
      <c r="G15" s="3">
        <v>0.24</v>
      </c>
      <c r="H15" s="7">
        <v>180</v>
      </c>
      <c r="I15" s="7" t="s">
        <v>122</v>
      </c>
      <c r="J15" s="7"/>
      <c r="K15" s="7">
        <v>349</v>
      </c>
      <c r="L15" s="7">
        <v>-33</v>
      </c>
      <c r="M15" s="7"/>
      <c r="N15" s="7"/>
      <c r="O15" s="7">
        <v>168</v>
      </c>
      <c r="P15" s="7">
        <v>63.2</v>
      </c>
      <c r="Q15" s="19">
        <v>353.80000000000007</v>
      </c>
      <c r="R15" s="19">
        <v>336</v>
      </c>
      <c r="S15" s="7">
        <v>13.718354430379746</v>
      </c>
      <c r="T15" s="7">
        <v>8.4018987341772142</v>
      </c>
      <c r="U15" s="7">
        <v>48.6</v>
      </c>
      <c r="V15" s="7">
        <v>46.6</v>
      </c>
      <c r="W15" s="7">
        <v>47.8</v>
      </c>
      <c r="X15" s="7">
        <v>38.6</v>
      </c>
      <c r="Y15" s="7">
        <v>20.8</v>
      </c>
      <c r="Z15" s="7">
        <v>47.6</v>
      </c>
      <c r="AA15" s="7">
        <v>42</v>
      </c>
      <c r="AB15" s="7"/>
      <c r="AC15" s="7">
        <v>84.912000000000006</v>
      </c>
      <c r="AD15" s="3">
        <v>12</v>
      </c>
      <c r="AE15" s="4">
        <v>28</v>
      </c>
      <c r="AF15" s="7">
        <v>80.64</v>
      </c>
      <c r="AG15" s="7">
        <v>14</v>
      </c>
      <c r="AH15" s="7">
        <v>70</v>
      </c>
      <c r="AI15" s="4">
        <v>0.4</v>
      </c>
    </row>
    <row r="16" spans="1:35">
      <c r="A16" s="7" t="s">
        <v>10</v>
      </c>
      <c r="B16" s="7" t="s">
        <v>108</v>
      </c>
      <c r="C16" s="7">
        <v>101</v>
      </c>
      <c r="D16" s="7">
        <v>688</v>
      </c>
      <c r="E16" s="14">
        <v>401</v>
      </c>
      <c r="F16" s="14">
        <v>311</v>
      </c>
      <c r="G16" s="3">
        <v>0.24</v>
      </c>
      <c r="H16" s="7">
        <v>180</v>
      </c>
      <c r="I16" s="7" t="s">
        <v>123</v>
      </c>
      <c r="J16" s="7"/>
      <c r="K16" s="7">
        <v>519</v>
      </c>
      <c r="L16" s="7">
        <v>-118</v>
      </c>
      <c r="M16" s="7"/>
      <c r="N16" s="7"/>
      <c r="O16" s="7">
        <v>840</v>
      </c>
      <c r="P16" s="7">
        <v>80.2</v>
      </c>
      <c r="Q16" s="19"/>
      <c r="R16" s="19">
        <v>0</v>
      </c>
      <c r="S16" s="7">
        <v>14.351620947630922</v>
      </c>
      <c r="T16" s="7">
        <v>14.351620947630922</v>
      </c>
      <c r="U16" s="7">
        <v>89.2</v>
      </c>
      <c r="V16" s="7">
        <v>81.599999999999994</v>
      </c>
      <c r="W16" s="7">
        <v>46.6</v>
      </c>
      <c r="X16" s="7">
        <v>53.2</v>
      </c>
      <c r="Y16" s="7">
        <v>82.6</v>
      </c>
      <c r="Z16" s="7">
        <v>50.4</v>
      </c>
      <c r="AA16" s="7">
        <v>78</v>
      </c>
      <c r="AB16" s="7"/>
      <c r="AC16" s="7">
        <v>0</v>
      </c>
      <c r="AD16" s="3">
        <v>12</v>
      </c>
      <c r="AE16" s="4">
        <v>0</v>
      </c>
      <c r="AF16" s="7">
        <v>0</v>
      </c>
      <c r="AG16" s="7">
        <v>14</v>
      </c>
      <c r="AH16" s="7">
        <v>70</v>
      </c>
      <c r="AI16" s="4">
        <v>0</v>
      </c>
    </row>
    <row r="17" spans="1:35">
      <c r="A17" s="7" t="s">
        <v>124</v>
      </c>
      <c r="B17" s="7" t="s">
        <v>108</v>
      </c>
      <c r="C17" s="7"/>
      <c r="D17" s="7">
        <v>448</v>
      </c>
      <c r="E17" s="7">
        <v>134</v>
      </c>
      <c r="F17" s="7">
        <v>314</v>
      </c>
      <c r="G17" s="3">
        <v>0.48</v>
      </c>
      <c r="H17" s="7">
        <v>180</v>
      </c>
      <c r="I17" s="7" t="s">
        <v>125</v>
      </c>
      <c r="J17" s="7"/>
      <c r="K17" s="7">
        <v>138</v>
      </c>
      <c r="L17" s="7">
        <v>-4</v>
      </c>
      <c r="M17" s="7"/>
      <c r="N17" s="7"/>
      <c r="O17" s="7">
        <v>0</v>
      </c>
      <c r="P17" s="7">
        <v>26.8</v>
      </c>
      <c r="Q17" s="19">
        <v>61.199999999999989</v>
      </c>
      <c r="R17" s="19">
        <v>112</v>
      </c>
      <c r="S17" s="7">
        <v>15.895522388059701</v>
      </c>
      <c r="T17" s="7">
        <v>11.716417910447761</v>
      </c>
      <c r="U17" s="7">
        <v>0.6</v>
      </c>
      <c r="V17" s="7">
        <v>3.8</v>
      </c>
      <c r="W17" s="7">
        <v>20.2</v>
      </c>
      <c r="X17" s="7">
        <v>0</v>
      </c>
      <c r="Y17" s="7">
        <v>10</v>
      </c>
      <c r="Z17" s="7">
        <v>16.399999999999999</v>
      </c>
      <c r="AA17" s="7">
        <v>23.2</v>
      </c>
      <c r="AB17" s="7"/>
      <c r="AC17" s="7">
        <v>29.375999999999994</v>
      </c>
      <c r="AD17" s="3">
        <v>8</v>
      </c>
      <c r="AE17" s="4">
        <v>14</v>
      </c>
      <c r="AF17" s="7">
        <v>53.76</v>
      </c>
      <c r="AG17" s="7">
        <v>14</v>
      </c>
      <c r="AH17" s="7">
        <v>70</v>
      </c>
      <c r="AI17" s="4">
        <v>0.2</v>
      </c>
    </row>
    <row r="18" spans="1:35">
      <c r="A18" s="7" t="s">
        <v>4</v>
      </c>
      <c r="B18" s="7" t="s">
        <v>108</v>
      </c>
      <c r="C18" s="7">
        <v>2</v>
      </c>
      <c r="D18" s="7">
        <v>336</v>
      </c>
      <c r="E18" s="7">
        <v>139</v>
      </c>
      <c r="F18" s="7">
        <v>199</v>
      </c>
      <c r="G18" s="3">
        <v>0.09</v>
      </c>
      <c r="H18" s="7">
        <v>180</v>
      </c>
      <c r="I18" s="7" t="s">
        <v>126</v>
      </c>
      <c r="J18" s="7"/>
      <c r="K18" s="7">
        <v>173</v>
      </c>
      <c r="L18" s="7">
        <v>-34</v>
      </c>
      <c r="M18" s="7"/>
      <c r="N18" s="7"/>
      <c r="O18" s="7">
        <v>0</v>
      </c>
      <c r="P18" s="7">
        <v>27.8</v>
      </c>
      <c r="Q18" s="19">
        <v>190.2</v>
      </c>
      <c r="R18" s="19">
        <v>336</v>
      </c>
      <c r="S18" s="7">
        <v>19.244604316546763</v>
      </c>
      <c r="T18" s="7">
        <v>7.1582733812949639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42.2</v>
      </c>
      <c r="AB18" s="7"/>
      <c r="AC18" s="7">
        <v>17.117999999999999</v>
      </c>
      <c r="AD18" s="3">
        <v>24</v>
      </c>
      <c r="AE18" s="4">
        <v>14</v>
      </c>
      <c r="AF18" s="7">
        <v>30.24</v>
      </c>
      <c r="AG18" s="7">
        <v>14</v>
      </c>
      <c r="AH18" s="7">
        <v>126</v>
      </c>
      <c r="AI18" s="4">
        <v>0.1111111111111111</v>
      </c>
    </row>
    <row r="19" spans="1:35">
      <c r="A19" s="7" t="s">
        <v>127</v>
      </c>
      <c r="B19" s="7" t="s">
        <v>108</v>
      </c>
      <c r="C19" s="7">
        <v>106</v>
      </c>
      <c r="D19" s="7">
        <v>141</v>
      </c>
      <c r="E19" s="7">
        <v>104</v>
      </c>
      <c r="F19" s="7">
        <v>143</v>
      </c>
      <c r="G19" s="3">
        <v>0.36</v>
      </c>
      <c r="H19" s="7">
        <v>180</v>
      </c>
      <c r="I19" s="7" t="s">
        <v>128</v>
      </c>
      <c r="J19" s="7"/>
      <c r="K19" s="7">
        <v>104</v>
      </c>
      <c r="L19" s="7">
        <v>0</v>
      </c>
      <c r="M19" s="7"/>
      <c r="N19" s="7"/>
      <c r="O19" s="7">
        <v>560</v>
      </c>
      <c r="P19" s="7">
        <v>20.8</v>
      </c>
      <c r="Q19" s="19"/>
      <c r="R19" s="19">
        <v>0</v>
      </c>
      <c r="S19" s="7">
        <v>33.79807692307692</v>
      </c>
      <c r="T19" s="7">
        <v>33.79807692307692</v>
      </c>
      <c r="U19" s="7">
        <v>45</v>
      </c>
      <c r="V19" s="7">
        <v>17.2</v>
      </c>
      <c r="W19" s="7">
        <v>24</v>
      </c>
      <c r="X19" s="7">
        <v>36</v>
      </c>
      <c r="Y19" s="7">
        <v>33.4</v>
      </c>
      <c r="Z19" s="7">
        <v>27.2</v>
      </c>
      <c r="AA19" s="7">
        <v>30.8</v>
      </c>
      <c r="AB19" s="7"/>
      <c r="AC19" s="7">
        <v>0</v>
      </c>
      <c r="AD19" s="3">
        <v>10</v>
      </c>
      <c r="AE19" s="4">
        <v>0</v>
      </c>
      <c r="AF19" s="7">
        <v>0</v>
      </c>
      <c r="AG19" s="7">
        <v>14</v>
      </c>
      <c r="AH19" s="7">
        <v>70</v>
      </c>
      <c r="AI19" s="4">
        <v>0</v>
      </c>
    </row>
    <row r="20" spans="1:35">
      <c r="A20" s="8" t="s">
        <v>129</v>
      </c>
      <c r="B20" s="8" t="s">
        <v>108</v>
      </c>
      <c r="C20" s="8">
        <v>56</v>
      </c>
      <c r="D20" s="8"/>
      <c r="E20" s="8"/>
      <c r="F20" s="8">
        <v>56</v>
      </c>
      <c r="G20" s="9">
        <v>0</v>
      </c>
      <c r="H20" s="8"/>
      <c r="I20" s="8" t="s">
        <v>130</v>
      </c>
      <c r="J20" s="8"/>
      <c r="K20" s="8">
        <v>12</v>
      </c>
      <c r="L20" s="8">
        <v>-12</v>
      </c>
      <c r="M20" s="8"/>
      <c r="N20" s="8"/>
      <c r="O20" s="8"/>
      <c r="P20" s="8">
        <v>0</v>
      </c>
      <c r="Q20" s="10"/>
      <c r="R20" s="10"/>
      <c r="S20" s="8" t="e">
        <v>#DIV/0!</v>
      </c>
      <c r="T20" s="8" t="e">
        <v>#DIV/0!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13" t="s">
        <v>131</v>
      </c>
      <c r="AC20" s="8"/>
      <c r="AD20" s="9"/>
      <c r="AE20" s="11"/>
      <c r="AF20" s="8"/>
      <c r="AG20" s="8"/>
      <c r="AH20" s="8"/>
      <c r="AI20" s="11"/>
    </row>
    <row r="21" spans="1:35">
      <c r="A21" s="8" t="s">
        <v>132</v>
      </c>
      <c r="B21" s="8" t="s">
        <v>108</v>
      </c>
      <c r="C21" s="8"/>
      <c r="D21" s="8"/>
      <c r="E21" s="14">
        <v>1</v>
      </c>
      <c r="F21" s="14">
        <v>-1</v>
      </c>
      <c r="G21" s="9">
        <v>0</v>
      </c>
      <c r="H21" s="8"/>
      <c r="I21" s="12" t="s">
        <v>133</v>
      </c>
      <c r="J21" s="8" t="s">
        <v>134</v>
      </c>
      <c r="K21" s="8">
        <v>1</v>
      </c>
      <c r="L21" s="8">
        <v>0</v>
      </c>
      <c r="M21" s="8"/>
      <c r="N21" s="8"/>
      <c r="O21" s="8"/>
      <c r="P21" s="8">
        <v>0.2</v>
      </c>
      <c r="Q21" s="10"/>
      <c r="R21" s="10"/>
      <c r="S21" s="8">
        <v>-5</v>
      </c>
      <c r="T21" s="8">
        <v>-5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/>
      <c r="AC21" s="8"/>
      <c r="AD21" s="9"/>
      <c r="AE21" s="11"/>
      <c r="AF21" s="8"/>
      <c r="AG21" s="8"/>
      <c r="AH21" s="8"/>
      <c r="AI21" s="11"/>
    </row>
    <row r="22" spans="1:35">
      <c r="A22" s="6" t="s">
        <v>134</v>
      </c>
      <c r="B22" s="7" t="s">
        <v>108</v>
      </c>
      <c r="C22" s="7"/>
      <c r="D22" s="7">
        <v>504</v>
      </c>
      <c r="E22" s="14">
        <v>103</v>
      </c>
      <c r="F22" s="14">
        <v>401</v>
      </c>
      <c r="G22" s="3">
        <v>0.2</v>
      </c>
      <c r="H22" s="7">
        <v>180</v>
      </c>
      <c r="I22" s="7" t="s">
        <v>135</v>
      </c>
      <c r="J22" s="7"/>
      <c r="K22" s="7">
        <v>108</v>
      </c>
      <c r="L22" s="7">
        <v>-5</v>
      </c>
      <c r="M22" s="7"/>
      <c r="N22" s="7"/>
      <c r="O22" s="7">
        <v>0</v>
      </c>
      <c r="P22" s="7">
        <v>20.6</v>
      </c>
      <c r="Q22" s="19"/>
      <c r="R22" s="19">
        <v>0</v>
      </c>
      <c r="S22" s="7">
        <v>19.466019417475728</v>
      </c>
      <c r="T22" s="7">
        <v>19.466019417475728</v>
      </c>
      <c r="U22" s="7">
        <v>0</v>
      </c>
      <c r="V22" s="7">
        <v>1.6</v>
      </c>
      <c r="W22" s="7">
        <v>22.8</v>
      </c>
      <c r="X22" s="7">
        <v>9.1999999999999993</v>
      </c>
      <c r="Y22" s="7">
        <v>4.2</v>
      </c>
      <c r="Z22" s="7">
        <v>9</v>
      </c>
      <c r="AA22" s="7">
        <v>12.8</v>
      </c>
      <c r="AB22" s="7"/>
      <c r="AC22" s="7">
        <v>0</v>
      </c>
      <c r="AD22" s="3">
        <v>12</v>
      </c>
      <c r="AE22" s="4">
        <v>0</v>
      </c>
      <c r="AF22" s="7">
        <v>0</v>
      </c>
      <c r="AG22" s="7">
        <v>14</v>
      </c>
      <c r="AH22" s="7">
        <v>70</v>
      </c>
      <c r="AI22" s="4">
        <v>0</v>
      </c>
    </row>
    <row r="23" spans="1:35">
      <c r="A23" s="7" t="s">
        <v>3</v>
      </c>
      <c r="B23" s="7" t="s">
        <v>108</v>
      </c>
      <c r="C23" s="7">
        <v>-5</v>
      </c>
      <c r="D23" s="7">
        <v>516</v>
      </c>
      <c r="E23" s="7">
        <v>168</v>
      </c>
      <c r="F23" s="7">
        <v>330</v>
      </c>
      <c r="G23" s="3">
        <v>0.2</v>
      </c>
      <c r="H23" s="7">
        <v>180</v>
      </c>
      <c r="I23" s="7" t="s">
        <v>136</v>
      </c>
      <c r="J23" s="7"/>
      <c r="K23" s="7">
        <v>211</v>
      </c>
      <c r="L23" s="7">
        <v>-43</v>
      </c>
      <c r="M23" s="7"/>
      <c r="N23" s="7"/>
      <c r="O23" s="7">
        <v>840</v>
      </c>
      <c r="P23" s="7">
        <v>33.6</v>
      </c>
      <c r="Q23" s="19"/>
      <c r="R23" s="19">
        <v>0</v>
      </c>
      <c r="S23" s="7">
        <v>34.821428571428569</v>
      </c>
      <c r="T23" s="7">
        <v>34.821428571428569</v>
      </c>
      <c r="U23" s="7">
        <v>79.8</v>
      </c>
      <c r="V23" s="7">
        <v>28.6</v>
      </c>
      <c r="W23" s="7">
        <v>48</v>
      </c>
      <c r="X23" s="7">
        <v>53.4</v>
      </c>
      <c r="Y23" s="7">
        <v>39.4</v>
      </c>
      <c r="Z23" s="7">
        <v>34.200000000000003</v>
      </c>
      <c r="AA23" s="7">
        <v>47.2</v>
      </c>
      <c r="AB23" s="7"/>
      <c r="AC23" s="7">
        <v>0</v>
      </c>
      <c r="AD23" s="3">
        <v>12</v>
      </c>
      <c r="AE23" s="4">
        <v>0</v>
      </c>
      <c r="AF23" s="7">
        <v>0</v>
      </c>
      <c r="AG23" s="7">
        <v>14</v>
      </c>
      <c r="AH23" s="7">
        <v>70</v>
      </c>
      <c r="AI23" s="4">
        <v>0</v>
      </c>
    </row>
    <row r="24" spans="1:35">
      <c r="A24" s="7" t="s">
        <v>2</v>
      </c>
      <c r="B24" s="7" t="s">
        <v>108</v>
      </c>
      <c r="C24" s="7">
        <v>18</v>
      </c>
      <c r="D24" s="7">
        <v>522</v>
      </c>
      <c r="E24" s="7">
        <v>184</v>
      </c>
      <c r="F24" s="7">
        <v>344</v>
      </c>
      <c r="G24" s="3">
        <v>0.2</v>
      </c>
      <c r="H24" s="7">
        <v>180</v>
      </c>
      <c r="I24" s="7" t="s">
        <v>137</v>
      </c>
      <c r="J24" s="7"/>
      <c r="K24" s="7">
        <v>221</v>
      </c>
      <c r="L24" s="7">
        <v>-37</v>
      </c>
      <c r="M24" s="7"/>
      <c r="N24" s="7"/>
      <c r="O24" s="7">
        <v>168</v>
      </c>
      <c r="P24" s="7">
        <v>36.799999999999997</v>
      </c>
      <c r="Q24" s="19"/>
      <c r="R24" s="19">
        <v>0</v>
      </c>
      <c r="S24" s="7">
        <v>13.913043478260871</v>
      </c>
      <c r="T24" s="7">
        <v>13.913043478260871</v>
      </c>
      <c r="U24" s="7">
        <v>41.2</v>
      </c>
      <c r="V24" s="7">
        <v>26</v>
      </c>
      <c r="W24" s="7">
        <v>11.6</v>
      </c>
      <c r="X24" s="7">
        <v>21</v>
      </c>
      <c r="Y24" s="7">
        <v>11.4</v>
      </c>
      <c r="Z24" s="7">
        <v>19.8</v>
      </c>
      <c r="AA24" s="7">
        <v>25.2</v>
      </c>
      <c r="AB24" s="7"/>
      <c r="AC24" s="7">
        <v>0</v>
      </c>
      <c r="AD24" s="3">
        <v>12</v>
      </c>
      <c r="AE24" s="4">
        <v>0</v>
      </c>
      <c r="AF24" s="7">
        <v>0</v>
      </c>
      <c r="AG24" s="7">
        <v>14</v>
      </c>
      <c r="AH24" s="7">
        <v>70</v>
      </c>
      <c r="AI24" s="4">
        <v>0</v>
      </c>
    </row>
    <row r="25" spans="1:35">
      <c r="A25" s="7" t="s">
        <v>138</v>
      </c>
      <c r="B25" s="7" t="s">
        <v>112</v>
      </c>
      <c r="C25" s="7">
        <v>5</v>
      </c>
      <c r="D25" s="7">
        <v>60</v>
      </c>
      <c r="E25" s="7">
        <v>40</v>
      </c>
      <c r="F25" s="7">
        <v>25</v>
      </c>
      <c r="G25" s="3">
        <v>1</v>
      </c>
      <c r="H25" s="7">
        <v>180</v>
      </c>
      <c r="I25" s="7" t="s">
        <v>139</v>
      </c>
      <c r="J25" s="7"/>
      <c r="K25" s="7">
        <v>120</v>
      </c>
      <c r="L25" s="7">
        <v>-80</v>
      </c>
      <c r="M25" s="7"/>
      <c r="N25" s="7"/>
      <c r="O25" s="7">
        <v>0</v>
      </c>
      <c r="P25" s="7">
        <v>8</v>
      </c>
      <c r="Q25" s="19">
        <v>79</v>
      </c>
      <c r="R25" s="19">
        <v>60</v>
      </c>
      <c r="S25" s="7">
        <v>10.625</v>
      </c>
      <c r="T25" s="7">
        <v>3.125</v>
      </c>
      <c r="U25" s="7">
        <v>0</v>
      </c>
      <c r="V25" s="7">
        <v>0</v>
      </c>
      <c r="W25" s="7">
        <v>10</v>
      </c>
      <c r="X25" s="7">
        <v>20</v>
      </c>
      <c r="Y25" s="7">
        <v>20</v>
      </c>
      <c r="Z25" s="7">
        <v>18</v>
      </c>
      <c r="AA25" s="7">
        <v>15</v>
      </c>
      <c r="AB25" s="7"/>
      <c r="AC25" s="7">
        <v>79</v>
      </c>
      <c r="AD25" s="3">
        <v>5</v>
      </c>
      <c r="AE25" s="4">
        <v>12</v>
      </c>
      <c r="AF25" s="7">
        <v>60</v>
      </c>
      <c r="AG25" s="7">
        <v>12</v>
      </c>
      <c r="AH25" s="7">
        <v>84</v>
      </c>
      <c r="AI25" s="4">
        <v>0.14285714285714285</v>
      </c>
    </row>
    <row r="26" spans="1:35">
      <c r="A26" s="7" t="s">
        <v>140</v>
      </c>
      <c r="B26" s="7" t="s">
        <v>112</v>
      </c>
      <c r="C26" s="7">
        <v>69</v>
      </c>
      <c r="D26" s="7">
        <v>420</v>
      </c>
      <c r="E26" s="7">
        <v>57</v>
      </c>
      <c r="F26" s="7">
        <v>426</v>
      </c>
      <c r="G26" s="3">
        <v>1</v>
      </c>
      <c r="H26" s="7">
        <v>180</v>
      </c>
      <c r="I26" s="7" t="s">
        <v>141</v>
      </c>
      <c r="J26" s="7"/>
      <c r="K26" s="7">
        <v>62.3</v>
      </c>
      <c r="L26" s="7">
        <v>-5.2999999999999972</v>
      </c>
      <c r="M26" s="7"/>
      <c r="N26" s="7"/>
      <c r="O26" s="7">
        <v>0</v>
      </c>
      <c r="P26" s="7">
        <v>11.4</v>
      </c>
      <c r="Q26" s="19"/>
      <c r="R26" s="19">
        <v>0</v>
      </c>
      <c r="S26" s="7">
        <v>37.368421052631575</v>
      </c>
      <c r="T26" s="7">
        <v>37.368421052631575</v>
      </c>
      <c r="U26" s="7">
        <v>8.4</v>
      </c>
      <c r="V26" s="7">
        <v>14.4</v>
      </c>
      <c r="W26" s="7">
        <v>7.2</v>
      </c>
      <c r="X26" s="7">
        <v>12.6</v>
      </c>
      <c r="Y26" s="7">
        <v>11.4</v>
      </c>
      <c r="Z26" s="7">
        <v>10.74</v>
      </c>
      <c r="AA26" s="7">
        <v>12.6</v>
      </c>
      <c r="AB26" s="7"/>
      <c r="AC26" s="7">
        <v>0</v>
      </c>
      <c r="AD26" s="3">
        <v>3</v>
      </c>
      <c r="AE26" s="4">
        <v>0</v>
      </c>
      <c r="AF26" s="7">
        <v>0</v>
      </c>
      <c r="AG26" s="7">
        <v>14</v>
      </c>
      <c r="AH26" s="7">
        <v>126</v>
      </c>
      <c r="AI26" s="4">
        <v>0</v>
      </c>
    </row>
    <row r="27" spans="1:35">
      <c r="A27" s="7" t="s">
        <v>32</v>
      </c>
      <c r="B27" s="7" t="s">
        <v>108</v>
      </c>
      <c r="C27" s="7">
        <v>-70</v>
      </c>
      <c r="D27" s="7">
        <v>1192</v>
      </c>
      <c r="E27" s="7">
        <v>437</v>
      </c>
      <c r="F27" s="7">
        <v>683</v>
      </c>
      <c r="G27" s="3">
        <v>0.25</v>
      </c>
      <c r="H27" s="7">
        <v>365</v>
      </c>
      <c r="I27" s="7" t="s">
        <v>142</v>
      </c>
      <c r="J27" s="7"/>
      <c r="K27" s="7">
        <v>438</v>
      </c>
      <c r="L27" s="7">
        <v>-1</v>
      </c>
      <c r="M27" s="7"/>
      <c r="N27" s="7"/>
      <c r="O27" s="7">
        <v>0</v>
      </c>
      <c r="P27" s="7">
        <v>87.4</v>
      </c>
      <c r="Q27" s="19">
        <v>540.60000000000014</v>
      </c>
      <c r="R27" s="19">
        <v>504</v>
      </c>
      <c r="S27" s="7">
        <v>13.581235697940503</v>
      </c>
      <c r="T27" s="7">
        <v>7.8146453089244847</v>
      </c>
      <c r="U27" s="7">
        <v>51.4</v>
      </c>
      <c r="V27" s="7">
        <v>75</v>
      </c>
      <c r="W27" s="7">
        <v>81.2</v>
      </c>
      <c r="X27" s="7">
        <v>69.599999999999994</v>
      </c>
      <c r="Y27" s="7">
        <v>60.6</v>
      </c>
      <c r="Z27" s="7">
        <v>69.8</v>
      </c>
      <c r="AA27" s="7">
        <v>72.8</v>
      </c>
      <c r="AB27" s="7"/>
      <c r="AC27" s="7">
        <v>135.15000000000003</v>
      </c>
      <c r="AD27" s="3">
        <v>6</v>
      </c>
      <c r="AE27" s="4">
        <v>84</v>
      </c>
      <c r="AF27" s="7">
        <v>126</v>
      </c>
      <c r="AG27" s="7">
        <v>14</v>
      </c>
      <c r="AH27" s="7">
        <v>140</v>
      </c>
      <c r="AI27" s="4">
        <v>0.6</v>
      </c>
    </row>
    <row r="28" spans="1:35">
      <c r="A28" s="7" t="s">
        <v>31</v>
      </c>
      <c r="B28" s="7" t="s">
        <v>108</v>
      </c>
      <c r="C28" s="7"/>
      <c r="D28" s="7">
        <v>103</v>
      </c>
      <c r="E28" s="7">
        <v>75</v>
      </c>
      <c r="F28" s="7">
        <v>28</v>
      </c>
      <c r="G28" s="3">
        <v>0.25</v>
      </c>
      <c r="H28" s="7">
        <v>365</v>
      </c>
      <c r="I28" s="7" t="s">
        <v>143</v>
      </c>
      <c r="J28" s="7"/>
      <c r="K28" s="7">
        <v>140</v>
      </c>
      <c r="L28" s="7">
        <v>-65</v>
      </c>
      <c r="M28" s="7"/>
      <c r="N28" s="7"/>
      <c r="O28" s="7">
        <v>588</v>
      </c>
      <c r="P28" s="7">
        <v>15</v>
      </c>
      <c r="Q28" s="19"/>
      <c r="R28" s="19">
        <v>0</v>
      </c>
      <c r="S28" s="7">
        <v>41.06666666666667</v>
      </c>
      <c r="T28" s="7">
        <v>41.06666666666667</v>
      </c>
      <c r="U28" s="7">
        <v>41.4</v>
      </c>
      <c r="V28" s="7">
        <v>14.4</v>
      </c>
      <c r="W28" s="7">
        <v>14.4</v>
      </c>
      <c r="X28" s="7">
        <v>19.2</v>
      </c>
      <c r="Y28" s="7">
        <v>13.6</v>
      </c>
      <c r="Z28" s="7">
        <v>20.8</v>
      </c>
      <c r="AA28" s="7">
        <v>33.4</v>
      </c>
      <c r="AB28" s="7"/>
      <c r="AC28" s="7">
        <v>0</v>
      </c>
      <c r="AD28" s="3">
        <v>6</v>
      </c>
      <c r="AE28" s="4">
        <v>0</v>
      </c>
      <c r="AF28" s="7">
        <v>0</v>
      </c>
      <c r="AG28" s="7">
        <v>14</v>
      </c>
      <c r="AH28" s="7">
        <v>140</v>
      </c>
      <c r="AI28" s="4">
        <v>0</v>
      </c>
    </row>
    <row r="29" spans="1:35">
      <c r="A29" s="7" t="s">
        <v>144</v>
      </c>
      <c r="B29" s="7" t="s">
        <v>112</v>
      </c>
      <c r="C29" s="7"/>
      <c r="D29" s="7">
        <v>942</v>
      </c>
      <c r="E29" s="7">
        <v>126</v>
      </c>
      <c r="F29" s="7">
        <v>810</v>
      </c>
      <c r="G29" s="3">
        <v>1</v>
      </c>
      <c r="H29" s="7">
        <v>180</v>
      </c>
      <c r="I29" s="7" t="s">
        <v>145</v>
      </c>
      <c r="J29" s="7"/>
      <c r="K29" s="7">
        <v>173.7</v>
      </c>
      <c r="L29" s="7">
        <v>-47.699999999999989</v>
      </c>
      <c r="M29" s="7"/>
      <c r="N29" s="7"/>
      <c r="O29" s="7">
        <v>0</v>
      </c>
      <c r="P29" s="7">
        <v>25.2</v>
      </c>
      <c r="Q29" s="19"/>
      <c r="R29" s="19">
        <v>0</v>
      </c>
      <c r="S29" s="7">
        <v>32.142857142857146</v>
      </c>
      <c r="T29" s="7">
        <v>32.142857142857146</v>
      </c>
      <c r="U29" s="7">
        <v>0</v>
      </c>
      <c r="V29" s="7">
        <v>0</v>
      </c>
      <c r="W29" s="7">
        <v>14.4</v>
      </c>
      <c r="X29" s="7">
        <v>32.4</v>
      </c>
      <c r="Y29" s="7">
        <v>0</v>
      </c>
      <c r="Z29" s="7">
        <v>0</v>
      </c>
      <c r="AA29" s="7">
        <v>39.6</v>
      </c>
      <c r="AB29" s="7"/>
      <c r="AC29" s="7">
        <v>0</v>
      </c>
      <c r="AD29" s="3">
        <v>6</v>
      </c>
      <c r="AE29" s="4">
        <v>0</v>
      </c>
      <c r="AF29" s="7">
        <v>0</v>
      </c>
      <c r="AG29" s="7">
        <v>12</v>
      </c>
      <c r="AH29" s="7">
        <v>84</v>
      </c>
      <c r="AI29" s="4">
        <v>0</v>
      </c>
    </row>
    <row r="30" spans="1:35">
      <c r="A30" s="7" t="s">
        <v>19</v>
      </c>
      <c r="B30" s="7" t="s">
        <v>108</v>
      </c>
      <c r="C30" s="7"/>
      <c r="D30" s="7">
        <v>492</v>
      </c>
      <c r="E30" s="7">
        <v>117</v>
      </c>
      <c r="F30" s="7">
        <v>375</v>
      </c>
      <c r="G30" s="3">
        <v>0.23</v>
      </c>
      <c r="H30" s="7">
        <v>180</v>
      </c>
      <c r="I30" s="7" t="s">
        <v>146</v>
      </c>
      <c r="J30" s="7"/>
      <c r="K30" s="7">
        <v>129</v>
      </c>
      <c r="L30" s="7">
        <v>-12</v>
      </c>
      <c r="M30" s="7"/>
      <c r="N30" s="7"/>
      <c r="O30" s="7">
        <v>0</v>
      </c>
      <c r="P30" s="7">
        <v>23.4</v>
      </c>
      <c r="Q30" s="19"/>
      <c r="R30" s="19">
        <v>0</v>
      </c>
      <c r="S30" s="7">
        <v>16.025641025641026</v>
      </c>
      <c r="T30" s="7">
        <v>16.025641025641026</v>
      </c>
      <c r="U30" s="7">
        <v>6.4</v>
      </c>
      <c r="V30" s="7">
        <v>20.399999999999999</v>
      </c>
      <c r="W30" s="7">
        <v>12.6</v>
      </c>
      <c r="X30" s="7">
        <v>7.6</v>
      </c>
      <c r="Y30" s="7">
        <v>20.2</v>
      </c>
      <c r="Z30" s="7">
        <v>12.6</v>
      </c>
      <c r="AA30" s="7">
        <v>17.8</v>
      </c>
      <c r="AB30" s="7"/>
      <c r="AC30" s="7">
        <v>0</v>
      </c>
      <c r="AD30" s="3">
        <v>12</v>
      </c>
      <c r="AE30" s="4">
        <v>0</v>
      </c>
      <c r="AF30" s="7">
        <v>0</v>
      </c>
      <c r="AG30" s="7">
        <v>14</v>
      </c>
      <c r="AH30" s="7">
        <v>70</v>
      </c>
      <c r="AI30" s="4">
        <v>0</v>
      </c>
    </row>
    <row r="31" spans="1:35">
      <c r="A31" s="7" t="s">
        <v>33</v>
      </c>
      <c r="B31" s="7" t="s">
        <v>108</v>
      </c>
      <c r="C31" s="7">
        <v>-2</v>
      </c>
      <c r="D31" s="7">
        <v>1016</v>
      </c>
      <c r="E31" s="7">
        <v>250</v>
      </c>
      <c r="F31" s="7">
        <v>744</v>
      </c>
      <c r="G31" s="3">
        <v>0.25</v>
      </c>
      <c r="H31" s="7">
        <v>365</v>
      </c>
      <c r="I31" s="7" t="s">
        <v>147</v>
      </c>
      <c r="J31" s="7"/>
      <c r="K31" s="7">
        <v>352</v>
      </c>
      <c r="L31" s="7">
        <v>-102</v>
      </c>
      <c r="M31" s="7"/>
      <c r="N31" s="7"/>
      <c r="O31" s="7">
        <v>0</v>
      </c>
      <c r="P31" s="7">
        <v>50</v>
      </c>
      <c r="Q31" s="19"/>
      <c r="R31" s="19">
        <v>0</v>
      </c>
      <c r="S31" s="7">
        <v>14.88</v>
      </c>
      <c r="T31" s="7">
        <v>14.88</v>
      </c>
      <c r="U31" s="7">
        <v>39.4</v>
      </c>
      <c r="V31" s="7">
        <v>58.6</v>
      </c>
      <c r="W31" s="7">
        <v>86.2</v>
      </c>
      <c r="X31" s="7">
        <v>60.2</v>
      </c>
      <c r="Y31" s="7">
        <v>80</v>
      </c>
      <c r="Z31" s="7">
        <v>40.799999999999997</v>
      </c>
      <c r="AA31" s="7">
        <v>47.8</v>
      </c>
      <c r="AB31" s="7"/>
      <c r="AC31" s="7">
        <v>0</v>
      </c>
      <c r="AD31" s="3">
        <v>12</v>
      </c>
      <c r="AE31" s="4">
        <v>0</v>
      </c>
      <c r="AF31" s="7">
        <v>0</v>
      </c>
      <c r="AG31" s="7">
        <v>14</v>
      </c>
      <c r="AH31" s="7">
        <v>70</v>
      </c>
      <c r="AI31" s="4">
        <v>0</v>
      </c>
    </row>
    <row r="32" spans="1:35">
      <c r="A32" s="7" t="s">
        <v>17</v>
      </c>
      <c r="B32" s="7" t="s">
        <v>108</v>
      </c>
      <c r="C32" s="7">
        <v>111</v>
      </c>
      <c r="D32" s="7">
        <v>516</v>
      </c>
      <c r="E32" s="7">
        <v>323</v>
      </c>
      <c r="F32" s="14">
        <v>295</v>
      </c>
      <c r="G32" s="3">
        <v>0.25</v>
      </c>
      <c r="H32" s="7">
        <v>365</v>
      </c>
      <c r="I32" s="7" t="s">
        <v>148</v>
      </c>
      <c r="J32" s="7"/>
      <c r="K32" s="7">
        <v>364</v>
      </c>
      <c r="L32" s="7">
        <v>-41</v>
      </c>
      <c r="M32" s="7"/>
      <c r="N32" s="7"/>
      <c r="O32" s="7">
        <v>840</v>
      </c>
      <c r="P32" s="7">
        <v>64.599999999999994</v>
      </c>
      <c r="Q32" s="19"/>
      <c r="R32" s="19">
        <v>0</v>
      </c>
      <c r="S32" s="7">
        <v>17.569659442724461</v>
      </c>
      <c r="T32" s="7">
        <v>17.569659442724461</v>
      </c>
      <c r="U32" s="7">
        <v>80</v>
      </c>
      <c r="V32" s="7">
        <v>62.4</v>
      </c>
      <c r="W32" s="7">
        <v>38.4</v>
      </c>
      <c r="X32" s="7">
        <v>48.4</v>
      </c>
      <c r="Y32" s="7">
        <v>47.4</v>
      </c>
      <c r="Z32" s="7">
        <v>42.6</v>
      </c>
      <c r="AA32" s="7">
        <v>62</v>
      </c>
      <c r="AB32" s="7"/>
      <c r="AC32" s="7">
        <v>0</v>
      </c>
      <c r="AD32" s="3">
        <v>12</v>
      </c>
      <c r="AE32" s="4">
        <v>0</v>
      </c>
      <c r="AF32" s="7">
        <v>0</v>
      </c>
      <c r="AG32" s="7">
        <v>14</v>
      </c>
      <c r="AH32" s="7">
        <v>70</v>
      </c>
      <c r="AI32" s="4">
        <v>0</v>
      </c>
    </row>
    <row r="33" spans="1:35">
      <c r="A33" s="8" t="s">
        <v>149</v>
      </c>
      <c r="B33" s="8" t="s">
        <v>108</v>
      </c>
      <c r="C33" s="8">
        <v>-1</v>
      </c>
      <c r="D33" s="8"/>
      <c r="E33" s="8"/>
      <c r="F33" s="14">
        <v>-1</v>
      </c>
      <c r="G33" s="9">
        <v>0</v>
      </c>
      <c r="H33" s="8"/>
      <c r="I33" s="8" t="s">
        <v>133</v>
      </c>
      <c r="J33" s="8" t="s">
        <v>17</v>
      </c>
      <c r="K33" s="8"/>
      <c r="L33" s="8">
        <v>0</v>
      </c>
      <c r="M33" s="8"/>
      <c r="N33" s="8"/>
      <c r="O33" s="8"/>
      <c r="P33" s="8">
        <v>0</v>
      </c>
      <c r="Q33" s="10"/>
      <c r="R33" s="10"/>
      <c r="S33" s="8" t="e">
        <v>#DIV/0!</v>
      </c>
      <c r="T33" s="8" t="e">
        <v>#DIV/0!</v>
      </c>
      <c r="U33" s="8">
        <v>0</v>
      </c>
      <c r="V33" s="8">
        <v>0.2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/>
      <c r="AC33" s="8"/>
      <c r="AD33" s="9"/>
      <c r="AE33" s="11"/>
      <c r="AF33" s="8"/>
      <c r="AG33" s="8"/>
      <c r="AH33" s="8"/>
      <c r="AI33" s="11"/>
    </row>
    <row r="34" spans="1:35">
      <c r="A34" s="7" t="s">
        <v>0</v>
      </c>
      <c r="B34" s="7" t="s">
        <v>108</v>
      </c>
      <c r="C34" s="7">
        <v>-8</v>
      </c>
      <c r="D34" s="7">
        <v>688</v>
      </c>
      <c r="E34" s="7">
        <v>236</v>
      </c>
      <c r="F34" s="7">
        <v>433</v>
      </c>
      <c r="G34" s="3">
        <v>0.25</v>
      </c>
      <c r="H34" s="7">
        <v>180</v>
      </c>
      <c r="I34" s="7" t="s">
        <v>150</v>
      </c>
      <c r="J34" s="7"/>
      <c r="K34" s="7">
        <v>246</v>
      </c>
      <c r="L34" s="7">
        <v>-10</v>
      </c>
      <c r="M34" s="7"/>
      <c r="N34" s="7"/>
      <c r="O34" s="7">
        <v>0</v>
      </c>
      <c r="P34" s="7">
        <v>47.2</v>
      </c>
      <c r="Q34" s="19">
        <v>227.80000000000007</v>
      </c>
      <c r="R34" s="19">
        <v>168</v>
      </c>
      <c r="S34" s="7">
        <v>12.733050847457626</v>
      </c>
      <c r="T34" s="7">
        <v>9.1737288135593218</v>
      </c>
      <c r="U34" s="7">
        <v>38.6</v>
      </c>
      <c r="V34" s="7">
        <v>41.8</v>
      </c>
      <c r="W34" s="7">
        <v>52.6</v>
      </c>
      <c r="X34" s="7">
        <v>34.4</v>
      </c>
      <c r="Y34" s="7">
        <v>49.4</v>
      </c>
      <c r="Z34" s="7">
        <v>31.4</v>
      </c>
      <c r="AA34" s="7">
        <v>44.8</v>
      </c>
      <c r="AB34" s="7"/>
      <c r="AC34" s="7">
        <v>56.950000000000017</v>
      </c>
      <c r="AD34" s="3">
        <v>12</v>
      </c>
      <c r="AE34" s="4">
        <v>14</v>
      </c>
      <c r="AF34" s="7">
        <v>42</v>
      </c>
      <c r="AG34" s="7">
        <v>14</v>
      </c>
      <c r="AH34" s="7">
        <v>70</v>
      </c>
      <c r="AI34" s="4">
        <v>0.2</v>
      </c>
    </row>
    <row r="35" spans="1:35">
      <c r="A35" s="7" t="s">
        <v>23</v>
      </c>
      <c r="B35" s="7" t="s">
        <v>108</v>
      </c>
      <c r="C35" s="7">
        <v>-4</v>
      </c>
      <c r="D35" s="7">
        <v>336</v>
      </c>
      <c r="E35" s="7">
        <v>104</v>
      </c>
      <c r="F35" s="7">
        <v>226</v>
      </c>
      <c r="G35" s="3">
        <v>0.25</v>
      </c>
      <c r="H35" s="7">
        <v>180</v>
      </c>
      <c r="I35" s="7" t="s">
        <v>151</v>
      </c>
      <c r="J35" s="7"/>
      <c r="K35" s="7">
        <v>112</v>
      </c>
      <c r="L35" s="7">
        <v>-8</v>
      </c>
      <c r="M35" s="7"/>
      <c r="N35" s="7"/>
      <c r="O35" s="7">
        <v>0</v>
      </c>
      <c r="P35" s="7">
        <v>20.8</v>
      </c>
      <c r="Q35" s="19">
        <v>65.199999999999989</v>
      </c>
      <c r="R35" s="19">
        <v>0</v>
      </c>
      <c r="S35" s="7">
        <v>10.865384615384615</v>
      </c>
      <c r="T35" s="7">
        <v>10.865384615384615</v>
      </c>
      <c r="U35" s="7">
        <v>0</v>
      </c>
      <c r="V35" s="7">
        <v>4.4000000000000004</v>
      </c>
      <c r="W35" s="7">
        <v>17.600000000000001</v>
      </c>
      <c r="X35" s="7">
        <v>10.4</v>
      </c>
      <c r="Y35" s="7">
        <v>10.8</v>
      </c>
      <c r="Z35" s="7">
        <v>11.2</v>
      </c>
      <c r="AA35" s="7">
        <v>13.6</v>
      </c>
      <c r="AB35" s="7"/>
      <c r="AC35" s="7">
        <v>16.299999999999997</v>
      </c>
      <c r="AD35" s="3">
        <v>12</v>
      </c>
      <c r="AE35" s="4">
        <v>0</v>
      </c>
      <c r="AF35" s="7">
        <v>0</v>
      </c>
      <c r="AG35" s="7">
        <v>14</v>
      </c>
      <c r="AH35" s="7">
        <v>70</v>
      </c>
      <c r="AI35" s="4">
        <v>0</v>
      </c>
    </row>
    <row r="36" spans="1:35">
      <c r="A36" s="7" t="s">
        <v>13</v>
      </c>
      <c r="B36" s="7" t="s">
        <v>108</v>
      </c>
      <c r="C36" s="7">
        <v>25</v>
      </c>
      <c r="D36" s="7">
        <v>296</v>
      </c>
      <c r="E36" s="7">
        <v>92</v>
      </c>
      <c r="F36" s="7">
        <v>216</v>
      </c>
      <c r="G36" s="3">
        <v>0.7</v>
      </c>
      <c r="H36" s="7">
        <v>180</v>
      </c>
      <c r="I36" s="7" t="s">
        <v>152</v>
      </c>
      <c r="J36" s="7"/>
      <c r="K36" s="7">
        <v>105</v>
      </c>
      <c r="L36" s="7">
        <v>-13</v>
      </c>
      <c r="M36" s="7"/>
      <c r="N36" s="7"/>
      <c r="O36" s="7">
        <v>0</v>
      </c>
      <c r="P36" s="7">
        <v>18.399999999999999</v>
      </c>
      <c r="Q36" s="19">
        <v>41.599999999999966</v>
      </c>
      <c r="R36" s="19">
        <v>0</v>
      </c>
      <c r="S36" s="7">
        <v>11.739130434782609</v>
      </c>
      <c r="T36" s="7">
        <v>11.739130434782609</v>
      </c>
      <c r="U36" s="7">
        <v>13</v>
      </c>
      <c r="V36" s="7">
        <v>17.2</v>
      </c>
      <c r="W36" s="7">
        <v>16.600000000000001</v>
      </c>
      <c r="X36" s="7">
        <v>11.6</v>
      </c>
      <c r="Y36" s="7">
        <v>14</v>
      </c>
      <c r="Z36" s="7">
        <v>15.4</v>
      </c>
      <c r="AA36" s="7">
        <v>18.600000000000001</v>
      </c>
      <c r="AB36" s="7"/>
      <c r="AC36" s="7">
        <v>29.119999999999973</v>
      </c>
      <c r="AD36" s="3">
        <v>8</v>
      </c>
      <c r="AE36" s="4">
        <v>0</v>
      </c>
      <c r="AF36" s="7">
        <v>0</v>
      </c>
      <c r="AG36" s="7">
        <v>12</v>
      </c>
      <c r="AH36" s="7">
        <v>84</v>
      </c>
      <c r="AI36" s="4">
        <v>0</v>
      </c>
    </row>
    <row r="37" spans="1:35">
      <c r="A37" s="7" t="s">
        <v>15</v>
      </c>
      <c r="B37" s="7" t="s">
        <v>108</v>
      </c>
      <c r="C37" s="7">
        <v>60</v>
      </c>
      <c r="D37" s="7">
        <v>294</v>
      </c>
      <c r="E37" s="7">
        <v>68</v>
      </c>
      <c r="F37" s="7">
        <v>293</v>
      </c>
      <c r="G37" s="3">
        <v>0.7</v>
      </c>
      <c r="H37" s="7">
        <v>180</v>
      </c>
      <c r="I37" s="7" t="s">
        <v>153</v>
      </c>
      <c r="J37" s="7"/>
      <c r="K37" s="7">
        <v>61</v>
      </c>
      <c r="L37" s="7">
        <v>7</v>
      </c>
      <c r="M37" s="7"/>
      <c r="N37" s="7"/>
      <c r="O37" s="7">
        <v>0</v>
      </c>
      <c r="P37" s="7">
        <v>13.6</v>
      </c>
      <c r="Q37" s="19"/>
      <c r="R37" s="19">
        <v>0</v>
      </c>
      <c r="S37" s="7">
        <v>21.544117647058822</v>
      </c>
      <c r="T37" s="7">
        <v>21.544117647058822</v>
      </c>
      <c r="U37" s="7">
        <v>22</v>
      </c>
      <c r="V37" s="7">
        <v>8.4</v>
      </c>
      <c r="W37" s="7">
        <v>18.399999999999999</v>
      </c>
      <c r="X37" s="7">
        <v>19</v>
      </c>
      <c r="Y37" s="7">
        <v>5.6</v>
      </c>
      <c r="Z37" s="7">
        <v>14</v>
      </c>
      <c r="AA37" s="7">
        <v>19.600000000000001</v>
      </c>
      <c r="AB37" s="7"/>
      <c r="AC37" s="7">
        <v>0</v>
      </c>
      <c r="AD37" s="3">
        <v>8</v>
      </c>
      <c r="AE37" s="4">
        <v>0</v>
      </c>
      <c r="AF37" s="7">
        <v>0</v>
      </c>
      <c r="AG37" s="7">
        <v>12</v>
      </c>
      <c r="AH37" s="7">
        <v>84</v>
      </c>
      <c r="AI37" s="4">
        <v>0</v>
      </c>
    </row>
    <row r="38" spans="1:35">
      <c r="A38" s="7" t="s">
        <v>14</v>
      </c>
      <c r="B38" s="7" t="s">
        <v>108</v>
      </c>
      <c r="C38" s="7">
        <v>56</v>
      </c>
      <c r="D38" s="7">
        <v>192</v>
      </c>
      <c r="E38" s="7">
        <v>144</v>
      </c>
      <c r="F38" s="7">
        <v>110</v>
      </c>
      <c r="G38" s="3">
        <v>0.7</v>
      </c>
      <c r="H38" s="7">
        <v>180</v>
      </c>
      <c r="I38" s="7" t="s">
        <v>154</v>
      </c>
      <c r="J38" s="7"/>
      <c r="K38" s="7">
        <v>138</v>
      </c>
      <c r="L38" s="7">
        <v>6</v>
      </c>
      <c r="M38" s="7"/>
      <c r="N38" s="7"/>
      <c r="O38" s="7">
        <v>96</v>
      </c>
      <c r="P38" s="7">
        <v>28.8</v>
      </c>
      <c r="Q38" s="19">
        <v>197.2</v>
      </c>
      <c r="R38" s="19">
        <v>192</v>
      </c>
      <c r="S38" s="7">
        <v>13.819444444444445</v>
      </c>
      <c r="T38" s="7">
        <v>7.1527777777777777</v>
      </c>
      <c r="U38" s="7">
        <v>21.2</v>
      </c>
      <c r="V38" s="7">
        <v>17</v>
      </c>
      <c r="W38" s="7">
        <v>18.399999999999999</v>
      </c>
      <c r="X38" s="7">
        <v>15.2</v>
      </c>
      <c r="Y38" s="7">
        <v>22.4</v>
      </c>
      <c r="Z38" s="7">
        <v>18.600000000000001</v>
      </c>
      <c r="AA38" s="7">
        <v>17.600000000000001</v>
      </c>
      <c r="AB38" s="7"/>
      <c r="AC38" s="7">
        <v>138.04</v>
      </c>
      <c r="AD38" s="3">
        <v>8</v>
      </c>
      <c r="AE38" s="4">
        <v>24</v>
      </c>
      <c r="AF38" s="7">
        <v>134.39999999999998</v>
      </c>
      <c r="AG38" s="7">
        <v>12</v>
      </c>
      <c r="AH38" s="7">
        <v>84</v>
      </c>
      <c r="AI38" s="4">
        <v>0.2857142857142857</v>
      </c>
    </row>
    <row r="39" spans="1:35">
      <c r="A39" s="7" t="s">
        <v>155</v>
      </c>
      <c r="B39" s="7" t="s">
        <v>108</v>
      </c>
      <c r="C39" s="7"/>
      <c r="D39" s="7"/>
      <c r="E39" s="7"/>
      <c r="F39" s="7"/>
      <c r="G39" s="3">
        <v>0.8</v>
      </c>
      <c r="H39" s="7"/>
      <c r="I39" s="7" t="s">
        <v>156</v>
      </c>
      <c r="J39" s="7"/>
      <c r="K39" s="7"/>
      <c r="L39" s="7">
        <v>0</v>
      </c>
      <c r="M39" s="7"/>
      <c r="N39" s="7"/>
      <c r="O39" s="7">
        <v>288</v>
      </c>
      <c r="P39" s="7">
        <v>0</v>
      </c>
      <c r="Q39" s="19"/>
      <c r="R39" s="19">
        <v>0</v>
      </c>
      <c r="S39" s="7" t="e">
        <v>#DIV/0!</v>
      </c>
      <c r="T39" s="7" t="e">
        <v>#DIV/0!</v>
      </c>
      <c r="U39" s="7"/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 t="s">
        <v>157</v>
      </c>
      <c r="AC39" s="7">
        <v>0</v>
      </c>
      <c r="AD39" s="3">
        <v>8</v>
      </c>
      <c r="AE39" s="4">
        <v>0</v>
      </c>
      <c r="AF39" s="7">
        <v>0</v>
      </c>
      <c r="AG39" s="7">
        <v>12</v>
      </c>
      <c r="AH39" s="7">
        <v>84</v>
      </c>
      <c r="AI39" s="4">
        <v>0</v>
      </c>
    </row>
    <row r="40" spans="1:35">
      <c r="A40" s="7" t="s">
        <v>11</v>
      </c>
      <c r="B40" s="7" t="s">
        <v>108</v>
      </c>
      <c r="C40" s="7">
        <v>292</v>
      </c>
      <c r="D40" s="7">
        <v>490</v>
      </c>
      <c r="E40" s="7">
        <v>250</v>
      </c>
      <c r="F40" s="7">
        <v>541</v>
      </c>
      <c r="G40" s="3">
        <v>0.7</v>
      </c>
      <c r="H40" s="7">
        <v>180</v>
      </c>
      <c r="I40" s="7" t="s">
        <v>158</v>
      </c>
      <c r="J40" s="7"/>
      <c r="K40" s="7">
        <v>239</v>
      </c>
      <c r="L40" s="7">
        <v>11</v>
      </c>
      <c r="M40" s="7"/>
      <c r="N40" s="7"/>
      <c r="O40" s="7">
        <v>360</v>
      </c>
      <c r="P40" s="7">
        <v>50</v>
      </c>
      <c r="Q40" s="19"/>
      <c r="R40" s="19">
        <v>0</v>
      </c>
      <c r="S40" s="7">
        <v>18.02</v>
      </c>
      <c r="T40" s="7">
        <v>18.02</v>
      </c>
      <c r="U40" s="7">
        <v>66.400000000000006</v>
      </c>
      <c r="V40" s="7">
        <v>55.6</v>
      </c>
      <c r="W40" s="7">
        <v>27</v>
      </c>
      <c r="X40" s="7">
        <v>23.8</v>
      </c>
      <c r="Y40" s="7">
        <v>34.6</v>
      </c>
      <c r="Z40" s="7">
        <v>29.8</v>
      </c>
      <c r="AA40" s="7">
        <v>35.6</v>
      </c>
      <c r="AB40" s="7"/>
      <c r="AC40" s="7">
        <v>0</v>
      </c>
      <c r="AD40" s="3">
        <v>10</v>
      </c>
      <c r="AE40" s="4">
        <v>0</v>
      </c>
      <c r="AF40" s="7">
        <v>0</v>
      </c>
      <c r="AG40" s="7">
        <v>12</v>
      </c>
      <c r="AH40" s="7">
        <v>84</v>
      </c>
      <c r="AI40" s="4">
        <v>0</v>
      </c>
    </row>
    <row r="41" spans="1:35">
      <c r="A41" s="7" t="s">
        <v>24</v>
      </c>
      <c r="B41" s="7" t="s">
        <v>108</v>
      </c>
      <c r="C41" s="7">
        <v>-1</v>
      </c>
      <c r="D41" s="7">
        <v>368</v>
      </c>
      <c r="E41" s="7">
        <v>128</v>
      </c>
      <c r="F41" s="7">
        <v>220</v>
      </c>
      <c r="G41" s="3">
        <v>0.7</v>
      </c>
      <c r="H41" s="7">
        <v>180</v>
      </c>
      <c r="I41" s="7" t="s">
        <v>159</v>
      </c>
      <c r="J41" s="7"/>
      <c r="K41" s="7">
        <v>147</v>
      </c>
      <c r="L41" s="7">
        <v>-19</v>
      </c>
      <c r="M41" s="7"/>
      <c r="N41" s="7"/>
      <c r="O41" s="7">
        <v>0</v>
      </c>
      <c r="P41" s="7">
        <v>25.6</v>
      </c>
      <c r="Q41" s="19">
        <v>138.40000000000003</v>
      </c>
      <c r="R41" s="19">
        <v>120</v>
      </c>
      <c r="S41" s="7">
        <v>13.28125</v>
      </c>
      <c r="T41" s="7">
        <v>8.59375</v>
      </c>
      <c r="U41" s="7">
        <v>15</v>
      </c>
      <c r="V41" s="7">
        <v>10.8</v>
      </c>
      <c r="W41" s="7">
        <v>24</v>
      </c>
      <c r="X41" s="7">
        <v>23.8</v>
      </c>
      <c r="Y41" s="7">
        <v>24.6</v>
      </c>
      <c r="Z41" s="7">
        <v>31.4</v>
      </c>
      <c r="AA41" s="7">
        <v>31.2</v>
      </c>
      <c r="AB41" s="7"/>
      <c r="AC41" s="7">
        <v>96.880000000000024</v>
      </c>
      <c r="AD41" s="3">
        <v>10</v>
      </c>
      <c r="AE41" s="4">
        <v>12</v>
      </c>
      <c r="AF41" s="7">
        <v>84</v>
      </c>
      <c r="AG41" s="7">
        <v>12</v>
      </c>
      <c r="AH41" s="7">
        <v>84</v>
      </c>
      <c r="AI41" s="4">
        <v>0.14285714285714285</v>
      </c>
    </row>
    <row r="42" spans="1:35">
      <c r="A42" s="7" t="s">
        <v>9</v>
      </c>
      <c r="B42" s="7" t="s">
        <v>108</v>
      </c>
      <c r="C42" s="7">
        <v>8</v>
      </c>
      <c r="D42" s="7">
        <v>600</v>
      </c>
      <c r="E42" s="7">
        <v>170</v>
      </c>
      <c r="F42" s="7">
        <v>428</v>
      </c>
      <c r="G42" s="3">
        <v>0.7</v>
      </c>
      <c r="H42" s="7">
        <v>180</v>
      </c>
      <c r="I42" s="7" t="s">
        <v>160</v>
      </c>
      <c r="J42" s="7"/>
      <c r="K42" s="7">
        <v>227</v>
      </c>
      <c r="L42" s="7">
        <v>-57</v>
      </c>
      <c r="M42" s="7"/>
      <c r="N42" s="7"/>
      <c r="O42" s="7">
        <v>0</v>
      </c>
      <c r="P42" s="7">
        <v>34</v>
      </c>
      <c r="Q42" s="19">
        <v>48</v>
      </c>
      <c r="R42" s="19">
        <v>0</v>
      </c>
      <c r="S42" s="7">
        <v>12.588235294117647</v>
      </c>
      <c r="T42" s="7">
        <v>12.588235294117647</v>
      </c>
      <c r="U42" s="7">
        <v>13.2</v>
      </c>
      <c r="V42" s="7">
        <v>37.4</v>
      </c>
      <c r="W42" s="7">
        <v>64.8</v>
      </c>
      <c r="X42" s="7">
        <v>45</v>
      </c>
      <c r="Y42" s="7">
        <v>42.2</v>
      </c>
      <c r="Z42" s="7">
        <v>59.6</v>
      </c>
      <c r="AA42" s="7">
        <v>50</v>
      </c>
      <c r="AB42" s="7"/>
      <c r="AC42" s="7">
        <v>33.599999999999994</v>
      </c>
      <c r="AD42" s="3">
        <v>10</v>
      </c>
      <c r="AE42" s="4">
        <v>0</v>
      </c>
      <c r="AF42" s="7">
        <v>0</v>
      </c>
      <c r="AG42" s="7">
        <v>12</v>
      </c>
      <c r="AH42" s="7">
        <v>84</v>
      </c>
      <c r="AI42" s="4">
        <v>0</v>
      </c>
    </row>
    <row r="43" spans="1:35">
      <c r="A43" s="7" t="s">
        <v>161</v>
      </c>
      <c r="B43" s="7" t="s">
        <v>108</v>
      </c>
      <c r="C43" s="7">
        <v>187</v>
      </c>
      <c r="D43" s="7">
        <v>128</v>
      </c>
      <c r="E43" s="7">
        <v>115</v>
      </c>
      <c r="F43" s="7">
        <v>201</v>
      </c>
      <c r="G43" s="3">
        <v>0.7</v>
      </c>
      <c r="H43" s="7">
        <v>180</v>
      </c>
      <c r="I43" s="7" t="s">
        <v>162</v>
      </c>
      <c r="J43" s="7"/>
      <c r="K43" s="7">
        <v>114</v>
      </c>
      <c r="L43" s="7">
        <v>1</v>
      </c>
      <c r="M43" s="7"/>
      <c r="N43" s="7"/>
      <c r="O43" s="7">
        <v>240</v>
      </c>
      <c r="P43" s="7">
        <v>23</v>
      </c>
      <c r="Q43" s="19"/>
      <c r="R43" s="19">
        <v>0</v>
      </c>
      <c r="S43" s="7">
        <v>19.173913043478262</v>
      </c>
      <c r="T43" s="7">
        <v>19.173913043478262</v>
      </c>
      <c r="U43" s="7">
        <v>33</v>
      </c>
      <c r="V43" s="7">
        <v>18.8</v>
      </c>
      <c r="W43" s="7">
        <v>15.4</v>
      </c>
      <c r="X43" s="7">
        <v>18.8</v>
      </c>
      <c r="Y43" s="7">
        <v>27.4</v>
      </c>
      <c r="Z43" s="7">
        <v>12</v>
      </c>
      <c r="AA43" s="7">
        <v>12.4</v>
      </c>
      <c r="AB43" s="7"/>
      <c r="AC43" s="7">
        <v>0</v>
      </c>
      <c r="AD43" s="3">
        <v>10</v>
      </c>
      <c r="AE43" s="4">
        <v>0</v>
      </c>
      <c r="AF43" s="7">
        <v>0</v>
      </c>
      <c r="AG43" s="7">
        <v>12</v>
      </c>
      <c r="AH43" s="7">
        <v>84</v>
      </c>
      <c r="AI43" s="4">
        <v>0</v>
      </c>
    </row>
    <row r="44" spans="1:35">
      <c r="A44" s="7" t="s">
        <v>163</v>
      </c>
      <c r="B44" s="7" t="s">
        <v>112</v>
      </c>
      <c r="C44" s="7">
        <v>120</v>
      </c>
      <c r="D44" s="7">
        <v>665</v>
      </c>
      <c r="E44" s="7">
        <v>210</v>
      </c>
      <c r="F44" s="7">
        <v>575</v>
      </c>
      <c r="G44" s="3">
        <v>1</v>
      </c>
      <c r="H44" s="7">
        <v>180</v>
      </c>
      <c r="I44" s="7" t="s">
        <v>164</v>
      </c>
      <c r="J44" s="7"/>
      <c r="K44" s="7">
        <v>345</v>
      </c>
      <c r="L44" s="7">
        <v>-135</v>
      </c>
      <c r="M44" s="7"/>
      <c r="N44" s="7"/>
      <c r="O44" s="7">
        <v>420</v>
      </c>
      <c r="P44" s="7">
        <v>42</v>
      </c>
      <c r="Q44" s="19"/>
      <c r="R44" s="19">
        <v>0</v>
      </c>
      <c r="S44" s="7">
        <v>23.69047619047619</v>
      </c>
      <c r="T44" s="7">
        <v>23.69047619047619</v>
      </c>
      <c r="U44" s="7">
        <v>70</v>
      </c>
      <c r="V44" s="7">
        <v>84</v>
      </c>
      <c r="W44" s="7">
        <v>62</v>
      </c>
      <c r="X44" s="7">
        <v>77</v>
      </c>
      <c r="Y44" s="7">
        <v>89</v>
      </c>
      <c r="Z44" s="7">
        <v>77</v>
      </c>
      <c r="AA44" s="7">
        <v>73</v>
      </c>
      <c r="AB44" s="7"/>
      <c r="AC44" s="7">
        <v>0</v>
      </c>
      <c r="AD44" s="3">
        <v>5</v>
      </c>
      <c r="AE44" s="4">
        <v>0</v>
      </c>
      <c r="AF44" s="7">
        <v>0</v>
      </c>
      <c r="AG44" s="7">
        <v>12</v>
      </c>
      <c r="AH44" s="7">
        <v>144</v>
      </c>
      <c r="AI44" s="4">
        <v>0</v>
      </c>
    </row>
    <row r="45" spans="1:35">
      <c r="A45" s="7" t="s">
        <v>7</v>
      </c>
      <c r="B45" s="7" t="s">
        <v>108</v>
      </c>
      <c r="C45" s="7">
        <v>899</v>
      </c>
      <c r="D45" s="7">
        <v>7</v>
      </c>
      <c r="E45" s="7">
        <v>231</v>
      </c>
      <c r="F45" s="7">
        <v>676</v>
      </c>
      <c r="G45" s="3">
        <v>0.4</v>
      </c>
      <c r="H45" s="7">
        <v>180</v>
      </c>
      <c r="I45" s="7" t="s">
        <v>165</v>
      </c>
      <c r="J45" s="7"/>
      <c r="K45" s="7">
        <v>230</v>
      </c>
      <c r="L45" s="7">
        <v>1</v>
      </c>
      <c r="M45" s="7"/>
      <c r="N45" s="7"/>
      <c r="O45" s="7">
        <v>0</v>
      </c>
      <c r="P45" s="7">
        <v>46.2</v>
      </c>
      <c r="Q45" s="19"/>
      <c r="R45" s="19">
        <v>0</v>
      </c>
      <c r="S45" s="7">
        <v>14.632034632034632</v>
      </c>
      <c r="T45" s="7">
        <v>14.632034632034632</v>
      </c>
      <c r="U45" s="7">
        <v>41.8</v>
      </c>
      <c r="V45" s="7">
        <v>51</v>
      </c>
      <c r="W45" s="7">
        <v>41</v>
      </c>
      <c r="X45" s="7">
        <v>0</v>
      </c>
      <c r="Y45" s="7">
        <v>63.8</v>
      </c>
      <c r="Z45" s="7">
        <v>19.600000000000001</v>
      </c>
      <c r="AA45" s="7">
        <v>52.8</v>
      </c>
      <c r="AB45" s="7"/>
      <c r="AC45" s="7">
        <v>0</v>
      </c>
      <c r="AD45" s="3">
        <v>16</v>
      </c>
      <c r="AE45" s="4">
        <v>0</v>
      </c>
      <c r="AF45" s="7">
        <v>0</v>
      </c>
      <c r="AG45" s="7">
        <v>12</v>
      </c>
      <c r="AH45" s="7">
        <v>84</v>
      </c>
      <c r="AI45" s="4">
        <v>0</v>
      </c>
    </row>
    <row r="46" spans="1:35">
      <c r="A46" s="7" t="s">
        <v>6</v>
      </c>
      <c r="B46" s="7" t="s">
        <v>108</v>
      </c>
      <c r="C46" s="7">
        <v>801</v>
      </c>
      <c r="D46" s="7">
        <v>736</v>
      </c>
      <c r="E46" s="7">
        <v>599</v>
      </c>
      <c r="F46" s="7">
        <v>921</v>
      </c>
      <c r="G46" s="3">
        <v>0.7</v>
      </c>
      <c r="H46" s="7">
        <v>180</v>
      </c>
      <c r="I46" s="7" t="s">
        <v>166</v>
      </c>
      <c r="J46" s="7"/>
      <c r="K46" s="7">
        <v>609</v>
      </c>
      <c r="L46" s="7">
        <v>-10</v>
      </c>
      <c r="M46" s="7"/>
      <c r="N46" s="7"/>
      <c r="O46" s="7">
        <v>0</v>
      </c>
      <c r="P46" s="7">
        <v>119.8</v>
      </c>
      <c r="Q46" s="19">
        <v>756.2</v>
      </c>
      <c r="R46" s="19">
        <v>720</v>
      </c>
      <c r="S46" s="7">
        <v>13.697829716193656</v>
      </c>
      <c r="T46" s="7">
        <v>7.687813021702838</v>
      </c>
      <c r="U46" s="7">
        <v>92.6</v>
      </c>
      <c r="V46" s="7">
        <v>136.80000000000001</v>
      </c>
      <c r="W46" s="7">
        <v>79</v>
      </c>
      <c r="X46" s="7">
        <v>89.8</v>
      </c>
      <c r="Y46" s="7">
        <v>129.6</v>
      </c>
      <c r="Z46" s="7">
        <v>82.8</v>
      </c>
      <c r="AA46" s="7">
        <v>110.8</v>
      </c>
      <c r="AB46" s="7"/>
      <c r="AC46" s="7">
        <v>529.34</v>
      </c>
      <c r="AD46" s="3">
        <v>10</v>
      </c>
      <c r="AE46" s="4">
        <v>72</v>
      </c>
      <c r="AF46" s="7">
        <v>503.99999999999994</v>
      </c>
      <c r="AG46" s="7">
        <v>12</v>
      </c>
      <c r="AH46" s="7">
        <v>84</v>
      </c>
      <c r="AI46" s="4">
        <v>0.8571428571428571</v>
      </c>
    </row>
    <row r="47" spans="1:35">
      <c r="A47" s="7" t="s">
        <v>8</v>
      </c>
      <c r="B47" s="7" t="s">
        <v>108</v>
      </c>
      <c r="C47" s="7">
        <v>761</v>
      </c>
      <c r="D47" s="7">
        <v>15</v>
      </c>
      <c r="E47" s="7">
        <v>193</v>
      </c>
      <c r="F47" s="7">
        <v>581</v>
      </c>
      <c r="G47" s="3">
        <v>0.4</v>
      </c>
      <c r="H47" s="7">
        <v>180</v>
      </c>
      <c r="I47" s="7" t="s">
        <v>167</v>
      </c>
      <c r="J47" s="7"/>
      <c r="K47" s="7">
        <v>195</v>
      </c>
      <c r="L47" s="7">
        <v>-2</v>
      </c>
      <c r="M47" s="7"/>
      <c r="N47" s="7"/>
      <c r="O47" s="7">
        <v>0</v>
      </c>
      <c r="P47" s="7">
        <v>38.6</v>
      </c>
      <c r="Q47" s="19"/>
      <c r="R47" s="19">
        <v>0</v>
      </c>
      <c r="S47" s="7">
        <v>15.051813471502591</v>
      </c>
      <c r="T47" s="7">
        <v>15.051813471502591</v>
      </c>
      <c r="U47" s="7">
        <v>43.2</v>
      </c>
      <c r="V47" s="7">
        <v>53.2</v>
      </c>
      <c r="W47" s="7">
        <v>53.8</v>
      </c>
      <c r="X47" s="7">
        <v>51.6</v>
      </c>
      <c r="Y47" s="7">
        <v>75.599999999999994</v>
      </c>
      <c r="Z47" s="7">
        <v>52.6</v>
      </c>
      <c r="AA47" s="7">
        <v>50.4</v>
      </c>
      <c r="AB47" s="7"/>
      <c r="AC47" s="7">
        <v>0</v>
      </c>
      <c r="AD47" s="3">
        <v>16</v>
      </c>
      <c r="AE47" s="4">
        <v>0</v>
      </c>
      <c r="AF47" s="7">
        <v>0</v>
      </c>
      <c r="AG47" s="7">
        <v>12</v>
      </c>
      <c r="AH47" s="7">
        <v>84</v>
      </c>
      <c r="AI47" s="4">
        <v>0</v>
      </c>
    </row>
    <row r="48" spans="1:35">
      <c r="A48" s="7" t="s">
        <v>5</v>
      </c>
      <c r="B48" s="7" t="s">
        <v>108</v>
      </c>
      <c r="C48" s="7">
        <v>90</v>
      </c>
      <c r="D48" s="7">
        <v>1689</v>
      </c>
      <c r="E48" s="14">
        <v>755</v>
      </c>
      <c r="F48" s="14">
        <v>986</v>
      </c>
      <c r="G48" s="3">
        <v>0.7</v>
      </c>
      <c r="H48" s="7">
        <v>180</v>
      </c>
      <c r="I48" s="7" t="s">
        <v>168</v>
      </c>
      <c r="J48" s="7"/>
      <c r="K48" s="7">
        <v>872</v>
      </c>
      <c r="L48" s="7">
        <v>-117</v>
      </c>
      <c r="M48" s="7"/>
      <c r="N48" s="7"/>
      <c r="O48" s="7">
        <v>1080</v>
      </c>
      <c r="P48" s="7">
        <v>151</v>
      </c>
      <c r="Q48" s="19">
        <v>48</v>
      </c>
      <c r="R48" s="19">
        <v>0</v>
      </c>
      <c r="S48" s="7">
        <v>13.682119205298013</v>
      </c>
      <c r="T48" s="7">
        <v>13.682119205298013</v>
      </c>
      <c r="U48" s="7">
        <v>169.4</v>
      </c>
      <c r="V48" s="7">
        <v>179.4</v>
      </c>
      <c r="W48" s="7">
        <v>161.80000000000001</v>
      </c>
      <c r="X48" s="7">
        <v>176.4</v>
      </c>
      <c r="Y48" s="7">
        <v>190.8</v>
      </c>
      <c r="Z48" s="7">
        <v>129.19999999999999</v>
      </c>
      <c r="AA48" s="7">
        <v>167</v>
      </c>
      <c r="AB48" s="7"/>
      <c r="AC48" s="7">
        <v>33.599999999999994</v>
      </c>
      <c r="AD48" s="3">
        <v>10</v>
      </c>
      <c r="AE48" s="4">
        <v>0</v>
      </c>
      <c r="AF48" s="7">
        <v>0</v>
      </c>
      <c r="AG48" s="7">
        <v>12</v>
      </c>
      <c r="AH48" s="7">
        <v>84</v>
      </c>
      <c r="AI48" s="4">
        <v>0</v>
      </c>
    </row>
    <row r="49" spans="1:35">
      <c r="A49" s="7" t="s">
        <v>169</v>
      </c>
      <c r="B49" s="7" t="s">
        <v>108</v>
      </c>
      <c r="C49" s="7">
        <v>85</v>
      </c>
      <c r="D49" s="7">
        <v>600</v>
      </c>
      <c r="E49" s="7">
        <v>250</v>
      </c>
      <c r="F49" s="7">
        <v>455</v>
      </c>
      <c r="G49" s="3">
        <v>0.7</v>
      </c>
      <c r="H49" s="7">
        <v>180</v>
      </c>
      <c r="I49" s="7" t="s">
        <v>170</v>
      </c>
      <c r="J49" s="7"/>
      <c r="K49" s="7">
        <v>230</v>
      </c>
      <c r="L49" s="7">
        <v>20</v>
      </c>
      <c r="M49" s="7"/>
      <c r="N49" s="7"/>
      <c r="O49" s="7">
        <v>480</v>
      </c>
      <c r="P49" s="7">
        <v>50</v>
      </c>
      <c r="Q49" s="19"/>
      <c r="R49" s="19">
        <v>0</v>
      </c>
      <c r="S49" s="7">
        <v>18.7</v>
      </c>
      <c r="T49" s="7">
        <v>18.7</v>
      </c>
      <c r="U49" s="7">
        <v>65</v>
      </c>
      <c r="V49" s="7">
        <v>31.4</v>
      </c>
      <c r="W49" s="7">
        <v>62.6</v>
      </c>
      <c r="X49" s="7">
        <v>49.6</v>
      </c>
      <c r="Y49" s="7">
        <v>37.799999999999997</v>
      </c>
      <c r="Z49" s="7">
        <v>67.8</v>
      </c>
      <c r="AA49" s="7">
        <v>108.8</v>
      </c>
      <c r="AB49" s="7"/>
      <c r="AC49" s="7">
        <v>0</v>
      </c>
      <c r="AD49" s="3">
        <v>10</v>
      </c>
      <c r="AE49" s="4">
        <v>0</v>
      </c>
      <c r="AF49" s="7">
        <v>0</v>
      </c>
      <c r="AG49" s="7">
        <v>12</v>
      </c>
      <c r="AH49" s="7">
        <v>84</v>
      </c>
      <c r="AI49" s="4">
        <v>0</v>
      </c>
    </row>
    <row r="50" spans="1:35">
      <c r="A50" s="7" t="s">
        <v>16</v>
      </c>
      <c r="B50" s="7" t="s">
        <v>108</v>
      </c>
      <c r="C50" s="7">
        <v>3</v>
      </c>
      <c r="D50" s="7">
        <v>900</v>
      </c>
      <c r="E50" s="7">
        <v>222</v>
      </c>
      <c r="F50" s="7">
        <v>664</v>
      </c>
      <c r="G50" s="3">
        <v>1</v>
      </c>
      <c r="H50" s="7">
        <v>180</v>
      </c>
      <c r="I50" s="7" t="s">
        <v>171</v>
      </c>
      <c r="J50" s="7"/>
      <c r="K50" s="7">
        <v>258</v>
      </c>
      <c r="L50" s="7">
        <v>-36</v>
      </c>
      <c r="M50" s="7"/>
      <c r="N50" s="7"/>
      <c r="O50" s="7">
        <v>0</v>
      </c>
      <c r="P50" s="7">
        <v>44.4</v>
      </c>
      <c r="Q50" s="19"/>
      <c r="R50" s="19">
        <v>0</v>
      </c>
      <c r="S50" s="7">
        <v>14.954954954954955</v>
      </c>
      <c r="T50" s="7">
        <v>14.954954954954955</v>
      </c>
      <c r="U50" s="7">
        <v>3.4</v>
      </c>
      <c r="V50" s="7">
        <v>37.6</v>
      </c>
      <c r="W50" s="7">
        <v>65.2</v>
      </c>
      <c r="X50" s="7">
        <v>31.2</v>
      </c>
      <c r="Y50" s="7">
        <v>38.799999999999997</v>
      </c>
      <c r="Z50" s="7">
        <v>30.8</v>
      </c>
      <c r="AA50" s="7">
        <v>42</v>
      </c>
      <c r="AB50" s="7"/>
      <c r="AC50" s="7">
        <v>0</v>
      </c>
      <c r="AD50" s="3">
        <v>5</v>
      </c>
      <c r="AE50" s="4">
        <v>0</v>
      </c>
      <c r="AF50" s="7">
        <v>0</v>
      </c>
      <c r="AG50" s="7">
        <v>12</v>
      </c>
      <c r="AH50" s="7">
        <v>84</v>
      </c>
      <c r="AI50" s="4">
        <v>0</v>
      </c>
    </row>
    <row r="51" spans="1:35">
      <c r="A51" s="7" t="s">
        <v>172</v>
      </c>
      <c r="B51" s="7" t="s">
        <v>108</v>
      </c>
      <c r="C51" s="7">
        <v>1</v>
      </c>
      <c r="D51" s="7">
        <v>576</v>
      </c>
      <c r="E51" s="7">
        <v>145</v>
      </c>
      <c r="F51" s="7">
        <v>428</v>
      </c>
      <c r="G51" s="3">
        <v>0.9</v>
      </c>
      <c r="H51" s="7">
        <v>180</v>
      </c>
      <c r="I51" s="7" t="s">
        <v>173</v>
      </c>
      <c r="J51" s="7"/>
      <c r="K51" s="7">
        <v>171</v>
      </c>
      <c r="L51" s="7">
        <v>-26</v>
      </c>
      <c r="M51" s="7"/>
      <c r="N51" s="7"/>
      <c r="O51" s="7">
        <v>0</v>
      </c>
      <c r="P51" s="7">
        <v>29</v>
      </c>
      <c r="Q51" s="19"/>
      <c r="R51" s="19">
        <v>0</v>
      </c>
      <c r="S51" s="7">
        <v>14.758620689655173</v>
      </c>
      <c r="T51" s="7">
        <v>14.758620689655173</v>
      </c>
      <c r="U51" s="7">
        <v>8.1999999999999993</v>
      </c>
      <c r="V51" s="7">
        <v>33.4</v>
      </c>
      <c r="W51" s="7">
        <v>21.2</v>
      </c>
      <c r="X51" s="7">
        <v>22.6</v>
      </c>
      <c r="Y51" s="7">
        <v>19</v>
      </c>
      <c r="Z51" s="7">
        <v>23</v>
      </c>
      <c r="AA51" s="7">
        <v>12.2</v>
      </c>
      <c r="AB51" s="7"/>
      <c r="AC51" s="7">
        <v>0</v>
      </c>
      <c r="AD51" s="3">
        <v>8</v>
      </c>
      <c r="AE51" s="4">
        <v>0</v>
      </c>
      <c r="AF51" s="7">
        <v>0</v>
      </c>
      <c r="AG51" s="7">
        <v>12</v>
      </c>
      <c r="AH51" s="7">
        <v>84</v>
      </c>
      <c r="AI51" s="4">
        <v>0</v>
      </c>
    </row>
    <row r="52" spans="1:35">
      <c r="A52" s="7" t="s">
        <v>174</v>
      </c>
      <c r="B52" s="7" t="s">
        <v>108</v>
      </c>
      <c r="C52" s="7">
        <v>-1</v>
      </c>
      <c r="D52" s="7">
        <v>192</v>
      </c>
      <c r="E52" s="7">
        <v>13</v>
      </c>
      <c r="F52" s="7">
        <v>178</v>
      </c>
      <c r="G52" s="3">
        <v>0.9</v>
      </c>
      <c r="H52" s="7">
        <v>180</v>
      </c>
      <c r="I52" s="7" t="s">
        <v>175</v>
      </c>
      <c r="J52" s="7"/>
      <c r="K52" s="7">
        <v>13</v>
      </c>
      <c r="L52" s="7">
        <v>0</v>
      </c>
      <c r="M52" s="7"/>
      <c r="N52" s="7"/>
      <c r="O52" s="7">
        <v>0</v>
      </c>
      <c r="P52" s="7">
        <v>2.6</v>
      </c>
      <c r="Q52" s="19"/>
      <c r="R52" s="19">
        <v>0</v>
      </c>
      <c r="S52" s="7">
        <v>68.461538461538453</v>
      </c>
      <c r="T52" s="7">
        <v>68.461538461538453</v>
      </c>
      <c r="U52" s="7">
        <v>6.2</v>
      </c>
      <c r="V52" s="7">
        <v>13.6</v>
      </c>
      <c r="W52" s="7">
        <v>13.6</v>
      </c>
      <c r="X52" s="7">
        <v>5.8</v>
      </c>
      <c r="Y52" s="7">
        <v>16</v>
      </c>
      <c r="Z52" s="7">
        <v>12</v>
      </c>
      <c r="AA52" s="7">
        <v>11.8</v>
      </c>
      <c r="AB52" s="7"/>
      <c r="AC52" s="7">
        <v>0</v>
      </c>
      <c r="AD52" s="3">
        <v>8</v>
      </c>
      <c r="AE52" s="4">
        <v>0</v>
      </c>
      <c r="AF52" s="7">
        <v>0</v>
      </c>
      <c r="AG52" s="7">
        <v>12</v>
      </c>
      <c r="AH52" s="7">
        <v>84</v>
      </c>
      <c r="AI52" s="4">
        <v>0</v>
      </c>
    </row>
    <row r="53" spans="1:35">
      <c r="A53" s="7" t="s">
        <v>176</v>
      </c>
      <c r="B53" s="7" t="s">
        <v>112</v>
      </c>
      <c r="C53" s="7">
        <v>410</v>
      </c>
      <c r="D53" s="7">
        <v>1225</v>
      </c>
      <c r="E53" s="7">
        <v>545</v>
      </c>
      <c r="F53" s="7">
        <v>1100</v>
      </c>
      <c r="G53" s="3">
        <v>1</v>
      </c>
      <c r="H53" s="7">
        <v>180</v>
      </c>
      <c r="I53" s="7" t="s">
        <v>177</v>
      </c>
      <c r="J53" s="7"/>
      <c r="K53" s="7">
        <v>535</v>
      </c>
      <c r="L53" s="7">
        <v>10</v>
      </c>
      <c r="M53" s="7"/>
      <c r="N53" s="7"/>
      <c r="O53" s="7">
        <v>480</v>
      </c>
      <c r="P53" s="7">
        <v>109</v>
      </c>
      <c r="Q53" s="19"/>
      <c r="R53" s="19">
        <v>0</v>
      </c>
      <c r="S53" s="7">
        <v>14.495412844036696</v>
      </c>
      <c r="T53" s="7">
        <v>14.495412844036696</v>
      </c>
      <c r="U53" s="7">
        <v>120</v>
      </c>
      <c r="V53" s="7">
        <v>88</v>
      </c>
      <c r="W53" s="7">
        <v>53</v>
      </c>
      <c r="X53" s="7">
        <v>150</v>
      </c>
      <c r="Y53" s="7">
        <v>9</v>
      </c>
      <c r="Z53" s="7">
        <v>99</v>
      </c>
      <c r="AA53" s="7">
        <v>116</v>
      </c>
      <c r="AB53" s="7"/>
      <c r="AC53" s="7">
        <v>0</v>
      </c>
      <c r="AD53" s="3">
        <v>5</v>
      </c>
      <c r="AE53" s="4">
        <v>0</v>
      </c>
      <c r="AF53" s="7">
        <v>0</v>
      </c>
      <c r="AG53" s="7">
        <v>12</v>
      </c>
      <c r="AH53" s="7">
        <v>144</v>
      </c>
      <c r="AI53" s="4">
        <v>0</v>
      </c>
    </row>
    <row r="54" spans="1:35">
      <c r="A54" s="7" t="s">
        <v>178</v>
      </c>
      <c r="B54" s="7" t="s">
        <v>108</v>
      </c>
      <c r="C54" s="7">
        <v>188</v>
      </c>
      <c r="D54" s="7">
        <v>120</v>
      </c>
      <c r="E54" s="7">
        <v>123</v>
      </c>
      <c r="F54" s="7">
        <v>195</v>
      </c>
      <c r="G54" s="3">
        <v>1</v>
      </c>
      <c r="H54" s="7">
        <v>180</v>
      </c>
      <c r="I54" s="7" t="s">
        <v>179</v>
      </c>
      <c r="J54" s="7"/>
      <c r="K54" s="7">
        <v>113</v>
      </c>
      <c r="L54" s="7">
        <v>10</v>
      </c>
      <c r="M54" s="7"/>
      <c r="N54" s="7"/>
      <c r="O54" s="7">
        <v>180</v>
      </c>
      <c r="P54" s="7">
        <v>24.6</v>
      </c>
      <c r="Q54" s="19"/>
      <c r="R54" s="19">
        <v>0</v>
      </c>
      <c r="S54" s="7">
        <v>15.243902439024389</v>
      </c>
      <c r="T54" s="7">
        <v>15.243902439024389</v>
      </c>
      <c r="U54" s="7">
        <v>27.8</v>
      </c>
      <c r="V54" s="7">
        <v>27.2</v>
      </c>
      <c r="W54" s="7">
        <v>31.4</v>
      </c>
      <c r="X54" s="7">
        <v>41.2</v>
      </c>
      <c r="Y54" s="7">
        <v>33.200000000000003</v>
      </c>
      <c r="Z54" s="7">
        <v>35.4</v>
      </c>
      <c r="AA54" s="7">
        <v>26.6</v>
      </c>
      <c r="AB54" s="7"/>
      <c r="AC54" s="7">
        <v>0</v>
      </c>
      <c r="AD54" s="3">
        <v>5</v>
      </c>
      <c r="AE54" s="4">
        <v>0</v>
      </c>
      <c r="AF54" s="7">
        <v>0</v>
      </c>
      <c r="AG54" s="7">
        <v>12</v>
      </c>
      <c r="AH54" s="7">
        <v>84</v>
      </c>
      <c r="AI54" s="4">
        <v>0</v>
      </c>
    </row>
    <row r="55" spans="1:35">
      <c r="A55" s="7" t="s">
        <v>113</v>
      </c>
      <c r="B55" s="7" t="s">
        <v>112</v>
      </c>
      <c r="C55" s="7">
        <v>8.1</v>
      </c>
      <c r="D55" s="7">
        <v>51.8</v>
      </c>
      <c r="E55" s="14">
        <v>17.8</v>
      </c>
      <c r="F55" s="14">
        <v>38.4</v>
      </c>
      <c r="G55" s="3">
        <v>1</v>
      </c>
      <c r="H55" s="7">
        <v>180</v>
      </c>
      <c r="I55" s="7" t="s">
        <v>180</v>
      </c>
      <c r="J55" s="7"/>
      <c r="K55" s="7">
        <v>14.8</v>
      </c>
      <c r="L55" s="7">
        <v>3</v>
      </c>
      <c r="M55" s="7"/>
      <c r="N55" s="7"/>
      <c r="O55" s="7">
        <v>51.8</v>
      </c>
      <c r="P55" s="7">
        <v>3.56</v>
      </c>
      <c r="Q55" s="19"/>
      <c r="R55" s="19">
        <v>0</v>
      </c>
      <c r="S55" s="7">
        <v>25.337078651685388</v>
      </c>
      <c r="T55" s="7">
        <v>25.337078651685388</v>
      </c>
      <c r="U55" s="7">
        <v>5.18</v>
      </c>
      <c r="V55" s="7">
        <v>5.18</v>
      </c>
      <c r="W55" s="7">
        <v>0</v>
      </c>
      <c r="X55" s="7">
        <v>0</v>
      </c>
      <c r="Y55" s="7">
        <v>1.48</v>
      </c>
      <c r="Z55" s="7">
        <v>5.2</v>
      </c>
      <c r="AA55" s="7">
        <v>2.2200000000000002</v>
      </c>
      <c r="AB55" s="7"/>
      <c r="AC55" s="7">
        <v>0</v>
      </c>
      <c r="AD55" s="3">
        <v>3.7</v>
      </c>
      <c r="AE55" s="4">
        <v>0</v>
      </c>
      <c r="AF55" s="7">
        <v>0</v>
      </c>
      <c r="AG55" s="7">
        <v>14</v>
      </c>
      <c r="AH55" s="7">
        <v>126</v>
      </c>
      <c r="AI55" s="4">
        <v>0</v>
      </c>
    </row>
    <row r="56" spans="1:35">
      <c r="A56" s="7" t="s">
        <v>181</v>
      </c>
      <c r="B56" s="7" t="s">
        <v>108</v>
      </c>
      <c r="C56" s="7"/>
      <c r="D56" s="7">
        <v>596</v>
      </c>
      <c r="E56" s="7">
        <v>97</v>
      </c>
      <c r="F56" s="7">
        <v>497</v>
      </c>
      <c r="G56" s="3">
        <v>0.23</v>
      </c>
      <c r="H56" s="7">
        <v>180</v>
      </c>
      <c r="I56" s="7" t="s">
        <v>182</v>
      </c>
      <c r="J56" s="7"/>
      <c r="K56" s="7">
        <v>99</v>
      </c>
      <c r="L56" s="7">
        <v>-2</v>
      </c>
      <c r="M56" s="7"/>
      <c r="N56" s="7"/>
      <c r="O56" s="7">
        <v>0</v>
      </c>
      <c r="P56" s="7">
        <v>19.399999999999999</v>
      </c>
      <c r="Q56" s="19"/>
      <c r="R56" s="19">
        <v>0</v>
      </c>
      <c r="S56" s="7">
        <v>25.618556701030929</v>
      </c>
      <c r="T56" s="7">
        <v>25.618556701030929</v>
      </c>
      <c r="U56" s="7">
        <v>19</v>
      </c>
      <c r="V56" s="7">
        <v>30.2</v>
      </c>
      <c r="W56" s="7">
        <v>28.8</v>
      </c>
      <c r="X56" s="7">
        <v>21</v>
      </c>
      <c r="Y56" s="7">
        <v>21.4</v>
      </c>
      <c r="Z56" s="7">
        <v>15.2</v>
      </c>
      <c r="AA56" s="7">
        <v>16.399999999999999</v>
      </c>
      <c r="AB56" s="7"/>
      <c r="AC56" s="7">
        <v>0</v>
      </c>
      <c r="AD56" s="3">
        <v>6</v>
      </c>
      <c r="AE56" s="4">
        <v>0</v>
      </c>
      <c r="AF56" s="7">
        <v>0</v>
      </c>
      <c r="AG56" s="7">
        <v>14</v>
      </c>
      <c r="AH56" s="7">
        <v>140</v>
      </c>
      <c r="AI56" s="4">
        <v>0</v>
      </c>
    </row>
    <row r="57" spans="1:35">
      <c r="A57" s="7" t="s">
        <v>26</v>
      </c>
      <c r="B57" s="7" t="s">
        <v>108</v>
      </c>
      <c r="C57" s="7">
        <v>3</v>
      </c>
      <c r="D57" s="7">
        <v>1024</v>
      </c>
      <c r="E57" s="7">
        <v>302</v>
      </c>
      <c r="F57" s="7">
        <v>711</v>
      </c>
      <c r="G57" s="3">
        <v>0.25</v>
      </c>
      <c r="H57" s="7">
        <v>180</v>
      </c>
      <c r="I57" s="7" t="s">
        <v>183</v>
      </c>
      <c r="J57" s="7"/>
      <c r="K57" s="7">
        <v>375</v>
      </c>
      <c r="L57" s="7">
        <v>-73</v>
      </c>
      <c r="M57" s="7"/>
      <c r="N57" s="7"/>
      <c r="O57" s="7">
        <v>0</v>
      </c>
      <c r="P57" s="7">
        <v>60.4</v>
      </c>
      <c r="Q57" s="19">
        <v>134.60000000000002</v>
      </c>
      <c r="R57" s="19">
        <v>168</v>
      </c>
      <c r="S57" s="7">
        <v>14.552980132450331</v>
      </c>
      <c r="T57" s="7">
        <v>11.771523178807948</v>
      </c>
      <c r="U57" s="7">
        <v>33.799999999999997</v>
      </c>
      <c r="V57" s="7">
        <v>72.400000000000006</v>
      </c>
      <c r="W57" s="7">
        <v>97</v>
      </c>
      <c r="X57" s="7">
        <v>62</v>
      </c>
      <c r="Y57" s="7">
        <v>79.8</v>
      </c>
      <c r="Z57" s="7">
        <v>65.400000000000006</v>
      </c>
      <c r="AA57" s="7">
        <v>85.6</v>
      </c>
      <c r="AB57" s="7"/>
      <c r="AC57" s="7">
        <v>33.650000000000006</v>
      </c>
      <c r="AD57" s="3">
        <v>12</v>
      </c>
      <c r="AE57" s="4">
        <v>14</v>
      </c>
      <c r="AF57" s="7">
        <v>42</v>
      </c>
      <c r="AG57" s="7">
        <v>14</v>
      </c>
      <c r="AH57" s="7">
        <v>70</v>
      </c>
      <c r="AI57" s="4">
        <v>0.2</v>
      </c>
    </row>
    <row r="58" spans="1:35">
      <c r="A58" s="7" t="s">
        <v>21</v>
      </c>
      <c r="B58" s="7" t="s">
        <v>108</v>
      </c>
      <c r="C58" s="7">
        <v>17</v>
      </c>
      <c r="D58" s="7">
        <v>520</v>
      </c>
      <c r="E58" s="7">
        <v>189</v>
      </c>
      <c r="F58" s="7">
        <v>348</v>
      </c>
      <c r="G58" s="3">
        <v>0.25</v>
      </c>
      <c r="H58" s="7">
        <v>180</v>
      </c>
      <c r="I58" s="7" t="s">
        <v>184</v>
      </c>
      <c r="J58" s="7"/>
      <c r="K58" s="7">
        <v>241</v>
      </c>
      <c r="L58" s="7">
        <v>-52</v>
      </c>
      <c r="M58" s="7"/>
      <c r="N58" s="7"/>
      <c r="O58" s="7">
        <v>336</v>
      </c>
      <c r="P58" s="7">
        <v>37.799999999999997</v>
      </c>
      <c r="Q58" s="19"/>
      <c r="R58" s="19">
        <v>0</v>
      </c>
      <c r="S58" s="7">
        <v>18.095238095238095</v>
      </c>
      <c r="T58" s="7">
        <v>18.095238095238095</v>
      </c>
      <c r="U58" s="7">
        <v>52.4</v>
      </c>
      <c r="V58" s="7">
        <v>23</v>
      </c>
      <c r="W58" s="7">
        <v>38.4</v>
      </c>
      <c r="X58" s="7">
        <v>23.4</v>
      </c>
      <c r="Y58" s="7">
        <v>10.199999999999999</v>
      </c>
      <c r="Z58" s="7">
        <v>31.4</v>
      </c>
      <c r="AA58" s="7">
        <v>39.799999999999997</v>
      </c>
      <c r="AB58" s="7"/>
      <c r="AC58" s="7">
        <v>0</v>
      </c>
      <c r="AD58" s="3">
        <v>12</v>
      </c>
      <c r="AE58" s="4">
        <v>0</v>
      </c>
      <c r="AF58" s="7">
        <v>0</v>
      </c>
      <c r="AG58" s="7">
        <v>14</v>
      </c>
      <c r="AH58" s="7">
        <v>70</v>
      </c>
      <c r="AI58" s="4">
        <v>0</v>
      </c>
    </row>
    <row r="59" spans="1:35">
      <c r="A59" s="7" t="s">
        <v>185</v>
      </c>
      <c r="B59" s="7" t="s">
        <v>108</v>
      </c>
      <c r="C59" s="7">
        <v>63</v>
      </c>
      <c r="D59" s="7">
        <v>8</v>
      </c>
      <c r="E59" s="7">
        <v>20</v>
      </c>
      <c r="F59" s="7">
        <v>51</v>
      </c>
      <c r="G59" s="3">
        <v>0.18</v>
      </c>
      <c r="H59" s="7">
        <v>180</v>
      </c>
      <c r="I59" s="7" t="s">
        <v>186</v>
      </c>
      <c r="J59" s="7"/>
      <c r="K59" s="7">
        <v>20</v>
      </c>
      <c r="L59" s="7">
        <v>0</v>
      </c>
      <c r="M59" s="7"/>
      <c r="N59" s="7"/>
      <c r="O59" s="7">
        <v>0</v>
      </c>
      <c r="P59" s="7">
        <v>4</v>
      </c>
      <c r="Q59" s="19"/>
      <c r="R59" s="19">
        <v>0</v>
      </c>
      <c r="S59" s="7">
        <v>12.75</v>
      </c>
      <c r="T59" s="7">
        <v>12.75</v>
      </c>
      <c r="U59" s="7">
        <v>4.2</v>
      </c>
      <c r="V59" s="7">
        <v>0</v>
      </c>
      <c r="W59" s="7">
        <v>0</v>
      </c>
      <c r="X59" s="7">
        <v>0</v>
      </c>
      <c r="Y59" s="7">
        <v>1.4</v>
      </c>
      <c r="Z59" s="7">
        <v>2.6</v>
      </c>
      <c r="AA59" s="7">
        <v>7.8</v>
      </c>
      <c r="AB59" s="7"/>
      <c r="AC59" s="7">
        <v>0</v>
      </c>
      <c r="AD59" s="3">
        <v>6</v>
      </c>
      <c r="AE59" s="4">
        <v>0</v>
      </c>
      <c r="AF59" s="7">
        <v>0</v>
      </c>
      <c r="AG59" s="7">
        <v>14</v>
      </c>
      <c r="AH59" s="7">
        <v>140</v>
      </c>
      <c r="AI59" s="4">
        <v>0</v>
      </c>
    </row>
    <row r="60" spans="1:35">
      <c r="A60" s="7" t="s">
        <v>187</v>
      </c>
      <c r="B60" s="7" t="s">
        <v>108</v>
      </c>
      <c r="C60" s="7">
        <v>29</v>
      </c>
      <c r="D60" s="7">
        <v>8</v>
      </c>
      <c r="E60" s="7">
        <v>22</v>
      </c>
      <c r="F60" s="7">
        <v>15</v>
      </c>
      <c r="G60" s="3">
        <v>0.18</v>
      </c>
      <c r="H60" s="7">
        <v>180</v>
      </c>
      <c r="I60" s="7" t="s">
        <v>188</v>
      </c>
      <c r="J60" s="7"/>
      <c r="K60" s="7">
        <v>22</v>
      </c>
      <c r="L60" s="7">
        <v>0</v>
      </c>
      <c r="M60" s="7"/>
      <c r="N60" s="7"/>
      <c r="O60" s="7">
        <v>84</v>
      </c>
      <c r="P60" s="7">
        <v>4.4000000000000004</v>
      </c>
      <c r="Q60" s="19"/>
      <c r="R60" s="19">
        <v>0</v>
      </c>
      <c r="S60" s="7">
        <v>22.499999999999996</v>
      </c>
      <c r="T60" s="7">
        <v>22.499999999999996</v>
      </c>
      <c r="U60" s="7">
        <v>2.8</v>
      </c>
      <c r="V60" s="7">
        <v>2.2000000000000002</v>
      </c>
      <c r="W60" s="7">
        <v>5.2</v>
      </c>
      <c r="X60" s="7">
        <v>1.8</v>
      </c>
      <c r="Y60" s="7">
        <v>2.4</v>
      </c>
      <c r="Z60" s="7">
        <v>6</v>
      </c>
      <c r="AA60" s="7">
        <v>17.399999999999999</v>
      </c>
      <c r="AB60" s="7"/>
      <c r="AC60" s="7">
        <v>0</v>
      </c>
      <c r="AD60" s="3">
        <v>6</v>
      </c>
      <c r="AE60" s="4">
        <v>0</v>
      </c>
      <c r="AF60" s="7">
        <v>0</v>
      </c>
      <c r="AG60" s="7">
        <v>14</v>
      </c>
      <c r="AH60" s="7">
        <v>140</v>
      </c>
      <c r="AI60" s="4">
        <v>0</v>
      </c>
    </row>
    <row r="61" spans="1:35">
      <c r="A61" s="7" t="s">
        <v>189</v>
      </c>
      <c r="B61" s="7" t="s">
        <v>108</v>
      </c>
      <c r="C61" s="7">
        <v>75</v>
      </c>
      <c r="D61" s="7"/>
      <c r="E61" s="7">
        <v>6</v>
      </c>
      <c r="F61" s="7">
        <v>69</v>
      </c>
      <c r="G61" s="3">
        <v>0.18</v>
      </c>
      <c r="H61" s="7">
        <v>180</v>
      </c>
      <c r="I61" s="7" t="s">
        <v>190</v>
      </c>
      <c r="J61" s="7"/>
      <c r="K61" s="7">
        <v>6</v>
      </c>
      <c r="L61" s="7">
        <v>0</v>
      </c>
      <c r="M61" s="7"/>
      <c r="N61" s="7"/>
      <c r="O61" s="7">
        <v>0</v>
      </c>
      <c r="P61" s="7">
        <v>1.2</v>
      </c>
      <c r="Q61" s="19"/>
      <c r="R61" s="19">
        <v>0</v>
      </c>
      <c r="S61" s="7">
        <v>57.5</v>
      </c>
      <c r="T61" s="7">
        <v>57.5</v>
      </c>
      <c r="U61" s="7">
        <v>0.2</v>
      </c>
      <c r="V61" s="7">
        <v>0.2</v>
      </c>
      <c r="W61" s="7">
        <v>0.8</v>
      </c>
      <c r="X61" s="7">
        <v>0.2</v>
      </c>
      <c r="Y61" s="7">
        <v>0.8</v>
      </c>
      <c r="Z61" s="7">
        <v>3.8</v>
      </c>
      <c r="AA61" s="7">
        <v>4.5999999999999996</v>
      </c>
      <c r="AB61" s="13" t="s">
        <v>191</v>
      </c>
      <c r="AC61" s="7">
        <v>0</v>
      </c>
      <c r="AD61" s="3">
        <v>6</v>
      </c>
      <c r="AE61" s="4">
        <v>0</v>
      </c>
      <c r="AF61" s="7">
        <v>0</v>
      </c>
      <c r="AG61" s="7">
        <v>14</v>
      </c>
      <c r="AH61" s="7">
        <v>140</v>
      </c>
      <c r="AI61" s="4">
        <v>0</v>
      </c>
    </row>
    <row r="62" spans="1:35">
      <c r="A62" s="7" t="s">
        <v>1</v>
      </c>
      <c r="B62" s="7" t="s">
        <v>108</v>
      </c>
      <c r="C62" s="7">
        <v>-1</v>
      </c>
      <c r="D62" s="7">
        <v>848</v>
      </c>
      <c r="E62" s="7">
        <v>460</v>
      </c>
      <c r="F62" s="7">
        <v>359</v>
      </c>
      <c r="G62" s="3">
        <v>0.3</v>
      </c>
      <c r="H62" s="7">
        <v>180</v>
      </c>
      <c r="I62" s="7" t="s">
        <v>192</v>
      </c>
      <c r="J62" s="7"/>
      <c r="K62" s="7">
        <v>494</v>
      </c>
      <c r="L62" s="7">
        <v>-34</v>
      </c>
      <c r="M62" s="7"/>
      <c r="N62" s="7"/>
      <c r="O62" s="7">
        <v>336</v>
      </c>
      <c r="P62" s="7">
        <v>92</v>
      </c>
      <c r="Q62" s="19">
        <v>593</v>
      </c>
      <c r="R62" s="19">
        <v>672</v>
      </c>
      <c r="S62" s="7">
        <v>14.858695652173912</v>
      </c>
      <c r="T62" s="7">
        <v>7.5543478260869561</v>
      </c>
      <c r="U62" s="7">
        <v>69.599999999999994</v>
      </c>
      <c r="V62" s="7">
        <v>71.599999999999994</v>
      </c>
      <c r="W62" s="7">
        <v>103.8</v>
      </c>
      <c r="X62" s="7">
        <v>62.6</v>
      </c>
      <c r="Y62" s="7">
        <v>81</v>
      </c>
      <c r="Z62" s="7">
        <v>73.599999999999994</v>
      </c>
      <c r="AA62" s="7">
        <v>76.2</v>
      </c>
      <c r="AB62" s="7"/>
      <c r="AC62" s="7">
        <v>177.9</v>
      </c>
      <c r="AD62" s="3">
        <v>12</v>
      </c>
      <c r="AE62" s="4">
        <v>56</v>
      </c>
      <c r="AF62" s="7">
        <v>201.6</v>
      </c>
      <c r="AG62" s="7">
        <v>14</v>
      </c>
      <c r="AH62" s="7">
        <v>70</v>
      </c>
      <c r="AI62" s="4">
        <v>0.8</v>
      </c>
    </row>
    <row r="63" spans="1:35">
      <c r="A63" s="7" t="s">
        <v>193</v>
      </c>
      <c r="B63" s="7" t="s">
        <v>108</v>
      </c>
      <c r="C63" s="7">
        <v>81</v>
      </c>
      <c r="D63" s="7">
        <v>848</v>
      </c>
      <c r="E63" s="7">
        <v>460</v>
      </c>
      <c r="F63" s="7">
        <v>486</v>
      </c>
      <c r="G63" s="3">
        <v>0.3</v>
      </c>
      <c r="H63" s="7">
        <v>180</v>
      </c>
      <c r="I63" s="7" t="s">
        <v>194</v>
      </c>
      <c r="J63" s="7"/>
      <c r="K63" s="7">
        <v>551</v>
      </c>
      <c r="L63" s="7">
        <v>-91</v>
      </c>
      <c r="M63" s="7"/>
      <c r="N63" s="7"/>
      <c r="O63" s="7">
        <v>504</v>
      </c>
      <c r="P63" s="7">
        <v>92</v>
      </c>
      <c r="Q63" s="19">
        <v>298</v>
      </c>
      <c r="R63" s="19">
        <v>336</v>
      </c>
      <c r="S63" s="7">
        <v>14.413043478260869</v>
      </c>
      <c r="T63" s="7">
        <v>10.760869565217391</v>
      </c>
      <c r="U63" s="7">
        <v>85.2</v>
      </c>
      <c r="V63" s="7">
        <v>81.8</v>
      </c>
      <c r="W63" s="7">
        <v>90.2</v>
      </c>
      <c r="X63" s="7">
        <v>74.2</v>
      </c>
      <c r="Y63" s="7">
        <v>95</v>
      </c>
      <c r="Z63" s="7">
        <v>82.8</v>
      </c>
      <c r="AA63" s="7">
        <v>82</v>
      </c>
      <c r="AB63" s="7"/>
      <c r="AC63" s="7">
        <v>89.399999999999991</v>
      </c>
      <c r="AD63" s="3">
        <v>12</v>
      </c>
      <c r="AE63" s="4">
        <v>28</v>
      </c>
      <c r="AF63" s="7">
        <v>100.8</v>
      </c>
      <c r="AG63" s="7">
        <v>14</v>
      </c>
      <c r="AH63" s="7">
        <v>70</v>
      </c>
      <c r="AI63" s="4">
        <v>0.4</v>
      </c>
    </row>
    <row r="64" spans="1:35">
      <c r="A64" s="7" t="s">
        <v>22</v>
      </c>
      <c r="B64" s="7" t="s">
        <v>108</v>
      </c>
      <c r="C64" s="7">
        <v>-2</v>
      </c>
      <c r="D64" s="7">
        <v>392</v>
      </c>
      <c r="E64" s="7">
        <v>52</v>
      </c>
      <c r="F64" s="7">
        <v>338</v>
      </c>
      <c r="G64" s="3">
        <v>0.3</v>
      </c>
      <c r="H64" s="7">
        <v>180</v>
      </c>
      <c r="I64" s="7" t="s">
        <v>195</v>
      </c>
      <c r="J64" s="7"/>
      <c r="K64" s="7">
        <v>124</v>
      </c>
      <c r="L64" s="7">
        <v>-72</v>
      </c>
      <c r="M64" s="7"/>
      <c r="N64" s="7"/>
      <c r="O64" s="7">
        <v>0</v>
      </c>
      <c r="P64" s="7">
        <v>10.4</v>
      </c>
      <c r="Q64" s="19"/>
      <c r="R64" s="19">
        <v>0</v>
      </c>
      <c r="S64" s="7">
        <v>32.5</v>
      </c>
      <c r="T64" s="7">
        <v>32.5</v>
      </c>
      <c r="U64" s="7">
        <v>0</v>
      </c>
      <c r="V64" s="7">
        <v>15.8</v>
      </c>
      <c r="W64" s="7">
        <v>24.8</v>
      </c>
      <c r="X64" s="7">
        <v>12</v>
      </c>
      <c r="Y64" s="7">
        <v>22.6</v>
      </c>
      <c r="Z64" s="7">
        <v>6.8</v>
      </c>
      <c r="AA64" s="7">
        <v>13.6</v>
      </c>
      <c r="AB64" s="7"/>
      <c r="AC64" s="7">
        <v>0</v>
      </c>
      <c r="AD64" s="3">
        <v>14</v>
      </c>
      <c r="AE64" s="4">
        <v>0</v>
      </c>
      <c r="AF64" s="7">
        <v>0</v>
      </c>
      <c r="AG64" s="7">
        <v>14</v>
      </c>
      <c r="AH64" s="7">
        <v>70</v>
      </c>
      <c r="AI64" s="4">
        <v>0</v>
      </c>
    </row>
    <row r="65" spans="1:35">
      <c r="A65" s="7" t="s">
        <v>30</v>
      </c>
      <c r="B65" s="7" t="s">
        <v>108</v>
      </c>
      <c r="C65" s="7">
        <v>373</v>
      </c>
      <c r="D65" s="7">
        <v>862</v>
      </c>
      <c r="E65" s="7">
        <v>800</v>
      </c>
      <c r="F65" s="7">
        <v>442</v>
      </c>
      <c r="G65" s="3">
        <v>0.25</v>
      </c>
      <c r="H65" s="7">
        <v>180</v>
      </c>
      <c r="I65" s="7" t="s">
        <v>196</v>
      </c>
      <c r="J65" s="7"/>
      <c r="K65" s="7">
        <v>793</v>
      </c>
      <c r="L65" s="7">
        <v>7</v>
      </c>
      <c r="M65" s="7"/>
      <c r="N65" s="7"/>
      <c r="O65" s="7">
        <v>1008</v>
      </c>
      <c r="P65" s="7">
        <v>160</v>
      </c>
      <c r="Q65" s="19">
        <v>790</v>
      </c>
      <c r="R65" s="19">
        <v>840</v>
      </c>
      <c r="S65" s="7">
        <v>14.3125</v>
      </c>
      <c r="T65" s="7">
        <v>9.0625</v>
      </c>
      <c r="U65" s="7">
        <v>134.4</v>
      </c>
      <c r="V65" s="7">
        <v>129.19999999999999</v>
      </c>
      <c r="W65" s="7">
        <v>79.400000000000006</v>
      </c>
      <c r="X65" s="7">
        <v>80</v>
      </c>
      <c r="Y65" s="7">
        <v>108</v>
      </c>
      <c r="Z65" s="7">
        <v>105.2</v>
      </c>
      <c r="AA65" s="7">
        <v>110.4</v>
      </c>
      <c r="AB65" s="7"/>
      <c r="AC65" s="7">
        <v>197.5</v>
      </c>
      <c r="AD65" s="3">
        <v>12</v>
      </c>
      <c r="AE65" s="4">
        <v>70</v>
      </c>
      <c r="AF65" s="7">
        <v>210</v>
      </c>
      <c r="AG65" s="7">
        <v>14</v>
      </c>
      <c r="AH65" s="7">
        <v>70</v>
      </c>
      <c r="AI65" s="4">
        <v>1</v>
      </c>
    </row>
    <row r="66" spans="1:35">
      <c r="A66" s="7" t="s">
        <v>29</v>
      </c>
      <c r="B66" s="7" t="s">
        <v>108</v>
      </c>
      <c r="C66" s="7">
        <v>-27</v>
      </c>
      <c r="D66" s="7">
        <v>2016</v>
      </c>
      <c r="E66" s="14">
        <v>616</v>
      </c>
      <c r="F66" s="14">
        <v>1387</v>
      </c>
      <c r="G66" s="3">
        <v>0.25</v>
      </c>
      <c r="H66" s="7">
        <v>180</v>
      </c>
      <c r="I66" s="7" t="s">
        <v>197</v>
      </c>
      <c r="J66" s="7"/>
      <c r="K66" s="7">
        <v>653</v>
      </c>
      <c r="L66" s="7">
        <v>-37</v>
      </c>
      <c r="M66" s="7"/>
      <c r="N66" s="7"/>
      <c r="O66" s="7">
        <v>0</v>
      </c>
      <c r="P66" s="7">
        <v>123.2</v>
      </c>
      <c r="Q66" s="19">
        <v>337.79999999999995</v>
      </c>
      <c r="R66" s="19">
        <v>336</v>
      </c>
      <c r="S66" s="7">
        <v>13.98538961038961</v>
      </c>
      <c r="T66" s="7">
        <v>11.258116883116882</v>
      </c>
      <c r="U66" s="7">
        <v>47.8</v>
      </c>
      <c r="V66" s="7">
        <v>136.4</v>
      </c>
      <c r="W66" s="7">
        <v>140.19999999999999</v>
      </c>
      <c r="X66" s="7">
        <v>113.8</v>
      </c>
      <c r="Y66" s="7">
        <v>115.8</v>
      </c>
      <c r="Z66" s="7">
        <v>111.6</v>
      </c>
      <c r="AA66" s="7">
        <v>117.6</v>
      </c>
      <c r="AB66" s="7"/>
      <c r="AC66" s="7">
        <v>84.449999999999989</v>
      </c>
      <c r="AD66" s="3">
        <v>12</v>
      </c>
      <c r="AE66" s="4">
        <v>28</v>
      </c>
      <c r="AF66" s="7">
        <v>84</v>
      </c>
      <c r="AG66" s="7">
        <v>14</v>
      </c>
      <c r="AH66" s="7">
        <v>70</v>
      </c>
      <c r="AI66" s="4">
        <v>0.4</v>
      </c>
    </row>
    <row r="67" spans="1:35">
      <c r="A67" s="7" t="s">
        <v>198</v>
      </c>
      <c r="B67" s="7" t="s">
        <v>108</v>
      </c>
      <c r="C67" s="7">
        <v>2</v>
      </c>
      <c r="D67" s="7">
        <v>264</v>
      </c>
      <c r="E67" s="7">
        <v>44</v>
      </c>
      <c r="F67" s="7">
        <v>222</v>
      </c>
      <c r="G67" s="3">
        <v>0.2</v>
      </c>
      <c r="H67" s="7">
        <v>365</v>
      </c>
      <c r="I67" s="7" t="s">
        <v>199</v>
      </c>
      <c r="J67" s="7"/>
      <c r="K67" s="7">
        <v>112</v>
      </c>
      <c r="L67" s="7">
        <v>-68</v>
      </c>
      <c r="M67" s="7"/>
      <c r="N67" s="7"/>
      <c r="O67" s="7">
        <v>252</v>
      </c>
      <c r="P67" s="7">
        <v>8.8000000000000007</v>
      </c>
      <c r="Q67" s="19"/>
      <c r="R67" s="19">
        <v>0</v>
      </c>
      <c r="S67" s="7">
        <v>53.86363636363636</v>
      </c>
      <c r="T67" s="7">
        <v>53.86363636363636</v>
      </c>
      <c r="U67" s="7">
        <v>29.6</v>
      </c>
      <c r="V67" s="7">
        <v>25.2</v>
      </c>
      <c r="W67" s="7">
        <v>17.2</v>
      </c>
      <c r="X67" s="7">
        <v>1.6</v>
      </c>
      <c r="Y67" s="7">
        <v>19.600000000000001</v>
      </c>
      <c r="Z67" s="7">
        <v>20</v>
      </c>
      <c r="AA67" s="7">
        <v>27.8</v>
      </c>
      <c r="AB67" s="7"/>
      <c r="AC67" s="7">
        <v>0</v>
      </c>
      <c r="AD67" s="3">
        <v>6</v>
      </c>
      <c r="AE67" s="4">
        <v>0</v>
      </c>
      <c r="AF67" s="7">
        <v>0</v>
      </c>
      <c r="AG67" s="7">
        <v>14</v>
      </c>
      <c r="AH67" s="7">
        <v>140</v>
      </c>
      <c r="AI67" s="4">
        <v>0</v>
      </c>
    </row>
    <row r="68" spans="1:35">
      <c r="A68" s="7" t="s">
        <v>200</v>
      </c>
      <c r="B68" s="7" t="s">
        <v>108</v>
      </c>
      <c r="C68" s="7"/>
      <c r="D68" s="7">
        <v>840</v>
      </c>
      <c r="E68" s="7">
        <v>176</v>
      </c>
      <c r="F68" s="7">
        <v>664</v>
      </c>
      <c r="G68" s="3">
        <v>0.23</v>
      </c>
      <c r="H68" s="7">
        <v>180</v>
      </c>
      <c r="I68" s="7" t="s">
        <v>201</v>
      </c>
      <c r="J68" s="7"/>
      <c r="K68" s="7">
        <v>188</v>
      </c>
      <c r="L68" s="7">
        <v>-12</v>
      </c>
      <c r="M68" s="7"/>
      <c r="N68" s="7"/>
      <c r="O68" s="7">
        <v>0</v>
      </c>
      <c r="P68" s="7">
        <v>35.200000000000003</v>
      </c>
      <c r="Q68" s="19"/>
      <c r="R68" s="19">
        <v>0</v>
      </c>
      <c r="S68" s="7">
        <v>18.863636363636363</v>
      </c>
      <c r="T68" s="7">
        <v>18.863636363636363</v>
      </c>
      <c r="U68" s="7">
        <v>12.6</v>
      </c>
      <c r="V68" s="7">
        <v>46.6</v>
      </c>
      <c r="W68" s="7">
        <v>66.2</v>
      </c>
      <c r="X68" s="7">
        <v>45.6</v>
      </c>
      <c r="Y68" s="7">
        <v>46.4</v>
      </c>
      <c r="Z68" s="7">
        <v>30.2</v>
      </c>
      <c r="AA68" s="7">
        <v>23.6</v>
      </c>
      <c r="AB68" s="7"/>
      <c r="AC68" s="7">
        <v>0</v>
      </c>
      <c r="AD68" s="3">
        <v>6</v>
      </c>
      <c r="AE68" s="4">
        <v>0</v>
      </c>
      <c r="AF68" s="7">
        <v>0</v>
      </c>
      <c r="AG68" s="7">
        <v>14</v>
      </c>
      <c r="AH68" s="7">
        <v>140</v>
      </c>
      <c r="AI68" s="4">
        <v>0</v>
      </c>
    </row>
    <row r="69" spans="1:35">
      <c r="A69" s="7" t="s">
        <v>202</v>
      </c>
      <c r="B69" s="7" t="s">
        <v>112</v>
      </c>
      <c r="C69" s="7">
        <v>5.4</v>
      </c>
      <c r="D69" s="7">
        <v>151.19999999999999</v>
      </c>
      <c r="E69" s="7">
        <v>40.5</v>
      </c>
      <c r="F69" s="7">
        <v>116.1</v>
      </c>
      <c r="G69" s="3">
        <v>1</v>
      </c>
      <c r="H69" s="7">
        <v>180</v>
      </c>
      <c r="I69" s="7" t="s">
        <v>203</v>
      </c>
      <c r="J69" s="7"/>
      <c r="K69" s="7">
        <v>40.1</v>
      </c>
      <c r="L69" s="7">
        <v>0.39999999999999858</v>
      </c>
      <c r="M69" s="7"/>
      <c r="N69" s="7"/>
      <c r="O69" s="7">
        <v>0</v>
      </c>
      <c r="P69" s="7">
        <v>8.1</v>
      </c>
      <c r="Q69" s="19"/>
      <c r="R69" s="19">
        <v>0</v>
      </c>
      <c r="S69" s="7">
        <v>14.333333333333334</v>
      </c>
      <c r="T69" s="7">
        <v>14.333333333333334</v>
      </c>
      <c r="U69" s="7">
        <v>10.26</v>
      </c>
      <c r="V69" s="7">
        <v>9.7200000000000006</v>
      </c>
      <c r="W69" s="7">
        <v>6.48</v>
      </c>
      <c r="X69" s="7">
        <v>7.5659999999999998</v>
      </c>
      <c r="Y69" s="7">
        <v>2.16</v>
      </c>
      <c r="Z69" s="7">
        <v>10.8</v>
      </c>
      <c r="AA69" s="7">
        <v>8.64</v>
      </c>
      <c r="AB69" s="7"/>
      <c r="AC69" s="7">
        <v>0</v>
      </c>
      <c r="AD69" s="3">
        <v>2.7</v>
      </c>
      <c r="AE69" s="4">
        <v>0</v>
      </c>
      <c r="AF69" s="7">
        <v>0</v>
      </c>
      <c r="AG69" s="7">
        <v>14</v>
      </c>
      <c r="AH69" s="7">
        <v>126</v>
      </c>
      <c r="AI69" s="4">
        <v>0</v>
      </c>
    </row>
    <row r="70" spans="1:35">
      <c r="A70" s="7" t="s">
        <v>204</v>
      </c>
      <c r="B70" s="7" t="s">
        <v>112</v>
      </c>
      <c r="C70" s="7">
        <v>-27.7</v>
      </c>
      <c r="D70" s="7">
        <v>420</v>
      </c>
      <c r="E70" s="14">
        <v>400</v>
      </c>
      <c r="F70" s="14">
        <v>364.6</v>
      </c>
      <c r="G70" s="3">
        <v>1</v>
      </c>
      <c r="H70" s="7">
        <v>180</v>
      </c>
      <c r="I70" s="7" t="s">
        <v>205</v>
      </c>
      <c r="J70" s="7"/>
      <c r="K70" s="7">
        <v>130</v>
      </c>
      <c r="L70" s="7">
        <v>270</v>
      </c>
      <c r="M70" s="7"/>
      <c r="N70" s="7"/>
      <c r="O70" s="7">
        <v>180</v>
      </c>
      <c r="P70" s="7">
        <v>80</v>
      </c>
      <c r="Q70" s="19">
        <v>575.4</v>
      </c>
      <c r="R70" s="19">
        <v>600</v>
      </c>
      <c r="S70" s="7">
        <v>14.307499999999999</v>
      </c>
      <c r="T70" s="7">
        <v>6.8075000000000001</v>
      </c>
      <c r="U70" s="7">
        <v>54.54</v>
      </c>
      <c r="V70" s="7">
        <v>84.539999999999992</v>
      </c>
      <c r="W70" s="7">
        <v>57.54</v>
      </c>
      <c r="X70" s="7">
        <v>81</v>
      </c>
      <c r="Y70" s="7">
        <v>89.539999999999992</v>
      </c>
      <c r="Z70" s="7">
        <v>81</v>
      </c>
      <c r="AA70" s="7">
        <v>66</v>
      </c>
      <c r="AB70" s="7"/>
      <c r="AC70" s="7">
        <v>575.4</v>
      </c>
      <c r="AD70" s="3">
        <v>5</v>
      </c>
      <c r="AE70" s="4">
        <v>120</v>
      </c>
      <c r="AF70" s="7">
        <v>600</v>
      </c>
      <c r="AG70" s="7">
        <v>12</v>
      </c>
      <c r="AH70" s="7">
        <v>84</v>
      </c>
      <c r="AI70" s="4">
        <v>1.4285714285714286</v>
      </c>
    </row>
    <row r="71" spans="1:35">
      <c r="A71" s="8" t="s">
        <v>206</v>
      </c>
      <c r="B71" s="8" t="s">
        <v>112</v>
      </c>
      <c r="C71" s="8">
        <v>152.30000000000001</v>
      </c>
      <c r="D71" s="8">
        <v>180</v>
      </c>
      <c r="E71" s="14">
        <v>265</v>
      </c>
      <c r="F71" s="14">
        <v>102.3</v>
      </c>
      <c r="G71" s="9">
        <v>0</v>
      </c>
      <c r="H71" s="8"/>
      <c r="I71" s="8" t="s">
        <v>133</v>
      </c>
      <c r="J71" s="8" t="s">
        <v>204</v>
      </c>
      <c r="K71" s="8">
        <v>227.7</v>
      </c>
      <c r="L71" s="8">
        <v>37.300000000000011</v>
      </c>
      <c r="M71" s="8"/>
      <c r="N71" s="8"/>
      <c r="O71" s="8"/>
      <c r="P71" s="8">
        <v>53</v>
      </c>
      <c r="Q71" s="10"/>
      <c r="R71" s="10"/>
      <c r="S71" s="8">
        <v>1.9301886792452829</v>
      </c>
      <c r="T71" s="8">
        <v>1.9301886792452829</v>
      </c>
      <c r="U71" s="8">
        <v>27.54</v>
      </c>
      <c r="V71" s="8">
        <v>2.54</v>
      </c>
      <c r="W71" s="8">
        <v>1</v>
      </c>
      <c r="X71" s="8">
        <v>0</v>
      </c>
      <c r="Y71" s="8">
        <v>0</v>
      </c>
      <c r="Z71" s="8">
        <v>0</v>
      </c>
      <c r="AA71" s="8">
        <v>0</v>
      </c>
      <c r="AB71" s="8"/>
      <c r="AC71" s="8"/>
      <c r="AD71" s="9"/>
      <c r="AE71" s="11"/>
      <c r="AF71" s="8"/>
      <c r="AG71" s="8"/>
      <c r="AH71" s="8"/>
      <c r="AI71" s="11"/>
    </row>
  </sheetData>
  <mergeCells count="1">
    <mergeCell ref="Q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2026-07-10T06:43:57Z</dcterms:created>
  <dcterms:modified xsi:type="dcterms:W3CDTF">2026-07-10T08:26:43Z</dcterms:modified>
</cp:coreProperties>
</file>