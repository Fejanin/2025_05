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B5D77257-948A-4274-A0D3-A159042A715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Y279" i="1" s="1"/>
  <c r="P269" i="1"/>
  <c r="BP268" i="1"/>
  <c r="BO268" i="1"/>
  <c r="BN268" i="1"/>
  <c r="BM268" i="1"/>
  <c r="Z268" i="1"/>
  <c r="Z278" i="1" s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Y249" i="1"/>
  <c r="X249" i="1"/>
  <c r="Z248" i="1"/>
  <c r="X248" i="1"/>
  <c r="BO247" i="1"/>
  <c r="BM247" i="1"/>
  <c r="Z247" i="1"/>
  <c r="Y247" i="1"/>
  <c r="P247" i="1"/>
  <c r="X243" i="1"/>
  <c r="Z242" i="1"/>
  <c r="X242" i="1"/>
  <c r="BO241" i="1"/>
  <c r="BM241" i="1"/>
  <c r="Z241" i="1"/>
  <c r="Y241" i="1"/>
  <c r="Y243" i="1" s="1"/>
  <c r="P241" i="1"/>
  <c r="Y239" i="1"/>
  <c r="X239" i="1"/>
  <c r="Z238" i="1"/>
  <c r="X238" i="1"/>
  <c r="BO237" i="1"/>
  <c r="BM237" i="1"/>
  <c r="Z237" i="1"/>
  <c r="Y237" i="1"/>
  <c r="P237" i="1"/>
  <c r="X233" i="1"/>
  <c r="Z232" i="1"/>
  <c r="X232" i="1"/>
  <c r="BO231" i="1"/>
  <c r="BM231" i="1"/>
  <c r="Z231" i="1"/>
  <c r="Y231" i="1"/>
  <c r="Y233" i="1" s="1"/>
  <c r="P231" i="1"/>
  <c r="Y227" i="1"/>
  <c r="X227" i="1"/>
  <c r="Z226" i="1"/>
  <c r="X226" i="1"/>
  <c r="BO225" i="1"/>
  <c r="BM225" i="1"/>
  <c r="Z225" i="1"/>
  <c r="Y225" i="1"/>
  <c r="P225" i="1"/>
  <c r="X222" i="1"/>
  <c r="Z221" i="1"/>
  <c r="X221" i="1"/>
  <c r="BO220" i="1"/>
  <c r="BM220" i="1"/>
  <c r="Z220" i="1"/>
  <c r="Y220" i="1"/>
  <c r="Y222" i="1" s="1"/>
  <c r="P220" i="1"/>
  <c r="Y217" i="1"/>
  <c r="X217" i="1"/>
  <c r="Z216" i="1"/>
  <c r="X216" i="1"/>
  <c r="BO215" i="1"/>
  <c r="BM215" i="1"/>
  <c r="Z215" i="1"/>
  <c r="Y215" i="1"/>
  <c r="P215" i="1"/>
  <c r="BP214" i="1"/>
  <c r="BO214" i="1"/>
  <c r="BN214" i="1"/>
  <c r="BM214" i="1"/>
  <c r="Z214" i="1"/>
  <c r="Y214" i="1"/>
  <c r="Y216" i="1" s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Y211" i="1" s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6" i="1" s="1"/>
  <c r="P93" i="1"/>
  <c r="X90" i="1"/>
  <c r="Z89" i="1"/>
  <c r="X89" i="1"/>
  <c r="BO88" i="1"/>
  <c r="BM88" i="1"/>
  <c r="Z88" i="1"/>
  <c r="Y88" i="1"/>
  <c r="Y89" i="1" s="1"/>
  <c r="P88" i="1"/>
  <c r="X85" i="1"/>
  <c r="X84" i="1"/>
  <c r="BO83" i="1"/>
  <c r="BM83" i="1"/>
  <c r="Z83" i="1"/>
  <c r="Y83" i="1"/>
  <c r="BP83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8" i="1"/>
  <c r="Z67" i="1"/>
  <c r="X67" i="1"/>
  <c r="BO66" i="1"/>
  <c r="BM66" i="1"/>
  <c r="Z66" i="1"/>
  <c r="Y66" i="1"/>
  <c r="Y67" i="1" s="1"/>
  <c r="P66" i="1"/>
  <c r="X64" i="1"/>
  <c r="Z63" i="1"/>
  <c r="X63" i="1"/>
  <c r="BO62" i="1"/>
  <c r="BM62" i="1"/>
  <c r="Z62" i="1"/>
  <c r="Y62" i="1"/>
  <c r="Y63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P55" i="1"/>
  <c r="BP54" i="1"/>
  <c r="BO54" i="1"/>
  <c r="BN54" i="1"/>
  <c r="BM54" i="1"/>
  <c r="Z54" i="1"/>
  <c r="Z58" i="1" s="1"/>
  <c r="Y54" i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P48" i="1"/>
  <c r="BP47" i="1"/>
  <c r="BO47" i="1"/>
  <c r="BN47" i="1"/>
  <c r="BM47" i="1"/>
  <c r="Z47" i="1"/>
  <c r="Z50" i="1" s="1"/>
  <c r="Y47" i="1"/>
  <c r="P47" i="1"/>
  <c r="X44" i="1"/>
  <c r="Y43" i="1"/>
  <c r="X43" i="1"/>
  <c r="BP42" i="1"/>
  <c r="BO42" i="1"/>
  <c r="BN42" i="1"/>
  <c r="BM42" i="1"/>
  <c r="Z42" i="1"/>
  <c r="Y42" i="1"/>
  <c r="P42" i="1"/>
  <c r="BO41" i="1"/>
  <c r="BN41" i="1"/>
  <c r="BM41" i="1"/>
  <c r="Z41" i="1"/>
  <c r="Z43" i="1" s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6" i="1" s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31" i="1" s="1"/>
  <c r="P23" i="1"/>
  <c r="BP22" i="1"/>
  <c r="BO22" i="1"/>
  <c r="BN22" i="1"/>
  <c r="BM22" i="1"/>
  <c r="Z22" i="1"/>
  <c r="Z30" i="1" s="1"/>
  <c r="Y22" i="1"/>
  <c r="Y30" i="1" s="1"/>
  <c r="P22" i="1"/>
  <c r="H10" i="1"/>
  <c r="A9" i="1"/>
  <c r="F10" i="1" s="1"/>
  <c r="D7" i="1"/>
  <c r="Q6" i="1"/>
  <c r="P2" i="1"/>
  <c r="H9" i="1" l="1"/>
  <c r="A10" i="1"/>
  <c r="X281" i="1"/>
  <c r="X282" i="1"/>
  <c r="BN23" i="1"/>
  <c r="BP23" i="1"/>
  <c r="Y282" i="1" s="1"/>
  <c r="BN25" i="1"/>
  <c r="BN27" i="1"/>
  <c r="BN29" i="1"/>
  <c r="X280" i="1"/>
  <c r="BN34" i="1"/>
  <c r="BP34" i="1"/>
  <c r="Y37" i="1"/>
  <c r="Y280" i="1" s="1"/>
  <c r="B293" i="1" s="1"/>
  <c r="Y44" i="1"/>
  <c r="BP41" i="1"/>
  <c r="Y51" i="1"/>
  <c r="Y58" i="1"/>
  <c r="F9" i="1"/>
  <c r="J9" i="1"/>
  <c r="BP48" i="1"/>
  <c r="BN48" i="1"/>
  <c r="Y50" i="1"/>
  <c r="Y284" i="1" s="1"/>
  <c r="BP55" i="1"/>
  <c r="BN55" i="1"/>
  <c r="Y281" i="1" s="1"/>
  <c r="Y283" i="1" s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55" i="1"/>
  <c r="Y266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A293" i="1" s="1"/>
  <c r="Y151" i="1"/>
  <c r="C293" i="1" s="1"/>
  <c r="BP148" i="1"/>
  <c r="BN148" i="1"/>
  <c r="Y150" i="1"/>
  <c r="BP155" i="1"/>
  <c r="BN155" i="1"/>
  <c r="Z162" i="1"/>
  <c r="Z285" i="1" s="1"/>
  <c r="Y184" i="1"/>
  <c r="Y185" i="1"/>
  <c r="Y189" i="1"/>
  <c r="BP188" i="1"/>
  <c r="BN188" i="1"/>
  <c r="Z198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X283" i="1" l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<sst xmlns="http://schemas.openxmlformats.org/spreadsheetml/2006/main" count="1292" uniqueCount="417">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</sst>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69" fillId="0" borderId="43" xfId="0" applyFont="1" applyBorder="1" applyAlignment="1">
      <alignment horizontal="left" vertical="center" wrapText="1"/>
    </xf>
    <xf numFmtId="0" fontId="34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5" xfId="0" applyBorder="1" applyProtection="1">
      <protection hidden="1"/>
    </xf>
    <xf numFmtId="0" fontId="154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71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0" fillId="0" borderId="43" xfId="0" applyFont="1" applyBorder="1" applyAlignment="1">
      <alignment horizontal="left" vertical="center" wrapText="1"/>
    </xf>
    <xf numFmtId="0" fontId="64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5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1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35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72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1" customWidth="1"/>
    <col min="19" max="19" width="6.140625" style="27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1" customWidth="1"/>
    <col min="25" max="25" width="11" style="271" customWidth="1"/>
    <col min="26" max="26" width="10" style="271" customWidth="1"/>
    <col min="27" max="27" width="11.5703125" style="271" customWidth="1"/>
    <col min="28" max="28" width="10.42578125" style="271" customWidth="1"/>
    <col min="29" max="29" width="30" style="27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1" customWidth="1"/>
    <col min="34" max="34" width="9.140625" style="271" customWidth="1"/>
    <col min="35" max="16384" width="9.140625" style="271"/>
  </cols>
  <sheetData>
    <row r="1" spans="1:32" s="275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7"/>
      <c r="R2" s="297"/>
      <c r="S2" s="297"/>
      <c r="T2" s="297"/>
      <c r="U2" s="297"/>
      <c r="V2" s="297"/>
      <c r="W2" s="297"/>
      <c r="X2" s="16"/>
      <c r="Y2" s="16"/>
      <c r="Z2" s="16"/>
      <c r="AA2" s="16"/>
      <c r="AB2" s="51"/>
      <c r="AC2" s="51"/>
      <c r="AD2" s="51"/>
      <c r="AE2" s="51"/>
    </row>
    <row r="3" spans="1:32" s="27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7"/>
      <c r="Q3" s="297"/>
      <c r="R3" s="297"/>
      <c r="S3" s="297"/>
      <c r="T3" s="297"/>
      <c r="U3" s="297"/>
      <c r="V3" s="297"/>
      <c r="W3" s="297"/>
      <c r="X3" s="16"/>
      <c r="Y3" s="16"/>
      <c r="Z3" s="16"/>
      <c r="AA3" s="16"/>
      <c r="AB3" s="51"/>
      <c r="AC3" s="51"/>
      <c r="AD3" s="51"/>
      <c r="AE3" s="51"/>
    </row>
    <row r="4" spans="1:32" s="27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5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5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5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7"/>
      <c r="U7" s="384"/>
      <c r="V7" s="408"/>
      <c r="W7" s="409"/>
      <c r="AB7" s="51"/>
      <c r="AC7" s="51"/>
      <c r="AD7" s="51"/>
      <c r="AE7" s="51"/>
    </row>
    <row r="8" spans="1:32" s="275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7"/>
      <c r="U8" s="384"/>
      <c r="V8" s="408"/>
      <c r="W8" s="409"/>
      <c r="AB8" s="51"/>
      <c r="AC8" s="51"/>
      <c r="AD8" s="51"/>
      <c r="AE8" s="51"/>
    </row>
    <row r="9" spans="1:32" s="275" customFormat="1" ht="39.950000000000003" customHeight="1" x14ac:dyDescent="0.2">
      <c r="A9" s="3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7"/>
      <c r="C9" s="297"/>
      <c r="D9" s="370"/>
      <c r="E9" s="288"/>
      <c r="F9" s="3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7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6"/>
      <c r="P9" s="26" t="s">
        <v>19</v>
      </c>
      <c r="Q9" s="355"/>
      <c r="R9" s="356"/>
      <c r="T9" s="297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5" customFormat="1" ht="26.45" customHeight="1" x14ac:dyDescent="0.2">
      <c r="A10" s="3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7"/>
      <c r="C10" s="297"/>
      <c r="D10" s="370"/>
      <c r="E10" s="288"/>
      <c r="F10" s="3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7"/>
      <c r="H10" s="403" t="str">
        <f>IFERROR(VLOOKUP($D$10,Proxy,2,FALSE),"")</f>
        <v/>
      </c>
      <c r="I10" s="297"/>
      <c r="J10" s="297"/>
      <c r="K10" s="297"/>
      <c r="L10" s="297"/>
      <c r="M10" s="297"/>
      <c r="N10" s="274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5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5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7"/>
      <c r="AB12" s="51"/>
      <c r="AC12" s="51"/>
      <c r="AD12" s="51"/>
      <c r="AE12" s="51"/>
    </row>
    <row r="13" spans="1:32" s="275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5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5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5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6"/>
      <c r="Q16" s="376"/>
      <c r="R16" s="376"/>
      <c r="S16" s="376"/>
      <c r="T16" s="37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5"/>
      <c r="AB18" s="405"/>
      <c r="AC18" s="405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73"/>
      <c r="AB20" s="273"/>
      <c r="AC20" s="273"/>
    </row>
    <row r="21" spans="1:68" ht="14.25" customHeight="1" x14ac:dyDescent="0.25">
      <c r="A21" s="296" t="s">
        <v>62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72"/>
      <c r="AB21" s="272"/>
      <c r="AC21" s="272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36</v>
      </c>
      <c r="Y23" s="279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230.4</v>
      </c>
      <c r="Y31" s="280">
        <f>IFERROR(SUMPRODUCT(Y22:Y29*H22:H29),"0")</f>
        <v>230.4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7"/>
      <c r="C32" s="297"/>
      <c r="D32" s="297"/>
      <c r="E32" s="297"/>
      <c r="F32" s="297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73"/>
      <c r="AB32" s="273"/>
      <c r="AC32" s="273"/>
    </row>
    <row r="33" spans="1:68" ht="14.25" customHeight="1" x14ac:dyDescent="0.25">
      <c r="A33" s="296" t="s">
        <v>62</v>
      </c>
      <c r="B33" s="297"/>
      <c r="C33" s="297"/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72"/>
      <c r="AB33" s="272"/>
      <c r="AC33" s="272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73"/>
      <c r="AB39" s="273"/>
      <c r="AC39" s="273"/>
    </row>
    <row r="40" spans="1:68" ht="14.25" customHeight="1" x14ac:dyDescent="0.25">
      <c r="A40" s="296" t="s">
        <v>97</v>
      </c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8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x14ac:dyDescent="0.2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7"/>
      <c r="C45" s="297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73"/>
      <c r="AB45" s="273"/>
      <c r="AC45" s="273"/>
    </row>
    <row r="46" spans="1:68" ht="14.25" customHeight="1" x14ac:dyDescent="0.25">
      <c r="A46" s="296" t="s">
        <v>62</v>
      </c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12</v>
      </c>
      <c r="Y48" s="279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98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24</v>
      </c>
      <c r="Y50" s="280">
        <f>IFERROR(SUM(Y47:Y49),"0")</f>
        <v>24</v>
      </c>
      <c r="Z50" s="280">
        <f>IFERROR(IF(Z47="",0,Z47),"0")+IFERROR(IF(Z48="",0,Z48),"0")+IFERROR(IF(Z49="",0,Z49),"0")</f>
        <v>0.372</v>
      </c>
      <c r="AA50" s="281"/>
      <c r="AB50" s="281"/>
      <c r="AC50" s="281"/>
    </row>
    <row r="51" spans="1:68" x14ac:dyDescent="0.2">
      <c r="A51" s="297"/>
      <c r="B51" s="297"/>
      <c r="C51" s="297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134.39999999999998</v>
      </c>
      <c r="Y51" s="280">
        <f>IFERROR(SUMPRODUCT(Y47:Y49*H47:H49),"0")</f>
        <v>134.39999999999998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7"/>
      <c r="C52" s="297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273"/>
      <c r="AB52" s="273"/>
      <c r="AC52" s="273"/>
    </row>
    <row r="53" spans="1:68" ht="14.25" customHeight="1" x14ac:dyDescent="0.25">
      <c r="A53" s="296" t="s">
        <v>62</v>
      </c>
      <c r="B53" s="297"/>
      <c r="C53" s="297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  <c r="AA53" s="272"/>
      <c r="AB53" s="272"/>
      <c r="AC53" s="272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12</v>
      </c>
      <c r="Y55" s="27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87.431999999999988</v>
      </c>
      <c r="BN55" s="67">
        <f>IFERROR(Y55*I55,"0")</f>
        <v>87.431999999999988</v>
      </c>
      <c r="BO55" s="67">
        <f>IFERROR(X55/J55,"0")</f>
        <v>0.14285714285714285</v>
      </c>
      <c r="BP55" s="67">
        <f>IFERROR(Y55/J55,"0")</f>
        <v>0.14285714285714285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298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12</v>
      </c>
      <c r="Y58" s="280">
        <f>IFERROR(SUM(Y54:Y57),"0")</f>
        <v>12</v>
      </c>
      <c r="Z58" s="280">
        <f>IFERROR(IF(Z54="",0,Z54),"0")+IFERROR(IF(Z55="",0,Z55),"0")+IFERROR(IF(Z56="",0,Z56),"0")+IFERROR(IF(Z57="",0,Z57),"0")</f>
        <v>0.186</v>
      </c>
      <c r="AA58" s="281"/>
      <c r="AB58" s="281"/>
      <c r="AC58" s="281"/>
    </row>
    <row r="59" spans="1:68" x14ac:dyDescent="0.2">
      <c r="A59" s="297"/>
      <c r="B59" s="297"/>
      <c r="C59" s="297"/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84</v>
      </c>
      <c r="Y59" s="280">
        <f>IFERROR(SUMPRODUCT(Y54:Y57*H54:H57),"0")</f>
        <v>84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7"/>
      <c r="C60" s="297"/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73"/>
      <c r="AB60" s="273"/>
      <c r="AC60" s="273"/>
    </row>
    <row r="61" spans="1:68" ht="14.25" customHeight="1" x14ac:dyDescent="0.25">
      <c r="A61" s="296" t="s">
        <v>62</v>
      </c>
      <c r="B61" s="297"/>
      <c r="C61" s="297"/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72"/>
      <c r="AB61" s="272"/>
      <c r="AC61" s="272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7"/>
      <c r="B64" s="297"/>
      <c r="C64" s="297"/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6" t="s">
        <v>97</v>
      </c>
      <c r="B65" s="297"/>
      <c r="C65" s="297"/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72"/>
      <c r="AB65" s="272"/>
      <c r="AC65" s="272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6" t="s">
        <v>135</v>
      </c>
      <c r="B69" s="297"/>
      <c r="C69" s="297"/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72"/>
      <c r="AB69" s="272"/>
      <c r="AC69" s="272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7"/>
      <c r="C72" s="297"/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6" t="s">
        <v>141</v>
      </c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72"/>
      <c r="AB74" s="272"/>
      <c r="AC74" s="272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298"/>
      <c r="B78" s="297"/>
      <c r="C78" s="297"/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73"/>
      <c r="AB80" s="273"/>
      <c r="AC80" s="273"/>
    </row>
    <row r="81" spans="1:68" ht="14.25" customHeight="1" x14ac:dyDescent="0.25">
      <c r="A81" s="296" t="s">
        <v>62</v>
      </c>
      <c r="B81" s="297"/>
      <c r="C81" s="297"/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72"/>
      <c r="AB81" s="272"/>
      <c r="AC81" s="272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120</v>
      </c>
      <c r="Y83" s="279">
        <f>IFERROR(IF(X83="","",X83),"")</f>
        <v>120</v>
      </c>
      <c r="Z83" s="36">
        <f>IFERROR(IF(X83="","",X83*0.00866),"")</f>
        <v>1.0391999999999999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625.58399999999995</v>
      </c>
      <c r="BN83" s="67">
        <f>IFERROR(Y83*I83,"0")</f>
        <v>625.58399999999995</v>
      </c>
      <c r="BO83" s="67">
        <f>IFERROR(X83/J83,"0")</f>
        <v>0.83333333333333337</v>
      </c>
      <c r="BP83" s="67">
        <f>IFERROR(Y83/J83,"0")</f>
        <v>0.83333333333333337</v>
      </c>
    </row>
    <row r="84" spans="1:68" x14ac:dyDescent="0.2">
      <c r="A84" s="298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120</v>
      </c>
      <c r="Y84" s="280">
        <f>IFERROR(SUM(Y82:Y83),"0")</f>
        <v>120</v>
      </c>
      <c r="Z84" s="280">
        <f>IFERROR(IF(Z82="",0,Z82),"0")+IFERROR(IF(Z83="",0,Z83),"0")</f>
        <v>1.0391999999999999</v>
      </c>
      <c r="AA84" s="281"/>
      <c r="AB84" s="281"/>
      <c r="AC84" s="281"/>
    </row>
    <row r="85" spans="1:68" x14ac:dyDescent="0.2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600</v>
      </c>
      <c r="Y85" s="280">
        <f>IFERROR(SUMPRODUCT(Y82:Y83*H82:H83),"0")</f>
        <v>600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7"/>
      <c r="C86" s="297"/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73"/>
      <c r="AB86" s="273"/>
      <c r="AC86" s="273"/>
    </row>
    <row r="87" spans="1:68" ht="14.25" customHeight="1" x14ac:dyDescent="0.25">
      <c r="A87" s="296" t="s">
        <v>141</v>
      </c>
      <c r="B87" s="297"/>
      <c r="C87" s="297"/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72"/>
      <c r="AB87" s="272"/>
      <c r="AC87" s="272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8"/>
      <c r="B89" s="297"/>
      <c r="C89" s="297"/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x14ac:dyDescent="0.2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73"/>
      <c r="AB91" s="273"/>
      <c r="AC91" s="273"/>
    </row>
    <row r="92" spans="1:68" ht="14.25" customHeight="1" x14ac:dyDescent="0.25">
      <c r="A92" s="296" t="s">
        <v>161</v>
      </c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72"/>
      <c r="AB92" s="272"/>
      <c r="AC92" s="272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28</v>
      </c>
      <c r="Y93" s="279">
        <f>IFERROR(IF(X93="","",X93),"")</f>
        <v>28</v>
      </c>
      <c r="Z93" s="36">
        <f>IFERROR(IF(X93="","",X93*0.01788),"")</f>
        <v>0.50063999999999997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120.50080000000001</v>
      </c>
      <c r="BN93" s="67">
        <f>IFERROR(Y93*I93,"0")</f>
        <v>120.50080000000001</v>
      </c>
      <c r="BO93" s="67">
        <f>IFERROR(X93/J93,"0")</f>
        <v>0.4</v>
      </c>
      <c r="BP93" s="67">
        <f>IFERROR(Y93/J93,"0")</f>
        <v>0.4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14</v>
      </c>
      <c r="Y94" s="279">
        <f>IFERROR(IF(X94="","",X94),"")</f>
        <v>14</v>
      </c>
      <c r="Z94" s="36">
        <f>IFERROR(IF(X94="","",X94*0.01788),"")</f>
        <v>0.25031999999999999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60.250400000000006</v>
      </c>
      <c r="BN94" s="67">
        <f>IFERROR(Y94*I94,"0")</f>
        <v>60.250400000000006</v>
      </c>
      <c r="BO94" s="67">
        <f>IFERROR(X94/J94,"0")</f>
        <v>0.2</v>
      </c>
      <c r="BP94" s="67">
        <f>IFERROR(Y94/J94,"0")</f>
        <v>0.2</v>
      </c>
    </row>
    <row r="95" spans="1:68" x14ac:dyDescent="0.2">
      <c r="A95" s="298"/>
      <c r="B95" s="297"/>
      <c r="C95" s="297"/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42</v>
      </c>
      <c r="Y95" s="280">
        <f>IFERROR(SUM(Y93:Y94),"0")</f>
        <v>42</v>
      </c>
      <c r="Z95" s="280">
        <f>IFERROR(IF(Z93="",0,Z93),"0")+IFERROR(IF(Z94="",0,Z94),"0")</f>
        <v>0.75095999999999996</v>
      </c>
      <c r="AA95" s="281"/>
      <c r="AB95" s="281"/>
      <c r="AC95" s="281"/>
    </row>
    <row r="96" spans="1:68" x14ac:dyDescent="0.2">
      <c r="A96" s="297"/>
      <c r="B96" s="297"/>
      <c r="C96" s="297"/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151.19999999999999</v>
      </c>
      <c r="Y96" s="280">
        <f>IFERROR(SUMPRODUCT(Y93:Y94*H93:H94),"0")</f>
        <v>151.19999999999999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7"/>
      <c r="C97" s="297"/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73"/>
      <c r="AB97" s="273"/>
      <c r="AC97" s="273"/>
    </row>
    <row r="98" spans="1:68" ht="14.25" customHeight="1" x14ac:dyDescent="0.25">
      <c r="A98" s="296" t="s">
        <v>141</v>
      </c>
      <c r="B98" s="297"/>
      <c r="C98" s="297"/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72"/>
      <c r="AB98" s="272"/>
      <c r="AC98" s="272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0</v>
      </c>
      <c r="Y100" s="279">
        <f t="shared" si="6"/>
        <v>0</v>
      </c>
      <c r="Z100" s="36">
        <f t="shared" si="7"/>
        <v>0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0</v>
      </c>
      <c r="Y101" s="279">
        <f t="shared" si="6"/>
        <v>0</v>
      </c>
      <c r="Z101" s="36">
        <f t="shared" si="7"/>
        <v>0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14</v>
      </c>
      <c r="Y102" s="279">
        <f t="shared" si="6"/>
        <v>14</v>
      </c>
      <c r="Z102" s="36">
        <f t="shared" si="7"/>
        <v>0.25031999999999999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50.170400000000001</v>
      </c>
      <c r="BN102" s="67">
        <f t="shared" si="9"/>
        <v>50.170400000000001</v>
      </c>
      <c r="BO102" s="67">
        <f t="shared" si="10"/>
        <v>0.2</v>
      </c>
      <c r="BP102" s="67">
        <f t="shared" si="11"/>
        <v>0.2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98"/>
      <c r="B105" s="297"/>
      <c r="C105" s="297"/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14</v>
      </c>
      <c r="Y105" s="280">
        <f>IFERROR(SUM(Y99:Y104),"0")</f>
        <v>14</v>
      </c>
      <c r="Z105" s="280">
        <f>IFERROR(IF(Z99="",0,Z99),"0")+IFERROR(IF(Z100="",0,Z100),"0")+IFERROR(IF(Z101="",0,Z101),"0")+IFERROR(IF(Z102="",0,Z102),"0")+IFERROR(IF(Z103="",0,Z103),"0")+IFERROR(IF(Z104="",0,Z104),"0")</f>
        <v>0.25031999999999999</v>
      </c>
      <c r="AA105" s="281"/>
      <c r="AB105" s="281"/>
      <c r="AC105" s="281"/>
    </row>
    <row r="106" spans="1:68" x14ac:dyDescent="0.2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40.32</v>
      </c>
      <c r="Y106" s="280">
        <f>IFERROR(SUMPRODUCT(Y99:Y104*H99:H104),"0")</f>
        <v>40.32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73"/>
      <c r="AB107" s="273"/>
      <c r="AC107" s="273"/>
    </row>
    <row r="108" spans="1:68" ht="14.25" customHeight="1" x14ac:dyDescent="0.25">
      <c r="A108" s="296" t="s">
        <v>135</v>
      </c>
      <c r="B108" s="297"/>
      <c r="C108" s="297"/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72"/>
      <c r="AB108" s="272"/>
      <c r="AC108" s="272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8"/>
      <c r="B111" s="297"/>
      <c r="C111" s="297"/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x14ac:dyDescent="0.2">
      <c r="A112" s="297"/>
      <c r="B112" s="297"/>
      <c r="C112" s="297"/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7"/>
      <c r="C113" s="297"/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73"/>
      <c r="AB113" s="273"/>
      <c r="AC113" s="273"/>
    </row>
    <row r="114" spans="1:68" ht="14.25" customHeight="1" x14ac:dyDescent="0.25">
      <c r="A114" s="296" t="s">
        <v>62</v>
      </c>
      <c r="B114" s="297"/>
      <c r="C114" s="297"/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72"/>
      <c r="AB114" s="272"/>
      <c r="AC114" s="272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48</v>
      </c>
      <c r="Y118" s="279">
        <f t="shared" si="12"/>
        <v>48</v>
      </c>
      <c r="Z118" s="36">
        <f t="shared" si="13"/>
        <v>0.74399999999999999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350.4</v>
      </c>
      <c r="BN118" s="67">
        <f t="shared" si="15"/>
        <v>350.4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24</v>
      </c>
      <c r="Y121" s="279">
        <f t="shared" si="12"/>
        <v>24</v>
      </c>
      <c r="Z121" s="36">
        <f t="shared" si="13"/>
        <v>0.372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175.2</v>
      </c>
      <c r="BN121" s="67">
        <f t="shared" si="15"/>
        <v>175.2</v>
      </c>
      <c r="BO121" s="67">
        <f t="shared" si="16"/>
        <v>0.2857142857142857</v>
      </c>
      <c r="BP121" s="67">
        <f t="shared" si="17"/>
        <v>0.2857142857142857</v>
      </c>
    </row>
    <row r="122" spans="1:68" x14ac:dyDescent="0.2">
      <c r="A122" s="298"/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72</v>
      </c>
      <c r="Y122" s="280">
        <f>IFERROR(SUM(Y115:Y121),"0")</f>
        <v>72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1.1160000000000001</v>
      </c>
      <c r="AA122" s="281"/>
      <c r="AB122" s="281"/>
      <c r="AC122" s="281"/>
    </row>
    <row r="123" spans="1:68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504</v>
      </c>
      <c r="Y123" s="280">
        <f>IFERROR(SUMPRODUCT(Y115:Y121*H115:H121),"0")</f>
        <v>504</v>
      </c>
      <c r="Z123" s="37"/>
      <c r="AA123" s="281"/>
      <c r="AB123" s="281"/>
      <c r="AC123" s="281"/>
    </row>
    <row r="124" spans="1:68" ht="14.25" customHeight="1" x14ac:dyDescent="0.25">
      <c r="A124" s="296" t="s">
        <v>141</v>
      </c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72"/>
      <c r="AB124" s="272"/>
      <c r="AC124" s="272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7"/>
      <c r="C126" s="297"/>
      <c r="D126" s="297"/>
      <c r="E126" s="297"/>
      <c r="F126" s="297"/>
      <c r="G126" s="297"/>
      <c r="H126" s="297"/>
      <c r="I126" s="297"/>
      <c r="J126" s="297"/>
      <c r="K126" s="297"/>
      <c r="L126" s="297"/>
      <c r="M126" s="297"/>
      <c r="N126" s="297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6" t="s">
        <v>210</v>
      </c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7"/>
      <c r="P128" s="297"/>
      <c r="Q128" s="297"/>
      <c r="R128" s="297"/>
      <c r="S128" s="297"/>
      <c r="T128" s="297"/>
      <c r="U128" s="297"/>
      <c r="V128" s="297"/>
      <c r="W128" s="297"/>
      <c r="X128" s="297"/>
      <c r="Y128" s="297"/>
      <c r="Z128" s="297"/>
      <c r="AA128" s="272"/>
      <c r="AB128" s="272"/>
      <c r="AC128" s="272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7"/>
      <c r="C130" s="297"/>
      <c r="D130" s="297"/>
      <c r="E130" s="297"/>
      <c r="F130" s="297"/>
      <c r="G130" s="297"/>
      <c r="H130" s="297"/>
      <c r="I130" s="297"/>
      <c r="J130" s="297"/>
      <c r="K130" s="297"/>
      <c r="L130" s="297"/>
      <c r="M130" s="297"/>
      <c r="N130" s="297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7"/>
      <c r="B131" s="297"/>
      <c r="C131" s="297"/>
      <c r="D131" s="297"/>
      <c r="E131" s="297"/>
      <c r="F131" s="297"/>
      <c r="G131" s="297"/>
      <c r="H131" s="297"/>
      <c r="I131" s="297"/>
      <c r="J131" s="297"/>
      <c r="K131" s="297"/>
      <c r="L131" s="297"/>
      <c r="M131" s="297"/>
      <c r="N131" s="297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7"/>
      <c r="C132" s="297"/>
      <c r="D132" s="297"/>
      <c r="E132" s="297"/>
      <c r="F132" s="297"/>
      <c r="G132" s="297"/>
      <c r="H132" s="297"/>
      <c r="I132" s="297"/>
      <c r="J132" s="297"/>
      <c r="K132" s="297"/>
      <c r="L132" s="297"/>
      <c r="M132" s="297"/>
      <c r="N132" s="297"/>
      <c r="O132" s="297"/>
      <c r="P132" s="297"/>
      <c r="Q132" s="297"/>
      <c r="R132" s="297"/>
      <c r="S132" s="297"/>
      <c r="T132" s="297"/>
      <c r="U132" s="297"/>
      <c r="V132" s="297"/>
      <c r="W132" s="297"/>
      <c r="X132" s="297"/>
      <c r="Y132" s="297"/>
      <c r="Z132" s="297"/>
      <c r="AA132" s="273"/>
      <c r="AB132" s="273"/>
      <c r="AC132" s="273"/>
    </row>
    <row r="133" spans="1:68" ht="14.25" customHeight="1" x14ac:dyDescent="0.25">
      <c r="A133" s="296" t="s">
        <v>141</v>
      </c>
      <c r="B133" s="297"/>
      <c r="C133" s="297"/>
      <c r="D133" s="297"/>
      <c r="E133" s="297"/>
      <c r="F133" s="297"/>
      <c r="G133" s="297"/>
      <c r="H133" s="297"/>
      <c r="I133" s="297"/>
      <c r="J133" s="297"/>
      <c r="K133" s="297"/>
      <c r="L133" s="297"/>
      <c r="M133" s="297"/>
      <c r="N133" s="297"/>
      <c r="O133" s="297"/>
      <c r="P133" s="297"/>
      <c r="Q133" s="297"/>
      <c r="R133" s="297"/>
      <c r="S133" s="297"/>
      <c r="T133" s="297"/>
      <c r="U133" s="297"/>
      <c r="V133" s="297"/>
      <c r="W133" s="297"/>
      <c r="X133" s="297"/>
      <c r="Y133" s="297"/>
      <c r="Z133" s="297"/>
      <c r="AA133" s="272"/>
      <c r="AB133" s="272"/>
      <c r="AC133" s="272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98"/>
      <c r="B138" s="297"/>
      <c r="C138" s="297"/>
      <c r="D138" s="297"/>
      <c r="E138" s="297"/>
      <c r="F138" s="297"/>
      <c r="G138" s="297"/>
      <c r="H138" s="297"/>
      <c r="I138" s="297"/>
      <c r="J138" s="297"/>
      <c r="K138" s="297"/>
      <c r="L138" s="297"/>
      <c r="M138" s="297"/>
      <c r="N138" s="297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0</v>
      </c>
      <c r="Y138" s="280">
        <f>IFERROR(SUM(Y134:Y137),"0")</f>
        <v>0</v>
      </c>
      <c r="Z138" s="280">
        <f>IFERROR(IF(Z134="",0,Z134),"0")+IFERROR(IF(Z135="",0,Z135),"0")+IFERROR(IF(Z136="",0,Z136),"0")+IFERROR(IF(Z137="",0,Z137),"0")</f>
        <v>0</v>
      </c>
      <c r="AA138" s="281"/>
      <c r="AB138" s="281"/>
      <c r="AC138" s="281"/>
    </row>
    <row r="139" spans="1:68" x14ac:dyDescent="0.2">
      <c r="A139" s="297"/>
      <c r="B139" s="297"/>
      <c r="C139" s="297"/>
      <c r="D139" s="297"/>
      <c r="E139" s="297"/>
      <c r="F139" s="297"/>
      <c r="G139" s="297"/>
      <c r="H139" s="297"/>
      <c r="I139" s="297"/>
      <c r="J139" s="297"/>
      <c r="K139" s="297"/>
      <c r="L139" s="297"/>
      <c r="M139" s="297"/>
      <c r="N139" s="297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0</v>
      </c>
      <c r="Y139" s="280">
        <f>IFERROR(SUMPRODUCT(Y134:Y137*H134:H137),"0")</f>
        <v>0</v>
      </c>
      <c r="Z139" s="37"/>
      <c r="AA139" s="281"/>
      <c r="AB139" s="281"/>
      <c r="AC139" s="281"/>
    </row>
    <row r="140" spans="1:68" ht="14.25" customHeight="1" x14ac:dyDescent="0.25">
      <c r="A140" s="296" t="s">
        <v>224</v>
      </c>
      <c r="B140" s="297"/>
      <c r="C140" s="297"/>
      <c r="D140" s="297"/>
      <c r="E140" s="297"/>
      <c r="F140" s="297"/>
      <c r="G140" s="297"/>
      <c r="H140" s="297"/>
      <c r="I140" s="297"/>
      <c r="J140" s="297"/>
      <c r="K140" s="297"/>
      <c r="L140" s="297"/>
      <c r="M140" s="297"/>
      <c r="N140" s="297"/>
      <c r="O140" s="297"/>
      <c r="P140" s="297"/>
      <c r="Q140" s="297"/>
      <c r="R140" s="297"/>
      <c r="S140" s="297"/>
      <c r="T140" s="297"/>
      <c r="U140" s="297"/>
      <c r="V140" s="297"/>
      <c r="W140" s="297"/>
      <c r="X140" s="297"/>
      <c r="Y140" s="297"/>
      <c r="Z140" s="297"/>
      <c r="AA140" s="272"/>
      <c r="AB140" s="272"/>
      <c r="AC140" s="272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7"/>
      <c r="C144" s="297"/>
      <c r="D144" s="297"/>
      <c r="E144" s="297"/>
      <c r="F144" s="297"/>
      <c r="G144" s="297"/>
      <c r="H144" s="297"/>
      <c r="I144" s="297"/>
      <c r="J144" s="297"/>
      <c r="K144" s="297"/>
      <c r="L144" s="297"/>
      <c r="M144" s="297"/>
      <c r="N144" s="297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x14ac:dyDescent="0.2">
      <c r="A145" s="297"/>
      <c r="B145" s="297"/>
      <c r="C145" s="297"/>
      <c r="D145" s="297"/>
      <c r="E145" s="297"/>
      <c r="F145" s="297"/>
      <c r="G145" s="297"/>
      <c r="H145" s="297"/>
      <c r="I145" s="297"/>
      <c r="J145" s="297"/>
      <c r="K145" s="297"/>
      <c r="L145" s="297"/>
      <c r="M145" s="297"/>
      <c r="N145" s="297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7"/>
      <c r="C146" s="297"/>
      <c r="D146" s="297"/>
      <c r="E146" s="297"/>
      <c r="F146" s="297"/>
      <c r="G146" s="297"/>
      <c r="H146" s="297"/>
      <c r="I146" s="297"/>
      <c r="J146" s="297"/>
      <c r="K146" s="297"/>
      <c r="L146" s="297"/>
      <c r="M146" s="297"/>
      <c r="N146" s="297"/>
      <c r="O146" s="297"/>
      <c r="P146" s="297"/>
      <c r="Q146" s="297"/>
      <c r="R146" s="297"/>
      <c r="S146" s="297"/>
      <c r="T146" s="297"/>
      <c r="U146" s="297"/>
      <c r="V146" s="297"/>
      <c r="W146" s="297"/>
      <c r="X146" s="297"/>
      <c r="Y146" s="297"/>
      <c r="Z146" s="297"/>
      <c r="AA146" s="273"/>
      <c r="AB146" s="273"/>
      <c r="AC146" s="273"/>
    </row>
    <row r="147" spans="1:68" ht="14.25" customHeight="1" x14ac:dyDescent="0.25">
      <c r="A147" s="296" t="s">
        <v>141</v>
      </c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72"/>
      <c r="AB147" s="272"/>
      <c r="AC147" s="272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28</v>
      </c>
      <c r="Y148" s="279">
        <f>IFERROR(IF(X148="","",X148),"")</f>
        <v>28</v>
      </c>
      <c r="Z148" s="36">
        <f>IFERROR(IF(X148="","",X148*0.01788),"")</f>
        <v>0.50063999999999997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103.70079999999999</v>
      </c>
      <c r="BN148" s="67">
        <f>IFERROR(Y148*I148,"0")</f>
        <v>103.70079999999999</v>
      </c>
      <c r="BO148" s="67">
        <f>IFERROR(X148/J148,"0")</f>
        <v>0.4</v>
      </c>
      <c r="BP148" s="67">
        <f>IFERROR(Y148/J148,"0")</f>
        <v>0.4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42</v>
      </c>
      <c r="Y149" s="279">
        <f>IFERROR(IF(X149="","",X149),"")</f>
        <v>42</v>
      </c>
      <c r="Z149" s="36">
        <f>IFERROR(IF(X149="","",X149*0.01788),"")</f>
        <v>0.75095999999999996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155.55119999999999</v>
      </c>
      <c r="BN149" s="67">
        <f>IFERROR(Y149*I149,"0")</f>
        <v>155.55119999999999</v>
      </c>
      <c r="BO149" s="67">
        <f>IFERROR(X149/J149,"0")</f>
        <v>0.6</v>
      </c>
      <c r="BP149" s="67">
        <f>IFERROR(Y149/J149,"0")</f>
        <v>0.6</v>
      </c>
    </row>
    <row r="150" spans="1:68" x14ac:dyDescent="0.2">
      <c r="A150" s="298"/>
      <c r="B150" s="297"/>
      <c r="C150" s="297"/>
      <c r="D150" s="297"/>
      <c r="E150" s="297"/>
      <c r="F150" s="297"/>
      <c r="G150" s="297"/>
      <c r="H150" s="297"/>
      <c r="I150" s="297"/>
      <c r="J150" s="297"/>
      <c r="K150" s="297"/>
      <c r="L150" s="297"/>
      <c r="M150" s="297"/>
      <c r="N150" s="297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70</v>
      </c>
      <c r="Y150" s="280">
        <f>IFERROR(SUM(Y148:Y149),"0")</f>
        <v>70</v>
      </c>
      <c r="Z150" s="280">
        <f>IFERROR(IF(Z148="",0,Z148),"0")+IFERROR(IF(Z149="",0,Z149),"0")</f>
        <v>1.2515999999999998</v>
      </c>
      <c r="AA150" s="281"/>
      <c r="AB150" s="281"/>
      <c r="AC150" s="281"/>
    </row>
    <row r="151" spans="1:68" x14ac:dyDescent="0.2">
      <c r="A151" s="297"/>
      <c r="B151" s="297"/>
      <c r="C151" s="297"/>
      <c r="D151" s="297"/>
      <c r="E151" s="297"/>
      <c r="F151" s="297"/>
      <c r="G151" s="297"/>
      <c r="H151" s="297"/>
      <c r="I151" s="297"/>
      <c r="J151" s="297"/>
      <c r="K151" s="297"/>
      <c r="L151" s="297"/>
      <c r="M151" s="297"/>
      <c r="N151" s="297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210</v>
      </c>
      <c r="Y151" s="280">
        <f>IFERROR(SUMPRODUCT(Y148:Y149*H148:H149),"0")</f>
        <v>210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7"/>
      <c r="C152" s="297"/>
      <c r="D152" s="297"/>
      <c r="E152" s="297"/>
      <c r="F152" s="297"/>
      <c r="G152" s="297"/>
      <c r="H152" s="297"/>
      <c r="I152" s="297"/>
      <c r="J152" s="297"/>
      <c r="K152" s="297"/>
      <c r="L152" s="297"/>
      <c r="M152" s="297"/>
      <c r="N152" s="297"/>
      <c r="O152" s="297"/>
      <c r="P152" s="297"/>
      <c r="Q152" s="297"/>
      <c r="R152" s="297"/>
      <c r="S152" s="297"/>
      <c r="T152" s="297"/>
      <c r="U152" s="297"/>
      <c r="V152" s="297"/>
      <c r="W152" s="297"/>
      <c r="X152" s="297"/>
      <c r="Y152" s="297"/>
      <c r="Z152" s="297"/>
      <c r="AA152" s="273"/>
      <c r="AB152" s="273"/>
      <c r="AC152" s="273"/>
    </row>
    <row r="153" spans="1:68" ht="14.25" customHeight="1" x14ac:dyDescent="0.25">
      <c r="A153" s="296" t="s">
        <v>141</v>
      </c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7"/>
      <c r="P153" s="297"/>
      <c r="Q153" s="297"/>
      <c r="R153" s="297"/>
      <c r="S153" s="297"/>
      <c r="T153" s="297"/>
      <c r="U153" s="297"/>
      <c r="V153" s="297"/>
      <c r="W153" s="297"/>
      <c r="X153" s="297"/>
      <c r="Y153" s="297"/>
      <c r="Z153" s="297"/>
      <c r="AA153" s="272"/>
      <c r="AB153" s="272"/>
      <c r="AC153" s="272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98"/>
      <c r="B156" s="297"/>
      <c r="C156" s="297"/>
      <c r="D156" s="297"/>
      <c r="E156" s="297"/>
      <c r="F156" s="297"/>
      <c r="G156" s="297"/>
      <c r="H156" s="297"/>
      <c r="I156" s="297"/>
      <c r="J156" s="297"/>
      <c r="K156" s="297"/>
      <c r="L156" s="297"/>
      <c r="M156" s="297"/>
      <c r="N156" s="297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0</v>
      </c>
      <c r="Y156" s="280">
        <f>IFERROR(SUM(Y154:Y155),"0")</f>
        <v>0</v>
      </c>
      <c r="Z156" s="280">
        <f>IFERROR(IF(Z154="",0,Z154),"0")+IFERROR(IF(Z155="",0,Z155),"0")</f>
        <v>0</v>
      </c>
      <c r="AA156" s="281"/>
      <c r="AB156" s="281"/>
      <c r="AC156" s="281"/>
    </row>
    <row r="157" spans="1:68" x14ac:dyDescent="0.2">
      <c r="A157" s="297"/>
      <c r="B157" s="297"/>
      <c r="C157" s="297"/>
      <c r="D157" s="297"/>
      <c r="E157" s="297"/>
      <c r="F157" s="297"/>
      <c r="G157" s="297"/>
      <c r="H157" s="297"/>
      <c r="I157" s="297"/>
      <c r="J157" s="297"/>
      <c r="K157" s="297"/>
      <c r="L157" s="297"/>
      <c r="M157" s="297"/>
      <c r="N157" s="297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0</v>
      </c>
      <c r="Y157" s="280">
        <f>IFERROR(SUMPRODUCT(Y154:Y155*H154:H155),"0")</f>
        <v>0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7"/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/>
      <c r="AA158" s="273"/>
      <c r="AB158" s="273"/>
      <c r="AC158" s="273"/>
    </row>
    <row r="159" spans="1:68" ht="14.25" customHeight="1" x14ac:dyDescent="0.25">
      <c r="A159" s="296" t="s">
        <v>141</v>
      </c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7"/>
      <c r="P159" s="297"/>
      <c r="Q159" s="297"/>
      <c r="R159" s="297"/>
      <c r="S159" s="297"/>
      <c r="T159" s="297"/>
      <c r="U159" s="297"/>
      <c r="V159" s="297"/>
      <c r="W159" s="297"/>
      <c r="X159" s="297"/>
      <c r="Y159" s="297"/>
      <c r="Z159" s="297"/>
      <c r="AA159" s="272"/>
      <c r="AB159" s="272"/>
      <c r="AC159" s="272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0</v>
      </c>
      <c r="Y161" s="279">
        <f>IFERROR(IF(X161="","",X161),"")</f>
        <v>0</v>
      </c>
      <c r="Z161" s="36">
        <f>IFERROR(IF(X161="","",X161*0.01788),"")</f>
        <v>0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98"/>
      <c r="B162" s="297"/>
      <c r="C162" s="297"/>
      <c r="D162" s="297"/>
      <c r="E162" s="297"/>
      <c r="F162" s="297"/>
      <c r="G162" s="297"/>
      <c r="H162" s="297"/>
      <c r="I162" s="297"/>
      <c r="J162" s="297"/>
      <c r="K162" s="297"/>
      <c r="L162" s="297"/>
      <c r="M162" s="297"/>
      <c r="N162" s="297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0</v>
      </c>
      <c r="Y162" s="280">
        <f>IFERROR(SUM(Y160:Y161),"0")</f>
        <v>0</v>
      </c>
      <c r="Z162" s="280">
        <f>IFERROR(IF(Z160="",0,Z160),"0")+IFERROR(IF(Z161="",0,Z161),"0")</f>
        <v>0</v>
      </c>
      <c r="AA162" s="281"/>
      <c r="AB162" s="281"/>
      <c r="AC162" s="281"/>
    </row>
    <row r="163" spans="1:68" x14ac:dyDescent="0.2">
      <c r="A163" s="297"/>
      <c r="B163" s="297"/>
      <c r="C163" s="297"/>
      <c r="D163" s="297"/>
      <c r="E163" s="297"/>
      <c r="F163" s="297"/>
      <c r="G163" s="297"/>
      <c r="H163" s="297"/>
      <c r="I163" s="297"/>
      <c r="J163" s="297"/>
      <c r="K163" s="297"/>
      <c r="L163" s="297"/>
      <c r="M163" s="297"/>
      <c r="N163" s="297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0</v>
      </c>
      <c r="Y163" s="280">
        <f>IFERROR(SUMPRODUCT(Y160:Y161*H160:H161),"0")</f>
        <v>0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7"/>
      <c r="P164" s="297"/>
      <c r="Q164" s="297"/>
      <c r="R164" s="297"/>
      <c r="S164" s="297"/>
      <c r="T164" s="297"/>
      <c r="U164" s="297"/>
      <c r="V164" s="297"/>
      <c r="W164" s="297"/>
      <c r="X164" s="297"/>
      <c r="Y164" s="297"/>
      <c r="Z164" s="297"/>
      <c r="AA164" s="273"/>
      <c r="AB164" s="273"/>
      <c r="AC164" s="273"/>
    </row>
    <row r="165" spans="1:68" ht="14.25" customHeight="1" x14ac:dyDescent="0.25">
      <c r="A165" s="296" t="s">
        <v>141</v>
      </c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7"/>
      <c r="P165" s="297"/>
      <c r="Q165" s="297"/>
      <c r="R165" s="297"/>
      <c r="S165" s="297"/>
      <c r="T165" s="297"/>
      <c r="U165" s="297"/>
      <c r="V165" s="297"/>
      <c r="W165" s="297"/>
      <c r="X165" s="297"/>
      <c r="Y165" s="297"/>
      <c r="Z165" s="297"/>
      <c r="AA165" s="272"/>
      <c r="AB165" s="272"/>
      <c r="AC165" s="272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14</v>
      </c>
      <c r="Y166" s="279">
        <f>IFERROR(IF(X166="","",X166),"")</f>
        <v>14</v>
      </c>
      <c r="Z166" s="36">
        <f>IFERROR(IF(X166="","",X166*0.01788),"")</f>
        <v>0.25031999999999999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51.850399999999993</v>
      </c>
      <c r="BN166" s="67">
        <f>IFERROR(Y166*I166,"0")</f>
        <v>51.850399999999993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98"/>
      <c r="B167" s="297"/>
      <c r="C167" s="297"/>
      <c r="D167" s="297"/>
      <c r="E167" s="297"/>
      <c r="F167" s="297"/>
      <c r="G167" s="297"/>
      <c r="H167" s="297"/>
      <c r="I167" s="297"/>
      <c r="J167" s="297"/>
      <c r="K167" s="297"/>
      <c r="L167" s="297"/>
      <c r="M167" s="297"/>
      <c r="N167" s="297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14</v>
      </c>
      <c r="Y167" s="280">
        <f>IFERROR(SUM(Y166:Y166),"0")</f>
        <v>14</v>
      </c>
      <c r="Z167" s="280">
        <f>IFERROR(IF(Z166="",0,Z166),"0")</f>
        <v>0.25031999999999999</v>
      </c>
      <c r="AA167" s="281"/>
      <c r="AB167" s="281"/>
      <c r="AC167" s="281"/>
    </row>
    <row r="168" spans="1:68" x14ac:dyDescent="0.2">
      <c r="A168" s="297"/>
      <c r="B168" s="297"/>
      <c r="C168" s="297"/>
      <c r="D168" s="297"/>
      <c r="E168" s="297"/>
      <c r="F168" s="297"/>
      <c r="G168" s="297"/>
      <c r="H168" s="297"/>
      <c r="I168" s="297"/>
      <c r="J168" s="297"/>
      <c r="K168" s="297"/>
      <c r="L168" s="297"/>
      <c r="M168" s="297"/>
      <c r="N168" s="297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42</v>
      </c>
      <c r="Y168" s="280">
        <f>IFERROR(SUMPRODUCT(Y166:Y166*H166:H166),"0")</f>
        <v>42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7"/>
      <c r="P169" s="297"/>
      <c r="Q169" s="297"/>
      <c r="R169" s="297"/>
      <c r="S169" s="297"/>
      <c r="T169" s="297"/>
      <c r="U169" s="297"/>
      <c r="V169" s="297"/>
      <c r="W169" s="297"/>
      <c r="X169" s="297"/>
      <c r="Y169" s="297"/>
      <c r="Z169" s="297"/>
      <c r="AA169" s="273"/>
      <c r="AB169" s="273"/>
      <c r="AC169" s="273"/>
    </row>
    <row r="170" spans="1:68" ht="14.25" customHeight="1" x14ac:dyDescent="0.25">
      <c r="A170" s="296" t="s">
        <v>141</v>
      </c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7"/>
      <c r="P170" s="297"/>
      <c r="Q170" s="297"/>
      <c r="R170" s="297"/>
      <c r="S170" s="297"/>
      <c r="T170" s="297"/>
      <c r="U170" s="297"/>
      <c r="V170" s="297"/>
      <c r="W170" s="297"/>
      <c r="X170" s="297"/>
      <c r="Y170" s="297"/>
      <c r="Z170" s="297"/>
      <c r="AA170" s="272"/>
      <c r="AB170" s="272"/>
      <c r="AC170" s="272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298"/>
      <c r="B172" s="297"/>
      <c r="C172" s="297"/>
      <c r="D172" s="297"/>
      <c r="E172" s="297"/>
      <c r="F172" s="297"/>
      <c r="G172" s="297"/>
      <c r="H172" s="297"/>
      <c r="I172" s="297"/>
      <c r="J172" s="297"/>
      <c r="K172" s="297"/>
      <c r="L172" s="297"/>
      <c r="M172" s="297"/>
      <c r="N172" s="297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x14ac:dyDescent="0.2">
      <c r="A173" s="297"/>
      <c r="B173" s="297"/>
      <c r="C173" s="297"/>
      <c r="D173" s="297"/>
      <c r="E173" s="297"/>
      <c r="F173" s="297"/>
      <c r="G173" s="297"/>
      <c r="H173" s="297"/>
      <c r="I173" s="297"/>
      <c r="J173" s="297"/>
      <c r="K173" s="297"/>
      <c r="L173" s="297"/>
      <c r="M173" s="297"/>
      <c r="N173" s="297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7"/>
      <c r="P174" s="297"/>
      <c r="Q174" s="297"/>
      <c r="R174" s="297"/>
      <c r="S174" s="297"/>
      <c r="T174" s="297"/>
      <c r="U174" s="297"/>
      <c r="V174" s="297"/>
      <c r="W174" s="297"/>
      <c r="X174" s="297"/>
      <c r="Y174" s="297"/>
      <c r="Z174" s="297"/>
      <c r="AA174" s="273"/>
      <c r="AB174" s="273"/>
      <c r="AC174" s="273"/>
    </row>
    <row r="175" spans="1:68" ht="14.25" customHeight="1" x14ac:dyDescent="0.25">
      <c r="A175" s="296" t="s">
        <v>141</v>
      </c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7"/>
      <c r="P175" s="297"/>
      <c r="Q175" s="297"/>
      <c r="R175" s="297"/>
      <c r="S175" s="297"/>
      <c r="T175" s="297"/>
      <c r="U175" s="297"/>
      <c r="V175" s="297"/>
      <c r="W175" s="297"/>
      <c r="X175" s="297"/>
      <c r="Y175" s="297"/>
      <c r="Z175" s="297"/>
      <c r="AA175" s="272"/>
      <c r="AB175" s="272"/>
      <c r="AC175" s="272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0</v>
      </c>
      <c r="Y176" s="279">
        <f>IFERROR(IF(X176="","",X176),"")</f>
        <v>0</v>
      </c>
      <c r="Z176" s="36">
        <f>IFERROR(IF(X176="","",X176*0.00941),"")</f>
        <v>0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x14ac:dyDescent="0.2">
      <c r="A177" s="298"/>
      <c r="B177" s="297"/>
      <c r="C177" s="297"/>
      <c r="D177" s="297"/>
      <c r="E177" s="297"/>
      <c r="F177" s="297"/>
      <c r="G177" s="297"/>
      <c r="H177" s="297"/>
      <c r="I177" s="297"/>
      <c r="J177" s="297"/>
      <c r="K177" s="297"/>
      <c r="L177" s="297"/>
      <c r="M177" s="297"/>
      <c r="N177" s="297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0</v>
      </c>
      <c r="Y177" s="280">
        <f>IFERROR(SUM(Y176:Y176),"0")</f>
        <v>0</v>
      </c>
      <c r="Z177" s="280">
        <f>IFERROR(IF(Z176="",0,Z176),"0")</f>
        <v>0</v>
      </c>
      <c r="AA177" s="281"/>
      <c r="AB177" s="281"/>
      <c r="AC177" s="281"/>
    </row>
    <row r="178" spans="1:68" x14ac:dyDescent="0.2">
      <c r="A178" s="297"/>
      <c r="B178" s="297"/>
      <c r="C178" s="297"/>
      <c r="D178" s="297"/>
      <c r="E178" s="297"/>
      <c r="F178" s="297"/>
      <c r="G178" s="297"/>
      <c r="H178" s="297"/>
      <c r="I178" s="297"/>
      <c r="J178" s="297"/>
      <c r="K178" s="297"/>
      <c r="L178" s="297"/>
      <c r="M178" s="297"/>
      <c r="N178" s="297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0</v>
      </c>
      <c r="Y178" s="280">
        <f>IFERROR(SUMPRODUCT(Y176:Y176*H176:H176),"0")</f>
        <v>0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7"/>
      <c r="C180" s="297"/>
      <c r="D180" s="297"/>
      <c r="E180" s="297"/>
      <c r="F180" s="297"/>
      <c r="G180" s="297"/>
      <c r="H180" s="297"/>
      <c r="I180" s="297"/>
      <c r="J180" s="297"/>
      <c r="K180" s="297"/>
      <c r="L180" s="297"/>
      <c r="M180" s="297"/>
      <c r="N180" s="297"/>
      <c r="O180" s="297"/>
      <c r="P180" s="297"/>
      <c r="Q180" s="297"/>
      <c r="R180" s="297"/>
      <c r="S180" s="297"/>
      <c r="T180" s="297"/>
      <c r="U180" s="297"/>
      <c r="V180" s="297"/>
      <c r="W180" s="297"/>
      <c r="X180" s="297"/>
      <c r="Y180" s="297"/>
      <c r="Z180" s="297"/>
      <c r="AA180" s="273"/>
      <c r="AB180" s="273"/>
      <c r="AC180" s="273"/>
    </row>
    <row r="181" spans="1:68" ht="14.25" customHeight="1" x14ac:dyDescent="0.25">
      <c r="A181" s="296" t="s">
        <v>62</v>
      </c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7"/>
      <c r="P181" s="297"/>
      <c r="Q181" s="297"/>
      <c r="R181" s="297"/>
      <c r="S181" s="297"/>
      <c r="T181" s="297"/>
      <c r="U181" s="297"/>
      <c r="V181" s="297"/>
      <c r="W181" s="297"/>
      <c r="X181" s="297"/>
      <c r="Y181" s="297"/>
      <c r="Z181" s="297"/>
      <c r="AA181" s="272"/>
      <c r="AB181" s="272"/>
      <c r="AC181" s="272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72</v>
      </c>
      <c r="Y183" s="279">
        <f>IFERROR(IF(X183="","",X183),"")</f>
        <v>72</v>
      </c>
      <c r="Z183" s="36">
        <f>IFERROR(IF(X183="","",X183*0.00866),"")</f>
        <v>0.62351999999999996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375.35039999999998</v>
      </c>
      <c r="BN183" s="67">
        <f>IFERROR(Y183*I183,"0")</f>
        <v>375.35039999999998</v>
      </c>
      <c r="BO183" s="67">
        <f>IFERROR(X183/J183,"0")</f>
        <v>0.5</v>
      </c>
      <c r="BP183" s="67">
        <f>IFERROR(Y183/J183,"0")</f>
        <v>0.5</v>
      </c>
    </row>
    <row r="184" spans="1:68" x14ac:dyDescent="0.2">
      <c r="A184" s="298"/>
      <c r="B184" s="297"/>
      <c r="C184" s="297"/>
      <c r="D184" s="297"/>
      <c r="E184" s="297"/>
      <c r="F184" s="297"/>
      <c r="G184" s="297"/>
      <c r="H184" s="297"/>
      <c r="I184" s="297"/>
      <c r="J184" s="297"/>
      <c r="K184" s="297"/>
      <c r="L184" s="297"/>
      <c r="M184" s="297"/>
      <c r="N184" s="297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72</v>
      </c>
      <c r="Y184" s="280">
        <f>IFERROR(SUM(Y182:Y183),"0")</f>
        <v>72</v>
      </c>
      <c r="Z184" s="280">
        <f>IFERROR(IF(Z182="",0,Z182),"0")+IFERROR(IF(Z183="",0,Z183),"0")</f>
        <v>0.62351999999999996</v>
      </c>
      <c r="AA184" s="281"/>
      <c r="AB184" s="281"/>
      <c r="AC184" s="281"/>
    </row>
    <row r="185" spans="1:68" x14ac:dyDescent="0.2">
      <c r="A185" s="297"/>
      <c r="B185" s="297"/>
      <c r="C185" s="297"/>
      <c r="D185" s="297"/>
      <c r="E185" s="297"/>
      <c r="F185" s="297"/>
      <c r="G185" s="297"/>
      <c r="H185" s="297"/>
      <c r="I185" s="297"/>
      <c r="J185" s="297"/>
      <c r="K185" s="297"/>
      <c r="L185" s="297"/>
      <c r="M185" s="297"/>
      <c r="N185" s="297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360</v>
      </c>
      <c r="Y185" s="280">
        <f>IFERROR(SUMPRODUCT(Y182:Y183*H182:H183),"0")</f>
        <v>360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7"/>
      <c r="P186" s="297"/>
      <c r="Q186" s="297"/>
      <c r="R186" s="297"/>
      <c r="S186" s="297"/>
      <c r="T186" s="297"/>
      <c r="U186" s="297"/>
      <c r="V186" s="297"/>
      <c r="W186" s="297"/>
      <c r="X186" s="297"/>
      <c r="Y186" s="297"/>
      <c r="Z186" s="297"/>
      <c r="AA186" s="273"/>
      <c r="AB186" s="273"/>
      <c r="AC186" s="273"/>
    </row>
    <row r="187" spans="1:68" ht="14.25" customHeight="1" x14ac:dyDescent="0.25">
      <c r="A187" s="296" t="s">
        <v>62</v>
      </c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7"/>
      <c r="P187" s="297"/>
      <c r="Q187" s="297"/>
      <c r="R187" s="297"/>
      <c r="S187" s="297"/>
      <c r="T187" s="297"/>
      <c r="U187" s="297"/>
      <c r="V187" s="297"/>
      <c r="W187" s="297"/>
      <c r="X187" s="297"/>
      <c r="Y187" s="297"/>
      <c r="Z187" s="297"/>
      <c r="AA187" s="272"/>
      <c r="AB187" s="272"/>
      <c r="AC187" s="272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240</v>
      </c>
      <c r="Y188" s="279">
        <f>IFERROR(IF(X188="","",X188),"")</f>
        <v>240</v>
      </c>
      <c r="Z188" s="36">
        <f>IFERROR(IF(X188="","",X188*0.0155),"")</f>
        <v>3.7199999999999998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1262.8799999999999</v>
      </c>
      <c r="BN188" s="67">
        <f>IFERROR(Y188*I188,"0")</f>
        <v>1262.8799999999999</v>
      </c>
      <c r="BO188" s="67">
        <f>IFERROR(X188/J188,"0")</f>
        <v>2.8571428571428572</v>
      </c>
      <c r="BP188" s="67">
        <f>IFERROR(Y188/J188,"0")</f>
        <v>2.8571428571428572</v>
      </c>
    </row>
    <row r="189" spans="1:68" x14ac:dyDescent="0.2">
      <c r="A189" s="298"/>
      <c r="B189" s="297"/>
      <c r="C189" s="297"/>
      <c r="D189" s="297"/>
      <c r="E189" s="297"/>
      <c r="F189" s="297"/>
      <c r="G189" s="297"/>
      <c r="H189" s="297"/>
      <c r="I189" s="297"/>
      <c r="J189" s="297"/>
      <c r="K189" s="297"/>
      <c r="L189" s="297"/>
      <c r="M189" s="297"/>
      <c r="N189" s="297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240</v>
      </c>
      <c r="Y189" s="280">
        <f>IFERROR(SUM(Y188:Y188),"0")</f>
        <v>240</v>
      </c>
      <c r="Z189" s="280">
        <f>IFERROR(IF(Z188="",0,Z188),"0")</f>
        <v>3.7199999999999998</v>
      </c>
      <c r="AA189" s="281"/>
      <c r="AB189" s="281"/>
      <c r="AC189" s="281"/>
    </row>
    <row r="190" spans="1:68" x14ac:dyDescent="0.2">
      <c r="A190" s="297"/>
      <c r="B190" s="297"/>
      <c r="C190" s="297"/>
      <c r="D190" s="297"/>
      <c r="E190" s="297"/>
      <c r="F190" s="297"/>
      <c r="G190" s="297"/>
      <c r="H190" s="297"/>
      <c r="I190" s="297"/>
      <c r="J190" s="297"/>
      <c r="K190" s="297"/>
      <c r="L190" s="297"/>
      <c r="M190" s="297"/>
      <c r="N190" s="297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1200</v>
      </c>
      <c r="Y190" s="280">
        <f>IFERROR(SUMPRODUCT(Y188:Y188*H188:H188),"0")</f>
        <v>1200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7"/>
      <c r="C192" s="297"/>
      <c r="D192" s="297"/>
      <c r="E192" s="297"/>
      <c r="F192" s="297"/>
      <c r="G192" s="297"/>
      <c r="H192" s="297"/>
      <c r="I192" s="297"/>
      <c r="J192" s="297"/>
      <c r="K192" s="297"/>
      <c r="L192" s="297"/>
      <c r="M192" s="297"/>
      <c r="N192" s="297"/>
      <c r="O192" s="297"/>
      <c r="P192" s="297"/>
      <c r="Q192" s="297"/>
      <c r="R192" s="297"/>
      <c r="S192" s="297"/>
      <c r="T192" s="297"/>
      <c r="U192" s="297"/>
      <c r="V192" s="297"/>
      <c r="W192" s="297"/>
      <c r="X192" s="297"/>
      <c r="Y192" s="297"/>
      <c r="Z192" s="297"/>
      <c r="AA192" s="273"/>
      <c r="AB192" s="273"/>
      <c r="AC192" s="273"/>
    </row>
    <row r="193" spans="1:68" ht="14.25" customHeight="1" x14ac:dyDescent="0.25">
      <c r="A193" s="296" t="s">
        <v>97</v>
      </c>
      <c r="B193" s="297"/>
      <c r="C193" s="297"/>
      <c r="D193" s="297"/>
      <c r="E193" s="297"/>
      <c r="F193" s="297"/>
      <c r="G193" s="297"/>
      <c r="H193" s="297"/>
      <c r="I193" s="297"/>
      <c r="J193" s="297"/>
      <c r="K193" s="297"/>
      <c r="L193" s="297"/>
      <c r="M193" s="297"/>
      <c r="N193" s="297"/>
      <c r="O193" s="297"/>
      <c r="P193" s="297"/>
      <c r="Q193" s="297"/>
      <c r="R193" s="297"/>
      <c r="S193" s="297"/>
      <c r="T193" s="297"/>
      <c r="U193" s="297"/>
      <c r="V193" s="297"/>
      <c r="W193" s="297"/>
      <c r="X193" s="297"/>
      <c r="Y193" s="297"/>
      <c r="Z193" s="297"/>
      <c r="AA193" s="272"/>
      <c r="AB193" s="272"/>
      <c r="AC193" s="272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0</v>
      </c>
      <c r="Y194" s="279">
        <f>IFERROR(IF(X194="","",X194),"")</f>
        <v>0</v>
      </c>
      <c r="Z194" s="36">
        <f>IFERROR(IF(X194="","",X194*0.01788),"")</f>
        <v>0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14</v>
      </c>
      <c r="Y195" s="27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47.432000000000002</v>
      </c>
      <c r="BN195" s="67">
        <f>IFERROR(Y195*I195,"0")</f>
        <v>47.432000000000002</v>
      </c>
      <c r="BO195" s="67">
        <f>IFERROR(X195/J195,"0")</f>
        <v>0.2</v>
      </c>
      <c r="BP195" s="67">
        <f>IFERROR(Y195/J195,"0")</f>
        <v>0.2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14</v>
      </c>
      <c r="Y196" s="279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52.304000000000002</v>
      </c>
      <c r="BN196" s="67">
        <f>IFERROR(Y196*I196,"0")</f>
        <v>52.304000000000002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7"/>
      <c r="C198" s="297"/>
      <c r="D198" s="297"/>
      <c r="E198" s="297"/>
      <c r="F198" s="297"/>
      <c r="G198" s="297"/>
      <c r="H198" s="297"/>
      <c r="I198" s="297"/>
      <c r="J198" s="297"/>
      <c r="K198" s="297"/>
      <c r="L198" s="297"/>
      <c r="M198" s="297"/>
      <c r="N198" s="297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28</v>
      </c>
      <c r="Y198" s="280">
        <f>IFERROR(SUM(Y194:Y197),"0")</f>
        <v>28</v>
      </c>
      <c r="Z198" s="280">
        <f>IFERROR(IF(Z194="",0,Z194),"0")+IFERROR(IF(Z195="",0,Z195),"0")+IFERROR(IF(Z196="",0,Z196),"0")+IFERROR(IF(Z197="",0,Z197),"0")</f>
        <v>0.50063999999999997</v>
      </c>
      <c r="AA198" s="281"/>
      <c r="AB198" s="281"/>
      <c r="AC198" s="281"/>
    </row>
    <row r="199" spans="1:68" x14ac:dyDescent="0.2">
      <c r="A199" s="297"/>
      <c r="B199" s="297"/>
      <c r="C199" s="297"/>
      <c r="D199" s="297"/>
      <c r="E199" s="297"/>
      <c r="F199" s="297"/>
      <c r="G199" s="297"/>
      <c r="H199" s="297"/>
      <c r="I199" s="297"/>
      <c r="J199" s="297"/>
      <c r="K199" s="297"/>
      <c r="L199" s="297"/>
      <c r="M199" s="297"/>
      <c r="N199" s="297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84</v>
      </c>
      <c r="Y199" s="280">
        <f>IFERROR(SUMPRODUCT(Y194:Y197*H194:H197),"0")</f>
        <v>84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7"/>
      <c r="P201" s="297"/>
      <c r="Q201" s="297"/>
      <c r="R201" s="297"/>
      <c r="S201" s="297"/>
      <c r="T201" s="297"/>
      <c r="U201" s="297"/>
      <c r="V201" s="297"/>
      <c r="W201" s="297"/>
      <c r="X201" s="297"/>
      <c r="Y201" s="297"/>
      <c r="Z201" s="297"/>
      <c r="AA201" s="273"/>
      <c r="AB201" s="273"/>
      <c r="AC201" s="273"/>
    </row>
    <row r="202" spans="1:68" ht="14.25" customHeight="1" x14ac:dyDescent="0.25">
      <c r="A202" s="296" t="s">
        <v>97</v>
      </c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7"/>
      <c r="P202" s="297"/>
      <c r="Q202" s="297"/>
      <c r="R202" s="297"/>
      <c r="S202" s="297"/>
      <c r="T202" s="297"/>
      <c r="U202" s="297"/>
      <c r="V202" s="297"/>
      <c r="W202" s="297"/>
      <c r="X202" s="297"/>
      <c r="Y202" s="297"/>
      <c r="Z202" s="297"/>
      <c r="AA202" s="272"/>
      <c r="AB202" s="272"/>
      <c r="AC202" s="272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x14ac:dyDescent="0.2">
      <c r="A204" s="298"/>
      <c r="B204" s="297"/>
      <c r="C204" s="297"/>
      <c r="D204" s="297"/>
      <c r="E204" s="297"/>
      <c r="F204" s="297"/>
      <c r="G204" s="297"/>
      <c r="H204" s="297"/>
      <c r="I204" s="297"/>
      <c r="J204" s="297"/>
      <c r="K204" s="297"/>
      <c r="L204" s="297"/>
      <c r="M204" s="297"/>
      <c r="N204" s="297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x14ac:dyDescent="0.2">
      <c r="A205" s="297"/>
      <c r="B205" s="297"/>
      <c r="C205" s="297"/>
      <c r="D205" s="297"/>
      <c r="E205" s="297"/>
      <c r="F205" s="297"/>
      <c r="G205" s="297"/>
      <c r="H205" s="297"/>
      <c r="I205" s="297"/>
      <c r="J205" s="297"/>
      <c r="K205" s="297"/>
      <c r="L205" s="297"/>
      <c r="M205" s="297"/>
      <c r="N205" s="297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customHeight="1" x14ac:dyDescent="0.25">
      <c r="A206" s="296" t="s">
        <v>141</v>
      </c>
      <c r="B206" s="297"/>
      <c r="C206" s="297"/>
      <c r="D206" s="297"/>
      <c r="E206" s="297"/>
      <c r="F206" s="297"/>
      <c r="G206" s="297"/>
      <c r="H206" s="297"/>
      <c r="I206" s="297"/>
      <c r="J206" s="297"/>
      <c r="K206" s="297"/>
      <c r="L206" s="297"/>
      <c r="M206" s="297"/>
      <c r="N206" s="297"/>
      <c r="O206" s="297"/>
      <c r="P206" s="297"/>
      <c r="Q206" s="297"/>
      <c r="R206" s="297"/>
      <c r="S206" s="297"/>
      <c r="T206" s="297"/>
      <c r="U206" s="297"/>
      <c r="V206" s="297"/>
      <c r="W206" s="297"/>
      <c r="X206" s="297"/>
      <c r="Y206" s="297"/>
      <c r="Z206" s="297"/>
      <c r="AA206" s="272"/>
      <c r="AB206" s="272"/>
      <c r="AC206" s="272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7"/>
      <c r="C210" s="297"/>
      <c r="D210" s="297"/>
      <c r="E210" s="297"/>
      <c r="F210" s="297"/>
      <c r="G210" s="297"/>
      <c r="H210" s="297"/>
      <c r="I210" s="297"/>
      <c r="J210" s="297"/>
      <c r="K210" s="297"/>
      <c r="L210" s="297"/>
      <c r="M210" s="297"/>
      <c r="N210" s="297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x14ac:dyDescent="0.2">
      <c r="A211" s="297"/>
      <c r="B211" s="297"/>
      <c r="C211" s="297"/>
      <c r="D211" s="297"/>
      <c r="E211" s="297"/>
      <c r="F211" s="297"/>
      <c r="G211" s="297"/>
      <c r="H211" s="297"/>
      <c r="I211" s="297"/>
      <c r="J211" s="297"/>
      <c r="K211" s="297"/>
      <c r="L211" s="297"/>
      <c r="M211" s="297"/>
      <c r="N211" s="297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7"/>
      <c r="C212" s="297"/>
      <c r="D212" s="297"/>
      <c r="E212" s="297"/>
      <c r="F212" s="297"/>
      <c r="G212" s="297"/>
      <c r="H212" s="297"/>
      <c r="I212" s="297"/>
      <c r="J212" s="297"/>
      <c r="K212" s="297"/>
      <c r="L212" s="297"/>
      <c r="M212" s="297"/>
      <c r="N212" s="297"/>
      <c r="O212" s="297"/>
      <c r="P212" s="297"/>
      <c r="Q212" s="297"/>
      <c r="R212" s="297"/>
      <c r="S212" s="297"/>
      <c r="T212" s="297"/>
      <c r="U212" s="297"/>
      <c r="V212" s="297"/>
      <c r="W212" s="297"/>
      <c r="X212" s="297"/>
      <c r="Y212" s="297"/>
      <c r="Z212" s="297"/>
      <c r="AA212" s="273"/>
      <c r="AB212" s="273"/>
      <c r="AC212" s="273"/>
    </row>
    <row r="213" spans="1:68" ht="14.25" customHeight="1" x14ac:dyDescent="0.25">
      <c r="A213" s="296" t="s">
        <v>141</v>
      </c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7"/>
      <c r="P213" s="297"/>
      <c r="Q213" s="297"/>
      <c r="R213" s="297"/>
      <c r="S213" s="297"/>
      <c r="T213" s="297"/>
      <c r="U213" s="297"/>
      <c r="V213" s="297"/>
      <c r="W213" s="297"/>
      <c r="X213" s="297"/>
      <c r="Y213" s="297"/>
      <c r="Z213" s="297"/>
      <c r="AA213" s="272"/>
      <c r="AB213" s="272"/>
      <c r="AC213" s="272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7"/>
      <c r="C216" s="297"/>
      <c r="D216" s="297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7"/>
      <c r="B217" s="297"/>
      <c r="C217" s="297"/>
      <c r="D217" s="297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7"/>
      <c r="P218" s="297"/>
      <c r="Q218" s="297"/>
      <c r="R218" s="297"/>
      <c r="S218" s="297"/>
      <c r="T218" s="297"/>
      <c r="U218" s="297"/>
      <c r="V218" s="297"/>
      <c r="W218" s="297"/>
      <c r="X218" s="297"/>
      <c r="Y218" s="297"/>
      <c r="Z218" s="297"/>
      <c r="AA218" s="273"/>
      <c r="AB218" s="273"/>
      <c r="AC218" s="273"/>
    </row>
    <row r="219" spans="1:68" ht="14.25" customHeight="1" x14ac:dyDescent="0.25">
      <c r="A219" s="296" t="s">
        <v>62</v>
      </c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W219" s="297"/>
      <c r="X219" s="297"/>
      <c r="Y219" s="297"/>
      <c r="Z219" s="297"/>
      <c r="AA219" s="272"/>
      <c r="AB219" s="272"/>
      <c r="AC219" s="272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36</v>
      </c>
      <c r="Y220" s="279">
        <f>IFERROR(IF(X220="","",X220),"")</f>
        <v>36</v>
      </c>
      <c r="Z220" s="36">
        <f>IFERROR(IF(X220="","",X220*0.0155),"")</f>
        <v>0.55800000000000005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188.28000000000003</v>
      </c>
      <c r="BN220" s="67">
        <f>IFERROR(Y220*I220,"0")</f>
        <v>188.28000000000003</v>
      </c>
      <c r="BO220" s="67">
        <f>IFERROR(X220/J220,"0")</f>
        <v>0.42857142857142855</v>
      </c>
      <c r="BP220" s="67">
        <f>IFERROR(Y220/J220,"0")</f>
        <v>0.42857142857142855</v>
      </c>
    </row>
    <row r="221" spans="1:68" x14ac:dyDescent="0.2">
      <c r="A221" s="298"/>
      <c r="B221" s="297"/>
      <c r="C221" s="297"/>
      <c r="D221" s="297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36</v>
      </c>
      <c r="Y221" s="280">
        <f>IFERROR(SUM(Y220:Y220),"0")</f>
        <v>36</v>
      </c>
      <c r="Z221" s="280">
        <f>IFERROR(IF(Z220="",0,Z220),"0")</f>
        <v>0.55800000000000005</v>
      </c>
      <c r="AA221" s="281"/>
      <c r="AB221" s="281"/>
      <c r="AC221" s="281"/>
    </row>
    <row r="222" spans="1:68" x14ac:dyDescent="0.2">
      <c r="A222" s="297"/>
      <c r="B222" s="297"/>
      <c r="C222" s="297"/>
      <c r="D222" s="297"/>
      <c r="E222" s="297"/>
      <c r="F222" s="297"/>
      <c r="G222" s="297"/>
      <c r="H222" s="297"/>
      <c r="I222" s="297"/>
      <c r="J222" s="297"/>
      <c r="K222" s="297"/>
      <c r="L222" s="297"/>
      <c r="M222" s="297"/>
      <c r="N222" s="297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180</v>
      </c>
      <c r="Y222" s="280">
        <f>IFERROR(SUMPRODUCT(Y220:Y220*H220:H220),"0")</f>
        <v>180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7"/>
      <c r="P223" s="297"/>
      <c r="Q223" s="297"/>
      <c r="R223" s="297"/>
      <c r="S223" s="297"/>
      <c r="T223" s="297"/>
      <c r="U223" s="297"/>
      <c r="V223" s="297"/>
      <c r="W223" s="297"/>
      <c r="X223" s="297"/>
      <c r="Y223" s="297"/>
      <c r="Z223" s="297"/>
      <c r="AA223" s="273"/>
      <c r="AB223" s="273"/>
      <c r="AC223" s="273"/>
    </row>
    <row r="224" spans="1:68" ht="14.25" customHeight="1" x14ac:dyDescent="0.25">
      <c r="A224" s="296" t="s">
        <v>141</v>
      </c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7"/>
      <c r="P224" s="297"/>
      <c r="Q224" s="297"/>
      <c r="R224" s="297"/>
      <c r="S224" s="297"/>
      <c r="T224" s="297"/>
      <c r="U224" s="297"/>
      <c r="V224" s="297"/>
      <c r="W224" s="297"/>
      <c r="X224" s="297"/>
      <c r="Y224" s="297"/>
      <c r="Z224" s="297"/>
      <c r="AA224" s="272"/>
      <c r="AB224" s="272"/>
      <c r="AC224" s="272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7"/>
      <c r="C226" s="297"/>
      <c r="D226" s="297"/>
      <c r="E226" s="297"/>
      <c r="F226" s="297"/>
      <c r="G226" s="297"/>
      <c r="H226" s="297"/>
      <c r="I226" s="297"/>
      <c r="J226" s="297"/>
      <c r="K226" s="297"/>
      <c r="L226" s="297"/>
      <c r="M226" s="297"/>
      <c r="N226" s="297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7"/>
      <c r="B227" s="297"/>
      <c r="C227" s="297"/>
      <c r="D227" s="297"/>
      <c r="E227" s="297"/>
      <c r="F227" s="297"/>
      <c r="G227" s="297"/>
      <c r="H227" s="297"/>
      <c r="I227" s="297"/>
      <c r="J227" s="297"/>
      <c r="K227" s="297"/>
      <c r="L227" s="297"/>
      <c r="M227" s="297"/>
      <c r="N227" s="297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7"/>
      <c r="P229" s="297"/>
      <c r="Q229" s="297"/>
      <c r="R229" s="297"/>
      <c r="S229" s="297"/>
      <c r="T229" s="297"/>
      <c r="U229" s="297"/>
      <c r="V229" s="297"/>
      <c r="W229" s="297"/>
      <c r="X229" s="297"/>
      <c r="Y229" s="297"/>
      <c r="Z229" s="297"/>
      <c r="AA229" s="273"/>
      <c r="AB229" s="273"/>
      <c r="AC229" s="273"/>
    </row>
    <row r="230" spans="1:68" ht="14.25" customHeight="1" x14ac:dyDescent="0.25">
      <c r="A230" s="296" t="s">
        <v>62</v>
      </c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7"/>
      <c r="P230" s="297"/>
      <c r="Q230" s="297"/>
      <c r="R230" s="297"/>
      <c r="S230" s="297"/>
      <c r="T230" s="297"/>
      <c r="U230" s="297"/>
      <c r="V230" s="297"/>
      <c r="W230" s="297"/>
      <c r="X230" s="297"/>
      <c r="Y230" s="297"/>
      <c r="Z230" s="297"/>
      <c r="AA230" s="272"/>
      <c r="AB230" s="272"/>
      <c r="AC230" s="272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7"/>
      <c r="C232" s="297"/>
      <c r="D232" s="297"/>
      <c r="E232" s="297"/>
      <c r="F232" s="297"/>
      <c r="G232" s="297"/>
      <c r="H232" s="297"/>
      <c r="I232" s="297"/>
      <c r="J232" s="297"/>
      <c r="K232" s="297"/>
      <c r="L232" s="297"/>
      <c r="M232" s="297"/>
      <c r="N232" s="297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7"/>
      <c r="B233" s="297"/>
      <c r="C233" s="297"/>
      <c r="D233" s="297"/>
      <c r="E233" s="297"/>
      <c r="F233" s="297"/>
      <c r="G233" s="297"/>
      <c r="H233" s="297"/>
      <c r="I233" s="297"/>
      <c r="J233" s="297"/>
      <c r="K233" s="297"/>
      <c r="L233" s="297"/>
      <c r="M233" s="297"/>
      <c r="N233" s="297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7"/>
      <c r="P235" s="297"/>
      <c r="Q235" s="297"/>
      <c r="R235" s="297"/>
      <c r="S235" s="297"/>
      <c r="T235" s="297"/>
      <c r="U235" s="297"/>
      <c r="V235" s="297"/>
      <c r="W235" s="297"/>
      <c r="X235" s="297"/>
      <c r="Y235" s="297"/>
      <c r="Z235" s="297"/>
      <c r="AA235" s="273"/>
      <c r="AB235" s="273"/>
      <c r="AC235" s="273"/>
    </row>
    <row r="236" spans="1:68" ht="14.25" customHeight="1" x14ac:dyDescent="0.25">
      <c r="A236" s="296" t="s">
        <v>322</v>
      </c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7"/>
      <c r="P236" s="297"/>
      <c r="Q236" s="297"/>
      <c r="R236" s="297"/>
      <c r="S236" s="297"/>
      <c r="T236" s="297"/>
      <c r="U236" s="297"/>
      <c r="V236" s="297"/>
      <c r="W236" s="297"/>
      <c r="X236" s="297"/>
      <c r="Y236" s="297"/>
      <c r="Z236" s="297"/>
      <c r="AA236" s="272"/>
      <c r="AB236" s="272"/>
      <c r="AC236" s="272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7"/>
      <c r="M238" s="297"/>
      <c r="N238" s="297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6" t="s">
        <v>141</v>
      </c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7"/>
      <c r="P240" s="297"/>
      <c r="Q240" s="297"/>
      <c r="R240" s="297"/>
      <c r="S240" s="297"/>
      <c r="T240" s="297"/>
      <c r="U240" s="297"/>
      <c r="V240" s="297"/>
      <c r="W240" s="297"/>
      <c r="X240" s="297"/>
      <c r="Y240" s="297"/>
      <c r="Z240" s="297"/>
      <c r="AA240" s="272"/>
      <c r="AB240" s="272"/>
      <c r="AC240" s="272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7"/>
      <c r="C242" s="297"/>
      <c r="D242" s="297"/>
      <c r="E242" s="297"/>
      <c r="F242" s="297"/>
      <c r="G242" s="297"/>
      <c r="H242" s="297"/>
      <c r="I242" s="297"/>
      <c r="J242" s="297"/>
      <c r="K242" s="297"/>
      <c r="L242" s="297"/>
      <c r="M242" s="297"/>
      <c r="N242" s="297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7"/>
      <c r="B243" s="297"/>
      <c r="C243" s="297"/>
      <c r="D243" s="297"/>
      <c r="E243" s="297"/>
      <c r="F243" s="297"/>
      <c r="G243" s="297"/>
      <c r="H243" s="297"/>
      <c r="I243" s="297"/>
      <c r="J243" s="297"/>
      <c r="K243" s="297"/>
      <c r="L243" s="297"/>
      <c r="M243" s="297"/>
      <c r="N243" s="297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7"/>
      <c r="P245" s="297"/>
      <c r="Q245" s="297"/>
      <c r="R245" s="297"/>
      <c r="S245" s="297"/>
      <c r="T245" s="297"/>
      <c r="U245" s="297"/>
      <c r="V245" s="297"/>
      <c r="W245" s="297"/>
      <c r="X245" s="297"/>
      <c r="Y245" s="297"/>
      <c r="Z245" s="297"/>
      <c r="AA245" s="273"/>
      <c r="AB245" s="273"/>
      <c r="AC245" s="273"/>
    </row>
    <row r="246" spans="1:68" ht="14.25" customHeight="1" x14ac:dyDescent="0.25">
      <c r="A246" s="296" t="s">
        <v>135</v>
      </c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7"/>
      <c r="P246" s="297"/>
      <c r="Q246" s="297"/>
      <c r="R246" s="297"/>
      <c r="S246" s="297"/>
      <c r="T246" s="297"/>
      <c r="U246" s="297"/>
      <c r="V246" s="297"/>
      <c r="W246" s="297"/>
      <c r="X246" s="297"/>
      <c r="Y246" s="297"/>
      <c r="Z246" s="297"/>
      <c r="AA246" s="272"/>
      <c r="AB246" s="272"/>
      <c r="AC246" s="272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7"/>
      <c r="C248" s="297"/>
      <c r="D248" s="297"/>
      <c r="E248" s="297"/>
      <c r="F248" s="297"/>
      <c r="G248" s="297"/>
      <c r="H248" s="297"/>
      <c r="I248" s="297"/>
      <c r="J248" s="297"/>
      <c r="K248" s="297"/>
      <c r="L248" s="297"/>
      <c r="M248" s="297"/>
      <c r="N248" s="297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7"/>
      <c r="C251" s="297"/>
      <c r="D251" s="297"/>
      <c r="E251" s="297"/>
      <c r="F251" s="297"/>
      <c r="G251" s="297"/>
      <c r="H251" s="297"/>
      <c r="I251" s="297"/>
      <c r="J251" s="297"/>
      <c r="K251" s="297"/>
      <c r="L251" s="297"/>
      <c r="M251" s="297"/>
      <c r="N251" s="297"/>
      <c r="O251" s="297"/>
      <c r="P251" s="297"/>
      <c r="Q251" s="297"/>
      <c r="R251" s="297"/>
      <c r="S251" s="297"/>
      <c r="T251" s="297"/>
      <c r="U251" s="297"/>
      <c r="V251" s="297"/>
      <c r="W251" s="297"/>
      <c r="X251" s="297"/>
      <c r="Y251" s="297"/>
      <c r="Z251" s="297"/>
      <c r="AA251" s="273"/>
      <c r="AB251" s="273"/>
      <c r="AC251" s="273"/>
    </row>
    <row r="252" spans="1:68" ht="14.25" customHeight="1" x14ac:dyDescent="0.25">
      <c r="A252" s="296" t="s">
        <v>62</v>
      </c>
      <c r="B252" s="297"/>
      <c r="C252" s="297"/>
      <c r="D252" s="297"/>
      <c r="E252" s="297"/>
      <c r="F252" s="297"/>
      <c r="G252" s="297"/>
      <c r="H252" s="297"/>
      <c r="I252" s="297"/>
      <c r="J252" s="297"/>
      <c r="K252" s="297"/>
      <c r="L252" s="297"/>
      <c r="M252" s="297"/>
      <c r="N252" s="297"/>
      <c r="O252" s="297"/>
      <c r="P252" s="297"/>
      <c r="Q252" s="297"/>
      <c r="R252" s="297"/>
      <c r="S252" s="297"/>
      <c r="T252" s="297"/>
      <c r="U252" s="297"/>
      <c r="V252" s="297"/>
      <c r="W252" s="297"/>
      <c r="X252" s="297"/>
      <c r="Y252" s="297"/>
      <c r="Z252" s="297"/>
      <c r="AA252" s="272"/>
      <c r="AB252" s="272"/>
      <c r="AC252" s="272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72</v>
      </c>
      <c r="Y254" s="279">
        <f>IFERROR(IF(X254="","",X254),"")</f>
        <v>72</v>
      </c>
      <c r="Z254" s="36">
        <f>IFERROR(IF(X254="","",X254*0.0155),"")</f>
        <v>1.1160000000000001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524.16</v>
      </c>
      <c r="BN254" s="67">
        <f>IFERROR(Y254*I254,"0")</f>
        <v>524.16</v>
      </c>
      <c r="BO254" s="67">
        <f>IFERROR(X254/J254,"0")</f>
        <v>0.8571428571428571</v>
      </c>
      <c r="BP254" s="67">
        <f>IFERROR(Y254/J254,"0")</f>
        <v>0.8571428571428571</v>
      </c>
    </row>
    <row r="255" spans="1:68" x14ac:dyDescent="0.2">
      <c r="A255" s="298"/>
      <c r="B255" s="297"/>
      <c r="C255" s="297"/>
      <c r="D255" s="297"/>
      <c r="E255" s="297"/>
      <c r="F255" s="297"/>
      <c r="G255" s="297"/>
      <c r="H255" s="297"/>
      <c r="I255" s="297"/>
      <c r="J255" s="297"/>
      <c r="K255" s="297"/>
      <c r="L255" s="297"/>
      <c r="M255" s="297"/>
      <c r="N255" s="297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72</v>
      </c>
      <c r="Y255" s="280">
        <f>IFERROR(SUM(Y253:Y254),"0")</f>
        <v>72</v>
      </c>
      <c r="Z255" s="280">
        <f>IFERROR(IF(Z253="",0,Z253),"0")+IFERROR(IF(Z254="",0,Z254),"0")</f>
        <v>1.1160000000000001</v>
      </c>
      <c r="AA255" s="281"/>
      <c r="AB255" s="281"/>
      <c r="AC255" s="281"/>
    </row>
    <row r="256" spans="1:68" x14ac:dyDescent="0.2">
      <c r="A256" s="297"/>
      <c r="B256" s="297"/>
      <c r="C256" s="297"/>
      <c r="D256" s="297"/>
      <c r="E256" s="297"/>
      <c r="F256" s="297"/>
      <c r="G256" s="297"/>
      <c r="H256" s="297"/>
      <c r="I256" s="297"/>
      <c r="J256" s="297"/>
      <c r="K256" s="297"/>
      <c r="L256" s="297"/>
      <c r="M256" s="297"/>
      <c r="N256" s="297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504</v>
      </c>
      <c r="Y256" s="280">
        <f>IFERROR(SUMPRODUCT(Y253:Y254*H253:H254),"0")</f>
        <v>504</v>
      </c>
      <c r="Z256" s="37"/>
      <c r="AA256" s="281"/>
      <c r="AB256" s="281"/>
      <c r="AC256" s="281"/>
    </row>
    <row r="257" spans="1:68" ht="14.25" customHeight="1" x14ac:dyDescent="0.25">
      <c r="A257" s="296" t="s">
        <v>97</v>
      </c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7"/>
      <c r="P257" s="297"/>
      <c r="Q257" s="297"/>
      <c r="R257" s="297"/>
      <c r="S257" s="297"/>
      <c r="T257" s="297"/>
      <c r="U257" s="297"/>
      <c r="V257" s="297"/>
      <c r="W257" s="297"/>
      <c r="X257" s="297"/>
      <c r="Y257" s="297"/>
      <c r="Z257" s="297"/>
      <c r="AA257" s="272"/>
      <c r="AB257" s="272"/>
      <c r="AC257" s="272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48</v>
      </c>
      <c r="Y258" s="279">
        <f>IFERROR(IF(X258="","",X258),"")</f>
        <v>48</v>
      </c>
      <c r="Z258" s="36">
        <f>IFERROR(IF(X258="","",X258*0.0155),"")</f>
        <v>0.74399999999999999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300.48</v>
      </c>
      <c r="BN258" s="67">
        <f>IFERROR(Y258*I258,"0")</f>
        <v>300.48</v>
      </c>
      <c r="BO258" s="67">
        <f>IFERROR(X258/J258,"0")</f>
        <v>0.5714285714285714</v>
      </c>
      <c r="BP258" s="67">
        <f>IFERROR(Y258/J258,"0")</f>
        <v>0.5714285714285714</v>
      </c>
    </row>
    <row r="259" spans="1:68" x14ac:dyDescent="0.2">
      <c r="A259" s="298"/>
      <c r="B259" s="297"/>
      <c r="C259" s="297"/>
      <c r="D259" s="297"/>
      <c r="E259" s="297"/>
      <c r="F259" s="297"/>
      <c r="G259" s="297"/>
      <c r="H259" s="297"/>
      <c r="I259" s="297"/>
      <c r="J259" s="297"/>
      <c r="K259" s="297"/>
      <c r="L259" s="297"/>
      <c r="M259" s="297"/>
      <c r="N259" s="297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48</v>
      </c>
      <c r="Y259" s="280">
        <f>IFERROR(SUM(Y258:Y258),"0")</f>
        <v>48</v>
      </c>
      <c r="Z259" s="280">
        <f>IFERROR(IF(Z258="",0,Z258),"0")</f>
        <v>0.74399999999999999</v>
      </c>
      <c r="AA259" s="281"/>
      <c r="AB259" s="281"/>
      <c r="AC259" s="281"/>
    </row>
    <row r="260" spans="1:68" x14ac:dyDescent="0.2">
      <c r="A260" s="297"/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288</v>
      </c>
      <c r="Y260" s="280">
        <f>IFERROR(SUMPRODUCT(Y258:Y258*H258:H258),"0")</f>
        <v>288</v>
      </c>
      <c r="Z260" s="37"/>
      <c r="AA260" s="281"/>
      <c r="AB260" s="281"/>
      <c r="AC260" s="281"/>
    </row>
    <row r="261" spans="1:68" ht="14.25" customHeight="1" x14ac:dyDescent="0.25">
      <c r="A261" s="296" t="s">
        <v>135</v>
      </c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7"/>
      <c r="P261" s="297"/>
      <c r="Q261" s="297"/>
      <c r="R261" s="297"/>
      <c r="S261" s="297"/>
      <c r="T261" s="297"/>
      <c r="U261" s="297"/>
      <c r="V261" s="297"/>
      <c r="W261" s="297"/>
      <c r="X261" s="297"/>
      <c r="Y261" s="297"/>
      <c r="Z261" s="297"/>
      <c r="AA261" s="272"/>
      <c r="AB261" s="272"/>
      <c r="AC261" s="272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60</v>
      </c>
      <c r="Y263" s="279">
        <f>IFERROR(IF(X263="","",X263),"")</f>
        <v>60</v>
      </c>
      <c r="Z263" s="36">
        <f>IFERROR(IF(X263="","",X263*0.0155),"")</f>
        <v>0.92999999999999994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314.10000000000002</v>
      </c>
      <c r="BN263" s="67">
        <f>IFERROR(Y263*I263,"0")</f>
        <v>314.10000000000002</v>
      </c>
      <c r="BO263" s="67">
        <f>IFERROR(X263/J263,"0")</f>
        <v>0.7142857142857143</v>
      </c>
      <c r="BP263" s="67">
        <f>IFERROR(Y263/J263,"0")</f>
        <v>0.7142857142857143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7"/>
      <c r="C265" s="297"/>
      <c r="D265" s="297"/>
      <c r="E265" s="297"/>
      <c r="F265" s="297"/>
      <c r="G265" s="297"/>
      <c r="H265" s="297"/>
      <c r="I265" s="297"/>
      <c r="J265" s="297"/>
      <c r="K265" s="297"/>
      <c r="L265" s="297"/>
      <c r="M265" s="297"/>
      <c r="N265" s="297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60</v>
      </c>
      <c r="Y265" s="280">
        <f>IFERROR(SUM(Y262:Y264),"0")</f>
        <v>60</v>
      </c>
      <c r="Z265" s="280">
        <f>IFERROR(IF(Z262="",0,Z262),"0")+IFERROR(IF(Z263="",0,Z263),"0")+IFERROR(IF(Z264="",0,Z264),"0")</f>
        <v>0.92999999999999994</v>
      </c>
      <c r="AA265" s="281"/>
      <c r="AB265" s="281"/>
      <c r="AC265" s="281"/>
    </row>
    <row r="266" spans="1:68" x14ac:dyDescent="0.2">
      <c r="A266" s="297"/>
      <c r="B266" s="297"/>
      <c r="C266" s="297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300</v>
      </c>
      <c r="Y266" s="280">
        <f>IFERROR(SUMPRODUCT(Y262:Y264*H262:H264),"0")</f>
        <v>300</v>
      </c>
      <c r="Z266" s="37"/>
      <c r="AA266" s="281"/>
      <c r="AB266" s="281"/>
      <c r="AC266" s="281"/>
    </row>
    <row r="267" spans="1:68" ht="14.25" customHeight="1" x14ac:dyDescent="0.25">
      <c r="A267" s="296" t="s">
        <v>141</v>
      </c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7"/>
      <c r="P267" s="297"/>
      <c r="Q267" s="297"/>
      <c r="R267" s="297"/>
      <c r="S267" s="297"/>
      <c r="T267" s="297"/>
      <c r="U267" s="297"/>
      <c r="V267" s="297"/>
      <c r="W267" s="297"/>
      <c r="X267" s="297"/>
      <c r="Y267" s="297"/>
      <c r="Z267" s="297"/>
      <c r="AA267" s="272"/>
      <c r="AB267" s="272"/>
      <c r="AC267" s="272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36</v>
      </c>
      <c r="Y269" s="279">
        <f t="shared" si="18"/>
        <v>36</v>
      </c>
      <c r="Z269" s="36">
        <f>IFERROR(IF(X269="","",X269*0.0155),"")</f>
        <v>0.55800000000000005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188.28000000000003</v>
      </c>
      <c r="BN269" s="67">
        <f t="shared" si="20"/>
        <v>188.28000000000003</v>
      </c>
      <c r="BO269" s="67">
        <f t="shared" si="21"/>
        <v>0.42857142857142855</v>
      </c>
      <c r="BP269" s="67">
        <f t="shared" si="22"/>
        <v>0.42857142857142855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24</v>
      </c>
      <c r="Y270" s="279">
        <f t="shared" si="18"/>
        <v>24</v>
      </c>
      <c r="Z270" s="36">
        <f>IFERROR(IF(X270="","",X270*0.0155),"")</f>
        <v>0.372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137.64000000000001</v>
      </c>
      <c r="BN270" s="67">
        <f t="shared" si="20"/>
        <v>137.64000000000001</v>
      </c>
      <c r="BO270" s="67">
        <f t="shared" si="21"/>
        <v>0.2857142857142857</v>
      </c>
      <c r="BP270" s="67">
        <f t="shared" si="22"/>
        <v>0.2857142857142857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28</v>
      </c>
      <c r="Y271" s="279">
        <f t="shared" si="18"/>
        <v>28</v>
      </c>
      <c r="Z271" s="36">
        <f t="shared" ref="Z271:Z276" si="23">IFERROR(IF(X271="","",X271*0.00936),"")</f>
        <v>0.26207999999999998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7"/>
      <c r="C278" s="297"/>
      <c r="D278" s="297"/>
      <c r="E278" s="297"/>
      <c r="F278" s="297"/>
      <c r="G278" s="297"/>
      <c r="H278" s="297"/>
      <c r="I278" s="297"/>
      <c r="J278" s="297"/>
      <c r="K278" s="297"/>
      <c r="L278" s="297"/>
      <c r="M278" s="297"/>
      <c r="N278" s="297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88</v>
      </c>
      <c r="Y278" s="280">
        <f>IFERROR(SUM(Y268:Y277),"0")</f>
        <v>88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1.19208</v>
      </c>
      <c r="AA278" s="281"/>
      <c r="AB278" s="281"/>
      <c r="AC278" s="281"/>
    </row>
    <row r="279" spans="1:68" x14ac:dyDescent="0.2">
      <c r="A279" s="297"/>
      <c r="B279" s="297"/>
      <c r="C279" s="297"/>
      <c r="D279" s="297"/>
      <c r="E279" s="297"/>
      <c r="F279" s="297"/>
      <c r="G279" s="297"/>
      <c r="H279" s="297"/>
      <c r="I279" s="297"/>
      <c r="J279" s="297"/>
      <c r="K279" s="297"/>
      <c r="L279" s="297"/>
      <c r="M279" s="297"/>
      <c r="N279" s="297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396</v>
      </c>
      <c r="Y279" s="280">
        <f>IFERROR(SUMPRODUCT(Y268:Y277*H268:H277),"0")</f>
        <v>396</v>
      </c>
      <c r="Z279" s="37"/>
      <c r="AA279" s="281"/>
      <c r="AB279" s="281"/>
      <c r="AC279" s="281"/>
    </row>
    <row r="280" spans="1:68" ht="15" customHeight="1" x14ac:dyDescent="0.2">
      <c r="A280" s="458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5308.32</v>
      </c>
      <c r="Y280" s="280">
        <f>IFERROR(Y31+Y37+Y44+Y51+Y59+Y64+Y68+Y73+Y79+Y85+Y90+Y96+Y106+Y112+Y123+Y127+Y131+Y139+Y145+Y151+Y157+Y163+Y168+Y173+Y178+Y185+Y190+Y199+Y205+Y211+Y217+Y222+Y227+Y233+Y239+Y243+Y249+Y256+Y260+Y266+Y279,"0")</f>
        <v>5308.32</v>
      </c>
      <c r="Z280" s="37"/>
      <c r="AA280" s="281"/>
      <c r="AB280" s="281"/>
      <c r="AC280" s="281"/>
    </row>
    <row r="281" spans="1:68" x14ac:dyDescent="0.2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5640.4824000000008</v>
      </c>
      <c r="Y281" s="280">
        <f>IFERROR(SUM(BN22:BN277),"0")</f>
        <v>5640.4824000000008</v>
      </c>
      <c r="Z281" s="37"/>
      <c r="AA281" s="281"/>
      <c r="AB281" s="281"/>
      <c r="AC281" s="281"/>
    </row>
    <row r="282" spans="1:68" x14ac:dyDescent="0.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12</v>
      </c>
      <c r="Y282" s="38">
        <f>ROUNDUP(SUM(BP22:BP277),0)</f>
        <v>12</v>
      </c>
      <c r="Z282" s="37"/>
      <c r="AA282" s="281"/>
      <c r="AB282" s="281"/>
      <c r="AC282" s="281"/>
    </row>
    <row r="283" spans="1:68" x14ac:dyDescent="0.2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5940.4824000000008</v>
      </c>
      <c r="Y283" s="280">
        <f>GrossWeightTotalR+PalletQtyTotalR*25</f>
        <v>5940.4824000000008</v>
      </c>
      <c r="Z283" s="37"/>
      <c r="AA283" s="281"/>
      <c r="AB283" s="281"/>
      <c r="AC283" s="281"/>
    </row>
    <row r="284" spans="1:68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1048</v>
      </c>
      <c r="Y284" s="280">
        <f>IFERROR(Y30+Y36+Y43+Y50+Y58+Y63+Y67+Y72+Y78+Y84+Y89+Y95+Y105+Y111+Y122+Y126+Y130+Y138+Y144+Y150+Y156+Y162+Y167+Y172+Y177+Y184+Y189+Y198+Y204+Y210+Y216+Y221+Y226+Y232+Y238+Y242+Y248+Y255+Y259+Y265+Y278,"0")</f>
        <v>1048</v>
      </c>
      <c r="Z284" s="37"/>
      <c r="AA284" s="281"/>
      <c r="AB284" s="281"/>
      <c r="AC284" s="281"/>
    </row>
    <row r="285" spans="1:68" ht="14.25" customHeight="1" x14ac:dyDescent="0.2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15.15864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0" t="s">
        <v>272</v>
      </c>
      <c r="Y287" s="285" t="s">
        <v>286</v>
      </c>
      <c r="Z287" s="381"/>
      <c r="AA287" s="381"/>
      <c r="AB287" s="314"/>
      <c r="AC287" s="270" t="s">
        <v>315</v>
      </c>
      <c r="AD287" s="270" t="s">
        <v>320</v>
      </c>
      <c r="AE287" s="270" t="s">
        <v>328</v>
      </c>
      <c r="AF287" s="270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1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1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230.4</v>
      </c>
      <c r="C290" s="46">
        <f>IFERROR(X34*H34,"0")+IFERROR(X35*H35,"0")</f>
        <v>0</v>
      </c>
      <c r="D290" s="46">
        <f>IFERROR(X41*H41,"0")+IFERROR(X42*H42,"0")</f>
        <v>0</v>
      </c>
      <c r="E290" s="46">
        <f>IFERROR(X47*H47,"0")+IFERROR(X48*H48,"0")+IFERROR(X49*H49,"0")</f>
        <v>134.39999999999998</v>
      </c>
      <c r="F290" s="46">
        <f>IFERROR(X54*H54,"0")+IFERROR(X55*H55,"0")+IFERROR(X56*H56,"0")+IFERROR(X57*H57,"0")</f>
        <v>84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600</v>
      </c>
      <c r="I290" s="46">
        <f>IFERROR(X88*H88,"0")</f>
        <v>0</v>
      </c>
      <c r="J290" s="46">
        <f>IFERROR(X93*H93,"0")+IFERROR(X94*H94,"0")</f>
        <v>151.19999999999999</v>
      </c>
      <c r="K290" s="46">
        <f>IFERROR(X99*H99,"0")+IFERROR(X100*H100,"0")+IFERROR(X101*H101,"0")+IFERROR(X102*H102,"0")+IFERROR(X103*H103,"0")+IFERROR(X104*H104,"0")</f>
        <v>40.32</v>
      </c>
      <c r="L290" s="46">
        <f>IFERROR(X109*H109,"0")+IFERROR(X110*H110,"0")</f>
        <v>0</v>
      </c>
      <c r="M290" s="46">
        <f>IFERROR(X115*H115,"0")+IFERROR(X116*H116,"0")+IFERROR(X117*H117,"0")+IFERROR(X118*H118,"0")+IFERROR(X119*H119,"0")+IFERROR(X120*H120,"0")+IFERROR(X121*H121,"0")+IFERROR(X125*H125,"0")+IFERROR(X129*H129,"0")</f>
        <v>504</v>
      </c>
      <c r="N290" s="271"/>
      <c r="O290" s="46">
        <f>IFERROR(X134*H134,"0")+IFERROR(X135*H135,"0")+IFERROR(X136*H136,"0")+IFERROR(X137*H137,"0")+IFERROR(X141*H141,"0")+IFERROR(X142*H142,"0")+IFERROR(X143*H143,"0")</f>
        <v>0</v>
      </c>
      <c r="P290" s="46">
        <f>IFERROR(X148*H148,"0")+IFERROR(X149*H149,"0")</f>
        <v>210</v>
      </c>
      <c r="Q290" s="46">
        <f>IFERROR(X154*H154,"0")+IFERROR(X155*H155,"0")</f>
        <v>0</v>
      </c>
      <c r="R290" s="46">
        <f>IFERROR(X160*H160,"0")+IFERROR(X161*H161,"0")</f>
        <v>0</v>
      </c>
      <c r="S290" s="46">
        <f>IFERROR(X166*H166,"0")</f>
        <v>42</v>
      </c>
      <c r="T290" s="46">
        <f>IFERROR(X171*H171,"0")</f>
        <v>0</v>
      </c>
      <c r="U290" s="46">
        <f>IFERROR(X176*H176,"0")</f>
        <v>0</v>
      </c>
      <c r="V290" s="46">
        <f>IFERROR(X182*H182,"0")+IFERROR(X183*H183,"0")</f>
        <v>360</v>
      </c>
      <c r="W290" s="46">
        <f>IFERROR(X188*H188,"0")</f>
        <v>1200</v>
      </c>
      <c r="X290" s="46">
        <f>IFERROR(X194*H194,"0")+IFERROR(X195*H195,"0")+IFERROR(X196*H196,"0")+IFERROR(X197*H197,"0")</f>
        <v>84</v>
      </c>
      <c r="Y290" s="46">
        <f>IFERROR(X203*H203,"0")+IFERROR(X207*H207,"0")+IFERROR(X208*H208,"0")+IFERROR(X209*H209,"0")</f>
        <v>0</v>
      </c>
      <c r="Z290" s="46">
        <f>IFERROR(X214*H214,"0")+IFERROR(X215*H215,"0")</f>
        <v>0</v>
      </c>
      <c r="AA290" s="46">
        <f>IFERROR(X220*H220,"0")</f>
        <v>180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1488</v>
      </c>
    </row>
    <row r="291" spans="1:32" ht="13.5" customHeight="1" thickTop="1" x14ac:dyDescent="0.2">
      <c r="C291" s="271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3796.8</v>
      </c>
      <c r="B293" s="60">
        <f>SUMPRODUCT(--(BB:BB="ПГП"),--(W:W="кор"),H:H,Y:Y)+SUMPRODUCT(--(BB:BB="ПГП"),--(W:W="кг"),Y:Y)</f>
        <v>1511.52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A8:C8"/>
    <mergeCell ref="P163:V163"/>
    <mergeCell ref="A153:Z153"/>
    <mergeCell ref="P138:V138"/>
    <mergeCell ref="D268:E268"/>
    <mergeCell ref="A128:Z128"/>
    <mergeCell ref="A10:C10"/>
    <mergeCell ref="A21:Z21"/>
    <mergeCell ref="A192:Z192"/>
    <mergeCell ref="D121:E121"/>
    <mergeCell ref="D42:E42"/>
    <mergeCell ref="A181:Z181"/>
    <mergeCell ref="D17:E18"/>
    <mergeCell ref="P71:T71"/>
    <mergeCell ref="X17:X18"/>
    <mergeCell ref="A52:Z52"/>
    <mergeCell ref="D110:E110"/>
    <mergeCell ref="P216:V216"/>
    <mergeCell ref="A265:O266"/>
    <mergeCell ref="A245:Z245"/>
    <mergeCell ref="P43:V43"/>
    <mergeCell ref="A39:Z39"/>
    <mergeCell ref="D237:E237"/>
    <mergeCell ref="P25:T25"/>
    <mergeCell ref="P285:V285"/>
    <mergeCell ref="P149:T149"/>
    <mergeCell ref="U17:V17"/>
    <mergeCell ref="Y17:Y18"/>
    <mergeCell ref="D57:E57"/>
    <mergeCell ref="P288:P289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25:E25"/>
    <mergeCell ref="D196:E196"/>
    <mergeCell ref="A126:O127"/>
    <mergeCell ref="P145:V145"/>
    <mergeCell ref="P210:V210"/>
    <mergeCell ref="A206:Z206"/>
    <mergeCell ref="D54:E54"/>
    <mergeCell ref="P185:V185"/>
    <mergeCell ref="P283:V283"/>
    <mergeCell ref="P83:T83"/>
    <mergeCell ref="D271:E271"/>
    <mergeCell ref="V12:W12"/>
    <mergeCell ref="D262:E262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82:T82"/>
    <mergeCell ref="A223:Z223"/>
    <mergeCell ref="V11:W11"/>
    <mergeCell ref="P253:T253"/>
    <mergeCell ref="P57:T57"/>
    <mergeCell ref="P75:T75"/>
    <mergeCell ref="P121:T121"/>
    <mergeCell ref="D29:E29"/>
    <mergeCell ref="D23:E23"/>
    <mergeCell ref="Z288:Z289"/>
    <mergeCell ref="A20:Z20"/>
    <mergeCell ref="AB288:AB289"/>
    <mergeCell ref="P110:T110"/>
    <mergeCell ref="P2:W3"/>
    <mergeCell ref="D241:E241"/>
    <mergeCell ref="P54:T54"/>
    <mergeCell ref="D35:E35"/>
    <mergeCell ref="A170:Z170"/>
    <mergeCell ref="D10:E10"/>
    <mergeCell ref="F10:G10"/>
    <mergeCell ref="P135:T135"/>
    <mergeCell ref="D34:E34"/>
    <mergeCell ref="D99:E99"/>
    <mergeCell ref="P78:V78"/>
    <mergeCell ref="P205:V205"/>
    <mergeCell ref="A201:Z201"/>
    <mergeCell ref="A114:Z114"/>
    <mergeCell ref="P68:V68"/>
    <mergeCell ref="P239:V239"/>
    <mergeCell ref="A191:Z191"/>
    <mergeCell ref="A107:Z107"/>
    <mergeCell ref="N17:N18"/>
    <mergeCell ref="D49:E49"/>
    <mergeCell ref="Q5:R5"/>
    <mergeCell ref="F17:F18"/>
    <mergeCell ref="A58:O59"/>
    <mergeCell ref="D120:E120"/>
    <mergeCell ref="Q13:R13"/>
    <mergeCell ref="P176:T176"/>
    <mergeCell ref="P247:T247"/>
    <mergeCell ref="P241:T241"/>
    <mergeCell ref="P41:T41"/>
    <mergeCell ref="AA288:AA289"/>
    <mergeCell ref="D22:E22"/>
    <mergeCell ref="D155:E155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63:V63"/>
    <mergeCell ref="P101:T101"/>
    <mergeCell ref="D215:E215"/>
    <mergeCell ref="A255:O256"/>
    <mergeCell ref="P50:V50"/>
    <mergeCell ref="A246:Z246"/>
    <mergeCell ref="M17:M18"/>
    <mergeCell ref="H5:M5"/>
    <mergeCell ref="P31:V31"/>
    <mergeCell ref="S288:S289"/>
    <mergeCell ref="K288:K289"/>
    <mergeCell ref="P225:T225"/>
    <mergeCell ref="U288:U289"/>
    <mergeCell ref="D6:M6"/>
    <mergeCell ref="P95:V95"/>
    <mergeCell ref="P266:V266"/>
    <mergeCell ref="D83:E83"/>
    <mergeCell ref="D143:E143"/>
    <mergeCell ref="P93:T93"/>
    <mergeCell ref="D207:E207"/>
    <mergeCell ref="A150:O151"/>
    <mergeCell ref="P269:T269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H10:M10"/>
    <mergeCell ref="AA17:AA18"/>
    <mergeCell ref="AC17:AC18"/>
    <mergeCell ref="A224:Z224"/>
    <mergeCell ref="P254:T254"/>
    <mergeCell ref="V6:W9"/>
    <mergeCell ref="P109:T109"/>
    <mergeCell ref="P274:T274"/>
    <mergeCell ref="A226:O227"/>
    <mergeCell ref="P22:T22"/>
    <mergeCell ref="A61:Z61"/>
    <mergeCell ref="D194:E194"/>
    <mergeCell ref="Z17:Z18"/>
    <mergeCell ref="P173:V173"/>
    <mergeCell ref="AB17:AB18"/>
    <mergeCell ref="A172:O173"/>
    <mergeCell ref="P265:V265"/>
    <mergeCell ref="A212:Z212"/>
    <mergeCell ref="P44:V44"/>
    <mergeCell ref="D154:E154"/>
    <mergeCell ref="D225:E225"/>
    <mergeCell ref="P48:T48"/>
    <mergeCell ref="A105:O106"/>
    <mergeCell ref="A9:C9"/>
    <mergeCell ref="P30:V30"/>
    <mergeCell ref="H17:H18"/>
    <mergeCell ref="A146:Z146"/>
    <mergeCell ref="P161:T161"/>
    <mergeCell ref="D269:E269"/>
    <mergeCell ref="A252:Z252"/>
    <mergeCell ref="P27:T27"/>
    <mergeCell ref="D75:E75"/>
    <mergeCell ref="A84:O85"/>
    <mergeCell ref="P154:T154"/>
    <mergeCell ref="A78:O79"/>
    <mergeCell ref="A50:O51"/>
    <mergeCell ref="A158:Z158"/>
    <mergeCell ref="A221:O222"/>
    <mergeCell ref="P105:V105"/>
    <mergeCell ref="A144:O145"/>
    <mergeCell ref="P125:T125"/>
    <mergeCell ref="A242:O243"/>
    <mergeCell ref="A179:Z179"/>
    <mergeCell ref="D231:E231"/>
    <mergeCell ref="A91:Z91"/>
    <mergeCell ref="O17:O18"/>
    <mergeCell ref="P131:V131"/>
    <mergeCell ref="A175:Z175"/>
    <mergeCell ref="P207:T207"/>
    <mergeCell ref="P249:V249"/>
    <mergeCell ref="P172:V172"/>
    <mergeCell ref="P150:V150"/>
    <mergeCell ref="P221:V221"/>
    <mergeCell ref="A40:Z40"/>
    <mergeCell ref="D203:E203"/>
    <mergeCell ref="D287:U287"/>
    <mergeCell ref="A186:Z186"/>
    <mergeCell ref="D273:E273"/>
    <mergeCell ref="A235:Z235"/>
    <mergeCell ref="P102:T102"/>
    <mergeCell ref="P189:V189"/>
    <mergeCell ref="P196:T196"/>
    <mergeCell ref="P281:V281"/>
    <mergeCell ref="P183:T183"/>
    <mergeCell ref="P62:T62"/>
    <mergeCell ref="D270:E270"/>
    <mergeCell ref="D247:E247"/>
    <mergeCell ref="A257:Z257"/>
    <mergeCell ref="P262:T262"/>
    <mergeCell ref="D276:E276"/>
    <mergeCell ref="A280:O285"/>
    <mergeCell ref="P122:V122"/>
    <mergeCell ref="T5:U5"/>
    <mergeCell ref="P76:T76"/>
    <mergeCell ref="D119:E119"/>
    <mergeCell ref="V5:W5"/>
    <mergeCell ref="P203:T203"/>
    <mergeCell ref="Q8:R8"/>
    <mergeCell ref="D183:E183"/>
    <mergeCell ref="D104:E104"/>
    <mergeCell ref="D275:E275"/>
    <mergeCell ref="T6:U9"/>
    <mergeCell ref="Q10:R10"/>
    <mergeCell ref="A30:O31"/>
    <mergeCell ref="D41:E41"/>
    <mergeCell ref="P85:V85"/>
    <mergeCell ref="P256:V256"/>
    <mergeCell ref="P84:V84"/>
    <mergeCell ref="D137:E137"/>
    <mergeCell ref="P151:V151"/>
    <mergeCell ref="A204:O205"/>
    <mergeCell ref="P126:V126"/>
    <mergeCell ref="D188:E188"/>
    <mergeCell ref="P24:T24"/>
    <mergeCell ref="P88:T88"/>
    <mergeCell ref="A156:O157"/>
    <mergeCell ref="AE288:AE289"/>
    <mergeCell ref="A198:O199"/>
    <mergeCell ref="A251:Z251"/>
    <mergeCell ref="Y287:AB287"/>
    <mergeCell ref="A12:M12"/>
    <mergeCell ref="A53:Z53"/>
    <mergeCell ref="A180:Z180"/>
    <mergeCell ref="A240:Z240"/>
    <mergeCell ref="P243:V243"/>
    <mergeCell ref="A19:Z19"/>
    <mergeCell ref="D182:E182"/>
    <mergeCell ref="A14:M14"/>
    <mergeCell ref="D109:E109"/>
    <mergeCell ref="L288:L289"/>
    <mergeCell ref="D288:D289"/>
    <mergeCell ref="D277:E277"/>
    <mergeCell ref="I288:I289"/>
    <mergeCell ref="P26:T26"/>
    <mergeCell ref="A72:O73"/>
    <mergeCell ref="A261:Z261"/>
    <mergeCell ref="A92:Z92"/>
    <mergeCell ref="P227:V227"/>
    <mergeCell ref="P58:V58"/>
    <mergeCell ref="A13:M13"/>
    <mergeCell ref="D116:E116"/>
    <mergeCell ref="P23:T23"/>
    <mergeCell ref="A164:Z164"/>
    <mergeCell ref="P272:T272"/>
    <mergeCell ref="D93:E93"/>
    <mergeCell ref="D264:E264"/>
    <mergeCell ref="P72:V72"/>
    <mergeCell ref="D220:E220"/>
    <mergeCell ref="P277:T277"/>
    <mergeCell ref="P199:V199"/>
    <mergeCell ref="P79:V79"/>
    <mergeCell ref="P73:V73"/>
    <mergeCell ref="A69:Z69"/>
    <mergeCell ref="P115:T115"/>
    <mergeCell ref="D254:E254"/>
    <mergeCell ref="D48:E48"/>
    <mergeCell ref="A232:O233"/>
    <mergeCell ref="P77:T77"/>
    <mergeCell ref="A133:Z133"/>
    <mergeCell ref="A193:Z193"/>
    <mergeCell ref="D125:E125"/>
    <mergeCell ref="D62:E62"/>
    <mergeCell ref="P141:T141"/>
    <mergeCell ref="D56:E56"/>
    <mergeCell ref="A5:C5"/>
    <mergeCell ref="P64:V64"/>
    <mergeCell ref="A187:Z187"/>
    <mergeCell ref="P51:V51"/>
    <mergeCell ref="A174:Z174"/>
    <mergeCell ref="A108:Z108"/>
    <mergeCell ref="D166:E166"/>
    <mergeCell ref="A17:A18"/>
    <mergeCell ref="K17:K18"/>
    <mergeCell ref="C17:C18"/>
    <mergeCell ref="D103:E103"/>
    <mergeCell ref="P66:T66"/>
    <mergeCell ref="D9:E9"/>
    <mergeCell ref="P137:T137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P15:T16"/>
    <mergeCell ref="A6:C6"/>
    <mergeCell ref="P118:T118"/>
    <mergeCell ref="AD288:AD289"/>
    <mergeCell ref="D88:E88"/>
    <mergeCell ref="P142:T142"/>
    <mergeCell ref="D26:E26"/>
    <mergeCell ref="D148:E148"/>
    <mergeCell ref="AF288:AF289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P195:T195"/>
    <mergeCell ref="M288:M289"/>
    <mergeCell ref="V287:W287"/>
    <mergeCell ref="P197:T197"/>
    <mergeCell ref="D160:E160"/>
    <mergeCell ref="P139:V139"/>
    <mergeCell ref="I17:I18"/>
    <mergeCell ref="D141:E141"/>
    <mergeCell ref="D135:E135"/>
    <mergeCell ref="P178:V178"/>
    <mergeCell ref="B288:B289"/>
    <mergeCell ref="A177:O178"/>
    <mergeCell ref="Q9:R9"/>
    <mergeCell ref="A113:Z113"/>
    <mergeCell ref="P36:V36"/>
    <mergeCell ref="A32:Z32"/>
    <mergeCell ref="P278:V278"/>
    <mergeCell ref="D24:E24"/>
    <mergeCell ref="A159:Z159"/>
    <mergeCell ref="A97:Z97"/>
    <mergeCell ref="Q11:R11"/>
    <mergeCell ref="A219:Z219"/>
    <mergeCell ref="A248:O249"/>
    <mergeCell ref="A210:O211"/>
    <mergeCell ref="P238:V238"/>
    <mergeCell ref="P264:T264"/>
    <mergeCell ref="P204:V204"/>
    <mergeCell ref="J288:J289"/>
    <mergeCell ref="C288:C289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V288:V289"/>
    <mergeCell ref="A87:Z87"/>
    <mergeCell ref="X288:X289"/>
    <mergeCell ref="P273:T273"/>
    <mergeCell ref="A218:Z218"/>
    <mergeCell ref="D272:E272"/>
    <mergeCell ref="A46:Z46"/>
    <mergeCell ref="P166:T166"/>
    <mergeCell ref="D209:E209"/>
    <mergeCell ref="D274:E274"/>
    <mergeCell ref="P116:T116"/>
    <mergeCell ref="A162:O163"/>
    <mergeCell ref="P103:T103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D5:E5"/>
    <mergeCell ref="A140:Z140"/>
    <mergeCell ref="P59:V59"/>
    <mergeCell ref="P268:T268"/>
    <mergeCell ref="P130:V130"/>
    <mergeCell ref="D1:F1"/>
    <mergeCell ref="P190:V190"/>
    <mergeCell ref="P47:T47"/>
    <mergeCell ref="P111:V111"/>
    <mergeCell ref="A234:Z234"/>
    <mergeCell ref="J17:J18"/>
    <mergeCell ref="D82:E82"/>
    <mergeCell ref="L17:L18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7:M7"/>
    <mergeCell ref="D129:E129"/>
    <mergeCell ref="A81:Z81"/>
    <mergeCell ref="P156:V156"/>
    <mergeCell ref="A152:Z152"/>
    <mergeCell ref="A184:O185"/>
    <mergeCell ref="P29:T29"/>
    <mergeCell ref="P100:T100"/>
    <mergeCell ref="P271:T271"/>
    <mergeCell ref="P94:T94"/>
    <mergeCell ref="D208:E208"/>
    <mergeCell ref="D8:M8"/>
    <mergeCell ref="P237:T237"/>
    <mergeCell ref="P279:V279"/>
    <mergeCell ref="A228:Z228"/>
    <mergeCell ref="A288:A289"/>
    <mergeCell ref="D195:E195"/>
    <mergeCell ref="A124:Z124"/>
    <mergeCell ref="B287:C287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P96:V96"/>
    <mergeCell ref="P282:V282"/>
    <mergeCell ref="A244:Z244"/>
    <mergeCell ref="A165:Z165"/>
    <mergeCell ref="P112:V112"/>
    <mergeCell ref="D100:E100"/>
    <mergeCell ref="A229:Z229"/>
    <mergeCell ref="P129:T129"/>
    <mergeCell ref="P194:T194"/>
    <mergeCell ref="A167:O168"/>
    <mergeCell ref="D77:E77"/>
    <mergeCell ref="P258:T258"/>
    <mergeCell ref="A111:O112"/>
    <mergeCell ref="D70:E70"/>
    <mergeCell ref="P220:T220"/>
    <mergeCell ref="A65:Z65"/>
    <mergeCell ref="D263:E263"/>
    <mergeCell ref="A216:O217"/>
    <mergeCell ref="A80:Z80"/>
    <mergeCell ref="D134:E134"/>
    <mergeCell ref="R1:T1"/>
    <mergeCell ref="P28:T28"/>
    <mergeCell ref="D71:E71"/>
    <mergeCell ref="P215:T215"/>
    <mergeCell ref="A89:O90"/>
    <mergeCell ref="A200:Z200"/>
    <mergeCell ref="A202:Z202"/>
    <mergeCell ref="P233:V233"/>
    <mergeCell ref="P37:V37"/>
    <mergeCell ref="A63:O64"/>
    <mergeCell ref="P104:T104"/>
    <mergeCell ref="P168:V168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89:V89"/>
    <mergeCell ref="P211:V211"/>
    <mergeCell ref="P260:V260"/>
    <mergeCell ref="P259:V259"/>
    <mergeCell ref="P155:T155"/>
    <mergeCell ref="P275:T275"/>
    <mergeCell ref="V10:W10"/>
    <mergeCell ref="W17:W18"/>
    <mergeCell ref="W288:W289"/>
    <mergeCell ref="P17:T18"/>
    <mergeCell ref="P208:T208"/>
    <mergeCell ref="A15:M15"/>
    <mergeCell ref="J9:M9"/>
    <mergeCell ref="D176:E176"/>
    <mergeCell ref="P143:T143"/>
    <mergeCell ref="R288:R289"/>
    <mergeCell ref="T288:T289"/>
    <mergeCell ref="P157:V157"/>
    <mergeCell ref="A38:Z38"/>
    <mergeCell ref="A147:Z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2026-07-23T06:59:19Z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