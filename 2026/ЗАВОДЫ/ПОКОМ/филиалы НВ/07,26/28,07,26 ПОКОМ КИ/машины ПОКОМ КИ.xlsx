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5F8326B-330B-4441-AAC2-93226B1196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4" i="1" l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3" i="1"/>
  <c r="AB18" i="1"/>
  <c r="AA18" i="1"/>
  <c r="Z18" i="1"/>
  <c r="S18" i="1"/>
  <c r="R18" i="1"/>
  <c r="Q18" i="1"/>
  <c r="Y18" i="1"/>
  <c r="X18" i="1"/>
  <c r="W18" i="1"/>
  <c r="AF18" i="1" l="1"/>
  <c r="V18" i="1"/>
  <c r="U18" i="1"/>
  <c r="T18" i="1"/>
  <c r="P18" i="1"/>
  <c r="O18" i="1"/>
  <c r="N18" i="1"/>
  <c r="C18" i="1" l="1"/>
  <c r="D18" i="1"/>
  <c r="E18" i="1" l="1"/>
  <c r="AE18" i="1" l="1"/>
  <c r="AD18" i="1"/>
  <c r="AC18" i="1"/>
  <c r="F18" i="1" l="1"/>
  <c r="G18" i="1"/>
  <c r="H18" i="1"/>
  <c r="I18" i="1"/>
  <c r="J18" i="1"/>
  <c r="K18" i="1"/>
  <c r="L18" i="1"/>
  <c r="M18" i="1"/>
  <c r="B18" i="1" l="1"/>
</calcChain>
</file>

<file path=xl/sharedStrings.xml><?xml version="1.0" encoding="utf-8"?>
<sst xmlns="http://schemas.openxmlformats.org/spreadsheetml/2006/main" count="65" uniqueCount="32">
  <si>
    <t>Бердянск</t>
  </si>
  <si>
    <t>Донецк</t>
  </si>
  <si>
    <t>Луганск</t>
  </si>
  <si>
    <t>Мелитополь</t>
  </si>
  <si>
    <t>ПОЛУЧАТЕЛЬ</t>
  </si>
  <si>
    <t>Остаток</t>
  </si>
  <si>
    <t>ИТОГОВЫЕ ДАННЫЕ</t>
  </si>
  <si>
    <t>нетто</t>
  </si>
  <si>
    <t>брутто</t>
  </si>
  <si>
    <t>паллеты</t>
  </si>
  <si>
    <t>Малахутин</t>
  </si>
  <si>
    <t>Горняк Горловка</t>
  </si>
  <si>
    <t>Горняк Луганск</t>
  </si>
  <si>
    <t>ВЕС НЕТТО</t>
  </si>
  <si>
    <t>ВЕС БРУТТО</t>
  </si>
  <si>
    <t>ПАЛЛЕТЫ</t>
  </si>
  <si>
    <t>Кочевой НВ</t>
  </si>
  <si>
    <t>Кочевой ЛП</t>
  </si>
  <si>
    <t>1 машина на 01,08</t>
  </si>
  <si>
    <t>2 машина на 01,08</t>
  </si>
  <si>
    <t>3 машина на 01,08</t>
  </si>
  <si>
    <t>4 машина на 01,08</t>
  </si>
  <si>
    <t>1 машина 30,08</t>
  </si>
  <si>
    <t>отправлен</t>
  </si>
  <si>
    <t>Горняк Луганск2</t>
  </si>
  <si>
    <t>ПРС ЛП</t>
  </si>
  <si>
    <t>5 машина на 01,08</t>
  </si>
  <si>
    <t>1 машина на 02,08</t>
  </si>
  <si>
    <t>2 машина на 02,08</t>
  </si>
  <si>
    <t>3 машина на 02,08</t>
  </si>
  <si>
    <t>НВ_ЛП</t>
  </si>
  <si>
    <t>НВ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</si>
</sst>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11" xfId="0" applyFill="1" applyBorder="1"/>
    <xf numFmtId="0" fontId="0" fillId="3" borderId="2" xfId="0" applyFill="1" applyBorder="1"/>
    <xf numFmtId="0" fontId="0" fillId="3" borderId="12" xfId="0" applyFill="1" applyBorder="1"/>
    <xf numFmtId="0" fontId="0" fillId="3" borderId="0" xfId="0" applyFill="1"/>
    <xf numFmtId="0" fontId="1" fillId="4" borderId="8" xfId="0" applyFont="1" applyFill="1" applyBorder="1" applyAlignment="1">
      <alignment wrapText="1"/>
    </xf>
    <xf numFmtId="0" fontId="1" fillId="4" borderId="9" xfId="0" applyFont="1" applyFill="1" applyBorder="1" applyAlignment="1">
      <alignment wrapText="1"/>
    </xf>
    <xf numFmtId="0" fontId="1" fillId="4" borderId="10" xfId="0" applyFont="1" applyFill="1" applyBorder="1" applyAlignment="1">
      <alignment wrapText="1"/>
    </xf>
    <xf numFmtId="0" fontId="0" fillId="4" borderId="11" xfId="0" applyFill="1" applyBorder="1"/>
    <xf numFmtId="0" fontId="0" fillId="4" borderId="2" xfId="0" applyFill="1" applyBorder="1"/>
    <xf numFmtId="0" fontId="0" fillId="4" borderId="12" xfId="0" applyFill="1" applyBorder="1"/>
    <xf numFmtId="0" fontId="0" fillId="4" borderId="6" xfId="0" applyFill="1" applyBorder="1"/>
    <xf numFmtId="0" fontId="0" fillId="4" borderId="1" xfId="0" applyFill="1" applyBorder="1"/>
    <xf numFmtId="0" fontId="0" fillId="4" borderId="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1" fillId="4" borderId="21" xfId="0" applyFont="1" applyFill="1" applyBorder="1"/>
    <xf numFmtId="0" fontId="1" fillId="4" borderId="23" xfId="0" applyFont="1" applyFill="1" applyBorder="1"/>
    <xf numFmtId="0" fontId="1" fillId="4" borderId="24" xfId="0" applyFont="1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7" xfId="0" applyFill="1" applyBorder="1"/>
    <xf numFmtId="0" fontId="0" fillId="6" borderId="18" xfId="0" applyFill="1" applyBorder="1"/>
    <xf numFmtId="0" fontId="0" fillId="6" borderId="6" xfId="0" applyFill="1" applyBorder="1"/>
    <xf numFmtId="0" fontId="0" fillId="7" borderId="11" xfId="0" applyFill="1" applyBorder="1"/>
    <xf numFmtId="0" fontId="0" fillId="7" borderId="6" xfId="0" applyFill="1" applyBorder="1"/>
    <xf numFmtId="0" fontId="0" fillId="8" borderId="6" xfId="0" applyFill="1" applyBorder="1"/>
    <xf numFmtId="0" fontId="0" fillId="8" borderId="18" xfId="0" applyFill="1" applyBorder="1"/>
    <xf numFmtId="0" fontId="1" fillId="2" borderId="8" xfId="0" applyFont="1" applyFill="1" applyBorder="1" applyAlignment="1"/>
    <xf numFmtId="0" fontId="1" fillId="2" borderId="9" xfId="0" applyFont="1" applyFill="1" applyBorder="1" applyAlignment="1"/>
    <xf numFmtId="0" fontId="1" fillId="2" borderId="10" xfId="0" applyFont="1" applyFill="1" applyBorder="1" applyAlignment="1"/>
    <xf numFmtId="0" fontId="0" fillId="6" borderId="0" xfId="0" applyFill="1"/>
    <xf numFmtId="0" fontId="0" fillId="2" borderId="0" xfId="0" applyFill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"/>
  <sheetViews>
    <sheetView tabSelected="1" zoomScale="115" zoomScaleNormal="115" workbookViewId="0">
      <pane xSplit="4" topLeftCell="E1" activePane="topRight" state="frozen"/>
      <selection pane="topRight" activeCell="T22" sqref="T22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6" width="2.140625" customWidth="1"/>
    <col min="17" max="18" width="7.28515625" customWidth="1"/>
    <col min="19" max="19" width="6" customWidth="1"/>
    <col min="20" max="21" width="7.28515625" customWidth="1"/>
    <col min="22" max="22" width="6" customWidth="1"/>
    <col min="23" max="24" width="7.28515625" customWidth="1"/>
    <col min="25" max="25" width="6" customWidth="1"/>
    <col min="26" max="27" width="7.28515625" customWidth="1"/>
    <col min="28" max="28" width="6" customWidth="1"/>
    <col min="29" max="30" width="7.28515625" customWidth="1"/>
    <col min="31" max="31" width="6" customWidth="1"/>
    <col min="32" max="32" width="8.140625" bestFit="1" customWidth="1"/>
  </cols>
  <sheetData>
    <row r="1" spans="1:32" ht="15" customHeight="1" x14ac:dyDescent="0.25">
      <c r="A1" s="67" t="s">
        <v>4</v>
      </c>
      <c r="B1" s="69" t="s">
        <v>13</v>
      </c>
      <c r="C1" s="69" t="s">
        <v>14</v>
      </c>
      <c r="D1" s="69" t="s">
        <v>15</v>
      </c>
      <c r="E1" s="67" t="s">
        <v>18</v>
      </c>
      <c r="F1" s="71"/>
      <c r="G1" s="72"/>
      <c r="H1" s="67" t="s">
        <v>19</v>
      </c>
      <c r="I1" s="71"/>
      <c r="J1" s="72"/>
      <c r="K1" s="67" t="s">
        <v>20</v>
      </c>
      <c r="L1" s="71"/>
      <c r="M1" s="72"/>
      <c r="N1" s="67" t="s">
        <v>21</v>
      </c>
      <c r="O1" s="71"/>
      <c r="P1" s="72"/>
      <c r="Q1" s="67" t="s">
        <v>26</v>
      </c>
      <c r="R1" s="71"/>
      <c r="S1" s="72"/>
      <c r="T1" s="73" t="s">
        <v>22</v>
      </c>
      <c r="U1" s="74"/>
      <c r="V1" s="75"/>
      <c r="W1" s="67" t="s">
        <v>27</v>
      </c>
      <c r="X1" s="71"/>
      <c r="Y1" s="72"/>
      <c r="Z1" s="67" t="s">
        <v>28</v>
      </c>
      <c r="AA1" s="71"/>
      <c r="AB1" s="72"/>
      <c r="AC1" s="67" t="s">
        <v>29</v>
      </c>
      <c r="AD1" s="71"/>
      <c r="AE1" s="72"/>
      <c r="AF1" s="65" t="s">
        <v>5</v>
      </c>
    </row>
    <row r="2" spans="1:32" ht="30.75" thickBot="1" x14ac:dyDescent="0.3">
      <c r="A2" s="68"/>
      <c r="B2" s="70"/>
      <c r="C2" s="70"/>
      <c r="D2" s="70"/>
      <c r="E2" s="17" t="s">
        <v>7</v>
      </c>
      <c r="F2" s="18" t="s">
        <v>8</v>
      </c>
      <c r="G2" s="19" t="s">
        <v>9</v>
      </c>
      <c r="H2" s="17" t="s">
        <v>7</v>
      </c>
      <c r="I2" s="18" t="s">
        <v>8</v>
      </c>
      <c r="J2" s="19" t="s">
        <v>9</v>
      </c>
      <c r="K2" s="17" t="s">
        <v>7</v>
      </c>
      <c r="L2" s="18" t="s">
        <v>8</v>
      </c>
      <c r="M2" s="19" t="s">
        <v>9</v>
      </c>
      <c r="N2" s="60" t="s">
        <v>7</v>
      </c>
      <c r="O2" s="61" t="s">
        <v>8</v>
      </c>
      <c r="P2" s="62" t="s">
        <v>9</v>
      </c>
      <c r="Q2" s="17" t="s">
        <v>7</v>
      </c>
      <c r="R2" s="18" t="s">
        <v>8</v>
      </c>
      <c r="S2" s="19" t="s">
        <v>9</v>
      </c>
      <c r="T2" s="36" t="s">
        <v>7</v>
      </c>
      <c r="U2" s="37" t="s">
        <v>8</v>
      </c>
      <c r="V2" s="38" t="s">
        <v>9</v>
      </c>
      <c r="W2" s="17" t="s">
        <v>7</v>
      </c>
      <c r="X2" s="18" t="s">
        <v>8</v>
      </c>
      <c r="Y2" s="19" t="s">
        <v>9</v>
      </c>
      <c r="Z2" s="17" t="s">
        <v>7</v>
      </c>
      <c r="AA2" s="18" t="s">
        <v>8</v>
      </c>
      <c r="AB2" s="19" t="s">
        <v>9</v>
      </c>
      <c r="AC2" s="17" t="s">
        <v>7</v>
      </c>
      <c r="AD2" s="18" t="s">
        <v>8</v>
      </c>
      <c r="AE2" s="19" t="s">
        <v>9</v>
      </c>
      <c r="AF2" s="66"/>
    </row>
    <row r="3" spans="1:32" x14ac:dyDescent="0.25">
      <c r="A3" s="32" t="s">
        <v>0</v>
      </c>
      <c r="B3" s="20">
        <v>5382</v>
      </c>
      <c r="C3" s="21">
        <v>5952</v>
      </c>
      <c r="D3" s="22">
        <v>10</v>
      </c>
      <c r="E3" s="20"/>
      <c r="F3" s="21"/>
      <c r="G3" s="22"/>
      <c r="H3" s="32">
        <v>5382</v>
      </c>
      <c r="I3" s="33">
        <v>5952</v>
      </c>
      <c r="J3" s="34">
        <v>10</v>
      </c>
      <c r="K3" s="6"/>
      <c r="L3" s="3"/>
      <c r="M3" s="7"/>
      <c r="N3" s="6"/>
      <c r="O3" s="3"/>
      <c r="P3" s="7"/>
      <c r="Q3" s="6"/>
      <c r="R3" s="3"/>
      <c r="S3" s="7"/>
      <c r="T3" s="39"/>
      <c r="U3" s="40"/>
      <c r="V3" s="41"/>
      <c r="W3" s="6"/>
      <c r="X3" s="3"/>
      <c r="Y3" s="7"/>
      <c r="Z3" s="6"/>
      <c r="AA3" s="3"/>
      <c r="AB3" s="7"/>
      <c r="AC3" s="6"/>
      <c r="AD3" s="3"/>
      <c r="AE3" s="7"/>
      <c r="AF3" s="8">
        <f>B3-E3-H3-K3-N3-T3-AC3-Q3-W3-Z3</f>
        <v>0</v>
      </c>
    </row>
    <row r="4" spans="1:32" x14ac:dyDescent="0.25">
      <c r="A4" s="56" t="s">
        <v>0</v>
      </c>
      <c r="B4" s="20">
        <v>2622</v>
      </c>
      <c r="C4" s="21">
        <v>3106</v>
      </c>
      <c r="D4" s="22">
        <v>6</v>
      </c>
      <c r="E4" s="20"/>
      <c r="F4" s="21"/>
      <c r="G4" s="22"/>
      <c r="H4" s="4">
        <v>2622</v>
      </c>
      <c r="I4" s="2">
        <v>3106</v>
      </c>
      <c r="J4" s="5">
        <v>6</v>
      </c>
      <c r="K4" s="6"/>
      <c r="L4" s="3"/>
      <c r="M4" s="7"/>
      <c r="N4" s="6"/>
      <c r="O4" s="3"/>
      <c r="P4" s="7"/>
      <c r="Q4" s="6"/>
      <c r="R4" s="3"/>
      <c r="S4" s="7"/>
      <c r="T4" s="39"/>
      <c r="U4" s="40"/>
      <c r="V4" s="41"/>
      <c r="W4" s="6"/>
      <c r="X4" s="3"/>
      <c r="Y4" s="7"/>
      <c r="Z4" s="6"/>
      <c r="AA4" s="3"/>
      <c r="AB4" s="7"/>
      <c r="AC4" s="6"/>
      <c r="AD4" s="3"/>
      <c r="AE4" s="7"/>
      <c r="AF4" s="8">
        <f t="shared" ref="AF4:AF17" si="0">B4-E4-H4-K4-N4-T4-AC4-Q4-W4-Z4</f>
        <v>0</v>
      </c>
    </row>
    <row r="5" spans="1:32" x14ac:dyDescent="0.25">
      <c r="A5" s="29" t="s">
        <v>1</v>
      </c>
      <c r="B5" s="23">
        <v>12408</v>
      </c>
      <c r="C5" s="24">
        <v>13751</v>
      </c>
      <c r="D5" s="25">
        <v>23</v>
      </c>
      <c r="E5" s="29">
        <v>12408</v>
      </c>
      <c r="F5" s="30">
        <v>13751</v>
      </c>
      <c r="G5" s="31">
        <v>23</v>
      </c>
      <c r="H5" s="4"/>
      <c r="I5" s="2"/>
      <c r="J5" s="5"/>
      <c r="K5" s="4"/>
      <c r="L5" s="2"/>
      <c r="M5" s="5"/>
      <c r="N5" s="4"/>
      <c r="O5" s="2"/>
      <c r="P5" s="5"/>
      <c r="Q5" s="4"/>
      <c r="R5" s="2"/>
      <c r="S5" s="5"/>
      <c r="T5" s="42"/>
      <c r="U5" s="43"/>
      <c r="V5" s="44"/>
      <c r="W5" s="4"/>
      <c r="X5" s="2"/>
      <c r="Y5" s="5"/>
      <c r="Z5" s="4"/>
      <c r="AA5" s="2"/>
      <c r="AB5" s="5"/>
      <c r="AC5" s="4"/>
      <c r="AD5" s="2"/>
      <c r="AE5" s="5"/>
      <c r="AF5" s="8">
        <f t="shared" si="0"/>
        <v>0</v>
      </c>
    </row>
    <row r="6" spans="1:32" x14ac:dyDescent="0.25">
      <c r="A6" s="55" t="s">
        <v>1</v>
      </c>
      <c r="B6" s="23">
        <v>36639</v>
      </c>
      <c r="C6" s="24">
        <v>41408</v>
      </c>
      <c r="D6" s="25">
        <v>69</v>
      </c>
      <c r="E6" s="23"/>
      <c r="F6" s="24"/>
      <c r="G6" s="25"/>
      <c r="H6" s="4"/>
      <c r="I6" s="2"/>
      <c r="J6" s="5"/>
      <c r="K6" s="4"/>
      <c r="L6" s="2"/>
      <c r="M6" s="5"/>
      <c r="N6" s="4"/>
      <c r="O6" s="2"/>
      <c r="P6" s="5"/>
      <c r="Q6" s="4">
        <v>17472</v>
      </c>
      <c r="R6" s="2">
        <v>19816</v>
      </c>
      <c r="S6" s="5">
        <v>33</v>
      </c>
      <c r="T6" s="42"/>
      <c r="U6" s="43"/>
      <c r="V6" s="44"/>
      <c r="W6" s="4"/>
      <c r="X6" s="2"/>
      <c r="Y6" s="5"/>
      <c r="Z6" s="4">
        <v>1600</v>
      </c>
      <c r="AA6" s="2">
        <v>1771</v>
      </c>
      <c r="AB6" s="5">
        <v>3</v>
      </c>
      <c r="AC6" s="4">
        <v>17567</v>
      </c>
      <c r="AD6" s="2">
        <v>19821</v>
      </c>
      <c r="AE6" s="5">
        <v>33</v>
      </c>
      <c r="AF6" s="8">
        <f t="shared" si="0"/>
        <v>0</v>
      </c>
    </row>
    <row r="7" spans="1:32" x14ac:dyDescent="0.25">
      <c r="A7" s="29" t="s">
        <v>2</v>
      </c>
      <c r="B7" s="23">
        <v>23512</v>
      </c>
      <c r="C7" s="24">
        <v>26048</v>
      </c>
      <c r="D7" s="25">
        <v>42</v>
      </c>
      <c r="E7" s="23"/>
      <c r="F7" s="24"/>
      <c r="G7" s="25"/>
      <c r="H7" s="4"/>
      <c r="I7" s="2"/>
      <c r="J7" s="5"/>
      <c r="K7" s="29">
        <v>15480</v>
      </c>
      <c r="L7" s="30">
        <v>17105</v>
      </c>
      <c r="M7" s="31">
        <v>28</v>
      </c>
      <c r="N7" s="4"/>
      <c r="O7" s="2"/>
      <c r="P7" s="5"/>
      <c r="Q7" s="4"/>
      <c r="R7" s="2"/>
      <c r="S7" s="5"/>
      <c r="T7" s="42">
        <v>8032</v>
      </c>
      <c r="U7" s="43">
        <v>8943</v>
      </c>
      <c r="V7" s="44">
        <v>14</v>
      </c>
      <c r="W7" s="4"/>
      <c r="X7" s="2"/>
      <c r="Y7" s="5"/>
      <c r="Z7" s="4"/>
      <c r="AA7" s="2"/>
      <c r="AB7" s="5"/>
      <c r="AC7" s="4"/>
      <c r="AD7" s="2"/>
      <c r="AE7" s="5"/>
      <c r="AF7" s="8">
        <f t="shared" si="0"/>
        <v>0</v>
      </c>
    </row>
    <row r="8" spans="1:32" x14ac:dyDescent="0.25">
      <c r="A8" s="58" t="s">
        <v>2</v>
      </c>
      <c r="B8" s="23">
        <v>10829</v>
      </c>
      <c r="C8" s="24">
        <v>12057</v>
      </c>
      <c r="D8" s="25">
        <v>19</v>
      </c>
      <c r="E8" s="23"/>
      <c r="F8" s="24"/>
      <c r="G8" s="25"/>
      <c r="H8" s="4"/>
      <c r="I8" s="2"/>
      <c r="J8" s="5"/>
      <c r="K8" s="4">
        <v>2267</v>
      </c>
      <c r="L8" s="2">
        <v>2673</v>
      </c>
      <c r="M8" s="5">
        <v>5</v>
      </c>
      <c r="N8" s="4"/>
      <c r="O8" s="2"/>
      <c r="P8" s="5"/>
      <c r="Q8" s="4"/>
      <c r="R8" s="2"/>
      <c r="S8" s="5"/>
      <c r="T8" s="42"/>
      <c r="U8" s="43"/>
      <c r="V8" s="44"/>
      <c r="W8" s="4">
        <v>8562</v>
      </c>
      <c r="X8" s="2">
        <v>9384</v>
      </c>
      <c r="Y8" s="5">
        <v>14</v>
      </c>
      <c r="Z8" s="4"/>
      <c r="AA8" s="2"/>
      <c r="AB8" s="5"/>
      <c r="AC8" s="4"/>
      <c r="AD8" s="2"/>
      <c r="AE8" s="5"/>
      <c r="AF8" s="8">
        <f t="shared" si="0"/>
        <v>0</v>
      </c>
    </row>
    <row r="9" spans="1:32" x14ac:dyDescent="0.25">
      <c r="A9" s="29" t="s">
        <v>3</v>
      </c>
      <c r="B9" s="23">
        <v>5424</v>
      </c>
      <c r="C9" s="24">
        <v>5990</v>
      </c>
      <c r="D9" s="25">
        <v>10</v>
      </c>
      <c r="E9" s="23"/>
      <c r="F9" s="24"/>
      <c r="G9" s="25"/>
      <c r="H9" s="29">
        <v>5424</v>
      </c>
      <c r="I9" s="30">
        <v>5990</v>
      </c>
      <c r="J9" s="31">
        <v>10</v>
      </c>
      <c r="K9" s="4"/>
      <c r="L9" s="2"/>
      <c r="M9" s="5"/>
      <c r="N9" s="51"/>
      <c r="O9" s="52"/>
      <c r="P9" s="53"/>
      <c r="Q9" s="4"/>
      <c r="R9" s="2"/>
      <c r="S9" s="5"/>
      <c r="T9" s="42"/>
      <c r="U9" s="43"/>
      <c r="V9" s="44"/>
      <c r="W9" s="4"/>
      <c r="X9" s="2"/>
      <c r="Y9" s="5"/>
      <c r="Z9" s="4"/>
      <c r="AA9" s="2"/>
      <c r="AB9" s="5"/>
      <c r="AC9" s="4"/>
      <c r="AD9" s="2"/>
      <c r="AE9" s="5"/>
      <c r="AF9" s="8">
        <f t="shared" si="0"/>
        <v>0</v>
      </c>
    </row>
    <row r="10" spans="1:32" x14ac:dyDescent="0.25">
      <c r="A10" s="57" t="s">
        <v>3</v>
      </c>
      <c r="B10" s="23">
        <v>4184</v>
      </c>
      <c r="C10" s="24">
        <v>4702</v>
      </c>
      <c r="D10" s="25">
        <v>8</v>
      </c>
      <c r="E10" s="23"/>
      <c r="F10" s="24"/>
      <c r="G10" s="25"/>
      <c r="H10" s="23">
        <v>4184</v>
      </c>
      <c r="I10" s="24">
        <v>4702</v>
      </c>
      <c r="J10" s="25">
        <v>8</v>
      </c>
      <c r="K10" s="4"/>
      <c r="L10" s="2"/>
      <c r="M10" s="5"/>
      <c r="N10" s="4"/>
      <c r="O10" s="2"/>
      <c r="P10" s="5"/>
      <c r="Q10" s="4"/>
      <c r="R10" s="2"/>
      <c r="S10" s="5"/>
      <c r="T10" s="42"/>
      <c r="U10" s="43"/>
      <c r="V10" s="44"/>
      <c r="W10" s="4"/>
      <c r="X10" s="2"/>
      <c r="Y10" s="5"/>
      <c r="Z10" s="4"/>
      <c r="AA10" s="2"/>
      <c r="AB10" s="5"/>
      <c r="AC10" s="4"/>
      <c r="AD10" s="2"/>
      <c r="AE10" s="5"/>
      <c r="AF10" s="8">
        <f t="shared" si="0"/>
        <v>0</v>
      </c>
    </row>
    <row r="11" spans="1:32" x14ac:dyDescent="0.25">
      <c r="A11" s="29" t="s">
        <v>16</v>
      </c>
      <c r="B11" s="23">
        <v>1414</v>
      </c>
      <c r="C11" s="24">
        <v>1623</v>
      </c>
      <c r="D11" s="25">
        <v>3</v>
      </c>
      <c r="E11" s="29">
        <v>1414</v>
      </c>
      <c r="F11" s="30">
        <v>1623</v>
      </c>
      <c r="G11" s="31">
        <v>3</v>
      </c>
      <c r="H11" s="4"/>
      <c r="I11" s="2"/>
      <c r="J11" s="5"/>
      <c r="K11" s="4"/>
      <c r="L11" s="2"/>
      <c r="M11" s="5"/>
      <c r="N11" s="4"/>
      <c r="O11" s="2"/>
      <c r="P11" s="5"/>
      <c r="Q11" s="4"/>
      <c r="R11" s="2"/>
      <c r="S11" s="5"/>
      <c r="T11" s="42"/>
      <c r="U11" s="43"/>
      <c r="V11" s="44"/>
      <c r="W11" s="4"/>
      <c r="X11" s="2"/>
      <c r="Y11" s="5"/>
      <c r="Z11" s="4"/>
      <c r="AA11" s="2"/>
      <c r="AB11" s="5"/>
      <c r="AC11" s="4"/>
      <c r="AD11" s="2"/>
      <c r="AE11" s="5"/>
      <c r="AF11" s="8">
        <f t="shared" si="0"/>
        <v>0</v>
      </c>
    </row>
    <row r="12" spans="1:32" x14ac:dyDescent="0.25">
      <c r="A12" s="29" t="s">
        <v>17</v>
      </c>
      <c r="B12" s="23">
        <v>4000</v>
      </c>
      <c r="C12" s="24">
        <v>4399</v>
      </c>
      <c r="D12" s="25">
        <v>7</v>
      </c>
      <c r="E12" s="29">
        <v>4000</v>
      </c>
      <c r="F12" s="30">
        <v>4399</v>
      </c>
      <c r="G12" s="31">
        <v>7</v>
      </c>
      <c r="H12" s="4"/>
      <c r="I12" s="2"/>
      <c r="J12" s="5"/>
      <c r="K12" s="4"/>
      <c r="L12" s="2"/>
      <c r="M12" s="5"/>
      <c r="N12" s="4"/>
      <c r="O12" s="2"/>
      <c r="P12" s="5"/>
      <c r="Q12" s="4"/>
      <c r="R12" s="2"/>
      <c r="S12" s="5"/>
      <c r="T12" s="42"/>
      <c r="U12" s="43"/>
      <c r="V12" s="44"/>
      <c r="W12" s="4"/>
      <c r="X12" s="2"/>
      <c r="Y12" s="5"/>
      <c r="Z12" s="4"/>
      <c r="AA12" s="2"/>
      <c r="AB12" s="5"/>
      <c r="AC12" s="4"/>
      <c r="AD12" s="2"/>
      <c r="AE12" s="5"/>
      <c r="AF12" s="8">
        <f t="shared" si="0"/>
        <v>0</v>
      </c>
    </row>
    <row r="13" spans="1:32" x14ac:dyDescent="0.25">
      <c r="A13" s="54" t="s">
        <v>25</v>
      </c>
      <c r="B13" s="26">
        <v>2373</v>
      </c>
      <c r="C13" s="27">
        <v>2928</v>
      </c>
      <c r="D13" s="28">
        <v>6</v>
      </c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9"/>
      <c r="R13" s="10"/>
      <c r="S13" s="11"/>
      <c r="T13" s="45"/>
      <c r="U13" s="46"/>
      <c r="V13" s="47"/>
      <c r="W13" s="9"/>
      <c r="X13" s="10"/>
      <c r="Y13" s="11"/>
      <c r="Z13" s="26">
        <v>2373</v>
      </c>
      <c r="AA13" s="27">
        <v>2928</v>
      </c>
      <c r="AB13" s="28">
        <v>6</v>
      </c>
      <c r="AC13" s="9"/>
      <c r="AD13" s="10"/>
      <c r="AE13" s="11"/>
      <c r="AF13" s="8">
        <f t="shared" si="0"/>
        <v>0</v>
      </c>
    </row>
    <row r="14" spans="1:32" x14ac:dyDescent="0.25">
      <c r="A14" s="9" t="s">
        <v>11</v>
      </c>
      <c r="B14" s="45">
        <v>1104</v>
      </c>
      <c r="C14" s="46">
        <v>1208</v>
      </c>
      <c r="D14" s="47">
        <v>2</v>
      </c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9"/>
      <c r="R14" s="10"/>
      <c r="S14" s="11"/>
      <c r="T14" s="45">
        <v>1104</v>
      </c>
      <c r="U14" s="46">
        <v>1208</v>
      </c>
      <c r="V14" s="47">
        <v>2</v>
      </c>
      <c r="W14" s="9"/>
      <c r="X14" s="10"/>
      <c r="Y14" s="11"/>
      <c r="Z14" s="9"/>
      <c r="AA14" s="10"/>
      <c r="AB14" s="11"/>
      <c r="AC14" s="9"/>
      <c r="AD14" s="10"/>
      <c r="AE14" s="11"/>
      <c r="AF14" s="8">
        <f t="shared" si="0"/>
        <v>0</v>
      </c>
    </row>
    <row r="15" spans="1:32" x14ac:dyDescent="0.25">
      <c r="A15" s="9" t="s">
        <v>12</v>
      </c>
      <c r="B15" s="42">
        <v>8809</v>
      </c>
      <c r="C15" s="43">
        <v>9597</v>
      </c>
      <c r="D15" s="44">
        <v>15</v>
      </c>
      <c r="E15" s="23"/>
      <c r="F15" s="24"/>
      <c r="G15" s="25"/>
      <c r="H15" s="4"/>
      <c r="I15" s="2"/>
      <c r="J15" s="5"/>
      <c r="K15" s="9"/>
      <c r="L15" s="10"/>
      <c r="M15" s="11"/>
      <c r="N15" s="9"/>
      <c r="O15" s="10"/>
      <c r="P15" s="11"/>
      <c r="Q15" s="9"/>
      <c r="R15" s="10"/>
      <c r="S15" s="11"/>
      <c r="T15" s="45">
        <v>8809</v>
      </c>
      <c r="U15" s="46">
        <v>9597</v>
      </c>
      <c r="V15" s="47">
        <v>15</v>
      </c>
      <c r="W15" s="9"/>
      <c r="X15" s="10"/>
      <c r="Y15" s="11"/>
      <c r="Z15" s="9"/>
      <c r="AA15" s="10"/>
      <c r="AB15" s="11"/>
      <c r="AC15" s="9"/>
      <c r="AD15" s="10"/>
      <c r="AE15" s="11"/>
      <c r="AF15" s="8">
        <f t="shared" si="0"/>
        <v>0</v>
      </c>
    </row>
    <row r="16" spans="1:32" x14ac:dyDescent="0.25">
      <c r="A16" s="59" t="s">
        <v>24</v>
      </c>
      <c r="B16" s="26">
        <v>9497</v>
      </c>
      <c r="C16" s="27">
        <v>10359</v>
      </c>
      <c r="D16" s="28">
        <v>16</v>
      </c>
      <c r="E16" s="26"/>
      <c r="F16" s="27"/>
      <c r="G16" s="28"/>
      <c r="H16" s="9"/>
      <c r="I16" s="10"/>
      <c r="J16" s="11"/>
      <c r="K16" s="9"/>
      <c r="L16" s="10"/>
      <c r="M16" s="11"/>
      <c r="N16" s="9"/>
      <c r="O16" s="10"/>
      <c r="P16" s="11"/>
      <c r="Q16" s="9"/>
      <c r="R16" s="10"/>
      <c r="S16" s="11"/>
      <c r="T16" s="45"/>
      <c r="U16" s="46"/>
      <c r="V16" s="47"/>
      <c r="W16" s="26">
        <v>9497</v>
      </c>
      <c r="X16" s="27">
        <v>10359</v>
      </c>
      <c r="Y16" s="28">
        <v>16</v>
      </c>
      <c r="Z16" s="26"/>
      <c r="AA16" s="27"/>
      <c r="AB16" s="28"/>
      <c r="AC16" s="9"/>
      <c r="AD16" s="10"/>
      <c r="AE16" s="11"/>
      <c r="AF16" s="8">
        <f t="shared" si="0"/>
        <v>0</v>
      </c>
    </row>
    <row r="17" spans="1:32" ht="15.75" thickBot="1" x14ac:dyDescent="0.3">
      <c r="A17" s="54" t="s">
        <v>10</v>
      </c>
      <c r="B17" s="26">
        <v>13709</v>
      </c>
      <c r="C17" s="27">
        <v>15063</v>
      </c>
      <c r="D17" s="28">
        <v>23</v>
      </c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9"/>
      <c r="R17" s="10"/>
      <c r="S17" s="11"/>
      <c r="T17" s="45"/>
      <c r="U17" s="46"/>
      <c r="V17" s="47"/>
      <c r="W17" s="9"/>
      <c r="X17" s="10"/>
      <c r="Y17" s="11"/>
      <c r="Z17" s="26">
        <v>13709</v>
      </c>
      <c r="AA17" s="27">
        <v>15063</v>
      </c>
      <c r="AB17" s="28">
        <v>23</v>
      </c>
      <c r="AC17" s="9"/>
      <c r="AD17" s="10"/>
      <c r="AE17" s="11"/>
      <c r="AF17" s="8">
        <f t="shared" si="0"/>
        <v>0</v>
      </c>
    </row>
    <row r="18" spans="1:32" s="1" customFormat="1" ht="15.75" thickBot="1" x14ac:dyDescent="0.3">
      <c r="A18" s="12" t="s">
        <v>6</v>
      </c>
      <c r="B18" s="13">
        <f t="shared" ref="B18:AF18" si="1">SUM(B3:B17)</f>
        <v>141906</v>
      </c>
      <c r="C18" s="13">
        <f t="shared" si="1"/>
        <v>158191</v>
      </c>
      <c r="D18" s="13">
        <f t="shared" si="1"/>
        <v>259</v>
      </c>
      <c r="E18" s="12">
        <f t="shared" si="1"/>
        <v>17822</v>
      </c>
      <c r="F18" s="14">
        <f t="shared" si="1"/>
        <v>19773</v>
      </c>
      <c r="G18" s="15">
        <f t="shared" si="1"/>
        <v>33</v>
      </c>
      <c r="H18" s="12">
        <f t="shared" si="1"/>
        <v>17612</v>
      </c>
      <c r="I18" s="14">
        <f t="shared" si="1"/>
        <v>19750</v>
      </c>
      <c r="J18" s="15">
        <f t="shared" si="1"/>
        <v>34</v>
      </c>
      <c r="K18" s="12">
        <f t="shared" si="1"/>
        <v>17747</v>
      </c>
      <c r="L18" s="14">
        <f t="shared" si="1"/>
        <v>19778</v>
      </c>
      <c r="M18" s="15">
        <f t="shared" si="1"/>
        <v>33</v>
      </c>
      <c r="N18" s="12">
        <f t="shared" si="1"/>
        <v>0</v>
      </c>
      <c r="O18" s="14">
        <f t="shared" si="1"/>
        <v>0</v>
      </c>
      <c r="P18" s="15">
        <f t="shared" si="1"/>
        <v>0</v>
      </c>
      <c r="Q18" s="12">
        <f t="shared" si="1"/>
        <v>17472</v>
      </c>
      <c r="R18" s="14">
        <f t="shared" si="1"/>
        <v>19816</v>
      </c>
      <c r="S18" s="15">
        <f t="shared" si="1"/>
        <v>33</v>
      </c>
      <c r="T18" s="48">
        <f t="shared" si="1"/>
        <v>17945</v>
      </c>
      <c r="U18" s="49">
        <f t="shared" si="1"/>
        <v>19748</v>
      </c>
      <c r="V18" s="50">
        <f t="shared" si="1"/>
        <v>31</v>
      </c>
      <c r="W18" s="12">
        <f t="shared" si="1"/>
        <v>18059</v>
      </c>
      <c r="X18" s="14">
        <f t="shared" si="1"/>
        <v>19743</v>
      </c>
      <c r="Y18" s="15">
        <f t="shared" si="1"/>
        <v>30</v>
      </c>
      <c r="Z18" s="12">
        <f t="shared" si="1"/>
        <v>17682</v>
      </c>
      <c r="AA18" s="14">
        <f t="shared" si="1"/>
        <v>19762</v>
      </c>
      <c r="AB18" s="15">
        <f t="shared" si="1"/>
        <v>32</v>
      </c>
      <c r="AC18" s="12">
        <f t="shared" si="1"/>
        <v>17567</v>
      </c>
      <c r="AD18" s="14">
        <f t="shared" si="1"/>
        <v>19821</v>
      </c>
      <c r="AE18" s="15">
        <f t="shared" si="1"/>
        <v>33</v>
      </c>
      <c r="AF18" s="16">
        <f t="shared" si="1"/>
        <v>0</v>
      </c>
    </row>
    <row r="19" spans="1:32" x14ac:dyDescent="0.25">
      <c r="E19" s="63" t="s">
        <v>30</v>
      </c>
      <c r="H19" s="64" t="s">
        <v>31</v>
      </c>
      <c r="K19" t="s">
        <v>31</v>
      </c>
      <c r="Q19" t="s">
        <v>31</v>
      </c>
      <c r="T19" t="s">
        <v>31</v>
      </c>
      <c r="W19" t="s">
        <v>31</v>
      </c>
      <c r="Z19" t="s">
        <v>30</v>
      </c>
    </row>
    <row r="20" spans="1:32" x14ac:dyDescent="0.25">
      <c r="W20">
        <v>6</v>
      </c>
      <c r="Z20">
        <v>7</v>
      </c>
      <c r="AC20">
        <v>8</v>
      </c>
    </row>
    <row r="22" spans="1:32" x14ac:dyDescent="0.25">
      <c r="A22" s="35" t="s">
        <v>23</v>
      </c>
    </row>
  </sheetData>
  <mergeCells count="14">
    <mergeCell ref="AF1:AF2"/>
    <mergeCell ref="A1:A2"/>
    <mergeCell ref="B1:B2"/>
    <mergeCell ref="E1:G1"/>
    <mergeCell ref="H1:J1"/>
    <mergeCell ref="K1:M1"/>
    <mergeCell ref="AC1:AE1"/>
    <mergeCell ref="C1:C2"/>
    <mergeCell ref="D1:D2"/>
    <mergeCell ref="N1:P1"/>
    <mergeCell ref="T1:V1"/>
    <mergeCell ref="W1:Y1"/>
    <mergeCell ref="Q1:S1"/>
    <mergeCell ref="Z1:AB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2026-07-29T10:53:01Z</dcterms:modified>
</cp:coreProperties>
</file>