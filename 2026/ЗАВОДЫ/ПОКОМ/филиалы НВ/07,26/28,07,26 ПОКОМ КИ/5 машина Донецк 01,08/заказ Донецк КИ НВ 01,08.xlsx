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17C14CA-87B7-4184-B5D7-6572B05439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Y378" i="1" s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Y323" i="1" s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Y278" i="1" s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Y262" i="1" s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Y252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Y246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Y189" i="1" s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Y159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Y125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X554" i="1" s="1"/>
  <c r="BP23" i="1"/>
  <c r="BO23" i="1"/>
  <c r="BN23" i="1"/>
  <c r="BM23" i="1"/>
  <c r="Z23" i="1"/>
  <c r="Y23" i="1"/>
  <c r="P23" i="1"/>
  <c r="BO22" i="1"/>
  <c r="X552" i="1" s="1"/>
  <c r="BM22" i="1"/>
  <c r="X551" i="1" s="1"/>
  <c r="X553" i="1" s="1"/>
  <c r="Y22" i="1"/>
  <c r="B560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60" i="1"/>
  <c r="Z42" i="1"/>
  <c r="BN42" i="1"/>
  <c r="BP42" i="1"/>
  <c r="Z44" i="1"/>
  <c r="Z46" i="1" s="1"/>
  <c r="BN44" i="1"/>
  <c r="Y47" i="1"/>
  <c r="D560" i="1"/>
  <c r="Z52" i="1"/>
  <c r="Z55" i="1" s="1"/>
  <c r="BN52" i="1"/>
  <c r="BP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Z92" i="1" s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BP113" i="1"/>
  <c r="Z115" i="1"/>
  <c r="Z117" i="1" s="1"/>
  <c r="BN115" i="1"/>
  <c r="Z121" i="1"/>
  <c r="Z124" i="1" s="1"/>
  <c r="BN121" i="1"/>
  <c r="BP121" i="1"/>
  <c r="Z123" i="1"/>
  <c r="BN123" i="1"/>
  <c r="Z127" i="1"/>
  <c r="Z128" i="1" s="1"/>
  <c r="BN127" i="1"/>
  <c r="BP127" i="1"/>
  <c r="Y128" i="1"/>
  <c r="Z132" i="1"/>
  <c r="BN132" i="1"/>
  <c r="Z134" i="1"/>
  <c r="BN134" i="1"/>
  <c r="BP140" i="1"/>
  <c r="BN140" i="1"/>
  <c r="Z140" i="1"/>
  <c r="BP148" i="1"/>
  <c r="BN148" i="1"/>
  <c r="Z148" i="1"/>
  <c r="BP157" i="1"/>
  <c r="BN157" i="1"/>
  <c r="Z157" i="1"/>
  <c r="Y162" i="1"/>
  <c r="BP161" i="1"/>
  <c r="BN161" i="1"/>
  <c r="Z161" i="1"/>
  <c r="Z162" i="1" s="1"/>
  <c r="Y163" i="1"/>
  <c r="J560" i="1"/>
  <c r="Y169" i="1"/>
  <c r="BP166" i="1"/>
  <c r="BN166" i="1"/>
  <c r="Z166" i="1"/>
  <c r="Y174" i="1"/>
  <c r="BP179" i="1"/>
  <c r="BN179" i="1"/>
  <c r="Z179" i="1"/>
  <c r="BP183" i="1"/>
  <c r="BN183" i="1"/>
  <c r="Z183" i="1"/>
  <c r="BP187" i="1"/>
  <c r="BN187" i="1"/>
  <c r="Z187" i="1"/>
  <c r="Y194" i="1"/>
  <c r="BP191" i="1"/>
  <c r="BN191" i="1"/>
  <c r="Z191" i="1"/>
  <c r="BP209" i="1"/>
  <c r="BN209" i="1"/>
  <c r="Z209" i="1"/>
  <c r="BP213" i="1"/>
  <c r="BN213" i="1"/>
  <c r="Z213" i="1"/>
  <c r="Z215" i="1" s="1"/>
  <c r="Y237" i="1"/>
  <c r="BP226" i="1"/>
  <c r="BN226" i="1"/>
  <c r="Z226" i="1"/>
  <c r="BP230" i="1"/>
  <c r="BN230" i="1"/>
  <c r="Z230" i="1"/>
  <c r="Z447" i="1"/>
  <c r="H9" i="1"/>
  <c r="Y24" i="1"/>
  <c r="Y67" i="1"/>
  <c r="Y92" i="1"/>
  <c r="Y109" i="1"/>
  <c r="H560" i="1"/>
  <c r="Y137" i="1"/>
  <c r="Y136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Y238" i="1"/>
  <c r="BP224" i="1"/>
  <c r="BN224" i="1"/>
  <c r="Z224" i="1"/>
  <c r="Z237" i="1" s="1"/>
  <c r="BP228" i="1"/>
  <c r="BN228" i="1"/>
  <c r="Z228" i="1"/>
  <c r="BP232" i="1"/>
  <c r="BN232" i="1"/>
  <c r="Z232" i="1"/>
  <c r="I560" i="1"/>
  <c r="Y158" i="1"/>
  <c r="K560" i="1"/>
  <c r="Y216" i="1"/>
  <c r="L560" i="1"/>
  <c r="Y221" i="1"/>
  <c r="Z234" i="1"/>
  <c r="BN234" i="1"/>
  <c r="Z236" i="1"/>
  <c r="BN236" i="1"/>
  <c r="Z240" i="1"/>
  <c r="Z245" i="1" s="1"/>
  <c r="BN240" i="1"/>
  <c r="BP240" i="1"/>
  <c r="Z242" i="1"/>
  <c r="BN242" i="1"/>
  <c r="Z244" i="1"/>
  <c r="BN244" i="1"/>
  <c r="Y245" i="1"/>
  <c r="Z248" i="1"/>
  <c r="Z251" i="1" s="1"/>
  <c r="BN248" i="1"/>
  <c r="BP248" i="1"/>
  <c r="Z250" i="1"/>
  <c r="BN250" i="1"/>
  <c r="Y251" i="1"/>
  <c r="Z254" i="1"/>
  <c r="Z255" i="1" s="1"/>
  <c r="BN254" i="1"/>
  <c r="BP254" i="1"/>
  <c r="Y255" i="1"/>
  <c r="Z259" i="1"/>
  <c r="Z261" i="1" s="1"/>
  <c r="BN259" i="1"/>
  <c r="BP259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Y436" i="1"/>
  <c r="BP469" i="1"/>
  <c r="BN469" i="1"/>
  <c r="Z469" i="1"/>
  <c r="BP473" i="1"/>
  <c r="BN473" i="1"/>
  <c r="Z473" i="1"/>
  <c r="Z474" i="1" s="1"/>
  <c r="Y475" i="1"/>
  <c r="Y480" i="1"/>
  <c r="BP477" i="1"/>
  <c r="BN477" i="1"/>
  <c r="Z477" i="1"/>
  <c r="Z479" i="1" s="1"/>
  <c r="Y479" i="1"/>
  <c r="O560" i="1"/>
  <c r="M560" i="1"/>
  <c r="Y261" i="1"/>
  <c r="BP270" i="1"/>
  <c r="BN270" i="1"/>
  <c r="Z270" i="1"/>
  <c r="Z277" i="1" s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Z368" i="1"/>
  <c r="BP364" i="1"/>
  <c r="BN364" i="1"/>
  <c r="Z364" i="1"/>
  <c r="Y368" i="1"/>
  <c r="BP372" i="1"/>
  <c r="BN372" i="1"/>
  <c r="Z372" i="1"/>
  <c r="Z378" i="1" s="1"/>
  <c r="BP376" i="1"/>
  <c r="BN376" i="1"/>
  <c r="Z376" i="1"/>
  <c r="BP384" i="1"/>
  <c r="BN384" i="1"/>
  <c r="Z384" i="1"/>
  <c r="Y386" i="1"/>
  <c r="Y391" i="1"/>
  <c r="BP388" i="1"/>
  <c r="BN388" i="1"/>
  <c r="Z388" i="1"/>
  <c r="BP396" i="1"/>
  <c r="BN396" i="1"/>
  <c r="Z396" i="1"/>
  <c r="BP446" i="1"/>
  <c r="BN446" i="1"/>
  <c r="Z446" i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Z463" i="1"/>
  <c r="BP461" i="1"/>
  <c r="BN461" i="1"/>
  <c r="Z461" i="1"/>
  <c r="BP496" i="1"/>
  <c r="BN496" i="1"/>
  <c r="Z496" i="1"/>
  <c r="BP500" i="1"/>
  <c r="BN500" i="1"/>
  <c r="Z500" i="1"/>
  <c r="Z504" i="1" s="1"/>
  <c r="Y504" i="1"/>
  <c r="Z510" i="1"/>
  <c r="BP508" i="1"/>
  <c r="BN508" i="1"/>
  <c r="Z508" i="1"/>
  <c r="Y51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308" i="1" l="1"/>
  <c r="Z188" i="1"/>
  <c r="Y554" i="1"/>
  <c r="Y550" i="1"/>
  <c r="Y551" i="1"/>
  <c r="Z404" i="1"/>
  <c r="Z391" i="1"/>
  <c r="Z347" i="1"/>
  <c r="Z322" i="1"/>
  <c r="Z430" i="1"/>
  <c r="Z410" i="1"/>
  <c r="Z398" i="1"/>
  <c r="Z385" i="1"/>
  <c r="Z331" i="1"/>
  <c r="Z292" i="1"/>
  <c r="Z194" i="1"/>
  <c r="Z169" i="1"/>
  <c r="Z143" i="1"/>
  <c r="Z136" i="1"/>
  <c r="Z555" i="1" s="1"/>
  <c r="Z109" i="1"/>
  <c r="Y552" i="1"/>
  <c r="Y553" i="1" l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<sst xmlns="http://schemas.openxmlformats.org/spreadsheetml/2006/main" count="2500" uniqueCount="907">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</sst>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23</v>
      </c>
      <c r="Y30" s="628">
        <f>IFERROR(IF(X30="",0,CEILING((X30/$H30),1)*$H30),"")</f>
        <v>23.400000000000002</v>
      </c>
      <c r="Z30" s="36">
        <f>IFERROR(IF(Y30=0,"",ROUNDUP(Y30/H30,0)*0.00651),"")</f>
        <v>8.4629999999999997E-2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40.633333333333333</v>
      </c>
      <c r="BN30" s="64">
        <f>IFERROR(Y30*I30/H30,"0")</f>
        <v>41.34</v>
      </c>
      <c r="BO30" s="64">
        <f>IFERROR(1/J30*(X30/H30),"0")</f>
        <v>7.0207570207570208E-2</v>
      </c>
      <c r="BP30" s="64">
        <f>IFERROR(1/J30*(Y30/H30),"0")</f>
        <v>7.1428571428571438E-2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12.777777777777777</v>
      </c>
      <c r="Y32" s="629">
        <f>IFERROR(Y27/H27,"0")+IFERROR(Y28/H28,"0")+IFERROR(Y29/H29,"0")+IFERROR(Y30/H30,"0")+IFERROR(Y31/H31,"0")</f>
        <v>13</v>
      </c>
      <c r="Z32" s="629">
        <f>IFERROR(IF(Z27="",0,Z27),"0")+IFERROR(IF(Z28="",0,Z28),"0")+IFERROR(IF(Z29="",0,Z29),"0")+IFERROR(IF(Z30="",0,Z30),"0")+IFERROR(IF(Z31="",0,Z31),"0")</f>
        <v>8.4629999999999997E-2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23</v>
      </c>
      <c r="Y33" s="629">
        <f>IFERROR(SUM(Y27:Y31),"0")</f>
        <v>23.400000000000002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725</v>
      </c>
      <c r="Y51" s="628">
        <f>IFERROR(IF(X51="",0,CEILING((X51/$H51),1)*$H51),"")</f>
        <v>734.40000000000009</v>
      </c>
      <c r="Z51" s="36">
        <f>IFERROR(IF(Y51=0,"",ROUNDUP(Y51/H51,0)*0.01898),"")</f>
        <v>1.29064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752.52314814814815</v>
      </c>
      <c r="BN51" s="64">
        <f>IFERROR(Y51*I51/H51,"0")</f>
        <v>762.28000000000009</v>
      </c>
      <c r="BO51" s="64">
        <f>IFERROR(1/J51*(X51/H51),"0")</f>
        <v>1.0489004629629628</v>
      </c>
      <c r="BP51" s="64">
        <f>IFERROR(1/J51*(Y51/H51),"0")</f>
        <v>1.0625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5</v>
      </c>
      <c r="Y53" s="628">
        <f>IFERROR(IF(X53="",0,CEILING((X53/$H53),1)*$H53),"")</f>
        <v>8</v>
      </c>
      <c r="Z53" s="36">
        <f>IFERROR(IF(Y53=0,"",ROUNDUP(Y53/H53,0)*0.00902),"")</f>
        <v>1.804E-2</v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5.2375000000000007</v>
      </c>
      <c r="BN53" s="64">
        <f>IFERROR(Y53*I53/H53,"0")</f>
        <v>8.3800000000000008</v>
      </c>
      <c r="BO53" s="64">
        <f>IFERROR(1/J53*(X53/H53),"0")</f>
        <v>9.46969696969697E-3</v>
      </c>
      <c r="BP53" s="64">
        <f>IFERROR(1/J53*(Y53/H53),"0")</f>
        <v>1.5151515151515152E-2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23</v>
      </c>
      <c r="Y54" s="628">
        <f>IFERROR(IF(X54="",0,CEILING((X54/$H54),1)*$H54),"")</f>
        <v>25.900000000000002</v>
      </c>
      <c r="Z54" s="36">
        <f>IFERROR(IF(Y54=0,"",ROUNDUP(Y54/H54,0)*0.00902),"")</f>
        <v>6.3140000000000002E-2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24.181081081081079</v>
      </c>
      <c r="BN54" s="64">
        <f>IFERROR(Y54*I54/H54,"0")</f>
        <v>27.23</v>
      </c>
      <c r="BO54" s="64">
        <f>IFERROR(1/J54*(X54/H54),"0")</f>
        <v>4.7092547092547093E-2</v>
      </c>
      <c r="BP54" s="64">
        <f>IFERROR(1/J54*(Y54/H54),"0")</f>
        <v>5.3030303030303032E-2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74.59584584584583</v>
      </c>
      <c r="Y55" s="629">
        <f>IFERROR(Y51/H51,"0")+IFERROR(Y52/H52,"0")+IFERROR(Y53/H53,"0")+IFERROR(Y54/H54,"0")</f>
        <v>77</v>
      </c>
      <c r="Z55" s="629">
        <f>IFERROR(IF(Z51="",0,Z51),"0")+IFERROR(IF(Z52="",0,Z52),"0")+IFERROR(IF(Z53="",0,Z53),"0")+IFERROR(IF(Z54="",0,Z54),"0")</f>
        <v>1.37182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753</v>
      </c>
      <c r="Y56" s="629">
        <f>IFERROR(SUM(Y51:Y54),"0")</f>
        <v>768.30000000000007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92</v>
      </c>
      <c r="Y59" s="628">
        <f t="shared" ref="Y59:Y66" si="0">IFERROR(IF(X59="",0,CEILING((X59/$H59),1)*$H59),"")</f>
        <v>100.8</v>
      </c>
      <c r="Z59" s="36">
        <f>IFERROR(IF(Y59=0,"",ROUNDUP(Y59/H59,0)*0.01898),"")</f>
        <v>0.17082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95.367857142857133</v>
      </c>
      <c r="BN59" s="64">
        <f t="shared" ref="BN59:BN66" si="2">IFERROR(Y59*I59/H59,"0")</f>
        <v>104.49000000000001</v>
      </c>
      <c r="BO59" s="64">
        <f t="shared" ref="BO59:BO66" si="3">IFERROR(1/J59*(X59/H59),"0")</f>
        <v>0.1283482142857143</v>
      </c>
      <c r="BP59" s="64">
        <f t="shared" ref="BP59:BP66" si="4">IFERROR(1/J59*(Y59/H59),"0")</f>
        <v>0.140625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43</v>
      </c>
      <c r="Y61" s="628">
        <f t="shared" si="0"/>
        <v>43.2</v>
      </c>
      <c r="Z61" s="36">
        <f>IFERROR(IF(Y61=0,"",ROUNDUP(Y61/H61,0)*0.01898),"")</f>
        <v>7.5920000000000001E-2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44.632407407407406</v>
      </c>
      <c r="BN61" s="64">
        <f t="shared" si="2"/>
        <v>44.84</v>
      </c>
      <c r="BO61" s="64">
        <f t="shared" si="3"/>
        <v>6.2210648148148147E-2</v>
      </c>
      <c r="BP61" s="64">
        <f t="shared" si="4"/>
        <v>6.25E-2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104</v>
      </c>
      <c r="Y66" s="628">
        <f t="shared" si="0"/>
        <v>108</v>
      </c>
      <c r="Z66" s="36">
        <f>IFERROR(IF(Y66=0,"",ROUNDUP(Y66/H66,0)*0.00902),"")</f>
        <v>0.21648000000000001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108.39111111111112</v>
      </c>
      <c r="BN66" s="64">
        <f t="shared" si="2"/>
        <v>112.56</v>
      </c>
      <c r="BO66" s="64">
        <f t="shared" si="3"/>
        <v>0.17508417508417509</v>
      </c>
      <c r="BP66" s="64">
        <f t="shared" si="4"/>
        <v>0.18181818181818182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35.306878306878303</v>
      </c>
      <c r="Y67" s="629">
        <f>IFERROR(Y59/H59,"0")+IFERROR(Y60/H60,"0")+IFERROR(Y61/H61,"0")+IFERROR(Y62/H62,"0")+IFERROR(Y63/H63,"0")+IFERROR(Y64/H64,"0")+IFERROR(Y65/H65,"0")+IFERROR(Y66/H66,"0")</f>
        <v>37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0.46322000000000002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239</v>
      </c>
      <c r="Y68" s="629">
        <f>IFERROR(SUM(Y59:Y66),"0")</f>
        <v>252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33</v>
      </c>
      <c r="Y70" s="628">
        <f>IFERROR(IF(X70="",0,CEILING((X70/$H70),1)*$H70),"")</f>
        <v>43.2</v>
      </c>
      <c r="Z70" s="36">
        <f>IFERROR(IF(Y70=0,"",ROUNDUP(Y70/H70,0)*0.01898),"")</f>
        <v>7.5920000000000001E-2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34.252777777777773</v>
      </c>
      <c r="BN70" s="64">
        <f>IFERROR(Y70*I70/H70,"0")</f>
        <v>44.84</v>
      </c>
      <c r="BO70" s="64">
        <f>IFERROR(1/J70*(X70/H70),"0")</f>
        <v>4.7743055555555552E-2</v>
      </c>
      <c r="BP70" s="64">
        <f>IFERROR(1/J70*(Y70/H70),"0")</f>
        <v>6.25E-2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3.0555555555555554</v>
      </c>
      <c r="Y74" s="629">
        <f>IFERROR(Y70/H70,"0")+IFERROR(Y71/H71,"0")+IFERROR(Y72/H72,"0")+IFERROR(Y73/H73,"0")</f>
        <v>4</v>
      </c>
      <c r="Z74" s="629">
        <f>IFERROR(IF(Z70="",0,Z70),"0")+IFERROR(IF(Z71="",0,Z71),"0")+IFERROR(IF(Z72="",0,Z72),"0")+IFERROR(IF(Z73="",0,Z73),"0")</f>
        <v>7.5920000000000001E-2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33</v>
      </c>
      <c r="Y75" s="629">
        <f>IFERROR(SUM(Y70:Y73),"0")</f>
        <v>43.2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45</v>
      </c>
      <c r="Y77" s="628">
        <f>IFERROR(IF(X77="",0,CEILING((X77/$H77),1)*$H77),"")</f>
        <v>45</v>
      </c>
      <c r="Z77" s="36">
        <f>IFERROR(IF(Y77=0,"",ROUNDUP(Y77/H77,0)*0.00651),"")</f>
        <v>0.16275000000000001</v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51.149999999999991</v>
      </c>
      <c r="BN77" s="64">
        <f>IFERROR(Y77*I77/H77,"0")</f>
        <v>51.149999999999991</v>
      </c>
      <c r="BO77" s="64">
        <f>IFERROR(1/J77*(X77/H77),"0")</f>
        <v>0.13736263736263737</v>
      </c>
      <c r="BP77" s="64">
        <f>IFERROR(1/J77*(Y77/H77),"0")</f>
        <v>0.13736263736263737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25</v>
      </c>
      <c r="Y79" s="629">
        <f>IFERROR(Y77/H77,"0")+IFERROR(Y78/H78,"0")</f>
        <v>25</v>
      </c>
      <c r="Z79" s="629">
        <f>IFERROR(IF(Z77="",0,Z77),"0")+IFERROR(IF(Z78="",0,Z78),"0")</f>
        <v>0.16275000000000001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45</v>
      </c>
      <c r="Y80" s="629">
        <f>IFERROR(SUM(Y77:Y78),"0")</f>
        <v>45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119</v>
      </c>
      <c r="Y82" s="628">
        <f>IFERROR(IF(X82="",0,CEILING((X82/$H82),1)*$H82),"")</f>
        <v>124.8</v>
      </c>
      <c r="Z82" s="36">
        <f>IFERROR(IF(Y82=0,"",ROUNDUP(Y82/H82,0)*0.01898),"")</f>
        <v>0.30368000000000001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125.25512820512823</v>
      </c>
      <c r="BN82" s="64">
        <f>IFERROR(Y82*I82/H82,"0")</f>
        <v>131.36000000000001</v>
      </c>
      <c r="BO82" s="64">
        <f>IFERROR(1/J82*(X82/H82),"0")</f>
        <v>0.23838141025641027</v>
      </c>
      <c r="BP82" s="64">
        <f>IFERROR(1/J82*(Y82/H82),"0")</f>
        <v>0.25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15.256410256410257</v>
      </c>
      <c r="Y84" s="629">
        <f>IFERROR(Y82/H82,"0")+IFERROR(Y83/H83,"0")</f>
        <v>16</v>
      </c>
      <c r="Z84" s="629">
        <f>IFERROR(IF(Z82="",0,Z82),"0")+IFERROR(IF(Z83="",0,Z83),"0")</f>
        <v>0.30368000000000001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119</v>
      </c>
      <c r="Y85" s="629">
        <f>IFERROR(SUM(Y82:Y83),"0")</f>
        <v>124.8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14</v>
      </c>
      <c r="Y89" s="628">
        <f>IFERROR(IF(X89="",0,CEILING((X89/$H89),1)*$H89),"")</f>
        <v>15.299999999999999</v>
      </c>
      <c r="Z89" s="36">
        <f>IFERROR(IF(Y89=0,"",ROUNDUP(Y89/H89,0)*0.00726),"")</f>
        <v>6.5339999999999995E-2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14.823529411764707</v>
      </c>
      <c r="BN89" s="64">
        <f>IFERROR(Y89*I89/H89,"0")</f>
        <v>16.2</v>
      </c>
      <c r="BO89" s="64">
        <f>IFERROR(1/J89*(X89/H89),"0")</f>
        <v>4.2892156862745098E-2</v>
      </c>
      <c r="BP89" s="64">
        <f>IFERROR(1/J89*(Y89/H89),"0")</f>
        <v>4.6875E-2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183</v>
      </c>
      <c r="Y91" s="628">
        <f>IFERROR(IF(X91="",0,CEILING((X91/$H91),1)*$H91),"")</f>
        <v>184.5</v>
      </c>
      <c r="Z91" s="36">
        <f>IFERROR(IF(Y91=0,"",ROUNDUP(Y91/H91,0)*0.00902),"")</f>
        <v>0.36982000000000004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190.72666666666669</v>
      </c>
      <c r="BN91" s="64">
        <f>IFERROR(Y91*I91/H91,"0")</f>
        <v>192.29000000000002</v>
      </c>
      <c r="BO91" s="64">
        <f>IFERROR(1/J91*(X91/H91),"0")</f>
        <v>0.30808080808080807</v>
      </c>
      <c r="BP91" s="64">
        <f>IFERROR(1/J91*(Y91/H91),"0")</f>
        <v>0.31060606060606061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48.901960784313722</v>
      </c>
      <c r="Y92" s="629">
        <f>IFERROR(Y88/H88,"0")+IFERROR(Y89/H89,"0")+IFERROR(Y90/H90,"0")+IFERROR(Y91/H91,"0")</f>
        <v>50</v>
      </c>
      <c r="Z92" s="629">
        <f>IFERROR(IF(Z88="",0,Z88),"0")+IFERROR(IF(Z89="",0,Z89),"0")+IFERROR(IF(Z90="",0,Z90),"0")+IFERROR(IF(Z91="",0,Z91),"0")</f>
        <v>0.43516000000000005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197</v>
      </c>
      <c r="Y93" s="629">
        <f>IFERROR(SUM(Y88:Y91),"0")</f>
        <v>199.8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285</v>
      </c>
      <c r="Y95" s="628">
        <f>IFERROR(IF(X95="",0,CEILING((X95/$H95),1)*$H95),"")</f>
        <v>291.59999999999997</v>
      </c>
      <c r="Z95" s="36">
        <f>IFERROR(IF(Y95=0,"",ROUNDUP(Y95/H95,0)*0.01898),"")</f>
        <v>0.68328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302.3814814814815</v>
      </c>
      <c r="BN95" s="64">
        <f>IFERROR(Y95*I95/H95,"0")</f>
        <v>309.38399999999996</v>
      </c>
      <c r="BO95" s="64">
        <f>IFERROR(1/J95*(X95/H95),"0")</f>
        <v>0.54976851851851849</v>
      </c>
      <c r="BP95" s="64">
        <f>IFERROR(1/J95*(Y95/H95),"0")</f>
        <v>0.5625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450</v>
      </c>
      <c r="Y97" s="628">
        <f>IFERROR(IF(X97="",0,CEILING((X97/$H97),1)*$H97),"")</f>
        <v>450.90000000000003</v>
      </c>
      <c r="Z97" s="36">
        <f>IFERROR(IF(Y97=0,"",ROUNDUP(Y97/H97,0)*0.00651),"")</f>
        <v>1.08717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492</v>
      </c>
      <c r="BN97" s="64">
        <f>IFERROR(Y97*I97/H97,"0")</f>
        <v>492.98399999999998</v>
      </c>
      <c r="BO97" s="64">
        <f>IFERROR(1/J97*(X97/H97),"0")</f>
        <v>0.91575091575091572</v>
      </c>
      <c r="BP97" s="64">
        <f>IFERROR(1/J97*(Y97/H97),"0")</f>
        <v>0.91758241758241765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201.85185185185185</v>
      </c>
      <c r="Y99" s="629">
        <f>IFERROR(Y95/H95,"0")+IFERROR(Y96/H96,"0")+IFERROR(Y97/H97,"0")+IFERROR(Y98/H98,"0")</f>
        <v>203</v>
      </c>
      <c r="Z99" s="629">
        <f>IFERROR(IF(Z95="",0,Z95),"0")+IFERROR(IF(Z96="",0,Z96),"0")+IFERROR(IF(Z97="",0,Z97),"0")+IFERROR(IF(Z98="",0,Z98),"0")</f>
        <v>1.7704499999999999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735</v>
      </c>
      <c r="Y100" s="629">
        <f>IFERROR(SUM(Y95:Y98),"0")</f>
        <v>742.5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651</v>
      </c>
      <c r="Y103" s="628">
        <f t="shared" ref="Y103:Y108" si="5">IFERROR(IF(X103="",0,CEILING((X103/$H103),1)*$H103),"")</f>
        <v>658.80000000000007</v>
      </c>
      <c r="Z103" s="36">
        <f>IFERROR(IF(Y103=0,"",ROUNDUP(Y103/H103,0)*0.01898),"")</f>
        <v>1.15778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675.71388888888896</v>
      </c>
      <c r="BN103" s="64">
        <f t="shared" ref="BN103:BN108" si="7">IFERROR(Y103*I103/H103,"0")</f>
        <v>683.81000000000006</v>
      </c>
      <c r="BO103" s="64">
        <f t="shared" ref="BO103:BO108" si="8">IFERROR(1/J103*(X103/H103),"0")</f>
        <v>0.94184027777777768</v>
      </c>
      <c r="BP103" s="64">
        <f t="shared" ref="BP103:BP108" si="9">IFERROR(1/J103*(Y103/H103),"0")</f>
        <v>0.953125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60.277777777777771</v>
      </c>
      <c r="Y109" s="629">
        <f>IFERROR(Y103/H103,"0")+IFERROR(Y104/H104,"0")+IFERROR(Y105/H105,"0")+IFERROR(Y106/H106,"0")+IFERROR(Y107/H107,"0")+IFERROR(Y108/H108,"0")</f>
        <v>61</v>
      </c>
      <c r="Z109" s="629">
        <f>IFERROR(IF(Z103="",0,Z103),"0")+IFERROR(IF(Z104="",0,Z104),"0")+IFERROR(IF(Z105="",0,Z105),"0")+IFERROR(IF(Z106="",0,Z106),"0")+IFERROR(IF(Z107="",0,Z107),"0")+IFERROR(IF(Z108="",0,Z108),"0")</f>
        <v>1.15778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651</v>
      </c>
      <c r="Y110" s="629">
        <f>IFERROR(SUM(Y103:Y108),"0")</f>
        <v>658.80000000000007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51</v>
      </c>
      <c r="Y112" s="628">
        <f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52.93611111111111</v>
      </c>
      <c r="BN112" s="64">
        <f>IFERROR(Y112*I112/H112,"0")</f>
        <v>56.05</v>
      </c>
      <c r="BO112" s="64">
        <f>IFERROR(1/J112*(X112/H112),"0")</f>
        <v>7.3784722222222224E-2</v>
      </c>
      <c r="BP112" s="64">
        <f>IFERROR(1/J112*(Y112/H112),"0")</f>
        <v>7.8125E-2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4.7222222222222223</v>
      </c>
      <c r="Y117" s="629">
        <f>IFERROR(Y112/H112,"0")+IFERROR(Y113/H113,"0")+IFERROR(Y114/H114,"0")+IFERROR(Y115/H115,"0")+IFERROR(Y116/H116,"0")</f>
        <v>5</v>
      </c>
      <c r="Z117" s="629">
        <f>IFERROR(IF(Z112="",0,Z112),"0")+IFERROR(IF(Z113="",0,Z113),"0")+IFERROR(IF(Z114="",0,Z114),"0")+IFERROR(IF(Z115="",0,Z115),"0")+IFERROR(IF(Z116="",0,Z116),"0")</f>
        <v>9.4899999999999998E-2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51</v>
      </c>
      <c r="Y118" s="629">
        <f>IFERROR(SUM(Y112:Y116),"0")</f>
        <v>54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800</v>
      </c>
      <c r="Y120" s="628">
        <f>IFERROR(IF(X120="",0,CEILING((X120/$H120),1)*$H120),"")</f>
        <v>801.9</v>
      </c>
      <c r="Z120" s="36">
        <f>IFERROR(IF(Y120=0,"",ROUNDUP(Y120/H120,0)*0.01898),"")</f>
        <v>1.8790200000000001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848.19753086419757</v>
      </c>
      <c r="BN120" s="64">
        <f>IFERROR(Y120*I120/H120,"0")</f>
        <v>850.21199999999988</v>
      </c>
      <c r="BO120" s="64">
        <f>IFERROR(1/J120*(X120/H120),"0")</f>
        <v>1.5432098765432098</v>
      </c>
      <c r="BP120" s="64">
        <f>IFERROR(1/J120*(Y120/H120),"0")</f>
        <v>1.546875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895</v>
      </c>
      <c r="Y122" s="628">
        <f>IFERROR(IF(X122="",0,CEILING((X122/$H122),1)*$H122),"")</f>
        <v>896.40000000000009</v>
      </c>
      <c r="Z122" s="36">
        <f>IFERROR(IF(Y122=0,"",ROUNDUP(Y122/H122,0)*0.00651),"")</f>
        <v>2.1613199999999999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978.5333333333333</v>
      </c>
      <c r="BN122" s="64">
        <f>IFERROR(Y122*I122/H122,"0")</f>
        <v>980.06400000000008</v>
      </c>
      <c r="BO122" s="64">
        <f>IFERROR(1/J122*(X122/H122),"0")</f>
        <v>1.8213268213268214</v>
      </c>
      <c r="BP122" s="64">
        <f>IFERROR(1/J122*(Y122/H122),"0")</f>
        <v>1.8241758241758244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430.24691358024688</v>
      </c>
      <c r="Y124" s="629">
        <f>IFERROR(Y120/H120,"0")+IFERROR(Y121/H121,"0")+IFERROR(Y122/H122,"0")+IFERROR(Y123/H123,"0")</f>
        <v>431</v>
      </c>
      <c r="Z124" s="629">
        <f>IFERROR(IF(Z120="",0,Z120),"0")+IFERROR(IF(Z121="",0,Z121),"0")+IFERROR(IF(Z122="",0,Z122),"0")+IFERROR(IF(Z123="",0,Z123),"0")</f>
        <v>4.0403400000000005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1695</v>
      </c>
      <c r="Y125" s="629">
        <f>IFERROR(SUM(Y120:Y123),"0")</f>
        <v>1698.3000000000002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44</v>
      </c>
      <c r="Y127" s="628">
        <f>IFERROR(IF(X127="",0,CEILING((X127/$H127),1)*$H127),"")</f>
        <v>45.54</v>
      </c>
      <c r="Z127" s="36">
        <f>IFERROR(IF(Y127=0,"",ROUNDUP(Y127/H127,0)*0.00651),"")</f>
        <v>0.14973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49.733333333333334</v>
      </c>
      <c r="BN127" s="64">
        <f>IFERROR(Y127*I127/H127,"0")</f>
        <v>51.474000000000004</v>
      </c>
      <c r="BO127" s="64">
        <f>IFERROR(1/J127*(X127/H127),"0")</f>
        <v>0.12210012210012211</v>
      </c>
      <c r="BP127" s="64">
        <f>IFERROR(1/J127*(Y127/H127),"0")</f>
        <v>0.1263736263736264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22.222222222222221</v>
      </c>
      <c r="Y128" s="629">
        <f>IFERROR(Y127/H127,"0")</f>
        <v>23</v>
      </c>
      <c r="Z128" s="629">
        <f>IFERROR(IF(Z127="",0,Z127),"0")</f>
        <v>0.14973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44</v>
      </c>
      <c r="Y129" s="629">
        <f>IFERROR(SUM(Y127:Y127),"0")</f>
        <v>45.54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8</v>
      </c>
      <c r="Y167" s="628">
        <f>IFERROR(IF(X167="",0,CEILING((X167/$H167),1)*$H167),"")</f>
        <v>12.8</v>
      </c>
      <c r="Z167" s="36">
        <f>IFERROR(IF(Y167=0,"",ROUNDUP(Y167/H167,0)*0.01898),"")</f>
        <v>1.898E-2</v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8.2562499999999996</v>
      </c>
      <c r="BN167" s="64">
        <f>IFERROR(Y167*I167/H167,"0")</f>
        <v>13.21</v>
      </c>
      <c r="BO167" s="64">
        <f>IFERROR(1/J167*(X167/H167),"0")</f>
        <v>9.765625E-3</v>
      </c>
      <c r="BP167" s="64">
        <f>IFERROR(1/J167*(Y167/H167),"0")</f>
        <v>1.5625E-2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0.625</v>
      </c>
      <c r="Y169" s="629">
        <f>IFERROR(Y166/H166,"0")+IFERROR(Y167/H167,"0")+IFERROR(Y168/H168,"0")</f>
        <v>1</v>
      </c>
      <c r="Z169" s="629">
        <f>IFERROR(IF(Z166="",0,Z166),"0")+IFERROR(IF(Z167="",0,Z167),"0")+IFERROR(IF(Z168="",0,Z168),"0")</f>
        <v>1.898E-2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8</v>
      </c>
      <c r="Y170" s="629">
        <f>IFERROR(SUM(Y166:Y168),"0")</f>
        <v>12.8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130</v>
      </c>
      <c r="Y177" s="628">
        <f t="shared" ref="Y177:Y187" si="10">IFERROR(IF(X177="",0,CEILING((X177/$H177),1)*$H177),"")</f>
        <v>133</v>
      </c>
      <c r="Z177" s="36">
        <f>IFERROR(IF(Y177=0,"",ROUNDUP(Y177/H177,0)*0.00902),"")</f>
        <v>0.34276000000000001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137.05714285714285</v>
      </c>
      <c r="BN177" s="64">
        <f t="shared" ref="BN177:BN187" si="12">IFERROR(Y177*I177/H177,"0")</f>
        <v>140.22</v>
      </c>
      <c r="BO177" s="64">
        <f t="shared" ref="BO177:BO187" si="13">IFERROR(1/J177*(X177/H177),"0")</f>
        <v>0.2813852813852814</v>
      </c>
      <c r="BP177" s="64">
        <f t="shared" ref="BP177:BP187" si="14">IFERROR(1/J177*(Y177/H177),"0")</f>
        <v>0.2878787878787879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81</v>
      </c>
      <c r="Y179" s="628">
        <f t="shared" si="10"/>
        <v>84</v>
      </c>
      <c r="Z179" s="36">
        <f>IFERROR(IF(Y179=0,"",ROUNDUP(Y179/H179,0)*0.00902),"")</f>
        <v>0.21648000000000001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85.397142857142853</v>
      </c>
      <c r="BN179" s="64">
        <f t="shared" si="12"/>
        <v>88.559999999999988</v>
      </c>
      <c r="BO179" s="64">
        <f t="shared" si="13"/>
        <v>0.17532467532467533</v>
      </c>
      <c r="BP179" s="64">
        <f t="shared" si="14"/>
        <v>0.18181818181818182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241</v>
      </c>
      <c r="Y180" s="628">
        <f t="shared" si="10"/>
        <v>241.5</v>
      </c>
      <c r="Z180" s="36">
        <f>IFERROR(IF(Y180=0,"",ROUNDUP(Y180/H180,0)*0.00902),"")</f>
        <v>0.62238000000000004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254.08285714285714</v>
      </c>
      <c r="BN180" s="64">
        <f t="shared" si="12"/>
        <v>254.60999999999999</v>
      </c>
      <c r="BO180" s="64">
        <f t="shared" si="13"/>
        <v>0.52164502164502169</v>
      </c>
      <c r="BP180" s="64">
        <f t="shared" si="14"/>
        <v>0.52272727272727271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7</v>
      </c>
      <c r="Y181" s="628">
        <f t="shared" si="10"/>
        <v>7.2</v>
      </c>
      <c r="Z181" s="36">
        <f>IFERROR(IF(Y181=0,"",ROUNDUP(Y181/H181,0)*0.00417),"")</f>
        <v>3.3360000000000001E-2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8.6333333333333329</v>
      </c>
      <c r="BN181" s="64">
        <f t="shared" si="12"/>
        <v>8.8800000000000008</v>
      </c>
      <c r="BO181" s="64">
        <f t="shared" si="13"/>
        <v>2.3148148148148147E-2</v>
      </c>
      <c r="BP181" s="64">
        <f t="shared" si="14"/>
        <v>2.3809523809523808E-2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139</v>
      </c>
      <c r="Y182" s="628">
        <f t="shared" si="10"/>
        <v>139.44</v>
      </c>
      <c r="Z182" s="36">
        <f>IFERROR(IF(Y182=0,"",ROUNDUP(Y182/H182,0)*0.00502),"")</f>
        <v>0.41666000000000003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147.27380952380955</v>
      </c>
      <c r="BN182" s="64">
        <f t="shared" si="12"/>
        <v>147.74</v>
      </c>
      <c r="BO182" s="64">
        <f t="shared" si="13"/>
        <v>0.35358160358160362</v>
      </c>
      <c r="BP182" s="64">
        <f t="shared" si="14"/>
        <v>0.35470085470085472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6</v>
      </c>
      <c r="Y183" s="628">
        <f t="shared" si="10"/>
        <v>6.3</v>
      </c>
      <c r="Z183" s="36">
        <f>IFERROR(IF(Y183=0,"",ROUNDUP(Y183/H183,0)*0.00417),"")</f>
        <v>2.9190000000000001E-2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7.4</v>
      </c>
      <c r="BN183" s="64">
        <f t="shared" si="12"/>
        <v>7.7700000000000005</v>
      </c>
      <c r="BO183" s="64">
        <f t="shared" si="13"/>
        <v>1.9841269841269837E-2</v>
      </c>
      <c r="BP183" s="64">
        <f t="shared" si="14"/>
        <v>2.0833333333333332E-2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82</v>
      </c>
      <c r="Y185" s="628">
        <f t="shared" si="10"/>
        <v>82.32</v>
      </c>
      <c r="Z185" s="36">
        <f>IFERROR(IF(Y185=0,"",ROUNDUP(Y185/H185,0)*0.00502),"")</f>
        <v>0.24598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86.880952380952394</v>
      </c>
      <c r="BN185" s="64">
        <f t="shared" si="12"/>
        <v>87.22</v>
      </c>
      <c r="BO185" s="64">
        <f t="shared" si="13"/>
        <v>0.20858770858770861</v>
      </c>
      <c r="BP185" s="64">
        <f t="shared" si="14"/>
        <v>0.20940170940170943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9</v>
      </c>
      <c r="Y186" s="628">
        <f t="shared" si="10"/>
        <v>9</v>
      </c>
      <c r="Z186" s="36">
        <f>IFERROR(IF(Y186=0,"",ROUNDUP(Y186/H186,0)*0.00417),"")</f>
        <v>4.1700000000000001E-2</v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10</v>
      </c>
      <c r="BN186" s="64">
        <f t="shared" si="12"/>
        <v>10</v>
      </c>
      <c r="BO186" s="64">
        <f t="shared" si="13"/>
        <v>2.976190476190476E-2</v>
      </c>
      <c r="BP186" s="64">
        <f t="shared" si="14"/>
        <v>2.976190476190476E-2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110</v>
      </c>
      <c r="Y187" s="628">
        <f t="shared" si="10"/>
        <v>110.88</v>
      </c>
      <c r="Z187" s="36">
        <f>IFERROR(IF(Y187=0,"",ROUNDUP(Y187/H187,0)*0.00502),"")</f>
        <v>0.33132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116.54761904761907</v>
      </c>
      <c r="BN187" s="64">
        <f t="shared" si="12"/>
        <v>117.48</v>
      </c>
      <c r="BO187" s="64">
        <f t="shared" si="13"/>
        <v>0.27981277981277985</v>
      </c>
      <c r="BP187" s="64">
        <f t="shared" si="14"/>
        <v>0.2820512820512821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350.61111111111114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354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2.2798300000000005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805</v>
      </c>
      <c r="Y189" s="629">
        <f>IFERROR(SUM(Y177:Y187),"0")</f>
        <v>813.64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27</v>
      </c>
      <c r="Y193" s="628">
        <f>IFERROR(IF(X193="",0,CEILING((X193/$H193),1)*$H193),"")</f>
        <v>27</v>
      </c>
      <c r="Z193" s="36">
        <f>IFERROR(IF(Y193=0,"",ROUNDUP(Y193/H193,0)*0.00651),"")</f>
        <v>9.7650000000000001E-2</v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30.869999999999997</v>
      </c>
      <c r="BN193" s="64">
        <f>IFERROR(Y193*I193/H193,"0")</f>
        <v>30.869999999999997</v>
      </c>
      <c r="BO193" s="64">
        <f>IFERROR(1/J193*(X193/H193),"0")</f>
        <v>8.241758241758243E-2</v>
      </c>
      <c r="BP193" s="64">
        <f>IFERROR(1/J193*(Y193/H193),"0")</f>
        <v>8.241758241758243E-2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15</v>
      </c>
      <c r="Y194" s="629">
        <f>IFERROR(Y191/H191,"0")+IFERROR(Y192/H192,"0")+IFERROR(Y193/H193,"0")</f>
        <v>15</v>
      </c>
      <c r="Z194" s="629">
        <f>IFERROR(IF(Z191="",0,Z191),"0")+IFERROR(IF(Z192="",0,Z192),"0")+IFERROR(IF(Z193="",0,Z193),"0")</f>
        <v>9.7650000000000001E-2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27</v>
      </c>
      <c r="Y195" s="629">
        <f>IFERROR(SUM(Y191:Y193),"0")</f>
        <v>27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53</v>
      </c>
      <c r="Y225" s="628">
        <f t="shared" si="21"/>
        <v>54.6</v>
      </c>
      <c r="Z225" s="36">
        <f>IFERROR(IF(Y225=0,"",ROUNDUP(Y225/H225,0)*0.00902),"")</f>
        <v>0.11726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55.397619047619045</v>
      </c>
      <c r="BN225" s="64">
        <f t="shared" si="23"/>
        <v>57.069999999999993</v>
      </c>
      <c r="BO225" s="64">
        <f t="shared" si="24"/>
        <v>9.55988455988456E-2</v>
      </c>
      <c r="BP225" s="64">
        <f t="shared" si="25"/>
        <v>9.8484848484848481E-2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13</v>
      </c>
      <c r="Y226" s="628">
        <f t="shared" si="21"/>
        <v>13.600000000000001</v>
      </c>
      <c r="Z226" s="36">
        <f>IFERROR(IF(Y226=0,"",ROUNDUP(Y226/H226,0)*0.00556),"")</f>
        <v>9.4519999999999993E-2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15.112499999999999</v>
      </c>
      <c r="BN226" s="64">
        <f t="shared" si="23"/>
        <v>15.81</v>
      </c>
      <c r="BO226" s="64">
        <f t="shared" si="24"/>
        <v>6.4484126984126977E-2</v>
      </c>
      <c r="BP226" s="64">
        <f t="shared" si="25"/>
        <v>6.7460317460317457E-2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35</v>
      </c>
      <c r="Y227" s="628">
        <f t="shared" si="21"/>
        <v>35.700000000000003</v>
      </c>
      <c r="Z227" s="36">
        <f t="shared" ref="Z227:Z232" si="26">IFERROR(IF(Y227=0,"",ROUNDUP(Y227/H227,0)*0.00502),"")</f>
        <v>8.5339999999999999E-2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37.166666666666664</v>
      </c>
      <c r="BN227" s="64">
        <f t="shared" si="23"/>
        <v>37.910000000000004</v>
      </c>
      <c r="BO227" s="64">
        <f t="shared" si="24"/>
        <v>7.1225071225071226E-2</v>
      </c>
      <c r="BP227" s="64">
        <f t="shared" si="25"/>
        <v>7.2649572649572655E-2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15</v>
      </c>
      <c r="Y232" s="628">
        <f t="shared" si="21"/>
        <v>16.2</v>
      </c>
      <c r="Z232" s="36">
        <f t="shared" si="26"/>
        <v>4.5179999999999998E-2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16.083333333333332</v>
      </c>
      <c r="BN232" s="64">
        <f t="shared" si="23"/>
        <v>17.369999999999997</v>
      </c>
      <c r="BO232" s="64">
        <f t="shared" si="24"/>
        <v>3.561253561253562E-2</v>
      </c>
      <c r="BP232" s="64">
        <f t="shared" si="25"/>
        <v>3.8461538461538464E-2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70</v>
      </c>
      <c r="Y234" s="628">
        <f t="shared" si="21"/>
        <v>71.400000000000006</v>
      </c>
      <c r="Z234" s="36">
        <f>IFERROR(IF(Y234=0,"",ROUNDUP(Y234/H234,0)*0.00502),"")</f>
        <v>0.17068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73.333333333333329</v>
      </c>
      <c r="BN234" s="64">
        <f t="shared" si="23"/>
        <v>74.8</v>
      </c>
      <c r="BO234" s="64">
        <f t="shared" si="24"/>
        <v>0.14245014245014245</v>
      </c>
      <c r="BP234" s="64">
        <f t="shared" si="25"/>
        <v>0.14529914529914531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87.202380952380949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90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0.51297999999999999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186</v>
      </c>
      <c r="Y238" s="629">
        <f>IFERROR(SUM(Y223:Y236),"0")</f>
        <v>191.5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7</v>
      </c>
      <c r="Y249" s="628">
        <f>IFERROR(IF(X249="",0,CEILING((X249/$H249),1)*$H249),"")</f>
        <v>7.5600000000000005</v>
      </c>
      <c r="Z249" s="36">
        <f>IFERROR(IF(Y249=0,"",ROUNDUP(Y249/H249,0)*0.0059),"")</f>
        <v>3.5400000000000001E-2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8.0555555555555554</v>
      </c>
      <c r="BN249" s="64">
        <f>IFERROR(Y249*I249/H249,"0")</f>
        <v>8.6999999999999993</v>
      </c>
      <c r="BO249" s="64">
        <f>IFERROR(1/J249*(X249/H249),"0")</f>
        <v>2.5720164609053495E-2</v>
      </c>
      <c r="BP249" s="64">
        <f>IFERROR(1/J249*(Y249/H249),"0")</f>
        <v>2.7777777777777776E-2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11</v>
      </c>
      <c r="Y250" s="628">
        <f>IFERROR(IF(X250="",0,CEILING((X250/$H250),1)*$H250),"")</f>
        <v>11.34</v>
      </c>
      <c r="Z250" s="36">
        <f>IFERROR(IF(Y250=0,"",ROUNDUP(Y250/H250,0)*0.0059),"")</f>
        <v>5.3100000000000001E-2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12.658730158730158</v>
      </c>
      <c r="BN250" s="64">
        <f>IFERROR(Y250*I250/H250,"0")</f>
        <v>13.049999999999999</v>
      </c>
      <c r="BO250" s="64">
        <f>IFERROR(1/J250*(X250/H250),"0")</f>
        <v>4.0417401528512635E-2</v>
      </c>
      <c r="BP250" s="64">
        <f>IFERROR(1/J250*(Y250/H250),"0")</f>
        <v>4.1666666666666664E-2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14.285714285714285</v>
      </c>
      <c r="Y251" s="629">
        <f>IFERROR(Y248/H248,"0")+IFERROR(Y249/H249,"0")+IFERROR(Y250/H250,"0")</f>
        <v>15</v>
      </c>
      <c r="Z251" s="629">
        <f>IFERROR(IF(Z248="",0,Z248),"0")+IFERROR(IF(Z249="",0,Z249),"0")+IFERROR(IF(Z250="",0,Z250),"0")</f>
        <v>8.8499999999999995E-2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18</v>
      </c>
      <c r="Y252" s="629">
        <f>IFERROR(SUM(Y248:Y250),"0")</f>
        <v>18.899999999999999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11</v>
      </c>
      <c r="Y254" s="628">
        <f>IFERROR(IF(X254="",0,CEILING((X254/$H254),1)*$H254),"")</f>
        <v>11.34</v>
      </c>
      <c r="Z254" s="36">
        <f>IFERROR(IF(Y254=0,"",ROUNDUP(Y254/H254,0)*0.0059),"")</f>
        <v>5.3100000000000001E-2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12.658730158730158</v>
      </c>
      <c r="BN254" s="64">
        <f>IFERROR(Y254*I254/H254,"0")</f>
        <v>13.049999999999999</v>
      </c>
      <c r="BO254" s="64">
        <f>IFERROR(1/J254*(X254/H254),"0")</f>
        <v>4.0417401528512635E-2</v>
      </c>
      <c r="BP254" s="64">
        <f>IFERROR(1/J254*(Y254/H254),"0")</f>
        <v>4.1666666666666664E-2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8.7301587301587293</v>
      </c>
      <c r="Y255" s="629">
        <f>IFERROR(Y254/H254,"0")</f>
        <v>9</v>
      </c>
      <c r="Z255" s="629">
        <f>IFERROR(IF(Z254="",0,Z254),"0")</f>
        <v>5.3100000000000001E-2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11</v>
      </c>
      <c r="Y256" s="629">
        <f>IFERROR(SUM(Y254:Y254),"0")</f>
        <v>11.34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68</v>
      </c>
      <c r="Y269" s="628">
        <f t="shared" ref="Y269:Y276" si="27">IFERROR(IF(X269="",0,CEILING((X269/$H269),1)*$H269),"")</f>
        <v>70.2</v>
      </c>
      <c r="Z269" s="36">
        <f>IFERROR(IF(Y269=0,"",ROUNDUP(Y269/H269,0)*0.00902),"")</f>
        <v>0.11726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70.392592592592592</v>
      </c>
      <c r="BN269" s="64">
        <f t="shared" ref="BN269:BN276" si="29">IFERROR(Y269*I269/H269,"0")</f>
        <v>72.67</v>
      </c>
      <c r="BO269" s="64">
        <f t="shared" ref="BO269:BO276" si="30">IFERROR(1/J269*(X269/H269),"0")</f>
        <v>9.5398428731762061E-2</v>
      </c>
      <c r="BP269" s="64">
        <f t="shared" ref="BP269:BP276" si="31">IFERROR(1/J269*(Y269/H269),"0")</f>
        <v>9.8484848484848481E-2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134</v>
      </c>
      <c r="Y270" s="628">
        <f t="shared" si="27"/>
        <v>135</v>
      </c>
      <c r="Z270" s="36">
        <f>IFERROR(IF(Y270=0,"",ROUNDUP(Y270/H270,0)*0.00902),"")</f>
        <v>0.22550000000000001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138.71481481481479</v>
      </c>
      <c r="BN270" s="64">
        <f t="shared" si="29"/>
        <v>139.75</v>
      </c>
      <c r="BO270" s="64">
        <f t="shared" si="30"/>
        <v>0.18799102132435466</v>
      </c>
      <c r="BP270" s="64">
        <f t="shared" si="31"/>
        <v>0.18939393939393939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20</v>
      </c>
      <c r="Y272" s="628">
        <f t="shared" si="27"/>
        <v>21.6</v>
      </c>
      <c r="Z272" s="36">
        <f>IFERROR(IF(Y272=0,"",ROUNDUP(Y272/H272,0)*0.00902),"")</f>
        <v>3.6080000000000001E-2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20.703703703703702</v>
      </c>
      <c r="BN272" s="64">
        <f t="shared" si="29"/>
        <v>22.36</v>
      </c>
      <c r="BO272" s="64">
        <f t="shared" si="30"/>
        <v>2.8058361391694722E-2</v>
      </c>
      <c r="BP272" s="64">
        <f t="shared" si="31"/>
        <v>3.0303030303030304E-2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67</v>
      </c>
      <c r="Y273" s="628">
        <f t="shared" si="27"/>
        <v>68.400000000000006</v>
      </c>
      <c r="Z273" s="36">
        <f>IFERROR(IF(Y273=0,"",ROUNDUP(Y273/H273,0)*0.00502),"")</f>
        <v>0.19076000000000001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71.838888888888889</v>
      </c>
      <c r="BN273" s="64">
        <f t="shared" si="29"/>
        <v>73.34</v>
      </c>
      <c r="BO273" s="64">
        <f t="shared" si="30"/>
        <v>0.15906932573599242</v>
      </c>
      <c r="BP273" s="64">
        <f t="shared" si="31"/>
        <v>0.1623931623931624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14</v>
      </c>
      <c r="Y274" s="628">
        <f t="shared" si="27"/>
        <v>14.4</v>
      </c>
      <c r="Z274" s="36">
        <f>IFERROR(IF(Y274=0,"",ROUNDUP(Y274/H274,0)*0.00502),"")</f>
        <v>4.0160000000000001E-2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14.777777777777777</v>
      </c>
      <c r="BN274" s="64">
        <f t="shared" si="29"/>
        <v>15.2</v>
      </c>
      <c r="BO274" s="64">
        <f t="shared" si="30"/>
        <v>3.3238366571699908E-2</v>
      </c>
      <c r="BP274" s="64">
        <f t="shared" si="31"/>
        <v>3.4188034188034191E-2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47</v>
      </c>
      <c r="Y276" s="628">
        <f t="shared" si="27"/>
        <v>48.6</v>
      </c>
      <c r="Z276" s="36">
        <f>IFERROR(IF(Y276=0,"",ROUNDUP(Y276/H276,0)*0.00502),"")</f>
        <v>0.13553999999999999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49.611111111111107</v>
      </c>
      <c r="BN276" s="64">
        <f t="shared" si="29"/>
        <v>51.3</v>
      </c>
      <c r="BO276" s="64">
        <f t="shared" si="30"/>
        <v>0.11158594491927826</v>
      </c>
      <c r="BP276" s="64">
        <f t="shared" si="31"/>
        <v>0.11538461538461539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112.22222222222221</v>
      </c>
      <c r="Y277" s="629">
        <f>IFERROR(Y269/H269,"0")+IFERROR(Y270/H270,"0")+IFERROR(Y271/H271,"0")+IFERROR(Y272/H272,"0")+IFERROR(Y273/H273,"0")+IFERROR(Y274/H274,"0")+IFERROR(Y275/H275,"0")+IFERROR(Y276/H276,"0")</f>
        <v>115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0.74529999999999996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350</v>
      </c>
      <c r="Y278" s="629">
        <f>IFERROR(SUM(Y269:Y276),"0")</f>
        <v>358.2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43</v>
      </c>
      <c r="Y281" s="628">
        <f t="shared" si="32"/>
        <v>48.599999999999994</v>
      </c>
      <c r="Z281" s="36">
        <f>IFERROR(IF(Y281=0,"",ROUNDUP(Y281/H281,0)*0.01898),"")</f>
        <v>0.11388000000000001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45.526913580246919</v>
      </c>
      <c r="BN281" s="64">
        <f t="shared" si="34"/>
        <v>51.455999999999996</v>
      </c>
      <c r="BO281" s="64">
        <f t="shared" si="35"/>
        <v>8.2947530864197538E-2</v>
      </c>
      <c r="BP281" s="64">
        <f t="shared" si="36"/>
        <v>9.375E-2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75</v>
      </c>
      <c r="Y283" s="628">
        <f t="shared" si="32"/>
        <v>76.8</v>
      </c>
      <c r="Z283" s="36">
        <f>IFERROR(IF(Y283=0,"",ROUNDUP(Y283/H283,0)*0.00651),"")</f>
        <v>0.20832000000000001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83.4375</v>
      </c>
      <c r="BN283" s="64">
        <f t="shared" si="34"/>
        <v>85.44</v>
      </c>
      <c r="BO283" s="64">
        <f t="shared" si="35"/>
        <v>0.1717032967032967</v>
      </c>
      <c r="BP283" s="64">
        <f t="shared" si="36"/>
        <v>0.17582417582417584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480</v>
      </c>
      <c r="Y286" s="628">
        <f t="shared" si="32"/>
        <v>480</v>
      </c>
      <c r="Z286" s="36">
        <f>IFERROR(IF(Y286=0,"",ROUNDUP(Y286/H286,0)*0.00651),"")</f>
        <v>1.302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530.40000000000009</v>
      </c>
      <c r="BN286" s="64">
        <f t="shared" si="34"/>
        <v>530.40000000000009</v>
      </c>
      <c r="BO286" s="64">
        <f t="shared" si="35"/>
        <v>1.098901098901099</v>
      </c>
      <c r="BP286" s="64">
        <f t="shared" si="36"/>
        <v>1.098901098901099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306</v>
      </c>
      <c r="Y288" s="628">
        <f t="shared" si="32"/>
        <v>307.2</v>
      </c>
      <c r="Z288" s="36">
        <f>IFERROR(IF(Y288=0,"",ROUNDUP(Y288/H288,0)*0.00651),"")</f>
        <v>0.83328000000000002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338.13000000000005</v>
      </c>
      <c r="BN288" s="64">
        <f t="shared" si="34"/>
        <v>339.45600000000002</v>
      </c>
      <c r="BO288" s="64">
        <f t="shared" si="35"/>
        <v>0.70054945054945061</v>
      </c>
      <c r="BP288" s="64">
        <f t="shared" si="36"/>
        <v>0.70329670329670335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24</v>
      </c>
      <c r="Y289" s="628">
        <f t="shared" si="32"/>
        <v>24</v>
      </c>
      <c r="Z289" s="36">
        <f>IFERROR(IF(Y289=0,"",ROUNDUP(Y289/H289,0)*0.00651),"")</f>
        <v>6.5100000000000005E-2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26.520000000000003</v>
      </c>
      <c r="BN289" s="64">
        <f t="shared" si="34"/>
        <v>26.520000000000003</v>
      </c>
      <c r="BO289" s="64">
        <f t="shared" si="35"/>
        <v>5.4945054945054951E-2</v>
      </c>
      <c r="BP289" s="64">
        <f t="shared" si="36"/>
        <v>5.4945054945054951E-2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80</v>
      </c>
      <c r="Y290" s="628">
        <f t="shared" si="32"/>
        <v>81.599999999999994</v>
      </c>
      <c r="Z290" s="36">
        <f>IFERROR(IF(Y290=0,"",ROUNDUP(Y290/H290,0)*0.00651),"")</f>
        <v>0.22134000000000001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88.6</v>
      </c>
      <c r="BN290" s="64">
        <f t="shared" si="34"/>
        <v>90.371999999999986</v>
      </c>
      <c r="BO290" s="64">
        <f t="shared" si="35"/>
        <v>0.18315018315018317</v>
      </c>
      <c r="BP290" s="64">
        <f t="shared" si="36"/>
        <v>0.18681318681318682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407.39197530864197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410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2.7439200000000006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1008</v>
      </c>
      <c r="Y293" s="629">
        <f>IFERROR(SUM(Y280:Y291),"0")</f>
        <v>1018.1999999999999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13</v>
      </c>
      <c r="Y295" s="628">
        <f>IFERROR(IF(X295="",0,CEILING((X295/$H295),1)*$H295),"")</f>
        <v>14.399999999999999</v>
      </c>
      <c r="Z295" s="36">
        <f>IFERROR(IF(Y295=0,"",ROUNDUP(Y295/H295,0)*0.00651),"")</f>
        <v>3.9059999999999997E-2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14.365</v>
      </c>
      <c r="BN295" s="64">
        <f>IFERROR(Y295*I295/H295,"0")</f>
        <v>15.912000000000001</v>
      </c>
      <c r="BO295" s="64">
        <f>IFERROR(1/J295*(X295/H295),"0")</f>
        <v>2.9761904761904767E-2</v>
      </c>
      <c r="BP295" s="64">
        <f>IFERROR(1/J295*(Y295/H295),"0")</f>
        <v>3.2967032967032968E-2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5.416666666666667</v>
      </c>
      <c r="Y297" s="629">
        <f>IFERROR(Y295/H295,"0")+IFERROR(Y296/H296,"0")</f>
        <v>6</v>
      </c>
      <c r="Z297" s="629">
        <f>IFERROR(IF(Z295="",0,Z295),"0")+IFERROR(IF(Z296="",0,Z296),"0")</f>
        <v>3.9059999999999997E-2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13</v>
      </c>
      <c r="Y298" s="629">
        <f>IFERROR(SUM(Y295:Y296),"0")</f>
        <v>14.399999999999999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3</v>
      </c>
      <c r="Y307" s="628">
        <f t="shared" si="37"/>
        <v>4</v>
      </c>
      <c r="Z307" s="36">
        <f>IFERROR(IF(Y307=0,"",ROUNDUP(Y307/H307,0)*0.00902),"")</f>
        <v>9.0200000000000002E-3</v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3.1425000000000001</v>
      </c>
      <c r="BN307" s="64">
        <f t="shared" si="39"/>
        <v>4.1900000000000004</v>
      </c>
      <c r="BO307" s="64">
        <f t="shared" si="40"/>
        <v>5.681818181818182E-3</v>
      </c>
      <c r="BP307" s="64">
        <f t="shared" si="41"/>
        <v>7.575757575757576E-3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0.75</v>
      </c>
      <c r="Y308" s="629">
        <f>IFERROR(Y301/H301,"0")+IFERROR(Y302/H302,"0")+IFERROR(Y303/H303,"0")+IFERROR(Y304/H304,"0")+IFERROR(Y305/H305,"0")+IFERROR(Y306/H306,"0")+IFERROR(Y307/H307,"0")</f>
        <v>1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9.0200000000000002E-3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3</v>
      </c>
      <c r="Y309" s="629">
        <f>IFERROR(SUM(Y301:Y307),"0")</f>
        <v>4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2</v>
      </c>
      <c r="Y315" s="628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1.1111111111111112</v>
      </c>
      <c r="Y316" s="629">
        <f>IFERROR(Y315/H315,"0")</f>
        <v>2</v>
      </c>
      <c r="Z316" s="629">
        <f>IFERROR(IF(Z315="",0,Z315),"0")</f>
        <v>1.18E-2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2</v>
      </c>
      <c r="Y317" s="629">
        <f>IFERROR(SUM(Y315:Y315),"0")</f>
        <v>3.6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84</v>
      </c>
      <c r="Y356" s="628">
        <f>IFERROR(IF(X356="",0,CEILING((X356/$H356),1)*$H356),"")</f>
        <v>85.8</v>
      </c>
      <c r="Z356" s="36">
        <f>IFERROR(IF(Y356=0,"",ROUNDUP(Y356/H356,0)*0.01898),"")</f>
        <v>0.20877999999999999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88.415384615384625</v>
      </c>
      <c r="BN356" s="64">
        <f>IFERROR(Y356*I356/H356,"0")</f>
        <v>90.31</v>
      </c>
      <c r="BO356" s="64">
        <f>IFERROR(1/J356*(X356/H356),"0")</f>
        <v>0.16826923076923078</v>
      </c>
      <c r="BP356" s="64">
        <f>IFERROR(1/J356*(Y356/H356),"0")</f>
        <v>0.171875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324</v>
      </c>
      <c r="Y357" s="628">
        <f>IFERROR(IF(X357="",0,CEILING((X357/$H357),1)*$H357),"")</f>
        <v>327.59999999999997</v>
      </c>
      <c r="Z357" s="36">
        <f>IFERROR(IF(Y357=0,"",ROUNDUP(Y357/H357,0)*0.01898),"")</f>
        <v>0.79715999999999998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341.03076923076929</v>
      </c>
      <c r="BN357" s="64">
        <f>IFERROR(Y357*I357/H357,"0")</f>
        <v>344.82</v>
      </c>
      <c r="BO357" s="64">
        <f>IFERROR(1/J357*(X357/H357),"0")</f>
        <v>0.64903846153846156</v>
      </c>
      <c r="BP357" s="64">
        <f>IFERROR(1/J357*(Y357/H357),"0")</f>
        <v>0.65625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52.307692307692307</v>
      </c>
      <c r="Y359" s="629">
        <f>IFERROR(Y356/H356,"0")+IFERROR(Y357/H357,"0")+IFERROR(Y358/H358,"0")</f>
        <v>53</v>
      </c>
      <c r="Z359" s="629">
        <f>IFERROR(IF(Z356="",0,Z356),"0")+IFERROR(IF(Z357="",0,Z357),"0")+IFERROR(IF(Z358="",0,Z358),"0")</f>
        <v>1.0059400000000001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408</v>
      </c>
      <c r="Y360" s="629">
        <f>IFERROR(SUM(Y356:Y358),"0")</f>
        <v>413.4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50</v>
      </c>
      <c r="Y372" s="628">
        <f t="shared" si="42"/>
        <v>50.400000000000006</v>
      </c>
      <c r="Z372" s="36">
        <f>IFERROR(IF(Y372=0,"",ROUNDUP(Y372/H372,0)*0.00902),"")</f>
        <v>0.10824</v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52.976190476190474</v>
      </c>
      <c r="BN372" s="64">
        <f t="shared" si="44"/>
        <v>53.400000000000006</v>
      </c>
      <c r="BO372" s="64">
        <f t="shared" si="45"/>
        <v>9.0187590187590191E-2</v>
      </c>
      <c r="BP372" s="64">
        <f t="shared" si="46"/>
        <v>9.0909090909090912E-2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11.904761904761905</v>
      </c>
      <c r="Y378" s="629">
        <f>IFERROR(Y371/H371,"0")+IFERROR(Y372/H372,"0")+IFERROR(Y373/H373,"0")+IFERROR(Y374/H374,"0")+IFERROR(Y375/H375,"0")+IFERROR(Y376/H376,"0")+IFERROR(Y377/H377,"0")</f>
        <v>12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0.10824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50</v>
      </c>
      <c r="Y379" s="629">
        <f>IFERROR(SUM(Y371:Y377),"0")</f>
        <v>50.400000000000006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316</v>
      </c>
      <c r="Y389" s="628">
        <f>IFERROR(IF(X389="",0,CEILING((X389/$H389),1)*$H389),"")</f>
        <v>319.8</v>
      </c>
      <c r="Z389" s="36">
        <f>IFERROR(IF(Y389=0,"",ROUNDUP(Y389/H389,0)*0.01898),"")</f>
        <v>0.77817999999999998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336.01333333333332</v>
      </c>
      <c r="BN389" s="64">
        <f>IFERROR(Y389*I389/H389,"0")</f>
        <v>340.05400000000003</v>
      </c>
      <c r="BO389" s="64">
        <f>IFERROR(1/J389*(X389/H389),"0")</f>
        <v>0.63301282051282048</v>
      </c>
      <c r="BP389" s="64">
        <f>IFERROR(1/J389*(Y389/H389),"0")</f>
        <v>0.640625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40.512820512820511</v>
      </c>
      <c r="Y391" s="629">
        <f>IFERROR(Y388/H388,"0")+IFERROR(Y389/H389,"0")+IFERROR(Y390/H390,"0")</f>
        <v>41</v>
      </c>
      <c r="Z391" s="629">
        <f>IFERROR(IF(Z388="",0,Z388),"0")+IFERROR(IF(Z389="",0,Z389),"0")+IFERROR(IF(Z390="",0,Z390),"0")</f>
        <v>0.77817999999999998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316</v>
      </c>
      <c r="Y392" s="629">
        <f>IFERROR(SUM(Y388:Y390),"0")</f>
        <v>319.8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26</v>
      </c>
      <c r="Y396" s="628">
        <f>IFERROR(IF(X396="",0,CEILING((X396/$H396),1)*$H396),"")</f>
        <v>28.049999999999997</v>
      </c>
      <c r="Z396" s="36">
        <f>IFERROR(IF(Y396=0,"",ROUNDUP(Y396/H396,0)*0.00651),"")</f>
        <v>7.1610000000000007E-2</v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30.129411764705885</v>
      </c>
      <c r="BN396" s="64">
        <f>IFERROR(Y396*I396/H396,"0")</f>
        <v>32.505000000000003</v>
      </c>
      <c r="BO396" s="64">
        <f>IFERROR(1/J396*(X396/H396),"0")</f>
        <v>5.6022408963585443E-2</v>
      </c>
      <c r="BP396" s="64">
        <f>IFERROR(1/J396*(Y396/H396),"0")</f>
        <v>6.0439560439560447E-2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65</v>
      </c>
      <c r="Y397" s="628">
        <f>IFERROR(IF(X397="",0,CEILING((X397/$H397),1)*$H397),"")</f>
        <v>66.3</v>
      </c>
      <c r="Z397" s="36">
        <f>IFERROR(IF(Y397=0,"",ROUNDUP(Y397/H397,0)*0.00651),"")</f>
        <v>0.16925999999999999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73.411764705882348</v>
      </c>
      <c r="BN397" s="64">
        <f>IFERROR(Y397*I397/H397,"0")</f>
        <v>74.88</v>
      </c>
      <c r="BO397" s="64">
        <f>IFERROR(1/J397*(X397/H397),"0")</f>
        <v>0.14005602240896362</v>
      </c>
      <c r="BP397" s="64">
        <f>IFERROR(1/J397*(Y397/H397),"0")</f>
        <v>0.14285714285714288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35.686274509803923</v>
      </c>
      <c r="Y398" s="629">
        <f>IFERROR(Y394/H394,"0")+IFERROR(Y395/H395,"0")+IFERROR(Y396/H396,"0")+IFERROR(Y397/H397,"0")</f>
        <v>37</v>
      </c>
      <c r="Z398" s="629">
        <f>IFERROR(IF(Z394="",0,Z394),"0")+IFERROR(IF(Z395="",0,Z395),"0")+IFERROR(IF(Z396="",0,Z396),"0")+IFERROR(IF(Z397="",0,Z397),"0")</f>
        <v>0.24087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91</v>
      </c>
      <c r="Y399" s="629">
        <f>IFERROR(SUM(Y394:Y397),"0")</f>
        <v>94.35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12</v>
      </c>
      <c r="Y401" s="628">
        <f>IFERROR(IF(X401="",0,CEILING((X401/$H401),1)*$H401),"")</f>
        <v>12</v>
      </c>
      <c r="Z401" s="36">
        <f>IFERROR(IF(Y401=0,"",ROUNDUP(Y401/H401,0)*0.00474),"")</f>
        <v>2.844E-2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13.440000000000001</v>
      </c>
      <c r="BN401" s="64">
        <f>IFERROR(Y401*I401/H401,"0")</f>
        <v>13.440000000000001</v>
      </c>
      <c r="BO401" s="64">
        <f>IFERROR(1/J401*(X401/H401),"0")</f>
        <v>2.5210084033613446E-2</v>
      </c>
      <c r="BP401" s="64">
        <f>IFERROR(1/J401*(Y401/H401),"0")</f>
        <v>2.5210084033613446E-2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11</v>
      </c>
      <c r="Y402" s="628">
        <f>IFERROR(IF(X402="",0,CEILING((X402/$H402),1)*$H402),"")</f>
        <v>12</v>
      </c>
      <c r="Z402" s="36">
        <f>IFERROR(IF(Y402=0,"",ROUNDUP(Y402/H402,0)*0.00474),"")</f>
        <v>2.844E-2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12.32</v>
      </c>
      <c r="BN402" s="64">
        <f>IFERROR(Y402*I402/H402,"0")</f>
        <v>13.440000000000001</v>
      </c>
      <c r="BO402" s="64">
        <f>IFERROR(1/J402*(X402/H402),"0")</f>
        <v>2.3109243697478989E-2</v>
      </c>
      <c r="BP402" s="64">
        <f>IFERROR(1/J402*(Y402/H402),"0")</f>
        <v>2.5210084033613446E-2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24</v>
      </c>
      <c r="Y403" s="628">
        <f>IFERROR(IF(X403="",0,CEILING((X403/$H403),1)*$H403),"")</f>
        <v>24</v>
      </c>
      <c r="Z403" s="36">
        <f>IFERROR(IF(Y403=0,"",ROUNDUP(Y403/H403,0)*0.00474),"")</f>
        <v>5.688E-2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26.880000000000003</v>
      </c>
      <c r="BN403" s="64">
        <f>IFERROR(Y403*I403/H403,"0")</f>
        <v>26.880000000000003</v>
      </c>
      <c r="BO403" s="64">
        <f>IFERROR(1/J403*(X403/H403),"0")</f>
        <v>5.0420168067226892E-2</v>
      </c>
      <c r="BP403" s="64">
        <f>IFERROR(1/J403*(Y403/H403),"0")</f>
        <v>5.0420168067226892E-2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23.5</v>
      </c>
      <c r="Y404" s="629">
        <f>IFERROR(Y401/H401,"0")+IFERROR(Y402/H402,"0")+IFERROR(Y403/H403,"0")</f>
        <v>24</v>
      </c>
      <c r="Z404" s="629">
        <f>IFERROR(IF(Z401="",0,Z401),"0")+IFERROR(IF(Z402="",0,Z402),"0")+IFERROR(IF(Z403="",0,Z403),"0")</f>
        <v>0.11376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47</v>
      </c>
      <c r="Y405" s="629">
        <f>IFERROR(SUM(Y401:Y403),"0")</f>
        <v>48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85</v>
      </c>
      <c r="Y415" s="628">
        <f>IFERROR(IF(X415="",0,CEILING((X415/$H415),1)*$H415),"")</f>
        <v>86.100000000000009</v>
      </c>
      <c r="Z415" s="36">
        <f>IFERROR(IF(Y415=0,"",ROUNDUP(Y415/H415,0)*0.00651),"")</f>
        <v>0.26690999999999998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95.199999999999989</v>
      </c>
      <c r="BN415" s="64">
        <f>IFERROR(Y415*I415/H415,"0")</f>
        <v>96.432000000000002</v>
      </c>
      <c r="BO415" s="64">
        <f>IFERROR(1/J415*(X415/H415),"0")</f>
        <v>0.22239665096807953</v>
      </c>
      <c r="BP415" s="64">
        <f>IFERROR(1/J415*(Y415/H415),"0")</f>
        <v>0.22527472527472528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18</v>
      </c>
      <c r="Y416" s="628">
        <f>IFERROR(IF(X416="",0,CEILING((X416/$H416),1)*$H416),"")</f>
        <v>18.900000000000002</v>
      </c>
      <c r="Z416" s="36">
        <f>IFERROR(IF(Y416=0,"",ROUNDUP(Y416/H416,0)*0.00651),"")</f>
        <v>5.8590000000000003E-2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20.057142857142853</v>
      </c>
      <c r="BN416" s="64">
        <f>IFERROR(Y416*I416/H416,"0")</f>
        <v>21.06</v>
      </c>
      <c r="BO416" s="64">
        <f>IFERROR(1/J416*(X416/H416),"0")</f>
        <v>4.709576138147567E-2</v>
      </c>
      <c r="BP416" s="64">
        <f>IFERROR(1/J416*(Y416/H416),"0")</f>
        <v>4.9450549450549455E-2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49.047619047619044</v>
      </c>
      <c r="Y417" s="629">
        <f>IFERROR(Y414/H414,"0")+IFERROR(Y415/H415,"0")+IFERROR(Y416/H416,"0")</f>
        <v>50</v>
      </c>
      <c r="Z417" s="629">
        <f>IFERROR(IF(Z414="",0,Z414),"0")+IFERROR(IF(Z415="",0,Z415),"0")+IFERROR(IF(Z416="",0,Z416),"0")</f>
        <v>0.32550000000000001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103</v>
      </c>
      <c r="Y418" s="629">
        <f>IFERROR(SUM(Y414:Y416),"0")</f>
        <v>105.00000000000001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90</v>
      </c>
      <c r="Y422" s="628">
        <f t="shared" ref="Y422:Y429" si="47">IFERROR(IF(X422="",0,CEILING((X422/$H422),1)*$H422),"")</f>
        <v>90</v>
      </c>
      <c r="Z422" s="36">
        <f>IFERROR(IF(Y422=0,"",ROUNDUP(Y422/H422,0)*0.02175),"")</f>
        <v>0.1305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92.82</v>
      </c>
      <c r="BN422" s="64">
        <f t="shared" ref="BN422:BN429" si="49">IFERROR(Y422*I422/H422,"0")</f>
        <v>92.82</v>
      </c>
      <c r="BO422" s="64">
        <f t="shared" ref="BO422:BO429" si="50">IFERROR(1/J422*(X422/H422),"0")</f>
        <v>0.125</v>
      </c>
      <c r="BP422" s="64">
        <f t="shared" ref="BP422:BP429" si="51">IFERROR(1/J422*(Y422/H422),"0")</f>
        <v>0.125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571</v>
      </c>
      <c r="Y424" s="628">
        <f t="shared" si="47"/>
        <v>585</v>
      </c>
      <c r="Z424" s="36">
        <f>IFERROR(IF(Y424=0,"",ROUNDUP(Y424/H424,0)*0.02175),"")</f>
        <v>0.84824999999999995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588.89133333333336</v>
      </c>
      <c r="BN424" s="64">
        <f t="shared" si="49"/>
        <v>603.33000000000004</v>
      </c>
      <c r="BO424" s="64">
        <f t="shared" si="50"/>
        <v>0.79305555555555562</v>
      </c>
      <c r="BP424" s="64">
        <f t="shared" si="51"/>
        <v>0.8125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44.06666666666667</v>
      </c>
      <c r="Y430" s="629">
        <f>IFERROR(Y422/H422,"0")+IFERROR(Y423/H423,"0")+IFERROR(Y424/H424,"0")+IFERROR(Y425/H425,"0")+IFERROR(Y426/H426,"0")+IFERROR(Y427/H427,"0")+IFERROR(Y428/H428,"0")+IFERROR(Y429/H429,"0")</f>
        <v>45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0.97875000000000001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661</v>
      </c>
      <c r="Y431" s="629">
        <f>IFERROR(SUM(Y422:Y429),"0")</f>
        <v>675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63</v>
      </c>
      <c r="Y434" s="628">
        <f>IFERROR(IF(X434="",0,CEILING((X434/$H434),1)*$H434),"")</f>
        <v>75</v>
      </c>
      <c r="Z434" s="36">
        <f>IFERROR(IF(Y434=0,"",ROUNDUP(Y434/H434,0)*0.02175),"")</f>
        <v>0.10874999999999999</v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64.974000000000004</v>
      </c>
      <c r="BN434" s="64">
        <f>IFERROR(Y434*I434/H434,"0")</f>
        <v>77.349999999999994</v>
      </c>
      <c r="BO434" s="64">
        <f>IFERROR(1/J434*(X434/H434),"0")</f>
        <v>8.7499999999999994E-2</v>
      </c>
      <c r="BP434" s="64">
        <f>IFERROR(1/J434*(Y434/H434),"0")</f>
        <v>0.10416666666666666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4.2</v>
      </c>
      <c r="Y436" s="629">
        <f>IFERROR(Y433/H433,"0")+IFERROR(Y434/H434,"0")+IFERROR(Y435/H435,"0")</f>
        <v>5</v>
      </c>
      <c r="Z436" s="629">
        <f>IFERROR(IF(Z433="",0,Z433),"0")+IFERROR(IF(Z434="",0,Z434),"0")+IFERROR(IF(Z435="",0,Z435),"0")</f>
        <v>0.10874999999999999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63</v>
      </c>
      <c r="Y437" s="629">
        <f>IFERROR(SUM(Y433:Y435),"0")</f>
        <v>75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1200</v>
      </c>
      <c r="Y460" s="628">
        <f>IFERROR(IF(X460="",0,CEILING((X460/$H460),1)*$H460),"")</f>
        <v>1206</v>
      </c>
      <c r="Z460" s="36">
        <f>IFERROR(IF(Y460=0,"",ROUNDUP(Y460/H460,0)*0.01898),"")</f>
        <v>2.54332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1265.8666666666666</v>
      </c>
      <c r="BN460" s="64">
        <f>IFERROR(Y460*I460/H460,"0")</f>
        <v>1272.1959999999999</v>
      </c>
      <c r="BO460" s="64">
        <f>IFERROR(1/J460*(X460/H460),"0")</f>
        <v>2.0833333333333335</v>
      </c>
      <c r="BP460" s="64">
        <f>IFERROR(1/J460*(Y460/H460),"0")</f>
        <v>2.09375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128</v>
      </c>
      <c r="Y461" s="628">
        <f>IFERROR(IF(X461="",0,CEILING((X461/$H461),1)*$H461),"")</f>
        <v>129.6</v>
      </c>
      <c r="Z461" s="36">
        <f>IFERROR(IF(Y461=0,"",ROUNDUP(Y461/H461,0)*0.00651),"")</f>
        <v>0.35154000000000002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142.08000000000001</v>
      </c>
      <c r="BN461" s="64">
        <f>IFERROR(Y461*I461/H461,"0")</f>
        <v>143.85599999999999</v>
      </c>
      <c r="BO461" s="64">
        <f>IFERROR(1/J461*(X461/H461),"0")</f>
        <v>0.29304029304029305</v>
      </c>
      <c r="BP461" s="64">
        <f>IFERROR(1/J461*(Y461/H461),"0")</f>
        <v>0.2967032967032967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186.66666666666669</v>
      </c>
      <c r="Y463" s="629">
        <f>IFERROR(Y460/H460,"0")+IFERROR(Y461/H461,"0")+IFERROR(Y462/H462,"0")</f>
        <v>188</v>
      </c>
      <c r="Z463" s="629">
        <f>IFERROR(IF(Z460="",0,Z460),"0")+IFERROR(IF(Z461="",0,Z461),"0")+IFERROR(IF(Z462="",0,Z462),"0")</f>
        <v>2.89486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1328</v>
      </c>
      <c r="Y464" s="629">
        <f>IFERROR(SUM(Y460:Y462),"0")</f>
        <v>1335.6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1446</v>
      </c>
      <c r="Y498" s="628">
        <f t="shared" si="57"/>
        <v>1446.72</v>
      </c>
      <c r="Z498" s="36">
        <f t="shared" si="58"/>
        <v>3.27704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1541.8522727272725</v>
      </c>
      <c r="BN498" s="64">
        <f t="shared" si="60"/>
        <v>1542.62</v>
      </c>
      <c r="BO498" s="64">
        <f t="shared" si="61"/>
        <v>2.6333041958041958</v>
      </c>
      <c r="BP498" s="64">
        <f t="shared" si="62"/>
        <v>2.6346153846153846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1902</v>
      </c>
      <c r="Y500" s="628">
        <f t="shared" si="57"/>
        <v>1906.0800000000002</v>
      </c>
      <c r="Z500" s="36">
        <f t="shared" si="58"/>
        <v>4.3175600000000003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2028.0795454545455</v>
      </c>
      <c r="BN500" s="64">
        <f t="shared" si="60"/>
        <v>2032.43</v>
      </c>
      <c r="BO500" s="64">
        <f t="shared" si="61"/>
        <v>3.4637237762237763</v>
      </c>
      <c r="BP500" s="64">
        <f t="shared" si="62"/>
        <v>3.4711538461538463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164</v>
      </c>
      <c r="Y502" s="628">
        <f t="shared" si="57"/>
        <v>168</v>
      </c>
      <c r="Z502" s="36">
        <f>IFERROR(IF(Y502=0,"",ROUNDUP(Y502/H502,0)*0.00902),"")</f>
        <v>0.31569999999999998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236.09166666666667</v>
      </c>
      <c r="BN502" s="64">
        <f t="shared" si="60"/>
        <v>241.85000000000002</v>
      </c>
      <c r="BO502" s="64">
        <f t="shared" si="61"/>
        <v>0.25883838383838387</v>
      </c>
      <c r="BP502" s="64">
        <f t="shared" si="62"/>
        <v>0.26515151515151514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230</v>
      </c>
      <c r="Y503" s="628">
        <f t="shared" si="57"/>
        <v>230.39999999999998</v>
      </c>
      <c r="Z503" s="36">
        <f>IFERROR(IF(Y503=0,"",ROUNDUP(Y503/H503,0)*0.00902),"")</f>
        <v>0.43296000000000001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331.10416666666669</v>
      </c>
      <c r="BN503" s="64">
        <f t="shared" si="60"/>
        <v>331.68</v>
      </c>
      <c r="BO503" s="64">
        <f t="shared" si="61"/>
        <v>0.36300505050505055</v>
      </c>
      <c r="BP503" s="64">
        <f t="shared" si="62"/>
        <v>0.36363636363636365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716.17424242424227</v>
      </c>
      <c r="Y504" s="629">
        <f>IFERROR(Y495/H495,"0")+IFERROR(Y496/H496,"0")+IFERROR(Y497/H497,"0")+IFERROR(Y498/H498,"0")+IFERROR(Y499/H499,"0")+IFERROR(Y500/H500,"0")+IFERROR(Y501/H501,"0")+IFERROR(Y502/H502,"0")+IFERROR(Y503/H503,"0")</f>
        <v>718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8.343259999999999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3742</v>
      </c>
      <c r="Y505" s="629">
        <f>IFERROR(SUM(Y495:Y503),"0")</f>
        <v>3751.2000000000003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1737</v>
      </c>
      <c r="Y507" s="628">
        <f>IFERROR(IF(X507="",0,CEILING((X507/$H507),1)*$H507),"")</f>
        <v>1737.1200000000001</v>
      </c>
      <c r="Z507" s="36">
        <f>IFERROR(IF(Y507=0,"",ROUNDUP(Y507/H507,0)*0.01196),"")</f>
        <v>3.9348399999999999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1852.1420454545453</v>
      </c>
      <c r="BN507" s="64">
        <f>IFERROR(Y507*I507/H507,"0")</f>
        <v>1852.27</v>
      </c>
      <c r="BO507" s="64">
        <f>IFERROR(1/J507*(X507/H507),"0")</f>
        <v>3.1632430069930066</v>
      </c>
      <c r="BP507" s="64">
        <f>IFERROR(1/J507*(Y507/H507),"0")</f>
        <v>3.1634615384615388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60</v>
      </c>
      <c r="Y509" s="628">
        <f>IFERROR(IF(X509="",0,CEILING((X509/$H509),1)*$H509),"")</f>
        <v>62.4</v>
      </c>
      <c r="Z509" s="36">
        <f>IFERROR(IF(Y509=0,"",ROUNDUP(Y509/H509,0)*0.00902),"")</f>
        <v>0.11726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86.375000000000014</v>
      </c>
      <c r="BN509" s="64">
        <f>IFERROR(Y509*I509/H509,"0")</f>
        <v>89.830000000000013</v>
      </c>
      <c r="BO509" s="64">
        <f>IFERROR(1/J509*(X509/H509),"0")</f>
        <v>9.4696969696969696E-2</v>
      </c>
      <c r="BP509" s="64">
        <f>IFERROR(1/J509*(Y509/H509),"0")</f>
        <v>9.8484848484848481E-2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341.47727272727269</v>
      </c>
      <c r="Y510" s="629">
        <f>IFERROR(Y507/H507,"0")+IFERROR(Y508/H508,"0")+IFERROR(Y509/H509,"0")</f>
        <v>342</v>
      </c>
      <c r="Z510" s="629">
        <f>IFERROR(IF(Z507="",0,Z507),"0")+IFERROR(IF(Z508="",0,Z508),"0")+IFERROR(IF(Z509="",0,Z509),"0")</f>
        <v>4.0521000000000003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1797</v>
      </c>
      <c r="Y511" s="629">
        <f>IFERROR(SUM(Y507:Y509),"0")</f>
        <v>1799.5200000000002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343</v>
      </c>
      <c r="Y513" s="628">
        <f t="shared" ref="Y513:Y519" si="63">IFERROR(IF(X513="",0,CEILING((X513/$H513),1)*$H513),"")</f>
        <v>343.2</v>
      </c>
      <c r="Z513" s="36">
        <f>IFERROR(IF(Y513=0,"",ROUNDUP(Y513/H513,0)*0.01196),"")</f>
        <v>0.77739999999999998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365.73674242424238</v>
      </c>
      <c r="BN513" s="64">
        <f t="shared" ref="BN513:BN519" si="65">IFERROR(Y513*I513/H513,"0")</f>
        <v>365.95</v>
      </c>
      <c r="BO513" s="64">
        <f t="shared" ref="BO513:BO519" si="66">IFERROR(1/J513*(X513/H513),"0")</f>
        <v>0.62463578088578087</v>
      </c>
      <c r="BP513" s="64">
        <f t="shared" ref="BP513:BP519" si="67">IFERROR(1/J513*(Y513/H513),"0")</f>
        <v>0.625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723</v>
      </c>
      <c r="Y514" s="628">
        <f t="shared" si="63"/>
        <v>723.36</v>
      </c>
      <c r="Z514" s="36">
        <f>IFERROR(IF(Y514=0,"",ROUNDUP(Y514/H514,0)*0.01196),"")</f>
        <v>1.63852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770.92613636363626</v>
      </c>
      <c r="BN514" s="64">
        <f t="shared" si="65"/>
        <v>771.31</v>
      </c>
      <c r="BO514" s="64">
        <f t="shared" si="66"/>
        <v>1.3166520979020979</v>
      </c>
      <c r="BP514" s="64">
        <f t="shared" si="67"/>
        <v>1.3173076923076923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784</v>
      </c>
      <c r="Y515" s="628">
        <f t="shared" si="63"/>
        <v>786.72</v>
      </c>
      <c r="Z515" s="36">
        <f>IFERROR(IF(Y515=0,"",ROUNDUP(Y515/H515,0)*0.01196),"")</f>
        <v>1.7820400000000001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835.969696969697</v>
      </c>
      <c r="BN515" s="64">
        <f t="shared" si="65"/>
        <v>838.87</v>
      </c>
      <c r="BO515" s="64">
        <f t="shared" si="66"/>
        <v>1.4277389277389276</v>
      </c>
      <c r="BP515" s="64">
        <f t="shared" si="67"/>
        <v>1.4326923076923077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350.37878787878788</v>
      </c>
      <c r="Y520" s="629">
        <f>IFERROR(Y513/H513,"0")+IFERROR(Y514/H514,"0")+IFERROR(Y515/H515,"0")+IFERROR(Y516/H516,"0")+IFERROR(Y517/H517,"0")+IFERROR(Y518/H518,"0")+IFERROR(Y519/H519,"0")</f>
        <v>351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4.1979600000000001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1850</v>
      </c>
      <c r="Y521" s="629">
        <f>IFERROR(SUM(Y513:Y519),"0")</f>
        <v>1853.28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17472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17649.77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18800.674311318711</v>
      </c>
      <c r="Y551" s="629">
        <f>IFERROR(SUM(BN22:BN547),"0")</f>
        <v>18991.157000000003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33</v>
      </c>
      <c r="Y552" s="38">
        <f>ROUNDUP(SUM(BP22:BP547),0)</f>
        <v>33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19625.674311318711</v>
      </c>
      <c r="Y553" s="629">
        <f>GrossWeightTotalR+PalletQtyTotalR*25</f>
        <v>19816.157000000003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3793.4845612154436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3829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39.85869000000001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23.400000000000002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768.30000000000007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465</v>
      </c>
      <c r="F560" s="46">
        <f>IFERROR(Y88*1,"0")+IFERROR(Y89*1,"0")+IFERROR(Y90*1,"0")+IFERROR(Y91*1,"0")+IFERROR(Y95*1,"0")+IFERROR(Y96*1,"0")+IFERROR(Y97*1,"0")+IFERROR(Y98*1,"0")</f>
        <v>942.3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2456.6400000000003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853.43999999999994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221.74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1390.8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7.6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413.4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512.55000000000007</v>
      </c>
      <c r="U560" s="46">
        <f>IFERROR(Y414*1,"0")+IFERROR(Y415*1,"0")+IFERROR(Y416*1,"0")</f>
        <v>105.00000000000001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750</v>
      </c>
      <c r="W560" s="46">
        <f>IFERROR(Y451*1,"0")+IFERROR(Y452*1,"0")+IFERROR(Y456*1,"0")+IFERROR(Y460*1,"0")+IFERROR(Y461*1,"0")+IFERROR(Y462*1,"0")</f>
        <v>1335.6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7404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2026-07-29T10:14:35Z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