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4AC584A-6952-47F9-92AB-93FF823168D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<sst xmlns="http://schemas.openxmlformats.org/spreadsheetml/2006/main" count="3643" uniqueCount="787">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</sst>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3" zoomScaleNormal="100" zoomScaleSheetLayoutView="100" workbookViewId="0">
      <selection activeCell="Z494" sqref="Z49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/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 xml:space="preserve"> 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46231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>
        <v>0.54166666666666663</v>
      </c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777.6</v>
      </c>
      <c r="Y42" s="53">
        <f>IFERROR(IF(X42="",0,CEILING((X42/$H42),1)*$H42),"")</f>
        <v>777.6</v>
      </c>
      <c r="Z42" s="39">
        <f>IFERROR(IF(Y42=0,"",ROUNDUP(Y42/H42,0)*0.01898),"")</f>
        <v>1.36656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807.12</v>
      </c>
      <c r="BN42" s="75">
        <f>IFERROR(Y42*I42/H42,"0")</f>
        <v>807.12</v>
      </c>
      <c r="BO42" s="75">
        <f>IFERROR(1/J42*(X42/H42),"0")</f>
        <v>1.125</v>
      </c>
      <c r="BP42" s="75">
        <f>IFERROR(1/J42*(Y42/H42),"0")</f>
        <v>1.125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72</v>
      </c>
      <c r="Y45" s="41">
        <f>IFERROR(Y42/H42,"0")+IFERROR(Y43/H43,"0")+IFERROR(Y44/H44,"0")</f>
        <v>72</v>
      </c>
      <c r="Z45" s="41">
        <f>IFERROR(IF(Z42="",0,Z42),"0")+IFERROR(IF(Z43="",0,Z43),"0")+IFERROR(IF(Z44="",0,Z44),"0")</f>
        <v>1.36656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777.6</v>
      </c>
      <c r="Y46" s="41">
        <f>IFERROR(SUM(Y42:Y44),"0")</f>
        <v>777.6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345.6</v>
      </c>
      <c r="Y54" s="53">
        <f t="shared" si="6"/>
        <v>345.6</v>
      </c>
      <c r="Z54" s="39">
        <f>IFERROR(IF(Y54=0,"",ROUNDUP(Y54/H54,0)*0.01898),"")</f>
        <v>0.60736000000000001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358.72</v>
      </c>
      <c r="BN54" s="75">
        <f t="shared" si="8"/>
        <v>358.72</v>
      </c>
      <c r="BO54" s="75">
        <f t="shared" si="9"/>
        <v>0.5</v>
      </c>
      <c r="BP54" s="75">
        <f t="shared" si="10"/>
        <v>0.5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48</v>
      </c>
      <c r="Y59" s="41">
        <f>IFERROR(Y53/H53,"0")+IFERROR(Y54/H54,"0")+IFERROR(Y55/H55,"0")+IFERROR(Y56/H56,"0")+IFERROR(Y57/H57,"0")+IFERROR(Y58/H58,"0")</f>
        <v>48</v>
      </c>
      <c r="Z59" s="41">
        <f>IFERROR(IF(Z53="",0,Z53),"0")+IFERROR(IF(Z54="",0,Z54),"0")+IFERROR(IF(Z55="",0,Z55),"0")+IFERROR(IF(Z56="",0,Z56),"0")+IFERROR(IF(Z57="",0,Z57),"0")+IFERROR(IF(Z58="",0,Z58),"0")</f>
        <v>0.91104000000000007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524.79999999999995</v>
      </c>
      <c r="Y60" s="41">
        <f>IFERROR(SUM(Y53:Y58),"0")</f>
        <v>524.79999999999995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345.6</v>
      </c>
      <c r="Y62" s="53">
        <f>IFERROR(IF(X62="",0,CEILING((X62/$H62),1)*$H62),"")</f>
        <v>345.6</v>
      </c>
      <c r="Z62" s="39">
        <f>IFERROR(IF(Y62=0,"",ROUNDUP(Y62/H62,0)*0.01898),"")</f>
        <v>0.60736000000000001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358.72</v>
      </c>
      <c r="BN62" s="75">
        <f>IFERROR(Y62*I62/H62,"0")</f>
        <v>358.72</v>
      </c>
      <c r="BO62" s="75">
        <f>IFERROR(1/J62*(X62/H62),"0")</f>
        <v>0.5</v>
      </c>
      <c r="BP62" s="75">
        <f>IFERROR(1/J62*(Y62/H62),"0")</f>
        <v>0.5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32</v>
      </c>
      <c r="Y66" s="41">
        <f>IFERROR(Y62/H62,"0")+IFERROR(Y63/H63,"0")+IFERROR(Y64/H64,"0")+IFERROR(Y65/H65,"0")</f>
        <v>32</v>
      </c>
      <c r="Z66" s="41">
        <f>IFERROR(IF(Z62="",0,Z62),"0")+IFERROR(IF(Z63="",0,Z63),"0")+IFERROR(IF(Z64="",0,Z64),"0")+IFERROR(IF(Z65="",0,Z65),"0")</f>
        <v>0.60736000000000001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345.6</v>
      </c>
      <c r="Y67" s="41">
        <f>IFERROR(SUM(Y62:Y65),"0")</f>
        <v>345.6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62.4</v>
      </c>
      <c r="Y80" s="53">
        <f>IFERROR(IF(X80="",0,CEILING((X80/$H80),1)*$H80),"")</f>
        <v>62.4</v>
      </c>
      <c r="Z80" s="39">
        <f>IFERROR(IF(Y80=0,"",ROUNDUP(Y80/H80,0)*0.01898),"")</f>
        <v>0.15184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65.680000000000007</v>
      </c>
      <c r="BN80" s="75">
        <f>IFERROR(Y80*I80/H80,"0")</f>
        <v>65.680000000000007</v>
      </c>
      <c r="BO80" s="75">
        <f>IFERROR(1/J80*(X80/H80),"0")</f>
        <v>0.125</v>
      </c>
      <c r="BP80" s="75">
        <f>IFERROR(1/J80*(Y80/H80),"0")</f>
        <v>0.125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8</v>
      </c>
      <c r="Y82" s="41">
        <f>IFERROR(Y80/H80,"0")+IFERROR(Y81/H81,"0")</f>
        <v>8</v>
      </c>
      <c r="Z82" s="41">
        <f>IFERROR(IF(Z80="",0,Z80),"0")+IFERROR(IF(Z81="",0,Z81),"0")</f>
        <v>0.15184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62.4</v>
      </c>
      <c r="Y83" s="41">
        <f>IFERROR(SUM(Y80:Y81),"0")</f>
        <v>62.4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44</v>
      </c>
      <c r="Y97" s="41">
        <f>IFERROR(Y93/H93,"0")+IFERROR(Y94/H94,"0")+IFERROR(Y95/H95,"0")+IFERROR(Y96/H96,"0")</f>
        <v>44</v>
      </c>
      <c r="Z97" s="41">
        <f>IFERROR(IF(Z93="",0,Z93),"0")+IFERROR(IF(Z94="",0,Z94),"0")+IFERROR(IF(Z95="",0,Z95),"0")+IFERROR(IF(Z96="",0,Z96),"0")</f>
        <v>0.48596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205.2</v>
      </c>
      <c r="Y98" s="41">
        <f>IFERROR(SUM(Y93:Y96),"0")</f>
        <v>205.2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36</v>
      </c>
      <c r="Y120" s="41">
        <f>IFERROR(Y116/H116,"0")+IFERROR(Y117/H117,"0")+IFERROR(Y118/H118,"0")+IFERROR(Y119/H119,"0")</f>
        <v>36</v>
      </c>
      <c r="Z120" s="41">
        <f>IFERROR(IF(Z116="",0,Z116),"0")+IFERROR(IF(Z117="",0,Z117),"0")+IFERROR(IF(Z118="",0,Z118),"0")+IFERROR(IF(Z119="",0,Z119),"0")</f>
        <v>0.53364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226.8</v>
      </c>
      <c r="Y121" s="41">
        <f>IFERROR(SUM(Y116:Y119),"0")</f>
        <v>226.79999999999998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100.8</v>
      </c>
      <c r="Y167" s="53">
        <f t="shared" ref="Y167:Y181" si="11">IFERROR(IF(X167="",0,CEILING((X167/$H167),1)*$H167),"")</f>
        <v>100.80000000000001</v>
      </c>
      <c r="Z167" s="39">
        <f>IFERROR(IF(Y167=0,"",ROUNDUP(Y167/H167,0)*0.00902),"")</f>
        <v>0.21648000000000001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106.8</v>
      </c>
      <c r="BN167" s="75">
        <f t="shared" ref="BN167:BN181" si="13">IFERROR(Y167*I167/H167,"0")</f>
        <v>106.80000000000001</v>
      </c>
      <c r="BO167" s="75">
        <f t="shared" ref="BO167:BO181" si="14">IFERROR(1/J167*(X167/H167),"0")</f>
        <v>0.18181818181818182</v>
      </c>
      <c r="BP167" s="75">
        <f t="shared" ref="BP167:BP181" si="15">IFERROR(1/J167*(Y167/H167),"0")</f>
        <v>0.18181818181818182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168</v>
      </c>
      <c r="Y214" s="41">
        <f>IFERROR(Y206/H206,"0")+IFERROR(Y207/H207,"0")+IFERROR(Y208/H208,"0")+IFERROR(Y209/H209,"0")+IFERROR(Y210/H210,"0")+IFERROR(Y211/H211,"0")+IFERROR(Y212/H212,"0")+IFERROR(Y213/H213,"0")</f>
        <v>168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1.5153600000000003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907.19999999999993</v>
      </c>
      <c r="Y215" s="41">
        <f>IFERROR(SUM(Y206:Y213),"0")</f>
        <v>907.19999999999993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28.8</v>
      </c>
      <c r="Y220" s="53">
        <f t="shared" si="21"/>
        <v>28.799999999999997</v>
      </c>
      <c r="Z220" s="39">
        <f t="shared" ref="Z220:Z225" si="26">IFERROR(IF(Y220=0,"",ROUNDUP(Y220/H220,0)*0.00651),"")</f>
        <v>7.8119999999999995E-2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32.04</v>
      </c>
      <c r="BN220" s="75">
        <f t="shared" si="23"/>
        <v>32.039999999999992</v>
      </c>
      <c r="BO220" s="75">
        <f t="shared" si="24"/>
        <v>6.5934065934065936E-2</v>
      </c>
      <c r="BP220" s="75">
        <f t="shared" si="25"/>
        <v>6.5934065934065936E-2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57.6</v>
      </c>
      <c r="Y222" s="53">
        <f t="shared" si="21"/>
        <v>57.599999999999994</v>
      </c>
      <c r="Z222" s="39">
        <f t="shared" si="26"/>
        <v>0.15623999999999999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63.648000000000003</v>
      </c>
      <c r="BN222" s="75">
        <f t="shared" si="23"/>
        <v>63.648000000000003</v>
      </c>
      <c r="BO222" s="75">
        <f t="shared" si="24"/>
        <v>0.13186813186813187</v>
      </c>
      <c r="BP222" s="75">
        <f t="shared" si="25"/>
        <v>0.13186813186813187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28.8</v>
      </c>
      <c r="Y225" s="53">
        <f t="shared" si="21"/>
        <v>28.799999999999997</v>
      </c>
      <c r="Z225" s="39">
        <f t="shared" si="26"/>
        <v>7.8119999999999995E-2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31.896000000000001</v>
      </c>
      <c r="BN225" s="75">
        <f t="shared" si="23"/>
        <v>31.896000000000001</v>
      </c>
      <c r="BO225" s="75">
        <f t="shared" si="24"/>
        <v>6.5934065934065936E-2</v>
      </c>
      <c r="BP225" s="75">
        <f t="shared" si="25"/>
        <v>6.5934065934065936E-2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132</v>
      </c>
      <c r="Y226" s="41">
        <f>IFERROR(Y217/H217,"0")+IFERROR(Y218/H218,"0")+IFERROR(Y219/H219,"0")+IFERROR(Y220/H220,"0")+IFERROR(Y221/H221,"0")+IFERROR(Y222/H222,"0")+IFERROR(Y223/H223,"0")+IFERROR(Y224/H224,"0")+IFERROR(Y225/H225,"0")</f>
        <v>132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1.4578800000000001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619.20000000000005</v>
      </c>
      <c r="Y227" s="41">
        <f>IFERROR(SUM(Y217:Y225),"0")</f>
        <v>619.19999999999993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80</v>
      </c>
      <c r="Y325" s="41">
        <f>IFERROR(Y322/H322,"0")+IFERROR(Y323/H323,"0")+IFERROR(Y324/H324,"0")</f>
        <v>80</v>
      </c>
      <c r="Z325" s="41">
        <f>IFERROR(IF(Z322="",0,Z322),"0")+IFERROR(IF(Z323="",0,Z323),"0")+IFERROR(IF(Z324="",0,Z324),"0")</f>
        <v>1.5184000000000002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643.20000000000005</v>
      </c>
      <c r="Y326" s="41">
        <f>IFERROR(SUM(Y322:Y324),"0")</f>
        <v>643.20000000000005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108</v>
      </c>
      <c r="Y357" s="41">
        <f>IFERROR(Y350/H350,"0")+IFERROR(Y351/H351,"0")+IFERROR(Y352/H352,"0")+IFERROR(Y353/H353,"0")+IFERROR(Y354/H354,"0")+IFERROR(Y355/H355,"0")+IFERROR(Y356/H356,"0")</f>
        <v>108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2.3490000000000002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1620</v>
      </c>
      <c r="Y358" s="41">
        <f>IFERROR(SUM(Y350:Y356),"0")</f>
        <v>1620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240</v>
      </c>
      <c r="Y360" s="53">
        <f>IFERROR(IF(X360="",0,CEILING((X360/$H360),1)*$H360),"")</f>
        <v>240</v>
      </c>
      <c r="Z360" s="39">
        <f>IFERROR(IF(Y360=0,"",ROUNDUP(Y360/H360,0)*0.02175),"")</f>
        <v>0.34799999999999998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247.52</v>
      </c>
      <c r="BN360" s="75">
        <f>IFERROR(Y360*I360/H360,"0")</f>
        <v>247.52</v>
      </c>
      <c r="BO360" s="75">
        <f>IFERROR(1/J360*(X360/H360),"0")</f>
        <v>0.33333333333333331</v>
      </c>
      <c r="BP360" s="75">
        <f>IFERROR(1/J360*(Y360/H360),"0")</f>
        <v>0.33333333333333331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16</v>
      </c>
      <c r="Y362" s="41">
        <f>IFERROR(Y360/H360,"0")+IFERROR(Y361/H361,"0")</f>
        <v>16</v>
      </c>
      <c r="Z362" s="41">
        <f>IFERROR(IF(Z360="",0,Z360),"0")+IFERROR(IF(Z361="",0,Z361),"0")</f>
        <v>0.34799999999999998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240</v>
      </c>
      <c r="Y363" s="41">
        <f>IFERROR(SUM(Y360:Y361),"0")</f>
        <v>240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360</v>
      </c>
      <c r="Y384" s="53">
        <f>IFERROR(IF(X384="",0,CEILING((X384/$H384),1)*$H384),"")</f>
        <v>360</v>
      </c>
      <c r="Z384" s="39">
        <f>IFERROR(IF(Y384=0,"",ROUNDUP(Y384/H384,0)*0.01898),"")</f>
        <v>0.75919999999999999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379.76</v>
      </c>
      <c r="BN384" s="75">
        <f>IFERROR(Y384*I384/H384,"0")</f>
        <v>379.76</v>
      </c>
      <c r="BO384" s="75">
        <f>IFERROR(1/J384*(X384/H384),"0")</f>
        <v>0.625</v>
      </c>
      <c r="BP384" s="75">
        <f>IFERROR(1/J384*(Y384/H384),"0")</f>
        <v>0.625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64</v>
      </c>
      <c r="Y387" s="41">
        <f>IFERROR(Y384/H384,"0")+IFERROR(Y385/H385,"0")+IFERROR(Y386/H386,"0")</f>
        <v>64</v>
      </c>
      <c r="Z387" s="41">
        <f>IFERROR(IF(Z384="",0,Z384),"0")+IFERROR(IF(Z385="",0,Z385),"0")+IFERROR(IF(Z386="",0,Z386),"0")</f>
        <v>0.91544000000000003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417.6</v>
      </c>
      <c r="Y388" s="41">
        <f>IFERROR(SUM(Y384:Y386),"0")</f>
        <v>417.6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337.92</v>
      </c>
      <c r="Y433" s="53">
        <f t="shared" si="48"/>
        <v>337.92</v>
      </c>
      <c r="Z433" s="39">
        <f t="shared" si="49"/>
        <v>0.76544000000000001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360.32</v>
      </c>
      <c r="BN433" s="75">
        <f t="shared" si="51"/>
        <v>360.32</v>
      </c>
      <c r="BO433" s="75">
        <f t="shared" si="52"/>
        <v>0.61538461538461542</v>
      </c>
      <c r="BP433" s="75">
        <f t="shared" si="53"/>
        <v>0.61538461538461542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126.72</v>
      </c>
      <c r="Y449" s="53">
        <f t="shared" si="54"/>
        <v>126.72</v>
      </c>
      <c r="Z449" s="39">
        <f>IFERROR(IF(Y449=0,"",ROUNDUP(Y449/H449,0)*0.01196),"")</f>
        <v>0.28704000000000002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135.11999999999998</v>
      </c>
      <c r="BN449" s="75">
        <f t="shared" si="56"/>
        <v>135.11999999999998</v>
      </c>
      <c r="BO449" s="75">
        <f t="shared" si="57"/>
        <v>0.23076923076923078</v>
      </c>
      <c r="BP449" s="75">
        <f t="shared" si="58"/>
        <v>0.23076923076923078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56</v>
      </c>
      <c r="Y455" s="41">
        <f>IFERROR(Y448/H448,"0")+IFERROR(Y449/H449,"0")+IFERROR(Y450/H450,"0")+IFERROR(Y451/H451,"0")+IFERROR(Y452/H452,"0")+IFERROR(Y453/H453,"0")+IFERROR(Y454/H454,"0")</f>
        <v>56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0.66976000000000002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295.68</v>
      </c>
      <c r="Y456" s="41">
        <f>IFERROR(SUM(Y448:Y454),"0")</f>
        <v>295.68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8809.7200000000012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8809.7200000000012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9222.0680000000029</v>
      </c>
      <c r="Y489" s="41">
        <f>IFERROR(SUM(BN22:BN485),"0")</f>
        <v>9222.0680000000029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9597.0680000000029</v>
      </c>
      <c r="Y491" s="41">
        <f>GrossWeightTotalR+PalletQtyTotalR*25</f>
        <v>9597.0680000000029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1182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1182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16.716920000000002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777.6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932.8</v>
      </c>
      <c r="E498" s="50">
        <f>IFERROR(Y86*1,"0")+IFERROR(Y87*1,"0")+IFERROR(Y88*1,"0")+IFERROR(Y89*1,"0")+IFERROR(Y93*1,"0")+IFERROR(Y94*1,"0")+IFERROR(Y95*1,"0")+IFERROR(Y96*1,"0")</f>
        <v>464.40000000000009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918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1526.3999999999999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643.20000000000005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1932</v>
      </c>
      <c r="T498" s="50">
        <f>IFERROR(Y375*1,"0")+IFERROR(Y376*1,"0")+IFERROR(Y380*1,"0")+IFERROR(Y384*1,"0")+IFERROR(Y385*1,"0")+IFERROR(Y386*1,"0")</f>
        <v>417.6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760.32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2026-07-28T10:47:09Z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