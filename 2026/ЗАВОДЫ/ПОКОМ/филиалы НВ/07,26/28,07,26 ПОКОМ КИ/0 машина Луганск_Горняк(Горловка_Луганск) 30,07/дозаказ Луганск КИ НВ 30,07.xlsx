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 машина Луганск_Горняк(Горловка_Луганск) 30,07\"/>
    </mc:Choice>
  </mc:AlternateContent>
  <xr:revisionPtr revIDLastSave="0" documentId="13_ncr:1_{336E0C90-E463-456E-8D10-AA0219EC2D6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<sst xmlns="http://schemas.openxmlformats.org/spreadsheetml/2006/main" count="4219" uniqueCount="908">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</sst>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2900</v>
      </c>
      <c r="Y423" s="55">
        <f t="shared" si="47"/>
        <v>2910</v>
      </c>
      <c r="Z423" s="41">
        <f>IFERROR(IF(Y423=0,"",ROUNDUP(Y423/H423,0)*0.02175),"")</f>
        <v>4.2195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2990.8666666666668</v>
      </c>
      <c r="BN423" s="78">
        <f t="shared" si="49"/>
        <v>3001.1800000000003</v>
      </c>
      <c r="BO423" s="78">
        <f t="shared" si="50"/>
        <v>4.0277777777777777</v>
      </c>
      <c r="BP423" s="78">
        <f t="shared" si="51"/>
        <v>4.0416666666666661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1800</v>
      </c>
      <c r="Y425" s="55">
        <f t="shared" si="47"/>
        <v>1800</v>
      </c>
      <c r="Z425" s="41">
        <f>IFERROR(IF(Y425=0,"",ROUNDUP(Y425/H425,0)*0.02175),"")</f>
        <v>2.61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1856.4</v>
      </c>
      <c r="BN425" s="78">
        <f t="shared" si="49"/>
        <v>1856.4</v>
      </c>
      <c r="BO425" s="78">
        <f t="shared" si="50"/>
        <v>2.5</v>
      </c>
      <c r="BP425" s="78">
        <f t="shared" si="51"/>
        <v>2.5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1000</v>
      </c>
      <c r="Y426" s="55">
        <f t="shared" si="47"/>
        <v>1005</v>
      </c>
      <c r="Z426" s="41">
        <f>IFERROR(IF(Y426=0,"",ROUNDUP(Y426/H426,0)*0.02175),"")</f>
        <v>1.4572499999999999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1031.3333333333333</v>
      </c>
      <c r="BN426" s="78">
        <f t="shared" si="49"/>
        <v>1036.49</v>
      </c>
      <c r="BO426" s="78">
        <f t="shared" si="50"/>
        <v>1.3888888888888888</v>
      </c>
      <c r="BP426" s="78">
        <f t="shared" si="51"/>
        <v>1.3958333333333333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380.00000000000006</v>
      </c>
      <c r="Y430" s="43">
        <f>IFERROR(Y422/H422,"0")+IFERROR(Y423/H423,"0")+IFERROR(Y424/H424,"0")+IFERROR(Y425/H425,"0")+IFERROR(Y426/H426,"0")+IFERROR(Y427/H427,"0")+IFERROR(Y428/H428,"0")+IFERROR(Y429/H429,"0")</f>
        <v>381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8.2867499999999996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5700</v>
      </c>
      <c r="Y431" s="43">
        <f>IFERROR(SUM(Y422:Y429),"0")</f>
        <v>5715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5700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5715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5878.5999999999995</v>
      </c>
      <c r="Y551" s="43">
        <f>IFERROR(SUM(BN22:BN547),"0")</f>
        <v>5894.07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8</v>
      </c>
      <c r="Y552" s="44">
        <f>ROUNDUP(SUM(BP22:BP547),0)</f>
        <v>8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6078.5999999999995</v>
      </c>
      <c r="Y553" s="43">
        <f>GrossWeightTotalR+PalletQtyTotalR*25</f>
        <v>6094.07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380.00000000000006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381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8.2867499999999996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5715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2026-07-29T12:11:20Z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