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5B6E669-103E-4AE2-9773-76774310908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<sst xmlns="http://schemas.openxmlformats.org/spreadsheetml/2006/main" count="3643" uniqueCount="787">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</sst>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/>
      <c r="R5" s="870"/>
      <c r="T5" s="871" t="s">
        <v>3</v>
      </c>
      <c r="U5" s="872"/>
      <c r="V5" s="873" t="s">
        <v>750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 xml:space="preserve"> 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46231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67.2</v>
      </c>
      <c r="Y322" s="55">
        <f>IFERROR(IF(X322="",0,CEILING((X322/$H322),1)*$H322),"")</f>
        <v>67.2</v>
      </c>
      <c r="Z322" s="41">
        <f>IFERROR(IF(Y322=0,"",ROUNDUP(Y322/H322,0)*0.01898),"")</f>
        <v>0.15184</v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71.152000000000001</v>
      </c>
      <c r="BN322" s="78">
        <f>IFERROR(Y322*I322/H322,"0")</f>
        <v>71.152000000000001</v>
      </c>
      <c r="BO322" s="78">
        <f>IFERROR(1/J322*(X322/H322),"0")</f>
        <v>0.125</v>
      </c>
      <c r="BP322" s="78">
        <f>IFERROR(1/J322*(Y322/H322),"0")</f>
        <v>0.125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62.4</v>
      </c>
      <c r="Y323" s="55">
        <f>IFERROR(IF(X323="",0,CEILING((X323/$H323),1)*$H323),"")</f>
        <v>62.4</v>
      </c>
      <c r="Z323" s="41">
        <f>IFERROR(IF(Y323=0,"",ROUNDUP(Y323/H323,0)*0.01898),"")</f>
        <v>0.15184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66.352000000000004</v>
      </c>
      <c r="BN323" s="78">
        <f>IFERROR(Y323*I323/H323,"0")</f>
        <v>66.352000000000004</v>
      </c>
      <c r="BO323" s="78">
        <f>IFERROR(1/J323*(X323/H323),"0")</f>
        <v>0.125</v>
      </c>
      <c r="BP323" s="78">
        <f>IFERROR(1/J323*(Y323/H323),"0")</f>
        <v>0.125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129.6</v>
      </c>
      <c r="Y326" s="43">
        <f>IFERROR(SUM(Y322:Y324),"0")</f>
        <v>129.6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64.8</v>
      </c>
      <c r="Y342" s="55">
        <f>IFERROR(IF(X342="",0,CEILING((X342/$H342),1)*$H342),"")</f>
        <v>64.8</v>
      </c>
      <c r="Z342" s="41">
        <f>IFERROR(IF(Y342=0,"",ROUNDUP(Y342/H342,0)*0.01898),"")</f>
        <v>0.15184</v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68.751999999999995</v>
      </c>
      <c r="BN342" s="78">
        <f>IFERROR(Y342*I342/H342,"0")</f>
        <v>68.751999999999995</v>
      </c>
      <c r="BO342" s="78">
        <f>IFERROR(1/J342*(X342/H342),"0")</f>
        <v>0.125</v>
      </c>
      <c r="BP342" s="78">
        <f>IFERROR(1/J342*(Y342/H342),"0")</f>
        <v>0.125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8</v>
      </c>
      <c r="Y345" s="43">
        <f>IFERROR(Y342/H342,"0")+IFERROR(Y343/H343,"0")+IFERROR(Y344/H344,"0")</f>
        <v>8</v>
      </c>
      <c r="Z345" s="43">
        <f>IFERROR(IF(Z342="",0,Z342),"0")+IFERROR(IF(Z343="",0,Z343),"0")+IFERROR(IF(Z344="",0,Z344),"0")</f>
        <v>0.15184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64.8</v>
      </c>
      <c r="Y346" s="43">
        <f>IFERROR(SUM(Y342:Y344),"0")</f>
        <v>64.8</v>
      </c>
      <c r="Z346" s="42"/>
      <c r="AA346" s="67"/>
      <c r="AB346" s="67"/>
      <c r="AC346" s="67"/>
    </row>
    <row r="347" spans="1:68" ht="27.75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240</v>
      </c>
      <c r="Y350" s="55">
        <f t="shared" ref="Y350:Y356" si="37">IFERROR(IF(X350="",0,CEILING((X350/$H350),1)*$H350),"")</f>
        <v>240</v>
      </c>
      <c r="Z350" s="41">
        <f>IFERROR(IF(Y350=0,"",ROUNDUP(Y350/H350,0)*0.02175),"")</f>
        <v>0.34799999999999998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247.52</v>
      </c>
      <c r="BN350" s="78">
        <f t="shared" ref="BN350:BN356" si="39">IFERROR(Y350*I350/H350,"0")</f>
        <v>247.52</v>
      </c>
      <c r="BO350" s="78">
        <f t="shared" ref="BO350:BO356" si="40">IFERROR(1/J350*(X350/H350),"0")</f>
        <v>0.33333333333333331</v>
      </c>
      <c r="BP350" s="78">
        <f t="shared" ref="BP350:BP356" si="41">IFERROR(1/J350*(Y350/H350),"0")</f>
        <v>0.33333333333333331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32</v>
      </c>
      <c r="Y357" s="43">
        <f>IFERROR(Y350/H350,"0")+IFERROR(Y351/H351,"0")+IFERROR(Y352/H352,"0")+IFERROR(Y353/H353,"0")+IFERROR(Y354/H354,"0")+IFERROR(Y355/H355,"0")+IFERROR(Y356/H356,"0")</f>
        <v>32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0.69599999999999995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480</v>
      </c>
      <c r="Y358" s="43">
        <f>IFERROR(SUM(Y350:Y356),"0")</f>
        <v>480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84.48</v>
      </c>
      <c r="Y431" s="55">
        <f t="shared" si="48"/>
        <v>84.48</v>
      </c>
      <c r="Z431" s="41">
        <f t="shared" si="49"/>
        <v>0.19136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90.08</v>
      </c>
      <c r="BN431" s="78">
        <f t="shared" si="51"/>
        <v>90.08</v>
      </c>
      <c r="BO431" s="78">
        <f t="shared" si="52"/>
        <v>0.15384615384615385</v>
      </c>
      <c r="BP431" s="78">
        <f t="shared" si="53"/>
        <v>0.15384615384615385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84.48</v>
      </c>
      <c r="Y433" s="55">
        <f t="shared" si="48"/>
        <v>84.48</v>
      </c>
      <c r="Z433" s="41">
        <f t="shared" si="49"/>
        <v>0.19136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90.08</v>
      </c>
      <c r="BN433" s="78">
        <f t="shared" si="51"/>
        <v>90.08</v>
      </c>
      <c r="BO433" s="78">
        <f t="shared" si="52"/>
        <v>0.15384615384615385</v>
      </c>
      <c r="BP433" s="78">
        <f t="shared" si="53"/>
        <v>0.15384615384615385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32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0.38272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168.96</v>
      </c>
      <c r="Y440" s="43">
        <f>IFERROR(SUM(Y427:Y438),"0")</f>
        <v>168.96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24</v>
      </c>
      <c r="Y455" s="43">
        <f>IFERROR(Y448/H448,"0")+IFERROR(Y449/H449,"0")+IFERROR(Y450/H450,"0")+IFERROR(Y451/H451,"0")+IFERROR(Y452/H452,"0")+IFERROR(Y453/H453,"0")+IFERROR(Y454/H454,"0")</f>
        <v>24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126.72</v>
      </c>
      <c r="Y456" s="43">
        <f>IFERROR(SUM(Y448:Y454),"0")</f>
        <v>126.72</v>
      </c>
      <c r="Z456" s="42"/>
      <c r="AA456" s="67"/>
      <c r="AB456" s="67"/>
      <c r="AC456" s="67"/>
    </row>
    <row r="457" spans="1:68" ht="27.75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1104.48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1104.48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1158.2080000000001</v>
      </c>
      <c r="Y489" s="43">
        <f>IFERROR(SUM(BN22:BN485),"0")</f>
        <v>1158.2080000000001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1208.2080000000001</v>
      </c>
      <c r="Y491" s="43">
        <f>GrossWeightTotalR+PalletQtyTotalR*25</f>
        <v>1208.2080000000001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128</v>
      </c>
      <c r="Z492" s="42"/>
      <c r="AA492" s="67"/>
      <c r="AB492" s="67"/>
      <c r="AC492" s="67"/>
    </row>
    <row r="493" spans="1:68" ht="14.25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2.1249600000000002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498" s="52">
        <f>IFERROR(Y342*1,"0")+IFERROR(Y343*1,"0")+IFERROR(Y344*1,"0")</f>
        <v>64.8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552</v>
      </c>
      <c r="T498" s="52">
        <f>IFERROR(Y375*1,"0")+IFERROR(Y376*1,"0")+IFERROR(Y380*1,"0")+IFERROR(Y384*1,"0")+IFERROR(Y385*1,"0")+IFERROR(Y386*1,"0")</f>
        <v>0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295.68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