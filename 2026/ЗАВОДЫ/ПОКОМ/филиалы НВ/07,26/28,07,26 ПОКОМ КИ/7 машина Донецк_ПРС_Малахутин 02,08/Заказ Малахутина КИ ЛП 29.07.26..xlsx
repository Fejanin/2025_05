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EC795C61-4F66-4098-B3C5-F30D37C8082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465" i="2" l="1"/>
  <c r="Z62" i="2"/>
  <c r="Z283" i="2"/>
  <c r="Z428" i="2"/>
  <c r="Z116" i="2"/>
  <c r="Z198" i="2"/>
  <c r="Z249" i="2"/>
  <c r="Z327" i="2"/>
  <c r="Z503" i="2"/>
  <c r="BN503" i="2"/>
  <c r="Z91" i="2"/>
  <c r="Z181" i="2"/>
  <c r="Z211" i="2"/>
  <c r="BN211" i="2"/>
  <c r="Z225" i="2"/>
  <c r="Z240" i="2"/>
  <c r="Z273" i="2"/>
  <c r="BN273" i="2"/>
  <c r="Z304" i="2"/>
  <c r="Z342" i="2"/>
  <c r="BN342" i="2"/>
  <c r="Z367" i="2"/>
  <c r="Z423" i="2"/>
  <c r="BN423" i="2"/>
  <c r="Z441" i="2"/>
  <c r="Z538" i="2"/>
  <c r="Z539" i="2" s="1"/>
  <c r="X555" i="2"/>
  <c r="Z28" i="2"/>
  <c r="Z88" i="2"/>
  <c r="BN88" i="2"/>
  <c r="Y93" i="2"/>
  <c r="Z98" i="2"/>
  <c r="Z135" i="2"/>
  <c r="Z166" i="2"/>
  <c r="BN166" i="2"/>
  <c r="Y170" i="2"/>
  <c r="Z178" i="2"/>
  <c r="Z185" i="2"/>
  <c r="BN185" i="2"/>
  <c r="Z208" i="2"/>
  <c r="Z226" i="2"/>
  <c r="BP234" i="2"/>
  <c r="BP244" i="2"/>
  <c r="Z269" i="2"/>
  <c r="BN269" i="2"/>
  <c r="Z295" i="2"/>
  <c r="BN295" i="2"/>
  <c r="Z307" i="2"/>
  <c r="BN307" i="2"/>
  <c r="Z311" i="2"/>
  <c r="Z312" i="2" s="1"/>
  <c r="Z346" i="2"/>
  <c r="Z366" i="2"/>
  <c r="Z383" i="2"/>
  <c r="BN383" i="2"/>
  <c r="Z415" i="2"/>
  <c r="BP426" i="2"/>
  <c r="Z501" i="2"/>
  <c r="BN29" i="2"/>
  <c r="Y47" i="2"/>
  <c r="Y55" i="2"/>
  <c r="BP83" i="2"/>
  <c r="BN120" i="2"/>
  <c r="H561" i="2"/>
  <c r="BP132" i="2"/>
  <c r="BN139" i="2"/>
  <c r="Y143" i="2"/>
  <c r="Z139" i="2"/>
  <c r="BN141" i="2"/>
  <c r="Z14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Y437" i="2"/>
  <c r="Y459" i="2"/>
  <c r="Z457" i="2"/>
  <c r="Z458" i="2" s="1"/>
  <c r="BN504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Z132" i="2"/>
  <c r="BP141" i="2"/>
  <c r="BP142" i="2"/>
  <c r="BN142" i="2"/>
  <c r="Z142" i="2"/>
  <c r="BN149" i="2"/>
  <c r="Z149" i="2"/>
  <c r="Y162" i="2"/>
  <c r="Y163" i="2"/>
  <c r="Z161" i="2"/>
  <c r="Z162" i="2" s="1"/>
  <c r="BN184" i="2"/>
  <c r="Z184" i="2"/>
  <c r="BP187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29" i="2"/>
  <c r="BP330" i="2"/>
  <c r="Z330" i="2"/>
  <c r="BP344" i="2"/>
  <c r="BN344" i="2"/>
  <c r="Z344" i="2"/>
  <c r="BP363" i="2"/>
  <c r="BN364" i="2"/>
  <c r="BP372" i="2"/>
  <c r="Z372" i="2"/>
  <c r="BP377" i="2"/>
  <c r="Z377" i="2"/>
  <c r="BP408" i="2"/>
  <c r="BP409" i="2"/>
  <c r="Z409" i="2"/>
  <c r="BP416" i="2"/>
  <c r="BN417" i="2"/>
  <c r="BN425" i="2"/>
  <c r="Z425" i="2"/>
  <c r="BN434" i="2"/>
  <c r="Z434" i="2"/>
  <c r="BP457" i="2"/>
  <c r="BP469" i="2"/>
  <c r="Z469" i="2"/>
  <c r="BP478" i="2"/>
  <c r="BN478" i="2"/>
  <c r="Z478" i="2"/>
  <c r="Y486" i="2"/>
  <c r="BP484" i="2"/>
  <c r="Y531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199" i="2" l="1"/>
  <c r="Z347" i="2"/>
  <c r="Z143" i="2"/>
  <c r="Z386" i="2"/>
  <c r="Z480" i="2"/>
  <c r="Z418" i="2"/>
  <c r="Z251" i="2"/>
  <c r="Z297" i="2"/>
  <c r="Z322" i="2"/>
  <c r="Z454" i="2"/>
  <c r="Z437" i="2"/>
  <c r="Z369" i="2"/>
  <c r="Z99" i="2"/>
  <c r="X554" i="2"/>
  <c r="Z292" i="2"/>
  <c r="Z431" i="2"/>
  <c r="Z338" i="2"/>
  <c r="Z277" i="2"/>
  <c r="Z136" i="2"/>
  <c r="Z379" i="2"/>
  <c r="Z331" i="2"/>
  <c r="Z55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<sst xmlns="http://schemas.openxmlformats.org/spreadsheetml/2006/main" count="4201" uniqueCount="895">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</sst>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8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500</v>
      </c>
      <c r="Y51" s="55">
        <f>IFERROR(IF(X51="",0,CEILING((X51/$H51),1)*$H51),"")</f>
        <v>507.6</v>
      </c>
      <c r="Z51" s="41">
        <f>IFERROR(IF(Y51=0,"",ROUNDUP(Y51/H51,0)*0.01898),"")</f>
        <v>0.89205999999999996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518.98148148148141</v>
      </c>
      <c r="BN51" s="78">
        <f>IFERROR(Y51*I51/H51,"0")</f>
        <v>526.87</v>
      </c>
      <c r="BO51" s="78">
        <f>IFERROR(1/J51*(X51/H51),"0")</f>
        <v>0.72337962962962954</v>
      </c>
      <c r="BP51" s="78">
        <f>IFERROR(1/J51*(Y51/H51),"0")</f>
        <v>0.734375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46.296296296296291</v>
      </c>
      <c r="Y55" s="43">
        <f>IFERROR(Y51/H51,"0")+IFERROR(Y52/H52,"0")+IFERROR(Y53/H53,"0")+IFERROR(Y54/H54,"0")</f>
        <v>47</v>
      </c>
      <c r="Z55" s="43">
        <f>IFERROR(IF(Z51="",0,Z51),"0")+IFERROR(IF(Z52="",0,Z52),"0")+IFERROR(IF(Z53="",0,Z53),"0")+IFERROR(IF(Z54="",0,Z54),"0")</f>
        <v>0.89205999999999996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500</v>
      </c>
      <c r="Y56" s="43">
        <f>IFERROR(SUM(Y51:Y54),"0")</f>
        <v>507.6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18</v>
      </c>
      <c r="Y66" s="55">
        <f t="shared" si="0"/>
        <v>18</v>
      </c>
      <c r="Z66" s="41">
        <f>IFERROR(IF(Y66=0,"",ROUNDUP(Y66/H66,0)*0.00902),"")</f>
        <v>3.6080000000000001E-2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18.760000000000002</v>
      </c>
      <c r="BN66" s="78">
        <f t="shared" si="2"/>
        <v>18.760000000000002</v>
      </c>
      <c r="BO66" s="78">
        <f t="shared" si="3"/>
        <v>3.0303030303030304E-2</v>
      </c>
      <c r="BP66" s="78">
        <f t="shared" si="4"/>
        <v>3.0303030303030304E-2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</v>
      </c>
      <c r="Y67" s="43">
        <f>IFERROR(Y59/H59,"0")+IFERROR(Y60/H60,"0")+IFERROR(Y61/H61,"0")+IFERROR(Y62/H62,"0")+IFERROR(Y63/H63,"0")+IFERROR(Y64/H64,"0")+IFERROR(Y65/H65,"0")+IFERROR(Y66/H66,"0")</f>
        <v>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3.6080000000000001E-2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18</v>
      </c>
      <c r="Y68" s="43">
        <f>IFERROR(SUM(Y59:Y66),"0")</f>
        <v>18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9.2592592592592595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0.1898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100</v>
      </c>
      <c r="Y75" s="43">
        <f>IFERROR(SUM(Y70:Y73),"0")</f>
        <v>108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300</v>
      </c>
      <c r="Y88" s="55">
        <f>IFERROR(IF(X88="",0,CEILING((X88/$H88),1)*$H88),"")</f>
        <v>302.40000000000003</v>
      </c>
      <c r="Z88" s="41">
        <f>IFERROR(IF(Y88=0,"",ROUNDUP(Y88/H88,0)*0.01898),"")</f>
        <v>0.53144000000000002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311.38888888888891</v>
      </c>
      <c r="BN88" s="78">
        <f>IFERROR(Y88*I88/H88,"0")</f>
        <v>313.88</v>
      </c>
      <c r="BO88" s="78">
        <f>IFERROR(1/J88*(X88/H88),"0")</f>
        <v>0.43402777777777773</v>
      </c>
      <c r="BP88" s="78">
        <f>IFERROR(1/J88*(Y88/H88),"0")</f>
        <v>0.4375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27.777777777777775</v>
      </c>
      <c r="Y92" s="43">
        <f>IFERROR(Y88/H88,"0")+IFERROR(Y89/H89,"0")+IFERROR(Y90/H90,"0")+IFERROR(Y91/H91,"0")</f>
        <v>28</v>
      </c>
      <c r="Z92" s="43">
        <f>IFERROR(IF(Z88="",0,Z88),"0")+IFERROR(IF(Z89="",0,Z89),"0")+IFERROR(IF(Z90="",0,Z90),"0")+IFERROR(IF(Z91="",0,Z91),"0")</f>
        <v>0.53144000000000002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300</v>
      </c>
      <c r="Y93" s="43">
        <f>IFERROR(SUM(Y88:Y91),"0")</f>
        <v>302.40000000000003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120</v>
      </c>
      <c r="Y95" s="55">
        <f>IFERROR(IF(X95="",0,CEILING((X95/$H95),1)*$H95),"")</f>
        <v>121.5</v>
      </c>
      <c r="Z95" s="41">
        <f>IFERROR(IF(Y95=0,"",ROUNDUP(Y95/H95,0)*0.01898),"")</f>
        <v>0.28470000000000001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127.31851851851852</v>
      </c>
      <c r="BN95" s="78">
        <f>IFERROR(Y95*I95/H95,"0")</f>
        <v>128.91</v>
      </c>
      <c r="BO95" s="78">
        <f>IFERROR(1/J95*(X95/H95),"0")</f>
        <v>0.23148148148148148</v>
      </c>
      <c r="BP95" s="78">
        <f>IFERROR(1/J95*(Y95/H95),"0")</f>
        <v>0.234375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54</v>
      </c>
      <c r="Y97" s="55">
        <f>IFERROR(IF(X97="",0,CEILING((X97/$H97),1)*$H97),"")</f>
        <v>54</v>
      </c>
      <c r="Z97" s="41">
        <f>IFERROR(IF(Y97=0,"",ROUNDUP(Y97/H97,0)*0.00651),"")</f>
        <v>0.13020000000000001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59.039999999999992</v>
      </c>
      <c r="BN97" s="78">
        <f>IFERROR(Y97*I97/H97,"0")</f>
        <v>59.039999999999992</v>
      </c>
      <c r="BO97" s="78">
        <f>IFERROR(1/J97*(X97/H97),"0")</f>
        <v>0.1098901098901099</v>
      </c>
      <c r="BP97" s="78">
        <f>IFERROR(1/J97*(Y97/H97),"0")</f>
        <v>0.1098901098901099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34.814814814814817</v>
      </c>
      <c r="Y99" s="43">
        <f>IFERROR(Y95/H95,"0")+IFERROR(Y96/H96,"0")+IFERROR(Y97/H97,"0")+IFERROR(Y98/H98,"0")</f>
        <v>35</v>
      </c>
      <c r="Z99" s="43">
        <f>IFERROR(IF(Z95="",0,Z95),"0")+IFERROR(IF(Z96="",0,Z96),"0")+IFERROR(IF(Z97="",0,Z97),"0")+IFERROR(IF(Z98="",0,Z98),"0")</f>
        <v>0.41490000000000005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174</v>
      </c>
      <c r="Y100" s="43">
        <f>IFERROR(SUM(Y95:Y98),"0")</f>
        <v>175.5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250</v>
      </c>
      <c r="Y103" s="55">
        <f t="shared" ref="Y103:Y108" si="5">IFERROR(IF(X103="",0,CEILING((X103/$H103),1)*$H103),"")</f>
        <v>259.20000000000005</v>
      </c>
      <c r="Z103" s="41">
        <f>IFERROR(IF(Y103=0,"",ROUNDUP(Y103/H103,0)*0.01898),"")</f>
        <v>0.45552000000000004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259.4907407407407</v>
      </c>
      <c r="BN103" s="78">
        <f t="shared" ref="BN103:BN108" si="7">IFERROR(Y103*I103/H103,"0")</f>
        <v>269.04000000000002</v>
      </c>
      <c r="BO103" s="78">
        <f t="shared" ref="BO103:BO108" si="8">IFERROR(1/J103*(X103/H103),"0")</f>
        <v>0.36168981481481477</v>
      </c>
      <c r="BP103" s="78">
        <f t="shared" ref="BP103:BP108" si="9">IFERROR(1/J103*(Y103/H103),"0")</f>
        <v>0.37500000000000006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23.148148148148145</v>
      </c>
      <c r="Y109" s="43">
        <f>IFERROR(Y103/H103,"0")+IFERROR(Y104/H104,"0")+IFERROR(Y105/H105,"0")+IFERROR(Y106/H106,"0")+IFERROR(Y107/H107,"0")+IFERROR(Y108/H108,"0")</f>
        <v>24.000000000000004</v>
      </c>
      <c r="Z109" s="43">
        <f>IFERROR(IF(Z103="",0,Z103),"0")+IFERROR(IF(Z104="",0,Z104),"0")+IFERROR(IF(Z105="",0,Z105),"0")+IFERROR(IF(Z106="",0,Z106),"0")+IFERROR(IF(Z107="",0,Z107),"0")+IFERROR(IF(Z108="",0,Z108),"0")</f>
        <v>0.45552000000000004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250</v>
      </c>
      <c r="Y110" s="43">
        <f>IFERROR(SUM(Y103:Y108),"0")</f>
        <v>259.20000000000005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50</v>
      </c>
      <c r="Y112" s="55">
        <f>IFERROR(IF(X112="",0,CEILING((X112/$H112),1)*$H112),"")</f>
        <v>54</v>
      </c>
      <c r="Z112" s="41">
        <f>IFERROR(IF(Y112=0,"",ROUNDUP(Y112/H112,0)*0.01898),"")</f>
        <v>9.4899999999999998E-2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51.898148148148145</v>
      </c>
      <c r="BN112" s="78">
        <f>IFERROR(Y112*I112/H112,"0")</f>
        <v>56.05</v>
      </c>
      <c r="BO112" s="78">
        <f>IFERROR(1/J112*(X112/H112),"0")</f>
        <v>7.2337962962962965E-2</v>
      </c>
      <c r="BP112" s="78">
        <f>IFERROR(1/J112*(Y112/H112),"0")</f>
        <v>7.8125E-2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4.6296296296296298</v>
      </c>
      <c r="Y117" s="43">
        <f>IFERROR(Y112/H112,"0")+IFERROR(Y113/H113,"0")+IFERROR(Y114/H114,"0")+IFERROR(Y115/H115,"0")+IFERROR(Y116/H116,"0")</f>
        <v>5</v>
      </c>
      <c r="Z117" s="43">
        <f>IFERROR(IF(Z112="",0,Z112),"0")+IFERROR(IF(Z113="",0,Z113),"0")+IFERROR(IF(Z114="",0,Z114),"0")+IFERROR(IF(Z115="",0,Z115),"0")+IFERROR(IF(Z116="",0,Z116),"0")</f>
        <v>9.4899999999999998E-2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50</v>
      </c>
      <c r="Y118" s="43">
        <f>IFERROR(SUM(Y112:Y116),"0")</f>
        <v>54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750</v>
      </c>
      <c r="Y120" s="55">
        <f>IFERROR(IF(X120="",0,CEILING((X120/$H120),1)*$H120),"")</f>
        <v>753.3</v>
      </c>
      <c r="Z120" s="41">
        <f>IFERROR(IF(Y120=0,"",ROUNDUP(Y120/H120,0)*0.01898),"")</f>
        <v>1.7651399999999999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795.18518518518511</v>
      </c>
      <c r="BN120" s="78">
        <f>IFERROR(Y120*I120/H120,"0")</f>
        <v>798.68399999999997</v>
      </c>
      <c r="BO120" s="78">
        <f>IFERROR(1/J120*(X120/H120),"0")</f>
        <v>1.4467592592592593</v>
      </c>
      <c r="BP120" s="78">
        <f>IFERROR(1/J120*(Y120/H120),"0")</f>
        <v>1.453125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94.5</v>
      </c>
      <c r="Y122" s="55">
        <f>IFERROR(IF(X122="",0,CEILING((X122/$H122),1)*$H122),"")</f>
        <v>94.5</v>
      </c>
      <c r="Z122" s="41">
        <f>IFERROR(IF(Y122=0,"",ROUNDUP(Y122/H122,0)*0.00651),"")</f>
        <v>0.22785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103.32</v>
      </c>
      <c r="BN122" s="78">
        <f>IFERROR(Y122*I122/H122,"0")</f>
        <v>103.32</v>
      </c>
      <c r="BO122" s="78">
        <f>IFERROR(1/J122*(X122/H122),"0")</f>
        <v>0.19230769230769232</v>
      </c>
      <c r="BP122" s="78">
        <f>IFERROR(1/J122*(Y122/H122),"0")</f>
        <v>0.19230769230769232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127.5925925925926</v>
      </c>
      <c r="Y124" s="43">
        <f>IFERROR(Y120/H120,"0")+IFERROR(Y121/H121,"0")+IFERROR(Y122/H122,"0")+IFERROR(Y123/H123,"0")</f>
        <v>128</v>
      </c>
      <c r="Z124" s="43">
        <f>IFERROR(IF(Z120="",0,Z120),"0")+IFERROR(IF(Z121="",0,Z121),"0")+IFERROR(IF(Z122="",0,Z122),"0")+IFERROR(IF(Z123="",0,Z123),"0")</f>
        <v>1.9929899999999998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844.5</v>
      </c>
      <c r="Y125" s="43">
        <f>IFERROR(SUM(Y120:Y123),"0")</f>
        <v>847.8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20</v>
      </c>
      <c r="Y177" s="55">
        <f t="shared" ref="Y177:Y187" si="10">IFERROR(IF(X177="",0,CEILING((X177/$H177),1)*$H177),"")</f>
        <v>21</v>
      </c>
      <c r="Z177" s="41">
        <f>IFERROR(IF(Y177=0,"",ROUNDUP(Y177/H177,0)*0.00902),"")</f>
        <v>5.4120000000000001E-2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21.085714285714285</v>
      </c>
      <c r="BN177" s="78">
        <f t="shared" ref="BN177:BN187" si="12">IFERROR(Y177*I177/H177,"0")</f>
        <v>22.139999999999997</v>
      </c>
      <c r="BO177" s="78">
        <f t="shared" ref="BO177:BO187" si="13">IFERROR(1/J177*(X177/H177),"0")</f>
        <v>4.3290043290043295E-2</v>
      </c>
      <c r="BP177" s="78">
        <f t="shared" ref="BP177:BP187" si="14">IFERROR(1/J177*(Y177/H177),"0")</f>
        <v>4.5454545454545456E-2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5.7142857142857144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6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5.4120000000000001E-2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20</v>
      </c>
      <c r="Y189" s="43">
        <f>IFERROR(SUM(Y177:Y187),"0")</f>
        <v>21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20</v>
      </c>
      <c r="Y223" s="55">
        <f t="shared" ref="Y223:Y236" si="21">IFERROR(IF(X223="",0,CEILING((X223/$H223),1)*$H223),"")</f>
        <v>21</v>
      </c>
      <c r="Z223" s="41">
        <f>IFERROR(IF(Y223=0,"",ROUNDUP(Y223/H223,0)*0.00902),"")</f>
        <v>4.5100000000000001E-2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21.19047619047619</v>
      </c>
      <c r="BN223" s="78">
        <f t="shared" ref="BN223:BN236" si="23">IFERROR(Y223*I223/H223,"0")</f>
        <v>22.25</v>
      </c>
      <c r="BO223" s="78">
        <f t="shared" ref="BO223:BO236" si="24">IFERROR(1/J223*(X223/H223),"0")</f>
        <v>3.6075036075036072E-2</v>
      </c>
      <c r="BP223" s="78">
        <f t="shared" ref="BP223:BP236" si="25">IFERROR(1/J223*(Y223/H223),"0")</f>
        <v>3.787878787878788E-2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42</v>
      </c>
      <c r="Y234" s="55">
        <f t="shared" si="21"/>
        <v>42</v>
      </c>
      <c r="Z234" s="41">
        <f>IFERROR(IF(Y234=0,"",ROUNDUP(Y234/H234,0)*0.00502),"")</f>
        <v>0.1004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44</v>
      </c>
      <c r="BN234" s="78">
        <f t="shared" si="23"/>
        <v>44</v>
      </c>
      <c r="BO234" s="78">
        <f t="shared" si="24"/>
        <v>8.5470085470085472E-2</v>
      </c>
      <c r="BP234" s="78">
        <f t="shared" si="25"/>
        <v>8.5470085470085472E-2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24.761904761904763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25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0.14550000000000002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62</v>
      </c>
      <c r="Y238" s="43">
        <f>IFERROR(SUM(Y223:Y236),"0")</f>
        <v>63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ref="Y269:Y276" si="27">IFERROR(IF(X269="",0,CEILING((X269/$H269),1)*$H269),"")</f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124.2222222222222</v>
      </c>
      <c r="BN269" s="78">
        <f t="shared" ref="BN269:BN276" si="29">IFERROR(Y269*I269/H269,"0")</f>
        <v>128.57</v>
      </c>
      <c r="BO269" s="78">
        <f t="shared" ref="BO269:BO276" si="30">IFERROR(1/J269*(X269/H269),"0")</f>
        <v>0.16835016835016836</v>
      </c>
      <c r="BP269" s="78">
        <f t="shared" ref="BP269:BP276" si="31">IFERROR(1/J269*(Y269/H269),"0")</f>
        <v>0.17424242424242425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70</v>
      </c>
      <c r="Y270" s="55">
        <f t="shared" si="27"/>
        <v>70.2</v>
      </c>
      <c r="Z270" s="41">
        <f>IFERROR(IF(Y270=0,"",ROUNDUP(Y270/H270,0)*0.00902),"")</f>
        <v>0.11726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72.462962962962962</v>
      </c>
      <c r="BN270" s="78">
        <f t="shared" si="29"/>
        <v>72.67</v>
      </c>
      <c r="BO270" s="78">
        <f t="shared" si="30"/>
        <v>9.8204264870931535E-2</v>
      </c>
      <c r="BP270" s="78">
        <f t="shared" si="31"/>
        <v>9.8484848484848481E-2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70</v>
      </c>
      <c r="Y272" s="55">
        <f t="shared" si="27"/>
        <v>70.2</v>
      </c>
      <c r="Z272" s="41">
        <f>IFERROR(IF(Y272=0,"",ROUNDUP(Y272/H272,0)*0.00902),"")</f>
        <v>0.11726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72.462962962962962</v>
      </c>
      <c r="BN272" s="78">
        <f t="shared" si="29"/>
        <v>72.67</v>
      </c>
      <c r="BO272" s="78">
        <f t="shared" si="30"/>
        <v>9.8204264870931535E-2</v>
      </c>
      <c r="BP272" s="78">
        <f t="shared" si="31"/>
        <v>9.8484848484848481E-2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48.148148148148145</v>
      </c>
      <c r="Y277" s="43">
        <f>IFERROR(Y269/H269,"0")+IFERROR(Y270/H270,"0")+IFERROR(Y271/H271,"0")+IFERROR(Y272/H272,"0")+IFERROR(Y273/H273,"0")+IFERROR(Y274/H274,"0")+IFERROR(Y275/H275,"0")+IFERROR(Y276/H276,"0")</f>
        <v>49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0.44198000000000004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260</v>
      </c>
      <c r="Y278" s="43">
        <f>IFERROR(SUM(Y269:Y276),"0")</f>
        <v>264.60000000000002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48</v>
      </c>
      <c r="Y283" s="55">
        <f t="shared" si="32"/>
        <v>48</v>
      </c>
      <c r="Z283" s="41">
        <f>IFERROR(IF(Y283=0,"",ROUNDUP(Y283/H283,0)*0.00651),"")</f>
        <v>0.13020000000000001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53.4</v>
      </c>
      <c r="BN283" s="78">
        <f t="shared" si="34"/>
        <v>53.4</v>
      </c>
      <c r="BO283" s="78">
        <f t="shared" si="35"/>
        <v>0.1098901098901099</v>
      </c>
      <c r="BP283" s="78">
        <f t="shared" si="36"/>
        <v>0.1098901098901099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134.4</v>
      </c>
      <c r="Y286" s="55">
        <f t="shared" si="32"/>
        <v>134.4</v>
      </c>
      <c r="Z286" s="41">
        <f>IFERROR(IF(Y286=0,"",ROUNDUP(Y286/H286,0)*0.00651),"")</f>
        <v>0.36456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148.51200000000003</v>
      </c>
      <c r="BN286" s="78">
        <f t="shared" si="34"/>
        <v>148.51200000000003</v>
      </c>
      <c r="BO286" s="78">
        <f t="shared" si="35"/>
        <v>0.30769230769230776</v>
      </c>
      <c r="BP286" s="78">
        <f t="shared" si="36"/>
        <v>0.30769230769230776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76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76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0.49475999999999998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182.4</v>
      </c>
      <c r="Y293" s="43">
        <f>IFERROR(SUM(Y280:Y291),"0")</f>
        <v>182.4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600</v>
      </c>
      <c r="Y390" s="55">
        <f>IFERROR(IF(X390="",0,CEILING((X390/$H390),1)*$H390),"")</f>
        <v>600.6</v>
      </c>
      <c r="Z390" s="41">
        <f>IFERROR(IF(Y390=0,"",ROUNDUP(Y390/H390,0)*0.01898),"")</f>
        <v>1.46146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638.00000000000011</v>
      </c>
      <c r="BN390" s="78">
        <f>IFERROR(Y390*I390/H390,"0")</f>
        <v>638.63800000000003</v>
      </c>
      <c r="BO390" s="78">
        <f>IFERROR(1/J390*(X390/H390),"0")</f>
        <v>1.2019230769230769</v>
      </c>
      <c r="BP390" s="78">
        <f>IFERROR(1/J390*(Y390/H390),"0")</f>
        <v>1.203125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76.92307692307692</v>
      </c>
      <c r="Y392" s="43">
        <f>IFERROR(Y389/H389,"0")+IFERROR(Y390/H390,"0")+IFERROR(Y391/H391,"0")</f>
        <v>77</v>
      </c>
      <c r="Z392" s="43">
        <f>IFERROR(IF(Z389="",0,Z389),"0")+IFERROR(IF(Z390="",0,Z390),"0")+IFERROR(IF(Z391="",0,Z391),"0")</f>
        <v>1.46146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600</v>
      </c>
      <c r="Y393" s="43">
        <f>IFERROR(SUM(Y389:Y391),"0")</f>
        <v>600.6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10.199999999999999</v>
      </c>
      <c r="Y398" s="55">
        <f>IFERROR(IF(X398="",0,CEILING((X398/$H398),1)*$H398),"")</f>
        <v>10.199999999999999</v>
      </c>
      <c r="Z398" s="41">
        <f>IFERROR(IF(Y398=0,"",ROUNDUP(Y398/H398,0)*0.00651),"")</f>
        <v>2.6040000000000001E-2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11.52</v>
      </c>
      <c r="BN398" s="78">
        <f>IFERROR(Y398*I398/H398,"0")</f>
        <v>11.52</v>
      </c>
      <c r="BO398" s="78">
        <f>IFERROR(1/J398*(X398/H398),"0")</f>
        <v>2.197802197802198E-2</v>
      </c>
      <c r="BP398" s="78">
        <f>IFERROR(1/J398*(Y398/H398),"0")</f>
        <v>2.197802197802198E-2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6</v>
      </c>
      <c r="Y399" s="43">
        <f>IFERROR(Y395/H395,"0")+IFERROR(Y396/H396,"0")+IFERROR(Y397/H397,"0")+IFERROR(Y398/H398,"0")</f>
        <v>6</v>
      </c>
      <c r="Z399" s="43">
        <f>IFERROR(IF(Z395="",0,Z395),"0")+IFERROR(IF(Z396="",0,Z396),"0")+IFERROR(IF(Z397="",0,Z397),"0")+IFERROR(IF(Z398="",0,Z398),"0")</f>
        <v>3.9059999999999997E-2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15.299999999999999</v>
      </c>
      <c r="Y400" s="43">
        <f>IFERROR(SUM(Y395:Y398),"0")</f>
        <v>15.299999999999999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105</v>
      </c>
      <c r="Y416" s="55">
        <f>IFERROR(IF(X416="",0,CEILING((X416/$H416),1)*$H416),"")</f>
        <v>105</v>
      </c>
      <c r="Z416" s="41">
        <f>IFERROR(IF(Y416=0,"",ROUNDUP(Y416/H416,0)*0.00651),"")</f>
        <v>0.32550000000000001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117.59999999999998</v>
      </c>
      <c r="BN416" s="78">
        <f>IFERROR(Y416*I416/H416,"0")</f>
        <v>117.59999999999998</v>
      </c>
      <c r="BO416" s="78">
        <f>IFERROR(1/J416*(X416/H416),"0")</f>
        <v>0.27472527472527475</v>
      </c>
      <c r="BP416" s="78">
        <f>IFERROR(1/J416*(Y416/H416),"0")</f>
        <v>0.27472527472527475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63</v>
      </c>
      <c r="Y417" s="55">
        <f>IFERROR(IF(X417="",0,CEILING((X417/$H417),1)*$H417),"")</f>
        <v>63</v>
      </c>
      <c r="Z417" s="41">
        <f>IFERROR(IF(Y417=0,"",ROUNDUP(Y417/H417,0)*0.00651),"")</f>
        <v>0.1953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70.199999999999989</v>
      </c>
      <c r="BN417" s="78">
        <f>IFERROR(Y417*I417/H417,"0")</f>
        <v>70.199999999999989</v>
      </c>
      <c r="BO417" s="78">
        <f>IFERROR(1/J417*(X417/H417),"0")</f>
        <v>0.16483516483516486</v>
      </c>
      <c r="BP417" s="78">
        <f>IFERROR(1/J417*(Y417/H417),"0")</f>
        <v>0.16483516483516486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80</v>
      </c>
      <c r="Y418" s="43">
        <f>IFERROR(Y415/H415,"0")+IFERROR(Y416/H416,"0")+IFERROR(Y417/H417,"0")</f>
        <v>80</v>
      </c>
      <c r="Z418" s="43">
        <f>IFERROR(IF(Z415="",0,Z415),"0")+IFERROR(IF(Z416="",0,Z416),"0")+IFERROR(IF(Z417="",0,Z417),"0")</f>
        <v>0.52080000000000004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168</v>
      </c>
      <c r="Y419" s="43">
        <f>IFERROR(SUM(Y415:Y417),"0")</f>
        <v>168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1500</v>
      </c>
      <c r="Y424" s="55">
        <f t="shared" si="52"/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1547</v>
      </c>
      <c r="BN424" s="78">
        <f t="shared" si="54"/>
        <v>1547</v>
      </c>
      <c r="BO424" s="78">
        <f t="shared" si="55"/>
        <v>2.083333333333333</v>
      </c>
      <c r="BP424" s="78">
        <f t="shared" si="56"/>
        <v>2.083333333333333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2250</v>
      </c>
      <c r="Y426" s="55">
        <f t="shared" si="52"/>
        <v>2250</v>
      </c>
      <c r="Z426" s="41">
        <f>IFERROR(IF(Y426=0,"",ROUNDUP(Y426/H426,0)*0.02175),"")</f>
        <v>3.2624999999999997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2320.5</v>
      </c>
      <c r="BN426" s="78">
        <f t="shared" si="54"/>
        <v>2320.5</v>
      </c>
      <c r="BO426" s="78">
        <f t="shared" si="55"/>
        <v>3.125</v>
      </c>
      <c r="BP426" s="78">
        <f t="shared" si="56"/>
        <v>3.125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250</v>
      </c>
      <c r="Y431" s="43">
        <f>IFERROR(Y423/H423,"0")+IFERROR(Y424/H424,"0")+IFERROR(Y425/H425,"0")+IFERROR(Y426/H426,"0")+IFERROR(Y427/H427,"0")+IFERROR(Y428/H428,"0")+IFERROR(Y429/H429,"0")+IFERROR(Y430/H430,"0")</f>
        <v>250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5.4375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3750</v>
      </c>
      <c r="Y432" s="43">
        <f>IFERROR(SUM(Y423:Y430),"0")</f>
        <v>3750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750</v>
      </c>
      <c r="Y434" s="55">
        <f>IFERROR(IF(X434="",0,CEILING((X434/$H434),1)*$H434),"")</f>
        <v>750</v>
      </c>
      <c r="Z434" s="41">
        <f>IFERROR(IF(Y434=0,"",ROUNDUP(Y434/H434,0)*0.02175),"")</f>
        <v>1.0874999999999999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773.5</v>
      </c>
      <c r="BN434" s="78">
        <f>IFERROR(Y434*I434/H434,"0")</f>
        <v>773.5</v>
      </c>
      <c r="BO434" s="78">
        <f>IFERROR(1/J434*(X434/H434),"0")</f>
        <v>1.0416666666666665</v>
      </c>
      <c r="BP434" s="78">
        <f>IFERROR(1/J434*(Y434/H434),"0")</f>
        <v>1.0416666666666665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50</v>
      </c>
      <c r="Y437" s="43">
        <f>IFERROR(Y434/H434,"0")+IFERROR(Y435/H435,"0")+IFERROR(Y436/H436,"0")</f>
        <v>50</v>
      </c>
      <c r="Z437" s="43">
        <f>IFERROR(IF(Z434="",0,Z434),"0")+IFERROR(IF(Z435="",0,Z435),"0")+IFERROR(IF(Z436="",0,Z436),"0")</f>
        <v>1.0874999999999999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750</v>
      </c>
      <c r="Y438" s="43">
        <f>IFERROR(SUM(Y434:Y436),"0")</f>
        <v>750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108</v>
      </c>
      <c r="Z447" s="41">
        <f>IFERROR(IF(Y447=0,"",ROUNDUP(Y447/H447,0)*0.01898),"")</f>
        <v>0.22776000000000002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105.48888888888888</v>
      </c>
      <c r="BN447" s="78">
        <f>IFERROR(Y447*I447/H447,"0")</f>
        <v>113.92799999999998</v>
      </c>
      <c r="BO447" s="78">
        <f>IFERROR(1/J447*(X447/H447),"0")</f>
        <v>0.1736111111111111</v>
      </c>
      <c r="BP447" s="78">
        <f>IFERROR(1/J447*(Y447/H447),"0")</f>
        <v>0.1875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11.111111111111111</v>
      </c>
      <c r="Y448" s="43">
        <f>IFERROR(Y446/H446,"0")+IFERROR(Y447/H447,"0")</f>
        <v>12</v>
      </c>
      <c r="Z448" s="43">
        <f>IFERROR(IF(Z446="",0,Z446),"0")+IFERROR(IF(Z447="",0,Z447),"0")</f>
        <v>0.22776000000000002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100</v>
      </c>
      <c r="Y449" s="43">
        <f>IFERROR(SUM(Y446:Y447),"0")</f>
        <v>108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20</v>
      </c>
      <c r="Y452" s="55">
        <f>IFERROR(IF(X452="",0,CEILING((X452/$H452),1)*$H452),"")</f>
        <v>24</v>
      </c>
      <c r="Z452" s="41">
        <f>IFERROR(IF(Y452=0,"",ROUNDUP(Y452/H452,0)*0.01898),"")</f>
        <v>3.7960000000000001E-2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20.683333333333334</v>
      </c>
      <c r="BN452" s="78">
        <f>IFERROR(Y452*I452/H452,"0")</f>
        <v>24.820000000000004</v>
      </c>
      <c r="BO452" s="78">
        <f>IFERROR(1/J452*(X452/H452),"0")</f>
        <v>2.6041666666666668E-2</v>
      </c>
      <c r="BP452" s="78">
        <f>IFERROR(1/J452*(Y452/H452),"0")</f>
        <v>3.125E-2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1.6666666666666667</v>
      </c>
      <c r="Y454" s="43">
        <f>IFERROR(Y452/H452,"0")+IFERROR(Y453/H453,"0")</f>
        <v>2</v>
      </c>
      <c r="Z454" s="43">
        <f>IFERROR(IF(Z452="",0,Z452),"0")+IFERROR(IF(Z453="",0,Z453),"0")</f>
        <v>3.7960000000000001E-2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20</v>
      </c>
      <c r="Y455" s="43">
        <f>IFERROR(SUM(Y452:Y453),"0")</f>
        <v>24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3000</v>
      </c>
      <c r="Y461" s="55">
        <f>IFERROR(IF(X461="",0,CEILING((X461/$H461),1)*$H461),"")</f>
        <v>3006</v>
      </c>
      <c r="Z461" s="41">
        <f>IFERROR(IF(Y461=0,"",ROUNDUP(Y461/H461,0)*0.01898),"")</f>
        <v>6.3393199999999998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3164.6666666666665</v>
      </c>
      <c r="BN461" s="78">
        <f>IFERROR(Y461*I461/H461,"0")</f>
        <v>3170.9960000000001</v>
      </c>
      <c r="BO461" s="78">
        <f>IFERROR(1/J461*(X461/H461),"0")</f>
        <v>5.208333333333333</v>
      </c>
      <c r="BP461" s="78">
        <f>IFERROR(1/J461*(Y461/H461),"0")</f>
        <v>5.21875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64.8</v>
      </c>
      <c r="Y462" s="55">
        <f>IFERROR(IF(X462="",0,CEILING((X462/$H462),1)*$H462),"")</f>
        <v>64.8</v>
      </c>
      <c r="Z462" s="41">
        <f>IFERROR(IF(Y462=0,"",ROUNDUP(Y462/H462,0)*0.00651),"")</f>
        <v>0.17577000000000001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71.927999999999997</v>
      </c>
      <c r="BN462" s="78">
        <f>IFERROR(Y462*I462/H462,"0")</f>
        <v>71.927999999999997</v>
      </c>
      <c r="BO462" s="78">
        <f>IFERROR(1/J462*(X462/H462),"0")</f>
        <v>0.14835164835164835</v>
      </c>
      <c r="BP462" s="78">
        <f>IFERROR(1/J462*(Y462/H462),"0")</f>
        <v>0.14835164835164835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360.33333333333331</v>
      </c>
      <c r="Y464" s="43">
        <f>IFERROR(Y461/H461,"0")+IFERROR(Y462/H462,"0")+IFERROR(Y463/H463,"0")</f>
        <v>361</v>
      </c>
      <c r="Z464" s="43">
        <f>IFERROR(IF(Z461="",0,Z461),"0")+IFERROR(IF(Z462="",0,Z462),"0")+IFERROR(IF(Z463="",0,Z463),"0")</f>
        <v>6.5150899999999998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3064.8</v>
      </c>
      <c r="Y465" s="43">
        <f>IFERROR(SUM(Y461:Y463),"0")</f>
        <v>3070.8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40</v>
      </c>
      <c r="Y488" s="55">
        <f>IFERROR(IF(X488="",0,CEILING((X488/$H488),1)*$H488),"")</f>
        <v>43.2</v>
      </c>
      <c r="Z488" s="41">
        <f>IFERROR(IF(Y488=0,"",ROUNDUP(Y488/H488,0)*0.00902),"")</f>
        <v>7.2160000000000002E-2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41.407407407407405</v>
      </c>
      <c r="BN488" s="78">
        <f>IFERROR(Y488*I488/H488,"0")</f>
        <v>44.72</v>
      </c>
      <c r="BO488" s="78">
        <f>IFERROR(1/J488*(X488/H488),"0")</f>
        <v>5.6116722783389444E-2</v>
      </c>
      <c r="BP488" s="78">
        <f>IFERROR(1/J488*(Y488/H488),"0")</f>
        <v>6.0606060606060608E-2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7.4074074074074066</v>
      </c>
      <c r="Y491" s="43">
        <f>IFERROR(Y488/H488,"0")+IFERROR(Y489/H489,"0")+IFERROR(Y490/H490,"0")</f>
        <v>8</v>
      </c>
      <c r="Z491" s="43">
        <f>IFERROR(IF(Z488="",0,Z488),"0")+IFERROR(IF(Z489="",0,Z489),"0")+IFERROR(IF(Z490="",0,Z490),"0")</f>
        <v>7.2160000000000002E-2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40</v>
      </c>
      <c r="Y492" s="43">
        <f>IFERROR(SUM(Y488:Y490),"0")</f>
        <v>43.2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120</v>
      </c>
      <c r="Y496" s="55">
        <f t="shared" ref="Y496:Y504" si="62">IFERROR(IF(X496="",0,CEILING((X496/$H496),1)*$H496),"")</f>
        <v>121.44000000000001</v>
      </c>
      <c r="Z496" s="41">
        <f t="shared" ref="Z496:Z501" si="63">IFERROR(IF(Y496=0,"",ROUNDUP(Y496/H496,0)*0.01196),"")</f>
        <v>0.27507999999999999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127.95454545454545</v>
      </c>
      <c r="BN496" s="78">
        <f t="shared" ref="BN496:BN504" si="65">IFERROR(Y496*I496/H496,"0")</f>
        <v>129.49</v>
      </c>
      <c r="BO496" s="78">
        <f t="shared" ref="BO496:BO504" si="66">IFERROR(1/J496*(X496/H496),"0")</f>
        <v>0.21853146853146854</v>
      </c>
      <c r="BP496" s="78">
        <f t="shared" ref="BP496:BP504" si="67">IFERROR(1/J496*(Y496/H496),"0")</f>
        <v>0.22115384615384617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750</v>
      </c>
      <c r="Y499" s="55">
        <f t="shared" si="62"/>
        <v>755.04000000000008</v>
      </c>
      <c r="Z499" s="41">
        <f t="shared" si="63"/>
        <v>1.71028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799.71590909090901</v>
      </c>
      <c r="BN499" s="78">
        <f t="shared" si="65"/>
        <v>805.09</v>
      </c>
      <c r="BO499" s="78">
        <f t="shared" si="66"/>
        <v>1.3658216783216783</v>
      </c>
      <c r="BP499" s="78">
        <f t="shared" si="67"/>
        <v>1.375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164.77272727272725</v>
      </c>
      <c r="Y505" s="43">
        <f>IFERROR(Y496/H496,"0")+IFERROR(Y497/H497,"0")+IFERROR(Y498/H498,"0")+IFERROR(Y499/H499,"0")+IFERROR(Y500/H500,"0")+IFERROR(Y501/H501,"0")+IFERROR(Y502/H502,"0")+IFERROR(Y503/H503,"0")+IFERROR(Y504/H504,"0")</f>
        <v>166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1.98536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870</v>
      </c>
      <c r="Y506" s="43">
        <f>IFERROR(SUM(Y496:Y504),"0")</f>
        <v>876.48000000000013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750</v>
      </c>
      <c r="Y508" s="55">
        <f>IFERROR(IF(X508="",0,CEILING((X508/$H508),1)*$H508),"")</f>
        <v>755.04000000000008</v>
      </c>
      <c r="Z508" s="41">
        <f>IFERROR(IF(Y508=0,"",ROUNDUP(Y508/H508,0)*0.01196),"")</f>
        <v>1.71028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799.71590909090901</v>
      </c>
      <c r="BN508" s="78">
        <f>IFERROR(Y508*I508/H508,"0")</f>
        <v>805.09</v>
      </c>
      <c r="BO508" s="78">
        <f>IFERROR(1/J508*(X508/H508),"0")</f>
        <v>1.3658216783216783</v>
      </c>
      <c r="BP508" s="78">
        <f>IFERROR(1/J508*(Y508/H508),"0")</f>
        <v>1.375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142.04545454545453</v>
      </c>
      <c r="Y511" s="43">
        <f>IFERROR(Y508/H508,"0")+IFERROR(Y509/H509,"0")+IFERROR(Y510/H510,"0")</f>
        <v>143</v>
      </c>
      <c r="Z511" s="43">
        <f>IFERROR(IF(Z508="",0,Z508),"0")+IFERROR(IF(Z509="",0,Z509),"0")+IFERROR(IF(Z510="",0,Z510),"0")</f>
        <v>1.71028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750</v>
      </c>
      <c r="Y512" s="43">
        <f>IFERROR(SUM(Y508:Y510),"0")</f>
        <v>755.04000000000008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ref="Y514:Y520" si="68">IFERROR(IF(X514="",0,CEILING((X514/$H514),1)*$H514),"")</f>
        <v>200.64000000000001</v>
      </c>
      <c r="Z514" s="41">
        <f>IFERROR(IF(Y514=0,"",ROUNDUP(Y514/H514,0)*0.01196),"")</f>
        <v>0.45448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213.25757575757575</v>
      </c>
      <c r="BN514" s="78">
        <f t="shared" ref="BN514:BN520" si="70">IFERROR(Y514*I514/H514,"0")</f>
        <v>213.94</v>
      </c>
      <c r="BO514" s="78">
        <f t="shared" ref="BO514:BO520" si="71">IFERROR(1/J514*(X514/H514),"0")</f>
        <v>0.36421911421911418</v>
      </c>
      <c r="BP514" s="78">
        <f t="shared" ref="BP514:BP520" si="72">IFERROR(1/J514*(Y514/H514),"0")</f>
        <v>0.36538461538461542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400</v>
      </c>
      <c r="Y515" s="55">
        <f t="shared" si="68"/>
        <v>401.28000000000003</v>
      </c>
      <c r="Z515" s="41">
        <f>IFERROR(IF(Y515=0,"",ROUNDUP(Y515/H515,0)*0.01196),"")</f>
        <v>0.90895999999999999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426.5151515151515</v>
      </c>
      <c r="BN515" s="78">
        <f t="shared" si="70"/>
        <v>427.88</v>
      </c>
      <c r="BO515" s="78">
        <f t="shared" si="71"/>
        <v>0.72843822843822836</v>
      </c>
      <c r="BP515" s="78">
        <f t="shared" si="72"/>
        <v>0.73076923076923084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113.63636363636363</v>
      </c>
      <c r="Y521" s="43">
        <f>IFERROR(Y514/H514,"0")+IFERROR(Y515/H515,"0")+IFERROR(Y516/H516,"0")+IFERROR(Y517/H517,"0")+IFERROR(Y518/H518,"0")+IFERROR(Y519/H519,"0")+IFERROR(Y520/H520,"0")</f>
        <v>114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1.36344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600</v>
      </c>
      <c r="Y522" s="43">
        <f>IFERROR(SUM(Y514:Y520),"0")</f>
        <v>601.92000000000007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100</v>
      </c>
      <c r="Y526" s="55">
        <f>IFERROR(IF(X526="",0,CEILING((X526/$H526),1)*$H526),"")</f>
        <v>108</v>
      </c>
      <c r="Z526" s="41">
        <f>IFERROR(IF(Y526=0,"",ROUNDUP(Y526/H526,0)*0.01898),"")</f>
        <v>0.17082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103.41666666666667</v>
      </c>
      <c r="BN526" s="78">
        <f>IFERROR(Y526*I526/H526,"0")</f>
        <v>111.69</v>
      </c>
      <c r="BO526" s="78">
        <f>IFERROR(1/J526*(X526/H526),"0")</f>
        <v>0.13020833333333334</v>
      </c>
      <c r="BP526" s="78">
        <f>IFERROR(1/J526*(Y526/H526),"0")</f>
        <v>0.140625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8.3333333333333339</v>
      </c>
      <c r="Y527" s="43">
        <f>IFERROR(Y526/H526,"0")</f>
        <v>9</v>
      </c>
      <c r="Z527" s="43">
        <f>IFERROR(IF(Z526="",0,Z526),"0")</f>
        <v>0.17082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100</v>
      </c>
      <c r="Y528" s="43">
        <f>IFERROR(SUM(Y526:Y526),"0")</f>
        <v>108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120</v>
      </c>
      <c r="Y538" s="55">
        <f>IFERROR(IF(X538="",0,CEILING((X538/$H538),1)*$H538),"")</f>
        <v>126</v>
      </c>
      <c r="Z538" s="41">
        <f>IFERROR(IF(Y538=0,"",ROUNDUP(Y538/H538,0)*0.01898),"")</f>
        <v>0.26572000000000001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126.58666666666666</v>
      </c>
      <c r="BN538" s="78">
        <f>IFERROR(Y538*I538/H538,"0")</f>
        <v>132.916</v>
      </c>
      <c r="BO538" s="78">
        <f>IFERROR(1/J538*(X538/H538),"0")</f>
        <v>0.20833333333333334</v>
      </c>
      <c r="BP538" s="78">
        <f>IFERROR(1/J538*(Y538/H538),"0")</f>
        <v>0.21875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13.333333333333334</v>
      </c>
      <c r="Y539" s="43">
        <f>IFERROR(Y538/H538,"0")</f>
        <v>14</v>
      </c>
      <c r="Z539" s="43">
        <f>IFERROR(IF(Z538="",0,Z538),"0")</f>
        <v>0.26572000000000001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120</v>
      </c>
      <c r="Y540" s="43">
        <f>IFERROR(SUM(Y538:Y538),"0")</f>
        <v>126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13709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13800.840000000002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14392.082318422314</v>
      </c>
      <c r="Y552" s="43">
        <f>IFERROR(SUM(BN22:BN548),"0")</f>
        <v>14488.221999999998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23</v>
      </c>
      <c r="Y553" s="44">
        <f>ROUNDUP(SUM(BP22:BP548),0)</f>
        <v>23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14967.082318422314</v>
      </c>
      <c r="Y554" s="43">
        <f>GrossWeightTotalR+PalletQtyTotalR*25</f>
        <v>15063.221999999998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1717.7056647056643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1729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26.638960000000004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507.6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126</v>
      </c>
      <c r="F561" s="52">
        <f>IFERROR(Y88*1,"0")+IFERROR(Y89*1,"0")+IFERROR(Y90*1,"0")+IFERROR(Y91*1,"0")+IFERROR(Y95*1,"0")+IFERROR(Y96*1,"0")+IFERROR(Y97*1,"0")+IFERROR(Y98*1,"0")</f>
        <v>477.90000000000003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1161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21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63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447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615.90000000000009</v>
      </c>
      <c r="U561" s="52">
        <f>IFERROR(Y415*1,"0")+IFERROR(Y416*1,"0")+IFERROR(Y417*1,"0")</f>
        <v>168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4608</v>
      </c>
      <c r="W561" s="52">
        <f>IFERROR(Y452*1,"0")+IFERROR(Y453*1,"0")+IFERROR(Y457*1,"0")+IFERROR(Y461*1,"0")+IFERROR(Y462*1,"0")+IFERROR(Y463*1,"0")</f>
        <v>3094.8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43.2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2233.4400000000005</v>
      </c>
      <c r="AA561" s="52">
        <f>IFERROR(Y526*1,"0")+IFERROR(Y530*1,"0")+IFERROR(Y534*1,"0")+IFERROR(Y538*1,"0")+IFERROR(Y542*1,"0")+IFERROR(Y543*1,"0")</f>
        <v>234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2026-07-29T07:31:09Z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