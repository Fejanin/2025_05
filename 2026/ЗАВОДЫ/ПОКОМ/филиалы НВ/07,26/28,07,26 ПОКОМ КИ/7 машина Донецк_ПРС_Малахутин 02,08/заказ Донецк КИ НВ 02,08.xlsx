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D536FFF-2393-415C-9721-E8F736A107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43" i="1" l="1"/>
  <c r="Z447" i="1"/>
  <c r="Z79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Z169" i="1" s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Z194" i="1" s="1"/>
  <c r="BP209" i="1"/>
  <c r="BN209" i="1"/>
  <c r="Z209" i="1"/>
  <c r="Z215" i="1" s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551" i="1" s="1"/>
  <c r="Y553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368" i="1"/>
  <c r="BP364" i="1"/>
  <c r="BN364" i="1"/>
  <c r="Z364" i="1"/>
  <c r="Y368" i="1"/>
  <c r="BP372" i="1"/>
  <c r="BN372" i="1"/>
  <c r="Z372" i="1"/>
  <c r="Z378" i="1" s="1"/>
  <c r="Y378" i="1"/>
  <c r="BP376" i="1"/>
  <c r="BN376" i="1"/>
  <c r="Z37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Z277" i="1" s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430" i="1" l="1"/>
  <c r="Z398" i="1"/>
  <c r="Z292" i="1"/>
  <c r="Z188" i="1"/>
  <c r="Z555" i="1" s="1"/>
  <c r="Y554" i="1"/>
  <c r="Z347" i="1"/>
  <c r="Z338" i="1"/>
  <c r="Z308" i="1"/>
  <c r="Z251" i="1"/>
  <c r="Z245" i="1"/>
  <c r="Z117" i="1"/>
  <c r="Z391" i="1"/>
  <c r="Z322" i="1"/>
  <c r="Y550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<sst xmlns="http://schemas.openxmlformats.org/spreadsheetml/2006/main" count="2500" uniqueCount="907">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</sst>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800</v>
      </c>
      <c r="Y51" s="628">
        <f>IFERROR(IF(X51="",0,CEILING((X51/$H51),1)*$H51),"")</f>
        <v>810</v>
      </c>
      <c r="Z51" s="36">
        <f>IFERROR(IF(Y51=0,"",ROUNDUP(Y51/H51,0)*0.01898),"")</f>
        <v>1.4235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830.37037037037032</v>
      </c>
      <c r="BN51" s="64">
        <f>IFERROR(Y51*I51/H51,"0")</f>
        <v>840.75</v>
      </c>
      <c r="BO51" s="64">
        <f>IFERROR(1/J51*(X51/H51),"0")</f>
        <v>1.1574074074074074</v>
      </c>
      <c r="BP51" s="64">
        <f>IFERROR(1/J51*(Y51/H51),"0")</f>
        <v>1.171875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74.074074074074076</v>
      </c>
      <c r="Y55" s="629">
        <f>IFERROR(Y51/H51,"0")+IFERROR(Y52/H52,"0")+IFERROR(Y53/H53,"0")+IFERROR(Y54/H54,"0")</f>
        <v>75</v>
      </c>
      <c r="Z55" s="629">
        <f>IFERROR(IF(Z51="",0,Z51),"0")+IFERROR(IF(Z52="",0,Z52),"0")+IFERROR(IF(Z53="",0,Z53),"0")+IFERROR(IF(Z54="",0,Z54),"0")</f>
        <v>1.4235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800</v>
      </c>
      <c r="Y56" s="629">
        <f>IFERROR(SUM(Y51:Y54),"0")</f>
        <v>810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800</v>
      </c>
      <c r="Y507" s="628">
        <f>IFERROR(IF(X507="",0,CEILING((X507/$H507),1)*$H507),"")</f>
        <v>802.56000000000006</v>
      </c>
      <c r="Z507" s="36">
        <f>IFERROR(IF(Y507=0,"",ROUNDUP(Y507/H507,0)*0.01196),"")</f>
        <v>1.81792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853.030303030303</v>
      </c>
      <c r="BN507" s="64">
        <f>IFERROR(Y507*I507/H507,"0")</f>
        <v>855.76</v>
      </c>
      <c r="BO507" s="64">
        <f>IFERROR(1/J507*(X507/H507),"0")</f>
        <v>1.4568764568764567</v>
      </c>
      <c r="BP507" s="64">
        <f>IFERROR(1/J507*(Y507/H507),"0")</f>
        <v>1.4615384615384617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151.5151515151515</v>
      </c>
      <c r="Y510" s="629">
        <f>IFERROR(Y507/H507,"0")+IFERROR(Y508/H508,"0")+IFERROR(Y509/H509,"0")</f>
        <v>152</v>
      </c>
      <c r="Z510" s="629">
        <f>IFERROR(IF(Z507="",0,Z507),"0")+IFERROR(IF(Z508="",0,Z508),"0")+IFERROR(IF(Z509="",0,Z509),"0")</f>
        <v>1.81792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800</v>
      </c>
      <c r="Y511" s="629">
        <f>IFERROR(SUM(Y507:Y509),"0")</f>
        <v>802.56000000000006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1612.56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1683.4006734006734</v>
      </c>
      <c r="Y551" s="629">
        <f>IFERROR(SUM(BN22:BN547),"0")</f>
        <v>1696.51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1758.4006734006734</v>
      </c>
      <c r="Y553" s="629">
        <f>GrossWeightTotalR+PalletQtyTotalR*25</f>
        <v>1771.51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225.58922558922558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227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3.2414199999999997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810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802.56000000000006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