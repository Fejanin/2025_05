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496B89E-D17B-4E89-B64B-FB0E4C234E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2" r:id="rId1"/>
    <sheet name="Sheet1" sheetId="1" r:id="rId2"/>
  </sheets>
  <calcPr calcId="18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4" i="1" l="1"/>
</calcChain>
</file>

<file path=xl/sharedStrings.xml><?xml version="1.0" encoding="utf-8"?>
<sst xmlns="http://schemas.openxmlformats.org/spreadsheetml/2006/main" count="617" uniqueCount="85">
  <si>
    <t>Счет клиента</t>
  </si>
  <si>
    <t>Наименование</t>
  </si>
  <si>
    <t>Поздний заказ</t>
  </si>
  <si>
    <t>Заказ на продажу</t>
  </si>
  <si>
    <t>Запрошенная дата отгрузки</t>
  </si>
  <si>
    <t>Внешний номер заказа</t>
  </si>
  <si>
    <t>Внешний код клиента</t>
  </si>
  <si>
    <t>Код единицы продаж</t>
  </si>
  <si>
    <t>Наименование для бланков</t>
  </si>
  <si>
    <t>Урезание</t>
  </si>
  <si>
    <t>ПСУС (урезание/пусто)</t>
  </si>
  <si>
    <t>Зона ответственности (урезание/пусто)</t>
  </si>
  <si>
    <t>Окончательная (урезание/пусто)</t>
  </si>
  <si>
    <t>Недогруз</t>
  </si>
  <si>
    <t>ПСУС (недогруз)</t>
  </si>
  <si>
    <t>Зона ответственности (недогруз)</t>
  </si>
  <si>
    <t>Окончательная (недогруз)</t>
  </si>
  <si>
    <t>Комментарий</t>
  </si>
  <si>
    <t>596383</t>
  </si>
  <si>
    <t>ОБЩЕСТВО С ОГРАНИЧЕННОЙ ОТВЕТСТВЕННОСТЬЮ "НОВОЕ ВРЕМЯ"</t>
  </si>
  <si>
    <t>Да</t>
  </si>
  <si>
    <t>TSO001075814</t>
  </si>
  <si>
    <t>6281682</t>
  </si>
  <si>
    <t>НВЛугРабоч</t>
  </si>
  <si>
    <t>Нет</t>
  </si>
  <si>
    <t>SU002835</t>
  </si>
  <si>
    <t>Сардельки «Филейские» Весовые н/о мгс ТМ «Вязанка»</t>
  </si>
  <si>
    <t>ЗаказРазмСОпоздГраф</t>
  </si>
  <si>
    <t>Клиент</t>
  </si>
  <si>
    <t>SU001523</t>
  </si>
  <si>
    <t>Сосиски «Молокуши (Вязанка Молочные)» Весовой п/а мгс ТМ «Вязанка»</t>
  </si>
  <si>
    <t>SU001718</t>
  </si>
  <si>
    <t>Сосиски «Молокуши» ф/в 0,45 п/а мгс ТМ «Вязанка»</t>
  </si>
  <si>
    <t>SU001721</t>
  </si>
  <si>
    <t>Сосиски «Сливочные Вязанка» Весовой п/а мгс ТМ «Вязанка»</t>
  </si>
  <si>
    <t>SU001720</t>
  </si>
  <si>
    <t>Сосиски «Сливочные» ф/в 0,45 п/а мгс ТМ «Вязанка»</t>
  </si>
  <si>
    <t>SU002845</t>
  </si>
  <si>
    <t>Сосиски «Сочинки Сливочные» Весовые ТМ «Стародворье» 1,35 кг</t>
  </si>
  <si>
    <t>SU002725</t>
  </si>
  <si>
    <t>Сосиски «Сочинки» Весовой п/а ТМ «Стародворье»</t>
  </si>
  <si>
    <t>SU002618</t>
  </si>
  <si>
    <t>Сосиски «Сочинки с сочной грудинкой» Фикс.вес 0,4 П/а мгс ТМ «Стародворье»</t>
  </si>
  <si>
    <t>SU002621</t>
  </si>
  <si>
    <t>Сосиски «Сочинки с сочным окороком» Фикс.вес 0,4 П/а мгс ТМ «Стародворье»</t>
  </si>
  <si>
    <t>SU002686</t>
  </si>
  <si>
    <t>Сосиски Сочинки с сыром Бордо ф/в 0,4 кг п/а Стародворье</t>
  </si>
  <si>
    <t>SU002844</t>
  </si>
  <si>
    <t>Сосиски «Сочинки Сливочные» Фикс.вес 0,4 п/а мгс ТМ «Стародворье»</t>
  </si>
  <si>
    <t>SU001051</t>
  </si>
  <si>
    <t>Сардельки «Нежные» Весовые NDX мгс ТМ «Стародворье»</t>
  </si>
  <si>
    <t>SU003167</t>
  </si>
  <si>
    <t>Сосиски «Баварские» Фикс.вес 0,35 П/а ТМ «Стародворье»</t>
  </si>
  <si>
    <t>SU003168</t>
  </si>
  <si>
    <t>Сосиски «Баварские с сыром» Фикс.вес 0,35 п/а ТМ «Стародворье»</t>
  </si>
  <si>
    <t>SU000126</t>
  </si>
  <si>
    <t>Ветчины Нежная Особая Особая Весовые П/а Особый рецепт большой батон</t>
  </si>
  <si>
    <t>SU004016</t>
  </si>
  <si>
    <t>Сосиски «Мясные для гриля» Фикс.вес 0,3 целлофан ТМ «Ядрена копоть»</t>
  </si>
  <si>
    <t>TSO001075815</t>
  </si>
  <si>
    <t>6281677</t>
  </si>
  <si>
    <t>SU000227</t>
  </si>
  <si>
    <t>Сардельки «Стародворские с говядиной» Весовые NDX ТМ «Стародворье»</t>
  </si>
  <si>
    <t>SU001835</t>
  </si>
  <si>
    <t>Сосиски Баварские Бавария Весовые П/а мгс Стародворье</t>
  </si>
  <si>
    <t>SU002287</t>
  </si>
  <si>
    <t>Сардельки «Сочные» Весовой п/а ТМ «Особый рецепт»</t>
  </si>
  <si>
    <t>TSO001075816</t>
  </si>
  <si>
    <t>6281683</t>
  </si>
  <si>
    <t>SU002848</t>
  </si>
  <si>
    <t>В/к колбасы Сервелат Мясорубский с мелкорубленным окороком срез Бордо Фикс.вес 0,35 фиброуз Стародворье</t>
  </si>
  <si>
    <t>SU002842</t>
  </si>
  <si>
    <t>Сосиски «Сочинки Молочные» Фикс.вес 0,4 п/а мгс ТМ «Стародворье»</t>
  </si>
  <si>
    <t>SU002801</t>
  </si>
  <si>
    <t>Сосиски «Сочинки по-баварски с сыром» Фикс.вес 0,4 П/а мгс ТМ «Стародворье»</t>
  </si>
  <si>
    <t>SU002799</t>
  </si>
  <si>
    <t>Сосиски Сочинки по-баварски Бавария Фикс.вес 0,4 П/а мгс Стародворье</t>
  </si>
  <si>
    <t>SU001430</t>
  </si>
  <si>
    <t>Сардельки «Шпикачки Стародворские» Весовой NDX ТМ «Стародворье»</t>
  </si>
  <si>
    <t>SU002074</t>
  </si>
  <si>
    <t>Сосиски «Молочные для завтрака» Весовой п/а ТМ «Особый рецепт»</t>
  </si>
  <si>
    <t>SU002205</t>
  </si>
  <si>
    <t>Сосиски «Молочные для завтрака» Фикс.вес 0,4 П/а мгс ТМ «Особый рецепт»</t>
  </si>
  <si>
    <t>Общий итог</t>
  </si>
  <si>
    <t>Сумма по полю Урезание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</si>
</sst>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  <xf numFmtId="49" fontId="0" fillId="0" borderId="0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4" fontId="0" fillId="0" borderId="2" xfId="0" applyNumberFormat="1" applyBorder="1" applyAlignment="1">
      <alignment horizontal="right"/>
    </xf>
    <xf numFmtId="4" fontId="0" fillId="0" borderId="0" xfId="0" applyNumberFormat="1" applyBorder="1" applyAlignment="1">
      <alignment horizontal="right"/>
    </xf>
    <xf numFmtId="0" fontId="0" fillId="0" borderId="0" xfId="0" pivotButton="1"/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25"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4" formatCode="#,##0.0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30" formatCode="@"/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Радостина Марина Олеговна" refreshedDate="46232.542622800924" createdVersion="6" refreshedVersion="6" minRefreshableVersion="3" recordCount="42" xr:uid="{00000000-000A-0000-FFFF-FFFF07000000}">
  <cacheSource type="worksheet">
    <worksheetSource name="Table"/>
  </cacheSource>
  <cacheFields count="18">
    <cacheField name="Счет клиента" numFmtId="49">
      <sharedItems/>
    </cacheField>
    <cacheField name="Наименование" numFmtId="49">
      <sharedItems/>
    </cacheField>
    <cacheField name="Поздний заказ" numFmtId="49">
      <sharedItems/>
    </cacheField>
    <cacheField name="Заказ на продажу" numFmtId="49">
      <sharedItems count="3">
        <s v="TSO001075814"/>
        <s v="TSO001075815"/>
        <s v="TSO001075816"/>
      </sharedItems>
    </cacheField>
    <cacheField name="Запрошенная дата отгрузки" numFmtId="14">
      <sharedItems containsSemiMixedTypes="0" containsNonDate="0" containsDate="1" containsString="0" minDate="2026-07-30T00:00:00" maxDate="2026-07-31T00:00:00" count="1">
        <d v="2026-07-30T00:00:00"/>
      </sharedItems>
    </cacheField>
    <cacheField name="Внешний номер заказа" numFmtId="49">
      <sharedItems count="3">
        <s v="6281682"/>
        <s v="6281677"/>
        <s v="6281683"/>
      </sharedItems>
    </cacheField>
    <cacheField name="Внешний код клиента" numFmtId="49">
      <sharedItems count="1">
        <s v="НВЛугРабоч"/>
      </sharedItems>
    </cacheField>
    <cacheField name="Код единицы продаж" numFmtId="49">
      <sharedItems count="26">
        <s v="SU002835"/>
        <s v="SU001523"/>
        <s v="SU001718"/>
        <s v="SU001721"/>
        <s v="SU001720"/>
        <s v="SU002845"/>
        <s v="SU002725"/>
        <s v="SU002618"/>
        <s v="SU002621"/>
        <s v="SU002686"/>
        <s v="SU002844"/>
        <s v="SU001051"/>
        <s v="SU003167"/>
        <s v="SU003168"/>
        <s v="SU000126"/>
        <s v="SU004016"/>
        <s v="SU000227"/>
        <s v="SU001835"/>
        <s v="SU002287"/>
        <s v="SU002848"/>
        <s v="SU002842"/>
        <s v="SU002801"/>
        <s v="SU002799"/>
        <s v="SU001430"/>
        <s v="SU002074"/>
        <s v="SU002205"/>
      </sharedItems>
    </cacheField>
    <cacheField name="Наименование для бланков" numFmtId="49">
      <sharedItems count="26">
        <s v="Сардельки «Филейские» Весовые н/о мгс ТМ «Вязанка»"/>
        <s v="Сосиски «Молокуши (Вязанка Молочные)» Весовой п/а мгс ТМ «Вязанка»"/>
        <s v="Сосиски «Молокуши» ф/в 0,45 п/а мгс ТМ «Вязанка»"/>
        <s v="Сосиски «Сливочные Вязанка» Весовой п/а мгс ТМ «Вязанка»"/>
        <s v="Сосиски «Сливочные» ф/в 0,45 п/а мгс ТМ «Вязанка»"/>
        <s v="Сосиски «Сочинки Сливочные» Весовые ТМ «Стародворье» 1,35 кг"/>
        <s v="Сосиски «Сочинки» Весовой п/а ТМ «Стародворье»"/>
        <s v="Сосиски «Сочинки с сочной грудинкой» Фикс.вес 0,4 П/а мгс ТМ «Стародворье»"/>
        <s v="Сосиски «Сочинки с сочным окороком» Фикс.вес 0,4 П/а мгс ТМ «Стародворье»"/>
        <s v="Сосиски Сочинки с сыром Бордо ф/в 0,4 кг п/а Стародворье"/>
        <s v="Сосиски «Сочинки Сливочные» Фикс.вес 0,4 п/а мгс ТМ «Стародворье»"/>
        <s v="Сардельки «Нежные» Весовые NDX мгс ТМ «Стародворье»"/>
        <s v="Сосиски «Баварские» Фикс.вес 0,35 П/а ТМ «Стародворье»"/>
        <s v="Сосиски «Баварские с сыром» Фикс.вес 0,35 п/а ТМ «Стародворье»"/>
        <s v="Ветчины Нежная Особая Особая Весовые П/а Особый рецепт большой батон"/>
        <s v="Сосиски «Мясные для гриля» Фикс.вес 0,3 целлофан ТМ «Ядрена копоть»"/>
        <s v="Сардельки «Стародворские с говядиной» Весовые NDX ТМ «Стародворье»"/>
        <s v="Сосиски Баварские Бавария Весовые П/а мгс Стародворье"/>
        <s v="Сардельки «Сочные» Весовой п/а ТМ «Особый рецепт»"/>
        <s v="В/к колбасы Сервелат Мясорубский с мелкорубленным окороком срез Бордо Фикс.вес 0,35 фиброуз Стародворье"/>
        <s v="Сосиски «Сочинки Молочные» Фикс.вес 0,4 п/а мгс ТМ «Стародворье»"/>
        <s v="Сосиски «Сочинки по-баварски с сыром» Фикс.вес 0,4 П/а мгс ТМ «Стародворье»"/>
        <s v="Сосиски Сочинки по-баварски Бавария Фикс.вес 0,4 П/а мгс Стародворье"/>
        <s v="Сардельки «Шпикачки Стародворские» Весовой NDX ТМ «Стародворье»"/>
        <s v="Сосиски «Молочные для завтрака» Весовой п/а ТМ «Особый рецепт»"/>
        <s v="Сосиски «Молочные для завтрака» Фикс.вес 0,4 П/а мгс ТМ «Особый рецепт»"/>
      </sharedItems>
    </cacheField>
    <cacheField name="Урезание" numFmtId="4">
      <sharedItems containsSemiMixedTypes="0" containsString="0" containsNumber="1" minValue="-510" maxValue="-16.2"/>
    </cacheField>
    <cacheField name="ПСУС (урезание/пусто)" numFmtId="49">
      <sharedItems/>
    </cacheField>
    <cacheField name="Зона ответственности (урезание/пусто)" numFmtId="49">
      <sharedItems/>
    </cacheField>
    <cacheField name="Окончательная (урезание/пусто)" numFmtId="49">
      <sharedItems/>
    </cacheField>
    <cacheField name="Недогруз" numFmtId="4">
      <sharedItems containsNonDate="0" containsString="0" containsBlank="1"/>
    </cacheField>
    <cacheField name="ПСУС (недогруз)" numFmtId="49">
      <sharedItems containsNonDate="0" containsString="0" containsBlank="1"/>
    </cacheField>
    <cacheField name="Зона ответственности (недогруз)" numFmtId="49">
      <sharedItems containsNonDate="0" containsString="0" containsBlank="1"/>
    </cacheField>
    <cacheField name="Окончательная (недогруз)" numFmtId="49">
      <sharedItems/>
    </cacheField>
    <cacheField name="Комментарий" numFmtId="49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">
  <r>
    <s v="596383"/>
    <s v="ОБЩЕСТВО С ОГРАНИЧЕННОЙ ОТВЕТСТВЕННОСТЬЮ &quot;НОВОЕ ВРЕМЯ&quot;"/>
    <s v="Да"/>
    <x v="0"/>
    <x v="0"/>
    <x v="0"/>
    <x v="0"/>
    <x v="0"/>
    <x v="0"/>
    <n v="-327.6000000000000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"/>
    <x v="1"/>
    <n v="-243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2"/>
    <x v="2"/>
    <n v="-75.59999999999999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3"/>
    <x v="3"/>
    <n v="-81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4"/>
    <x v="4"/>
    <n v="-210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5"/>
    <x v="5"/>
    <n v="-16.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6"/>
    <x v="6"/>
    <n v="-156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7"/>
    <x v="7"/>
    <n v="-364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8"/>
    <x v="8"/>
    <n v="-194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9"/>
    <x v="9"/>
    <n v="-153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0"/>
    <x v="10"/>
    <n v="-31.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1"/>
    <x v="11"/>
    <n v="-151.19999999999999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2"/>
    <x v="12"/>
    <n v="-117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3"/>
    <x v="13"/>
    <n v="-37.799999999999997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4"/>
    <x v="14"/>
    <n v="-51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0"/>
    <x v="0"/>
    <x v="0"/>
    <x v="0"/>
    <x v="15"/>
    <x v="15"/>
    <n v="-30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1"/>
    <x v="0"/>
    <x v="1"/>
    <x v="0"/>
    <x v="11"/>
    <x v="11"/>
    <n v="-67.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1"/>
    <x v="0"/>
    <x v="1"/>
    <x v="0"/>
    <x v="16"/>
    <x v="16"/>
    <n v="-62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1"/>
    <x v="0"/>
    <x v="1"/>
    <x v="0"/>
    <x v="17"/>
    <x v="17"/>
    <n v="-64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1"/>
    <x v="0"/>
    <x v="1"/>
    <x v="0"/>
    <x v="18"/>
    <x v="18"/>
    <n v="-7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1"/>
    <x v="0"/>
    <x v="1"/>
    <x v="0"/>
    <x v="0"/>
    <x v="0"/>
    <n v="-62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0"/>
    <x v="0"/>
    <n v="-62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"/>
    <x v="1"/>
    <n v="-129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"/>
    <x v="2"/>
    <n v="-75.59999999999999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3"/>
    <x v="3"/>
    <n v="-194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4"/>
    <x v="4"/>
    <n v="-32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9"/>
    <x v="19"/>
    <n v="-75.59999999999999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6"/>
    <x v="6"/>
    <n v="-417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0"/>
    <x v="20"/>
    <n v="-28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7"/>
    <x v="7"/>
    <n v="-57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8"/>
    <x v="8"/>
    <n v="-86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0"/>
    <x v="10"/>
    <n v="-28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1"/>
    <x v="21"/>
    <n v="-28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2"/>
    <x v="22"/>
    <n v="-28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1"/>
    <x v="11"/>
    <n v="-201.6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6"/>
    <x v="16"/>
    <n v="-374.4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3"/>
    <x v="23"/>
    <n v="-67.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7"/>
    <x v="17"/>
    <n v="-64.8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4"/>
    <x v="14"/>
    <n v="-24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18"/>
    <x v="18"/>
    <n v="-72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4"/>
    <x v="24"/>
    <n v="-360"/>
    <s v="ЗаказРазмСОпоздГраф"/>
    <s v="Клиент"/>
    <s v="Нет"/>
    <m/>
    <m/>
    <m/>
    <s v="Нет"/>
    <m/>
  </r>
  <r>
    <s v="596383"/>
    <s v="ОБЩЕСТВО С ОГРАНИЧЕННОЙ ОТВЕТСТВЕННОСТЬЮ &quot;НОВОЕ ВРЕМЯ&quot;"/>
    <s v="Да"/>
    <x v="2"/>
    <x v="0"/>
    <x v="2"/>
    <x v="0"/>
    <x v="25"/>
    <x v="25"/>
    <n v="-57.6"/>
    <s v="ЗаказРазмСОпоздГраф"/>
    <s v="Клиент"/>
    <s v="Нет"/>
    <m/>
    <m/>
    <m/>
    <s v="Нет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compact="0" compactData="0" multipleFieldFilters="0">
  <location ref="A3:F46" firstHeaderRow="1" firstDataRow="1" firstDataCol="5"/>
  <pivotFields count="18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0"/>
        <item x="1"/>
        <item x="2"/>
      </items>
    </pivotField>
    <pivotField axis="axisRow" compact="0" numFmtId="14" outline="0" showAll="0" defaultSubtotal="0">
      <items count="1">
        <item x="0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26">
        <item x="14"/>
        <item x="16"/>
        <item x="11"/>
        <item x="23"/>
        <item x="1"/>
        <item x="2"/>
        <item x="4"/>
        <item x="3"/>
        <item x="17"/>
        <item x="24"/>
        <item x="25"/>
        <item x="18"/>
        <item x="7"/>
        <item x="8"/>
        <item x="9"/>
        <item x="6"/>
        <item x="22"/>
        <item x="21"/>
        <item x="0"/>
        <item x="20"/>
        <item x="10"/>
        <item x="5"/>
        <item x="19"/>
        <item x="12"/>
        <item x="13"/>
        <item x="15"/>
      </items>
    </pivotField>
    <pivotField axis="axisRow" compact="0" outline="0" showAll="0" defaultSubtotal="0">
      <items count="26">
        <item x="19"/>
        <item x="14"/>
        <item x="11"/>
        <item x="18"/>
        <item x="16"/>
        <item x="0"/>
        <item x="23"/>
        <item x="13"/>
        <item x="12"/>
        <item x="1"/>
        <item x="2"/>
        <item x="24"/>
        <item x="25"/>
        <item x="15"/>
        <item x="3"/>
        <item x="4"/>
        <item x="20"/>
        <item x="21"/>
        <item x="7"/>
        <item x="8"/>
        <item x="5"/>
        <item x="10"/>
        <item x="6"/>
        <item x="17"/>
        <item x="22"/>
        <item x="9"/>
      </items>
    </pivotField>
    <pivotField dataField="1"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5">
    <field x="4"/>
    <field x="6"/>
    <field x="5"/>
    <field x="7"/>
    <field x="8"/>
  </rowFields>
  <rowItems count="43">
    <i>
      <x/>
      <x/>
      <x/>
      <x v="1"/>
      <x v="4"/>
    </i>
    <i r="3">
      <x v="2"/>
      <x v="2"/>
    </i>
    <i r="3">
      <x v="8"/>
      <x v="23"/>
    </i>
    <i r="3">
      <x v="11"/>
      <x v="3"/>
    </i>
    <i r="3">
      <x v="18"/>
      <x v="5"/>
    </i>
    <i r="2">
      <x v="1"/>
      <x/>
      <x v="1"/>
    </i>
    <i r="3">
      <x v="2"/>
      <x v="2"/>
    </i>
    <i r="3">
      <x v="4"/>
      <x v="9"/>
    </i>
    <i r="3">
      <x v="5"/>
      <x v="10"/>
    </i>
    <i r="3">
      <x v="6"/>
      <x v="15"/>
    </i>
    <i r="3">
      <x v="7"/>
      <x v="14"/>
    </i>
    <i r="3">
      <x v="12"/>
      <x v="18"/>
    </i>
    <i r="3">
      <x v="13"/>
      <x v="19"/>
    </i>
    <i r="3">
      <x v="14"/>
      <x v="25"/>
    </i>
    <i r="3">
      <x v="15"/>
      <x v="22"/>
    </i>
    <i r="3">
      <x v="18"/>
      <x v="5"/>
    </i>
    <i r="3">
      <x v="20"/>
      <x v="21"/>
    </i>
    <i r="3">
      <x v="21"/>
      <x v="20"/>
    </i>
    <i r="3">
      <x v="23"/>
      <x v="8"/>
    </i>
    <i r="3">
      <x v="24"/>
      <x v="7"/>
    </i>
    <i r="3">
      <x v="25"/>
      <x v="13"/>
    </i>
    <i r="2">
      <x v="2"/>
      <x/>
      <x v="1"/>
    </i>
    <i r="3">
      <x v="1"/>
      <x v="4"/>
    </i>
    <i r="3">
      <x v="2"/>
      <x v="2"/>
    </i>
    <i r="3">
      <x v="3"/>
      <x v="6"/>
    </i>
    <i r="3">
      <x v="4"/>
      <x v="9"/>
    </i>
    <i r="3">
      <x v="5"/>
      <x v="10"/>
    </i>
    <i r="3">
      <x v="6"/>
      <x v="15"/>
    </i>
    <i r="3">
      <x v="7"/>
      <x v="14"/>
    </i>
    <i r="3">
      <x v="8"/>
      <x v="23"/>
    </i>
    <i r="3">
      <x v="9"/>
      <x v="11"/>
    </i>
    <i r="3">
      <x v="10"/>
      <x v="12"/>
    </i>
    <i r="3">
      <x v="11"/>
      <x v="3"/>
    </i>
    <i r="3">
      <x v="12"/>
      <x v="18"/>
    </i>
    <i r="3">
      <x v="13"/>
      <x v="19"/>
    </i>
    <i r="3">
      <x v="15"/>
      <x v="22"/>
    </i>
    <i r="3">
      <x v="16"/>
      <x v="24"/>
    </i>
    <i r="3">
      <x v="17"/>
      <x v="17"/>
    </i>
    <i r="3">
      <x v="18"/>
      <x v="5"/>
    </i>
    <i r="3">
      <x v="19"/>
      <x v="16"/>
    </i>
    <i r="3">
      <x v="20"/>
      <x v="21"/>
    </i>
    <i r="3">
      <x v="22"/>
      <x/>
    </i>
    <i t="grand">
      <x/>
    </i>
  </rowItems>
  <colItems count="1">
    <i/>
  </colItems>
  <dataFields count="1">
    <dataField name="Сумма по полю Урезание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" displayName="Table" ref="A1:R44" totalsRowCount="1">
  <autoFilter ref="A1:R43" xr:uid="{00000000-0009-0000-0100-000001000000}"/>
  <tableColumns count="18">
    <tableColumn id="1" xr3:uid="{00000000-0010-0000-0000-000001000000}" name="Счет клиента" totalsRowDxfId="24"/>
    <tableColumn id="2" xr3:uid="{00000000-0010-0000-0000-000002000000}" name="Наименование" totalsRowDxfId="23"/>
    <tableColumn id="3" xr3:uid="{00000000-0010-0000-0000-000003000000}" name="Поздний заказ" totalsRowDxfId="22"/>
    <tableColumn id="4" xr3:uid="{00000000-0010-0000-0000-000004000000}" name="Заказ на продажу" dataDxfId="21" totalsRowDxfId="20"/>
    <tableColumn id="5" xr3:uid="{00000000-0010-0000-0000-000005000000}" name="Запрошенная дата отгрузки" dataDxfId="19" totalsRowDxfId="18"/>
    <tableColumn id="6" xr3:uid="{00000000-0010-0000-0000-000006000000}" name="Внешний номер заказа" dataDxfId="17" totalsRowDxfId="16"/>
    <tableColumn id="8" xr3:uid="{00000000-0010-0000-0000-000008000000}" name="Внешний код клиента" dataDxfId="15" totalsRowDxfId="14"/>
    <tableColumn id="17" xr3:uid="{00000000-0010-0000-0000-000011000000}" name="Код единицы продаж" dataDxfId="13" totalsRowDxfId="12"/>
    <tableColumn id="18" xr3:uid="{00000000-0010-0000-0000-000012000000}" name="Наименование для бланков" dataDxfId="11" totalsRowDxfId="10"/>
    <tableColumn id="22" xr3:uid="{00000000-0010-0000-0000-000016000000}" name="Урезание" totalsRowFunction="sum" dataDxfId="9" totalsRowDxfId="8"/>
    <tableColumn id="23" xr3:uid="{00000000-0010-0000-0000-000017000000}" name="ПСУС (урезание/пусто)" totalsRowDxfId="7"/>
    <tableColumn id="24" xr3:uid="{00000000-0010-0000-0000-000018000000}" name="Зона ответственности (урезание/пусто)" totalsRowDxfId="6"/>
    <tableColumn id="25" xr3:uid="{00000000-0010-0000-0000-000019000000}" name="Окончательная (урезание/пусто)" totalsRowDxfId="5"/>
    <tableColumn id="26" xr3:uid="{00000000-0010-0000-0000-00001A000000}" name="Недогруз" totalsRowDxfId="4"/>
    <tableColumn id="27" xr3:uid="{00000000-0010-0000-0000-00001B000000}" name="ПСУС (недогруз)" totalsRowDxfId="3"/>
    <tableColumn id="28" xr3:uid="{00000000-0010-0000-0000-00001C000000}" name="Зона ответственности (недогруз)" totalsRowDxfId="2"/>
    <tableColumn id="29" xr3:uid="{00000000-0010-0000-0000-00001D000000}" name="Окончательная (недогруз)" totalsRowDxfId="1"/>
    <tableColumn id="30" xr3:uid="{00000000-0010-0000-0000-00001E000000}" name="Комментарий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46"/>
  <sheetViews>
    <sheetView tabSelected="1" workbookViewId="0">
      <selection activeCell="H15" sqref="H15"/>
    </sheetView>
  </sheetViews>
  <sheetFormatPr defaultRowHeight="15" x14ac:dyDescent="0.25"/>
  <cols>
    <col min="1" max="1" width="33.28515625" customWidth="1"/>
    <col min="2" max="2" width="25" bestFit="1" customWidth="1"/>
    <col min="3" max="3" width="11.5703125" customWidth="1"/>
    <col min="4" max="4" width="14" customWidth="1"/>
    <col min="5" max="5" width="108.42578125" bestFit="1" customWidth="1"/>
    <col min="6" max="6" width="25" bestFit="1" customWidth="1"/>
  </cols>
  <sheetData>
    <row r="3" spans="1:6" x14ac:dyDescent="0.25">
      <c r="A3" s="13" t="s">
        <v>4</v>
      </c>
      <c r="B3" s="13" t="s">
        <v>6</v>
      </c>
      <c r="C3" s="13" t="s">
        <v>5</v>
      </c>
      <c r="D3" s="13" t="s">
        <v>7</v>
      </c>
      <c r="E3" s="13" t="s">
        <v>8</v>
      </c>
      <c r="F3" t="s">
        <v>84</v>
      </c>
    </row>
    <row r="4" spans="1:6" x14ac:dyDescent="0.25">
      <c r="A4" s="15">
        <v>46233</v>
      </c>
      <c r="B4" t="s">
        <v>23</v>
      </c>
      <c r="C4" t="s">
        <v>60</v>
      </c>
      <c r="D4" t="s">
        <v>61</v>
      </c>
      <c r="E4" t="s">
        <v>62</v>
      </c>
      <c r="F4" s="14">
        <v>-62.4</v>
      </c>
    </row>
    <row r="5" spans="1:6" x14ac:dyDescent="0.25">
      <c r="D5" t="s">
        <v>49</v>
      </c>
      <c r="E5" t="s">
        <v>50</v>
      </c>
      <c r="F5" s="14">
        <v>-67.2</v>
      </c>
    </row>
    <row r="6" spans="1:6" x14ac:dyDescent="0.25">
      <c r="D6" t="s">
        <v>63</v>
      </c>
      <c r="E6" t="s">
        <v>64</v>
      </c>
      <c r="F6" s="14">
        <v>-64.8</v>
      </c>
    </row>
    <row r="7" spans="1:6" x14ac:dyDescent="0.25">
      <c r="D7" t="s">
        <v>65</v>
      </c>
      <c r="E7" t="s">
        <v>66</v>
      </c>
      <c r="F7" s="14">
        <v>-72</v>
      </c>
    </row>
    <row r="8" spans="1:6" x14ac:dyDescent="0.25">
      <c r="D8" t="s">
        <v>25</v>
      </c>
      <c r="E8" t="s">
        <v>26</v>
      </c>
      <c r="F8" s="14">
        <v>-62.4</v>
      </c>
    </row>
    <row r="9" spans="1:6" x14ac:dyDescent="0.25">
      <c r="C9" t="s">
        <v>22</v>
      </c>
      <c r="D9" t="s">
        <v>55</v>
      </c>
      <c r="E9" t="s">
        <v>56</v>
      </c>
      <c r="F9" s="14">
        <v>-510</v>
      </c>
    </row>
    <row r="10" spans="1:6" x14ac:dyDescent="0.25">
      <c r="D10" t="s">
        <v>49</v>
      </c>
      <c r="E10" t="s">
        <v>50</v>
      </c>
      <c r="F10" s="14">
        <v>-151.19999999999999</v>
      </c>
    </row>
    <row r="11" spans="1:6" x14ac:dyDescent="0.25">
      <c r="D11" t="s">
        <v>29</v>
      </c>
      <c r="E11" t="s">
        <v>30</v>
      </c>
      <c r="F11" s="14">
        <v>-243</v>
      </c>
    </row>
    <row r="12" spans="1:6" x14ac:dyDescent="0.25">
      <c r="D12" t="s">
        <v>31</v>
      </c>
      <c r="E12" t="s">
        <v>32</v>
      </c>
      <c r="F12" s="14">
        <v>-75.599999999999994</v>
      </c>
    </row>
    <row r="13" spans="1:6" x14ac:dyDescent="0.25">
      <c r="D13" t="s">
        <v>35</v>
      </c>
      <c r="E13" t="s">
        <v>36</v>
      </c>
      <c r="F13" s="14">
        <v>-210.6</v>
      </c>
    </row>
    <row r="14" spans="1:6" x14ac:dyDescent="0.25">
      <c r="D14" t="s">
        <v>33</v>
      </c>
      <c r="E14" t="s">
        <v>34</v>
      </c>
      <c r="F14" s="14">
        <v>-81</v>
      </c>
    </row>
    <row r="15" spans="1:6" x14ac:dyDescent="0.25">
      <c r="D15" t="s">
        <v>41</v>
      </c>
      <c r="E15" t="s">
        <v>42</v>
      </c>
      <c r="F15" s="14">
        <v>-364.8</v>
      </c>
    </row>
    <row r="16" spans="1:6" x14ac:dyDescent="0.25">
      <c r="D16" t="s">
        <v>43</v>
      </c>
      <c r="E16" t="s">
        <v>44</v>
      </c>
      <c r="F16" s="14">
        <v>-194.4</v>
      </c>
    </row>
    <row r="17" spans="3:6" x14ac:dyDescent="0.25">
      <c r="D17" t="s">
        <v>45</v>
      </c>
      <c r="E17" t="s">
        <v>46</v>
      </c>
      <c r="F17" s="14">
        <v>-153.6</v>
      </c>
    </row>
    <row r="18" spans="3:6" x14ac:dyDescent="0.25">
      <c r="D18" t="s">
        <v>39</v>
      </c>
      <c r="E18" t="s">
        <v>40</v>
      </c>
      <c r="F18" s="14">
        <v>-156.6</v>
      </c>
    </row>
    <row r="19" spans="3:6" x14ac:dyDescent="0.25">
      <c r="D19" t="s">
        <v>25</v>
      </c>
      <c r="E19" t="s">
        <v>26</v>
      </c>
      <c r="F19" s="14">
        <v>-327.60000000000002</v>
      </c>
    </row>
    <row r="20" spans="3:6" x14ac:dyDescent="0.25">
      <c r="D20" t="s">
        <v>47</v>
      </c>
      <c r="E20" t="s">
        <v>48</v>
      </c>
      <c r="F20" s="14">
        <v>-31.2</v>
      </c>
    </row>
    <row r="21" spans="3:6" x14ac:dyDescent="0.25">
      <c r="D21" t="s">
        <v>37</v>
      </c>
      <c r="E21" t="s">
        <v>38</v>
      </c>
      <c r="F21" s="14">
        <v>-16.2</v>
      </c>
    </row>
    <row r="22" spans="3:6" x14ac:dyDescent="0.25">
      <c r="D22" t="s">
        <v>51</v>
      </c>
      <c r="E22" t="s">
        <v>52</v>
      </c>
      <c r="F22" s="14">
        <v>-117.6</v>
      </c>
    </row>
    <row r="23" spans="3:6" x14ac:dyDescent="0.25">
      <c r="D23" t="s">
        <v>53</v>
      </c>
      <c r="E23" t="s">
        <v>54</v>
      </c>
      <c r="F23" s="14">
        <v>-37.799999999999997</v>
      </c>
    </row>
    <row r="24" spans="3:6" x14ac:dyDescent="0.25">
      <c r="D24" t="s">
        <v>57</v>
      </c>
      <c r="E24" t="s">
        <v>58</v>
      </c>
      <c r="F24" s="14">
        <v>-30.6</v>
      </c>
    </row>
    <row r="25" spans="3:6" x14ac:dyDescent="0.25">
      <c r="C25" t="s">
        <v>68</v>
      </c>
      <c r="D25" t="s">
        <v>55</v>
      </c>
      <c r="E25" t="s">
        <v>56</v>
      </c>
      <c r="F25" s="14">
        <v>-240</v>
      </c>
    </row>
    <row r="26" spans="3:6" x14ac:dyDescent="0.25">
      <c r="D26" t="s">
        <v>61</v>
      </c>
      <c r="E26" t="s">
        <v>62</v>
      </c>
      <c r="F26" s="14">
        <v>-374.4</v>
      </c>
    </row>
    <row r="27" spans="3:6" x14ac:dyDescent="0.25">
      <c r="D27" t="s">
        <v>49</v>
      </c>
      <c r="E27" t="s">
        <v>50</v>
      </c>
      <c r="F27" s="14">
        <v>-201.6</v>
      </c>
    </row>
    <row r="28" spans="3:6" x14ac:dyDescent="0.25">
      <c r="D28" t="s">
        <v>77</v>
      </c>
      <c r="E28" t="s">
        <v>78</v>
      </c>
      <c r="F28" s="14">
        <v>-67.2</v>
      </c>
    </row>
    <row r="29" spans="3:6" x14ac:dyDescent="0.25">
      <c r="D29" t="s">
        <v>29</v>
      </c>
      <c r="E29" t="s">
        <v>30</v>
      </c>
      <c r="F29" s="14">
        <v>-129.6</v>
      </c>
    </row>
    <row r="30" spans="3:6" x14ac:dyDescent="0.25">
      <c r="D30" t="s">
        <v>31</v>
      </c>
      <c r="E30" t="s">
        <v>32</v>
      </c>
      <c r="F30" s="14">
        <v>-75.599999999999994</v>
      </c>
    </row>
    <row r="31" spans="3:6" x14ac:dyDescent="0.25">
      <c r="D31" t="s">
        <v>35</v>
      </c>
      <c r="E31" t="s">
        <v>36</v>
      </c>
      <c r="F31" s="14">
        <v>-32.4</v>
      </c>
    </row>
    <row r="32" spans="3:6" x14ac:dyDescent="0.25">
      <c r="D32" t="s">
        <v>33</v>
      </c>
      <c r="E32" t="s">
        <v>34</v>
      </c>
      <c r="F32" s="14">
        <v>-194.4</v>
      </c>
    </row>
    <row r="33" spans="1:6" x14ac:dyDescent="0.25">
      <c r="D33" t="s">
        <v>63</v>
      </c>
      <c r="E33" t="s">
        <v>64</v>
      </c>
      <c r="F33" s="14">
        <v>-64.8</v>
      </c>
    </row>
    <row r="34" spans="1:6" x14ac:dyDescent="0.25">
      <c r="D34" t="s">
        <v>79</v>
      </c>
      <c r="E34" t="s">
        <v>80</v>
      </c>
      <c r="F34" s="14">
        <v>-360</v>
      </c>
    </row>
    <row r="35" spans="1:6" x14ac:dyDescent="0.25">
      <c r="D35" t="s">
        <v>81</v>
      </c>
      <c r="E35" t="s">
        <v>82</v>
      </c>
      <c r="F35" s="14">
        <v>-57.6</v>
      </c>
    </row>
    <row r="36" spans="1:6" x14ac:dyDescent="0.25">
      <c r="D36" t="s">
        <v>65</v>
      </c>
      <c r="E36" t="s">
        <v>66</v>
      </c>
      <c r="F36" s="14">
        <v>-72</v>
      </c>
    </row>
    <row r="37" spans="1:6" x14ac:dyDescent="0.25">
      <c r="D37" t="s">
        <v>41</v>
      </c>
      <c r="E37" t="s">
        <v>42</v>
      </c>
      <c r="F37" s="14">
        <v>-57.6</v>
      </c>
    </row>
    <row r="38" spans="1:6" x14ac:dyDescent="0.25">
      <c r="D38" t="s">
        <v>43</v>
      </c>
      <c r="E38" t="s">
        <v>44</v>
      </c>
      <c r="F38" s="14">
        <v>-86.4</v>
      </c>
    </row>
    <row r="39" spans="1:6" x14ac:dyDescent="0.25">
      <c r="D39" t="s">
        <v>39</v>
      </c>
      <c r="E39" t="s">
        <v>40</v>
      </c>
      <c r="F39" s="14">
        <v>-417.6</v>
      </c>
    </row>
    <row r="40" spans="1:6" x14ac:dyDescent="0.25">
      <c r="D40" t="s">
        <v>75</v>
      </c>
      <c r="E40" t="s">
        <v>76</v>
      </c>
      <c r="F40" s="14">
        <v>-28.8</v>
      </c>
    </row>
    <row r="41" spans="1:6" x14ac:dyDescent="0.25">
      <c r="D41" t="s">
        <v>73</v>
      </c>
      <c r="E41" t="s">
        <v>74</v>
      </c>
      <c r="F41" s="14">
        <v>-28.8</v>
      </c>
    </row>
    <row r="42" spans="1:6" x14ac:dyDescent="0.25">
      <c r="D42" t="s">
        <v>25</v>
      </c>
      <c r="E42" t="s">
        <v>26</v>
      </c>
      <c r="F42" s="14">
        <v>-62.4</v>
      </c>
    </row>
    <row r="43" spans="1:6" x14ac:dyDescent="0.25">
      <c r="D43" t="s">
        <v>71</v>
      </c>
      <c r="E43" t="s">
        <v>72</v>
      </c>
      <c r="F43" s="14">
        <v>-28.8</v>
      </c>
    </row>
    <row r="44" spans="1:6" x14ac:dyDescent="0.25">
      <c r="D44" t="s">
        <v>47</v>
      </c>
      <c r="E44" t="s">
        <v>48</v>
      </c>
      <c r="F44" s="14">
        <v>-28.8</v>
      </c>
    </row>
    <row r="45" spans="1:6" x14ac:dyDescent="0.25">
      <c r="D45" t="s">
        <v>69</v>
      </c>
      <c r="E45" t="s">
        <v>70</v>
      </c>
      <c r="F45" s="14">
        <v>-75.599999999999994</v>
      </c>
    </row>
    <row r="46" spans="1:6" x14ac:dyDescent="0.25">
      <c r="A46" s="15" t="s">
        <v>83</v>
      </c>
      <c r="F46" s="14">
        <v>-5715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topLeftCell="A2" workbookViewId="0">
      <selection activeCell="J44" sqref="D1:J44"/>
    </sheetView>
  </sheetViews>
  <sheetFormatPr defaultRowHeight="15" x14ac:dyDescent="0.25"/>
  <cols>
    <col min="1" max="1" width="16" style="1"/>
    <col min="2" max="2" width="58" style="1"/>
    <col min="3" max="3" width="17" style="1"/>
    <col min="4" max="4" width="20" style="1"/>
    <col min="5" max="5" width="29" style="2"/>
    <col min="6" max="6" width="24" style="1"/>
    <col min="7" max="7" width="23" style="1"/>
    <col min="8" max="8" width="22" style="1"/>
    <col min="9" max="9" width="107" style="1"/>
    <col min="10" max="10" width="13" style="3"/>
    <col min="11" max="11" width="25" style="1"/>
    <col min="12" max="12" width="41" style="1"/>
    <col min="13" max="13" width="34" style="1"/>
    <col min="14" max="14" width="12" style="3"/>
    <col min="15" max="15" width="19" style="1"/>
    <col min="16" max="16" width="35" style="1"/>
    <col min="17" max="17" width="28" style="1"/>
    <col min="18" max="18" width="15" style="1"/>
  </cols>
  <sheetData>
    <row r="1" spans="1:18" x14ac:dyDescent="0.25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5" t="s">
        <v>21</v>
      </c>
      <c r="E2" s="6">
        <v>46233</v>
      </c>
      <c r="F2" s="5" t="s">
        <v>22</v>
      </c>
      <c r="G2" s="5" t="s">
        <v>23</v>
      </c>
      <c r="H2" s="5" t="s">
        <v>25</v>
      </c>
      <c r="I2" s="5" t="s">
        <v>26</v>
      </c>
      <c r="J2" s="7">
        <v>-327.60000000000002</v>
      </c>
      <c r="K2" s="1" t="s">
        <v>27</v>
      </c>
      <c r="L2" s="1" t="s">
        <v>28</v>
      </c>
      <c r="M2" s="1" t="s">
        <v>24</v>
      </c>
      <c r="Q2" s="1" t="s">
        <v>24</v>
      </c>
    </row>
    <row r="3" spans="1:18" x14ac:dyDescent="0.25">
      <c r="A3" s="1" t="s">
        <v>18</v>
      </c>
      <c r="B3" s="1" t="s">
        <v>19</v>
      </c>
      <c r="C3" s="1" t="s">
        <v>20</v>
      </c>
      <c r="D3" s="5" t="s">
        <v>21</v>
      </c>
      <c r="E3" s="6">
        <v>46233</v>
      </c>
      <c r="F3" s="5" t="s">
        <v>22</v>
      </c>
      <c r="G3" s="5" t="s">
        <v>23</v>
      </c>
      <c r="H3" s="5" t="s">
        <v>29</v>
      </c>
      <c r="I3" s="5" t="s">
        <v>30</v>
      </c>
      <c r="J3" s="7">
        <v>-243</v>
      </c>
      <c r="K3" s="1" t="s">
        <v>27</v>
      </c>
      <c r="L3" s="1" t="s">
        <v>28</v>
      </c>
      <c r="M3" s="1" t="s">
        <v>24</v>
      </c>
      <c r="Q3" s="1" t="s">
        <v>24</v>
      </c>
    </row>
    <row r="4" spans="1:18" x14ac:dyDescent="0.25">
      <c r="A4" s="1" t="s">
        <v>18</v>
      </c>
      <c r="B4" s="1" t="s">
        <v>19</v>
      </c>
      <c r="C4" s="1" t="s">
        <v>20</v>
      </c>
      <c r="D4" s="5" t="s">
        <v>21</v>
      </c>
      <c r="E4" s="6">
        <v>46233</v>
      </c>
      <c r="F4" s="5" t="s">
        <v>22</v>
      </c>
      <c r="G4" s="5" t="s">
        <v>23</v>
      </c>
      <c r="H4" s="5" t="s">
        <v>31</v>
      </c>
      <c r="I4" s="5" t="s">
        <v>32</v>
      </c>
      <c r="J4" s="7">
        <v>-75.599999999999994</v>
      </c>
      <c r="K4" s="1" t="s">
        <v>27</v>
      </c>
      <c r="L4" s="1" t="s">
        <v>28</v>
      </c>
      <c r="M4" s="1" t="s">
        <v>24</v>
      </c>
      <c r="Q4" s="1" t="s">
        <v>24</v>
      </c>
    </row>
    <row r="5" spans="1:18" x14ac:dyDescent="0.25">
      <c r="A5" s="1" t="s">
        <v>18</v>
      </c>
      <c r="B5" s="1" t="s">
        <v>19</v>
      </c>
      <c r="C5" s="1" t="s">
        <v>20</v>
      </c>
      <c r="D5" s="5" t="s">
        <v>21</v>
      </c>
      <c r="E5" s="6">
        <v>46233</v>
      </c>
      <c r="F5" s="5" t="s">
        <v>22</v>
      </c>
      <c r="G5" s="5" t="s">
        <v>23</v>
      </c>
      <c r="H5" s="5" t="s">
        <v>33</v>
      </c>
      <c r="I5" s="5" t="s">
        <v>34</v>
      </c>
      <c r="J5" s="7">
        <v>-81</v>
      </c>
      <c r="K5" s="1" t="s">
        <v>27</v>
      </c>
      <c r="L5" s="1" t="s">
        <v>28</v>
      </c>
      <c r="M5" s="1" t="s">
        <v>24</v>
      </c>
      <c r="Q5" s="1" t="s">
        <v>24</v>
      </c>
    </row>
    <row r="6" spans="1:18" x14ac:dyDescent="0.25">
      <c r="A6" s="1" t="s">
        <v>18</v>
      </c>
      <c r="B6" s="1" t="s">
        <v>19</v>
      </c>
      <c r="C6" s="1" t="s">
        <v>20</v>
      </c>
      <c r="D6" s="5" t="s">
        <v>21</v>
      </c>
      <c r="E6" s="6">
        <v>46233</v>
      </c>
      <c r="F6" s="5" t="s">
        <v>22</v>
      </c>
      <c r="G6" s="5" t="s">
        <v>23</v>
      </c>
      <c r="H6" s="5" t="s">
        <v>35</v>
      </c>
      <c r="I6" s="5" t="s">
        <v>36</v>
      </c>
      <c r="J6" s="7">
        <v>-210.6</v>
      </c>
      <c r="K6" s="1" t="s">
        <v>27</v>
      </c>
      <c r="L6" s="1" t="s">
        <v>28</v>
      </c>
      <c r="M6" s="1" t="s">
        <v>24</v>
      </c>
      <c r="Q6" s="1" t="s">
        <v>24</v>
      </c>
    </row>
    <row r="7" spans="1:18" x14ac:dyDescent="0.25">
      <c r="A7" s="1" t="s">
        <v>18</v>
      </c>
      <c r="B7" s="1" t="s">
        <v>19</v>
      </c>
      <c r="C7" s="1" t="s">
        <v>20</v>
      </c>
      <c r="D7" s="5" t="s">
        <v>21</v>
      </c>
      <c r="E7" s="6">
        <v>46233</v>
      </c>
      <c r="F7" s="5" t="s">
        <v>22</v>
      </c>
      <c r="G7" s="5" t="s">
        <v>23</v>
      </c>
      <c r="H7" s="5" t="s">
        <v>37</v>
      </c>
      <c r="I7" s="5" t="s">
        <v>38</v>
      </c>
      <c r="J7" s="7">
        <v>-16.2</v>
      </c>
      <c r="K7" s="1" t="s">
        <v>27</v>
      </c>
      <c r="L7" s="1" t="s">
        <v>28</v>
      </c>
      <c r="M7" s="1" t="s">
        <v>24</v>
      </c>
      <c r="Q7" s="1" t="s">
        <v>24</v>
      </c>
    </row>
    <row r="8" spans="1:18" x14ac:dyDescent="0.25">
      <c r="A8" s="1" t="s">
        <v>18</v>
      </c>
      <c r="B8" s="1" t="s">
        <v>19</v>
      </c>
      <c r="C8" s="1" t="s">
        <v>20</v>
      </c>
      <c r="D8" s="5" t="s">
        <v>21</v>
      </c>
      <c r="E8" s="6">
        <v>46233</v>
      </c>
      <c r="F8" s="5" t="s">
        <v>22</v>
      </c>
      <c r="G8" s="5" t="s">
        <v>23</v>
      </c>
      <c r="H8" s="5" t="s">
        <v>39</v>
      </c>
      <c r="I8" s="5" t="s">
        <v>40</v>
      </c>
      <c r="J8" s="7">
        <v>-156.6</v>
      </c>
      <c r="K8" s="1" t="s">
        <v>27</v>
      </c>
      <c r="L8" s="1" t="s">
        <v>28</v>
      </c>
      <c r="M8" s="1" t="s">
        <v>24</v>
      </c>
      <c r="Q8" s="1" t="s">
        <v>24</v>
      </c>
    </row>
    <row r="9" spans="1:18" x14ac:dyDescent="0.25">
      <c r="A9" s="1" t="s">
        <v>18</v>
      </c>
      <c r="B9" s="1" t="s">
        <v>19</v>
      </c>
      <c r="C9" s="1" t="s">
        <v>20</v>
      </c>
      <c r="D9" s="5" t="s">
        <v>21</v>
      </c>
      <c r="E9" s="6">
        <v>46233</v>
      </c>
      <c r="F9" s="5" t="s">
        <v>22</v>
      </c>
      <c r="G9" s="5" t="s">
        <v>23</v>
      </c>
      <c r="H9" s="5" t="s">
        <v>41</v>
      </c>
      <c r="I9" s="5" t="s">
        <v>42</v>
      </c>
      <c r="J9" s="7">
        <v>-364.8</v>
      </c>
      <c r="K9" s="1" t="s">
        <v>27</v>
      </c>
      <c r="L9" s="1" t="s">
        <v>28</v>
      </c>
      <c r="M9" s="1" t="s">
        <v>24</v>
      </c>
      <c r="Q9" s="1" t="s">
        <v>24</v>
      </c>
    </row>
    <row r="10" spans="1:18" x14ac:dyDescent="0.25">
      <c r="A10" s="1" t="s">
        <v>18</v>
      </c>
      <c r="B10" s="1" t="s">
        <v>19</v>
      </c>
      <c r="C10" s="1" t="s">
        <v>20</v>
      </c>
      <c r="D10" s="5" t="s">
        <v>21</v>
      </c>
      <c r="E10" s="6">
        <v>46233</v>
      </c>
      <c r="F10" s="5" t="s">
        <v>22</v>
      </c>
      <c r="G10" s="5" t="s">
        <v>23</v>
      </c>
      <c r="H10" s="5" t="s">
        <v>43</v>
      </c>
      <c r="I10" s="5" t="s">
        <v>44</v>
      </c>
      <c r="J10" s="7">
        <v>-194.4</v>
      </c>
      <c r="K10" s="1" t="s">
        <v>27</v>
      </c>
      <c r="L10" s="1" t="s">
        <v>28</v>
      </c>
      <c r="M10" s="1" t="s">
        <v>24</v>
      </c>
      <c r="Q10" s="1" t="s">
        <v>24</v>
      </c>
    </row>
    <row r="11" spans="1:18" x14ac:dyDescent="0.25">
      <c r="A11" s="1" t="s">
        <v>18</v>
      </c>
      <c r="B11" s="1" t="s">
        <v>19</v>
      </c>
      <c r="C11" s="1" t="s">
        <v>20</v>
      </c>
      <c r="D11" s="5" t="s">
        <v>21</v>
      </c>
      <c r="E11" s="6">
        <v>46233</v>
      </c>
      <c r="F11" s="5" t="s">
        <v>22</v>
      </c>
      <c r="G11" s="5" t="s">
        <v>23</v>
      </c>
      <c r="H11" s="5" t="s">
        <v>45</v>
      </c>
      <c r="I11" s="5" t="s">
        <v>46</v>
      </c>
      <c r="J11" s="7">
        <v>-153.6</v>
      </c>
      <c r="K11" s="1" t="s">
        <v>27</v>
      </c>
      <c r="L11" s="1" t="s">
        <v>28</v>
      </c>
      <c r="M11" s="1" t="s">
        <v>24</v>
      </c>
      <c r="Q11" s="1" t="s">
        <v>24</v>
      </c>
    </row>
    <row r="12" spans="1:18" x14ac:dyDescent="0.25">
      <c r="A12" s="1" t="s">
        <v>18</v>
      </c>
      <c r="B12" s="1" t="s">
        <v>19</v>
      </c>
      <c r="C12" s="1" t="s">
        <v>20</v>
      </c>
      <c r="D12" s="5" t="s">
        <v>21</v>
      </c>
      <c r="E12" s="6">
        <v>46233</v>
      </c>
      <c r="F12" s="5" t="s">
        <v>22</v>
      </c>
      <c r="G12" s="5" t="s">
        <v>23</v>
      </c>
      <c r="H12" s="5" t="s">
        <v>47</v>
      </c>
      <c r="I12" s="5" t="s">
        <v>48</v>
      </c>
      <c r="J12" s="7">
        <v>-31.2</v>
      </c>
      <c r="K12" s="1" t="s">
        <v>27</v>
      </c>
      <c r="L12" s="1" t="s">
        <v>28</v>
      </c>
      <c r="M12" s="1" t="s">
        <v>24</v>
      </c>
      <c r="Q12" s="1" t="s">
        <v>24</v>
      </c>
    </row>
    <row r="13" spans="1:18" x14ac:dyDescent="0.25">
      <c r="A13" s="1" t="s">
        <v>18</v>
      </c>
      <c r="B13" s="1" t="s">
        <v>19</v>
      </c>
      <c r="C13" s="1" t="s">
        <v>20</v>
      </c>
      <c r="D13" s="5" t="s">
        <v>21</v>
      </c>
      <c r="E13" s="6">
        <v>46233</v>
      </c>
      <c r="F13" s="5" t="s">
        <v>22</v>
      </c>
      <c r="G13" s="5" t="s">
        <v>23</v>
      </c>
      <c r="H13" s="5" t="s">
        <v>49</v>
      </c>
      <c r="I13" s="5" t="s">
        <v>50</v>
      </c>
      <c r="J13" s="7">
        <v>-151.19999999999999</v>
      </c>
      <c r="K13" s="1" t="s">
        <v>27</v>
      </c>
      <c r="L13" s="1" t="s">
        <v>28</v>
      </c>
      <c r="M13" s="1" t="s">
        <v>24</v>
      </c>
      <c r="Q13" s="1" t="s">
        <v>24</v>
      </c>
    </row>
    <row r="14" spans="1:18" x14ac:dyDescent="0.25">
      <c r="A14" s="1" t="s">
        <v>18</v>
      </c>
      <c r="B14" s="1" t="s">
        <v>19</v>
      </c>
      <c r="C14" s="1" t="s">
        <v>20</v>
      </c>
      <c r="D14" s="5" t="s">
        <v>21</v>
      </c>
      <c r="E14" s="6">
        <v>46233</v>
      </c>
      <c r="F14" s="5" t="s">
        <v>22</v>
      </c>
      <c r="G14" s="5" t="s">
        <v>23</v>
      </c>
      <c r="H14" s="5" t="s">
        <v>51</v>
      </c>
      <c r="I14" s="5" t="s">
        <v>52</v>
      </c>
      <c r="J14" s="7">
        <v>-117.6</v>
      </c>
      <c r="K14" s="1" t="s">
        <v>27</v>
      </c>
      <c r="L14" s="1" t="s">
        <v>28</v>
      </c>
      <c r="M14" s="1" t="s">
        <v>24</v>
      </c>
      <c r="Q14" s="1" t="s">
        <v>24</v>
      </c>
    </row>
    <row r="15" spans="1:18" x14ac:dyDescent="0.25">
      <c r="A15" s="1" t="s">
        <v>18</v>
      </c>
      <c r="B15" s="1" t="s">
        <v>19</v>
      </c>
      <c r="C15" s="1" t="s">
        <v>20</v>
      </c>
      <c r="D15" s="5" t="s">
        <v>21</v>
      </c>
      <c r="E15" s="6">
        <v>46233</v>
      </c>
      <c r="F15" s="5" t="s">
        <v>22</v>
      </c>
      <c r="G15" s="5" t="s">
        <v>23</v>
      </c>
      <c r="H15" s="5" t="s">
        <v>53</v>
      </c>
      <c r="I15" s="5" t="s">
        <v>54</v>
      </c>
      <c r="J15" s="7">
        <v>-37.799999999999997</v>
      </c>
      <c r="K15" s="1" t="s">
        <v>27</v>
      </c>
      <c r="L15" s="1" t="s">
        <v>28</v>
      </c>
      <c r="M15" s="1" t="s">
        <v>24</v>
      </c>
      <c r="Q15" s="1" t="s">
        <v>24</v>
      </c>
    </row>
    <row r="16" spans="1:18" x14ac:dyDescent="0.25">
      <c r="A16" s="1" t="s">
        <v>18</v>
      </c>
      <c r="B16" s="1" t="s">
        <v>19</v>
      </c>
      <c r="C16" s="1" t="s">
        <v>20</v>
      </c>
      <c r="D16" s="5" t="s">
        <v>21</v>
      </c>
      <c r="E16" s="6">
        <v>46233</v>
      </c>
      <c r="F16" s="5" t="s">
        <v>22</v>
      </c>
      <c r="G16" s="5" t="s">
        <v>23</v>
      </c>
      <c r="H16" s="5" t="s">
        <v>55</v>
      </c>
      <c r="I16" s="5" t="s">
        <v>56</v>
      </c>
      <c r="J16" s="7">
        <v>-510</v>
      </c>
      <c r="K16" s="1" t="s">
        <v>27</v>
      </c>
      <c r="L16" s="1" t="s">
        <v>28</v>
      </c>
      <c r="M16" s="1" t="s">
        <v>24</v>
      </c>
      <c r="Q16" s="1" t="s">
        <v>24</v>
      </c>
    </row>
    <row r="17" spans="1:17" x14ac:dyDescent="0.25">
      <c r="A17" s="1" t="s">
        <v>18</v>
      </c>
      <c r="B17" s="1" t="s">
        <v>19</v>
      </c>
      <c r="C17" s="1" t="s">
        <v>20</v>
      </c>
      <c r="D17" s="5" t="s">
        <v>21</v>
      </c>
      <c r="E17" s="6">
        <v>46233</v>
      </c>
      <c r="F17" s="5" t="s">
        <v>22</v>
      </c>
      <c r="G17" s="5" t="s">
        <v>23</v>
      </c>
      <c r="H17" s="5" t="s">
        <v>57</v>
      </c>
      <c r="I17" s="5" t="s">
        <v>58</v>
      </c>
      <c r="J17" s="7">
        <v>-30.6</v>
      </c>
      <c r="K17" s="1" t="s">
        <v>27</v>
      </c>
      <c r="L17" s="1" t="s">
        <v>28</v>
      </c>
      <c r="M17" s="1" t="s">
        <v>24</v>
      </c>
      <c r="Q17" s="1" t="s">
        <v>24</v>
      </c>
    </row>
    <row r="18" spans="1:17" x14ac:dyDescent="0.25">
      <c r="A18" s="1" t="s">
        <v>18</v>
      </c>
      <c r="B18" s="1" t="s">
        <v>19</v>
      </c>
      <c r="C18" s="1" t="s">
        <v>20</v>
      </c>
      <c r="D18" s="5" t="s">
        <v>59</v>
      </c>
      <c r="E18" s="6">
        <v>46233</v>
      </c>
      <c r="F18" s="5" t="s">
        <v>60</v>
      </c>
      <c r="G18" s="5" t="s">
        <v>23</v>
      </c>
      <c r="H18" s="5" t="s">
        <v>49</v>
      </c>
      <c r="I18" s="5" t="s">
        <v>50</v>
      </c>
      <c r="J18" s="7">
        <v>-67.2</v>
      </c>
      <c r="K18" s="1" t="s">
        <v>27</v>
      </c>
      <c r="L18" s="1" t="s">
        <v>28</v>
      </c>
      <c r="M18" s="1" t="s">
        <v>24</v>
      </c>
      <c r="Q18" s="1" t="s">
        <v>24</v>
      </c>
    </row>
    <row r="19" spans="1:17" x14ac:dyDescent="0.25">
      <c r="A19" s="1" t="s">
        <v>18</v>
      </c>
      <c r="B19" s="1" t="s">
        <v>19</v>
      </c>
      <c r="C19" s="1" t="s">
        <v>20</v>
      </c>
      <c r="D19" s="5" t="s">
        <v>59</v>
      </c>
      <c r="E19" s="6">
        <v>46233</v>
      </c>
      <c r="F19" s="5" t="s">
        <v>60</v>
      </c>
      <c r="G19" s="5" t="s">
        <v>23</v>
      </c>
      <c r="H19" s="5" t="s">
        <v>61</v>
      </c>
      <c r="I19" s="5" t="s">
        <v>62</v>
      </c>
      <c r="J19" s="7">
        <v>-62.4</v>
      </c>
      <c r="K19" s="1" t="s">
        <v>27</v>
      </c>
      <c r="L19" s="1" t="s">
        <v>28</v>
      </c>
      <c r="M19" s="1" t="s">
        <v>24</v>
      </c>
      <c r="Q19" s="1" t="s">
        <v>24</v>
      </c>
    </row>
    <row r="20" spans="1:17" x14ac:dyDescent="0.25">
      <c r="A20" s="1" t="s">
        <v>18</v>
      </c>
      <c r="B20" s="1" t="s">
        <v>19</v>
      </c>
      <c r="C20" s="1" t="s">
        <v>20</v>
      </c>
      <c r="D20" s="5" t="s">
        <v>59</v>
      </c>
      <c r="E20" s="6">
        <v>46233</v>
      </c>
      <c r="F20" s="5" t="s">
        <v>60</v>
      </c>
      <c r="G20" s="5" t="s">
        <v>23</v>
      </c>
      <c r="H20" s="5" t="s">
        <v>63</v>
      </c>
      <c r="I20" s="5" t="s">
        <v>64</v>
      </c>
      <c r="J20" s="7">
        <v>-64.8</v>
      </c>
      <c r="K20" s="1" t="s">
        <v>27</v>
      </c>
      <c r="L20" s="1" t="s">
        <v>28</v>
      </c>
      <c r="M20" s="1" t="s">
        <v>24</v>
      </c>
      <c r="Q20" s="1" t="s">
        <v>24</v>
      </c>
    </row>
    <row r="21" spans="1:17" x14ac:dyDescent="0.25">
      <c r="A21" s="1" t="s">
        <v>18</v>
      </c>
      <c r="B21" s="1" t="s">
        <v>19</v>
      </c>
      <c r="C21" s="1" t="s">
        <v>20</v>
      </c>
      <c r="D21" s="5" t="s">
        <v>59</v>
      </c>
      <c r="E21" s="6">
        <v>46233</v>
      </c>
      <c r="F21" s="5" t="s">
        <v>60</v>
      </c>
      <c r="G21" s="5" t="s">
        <v>23</v>
      </c>
      <c r="H21" s="5" t="s">
        <v>65</v>
      </c>
      <c r="I21" s="5" t="s">
        <v>66</v>
      </c>
      <c r="J21" s="7">
        <v>-72</v>
      </c>
      <c r="K21" s="1" t="s">
        <v>27</v>
      </c>
      <c r="L21" s="1" t="s">
        <v>28</v>
      </c>
      <c r="M21" s="1" t="s">
        <v>24</v>
      </c>
      <c r="Q21" s="1" t="s">
        <v>24</v>
      </c>
    </row>
    <row r="22" spans="1:17" x14ac:dyDescent="0.25">
      <c r="A22" s="1" t="s">
        <v>18</v>
      </c>
      <c r="B22" s="1" t="s">
        <v>19</v>
      </c>
      <c r="C22" s="1" t="s">
        <v>20</v>
      </c>
      <c r="D22" s="5" t="s">
        <v>59</v>
      </c>
      <c r="E22" s="6">
        <v>46233</v>
      </c>
      <c r="F22" s="5" t="s">
        <v>60</v>
      </c>
      <c r="G22" s="5" t="s">
        <v>23</v>
      </c>
      <c r="H22" s="5" t="s">
        <v>25</v>
      </c>
      <c r="I22" s="5" t="s">
        <v>26</v>
      </c>
      <c r="J22" s="7">
        <v>-62.4</v>
      </c>
      <c r="K22" s="1" t="s">
        <v>27</v>
      </c>
      <c r="L22" s="1" t="s">
        <v>28</v>
      </c>
      <c r="M22" s="1" t="s">
        <v>24</v>
      </c>
      <c r="Q22" s="1" t="s">
        <v>24</v>
      </c>
    </row>
    <row r="23" spans="1:17" x14ac:dyDescent="0.25">
      <c r="A23" s="1" t="s">
        <v>18</v>
      </c>
      <c r="B23" s="1" t="s">
        <v>19</v>
      </c>
      <c r="C23" s="1" t="s">
        <v>20</v>
      </c>
      <c r="D23" s="5" t="s">
        <v>67</v>
      </c>
      <c r="E23" s="6">
        <v>46233</v>
      </c>
      <c r="F23" s="5" t="s">
        <v>68</v>
      </c>
      <c r="G23" s="5" t="s">
        <v>23</v>
      </c>
      <c r="H23" s="5" t="s">
        <v>25</v>
      </c>
      <c r="I23" s="5" t="s">
        <v>26</v>
      </c>
      <c r="J23" s="7">
        <v>-62.4</v>
      </c>
      <c r="K23" s="1" t="s">
        <v>27</v>
      </c>
      <c r="L23" s="1" t="s">
        <v>28</v>
      </c>
      <c r="M23" s="1" t="s">
        <v>24</v>
      </c>
      <c r="Q23" s="1" t="s">
        <v>24</v>
      </c>
    </row>
    <row r="24" spans="1:17" x14ac:dyDescent="0.25">
      <c r="A24" s="1" t="s">
        <v>18</v>
      </c>
      <c r="B24" s="1" t="s">
        <v>19</v>
      </c>
      <c r="C24" s="1" t="s">
        <v>20</v>
      </c>
      <c r="D24" s="5" t="s">
        <v>67</v>
      </c>
      <c r="E24" s="6">
        <v>46233</v>
      </c>
      <c r="F24" s="5" t="s">
        <v>68</v>
      </c>
      <c r="G24" s="5" t="s">
        <v>23</v>
      </c>
      <c r="H24" s="5" t="s">
        <v>29</v>
      </c>
      <c r="I24" s="5" t="s">
        <v>30</v>
      </c>
      <c r="J24" s="7">
        <v>-129.6</v>
      </c>
      <c r="K24" s="1" t="s">
        <v>27</v>
      </c>
      <c r="L24" s="1" t="s">
        <v>28</v>
      </c>
      <c r="M24" s="1" t="s">
        <v>24</v>
      </c>
      <c r="Q24" s="1" t="s">
        <v>24</v>
      </c>
    </row>
    <row r="25" spans="1:17" x14ac:dyDescent="0.25">
      <c r="A25" s="1" t="s">
        <v>18</v>
      </c>
      <c r="B25" s="1" t="s">
        <v>19</v>
      </c>
      <c r="C25" s="1" t="s">
        <v>20</v>
      </c>
      <c r="D25" s="5" t="s">
        <v>67</v>
      </c>
      <c r="E25" s="6">
        <v>46233</v>
      </c>
      <c r="F25" s="5" t="s">
        <v>68</v>
      </c>
      <c r="G25" s="5" t="s">
        <v>23</v>
      </c>
      <c r="H25" s="5" t="s">
        <v>31</v>
      </c>
      <c r="I25" s="5" t="s">
        <v>32</v>
      </c>
      <c r="J25" s="7">
        <v>-75.599999999999994</v>
      </c>
      <c r="K25" s="1" t="s">
        <v>27</v>
      </c>
      <c r="L25" s="1" t="s">
        <v>28</v>
      </c>
      <c r="M25" s="1" t="s">
        <v>24</v>
      </c>
      <c r="Q25" s="1" t="s">
        <v>24</v>
      </c>
    </row>
    <row r="26" spans="1:17" x14ac:dyDescent="0.25">
      <c r="A26" s="1" t="s">
        <v>18</v>
      </c>
      <c r="B26" s="1" t="s">
        <v>19</v>
      </c>
      <c r="C26" s="1" t="s">
        <v>20</v>
      </c>
      <c r="D26" s="5" t="s">
        <v>67</v>
      </c>
      <c r="E26" s="6">
        <v>46233</v>
      </c>
      <c r="F26" s="5" t="s">
        <v>68</v>
      </c>
      <c r="G26" s="5" t="s">
        <v>23</v>
      </c>
      <c r="H26" s="5" t="s">
        <v>33</v>
      </c>
      <c r="I26" s="5" t="s">
        <v>34</v>
      </c>
      <c r="J26" s="7">
        <v>-194.4</v>
      </c>
      <c r="K26" s="1" t="s">
        <v>27</v>
      </c>
      <c r="L26" s="1" t="s">
        <v>28</v>
      </c>
      <c r="M26" s="1" t="s">
        <v>24</v>
      </c>
      <c r="Q26" s="1" t="s">
        <v>24</v>
      </c>
    </row>
    <row r="27" spans="1:17" x14ac:dyDescent="0.25">
      <c r="A27" s="1" t="s">
        <v>18</v>
      </c>
      <c r="B27" s="1" t="s">
        <v>19</v>
      </c>
      <c r="C27" s="1" t="s">
        <v>20</v>
      </c>
      <c r="D27" s="5" t="s">
        <v>67</v>
      </c>
      <c r="E27" s="6">
        <v>46233</v>
      </c>
      <c r="F27" s="5" t="s">
        <v>68</v>
      </c>
      <c r="G27" s="5" t="s">
        <v>23</v>
      </c>
      <c r="H27" s="5" t="s">
        <v>35</v>
      </c>
      <c r="I27" s="5" t="s">
        <v>36</v>
      </c>
      <c r="J27" s="7">
        <v>-32.4</v>
      </c>
      <c r="K27" s="1" t="s">
        <v>27</v>
      </c>
      <c r="L27" s="1" t="s">
        <v>28</v>
      </c>
      <c r="M27" s="1" t="s">
        <v>24</v>
      </c>
      <c r="Q27" s="1" t="s">
        <v>24</v>
      </c>
    </row>
    <row r="28" spans="1:17" x14ac:dyDescent="0.25">
      <c r="A28" s="1" t="s">
        <v>18</v>
      </c>
      <c r="B28" s="1" t="s">
        <v>19</v>
      </c>
      <c r="C28" s="1" t="s">
        <v>20</v>
      </c>
      <c r="D28" s="5" t="s">
        <v>67</v>
      </c>
      <c r="E28" s="6">
        <v>46233</v>
      </c>
      <c r="F28" s="5" t="s">
        <v>68</v>
      </c>
      <c r="G28" s="5" t="s">
        <v>23</v>
      </c>
      <c r="H28" s="5" t="s">
        <v>69</v>
      </c>
      <c r="I28" s="5" t="s">
        <v>70</v>
      </c>
      <c r="J28" s="7">
        <v>-75.599999999999994</v>
      </c>
      <c r="K28" s="1" t="s">
        <v>27</v>
      </c>
      <c r="L28" s="1" t="s">
        <v>28</v>
      </c>
      <c r="M28" s="1" t="s">
        <v>24</v>
      </c>
      <c r="Q28" s="1" t="s">
        <v>24</v>
      </c>
    </row>
    <row r="29" spans="1:17" x14ac:dyDescent="0.25">
      <c r="A29" s="1" t="s">
        <v>18</v>
      </c>
      <c r="B29" s="1" t="s">
        <v>19</v>
      </c>
      <c r="C29" s="1" t="s">
        <v>20</v>
      </c>
      <c r="D29" s="5" t="s">
        <v>67</v>
      </c>
      <c r="E29" s="6">
        <v>46233</v>
      </c>
      <c r="F29" s="5" t="s">
        <v>68</v>
      </c>
      <c r="G29" s="5" t="s">
        <v>23</v>
      </c>
      <c r="H29" s="5" t="s">
        <v>39</v>
      </c>
      <c r="I29" s="5" t="s">
        <v>40</v>
      </c>
      <c r="J29" s="7">
        <v>-417.6</v>
      </c>
      <c r="K29" s="1" t="s">
        <v>27</v>
      </c>
      <c r="L29" s="1" t="s">
        <v>28</v>
      </c>
      <c r="M29" s="1" t="s">
        <v>24</v>
      </c>
      <c r="Q29" s="1" t="s">
        <v>24</v>
      </c>
    </row>
    <row r="30" spans="1:17" x14ac:dyDescent="0.25">
      <c r="A30" s="1" t="s">
        <v>18</v>
      </c>
      <c r="B30" s="1" t="s">
        <v>19</v>
      </c>
      <c r="C30" s="1" t="s">
        <v>20</v>
      </c>
      <c r="D30" s="5" t="s">
        <v>67</v>
      </c>
      <c r="E30" s="6">
        <v>46233</v>
      </c>
      <c r="F30" s="5" t="s">
        <v>68</v>
      </c>
      <c r="G30" s="5" t="s">
        <v>23</v>
      </c>
      <c r="H30" s="5" t="s">
        <v>71</v>
      </c>
      <c r="I30" s="5" t="s">
        <v>72</v>
      </c>
      <c r="J30" s="7">
        <v>-28.8</v>
      </c>
      <c r="K30" s="1" t="s">
        <v>27</v>
      </c>
      <c r="L30" s="1" t="s">
        <v>28</v>
      </c>
      <c r="M30" s="1" t="s">
        <v>24</v>
      </c>
      <c r="Q30" s="1" t="s">
        <v>24</v>
      </c>
    </row>
    <row r="31" spans="1:17" x14ac:dyDescent="0.25">
      <c r="A31" s="1" t="s">
        <v>18</v>
      </c>
      <c r="B31" s="1" t="s">
        <v>19</v>
      </c>
      <c r="C31" s="1" t="s">
        <v>20</v>
      </c>
      <c r="D31" s="5" t="s">
        <v>67</v>
      </c>
      <c r="E31" s="6">
        <v>46233</v>
      </c>
      <c r="F31" s="5" t="s">
        <v>68</v>
      </c>
      <c r="G31" s="5" t="s">
        <v>23</v>
      </c>
      <c r="H31" s="5" t="s">
        <v>41</v>
      </c>
      <c r="I31" s="5" t="s">
        <v>42</v>
      </c>
      <c r="J31" s="7">
        <v>-57.6</v>
      </c>
      <c r="K31" s="1" t="s">
        <v>27</v>
      </c>
      <c r="L31" s="1" t="s">
        <v>28</v>
      </c>
      <c r="M31" s="1" t="s">
        <v>24</v>
      </c>
      <c r="Q31" s="1" t="s">
        <v>24</v>
      </c>
    </row>
    <row r="32" spans="1:17" x14ac:dyDescent="0.25">
      <c r="A32" s="1" t="s">
        <v>18</v>
      </c>
      <c r="B32" s="1" t="s">
        <v>19</v>
      </c>
      <c r="C32" s="1" t="s">
        <v>20</v>
      </c>
      <c r="D32" s="5" t="s">
        <v>67</v>
      </c>
      <c r="E32" s="6">
        <v>46233</v>
      </c>
      <c r="F32" s="5" t="s">
        <v>68</v>
      </c>
      <c r="G32" s="5" t="s">
        <v>23</v>
      </c>
      <c r="H32" s="5" t="s">
        <v>43</v>
      </c>
      <c r="I32" s="5" t="s">
        <v>44</v>
      </c>
      <c r="J32" s="7">
        <v>-86.4</v>
      </c>
      <c r="K32" s="1" t="s">
        <v>27</v>
      </c>
      <c r="L32" s="1" t="s">
        <v>28</v>
      </c>
      <c r="M32" s="1" t="s">
        <v>24</v>
      </c>
      <c r="Q32" s="1" t="s">
        <v>24</v>
      </c>
    </row>
    <row r="33" spans="1:18" x14ac:dyDescent="0.25">
      <c r="A33" s="1" t="s">
        <v>18</v>
      </c>
      <c r="B33" s="1" t="s">
        <v>19</v>
      </c>
      <c r="C33" s="1" t="s">
        <v>20</v>
      </c>
      <c r="D33" s="5" t="s">
        <v>67</v>
      </c>
      <c r="E33" s="6">
        <v>46233</v>
      </c>
      <c r="F33" s="5" t="s">
        <v>68</v>
      </c>
      <c r="G33" s="5" t="s">
        <v>23</v>
      </c>
      <c r="H33" s="5" t="s">
        <v>47</v>
      </c>
      <c r="I33" s="5" t="s">
        <v>48</v>
      </c>
      <c r="J33" s="7">
        <v>-28.8</v>
      </c>
      <c r="K33" s="1" t="s">
        <v>27</v>
      </c>
      <c r="L33" s="1" t="s">
        <v>28</v>
      </c>
      <c r="M33" s="1" t="s">
        <v>24</v>
      </c>
      <c r="Q33" s="1" t="s">
        <v>24</v>
      </c>
    </row>
    <row r="34" spans="1:18" x14ac:dyDescent="0.25">
      <c r="A34" s="1" t="s">
        <v>18</v>
      </c>
      <c r="B34" s="1" t="s">
        <v>19</v>
      </c>
      <c r="C34" s="1" t="s">
        <v>20</v>
      </c>
      <c r="D34" s="5" t="s">
        <v>67</v>
      </c>
      <c r="E34" s="6">
        <v>46233</v>
      </c>
      <c r="F34" s="5" t="s">
        <v>68</v>
      </c>
      <c r="G34" s="5" t="s">
        <v>23</v>
      </c>
      <c r="H34" s="5" t="s">
        <v>73</v>
      </c>
      <c r="I34" s="5" t="s">
        <v>74</v>
      </c>
      <c r="J34" s="7">
        <v>-28.8</v>
      </c>
      <c r="K34" s="1" t="s">
        <v>27</v>
      </c>
      <c r="L34" s="1" t="s">
        <v>28</v>
      </c>
      <c r="M34" s="1" t="s">
        <v>24</v>
      </c>
      <c r="Q34" s="1" t="s">
        <v>24</v>
      </c>
    </row>
    <row r="35" spans="1:18" x14ac:dyDescent="0.25">
      <c r="A35" s="1" t="s">
        <v>18</v>
      </c>
      <c r="B35" s="1" t="s">
        <v>19</v>
      </c>
      <c r="C35" s="1" t="s">
        <v>20</v>
      </c>
      <c r="D35" s="5" t="s">
        <v>67</v>
      </c>
      <c r="E35" s="6">
        <v>46233</v>
      </c>
      <c r="F35" s="5" t="s">
        <v>68</v>
      </c>
      <c r="G35" s="5" t="s">
        <v>23</v>
      </c>
      <c r="H35" s="5" t="s">
        <v>75</v>
      </c>
      <c r="I35" s="5" t="s">
        <v>76</v>
      </c>
      <c r="J35" s="7">
        <v>-28.8</v>
      </c>
      <c r="K35" s="1" t="s">
        <v>27</v>
      </c>
      <c r="L35" s="1" t="s">
        <v>28</v>
      </c>
      <c r="M35" s="1" t="s">
        <v>24</v>
      </c>
      <c r="Q35" s="1" t="s">
        <v>24</v>
      </c>
    </row>
    <row r="36" spans="1:18" x14ac:dyDescent="0.25">
      <c r="A36" s="1" t="s">
        <v>18</v>
      </c>
      <c r="B36" s="1" t="s">
        <v>19</v>
      </c>
      <c r="C36" s="1" t="s">
        <v>20</v>
      </c>
      <c r="D36" s="5" t="s">
        <v>67</v>
      </c>
      <c r="E36" s="6">
        <v>46233</v>
      </c>
      <c r="F36" s="5" t="s">
        <v>68</v>
      </c>
      <c r="G36" s="5" t="s">
        <v>23</v>
      </c>
      <c r="H36" s="5" t="s">
        <v>49</v>
      </c>
      <c r="I36" s="5" t="s">
        <v>50</v>
      </c>
      <c r="J36" s="7">
        <v>-201.6</v>
      </c>
      <c r="K36" s="1" t="s">
        <v>27</v>
      </c>
      <c r="L36" s="1" t="s">
        <v>28</v>
      </c>
      <c r="M36" s="1" t="s">
        <v>24</v>
      </c>
      <c r="Q36" s="1" t="s">
        <v>24</v>
      </c>
    </row>
    <row r="37" spans="1:18" x14ac:dyDescent="0.25">
      <c r="A37" s="1" t="s">
        <v>18</v>
      </c>
      <c r="B37" s="1" t="s">
        <v>19</v>
      </c>
      <c r="C37" s="1" t="s">
        <v>20</v>
      </c>
      <c r="D37" s="5" t="s">
        <v>67</v>
      </c>
      <c r="E37" s="6">
        <v>46233</v>
      </c>
      <c r="F37" s="5" t="s">
        <v>68</v>
      </c>
      <c r="G37" s="5" t="s">
        <v>23</v>
      </c>
      <c r="H37" s="5" t="s">
        <v>61</v>
      </c>
      <c r="I37" s="5" t="s">
        <v>62</v>
      </c>
      <c r="J37" s="7">
        <v>-374.4</v>
      </c>
      <c r="K37" s="1" t="s">
        <v>27</v>
      </c>
      <c r="L37" s="1" t="s">
        <v>28</v>
      </c>
      <c r="M37" s="1" t="s">
        <v>24</v>
      </c>
      <c r="Q37" s="1" t="s">
        <v>24</v>
      </c>
    </row>
    <row r="38" spans="1:18" x14ac:dyDescent="0.25">
      <c r="A38" s="1" t="s">
        <v>18</v>
      </c>
      <c r="B38" s="1" t="s">
        <v>19</v>
      </c>
      <c r="C38" s="1" t="s">
        <v>20</v>
      </c>
      <c r="D38" s="5" t="s">
        <v>67</v>
      </c>
      <c r="E38" s="6">
        <v>46233</v>
      </c>
      <c r="F38" s="5" t="s">
        <v>68</v>
      </c>
      <c r="G38" s="5" t="s">
        <v>23</v>
      </c>
      <c r="H38" s="5" t="s">
        <v>77</v>
      </c>
      <c r="I38" s="5" t="s">
        <v>78</v>
      </c>
      <c r="J38" s="7">
        <v>-67.2</v>
      </c>
      <c r="K38" s="1" t="s">
        <v>27</v>
      </c>
      <c r="L38" s="1" t="s">
        <v>28</v>
      </c>
      <c r="M38" s="1" t="s">
        <v>24</v>
      </c>
      <c r="Q38" s="1" t="s">
        <v>24</v>
      </c>
    </row>
    <row r="39" spans="1:18" x14ac:dyDescent="0.25">
      <c r="A39" s="1" t="s">
        <v>18</v>
      </c>
      <c r="B39" s="1" t="s">
        <v>19</v>
      </c>
      <c r="C39" s="1" t="s">
        <v>20</v>
      </c>
      <c r="D39" s="5" t="s">
        <v>67</v>
      </c>
      <c r="E39" s="6">
        <v>46233</v>
      </c>
      <c r="F39" s="5" t="s">
        <v>68</v>
      </c>
      <c r="G39" s="5" t="s">
        <v>23</v>
      </c>
      <c r="H39" s="5" t="s">
        <v>63</v>
      </c>
      <c r="I39" s="5" t="s">
        <v>64</v>
      </c>
      <c r="J39" s="7">
        <v>-64.8</v>
      </c>
      <c r="K39" s="1" t="s">
        <v>27</v>
      </c>
      <c r="L39" s="1" t="s">
        <v>28</v>
      </c>
      <c r="M39" s="1" t="s">
        <v>24</v>
      </c>
      <c r="Q39" s="1" t="s">
        <v>24</v>
      </c>
    </row>
    <row r="40" spans="1:18" x14ac:dyDescent="0.25">
      <c r="A40" s="1" t="s">
        <v>18</v>
      </c>
      <c r="B40" s="1" t="s">
        <v>19</v>
      </c>
      <c r="C40" s="1" t="s">
        <v>20</v>
      </c>
      <c r="D40" s="5" t="s">
        <v>67</v>
      </c>
      <c r="E40" s="6">
        <v>46233</v>
      </c>
      <c r="F40" s="5" t="s">
        <v>68</v>
      </c>
      <c r="G40" s="5" t="s">
        <v>23</v>
      </c>
      <c r="H40" s="5" t="s">
        <v>55</v>
      </c>
      <c r="I40" s="5" t="s">
        <v>56</v>
      </c>
      <c r="J40" s="7">
        <v>-240</v>
      </c>
      <c r="K40" s="1" t="s">
        <v>27</v>
      </c>
      <c r="L40" s="1" t="s">
        <v>28</v>
      </c>
      <c r="M40" s="1" t="s">
        <v>24</v>
      </c>
      <c r="Q40" s="1" t="s">
        <v>24</v>
      </c>
    </row>
    <row r="41" spans="1:18" x14ac:dyDescent="0.25">
      <c r="A41" s="1" t="s">
        <v>18</v>
      </c>
      <c r="B41" s="1" t="s">
        <v>19</v>
      </c>
      <c r="C41" s="1" t="s">
        <v>20</v>
      </c>
      <c r="D41" s="5" t="s">
        <v>67</v>
      </c>
      <c r="E41" s="6">
        <v>46233</v>
      </c>
      <c r="F41" s="5" t="s">
        <v>68</v>
      </c>
      <c r="G41" s="5" t="s">
        <v>23</v>
      </c>
      <c r="H41" s="5" t="s">
        <v>65</v>
      </c>
      <c r="I41" s="5" t="s">
        <v>66</v>
      </c>
      <c r="J41" s="7">
        <v>-72</v>
      </c>
      <c r="K41" s="1" t="s">
        <v>27</v>
      </c>
      <c r="L41" s="1" t="s">
        <v>28</v>
      </c>
      <c r="M41" s="1" t="s">
        <v>24</v>
      </c>
      <c r="Q41" s="1" t="s">
        <v>24</v>
      </c>
    </row>
    <row r="42" spans="1:18" x14ac:dyDescent="0.25">
      <c r="A42" s="1" t="s">
        <v>18</v>
      </c>
      <c r="B42" s="1" t="s">
        <v>19</v>
      </c>
      <c r="C42" s="1" t="s">
        <v>20</v>
      </c>
      <c r="D42" s="5" t="s">
        <v>67</v>
      </c>
      <c r="E42" s="6">
        <v>46233</v>
      </c>
      <c r="F42" s="5" t="s">
        <v>68</v>
      </c>
      <c r="G42" s="5" t="s">
        <v>23</v>
      </c>
      <c r="H42" s="5" t="s">
        <v>79</v>
      </c>
      <c r="I42" s="5" t="s">
        <v>80</v>
      </c>
      <c r="J42" s="7">
        <v>-360</v>
      </c>
      <c r="K42" s="1" t="s">
        <v>27</v>
      </c>
      <c r="L42" s="1" t="s">
        <v>28</v>
      </c>
      <c r="M42" s="1" t="s">
        <v>24</v>
      </c>
      <c r="Q42" s="1" t="s">
        <v>24</v>
      </c>
    </row>
    <row r="43" spans="1:18" x14ac:dyDescent="0.25">
      <c r="A43" s="1" t="s">
        <v>18</v>
      </c>
      <c r="B43" s="1" t="s">
        <v>19</v>
      </c>
      <c r="C43" s="1" t="s">
        <v>20</v>
      </c>
      <c r="D43" s="5" t="s">
        <v>67</v>
      </c>
      <c r="E43" s="6">
        <v>46233</v>
      </c>
      <c r="F43" s="5" t="s">
        <v>68</v>
      </c>
      <c r="G43" s="5" t="s">
        <v>23</v>
      </c>
      <c r="H43" s="5" t="s">
        <v>81</v>
      </c>
      <c r="I43" s="5" t="s">
        <v>82</v>
      </c>
      <c r="J43" s="7">
        <v>-57.6</v>
      </c>
      <c r="K43" s="1" t="s">
        <v>27</v>
      </c>
      <c r="L43" s="1" t="s">
        <v>28</v>
      </c>
      <c r="M43" s="1" t="s">
        <v>24</v>
      </c>
      <c r="Q43" s="1" t="s">
        <v>24</v>
      </c>
    </row>
    <row r="44" spans="1:18" x14ac:dyDescent="0.25">
      <c r="A44" s="8"/>
      <c r="B44" s="8"/>
      <c r="C44" s="8"/>
      <c r="D44" s="9"/>
      <c r="E44" s="10"/>
      <c r="F44" s="9"/>
      <c r="G44" s="9"/>
      <c r="H44" s="9"/>
      <c r="I44" s="9"/>
      <c r="J44" s="11">
        <f>SUBTOTAL(109,Table[Урезание])</f>
        <v>-5715.0000000000009</v>
      </c>
      <c r="K44" s="8"/>
      <c r="L44" s="8"/>
      <c r="M44" s="8"/>
      <c r="N44" s="12"/>
      <c r="O44" s="8"/>
      <c r="P44" s="8"/>
      <c r="Q44" s="8"/>
      <c r="R44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2026-07-29T12:14:16Z</dcterms:modified>
</cp:coreProperties>
</file>