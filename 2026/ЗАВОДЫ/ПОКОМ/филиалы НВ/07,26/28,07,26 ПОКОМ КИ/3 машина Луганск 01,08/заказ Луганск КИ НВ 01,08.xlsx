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5B89A71-40F5-410C-A1BF-3B2EE0CDBF8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43" i="1" l="1"/>
  <c r="Z447" i="1"/>
  <c r="Z79" i="1"/>
  <c r="Y25" i="1"/>
  <c r="Y37" i="1"/>
  <c r="Y47" i="1"/>
  <c r="Y80" i="1"/>
  <c r="Y33" i="1"/>
  <c r="Y55" i="1"/>
  <c r="Y68" i="1"/>
  <c r="Y74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Z169" i="1" s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Z194" i="1" s="1"/>
  <c r="BP209" i="1"/>
  <c r="BN209" i="1"/>
  <c r="Z209" i="1"/>
  <c r="Z215" i="1" s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3" i="1" s="1"/>
  <c r="X552" i="1"/>
  <c r="Z23" i="1"/>
  <c r="Z24" i="1" s="1"/>
  <c r="BN23" i="1"/>
  <c r="Y551" i="1" s="1"/>
  <c r="Y553" i="1" s="1"/>
  <c r="Y24" i="1"/>
  <c r="X550" i="1"/>
  <c r="Z27" i="1"/>
  <c r="Z32" i="1" s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BN78" i="1"/>
  <c r="Z82" i="1"/>
  <c r="Z84" i="1" s="1"/>
  <c r="BN82" i="1"/>
  <c r="BP82" i="1"/>
  <c r="Z89" i="1"/>
  <c r="Z92" i="1" s="1"/>
  <c r="BN89" i="1"/>
  <c r="Z91" i="1"/>
  <c r="BN91" i="1"/>
  <c r="Z95" i="1"/>
  <c r="Z99" i="1" s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Z124" i="1" s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368" i="1"/>
  <c r="BP364" i="1"/>
  <c r="BN364" i="1"/>
  <c r="Z364" i="1"/>
  <c r="Y368" i="1"/>
  <c r="BP372" i="1"/>
  <c r="BN372" i="1"/>
  <c r="Z372" i="1"/>
  <c r="Z378" i="1" s="1"/>
  <c r="Y378" i="1"/>
  <c r="BP376" i="1"/>
  <c r="BN376" i="1"/>
  <c r="Z376" i="1"/>
  <c r="BP446" i="1"/>
  <c r="BN446" i="1"/>
  <c r="Z446" i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Z277" i="1" s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Z331" i="1" s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Z410" i="1" s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Z430" i="1" l="1"/>
  <c r="Z398" i="1"/>
  <c r="Z292" i="1"/>
  <c r="Z188" i="1"/>
  <c r="Z555" i="1" s="1"/>
  <c r="Y554" i="1"/>
  <c r="Z347" i="1"/>
  <c r="Z338" i="1"/>
  <c r="Z308" i="1"/>
  <c r="Z251" i="1"/>
  <c r="Z245" i="1"/>
  <c r="Z117" i="1"/>
  <c r="Z391" i="1"/>
  <c r="Z322" i="1"/>
  <c r="Y550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<sst xmlns="http://schemas.openxmlformats.org/spreadsheetml/2006/main" count="2500" uniqueCount="907">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</sst>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43</v>
      </c>
      <c r="Y29" s="628">
        <f>IFERROR(IF(X29="",0,CEILING((X29/$H29),1)*$H29),"")</f>
        <v>43.2</v>
      </c>
      <c r="Z29" s="36">
        <f>IFERROR(IF(Y29=0,"",ROUNDUP(Y29/H29,0)*0.00651),"")</f>
        <v>0.15623999999999999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75.966666666666669</v>
      </c>
      <c r="BN29" s="64">
        <f>IFERROR(Y29*I29/H29,"0")</f>
        <v>76.320000000000007</v>
      </c>
      <c r="BO29" s="64">
        <f>IFERROR(1/J29*(X29/H29),"0")</f>
        <v>0.13125763125763126</v>
      </c>
      <c r="BP29" s="64">
        <f>IFERROR(1/J29*(Y29/H29),"0")</f>
        <v>0.13186813186813187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23.888888888888889</v>
      </c>
      <c r="Y32" s="629">
        <f>IFERROR(Y27/H27,"0")+IFERROR(Y28/H28,"0")+IFERROR(Y29/H29,"0")+IFERROR(Y30/H30,"0")+IFERROR(Y31/H31,"0")</f>
        <v>24</v>
      </c>
      <c r="Z32" s="629">
        <f>IFERROR(IF(Z27="",0,Z27),"0")+IFERROR(IF(Z28="",0,Z28),"0")+IFERROR(IF(Z29="",0,Z29),"0")+IFERROR(IF(Z30="",0,Z30),"0")+IFERROR(IF(Z31="",0,Z31),"0")</f>
        <v>0.15623999999999999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43</v>
      </c>
      <c r="Y33" s="629">
        <f>IFERROR(SUM(Y27:Y31),"0")</f>
        <v>43.2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14</v>
      </c>
      <c r="Y54" s="628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14.718918918918918</v>
      </c>
      <c r="BN54" s="64">
        <f>IFERROR(Y54*I54/H54,"0")</f>
        <v>15.56</v>
      </c>
      <c r="BO54" s="64">
        <f>IFERROR(1/J54*(X54/H54),"0")</f>
        <v>2.8665028665028666E-2</v>
      </c>
      <c r="BP54" s="64">
        <f>IFERROR(1/J54*(Y54/H54),"0")</f>
        <v>3.0303030303030304E-2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3.7837837837837838</v>
      </c>
      <c r="Y55" s="629">
        <f>IFERROR(Y51/H51,"0")+IFERROR(Y52/H52,"0")+IFERROR(Y53/H53,"0")+IFERROR(Y54/H54,"0")</f>
        <v>4</v>
      </c>
      <c r="Z55" s="629">
        <f>IFERROR(IF(Z51="",0,Z51),"0")+IFERROR(IF(Z52="",0,Z52),"0")+IFERROR(IF(Z53="",0,Z53),"0")+IFERROR(IF(Z54="",0,Z54),"0")</f>
        <v>3.6080000000000001E-2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14</v>
      </c>
      <c r="Y56" s="629">
        <f>IFERROR(SUM(Y51:Y54),"0")</f>
        <v>14.8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26</v>
      </c>
      <c r="Y59" s="628">
        <f t="shared" ref="Y59:Y66" si="0">IFERROR(IF(X59="",0,CEILING((X59/$H59),1)*$H59),"")</f>
        <v>33.599999999999994</v>
      </c>
      <c r="Z59" s="36">
        <f>IFERROR(IF(Y59=0,"",ROUNDUP(Y59/H59,0)*0.01898),"")</f>
        <v>5.6940000000000004E-2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26.951785714285716</v>
      </c>
      <c r="BN59" s="64">
        <f t="shared" ref="BN59:BN66" si="2">IFERROR(Y59*I59/H59,"0")</f>
        <v>34.829999999999991</v>
      </c>
      <c r="BO59" s="64">
        <f t="shared" ref="BO59:BO66" si="3">IFERROR(1/J59*(X59/H59),"0")</f>
        <v>3.6272321428571432E-2</v>
      </c>
      <c r="BP59" s="64">
        <f t="shared" ref="BP59:BP66" si="4">IFERROR(1/J59*(Y59/H59),"0")</f>
        <v>4.6874999999999993E-2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10</v>
      </c>
      <c r="Y64" s="628">
        <f t="shared" si="0"/>
        <v>12</v>
      </c>
      <c r="Z64" s="36">
        <f>IFERROR(IF(Y64=0,"",ROUNDUP(Y64/H64,0)*0.00902),"")</f>
        <v>2.7060000000000001E-2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10.475000000000001</v>
      </c>
      <c r="BN64" s="64">
        <f t="shared" si="2"/>
        <v>12.57</v>
      </c>
      <c r="BO64" s="64">
        <f t="shared" si="3"/>
        <v>1.893939393939394E-2</v>
      </c>
      <c r="BP64" s="64">
        <f t="shared" si="4"/>
        <v>2.2727272727272728E-2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4.8214285714285712</v>
      </c>
      <c r="Y67" s="629">
        <f>IFERROR(Y59/H59,"0")+IFERROR(Y60/H60,"0")+IFERROR(Y61/H61,"0")+IFERROR(Y62/H62,"0")+IFERROR(Y63/H63,"0")+IFERROR(Y64/H64,"0")+IFERROR(Y65/H65,"0")+IFERROR(Y66/H66,"0")</f>
        <v>6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8.4000000000000005E-2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36</v>
      </c>
      <c r="Y68" s="629">
        <f>IFERROR(SUM(Y59:Y66),"0")</f>
        <v>45.599999999999994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32</v>
      </c>
      <c r="Y82" s="628">
        <f>IFERROR(IF(X82="",0,CEILING((X82/$H82),1)*$H82),"")</f>
        <v>39</v>
      </c>
      <c r="Z82" s="36">
        <f>IFERROR(IF(Y82=0,"",ROUNDUP(Y82/H82,0)*0.01898),"")</f>
        <v>9.4899999999999998E-2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33.682051282051283</v>
      </c>
      <c r="BN82" s="64">
        <f>IFERROR(Y82*I82/H82,"0")</f>
        <v>41.050000000000011</v>
      </c>
      <c r="BO82" s="64">
        <f>IFERROR(1/J82*(X82/H82),"0")</f>
        <v>6.4102564102564111E-2</v>
      </c>
      <c r="BP82" s="64">
        <f>IFERROR(1/J82*(Y82/H82),"0")</f>
        <v>7.8125E-2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4.1025641025641031</v>
      </c>
      <c r="Y84" s="629">
        <f>IFERROR(Y82/H82,"0")+IFERROR(Y83/H83,"0")</f>
        <v>5</v>
      </c>
      <c r="Z84" s="629">
        <f>IFERROR(IF(Z82="",0,Z82),"0")+IFERROR(IF(Z83="",0,Z83),"0")</f>
        <v>9.4899999999999998E-2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32</v>
      </c>
      <c r="Y85" s="629">
        <f>IFERROR(SUM(Y82:Y83),"0")</f>
        <v>39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66</v>
      </c>
      <c r="Y112" s="628">
        <f>IFERROR(IF(X112="",0,CEILING((X112/$H112),1)*$H112),"")</f>
        <v>75.600000000000009</v>
      </c>
      <c r="Z112" s="36">
        <f>IFERROR(IF(Y112=0,"",ROUNDUP(Y112/H112,0)*0.01898),"")</f>
        <v>0.13286000000000001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68.505555555555546</v>
      </c>
      <c r="BN112" s="64">
        <f>IFERROR(Y112*I112/H112,"0")</f>
        <v>78.47</v>
      </c>
      <c r="BO112" s="64">
        <f>IFERROR(1/J112*(X112/H112),"0")</f>
        <v>9.5486111111111105E-2</v>
      </c>
      <c r="BP112" s="64">
        <f>IFERROR(1/J112*(Y112/H112),"0")</f>
        <v>0.109375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19</v>
      </c>
      <c r="Y116" s="628">
        <f>IFERROR(IF(X116="",0,CEILING((X116/$H116),1)*$H116),"")</f>
        <v>19.2</v>
      </c>
      <c r="Z116" s="36">
        <f>IFERROR(IF(Y116=0,"",ROUNDUP(Y116/H116,0)*0.00651),"")</f>
        <v>5.2080000000000001E-2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20.425000000000001</v>
      </c>
      <c r="BN116" s="64">
        <f>IFERROR(Y116*I116/H116,"0")</f>
        <v>20.64</v>
      </c>
      <c r="BO116" s="64">
        <f>IFERROR(1/J116*(X116/H116),"0")</f>
        <v>4.3498168498168503E-2</v>
      </c>
      <c r="BP116" s="64">
        <f>IFERROR(1/J116*(Y116/H116),"0")</f>
        <v>4.3956043956043959E-2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14.027777777777779</v>
      </c>
      <c r="Y117" s="629">
        <f>IFERROR(Y112/H112,"0")+IFERROR(Y113/H113,"0")+IFERROR(Y114/H114,"0")+IFERROR(Y115/H115,"0")+IFERROR(Y116/H116,"0")</f>
        <v>15</v>
      </c>
      <c r="Z117" s="629">
        <f>IFERROR(IF(Z112="",0,Z112),"0")+IFERROR(IF(Z113="",0,Z113),"0")+IFERROR(IF(Z114="",0,Z114),"0")+IFERROR(IF(Z115="",0,Z115),"0")+IFERROR(IF(Z116="",0,Z116),"0")</f>
        <v>0.18493999999999999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85</v>
      </c>
      <c r="Y118" s="629">
        <f>IFERROR(SUM(Y112:Y116),"0")</f>
        <v>94.800000000000011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3</v>
      </c>
      <c r="Y141" s="628">
        <f>IFERROR(IF(X141="",0,CEILING((X141/$H141),1)*$H141),"")</f>
        <v>5.6</v>
      </c>
      <c r="Z141" s="36">
        <f>IFERROR(IF(Y141=0,"",ROUNDUP(Y141/H141,0)*0.00651),"")</f>
        <v>1.302E-2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3.2871428571428574</v>
      </c>
      <c r="BN141" s="64">
        <f>IFERROR(Y141*I141/H141,"0")</f>
        <v>6.1359999999999992</v>
      </c>
      <c r="BO141" s="64">
        <f>IFERROR(1/J141*(X141/H141),"0")</f>
        <v>5.8869701726844588E-3</v>
      </c>
      <c r="BP141" s="64">
        <f>IFERROR(1/J141*(Y141/H141),"0")</f>
        <v>1.098901098901099E-2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1.0714285714285714</v>
      </c>
      <c r="Y143" s="629">
        <f>IFERROR(Y139/H139,"0")+IFERROR(Y140/H140,"0")+IFERROR(Y141/H141,"0")+IFERROR(Y142/H142,"0")</f>
        <v>2</v>
      </c>
      <c r="Z143" s="629">
        <f>IFERROR(IF(Z139="",0,Z139),"0")+IFERROR(IF(Z140="",0,Z140),"0")+IFERROR(IF(Z141="",0,Z141),"0")+IFERROR(IF(Z142="",0,Z142),"0")</f>
        <v>1.302E-2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3</v>
      </c>
      <c r="Y144" s="629">
        <f>IFERROR(SUM(Y139:Y142),"0")</f>
        <v>5.6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33</v>
      </c>
      <c r="Y177" s="628">
        <f t="shared" ref="Y177:Y187" si="10">IFERROR(IF(X177="",0,CEILING((X177/$H177),1)*$H177),"")</f>
        <v>35</v>
      </c>
      <c r="Z177" s="36">
        <f>IFERROR(IF(Y177=0,"",ROUNDUP(Y177/H177,0)*0.00902),"")</f>
        <v>9.0200000000000002E-2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34.791428571428568</v>
      </c>
      <c r="BN177" s="64">
        <f t="shared" ref="BN177:BN187" si="12">IFERROR(Y177*I177/H177,"0")</f>
        <v>36.9</v>
      </c>
      <c r="BO177" s="64">
        <f t="shared" ref="BO177:BO187" si="13">IFERROR(1/J177*(X177/H177),"0")</f>
        <v>7.1428571428571438E-2</v>
      </c>
      <c r="BP177" s="64">
        <f t="shared" ref="BP177:BP187" si="14">IFERROR(1/J177*(Y177/H177),"0")</f>
        <v>7.575757575757576E-2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26</v>
      </c>
      <c r="Y179" s="628">
        <f t="shared" si="10"/>
        <v>28</v>
      </c>
      <c r="Z179" s="36">
        <f>IFERROR(IF(Y179=0,"",ROUNDUP(Y179/H179,0)*0.00902),"")</f>
        <v>7.2160000000000002E-2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27.411428571428569</v>
      </c>
      <c r="BN179" s="64">
        <f t="shared" si="12"/>
        <v>29.52</v>
      </c>
      <c r="BO179" s="64">
        <f t="shared" si="13"/>
        <v>5.627705627705628E-2</v>
      </c>
      <c r="BP179" s="64">
        <f t="shared" si="14"/>
        <v>6.0606060606060608E-2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75</v>
      </c>
      <c r="Y180" s="628">
        <f t="shared" si="10"/>
        <v>77</v>
      </c>
      <c r="Z180" s="36">
        <f>IFERROR(IF(Y180=0,"",ROUNDUP(Y180/H180,0)*0.00902),"")</f>
        <v>0.19844000000000001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79.071428571428569</v>
      </c>
      <c r="BN180" s="64">
        <f t="shared" si="12"/>
        <v>81.179999999999993</v>
      </c>
      <c r="BO180" s="64">
        <f t="shared" si="13"/>
        <v>0.16233766233766234</v>
      </c>
      <c r="BP180" s="64">
        <f t="shared" si="14"/>
        <v>0.16666666666666669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24</v>
      </c>
      <c r="Y182" s="628">
        <f t="shared" si="10"/>
        <v>25.2</v>
      </c>
      <c r="Z182" s="36">
        <f>IFERROR(IF(Y182=0,"",ROUNDUP(Y182/H182,0)*0.00502),"")</f>
        <v>7.5300000000000006E-2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25.428571428571431</v>
      </c>
      <c r="BN182" s="64">
        <f t="shared" si="12"/>
        <v>26.700000000000003</v>
      </c>
      <c r="BO182" s="64">
        <f t="shared" si="13"/>
        <v>6.1050061050061062E-2</v>
      </c>
      <c r="BP182" s="64">
        <f t="shared" si="14"/>
        <v>6.4102564102564111E-2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7</v>
      </c>
      <c r="Y187" s="628">
        <f t="shared" si="10"/>
        <v>8.4</v>
      </c>
      <c r="Z187" s="36">
        <f>IFERROR(IF(Y187=0,"",ROUNDUP(Y187/H187,0)*0.00502),"")</f>
        <v>2.5100000000000001E-2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7.4166666666666679</v>
      </c>
      <c r="BN187" s="64">
        <f t="shared" si="12"/>
        <v>8.9000000000000021</v>
      </c>
      <c r="BO187" s="64">
        <f t="shared" si="13"/>
        <v>1.780626780626781E-2</v>
      </c>
      <c r="BP187" s="64">
        <f t="shared" si="14"/>
        <v>2.1367521367521368E-2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56.738095238095234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60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0.46120000000000005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165</v>
      </c>
      <c r="Y189" s="629">
        <f>IFERROR(SUM(Y177:Y187),"0")</f>
        <v>173.6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12</v>
      </c>
      <c r="Y223" s="628">
        <f t="shared" ref="Y223:Y236" si="21">IFERROR(IF(X223="",0,CEILING((X223/$H223),1)*$H223),"")</f>
        <v>12.600000000000001</v>
      </c>
      <c r="Z223" s="36">
        <f>IFERROR(IF(Y223=0,"",ROUNDUP(Y223/H223,0)*0.00902),"")</f>
        <v>2.7060000000000001E-2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12.714285714285715</v>
      </c>
      <c r="BN223" s="64">
        <f t="shared" ref="BN223:BN236" si="23">IFERROR(Y223*I223/H223,"0")</f>
        <v>13.350000000000001</v>
      </c>
      <c r="BO223" s="64">
        <f t="shared" ref="BO223:BO236" si="24">IFERROR(1/J223*(X223/H223),"0")</f>
        <v>2.1645021645021648E-2</v>
      </c>
      <c r="BP223" s="64">
        <f t="shared" ref="BP223:BP236" si="25">IFERROR(1/J223*(Y223/H223),"0")</f>
        <v>2.2727272727272728E-2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1</v>
      </c>
      <c r="Y226" s="628">
        <f t="shared" si="21"/>
        <v>1.6</v>
      </c>
      <c r="Z226" s="36">
        <f>IFERROR(IF(Y226=0,"",ROUNDUP(Y226/H226,0)*0.00556),"")</f>
        <v>1.112E-2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1.1625000000000001</v>
      </c>
      <c r="BN226" s="64">
        <f t="shared" si="23"/>
        <v>1.86</v>
      </c>
      <c r="BO226" s="64">
        <f t="shared" si="24"/>
        <v>4.96031746031746E-3</v>
      </c>
      <c r="BP226" s="64">
        <f t="shared" si="25"/>
        <v>7.9365079365079361E-3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102</v>
      </c>
      <c r="Y227" s="628">
        <f t="shared" si="21"/>
        <v>102.9</v>
      </c>
      <c r="Z227" s="36">
        <f t="shared" ref="Z227:Z232" si="26">IFERROR(IF(Y227=0,"",ROUNDUP(Y227/H227,0)*0.00502),"")</f>
        <v>0.24598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108.31428571428572</v>
      </c>
      <c r="BN227" s="64">
        <f t="shared" si="23"/>
        <v>109.27</v>
      </c>
      <c r="BO227" s="64">
        <f t="shared" si="24"/>
        <v>0.20757020757020758</v>
      </c>
      <c r="BP227" s="64">
        <f t="shared" si="25"/>
        <v>0.20940170940170943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52.678571428571431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54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0.28416000000000002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115</v>
      </c>
      <c r="Y238" s="629">
        <f>IFERROR(SUM(Y223:Y236),"0")</f>
        <v>117.10000000000001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3</v>
      </c>
      <c r="Y254" s="628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2.3809523809523809</v>
      </c>
      <c r="Y255" s="629">
        <f>IFERROR(Y254/H254,"0")</f>
        <v>3</v>
      </c>
      <c r="Z255" s="629">
        <f>IFERROR(IF(Z254="",0,Z254),"0")</f>
        <v>1.77E-2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3</v>
      </c>
      <c r="Y256" s="629">
        <f>IFERROR(SUM(Y254:Y254),"0")</f>
        <v>3.7800000000000002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19</v>
      </c>
      <c r="Y269" s="628">
        <f t="shared" ref="Y269:Y276" si="27">IFERROR(IF(X269="",0,CEILING((X269/$H269),1)*$H269),"")</f>
        <v>21.6</v>
      </c>
      <c r="Z269" s="36">
        <f>IFERROR(IF(Y269=0,"",ROUNDUP(Y269/H269,0)*0.00902),"")</f>
        <v>3.6080000000000001E-2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19.668518518518518</v>
      </c>
      <c r="BN269" s="64">
        <f t="shared" ref="BN269:BN276" si="29">IFERROR(Y269*I269/H269,"0")</f>
        <v>22.36</v>
      </c>
      <c r="BO269" s="64">
        <f t="shared" ref="BO269:BO276" si="30">IFERROR(1/J269*(X269/H269),"0")</f>
        <v>2.6655443322109985E-2</v>
      </c>
      <c r="BP269" s="64">
        <f t="shared" ref="BP269:BP276" si="31">IFERROR(1/J269*(Y269/H269),"0")</f>
        <v>3.0303030303030304E-2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30</v>
      </c>
      <c r="Y270" s="628">
        <f t="shared" si="27"/>
        <v>32.400000000000006</v>
      </c>
      <c r="Z270" s="36">
        <f>IFERROR(IF(Y270=0,"",ROUNDUP(Y270/H270,0)*0.00902),"")</f>
        <v>5.4120000000000001E-2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31.05555555555555</v>
      </c>
      <c r="BN270" s="64">
        <f t="shared" si="29"/>
        <v>33.54</v>
      </c>
      <c r="BO270" s="64">
        <f t="shared" si="30"/>
        <v>4.208754208754209E-2</v>
      </c>
      <c r="BP270" s="64">
        <f t="shared" si="31"/>
        <v>4.5454545454545463E-2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21</v>
      </c>
      <c r="Y272" s="628">
        <f t="shared" si="27"/>
        <v>21.6</v>
      </c>
      <c r="Z272" s="36">
        <f>IFERROR(IF(Y272=0,"",ROUNDUP(Y272/H272,0)*0.00902),"")</f>
        <v>3.6080000000000001E-2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21.738888888888887</v>
      </c>
      <c r="BN272" s="64">
        <f t="shared" si="29"/>
        <v>22.36</v>
      </c>
      <c r="BO272" s="64">
        <f t="shared" si="30"/>
        <v>2.9461279461279462E-2</v>
      </c>
      <c r="BP272" s="64">
        <f t="shared" si="31"/>
        <v>3.0303030303030304E-2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40</v>
      </c>
      <c r="Y273" s="628">
        <f t="shared" si="27"/>
        <v>41.4</v>
      </c>
      <c r="Z273" s="36">
        <f>IFERROR(IF(Y273=0,"",ROUNDUP(Y273/H273,0)*0.00502),"")</f>
        <v>0.11546000000000001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42.888888888888893</v>
      </c>
      <c r="BN273" s="64">
        <f t="shared" si="29"/>
        <v>44.39</v>
      </c>
      <c r="BO273" s="64">
        <f t="shared" si="30"/>
        <v>9.4966761633428307E-2</v>
      </c>
      <c r="BP273" s="64">
        <f t="shared" si="31"/>
        <v>9.8290598290598302E-2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8</v>
      </c>
      <c r="Y274" s="628">
        <f t="shared" si="27"/>
        <v>9</v>
      </c>
      <c r="Z274" s="36">
        <f>IFERROR(IF(Y274=0,"",ROUNDUP(Y274/H274,0)*0.00502),"")</f>
        <v>2.5100000000000001E-2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8.4444444444444446</v>
      </c>
      <c r="BN274" s="64">
        <f t="shared" si="29"/>
        <v>9.4999999999999982</v>
      </c>
      <c r="BO274" s="64">
        <f t="shared" si="30"/>
        <v>1.8993352326685663E-2</v>
      </c>
      <c r="BP274" s="64">
        <f t="shared" si="31"/>
        <v>2.1367521367521368E-2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62</v>
      </c>
      <c r="Y276" s="628">
        <f t="shared" si="27"/>
        <v>63</v>
      </c>
      <c r="Z276" s="36">
        <f>IFERROR(IF(Y276=0,"",ROUNDUP(Y276/H276,0)*0.00502),"")</f>
        <v>0.1757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65.444444444444443</v>
      </c>
      <c r="BN276" s="64">
        <f t="shared" si="29"/>
        <v>66.499999999999986</v>
      </c>
      <c r="BO276" s="64">
        <f t="shared" si="30"/>
        <v>0.14719848053181386</v>
      </c>
      <c r="BP276" s="64">
        <f t="shared" si="31"/>
        <v>0.1495726495726496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74.074074074074076</v>
      </c>
      <c r="Y277" s="629">
        <f>IFERROR(Y269/H269,"0")+IFERROR(Y270/H270,"0")+IFERROR(Y271/H271,"0")+IFERROR(Y272/H272,"0")+IFERROR(Y273/H273,"0")+IFERROR(Y274/H274,"0")+IFERROR(Y275/H275,"0")+IFERROR(Y276/H276,"0")</f>
        <v>77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0.44254000000000004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180</v>
      </c>
      <c r="Y278" s="629">
        <f>IFERROR(SUM(Y269:Y276),"0")</f>
        <v>189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6</v>
      </c>
      <c r="Y280" s="628">
        <f t="shared" ref="Y280:Y291" si="32">IFERROR(IF(X280="",0,CEILING((X280/$H280),1)*$H280),"")</f>
        <v>8.1</v>
      </c>
      <c r="Z280" s="36">
        <f>IFERROR(IF(Y280=0,"",ROUNDUP(Y280/H280,0)*0.01898),"")</f>
        <v>1.898E-2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6.3659259259259251</v>
      </c>
      <c r="BN280" s="64">
        <f t="shared" ref="BN280:BN291" si="34">IFERROR(Y280*I280/H280,"0")</f>
        <v>8.5939999999999994</v>
      </c>
      <c r="BO280" s="64">
        <f t="shared" ref="BO280:BO291" si="35">IFERROR(1/J280*(X280/H280),"0")</f>
        <v>1.1574074074074075E-2</v>
      </c>
      <c r="BP280" s="64">
        <f t="shared" ref="BP280:BP291" si="36">IFERROR(1/J280*(Y280/H280),"0")</f>
        <v>1.5625E-2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4</v>
      </c>
      <c r="Y281" s="628">
        <f t="shared" si="32"/>
        <v>8.1</v>
      </c>
      <c r="Z281" s="36">
        <f>IFERROR(IF(Y281=0,"",ROUNDUP(Y281/H281,0)*0.01898),"")</f>
        <v>1.898E-2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4.2350617283950625</v>
      </c>
      <c r="BN281" s="64">
        <f t="shared" si="34"/>
        <v>8.5760000000000005</v>
      </c>
      <c r="BO281" s="64">
        <f t="shared" si="35"/>
        <v>7.7160493827160498E-3</v>
      </c>
      <c r="BP281" s="64">
        <f t="shared" si="36"/>
        <v>1.5625E-2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260</v>
      </c>
      <c r="Y282" s="628">
        <f t="shared" si="32"/>
        <v>261</v>
      </c>
      <c r="Z282" s="36">
        <f>IFERROR(IF(Y282=0,"",ROUNDUP(Y282/H282,0)*0.01898),"")</f>
        <v>0.56940000000000002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274.76321839080464</v>
      </c>
      <c r="BN282" s="64">
        <f t="shared" si="34"/>
        <v>275.82000000000005</v>
      </c>
      <c r="BO282" s="64">
        <f t="shared" si="35"/>
        <v>0.4669540229885058</v>
      </c>
      <c r="BP282" s="64">
        <f t="shared" si="36"/>
        <v>0.46875000000000006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31.119625372498938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32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0.60736000000000001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270</v>
      </c>
      <c r="Y293" s="629">
        <f>IFERROR(SUM(Y280:Y291),"0")</f>
        <v>277.2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10</v>
      </c>
      <c r="Y356" s="628">
        <f>IFERROR(IF(X356="",0,CEILING((X356/$H356),1)*$H356),"")</f>
        <v>15.6</v>
      </c>
      <c r="Z356" s="36">
        <f>IFERROR(IF(Y356=0,"",ROUNDUP(Y356/H356,0)*0.01898),"")</f>
        <v>3.7960000000000001E-2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10.525641025641027</v>
      </c>
      <c r="BN356" s="64">
        <f>IFERROR(Y356*I356/H356,"0")</f>
        <v>16.420000000000002</v>
      </c>
      <c r="BO356" s="64">
        <f>IFERROR(1/J356*(X356/H356),"0")</f>
        <v>2.0032051282051284E-2</v>
      </c>
      <c r="BP356" s="64">
        <f>IFERROR(1/J356*(Y356/H356),"0")</f>
        <v>3.125E-2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93</v>
      </c>
      <c r="Y357" s="628">
        <f>IFERROR(IF(X357="",0,CEILING((X357/$H357),1)*$H357),"")</f>
        <v>93.6</v>
      </c>
      <c r="Z357" s="36">
        <f>IFERROR(IF(Y357=0,"",ROUNDUP(Y357/H357,0)*0.01898),"")</f>
        <v>0.22776000000000002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97.888461538461556</v>
      </c>
      <c r="BN357" s="64">
        <f>IFERROR(Y357*I357/H357,"0")</f>
        <v>98.52000000000001</v>
      </c>
      <c r="BO357" s="64">
        <f>IFERROR(1/J357*(X357/H357),"0")</f>
        <v>0.18629807692307693</v>
      </c>
      <c r="BP357" s="64">
        <f>IFERROR(1/J357*(Y357/H357),"0")</f>
        <v>0.1875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12</v>
      </c>
      <c r="Y358" s="628">
        <f>IFERROR(IF(X358="",0,CEILING((X358/$H358),1)*$H358),"")</f>
        <v>15.6</v>
      </c>
      <c r="Z358" s="36">
        <f>IFERROR(IF(Y358=0,"",ROUNDUP(Y358/H358,0)*0.01898),"")</f>
        <v>3.7960000000000001E-2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12.630769230769232</v>
      </c>
      <c r="BN358" s="64">
        <f>IFERROR(Y358*I358/H358,"0")</f>
        <v>16.420000000000002</v>
      </c>
      <c r="BO358" s="64">
        <f>IFERROR(1/J358*(X358/H358),"0")</f>
        <v>2.403846153846154E-2</v>
      </c>
      <c r="BP358" s="64">
        <f>IFERROR(1/J358*(Y358/H358),"0")</f>
        <v>3.125E-2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14.743589743589745</v>
      </c>
      <c r="Y359" s="629">
        <f>IFERROR(Y356/H356,"0")+IFERROR(Y357/H357,"0")+IFERROR(Y358/H358,"0")</f>
        <v>16</v>
      </c>
      <c r="Z359" s="629">
        <f>IFERROR(IF(Z356="",0,Z356),"0")+IFERROR(IF(Z357="",0,Z357),"0")+IFERROR(IF(Z358="",0,Z358),"0")</f>
        <v>0.30368000000000001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115</v>
      </c>
      <c r="Y360" s="629">
        <f>IFERROR(SUM(Y356:Y358),"0")</f>
        <v>124.79999999999998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28</v>
      </c>
      <c r="Y377" s="628">
        <f t="shared" si="42"/>
        <v>28.8</v>
      </c>
      <c r="Z377" s="36">
        <f>IFERROR(IF(Y377=0,"",ROUNDUP(Y377/H377,0)*0.00651),"")</f>
        <v>0.10416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31.546666666666667</v>
      </c>
      <c r="BN377" s="64">
        <f t="shared" si="44"/>
        <v>32.448</v>
      </c>
      <c r="BO377" s="64">
        <f t="shared" si="45"/>
        <v>8.5470085470085472E-2</v>
      </c>
      <c r="BP377" s="64">
        <f t="shared" si="46"/>
        <v>8.7912087912087919E-2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15.555555555555555</v>
      </c>
      <c r="Y378" s="629">
        <f>IFERROR(Y371/H371,"0")+IFERROR(Y372/H372,"0")+IFERROR(Y373/H373,"0")+IFERROR(Y374/H374,"0")+IFERROR(Y375/H375,"0")+IFERROR(Y376/H376,"0")+IFERROR(Y377/H377,"0")</f>
        <v>16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0.10416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28</v>
      </c>
      <c r="Y379" s="629">
        <f>IFERROR(SUM(Y371:Y377),"0")</f>
        <v>28.8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26</v>
      </c>
      <c r="Y388" s="628">
        <f>IFERROR(IF(X388="",0,CEILING((X388/$H388),1)*$H388),"")</f>
        <v>33.6</v>
      </c>
      <c r="Z388" s="36">
        <f>IFERROR(IF(Y388=0,"",ROUNDUP(Y388/H388,0)*0.01898),"")</f>
        <v>7.5920000000000001E-2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27.529047619047617</v>
      </c>
      <c r="BN388" s="64">
        <f>IFERROR(Y388*I388/H388,"0")</f>
        <v>35.576000000000001</v>
      </c>
      <c r="BO388" s="64">
        <f>IFERROR(1/J388*(X388/H388),"0")</f>
        <v>4.8363095238095233E-2</v>
      </c>
      <c r="BP388" s="64">
        <f>IFERROR(1/J388*(Y388/H388),"0")</f>
        <v>6.25E-2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3.0952380952380949</v>
      </c>
      <c r="Y391" s="629">
        <f>IFERROR(Y388/H388,"0")+IFERROR(Y389/H389,"0")+IFERROR(Y390/H390,"0")</f>
        <v>4</v>
      </c>
      <c r="Z391" s="629">
        <f>IFERROR(IF(Z388="",0,Z388),"0")+IFERROR(IF(Z389="",0,Z389),"0")+IFERROR(IF(Z390="",0,Z390),"0")</f>
        <v>7.5920000000000001E-2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26</v>
      </c>
      <c r="Y392" s="629">
        <f>IFERROR(SUM(Y388:Y390),"0")</f>
        <v>33.6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2</v>
      </c>
      <c r="Y401" s="628">
        <f>IFERROR(IF(X401="",0,CEILING((X401/$H401),1)*$H401),"")</f>
        <v>2</v>
      </c>
      <c r="Z401" s="36">
        <f>IFERROR(IF(Y401=0,"",ROUNDUP(Y401/H401,0)*0.00474),"")</f>
        <v>4.7400000000000003E-3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2.2400000000000002</v>
      </c>
      <c r="BN401" s="64">
        <f>IFERROR(Y401*I401/H401,"0")</f>
        <v>2.2400000000000002</v>
      </c>
      <c r="BO401" s="64">
        <f>IFERROR(1/J401*(X401/H401),"0")</f>
        <v>4.2016806722689074E-3</v>
      </c>
      <c r="BP401" s="64">
        <f>IFERROR(1/J401*(Y401/H401),"0")</f>
        <v>4.2016806722689074E-3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6</v>
      </c>
      <c r="Y402" s="628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6.7200000000000006</v>
      </c>
      <c r="BN402" s="64">
        <f>IFERROR(Y402*I402/H402,"0")</f>
        <v>6.7200000000000006</v>
      </c>
      <c r="BO402" s="64">
        <f>IFERROR(1/J402*(X402/H402),"0")</f>
        <v>1.2605042016806723E-2</v>
      </c>
      <c r="BP402" s="64">
        <f>IFERROR(1/J402*(Y402/H402),"0")</f>
        <v>1.2605042016806723E-2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4</v>
      </c>
      <c r="Y404" s="629">
        <f>IFERROR(Y401/H401,"0")+IFERROR(Y402/H402,"0")+IFERROR(Y403/H403,"0")</f>
        <v>4</v>
      </c>
      <c r="Z404" s="629">
        <f>IFERROR(IF(Z401="",0,Z401),"0")+IFERROR(IF(Z402="",0,Z402),"0")+IFERROR(IF(Z403="",0,Z403),"0")</f>
        <v>1.8960000000000001E-2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8</v>
      </c>
      <c r="Y405" s="629">
        <f>IFERROR(SUM(Y401:Y403),"0")</f>
        <v>8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9</v>
      </c>
      <c r="Y415" s="628">
        <f>IFERROR(IF(X415="",0,CEILING((X415/$H415),1)*$H415),"")</f>
        <v>10.5</v>
      </c>
      <c r="Z415" s="36">
        <f>IFERROR(IF(Y415=0,"",ROUNDUP(Y415/H415,0)*0.00651),"")</f>
        <v>3.2550000000000003E-2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10.08</v>
      </c>
      <c r="BN415" s="64">
        <f>IFERROR(Y415*I415/H415,"0")</f>
        <v>11.759999999999998</v>
      </c>
      <c r="BO415" s="64">
        <f>IFERROR(1/J415*(X415/H415),"0")</f>
        <v>2.3547880690737835E-2</v>
      </c>
      <c r="BP415" s="64">
        <f>IFERROR(1/J415*(Y415/H415),"0")</f>
        <v>2.7472527472527476E-2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45</v>
      </c>
      <c r="Y416" s="628">
        <f>IFERROR(IF(X416="",0,CEILING((X416/$H416),1)*$H416),"")</f>
        <v>46.2</v>
      </c>
      <c r="Z416" s="36">
        <f>IFERROR(IF(Y416=0,"",ROUNDUP(Y416/H416,0)*0.00651),"")</f>
        <v>0.14322000000000001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50.142857142857139</v>
      </c>
      <c r="BN416" s="64">
        <f>IFERROR(Y416*I416/H416,"0")</f>
        <v>51.48</v>
      </c>
      <c r="BO416" s="64">
        <f>IFERROR(1/J416*(X416/H416),"0")</f>
        <v>0.11773940345368916</v>
      </c>
      <c r="BP416" s="64">
        <f>IFERROR(1/J416*(Y416/H416),"0")</f>
        <v>0.12087912087912089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25.714285714285712</v>
      </c>
      <c r="Y417" s="629">
        <f>IFERROR(Y414/H414,"0")+IFERROR(Y415/H415,"0")+IFERROR(Y416/H416,"0")</f>
        <v>27</v>
      </c>
      <c r="Z417" s="629">
        <f>IFERROR(IF(Z414="",0,Z414),"0")+IFERROR(IF(Z415="",0,Z415),"0")+IFERROR(IF(Z416="",0,Z416),"0")</f>
        <v>0.17577000000000001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54</v>
      </c>
      <c r="Y418" s="629">
        <f>IFERROR(SUM(Y414:Y416),"0")</f>
        <v>56.7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31</v>
      </c>
      <c r="Y422" s="628">
        <f t="shared" ref="Y422:Y429" si="47">IFERROR(IF(X422="",0,CEILING((X422/$H422),1)*$H422),"")</f>
        <v>45</v>
      </c>
      <c r="Z422" s="36">
        <f>IFERROR(IF(Y422=0,"",ROUNDUP(Y422/H422,0)*0.02175),"")</f>
        <v>6.5250000000000002E-2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31.971333333333334</v>
      </c>
      <c r="BN422" s="64">
        <f t="shared" ref="BN422:BN429" si="49">IFERROR(Y422*I422/H422,"0")</f>
        <v>46.41</v>
      </c>
      <c r="BO422" s="64">
        <f t="shared" ref="BO422:BO429" si="50">IFERROR(1/J422*(X422/H422),"0")</f>
        <v>4.3055555555555555E-2</v>
      </c>
      <c r="BP422" s="64">
        <f t="shared" ref="BP422:BP429" si="51">IFERROR(1/J422*(Y422/H422),"0")</f>
        <v>6.25E-2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300</v>
      </c>
      <c r="Y426" s="628">
        <f t="shared" si="47"/>
        <v>300</v>
      </c>
      <c r="Z426" s="36">
        <f>IFERROR(IF(Y426=0,"",ROUNDUP(Y426/H426,0)*0.02175),"")</f>
        <v>0.43499999999999994</v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309.39999999999998</v>
      </c>
      <c r="BN426" s="64">
        <f t="shared" si="49"/>
        <v>309.39999999999998</v>
      </c>
      <c r="BO426" s="64">
        <f t="shared" si="50"/>
        <v>0.41666666666666663</v>
      </c>
      <c r="BP426" s="64">
        <f t="shared" si="51"/>
        <v>0.41666666666666663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22.066666666666666</v>
      </c>
      <c r="Y430" s="629">
        <f>IFERROR(Y422/H422,"0")+IFERROR(Y423/H423,"0")+IFERROR(Y424/H424,"0")+IFERROR(Y425/H425,"0")+IFERROR(Y426/H426,"0")+IFERROR(Y427/H427,"0")+IFERROR(Y428/H428,"0")+IFERROR(Y429/H429,"0")</f>
        <v>23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0.50024999999999997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331</v>
      </c>
      <c r="Y431" s="629">
        <f>IFERROR(SUM(Y422:Y429),"0")</f>
        <v>345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234</v>
      </c>
      <c r="Y446" s="628">
        <f>IFERROR(IF(X446="",0,CEILING((X446/$H446),1)*$H446),"")</f>
        <v>234</v>
      </c>
      <c r="Z446" s="36">
        <f>IFERROR(IF(Y446=0,"",ROUNDUP(Y446/H446,0)*0.01898),"")</f>
        <v>0.49348000000000003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246.84399999999999</v>
      </c>
      <c r="BN446" s="64">
        <f>IFERROR(Y446*I446/H446,"0")</f>
        <v>246.84399999999999</v>
      </c>
      <c r="BO446" s="64">
        <f>IFERROR(1/J446*(X446/H446),"0")</f>
        <v>0.40625</v>
      </c>
      <c r="BP446" s="64">
        <f>IFERROR(1/J446*(Y446/H446),"0")</f>
        <v>0.40625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26</v>
      </c>
      <c r="Y447" s="629">
        <f>IFERROR(Y445/H445,"0")+IFERROR(Y446/H446,"0")</f>
        <v>26</v>
      </c>
      <c r="Z447" s="629">
        <f>IFERROR(IF(Z445="",0,Z445),"0")+IFERROR(IF(Z446="",0,Z446),"0")</f>
        <v>0.49348000000000003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234</v>
      </c>
      <c r="Y448" s="629">
        <f>IFERROR(SUM(Y445:Y446),"0")</f>
        <v>234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12</v>
      </c>
      <c r="Y461" s="628">
        <f>IFERROR(IF(X461="",0,CEILING((X461/$H461),1)*$H461),"")</f>
        <v>12</v>
      </c>
      <c r="Z461" s="36">
        <f>IFERROR(IF(Y461=0,"",ROUNDUP(Y461/H461,0)*0.00651),"")</f>
        <v>3.2550000000000003E-2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13.320000000000002</v>
      </c>
      <c r="BN461" s="64">
        <f>IFERROR(Y461*I461/H461,"0")</f>
        <v>13.320000000000002</v>
      </c>
      <c r="BO461" s="64">
        <f>IFERROR(1/J461*(X461/H461),"0")</f>
        <v>2.7472527472527476E-2</v>
      </c>
      <c r="BP461" s="64">
        <f>IFERROR(1/J461*(Y461/H461),"0")</f>
        <v>2.7472527472527476E-2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5</v>
      </c>
      <c r="Y463" s="629">
        <f>IFERROR(Y460/H460,"0")+IFERROR(Y461/H461,"0")+IFERROR(Y462/H462,"0")</f>
        <v>5</v>
      </c>
      <c r="Z463" s="629">
        <f>IFERROR(IF(Z460="",0,Z460),"0")+IFERROR(IF(Z461="",0,Z461),"0")+IFERROR(IF(Z462="",0,Z462),"0")</f>
        <v>3.2550000000000003E-2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12</v>
      </c>
      <c r="Y464" s="629">
        <f>IFERROR(SUM(Y460:Y462),"0")</f>
        <v>12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43</v>
      </c>
      <c r="Y495" s="628">
        <f t="shared" ref="Y495:Y503" si="57">IFERROR(IF(X495="",0,CEILING((X495/$H495),1)*$H495),"")</f>
        <v>47.52</v>
      </c>
      <c r="Z495" s="36">
        <f t="shared" ref="Z495:Z500" si="58">IFERROR(IF(Y495=0,"",ROUNDUP(Y495/H495,0)*0.01196),"")</f>
        <v>0.10764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45.850378787878789</v>
      </c>
      <c r="BN495" s="64">
        <f t="shared" ref="BN495:BN503" si="60">IFERROR(Y495*I495/H495,"0")</f>
        <v>50.669999999999995</v>
      </c>
      <c r="BO495" s="64">
        <f t="shared" ref="BO495:BO503" si="61">IFERROR(1/J495*(X495/H495),"0")</f>
        <v>7.8307109557109553E-2</v>
      </c>
      <c r="BP495" s="64">
        <f t="shared" ref="BP495:BP503" si="62">IFERROR(1/J495*(Y495/H495),"0")</f>
        <v>8.6538461538461536E-2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4</v>
      </c>
      <c r="Y497" s="628">
        <f t="shared" si="57"/>
        <v>5.28</v>
      </c>
      <c r="Z497" s="36">
        <f t="shared" si="58"/>
        <v>1.196E-2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4.2651515151515147</v>
      </c>
      <c r="BN497" s="64">
        <f t="shared" si="60"/>
        <v>5.63</v>
      </c>
      <c r="BO497" s="64">
        <f t="shared" si="61"/>
        <v>7.2843822843822849E-3</v>
      </c>
      <c r="BP497" s="64">
        <f t="shared" si="62"/>
        <v>9.6153846153846159E-3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400</v>
      </c>
      <c r="Y498" s="628">
        <f t="shared" si="57"/>
        <v>401.28000000000003</v>
      </c>
      <c r="Z498" s="36">
        <f t="shared" si="58"/>
        <v>0.90895999999999999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426.5151515151515</v>
      </c>
      <c r="BN498" s="64">
        <f t="shared" si="60"/>
        <v>427.88</v>
      </c>
      <c r="BO498" s="64">
        <f t="shared" si="61"/>
        <v>0.72843822843822836</v>
      </c>
      <c r="BP498" s="64">
        <f t="shared" si="62"/>
        <v>0.73076923076923084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8</v>
      </c>
      <c r="Y502" s="628">
        <f t="shared" si="57"/>
        <v>9.6</v>
      </c>
      <c r="Z502" s="36">
        <f>IFERROR(IF(Y502=0,"",ROUNDUP(Y502/H502,0)*0.00902),"")</f>
        <v>1.804E-2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11.516666666666667</v>
      </c>
      <c r="BN502" s="64">
        <f t="shared" si="60"/>
        <v>13.82</v>
      </c>
      <c r="BO502" s="64">
        <f t="shared" si="61"/>
        <v>1.2626262626262628E-2</v>
      </c>
      <c r="BP502" s="64">
        <f t="shared" si="62"/>
        <v>1.5151515151515152E-2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86.325757575757578</v>
      </c>
      <c r="Y504" s="629">
        <f>IFERROR(Y495/H495,"0")+IFERROR(Y496/H496,"0")+IFERROR(Y497/H497,"0")+IFERROR(Y498/H498,"0")+IFERROR(Y499/H499,"0")+IFERROR(Y500/H500,"0")+IFERROR(Y501/H501,"0")+IFERROR(Y502/H502,"0")+IFERROR(Y503/H503,"0")</f>
        <v>88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1.0466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455</v>
      </c>
      <c r="Y505" s="629">
        <f>IFERROR(SUM(Y495:Y503),"0")</f>
        <v>463.68000000000006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18</v>
      </c>
      <c r="Y509" s="628">
        <f>IFERROR(IF(X509="",0,CEILING((X509/$H509),1)*$H509),"")</f>
        <v>19.2</v>
      </c>
      <c r="Z509" s="36">
        <f>IFERROR(IF(Y509=0,"",ROUNDUP(Y509/H509,0)*0.00902),"")</f>
        <v>3.6080000000000001E-2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25.912500000000001</v>
      </c>
      <c r="BN509" s="64">
        <f>IFERROR(Y509*I509/H509,"0")</f>
        <v>27.64</v>
      </c>
      <c r="BO509" s="64">
        <f>IFERROR(1/J509*(X509/H509),"0")</f>
        <v>2.8409090909090912E-2</v>
      </c>
      <c r="BP509" s="64">
        <f>IFERROR(1/J509*(Y509/H509),"0")</f>
        <v>3.0303030303030304E-2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3.75</v>
      </c>
      <c r="Y510" s="629">
        <f>IFERROR(Y507/H507,"0")+IFERROR(Y508/H508,"0")+IFERROR(Y509/H509,"0")</f>
        <v>4</v>
      </c>
      <c r="Z510" s="629">
        <f>IFERROR(IF(Z507="",0,Z507),"0")+IFERROR(IF(Z508="",0,Z508),"0")+IFERROR(IF(Z509="",0,Z509),"0")</f>
        <v>3.6080000000000001E-2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18</v>
      </c>
      <c r="Y511" s="629">
        <f>IFERROR(SUM(Y507:Y509),"0")</f>
        <v>19.2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36</v>
      </c>
      <c r="Y514" s="628">
        <f t="shared" si="63"/>
        <v>36.96</v>
      </c>
      <c r="Z514" s="36">
        <f>IFERROR(IF(Y514=0,"",ROUNDUP(Y514/H514,0)*0.01196),"")</f>
        <v>8.3720000000000003E-2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38.386363636363633</v>
      </c>
      <c r="BN514" s="64">
        <f t="shared" si="65"/>
        <v>39.409999999999997</v>
      </c>
      <c r="BO514" s="64">
        <f t="shared" si="66"/>
        <v>6.555944055944056E-2</v>
      </c>
      <c r="BP514" s="64">
        <f t="shared" si="67"/>
        <v>6.7307692307692318E-2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4</v>
      </c>
      <c r="Y519" s="628">
        <f t="shared" si="63"/>
        <v>4.8</v>
      </c>
      <c r="Z519" s="36">
        <f>IFERROR(IF(Y519=0,"",ROUNDUP(Y519/H519,0)*0.00902),"")</f>
        <v>9.0200000000000002E-3</v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5.5583333333333336</v>
      </c>
      <c r="BN519" s="64">
        <f t="shared" si="65"/>
        <v>6.67</v>
      </c>
      <c r="BO519" s="64">
        <f t="shared" si="66"/>
        <v>6.3131313131313139E-3</v>
      </c>
      <c r="BP519" s="64">
        <f t="shared" si="67"/>
        <v>7.575757575757576E-3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7.6515151515151505</v>
      </c>
      <c r="Y520" s="629">
        <f>IFERROR(Y513/H513,"0")+IFERROR(Y514/H514,"0")+IFERROR(Y515/H515,"0")+IFERROR(Y516/H516,"0")+IFERROR(Y517/H517,"0")+IFERROR(Y518/H518,"0")+IFERROR(Y519/H519,"0")</f>
        <v>8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9.2740000000000003E-2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40</v>
      </c>
      <c r="Y521" s="629">
        <f>IFERROR(SUM(Y513:Y519),"0")</f>
        <v>41.76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2267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2371.2200000000003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2437.2233659822855</v>
      </c>
      <c r="Y551" s="629">
        <f>IFERROR(SUM(BN22:BN547),"0")</f>
        <v>2548.5240000000003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5</v>
      </c>
      <c r="Y552" s="38">
        <f>ROUNDUP(SUM(BP22:BP547),0)</f>
        <v>5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2562.2233659822855</v>
      </c>
      <c r="Y553" s="629">
        <f>GrossWeightTotalR+PalletQtyTotalR*25</f>
        <v>2673.5240000000003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482.58979869267216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503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5.2623299999999995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43.2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14.8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84.6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94.800000000000011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5.6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173.6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120.88000000000001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466.2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124.79999999999998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70.400000000000006</v>
      </c>
      <c r="U560" s="46">
        <f>IFERROR(Y414*1,"0")+IFERROR(Y415*1,"0")+IFERROR(Y416*1,"0")</f>
        <v>56.7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579</v>
      </c>
      <c r="W560" s="46">
        <f>IFERROR(Y451*1,"0")+IFERROR(Y452*1,"0")+IFERROR(Y456*1,"0")+IFERROR(Y460*1,"0")+IFERROR(Y461*1,"0")+IFERROR(Y462*1,"0")</f>
        <v>12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524.64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2026-07-29T09:53:37Z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