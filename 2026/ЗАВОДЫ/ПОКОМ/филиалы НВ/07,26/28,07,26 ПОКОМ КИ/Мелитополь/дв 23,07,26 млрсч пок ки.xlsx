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73A7EC2-5312-47F6-8926-B1B7622204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2" r:id="rId2"/>
  </sheets>
  <definedNames>
    <definedName name="_xlnm._FilterDatabase" localSheetId="0" hidden="1">Sheet!$A$3:$AN$132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Z132" i="1" l="1"/>
  <c r="AN132" i="1" s="1"/>
  <c r="X132" i="1"/>
  <c r="L132" i="1"/>
  <c r="Z131" i="1"/>
  <c r="X131" i="1"/>
  <c r="AB131" i="1" s="1"/>
  <c r="L131" i="1"/>
  <c r="Z130" i="1"/>
  <c r="AN130" i="1" s="1"/>
  <c r="X130" i="1"/>
  <c r="L130" i="1"/>
  <c r="X129" i="1"/>
  <c r="AB129" i="1" s="1"/>
  <c r="L129" i="1"/>
  <c r="Z128" i="1"/>
  <c r="X128" i="1"/>
  <c r="AB128" i="1" s="1"/>
  <c r="L128" i="1"/>
  <c r="X127" i="1"/>
  <c r="Y127" i="1" s="1"/>
  <c r="Z127" i="1" s="1"/>
  <c r="L127" i="1"/>
  <c r="X126" i="1"/>
  <c r="Y126" i="1" s="1"/>
  <c r="Z126" i="1" s="1"/>
  <c r="L126" i="1"/>
  <c r="X125" i="1"/>
  <c r="Y125" i="1" s="1"/>
  <c r="Z125" i="1" s="1"/>
  <c r="L125" i="1"/>
  <c r="Z124" i="1"/>
  <c r="AN124" i="1" s="1"/>
  <c r="X124" i="1"/>
  <c r="L124" i="1"/>
  <c r="X123" i="1"/>
  <c r="AB123" i="1" s="1"/>
  <c r="L123" i="1"/>
  <c r="X122" i="1"/>
  <c r="Y122" i="1" s="1"/>
  <c r="Z122" i="1" s="1"/>
  <c r="L122" i="1"/>
  <c r="Z121" i="1"/>
  <c r="X121" i="1"/>
  <c r="AB121" i="1" s="1"/>
  <c r="L121" i="1"/>
  <c r="Z120" i="1"/>
  <c r="AN120" i="1" s="1"/>
  <c r="X120" i="1"/>
  <c r="L120" i="1"/>
  <c r="Z119" i="1"/>
  <c r="X119" i="1"/>
  <c r="AB119" i="1" s="1"/>
  <c r="L119" i="1"/>
  <c r="X118" i="1"/>
  <c r="Y118" i="1" s="1"/>
  <c r="Z118" i="1" s="1"/>
  <c r="L118" i="1"/>
  <c r="Y117" i="1"/>
  <c r="Z117" i="1" s="1"/>
  <c r="AN117" i="1" s="1"/>
  <c r="X117" i="1"/>
  <c r="L117" i="1"/>
  <c r="Z116" i="1"/>
  <c r="AN116" i="1" s="1"/>
  <c r="X116" i="1"/>
  <c r="L116" i="1"/>
  <c r="X115" i="1"/>
  <c r="L115" i="1"/>
  <c r="X114" i="1"/>
  <c r="Y114" i="1" s="1"/>
  <c r="Z114" i="1" s="1"/>
  <c r="L114" i="1"/>
  <c r="Z113" i="1"/>
  <c r="X113" i="1"/>
  <c r="AB113" i="1" s="1"/>
  <c r="L113" i="1"/>
  <c r="Z112" i="1"/>
  <c r="AN112" i="1" s="1"/>
  <c r="X112" i="1"/>
  <c r="L112" i="1"/>
  <c r="Z111" i="1"/>
  <c r="X111" i="1"/>
  <c r="AB111" i="1" s="1"/>
  <c r="L111" i="1"/>
  <c r="X110" i="1"/>
  <c r="Y110" i="1" s="1"/>
  <c r="Z110" i="1" s="1"/>
  <c r="L110" i="1"/>
  <c r="X109" i="1"/>
  <c r="Y109" i="1" s="1"/>
  <c r="Z109" i="1" s="1"/>
  <c r="L109" i="1"/>
  <c r="X108" i="1"/>
  <c r="Y108" i="1" s="1"/>
  <c r="Z108" i="1" s="1"/>
  <c r="L108" i="1"/>
  <c r="Z107" i="1"/>
  <c r="AN107" i="1" s="1"/>
  <c r="X107" i="1"/>
  <c r="L107" i="1"/>
  <c r="Z106" i="1"/>
  <c r="X106" i="1"/>
  <c r="AB106" i="1" s="1"/>
  <c r="L106" i="1"/>
  <c r="Z105" i="1"/>
  <c r="AN105" i="1" s="1"/>
  <c r="X105" i="1"/>
  <c r="L105" i="1"/>
  <c r="Z104" i="1"/>
  <c r="X104" i="1"/>
  <c r="AB104" i="1" s="1"/>
  <c r="L104" i="1"/>
  <c r="Z103" i="1"/>
  <c r="AN103" i="1" s="1"/>
  <c r="X103" i="1"/>
  <c r="L103" i="1"/>
  <c r="Z102" i="1"/>
  <c r="X102" i="1"/>
  <c r="AB102" i="1" s="1"/>
  <c r="L102" i="1"/>
  <c r="Z101" i="1"/>
  <c r="AN101" i="1" s="1"/>
  <c r="X101" i="1"/>
  <c r="L101" i="1"/>
  <c r="Z100" i="1"/>
  <c r="X100" i="1"/>
  <c r="AB100" i="1" s="1"/>
  <c r="L100" i="1"/>
  <c r="Z99" i="1"/>
  <c r="AN99" i="1" s="1"/>
  <c r="X99" i="1"/>
  <c r="L99" i="1"/>
  <c r="X98" i="1"/>
  <c r="Y98" i="1" s="1"/>
  <c r="Z98" i="1" s="1"/>
  <c r="L98" i="1"/>
  <c r="Z97" i="1"/>
  <c r="X97" i="1"/>
  <c r="AB97" i="1" s="1"/>
  <c r="L97" i="1"/>
  <c r="Z96" i="1"/>
  <c r="AN96" i="1" s="1"/>
  <c r="X96" i="1"/>
  <c r="L96" i="1"/>
  <c r="Z95" i="1"/>
  <c r="X95" i="1"/>
  <c r="AB95" i="1" s="1"/>
  <c r="L95" i="1"/>
  <c r="X94" i="1"/>
  <c r="Y94" i="1" s="1"/>
  <c r="Z94" i="1" s="1"/>
  <c r="AN94" i="1" s="1"/>
  <c r="L94" i="1"/>
  <c r="Z93" i="1"/>
  <c r="AN93" i="1" s="1"/>
  <c r="X93" i="1"/>
  <c r="L93" i="1"/>
  <c r="Z92" i="1"/>
  <c r="X92" i="1"/>
  <c r="AB92" i="1" s="1"/>
  <c r="L92" i="1"/>
  <c r="AN91" i="1"/>
  <c r="X91" i="1"/>
  <c r="L91" i="1"/>
  <c r="X90" i="1"/>
  <c r="Y90" i="1" s="1"/>
  <c r="Z90" i="1" s="1"/>
  <c r="L90" i="1"/>
  <c r="Z89" i="1"/>
  <c r="X89" i="1"/>
  <c r="AB89" i="1" s="1"/>
  <c r="L89" i="1"/>
  <c r="X88" i="1"/>
  <c r="Y88" i="1" s="1"/>
  <c r="Z88" i="1" s="1"/>
  <c r="AA88" i="1" s="1"/>
  <c r="L88" i="1"/>
  <c r="Z87" i="1"/>
  <c r="AN87" i="1" s="1"/>
  <c r="X87" i="1"/>
  <c r="L87" i="1"/>
  <c r="Z86" i="1"/>
  <c r="X86" i="1"/>
  <c r="AB86" i="1" s="1"/>
  <c r="L86" i="1"/>
  <c r="Z85" i="1"/>
  <c r="AN85" i="1" s="1"/>
  <c r="X85" i="1"/>
  <c r="L85" i="1"/>
  <c r="Z84" i="1"/>
  <c r="X84" i="1"/>
  <c r="AB84" i="1" s="1"/>
  <c r="L84" i="1"/>
  <c r="AN83" i="1"/>
  <c r="Z83" i="1"/>
  <c r="X83" i="1"/>
  <c r="L83" i="1"/>
  <c r="Z82" i="1"/>
  <c r="X82" i="1"/>
  <c r="AB82" i="1" s="1"/>
  <c r="L82" i="1"/>
  <c r="X81" i="1"/>
  <c r="Y81" i="1" s="1"/>
  <c r="Z81" i="1" s="1"/>
  <c r="L81" i="1"/>
  <c r="X80" i="1"/>
  <c r="Y80" i="1" s="1"/>
  <c r="Z80" i="1" s="1"/>
  <c r="AA80" i="1" s="1"/>
  <c r="L80" i="1"/>
  <c r="Z79" i="1"/>
  <c r="AN79" i="1" s="1"/>
  <c r="X79" i="1"/>
  <c r="L79" i="1"/>
  <c r="X78" i="1"/>
  <c r="Y78" i="1" s="1"/>
  <c r="Z78" i="1" s="1"/>
  <c r="L78" i="1"/>
  <c r="Z77" i="1"/>
  <c r="X77" i="1"/>
  <c r="AB77" i="1" s="1"/>
  <c r="L77" i="1"/>
  <c r="X76" i="1"/>
  <c r="Y76" i="1" s="1"/>
  <c r="Z76" i="1" s="1"/>
  <c r="AA76" i="1" s="1"/>
  <c r="L76" i="1"/>
  <c r="X75" i="1"/>
  <c r="Y75" i="1" s="1"/>
  <c r="Z75" i="1" s="1"/>
  <c r="AN75" i="1" s="1"/>
  <c r="L75" i="1"/>
  <c r="X74" i="1"/>
  <c r="Y74" i="1" s="1"/>
  <c r="Z74" i="1" s="1"/>
  <c r="AA74" i="1" s="1"/>
  <c r="L74" i="1"/>
  <c r="Z73" i="1"/>
  <c r="AN73" i="1" s="1"/>
  <c r="X73" i="1"/>
  <c r="L73" i="1"/>
  <c r="X72" i="1"/>
  <c r="Y72" i="1" s="1"/>
  <c r="Z72" i="1" s="1"/>
  <c r="L72" i="1"/>
  <c r="Z71" i="1"/>
  <c r="X71" i="1"/>
  <c r="AB71" i="1" s="1"/>
  <c r="L71" i="1"/>
  <c r="X70" i="1"/>
  <c r="Y70" i="1" s="1"/>
  <c r="Z70" i="1" s="1"/>
  <c r="AA70" i="1" s="1"/>
  <c r="L70" i="1"/>
  <c r="X69" i="1"/>
  <c r="Y69" i="1" s="1"/>
  <c r="Z69" i="1" s="1"/>
  <c r="L69" i="1"/>
  <c r="X68" i="1"/>
  <c r="Y68" i="1" s="1"/>
  <c r="Z68" i="1" s="1"/>
  <c r="AA68" i="1" s="1"/>
  <c r="L68" i="1"/>
  <c r="X67" i="1"/>
  <c r="Y67" i="1" s="1"/>
  <c r="Z67" i="1" s="1"/>
  <c r="AN67" i="1" s="1"/>
  <c r="L67" i="1"/>
  <c r="X66" i="1"/>
  <c r="Y66" i="1" s="1"/>
  <c r="Z66" i="1" s="1"/>
  <c r="AA66" i="1" s="1"/>
  <c r="L66" i="1"/>
  <c r="X65" i="1"/>
  <c r="Y65" i="1" s="1"/>
  <c r="Z65" i="1" s="1"/>
  <c r="L65" i="1"/>
  <c r="Z64" i="1"/>
  <c r="AN64" i="1" s="1"/>
  <c r="X64" i="1"/>
  <c r="L64" i="1"/>
  <c r="X63" i="1"/>
  <c r="Y63" i="1" s="1"/>
  <c r="Z63" i="1" s="1"/>
  <c r="L63" i="1"/>
  <c r="Z62" i="1"/>
  <c r="X62" i="1"/>
  <c r="AB62" i="1" s="1"/>
  <c r="L62" i="1"/>
  <c r="X61" i="1"/>
  <c r="Y61" i="1" s="1"/>
  <c r="Z61" i="1" s="1"/>
  <c r="AN61" i="1" s="1"/>
  <c r="L61" i="1"/>
  <c r="Z60" i="1"/>
  <c r="AN60" i="1" s="1"/>
  <c r="X60" i="1"/>
  <c r="L60" i="1"/>
  <c r="Z59" i="1"/>
  <c r="X59" i="1"/>
  <c r="AB59" i="1" s="1"/>
  <c r="L59" i="1"/>
  <c r="AN58" i="1"/>
  <c r="Z58" i="1"/>
  <c r="X58" i="1"/>
  <c r="L58" i="1"/>
  <c r="X57" i="1"/>
  <c r="Y57" i="1" s="1"/>
  <c r="Z57" i="1" s="1"/>
  <c r="L57" i="1"/>
  <c r="Z56" i="1"/>
  <c r="X56" i="1"/>
  <c r="Y56" i="1" s="1"/>
  <c r="L56" i="1"/>
  <c r="X55" i="1"/>
  <c r="Y55" i="1" s="1"/>
  <c r="Z55" i="1" s="1"/>
  <c r="L55" i="1"/>
  <c r="X54" i="1"/>
  <c r="Y54" i="1" s="1"/>
  <c r="Z54" i="1" s="1"/>
  <c r="L54" i="1"/>
  <c r="X53" i="1"/>
  <c r="Y53" i="1" s="1"/>
  <c r="Z53" i="1" s="1"/>
  <c r="L53" i="1"/>
  <c r="X52" i="1"/>
  <c r="Y52" i="1" s="1"/>
  <c r="Z52" i="1" s="1"/>
  <c r="L52" i="1"/>
  <c r="Z51" i="1"/>
  <c r="X51" i="1"/>
  <c r="AB51" i="1" s="1"/>
  <c r="L51" i="1"/>
  <c r="X50" i="1"/>
  <c r="Y50" i="1" s="1"/>
  <c r="Z50" i="1" s="1"/>
  <c r="AA50" i="1" s="1"/>
  <c r="L50" i="1"/>
  <c r="X49" i="1"/>
  <c r="Y49" i="1" s="1"/>
  <c r="Z49" i="1" s="1"/>
  <c r="AN49" i="1" s="1"/>
  <c r="L49" i="1"/>
  <c r="X48" i="1"/>
  <c r="Y48" i="1" s="1"/>
  <c r="Z48" i="1" s="1"/>
  <c r="AA48" i="1" s="1"/>
  <c r="L48" i="1"/>
  <c r="Y47" i="1"/>
  <c r="Z47" i="1" s="1"/>
  <c r="X47" i="1"/>
  <c r="L47" i="1"/>
  <c r="Z46" i="1"/>
  <c r="AN46" i="1" s="1"/>
  <c r="X46" i="1"/>
  <c r="L46" i="1"/>
  <c r="X45" i="1"/>
  <c r="Y45" i="1" s="1"/>
  <c r="Z45" i="1" s="1"/>
  <c r="L45" i="1"/>
  <c r="Z44" i="1"/>
  <c r="X44" i="1"/>
  <c r="AB44" i="1" s="1"/>
  <c r="L44" i="1"/>
  <c r="X43" i="1"/>
  <c r="Y43" i="1" s="1"/>
  <c r="Z43" i="1" s="1"/>
  <c r="L43" i="1"/>
  <c r="X42" i="1"/>
  <c r="Y42" i="1" s="1"/>
  <c r="Z42" i="1" s="1"/>
  <c r="AA42" i="1" s="1"/>
  <c r="L42" i="1"/>
  <c r="X41" i="1"/>
  <c r="Y41" i="1" s="1"/>
  <c r="Z41" i="1" s="1"/>
  <c r="AN41" i="1" s="1"/>
  <c r="L41" i="1"/>
  <c r="X40" i="1"/>
  <c r="Y40" i="1" s="1"/>
  <c r="Z40" i="1" s="1"/>
  <c r="AA40" i="1" s="1"/>
  <c r="L40" i="1"/>
  <c r="X39" i="1"/>
  <c r="Y39" i="1" s="1"/>
  <c r="Z39" i="1" s="1"/>
  <c r="L39" i="1"/>
  <c r="X38" i="1"/>
  <c r="Y38" i="1" s="1"/>
  <c r="Z38" i="1" s="1"/>
  <c r="AA38" i="1" s="1"/>
  <c r="L38" i="1"/>
  <c r="X37" i="1"/>
  <c r="Y37" i="1" s="1"/>
  <c r="Z37" i="1" s="1"/>
  <c r="AN37" i="1" s="1"/>
  <c r="L37" i="1"/>
  <c r="X36" i="1"/>
  <c r="Y36" i="1" s="1"/>
  <c r="Z36" i="1" s="1"/>
  <c r="AA36" i="1" s="1"/>
  <c r="L36" i="1"/>
  <c r="X35" i="1"/>
  <c r="Y35" i="1" s="1"/>
  <c r="Z35" i="1" s="1"/>
  <c r="L35" i="1"/>
  <c r="Z34" i="1"/>
  <c r="AN34" i="1" s="1"/>
  <c r="X34" i="1"/>
  <c r="L34" i="1"/>
  <c r="X33" i="1"/>
  <c r="Y33" i="1" s="1"/>
  <c r="Z33" i="1" s="1"/>
  <c r="L33" i="1"/>
  <c r="X32" i="1"/>
  <c r="Y32" i="1" s="1"/>
  <c r="Z32" i="1" s="1"/>
  <c r="L32" i="1"/>
  <c r="Z31" i="1"/>
  <c r="X31" i="1"/>
  <c r="AB31" i="1" s="1"/>
  <c r="L31" i="1"/>
  <c r="X30" i="1"/>
  <c r="Y30" i="1" s="1"/>
  <c r="Z30" i="1" s="1"/>
  <c r="AA30" i="1" s="1"/>
  <c r="L30" i="1"/>
  <c r="Y29" i="1"/>
  <c r="Z29" i="1" s="1"/>
  <c r="X29" i="1"/>
  <c r="L29" i="1"/>
  <c r="X28" i="1"/>
  <c r="Y28" i="1" s="1"/>
  <c r="Z28" i="1" s="1"/>
  <c r="AA28" i="1" s="1"/>
  <c r="L28" i="1"/>
  <c r="X27" i="1"/>
  <c r="Y27" i="1" s="1"/>
  <c r="Z27" i="1" s="1"/>
  <c r="AN27" i="1" s="1"/>
  <c r="L27" i="1"/>
  <c r="Z26" i="1"/>
  <c r="AN26" i="1" s="1"/>
  <c r="X26" i="1"/>
  <c r="L26" i="1"/>
  <c r="Z25" i="1"/>
  <c r="X25" i="1"/>
  <c r="AB25" i="1" s="1"/>
  <c r="L25" i="1"/>
  <c r="X24" i="1"/>
  <c r="Y24" i="1" s="1"/>
  <c r="Z24" i="1" s="1"/>
  <c r="AA24" i="1" s="1"/>
  <c r="L24" i="1"/>
  <c r="X23" i="1"/>
  <c r="Y23" i="1" s="1"/>
  <c r="Z23" i="1" s="1"/>
  <c r="L23" i="1"/>
  <c r="X22" i="1"/>
  <c r="Y22" i="1" s="1"/>
  <c r="Z22" i="1" s="1"/>
  <c r="AA22" i="1" s="1"/>
  <c r="L22" i="1"/>
  <c r="X21" i="1"/>
  <c r="Y21" i="1" s="1"/>
  <c r="Z21" i="1" s="1"/>
  <c r="AN21" i="1" s="1"/>
  <c r="L21" i="1"/>
  <c r="X20" i="1"/>
  <c r="Y20" i="1" s="1"/>
  <c r="Z20" i="1" s="1"/>
  <c r="L20" i="1"/>
  <c r="Z19" i="1"/>
  <c r="AN19" i="1" s="1"/>
  <c r="X19" i="1"/>
  <c r="L19" i="1"/>
  <c r="X18" i="1"/>
  <c r="Y18" i="1" s="1"/>
  <c r="Z18" i="1" s="1"/>
  <c r="L18" i="1"/>
  <c r="X17" i="1"/>
  <c r="Y17" i="1" s="1"/>
  <c r="Z17" i="1" s="1"/>
  <c r="L17" i="1"/>
  <c r="X16" i="1"/>
  <c r="Y16" i="1" s="1"/>
  <c r="Z16" i="1" s="1"/>
  <c r="L16" i="1"/>
  <c r="X15" i="1"/>
  <c r="Y15" i="1" s="1"/>
  <c r="Z15" i="1" s="1"/>
  <c r="L15" i="1"/>
  <c r="Z14" i="1"/>
  <c r="AN14" i="1" s="1"/>
  <c r="X14" i="1"/>
  <c r="AB14" i="1" s="1"/>
  <c r="L14" i="1"/>
  <c r="X13" i="1"/>
  <c r="Y13" i="1" s="1"/>
  <c r="Z13" i="1" s="1"/>
  <c r="L13" i="1"/>
  <c r="Z12" i="1"/>
  <c r="AN12" i="1" s="1"/>
  <c r="X12" i="1"/>
  <c r="L12" i="1"/>
  <c r="X11" i="1"/>
  <c r="Y11" i="1" s="1"/>
  <c r="Z11" i="1" s="1"/>
  <c r="L11" i="1"/>
  <c r="X10" i="1"/>
  <c r="Y10" i="1" s="1"/>
  <c r="Z10" i="1" s="1"/>
  <c r="L10" i="1"/>
  <c r="Z9" i="1"/>
  <c r="AN9" i="1" s="1"/>
  <c r="X9" i="1"/>
  <c r="AB9" i="1" s="1"/>
  <c r="L9" i="1"/>
  <c r="X8" i="1"/>
  <c r="Y8" i="1" s="1"/>
  <c r="Z8" i="1" s="1"/>
  <c r="L8" i="1"/>
  <c r="X7" i="1"/>
  <c r="Y7" i="1" s="1"/>
  <c r="Z7" i="1" s="1"/>
  <c r="L7" i="1"/>
  <c r="X6" i="1"/>
  <c r="Y6" i="1" s="1"/>
  <c r="Z6" i="1" s="1"/>
  <c r="L6" i="1"/>
  <c r="AL5" i="1"/>
  <c r="AK5" i="1"/>
  <c r="AJ5" i="1"/>
  <c r="AI5" i="1"/>
  <c r="AH5" i="1"/>
  <c r="AG5" i="1"/>
  <c r="AF5" i="1"/>
  <c r="AE5" i="1"/>
  <c r="AD5" i="1"/>
  <c r="AC5" i="1"/>
  <c r="V5" i="1"/>
  <c r="U5" i="1"/>
  <c r="T5" i="1"/>
  <c r="S5" i="1"/>
  <c r="R5" i="1"/>
  <c r="Q5" i="1"/>
  <c r="P5" i="1"/>
  <c r="O5" i="1"/>
  <c r="N5" i="1"/>
  <c r="M5" i="1"/>
  <c r="K5" i="1"/>
  <c r="F5" i="1"/>
  <c r="E5" i="1"/>
  <c r="AA37" i="1" l="1"/>
  <c r="X5" i="1"/>
  <c r="AA19" i="1"/>
  <c r="AA27" i="1"/>
  <c r="AA21" i="1"/>
  <c r="AN29" i="1"/>
  <c r="AA29" i="1"/>
  <c r="AN39" i="1"/>
  <c r="AA39" i="1"/>
  <c r="AA41" i="1"/>
  <c r="AN47" i="1"/>
  <c r="AA47" i="1"/>
  <c r="AA49" i="1"/>
  <c r="AA61" i="1"/>
  <c r="AN81" i="1"/>
  <c r="AA81" i="1"/>
  <c r="AN23" i="1"/>
  <c r="AA23" i="1"/>
  <c r="AN35" i="1"/>
  <c r="AA35" i="1"/>
  <c r="AN43" i="1"/>
  <c r="AA43" i="1"/>
  <c r="AN65" i="1"/>
  <c r="AA65" i="1"/>
  <c r="AN69" i="1"/>
  <c r="AA69" i="1"/>
  <c r="AA108" i="1"/>
  <c r="AN108" i="1"/>
  <c r="AN109" i="1"/>
  <c r="AA109" i="1"/>
  <c r="AA110" i="1"/>
  <c r="AN110" i="1"/>
  <c r="AN125" i="1"/>
  <c r="AA125" i="1"/>
  <c r="AA126" i="1"/>
  <c r="AN126" i="1"/>
  <c r="AN127" i="1"/>
  <c r="AA127" i="1"/>
  <c r="L5" i="1"/>
  <c r="AA67" i="1"/>
  <c r="AA75" i="1"/>
  <c r="AA94" i="1"/>
  <c r="AA117" i="1"/>
  <c r="AN10" i="1"/>
  <c r="AA10" i="1"/>
  <c r="AN11" i="1"/>
  <c r="AA11" i="1"/>
  <c r="AN15" i="1"/>
  <c r="AA15" i="1"/>
  <c r="AN16" i="1"/>
  <c r="AA16" i="1"/>
  <c r="AN17" i="1"/>
  <c r="AA17" i="1"/>
  <c r="AN18" i="1"/>
  <c r="AA18" i="1"/>
  <c r="AA20" i="1"/>
  <c r="AN20" i="1"/>
  <c r="AN33" i="1"/>
  <c r="AA33" i="1"/>
  <c r="AN53" i="1"/>
  <c r="AA53" i="1"/>
  <c r="AN55" i="1"/>
  <c r="AA55" i="1"/>
  <c r="AN57" i="1"/>
  <c r="AA57" i="1"/>
  <c r="AN63" i="1"/>
  <c r="AA63" i="1"/>
  <c r="AN7" i="1"/>
  <c r="AA7" i="1"/>
  <c r="AN6" i="1"/>
  <c r="AA6" i="1"/>
  <c r="AA8" i="1"/>
  <c r="AN8" i="1"/>
  <c r="AN13" i="1"/>
  <c r="AA13" i="1"/>
  <c r="AN45" i="1"/>
  <c r="AA45" i="1"/>
  <c r="AB11" i="1"/>
  <c r="AB16" i="1"/>
  <c r="AB18" i="1"/>
  <c r="AN24" i="1"/>
  <c r="AN28" i="1"/>
  <c r="AN38" i="1"/>
  <c r="AN42" i="1"/>
  <c r="AB45" i="1"/>
  <c r="AB10" i="1"/>
  <c r="AA12" i="1"/>
  <c r="AB15" i="1"/>
  <c r="AB17" i="1"/>
  <c r="AN22" i="1"/>
  <c r="AN30" i="1"/>
  <c r="AN32" i="1"/>
  <c r="AA32" i="1"/>
  <c r="AB33" i="1"/>
  <c r="AN36" i="1"/>
  <c r="AN40" i="1"/>
  <c r="AN44" i="1"/>
  <c r="AA44" i="1"/>
  <c r="AN48" i="1"/>
  <c r="AN50" i="1"/>
  <c r="AN52" i="1"/>
  <c r="AA52" i="1"/>
  <c r="AB53" i="1"/>
  <c r="AN54" i="1"/>
  <c r="AA54" i="1"/>
  <c r="AB55" i="1"/>
  <c r="AN56" i="1"/>
  <c r="AA56" i="1"/>
  <c r="AB57" i="1"/>
  <c r="AN62" i="1"/>
  <c r="AA62" i="1"/>
  <c r="AB63" i="1"/>
  <c r="AN66" i="1"/>
  <c r="AN68" i="1"/>
  <c r="AN70" i="1"/>
  <c r="AN72" i="1"/>
  <c r="AA72" i="1"/>
  <c r="AB73" i="1"/>
  <c r="AA73" i="1"/>
  <c r="AB79" i="1"/>
  <c r="AA79" i="1"/>
  <c r="AN82" i="1"/>
  <c r="AA82" i="1"/>
  <c r="AB83" i="1"/>
  <c r="AA83" i="1"/>
  <c r="AN84" i="1"/>
  <c r="AA84" i="1"/>
  <c r="AB85" i="1"/>
  <c r="AA85" i="1"/>
  <c r="AN86" i="1"/>
  <c r="AA86" i="1"/>
  <c r="AB87" i="1"/>
  <c r="AA87" i="1"/>
  <c r="AB91" i="1"/>
  <c r="Y91" i="1"/>
  <c r="AA91" i="1"/>
  <c r="Y115" i="1"/>
  <c r="Z115" i="1" s="1"/>
  <c r="AB115" i="1"/>
  <c r="AN122" i="1"/>
  <c r="AA122" i="1"/>
  <c r="AB6" i="1"/>
  <c r="AB7" i="1"/>
  <c r="AB8" i="1"/>
  <c r="AA9" i="1"/>
  <c r="AB12" i="1"/>
  <c r="AB13" i="1"/>
  <c r="AA14" i="1"/>
  <c r="AB19" i="1"/>
  <c r="AB20" i="1"/>
  <c r="AN25" i="1"/>
  <c r="AA25" i="1"/>
  <c r="AB26" i="1"/>
  <c r="AA26" i="1"/>
  <c r="AN31" i="1"/>
  <c r="AA31" i="1"/>
  <c r="AB32" i="1"/>
  <c r="AB34" i="1"/>
  <c r="AA34" i="1"/>
  <c r="AB46" i="1"/>
  <c r="AA46" i="1"/>
  <c r="AN51" i="1"/>
  <c r="AA51" i="1"/>
  <c r="AB52" i="1"/>
  <c r="AB54" i="1"/>
  <c r="AB56" i="1"/>
  <c r="AB58" i="1"/>
  <c r="AA58" i="1"/>
  <c r="AN59" i="1"/>
  <c r="AA59" i="1"/>
  <c r="AB60" i="1"/>
  <c r="AA60" i="1"/>
  <c r="AB64" i="1"/>
  <c r="AA64" i="1"/>
  <c r="AN71" i="1"/>
  <c r="AA71" i="1"/>
  <c r="AB72" i="1"/>
  <c r="AN74" i="1"/>
  <c r="AN76" i="1"/>
  <c r="AN78" i="1"/>
  <c r="AA78" i="1"/>
  <c r="AN80" i="1"/>
  <c r="AN88" i="1"/>
  <c r="AN90" i="1"/>
  <c r="AA90" i="1"/>
  <c r="AN95" i="1"/>
  <c r="AA95" i="1"/>
  <c r="AB96" i="1"/>
  <c r="AA96" i="1"/>
  <c r="AN97" i="1"/>
  <c r="AA97" i="1"/>
  <c r="AN98" i="1"/>
  <c r="AA98" i="1"/>
  <c r="AA118" i="1"/>
  <c r="AN118" i="1"/>
  <c r="AB21" i="1"/>
  <c r="AB22" i="1"/>
  <c r="AB23" i="1"/>
  <c r="AB24" i="1"/>
  <c r="AB27" i="1"/>
  <c r="AB28" i="1"/>
  <c r="AB29" i="1"/>
  <c r="AB30" i="1"/>
  <c r="AB35" i="1"/>
  <c r="AB36" i="1"/>
  <c r="AB37" i="1"/>
  <c r="AB38" i="1"/>
  <c r="AB39" i="1"/>
  <c r="AB40" i="1"/>
  <c r="AB41" i="1"/>
  <c r="AB42" i="1"/>
  <c r="AB43" i="1"/>
  <c r="AB47" i="1"/>
  <c r="AB48" i="1"/>
  <c r="AB49" i="1"/>
  <c r="AB50" i="1"/>
  <c r="AB61" i="1"/>
  <c r="AB65" i="1"/>
  <c r="AB66" i="1"/>
  <c r="AB67" i="1"/>
  <c r="AB68" i="1"/>
  <c r="AB69" i="1"/>
  <c r="AB70" i="1"/>
  <c r="AB74" i="1"/>
  <c r="AN77" i="1"/>
  <c r="AA77" i="1"/>
  <c r="AB78" i="1"/>
  <c r="AN89" i="1"/>
  <c r="AA89" i="1"/>
  <c r="AB90" i="1"/>
  <c r="AN92" i="1"/>
  <c r="AA92" i="1"/>
  <c r="AB93" i="1"/>
  <c r="AA93" i="1"/>
  <c r="AB99" i="1"/>
  <c r="AA99" i="1"/>
  <c r="AN100" i="1"/>
  <c r="AA100" i="1"/>
  <c r="AB101" i="1"/>
  <c r="AA101" i="1"/>
  <c r="AN102" i="1"/>
  <c r="AA102" i="1"/>
  <c r="AB103" i="1"/>
  <c r="AA103" i="1"/>
  <c r="AN104" i="1"/>
  <c r="AA104" i="1"/>
  <c r="AB105" i="1"/>
  <c r="AA105" i="1"/>
  <c r="AN106" i="1"/>
  <c r="AA106" i="1"/>
  <c r="AB107" i="1"/>
  <c r="AA107" i="1"/>
  <c r="AN114" i="1"/>
  <c r="AA114" i="1"/>
  <c r="Y123" i="1"/>
  <c r="Z123" i="1" s="1"/>
  <c r="AN128" i="1"/>
  <c r="AA128" i="1"/>
  <c r="Y129" i="1"/>
  <c r="Z129" i="1" s="1"/>
  <c r="AB75" i="1"/>
  <c r="AB76" i="1"/>
  <c r="AB80" i="1"/>
  <c r="AB81" i="1"/>
  <c r="AB88" i="1"/>
  <c r="AB94" i="1"/>
  <c r="AB98" i="1"/>
  <c r="AN111" i="1"/>
  <c r="AA111" i="1"/>
  <c r="AB112" i="1"/>
  <c r="AA112" i="1"/>
  <c r="AN113" i="1"/>
  <c r="AA113" i="1"/>
  <c r="AB114" i="1"/>
  <c r="AB116" i="1"/>
  <c r="AA116" i="1"/>
  <c r="AN119" i="1"/>
  <c r="AA119" i="1"/>
  <c r="AB120" i="1"/>
  <c r="AA120" i="1"/>
  <c r="AN121" i="1"/>
  <c r="AA121" i="1"/>
  <c r="AB122" i="1"/>
  <c r="AB124" i="1"/>
  <c r="AA124" i="1"/>
  <c r="AB130" i="1"/>
  <c r="AA130" i="1"/>
  <c r="AN131" i="1"/>
  <c r="AA131" i="1"/>
  <c r="AB132" i="1"/>
  <c r="AA132" i="1"/>
  <c r="AB108" i="1"/>
  <c r="AB109" i="1"/>
  <c r="AB110" i="1"/>
  <c r="AB117" i="1"/>
  <c r="AB118" i="1"/>
  <c r="AB125" i="1"/>
  <c r="AB126" i="1"/>
  <c r="AB127" i="1"/>
  <c r="Y5" i="1" l="1"/>
  <c r="AN129" i="1"/>
  <c r="AA129" i="1"/>
  <c r="AN123" i="1"/>
  <c r="AA123" i="1"/>
  <c r="AN115" i="1"/>
  <c r="AN5" i="1" s="1"/>
  <c r="AA115" i="1"/>
  <c r="Z5" i="1"/>
</calcChain>
</file>

<file path=xl/sharedStrings.xml><?xml version="1.0" encoding="utf-8"?>
<sst xmlns="http://schemas.openxmlformats.org/spreadsheetml/2006/main" count="493" uniqueCount="204">
  <si>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</si>
  <si>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</si>
  <si>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</si>
  <si>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</si>
  <si>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</si>
  <si>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</si>
  <si>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</si>
  <si>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</si>
  <si>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</si>
  <si>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</si>
  <si>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</si>
  <si>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</si>
  <si>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</si>
  <si>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</si>
  <si>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</si>
  <si>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</si>
  <si>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</si>
  <si>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</si>
  <si>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</si>
  <si>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</si>
  <si>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</si>
  <si>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</si>
  <si>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</si>
  <si>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</si>
  <si>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20,07,(дозаказ)</t>
  </si>
  <si>
    <t>20,07,</t>
  </si>
  <si>
    <t>25,07,</t>
  </si>
  <si>
    <t>25,07,недогруз</t>
  </si>
  <si>
    <t>25,07,дозаказ</t>
  </si>
  <si>
    <t>25,07,(2)</t>
  </si>
  <si>
    <t>25,07,(2недогруз)</t>
  </si>
  <si>
    <t>27,07,доз</t>
  </si>
  <si>
    <t>23,07,</t>
  </si>
  <si>
    <t>27,07,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</si>
  <si>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</si>
  <si>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</si>
  <si>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</si>
  <si>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</si>
  <si>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</si>
  <si>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</si>
  <si>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</si>
  <si>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</si>
  <si>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</si>
  <si>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16,06,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</si>
  <si>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</si>
  <si>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</si>
  <si>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</si>
  <si>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</si>
  <si>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</si>
  <si>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</si>
  <si>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</si>
  <si>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</si>
  <si>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</si>
  <si>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</si>
  <si>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</si>
  <si>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</si>
  <si>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</si>
  <si>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</si>
  <si>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</si>
  <si>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</si>
  <si>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</si>
  <si>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</si>
  <si>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</si>
  <si>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</si>
  <si>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</si>
  <si>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</si>
  <si>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</si>
  <si>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</si>
  <si>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</si>
  <si>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</si>
  <si>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</si>
  <si>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</si>
  <si>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</si>
  <si>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</si>
  <si>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</si>
  <si>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</si>
  <si>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</si>
  <si>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</si>
  <si>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</si>
  <si>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</si>
  <si>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</si>
  <si>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</si>
  <si>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</si>
  <si>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</si>
  <si>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</si>
  <si>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</si>
  <si>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</si>
  <si>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</si>
  <si>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</si>
  <si>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</si>
  <si>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</si>
  <si>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</si>
  <si>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</si>
  <si>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</si>
  <si>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</si>
  <si>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</si>
  <si>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</si>
  <si>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</si>
  <si>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</si>
  <si>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</si>
  <si>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</si>
  <si>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</si>
  <si>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</si>
  <si>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</si>
  <si>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</si>
  <si>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</si>
  <si>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</si>
  <si>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</si>
  <si>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</si>
  <si>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</si>
  <si>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</si>
  <si>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</si>
  <si>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</si>
  <si>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</si>
  <si>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</si>
  <si>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</si>
  <si>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</si>
  <si>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</si>
  <si>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</si>
  <si>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</si>
  <si>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</si>
  <si>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</si>
  <si>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</si>
  <si>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</si>
  <si>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</si>
  <si>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</si>
  <si>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</si>
  <si>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</si>
  <si>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</si>
  <si>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</si>
  <si>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</si>
  <si>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</si>
  <si>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</si>
  <si>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</si>
  <si>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</si>
  <si>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</si>
  <si>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</si>
  <si>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</si>
  <si>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</si>
  <si>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</si>
  <si>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</si>
  <si>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</si>
  <si>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</si>
  <si>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</si>
  <si>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</si>
  <si>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</si>
  <si>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</si>
  <si>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</si>
  <si>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</si>
  <si>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</si>
  <si>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</si>
  <si>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в заказ (22,07,26 Боярко)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</si>
  <si>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</si>
  <si>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</si>
  <si>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</si>
  <si>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</si>
  <si>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</si>
  <si>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</si>
  <si>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</si>
  <si>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</si>
  <si>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</si>
  <si>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</si>
  <si>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</si>
  <si>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90шт в заказ (22,07,26 Боярко)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</si>
  <si>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</si>
  <si>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</si>
  <si>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</si>
  <si>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</si>
  <si>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</si>
  <si>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</si>
  <si>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</si>
  <si>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</si>
  <si>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</si>
  <si>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</si>
  <si>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</si>
  <si>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</si>
  <si>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</si>
  <si>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</si>
  <si>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</si>
  <si>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</si>
  <si>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</si>
  <si>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</si>
  <si>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</si>
  <si>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</si>
  <si>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</si>
  <si>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</si>
  <si>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</si>
  <si>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</si>
  <si>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</si>
  <si>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</si>
  <si>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</si>
  <si>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</si>
  <si>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</si>
  <si>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</si>
  <si>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Сосиски «Молочные для завтрака» Весовой п/а ТМ «Особый рецепт»</t>
  </si>
  <si>
    <t>Сардельки «Сочные» Весовой п/а ТМ «Особый рецепт»</t>
  </si>
  <si>
    <t>Сосиски «Сочинки Сливочные» Фикс.вес 0,4 п/а мгс ТМ «Стародворье»</t>
  </si>
  <si>
    <t>Сосиски Сочинки с сыром Бордо ф/в 0,4 кг п/а Стародворье</t>
  </si>
  <si>
    <t>Колбаса Мясорубская ТМ Стародворье с рубленой грудинкой в оболочке фиброуз в вакуумной упаковке 0,35 кг срез</t>
  </si>
  <si>
    <t>П/к колбасы «Сочинка рубленая с сочным окороком» срез Фикс.вес 0,3 фиброуз ТМ «Стародворье»</t>
  </si>
  <si>
    <t>В/к колбасы «Сочинка по-европейски с сочной грудинкой» срез Фикс.вес 0,3 фиброуз ТМ «Стародворье»</t>
  </si>
  <si>
    <t>Сосиски «Сочинки» Весовой п/а ТМ «Стародворье»</t>
  </si>
  <si>
    <t>Сосиски «Баварские с сыром» Фикс.вес 0,35 п/а ТМ «Стародворье»</t>
  </si>
  <si>
    <t>27,07,недогруз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</si>
</sst>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5" fontId="1" fillId="0" borderId="1" xfId="1" applyNumberFormat="1"/>
    <xf numFmtId="164" fontId="6" fillId="0" borderId="1" xfId="1" applyNumberFormat="1" applyFont="1"/>
    <xf numFmtId="164" fontId="6" fillId="3" borderId="1" xfId="1" applyNumberFormat="1" applyFont="1" applyFill="1"/>
    <xf numFmtId="164" fontId="6" fillId="5" borderId="1" xfId="1" applyNumberFormat="1" applyFont="1" applyFill="1"/>
    <xf numFmtId="0" fontId="5" fillId="0" borderId="1" xfId="0" applyFont="1"/>
    <xf numFmtId="164" fontId="1" fillId="6" borderId="1" xfId="1" applyNumberFormat="1" applyFill="1"/>
    <xf numFmtId="0" fontId="7" fillId="0" borderId="1" xfId="0" applyFont="1"/>
    <xf numFmtId="0" fontId="0" fillId="0" borderId="1" xfId="0"/>
    <xf numFmtId="166" fontId="0" fillId="0" borderId="1" xfId="0" applyNumberFormat="1"/>
    <xf numFmtId="2" fontId="0" fillId="0" borderId="1" xfId="0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9"/>
  <sheetViews>
    <sheetView tabSelected="1" zoomScale="85" workbookViewId="0">
      <pane xSplit="2" ySplit="5" topLeftCell="D6" activePane="bottomRight" state="frozen"/>
      <selection pane="topRight"/>
      <selection pane="bottomLeft"/>
      <selection pane="bottomRight" activeCell="AO3" sqref="AO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7" style="18" customWidth="1"/>
    <col min="24" max="26" width="7" customWidth="1"/>
    <col min="27" max="28" width="5" customWidth="1"/>
    <col min="29" max="38" width="6" customWidth="1"/>
    <col min="39" max="39" width="9.7109375" customWidth="1"/>
    <col min="40" max="40" width="7" customWidth="1"/>
  </cols>
  <sheetData>
    <row r="1" spans="1:4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5"/>
      <c r="W1" s="15"/>
      <c r="X1" s="1"/>
      <c r="Y1" s="1"/>
      <c r="Z1" s="14">
        <v>-1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5">
        <v>2100</v>
      </c>
      <c r="W2" s="15"/>
      <c r="X2" s="1"/>
      <c r="Y2" s="1"/>
      <c r="Z2" s="1" t="s">
        <v>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>
        <v>13500</v>
      </c>
    </row>
    <row r="3" spans="1:4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16</v>
      </c>
      <c r="Y3" s="3" t="s">
        <v>17</v>
      </c>
      <c r="Z3" s="3" t="s">
        <v>18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21</v>
      </c>
      <c r="AM3" s="2" t="s">
        <v>22</v>
      </c>
      <c r="AN3" s="2" t="s">
        <v>23</v>
      </c>
    </row>
    <row r="4" spans="1:4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5" t="s">
        <v>31</v>
      </c>
      <c r="W4" s="15" t="s">
        <v>203</v>
      </c>
      <c r="X4" s="1" t="s">
        <v>32</v>
      </c>
      <c r="Y4" s="1"/>
      <c r="Z4" s="1" t="s">
        <v>33</v>
      </c>
      <c r="AA4" s="1"/>
      <c r="AB4" s="1"/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  <c r="AJ4" s="1" t="s">
        <v>41</v>
      </c>
      <c r="AK4" s="1" t="s">
        <v>42</v>
      </c>
      <c r="AL4" s="1" t="s">
        <v>43</v>
      </c>
      <c r="AM4" s="1"/>
      <c r="AN4" s="1"/>
    </row>
    <row r="5" spans="1:40" x14ac:dyDescent="0.25">
      <c r="A5" s="1"/>
      <c r="B5" s="1"/>
      <c r="C5" s="1"/>
      <c r="D5" s="1"/>
      <c r="E5" s="4">
        <f>SUM(E6:E499)</f>
        <v>27421.920999999991</v>
      </c>
      <c r="F5" s="4">
        <f>SUM(F6:F499)</f>
        <v>18844.609999999997</v>
      </c>
      <c r="G5" s="7"/>
      <c r="H5" s="1"/>
      <c r="I5" s="1"/>
      <c r="J5" s="1"/>
      <c r="K5" s="4">
        <f t="shared" ref="K5:Z5" si="0">SUM(K6:K499)</f>
        <v>28816.766000000003</v>
      </c>
      <c r="L5" s="4">
        <f t="shared" si="0"/>
        <v>-1394.8450000000003</v>
      </c>
      <c r="M5" s="4">
        <f t="shared" si="0"/>
        <v>0</v>
      </c>
      <c r="N5" s="4">
        <f t="shared" si="0"/>
        <v>0</v>
      </c>
      <c r="O5" s="4">
        <f t="shared" si="0"/>
        <v>1500</v>
      </c>
      <c r="P5" s="4">
        <f t="shared" si="0"/>
        <v>9305.531376560004</v>
      </c>
      <c r="Q5" s="4">
        <f t="shared" si="0"/>
        <v>9988.5997794399991</v>
      </c>
      <c r="R5" s="4">
        <f t="shared" si="0"/>
        <v>-4605.7999999999993</v>
      </c>
      <c r="S5" s="4">
        <f t="shared" si="0"/>
        <v>3500</v>
      </c>
      <c r="T5" s="4">
        <f t="shared" si="0"/>
        <v>7834</v>
      </c>
      <c r="U5" s="4">
        <f t="shared" si="0"/>
        <v>-3564</v>
      </c>
      <c r="V5" s="16">
        <f t="shared" si="0"/>
        <v>2100</v>
      </c>
      <c r="W5" s="16">
        <f t="shared" ref="W5" si="1">SUM(W6:W499)</f>
        <v>-2079.9</v>
      </c>
      <c r="X5" s="4">
        <f t="shared" si="0"/>
        <v>5484.3842000000004</v>
      </c>
      <c r="Y5" s="4">
        <f t="shared" si="0"/>
        <v>21996.727169920003</v>
      </c>
      <c r="Z5" s="4">
        <f t="shared" si="0"/>
        <v>19242.457094559995</v>
      </c>
      <c r="AA5" s="1"/>
      <c r="AB5" s="1"/>
      <c r="AC5" s="4">
        <f t="shared" ref="AC5:AL5" si="2">SUM(AC6:AC499)</f>
        <v>5313.1188000000011</v>
      </c>
      <c r="AD5" s="4">
        <f t="shared" si="2"/>
        <v>4949.6584000000003</v>
      </c>
      <c r="AE5" s="4">
        <f t="shared" si="2"/>
        <v>5681.5398000000005</v>
      </c>
      <c r="AF5" s="4">
        <f t="shared" si="2"/>
        <v>4551.4276000000009</v>
      </c>
      <c r="AG5" s="4">
        <f t="shared" si="2"/>
        <v>4056.5027999999998</v>
      </c>
      <c r="AH5" s="4">
        <f t="shared" si="2"/>
        <v>4897.2521999999981</v>
      </c>
      <c r="AI5" s="4">
        <f t="shared" si="2"/>
        <v>4544.8997999999974</v>
      </c>
      <c r="AJ5" s="4">
        <f t="shared" si="2"/>
        <v>4251.4295999999977</v>
      </c>
      <c r="AK5" s="4">
        <f t="shared" si="2"/>
        <v>4437.175400000001</v>
      </c>
      <c r="AL5" s="4">
        <f t="shared" si="2"/>
        <v>4562.6715999999988</v>
      </c>
      <c r="AM5" s="1"/>
      <c r="AN5" s="4">
        <f>SUM(AN6:AN499)</f>
        <v>13520</v>
      </c>
    </row>
    <row r="6" spans="1:40" x14ac:dyDescent="0.25">
      <c r="A6" s="1" t="s">
        <v>44</v>
      </c>
      <c r="B6" s="1" t="s">
        <v>45</v>
      </c>
      <c r="C6" s="1">
        <v>768.81600000000003</v>
      </c>
      <c r="D6" s="1">
        <v>5.4080000000000004</v>
      </c>
      <c r="E6" s="1">
        <v>265.20299999999997</v>
      </c>
      <c r="F6" s="1">
        <v>459.51400000000001</v>
      </c>
      <c r="G6" s="7">
        <v>1</v>
      </c>
      <c r="H6" s="1">
        <v>50</v>
      </c>
      <c r="I6" s="1" t="s">
        <v>46</v>
      </c>
      <c r="J6" s="1"/>
      <c r="K6" s="1">
        <v>251.3</v>
      </c>
      <c r="L6" s="1">
        <f t="shared" ref="L6:L37" si="3">E6-K6</f>
        <v>13.902999999999963</v>
      </c>
      <c r="M6" s="1"/>
      <c r="N6" s="1"/>
      <c r="O6" s="1"/>
      <c r="P6" s="1">
        <v>89.779499999999871</v>
      </c>
      <c r="Q6" s="1">
        <v>25.46910000000025</v>
      </c>
      <c r="R6" s="1"/>
      <c r="S6" s="1"/>
      <c r="T6" s="1"/>
      <c r="U6" s="1"/>
      <c r="V6" s="15"/>
      <c r="W6" s="15"/>
      <c r="X6" s="1">
        <f t="shared" ref="X6:X37" si="4">E6/5</f>
        <v>53.040599999999998</v>
      </c>
      <c r="Y6" s="5">
        <f>12*X6-U6-T6-S6-R6-Q6-P6-O6-F6</f>
        <v>61.724599999999896</v>
      </c>
      <c r="Z6" s="5">
        <f>Y6</f>
        <v>61.724599999999896</v>
      </c>
      <c r="AA6" s="1">
        <f t="shared" ref="AA6:AA37" si="5">(F6+O6+P6+Q6+R6+S6+T6+U6+Z6+V6)/X6</f>
        <v>12.000000000000002</v>
      </c>
      <c r="AB6" s="1">
        <f t="shared" ref="AB6:AB37" si="6">(F6+O6+P6+Q6+R6+S6+T6+U6)/X6</f>
        <v>10.836276361881279</v>
      </c>
      <c r="AC6" s="1">
        <v>62.256600000000013</v>
      </c>
      <c r="AD6" s="1">
        <v>66.852599999999995</v>
      </c>
      <c r="AE6" s="1">
        <v>82.294000000000011</v>
      </c>
      <c r="AF6" s="1">
        <v>60.082000000000008</v>
      </c>
      <c r="AG6" s="1">
        <v>55.816999999999993</v>
      </c>
      <c r="AH6" s="1">
        <v>53.811199999999999</v>
      </c>
      <c r="AI6" s="1">
        <v>54.4542</v>
      </c>
      <c r="AJ6" s="1">
        <v>78.643600000000006</v>
      </c>
      <c r="AK6" s="1">
        <v>81.141999999999996</v>
      </c>
      <c r="AL6" s="1">
        <v>56.725999999999999</v>
      </c>
      <c r="AM6" s="1"/>
      <c r="AN6" s="1">
        <f t="shared" ref="AN6:AN37" si="7">ROUND(G6*Z6,0)</f>
        <v>62</v>
      </c>
    </row>
    <row r="7" spans="1:40" x14ac:dyDescent="0.25">
      <c r="A7" s="1" t="s">
        <v>47</v>
      </c>
      <c r="B7" s="1" t="s">
        <v>45</v>
      </c>
      <c r="C7" s="1">
        <v>824.69100000000003</v>
      </c>
      <c r="D7" s="1">
        <v>667.14499999999998</v>
      </c>
      <c r="E7" s="1">
        <v>776.678</v>
      </c>
      <c r="F7" s="1">
        <v>497.43400000000003</v>
      </c>
      <c r="G7" s="7">
        <v>1</v>
      </c>
      <c r="H7" s="1">
        <v>45</v>
      </c>
      <c r="I7" s="1" t="s">
        <v>46</v>
      </c>
      <c r="J7" s="1"/>
      <c r="K7" s="1">
        <v>739.95</v>
      </c>
      <c r="L7" s="1">
        <f t="shared" si="3"/>
        <v>36.727999999999952</v>
      </c>
      <c r="M7" s="1"/>
      <c r="N7" s="1"/>
      <c r="O7" s="1"/>
      <c r="P7" s="1">
        <v>276.68529999999993</v>
      </c>
      <c r="Q7" s="1">
        <v>291.57100000000042</v>
      </c>
      <c r="R7" s="1">
        <v>-299.7</v>
      </c>
      <c r="S7" s="1"/>
      <c r="T7" s="1">
        <v>400</v>
      </c>
      <c r="U7" s="1">
        <v>-405</v>
      </c>
      <c r="V7" s="15"/>
      <c r="W7" s="15"/>
      <c r="X7" s="1">
        <f t="shared" si="4"/>
        <v>155.3356</v>
      </c>
      <c r="Y7" s="5">
        <f>12*X7-U7-T7-S7-R7-Q7-P7-O7-F7</f>
        <v>1103.0368999999996</v>
      </c>
      <c r="Z7" s="5">
        <f>Y7+$Z$1*X7</f>
        <v>947.70129999999961</v>
      </c>
      <c r="AA7" s="1">
        <f t="shared" si="5"/>
        <v>11</v>
      </c>
      <c r="AB7" s="1">
        <f t="shared" si="6"/>
        <v>4.8990076968833955</v>
      </c>
      <c r="AC7" s="1">
        <v>161.36680000000001</v>
      </c>
      <c r="AD7" s="1">
        <v>149.6454</v>
      </c>
      <c r="AE7" s="1">
        <v>178.84819999999999</v>
      </c>
      <c r="AF7" s="1">
        <v>149.67179999999999</v>
      </c>
      <c r="AG7" s="1">
        <v>148.21080000000001</v>
      </c>
      <c r="AH7" s="1">
        <v>187.27260000000001</v>
      </c>
      <c r="AI7" s="1">
        <v>139.0446</v>
      </c>
      <c r="AJ7" s="1">
        <v>77.631399999999999</v>
      </c>
      <c r="AK7" s="1">
        <v>85.131200000000007</v>
      </c>
      <c r="AL7" s="1">
        <v>120.83459999999999</v>
      </c>
      <c r="AM7" s="1"/>
      <c r="AN7" s="1">
        <f t="shared" si="7"/>
        <v>948</v>
      </c>
    </row>
    <row r="8" spans="1:40" x14ac:dyDescent="0.25">
      <c r="A8" s="1" t="s">
        <v>48</v>
      </c>
      <c r="B8" s="1" t="s">
        <v>45</v>
      </c>
      <c r="C8" s="1">
        <v>767.37699999999995</v>
      </c>
      <c r="D8" s="1">
        <v>837.86300000000006</v>
      </c>
      <c r="E8" s="1">
        <v>810.92</v>
      </c>
      <c r="F8" s="1">
        <v>612.83000000000004</v>
      </c>
      <c r="G8" s="7">
        <v>1</v>
      </c>
      <c r="H8" s="1">
        <v>45</v>
      </c>
      <c r="I8" s="1" t="s">
        <v>46</v>
      </c>
      <c r="J8" s="1"/>
      <c r="K8" s="1">
        <v>748.327</v>
      </c>
      <c r="L8" s="1">
        <f t="shared" si="3"/>
        <v>62.592999999999961</v>
      </c>
      <c r="M8" s="1"/>
      <c r="N8" s="1"/>
      <c r="O8" s="1"/>
      <c r="P8" s="1">
        <v>185.8289199999997</v>
      </c>
      <c r="Q8" s="1">
        <v>394.13698000000011</v>
      </c>
      <c r="R8" s="1">
        <v>-396.9</v>
      </c>
      <c r="S8" s="1"/>
      <c r="T8" s="1">
        <v>400</v>
      </c>
      <c r="U8" s="1">
        <v>-405</v>
      </c>
      <c r="V8" s="15"/>
      <c r="W8" s="15"/>
      <c r="X8" s="1">
        <f t="shared" si="4"/>
        <v>162.184</v>
      </c>
      <c r="Y8" s="5">
        <f>12*X8-U8-T8-S8-R8-Q8-P8-O8-F8</f>
        <v>1155.3121000000001</v>
      </c>
      <c r="Z8" s="5">
        <f>Y8+$Z$1*X8</f>
        <v>993.12810000000013</v>
      </c>
      <c r="AA8" s="1">
        <f t="shared" si="5"/>
        <v>11</v>
      </c>
      <c r="AB8" s="1">
        <f t="shared" si="6"/>
        <v>4.8765346766635425</v>
      </c>
      <c r="AC8" s="1">
        <v>168.56280000000001</v>
      </c>
      <c r="AD8" s="1">
        <v>152.89080000000001</v>
      </c>
      <c r="AE8" s="1">
        <v>189.7098</v>
      </c>
      <c r="AF8" s="1">
        <v>156.5736</v>
      </c>
      <c r="AG8" s="1">
        <v>142.0624</v>
      </c>
      <c r="AH8" s="1">
        <v>183.81639999999999</v>
      </c>
      <c r="AI8" s="1">
        <v>143.90119999999999</v>
      </c>
      <c r="AJ8" s="1">
        <v>28.558599999999998</v>
      </c>
      <c r="AK8" s="1">
        <v>19.2348</v>
      </c>
      <c r="AL8" s="1">
        <v>136.8586</v>
      </c>
      <c r="AM8" s="1"/>
      <c r="AN8" s="1">
        <f t="shared" si="7"/>
        <v>993</v>
      </c>
    </row>
    <row r="9" spans="1:40" x14ac:dyDescent="0.25">
      <c r="A9" s="1" t="s">
        <v>49</v>
      </c>
      <c r="B9" s="1" t="s">
        <v>50</v>
      </c>
      <c r="C9" s="1"/>
      <c r="D9" s="1">
        <v>20</v>
      </c>
      <c r="E9" s="1">
        <v>13</v>
      </c>
      <c r="F9" s="1">
        <v>1</v>
      </c>
      <c r="G9" s="7">
        <v>0.4</v>
      </c>
      <c r="H9" s="1">
        <v>50</v>
      </c>
      <c r="I9" s="1" t="s">
        <v>46</v>
      </c>
      <c r="J9" s="1"/>
      <c r="K9" s="1">
        <v>27</v>
      </c>
      <c r="L9" s="1">
        <f t="shared" si="3"/>
        <v>-14</v>
      </c>
      <c r="M9" s="1"/>
      <c r="N9" s="1"/>
      <c r="O9" s="1"/>
      <c r="P9" s="1">
        <v>0</v>
      </c>
      <c r="Q9" s="1">
        <v>0</v>
      </c>
      <c r="R9" s="1"/>
      <c r="S9" s="1"/>
      <c r="T9" s="1"/>
      <c r="U9" s="1"/>
      <c r="V9" s="15"/>
      <c r="W9" s="15"/>
      <c r="X9" s="1">
        <f t="shared" si="4"/>
        <v>2.6</v>
      </c>
      <c r="Y9" s="5">
        <v>25</v>
      </c>
      <c r="Z9" s="5">
        <f>Y9</f>
        <v>25</v>
      </c>
      <c r="AA9" s="1">
        <f t="shared" si="5"/>
        <v>10</v>
      </c>
      <c r="AB9" s="1">
        <f t="shared" si="6"/>
        <v>0.38461538461538458</v>
      </c>
      <c r="AC9" s="1">
        <v>0.4</v>
      </c>
      <c r="AD9" s="1">
        <v>0</v>
      </c>
      <c r="AE9" s="1">
        <v>0</v>
      </c>
      <c r="AF9" s="1">
        <v>0</v>
      </c>
      <c r="AG9" s="1">
        <v>0.4</v>
      </c>
      <c r="AH9" s="1">
        <v>1.4</v>
      </c>
      <c r="AI9" s="1">
        <v>2</v>
      </c>
      <c r="AJ9" s="1">
        <v>2.2000000000000002</v>
      </c>
      <c r="AK9" s="1">
        <v>1.2</v>
      </c>
      <c r="AL9" s="1">
        <v>1</v>
      </c>
      <c r="AM9" s="1" t="s">
        <v>51</v>
      </c>
      <c r="AN9" s="1">
        <f t="shared" si="7"/>
        <v>10</v>
      </c>
    </row>
    <row r="10" spans="1:40" x14ac:dyDescent="0.25">
      <c r="A10" s="1" t="s">
        <v>52</v>
      </c>
      <c r="B10" s="1" t="s">
        <v>50</v>
      </c>
      <c r="C10" s="1">
        <v>343</v>
      </c>
      <c r="D10" s="1">
        <v>257</v>
      </c>
      <c r="E10" s="1">
        <v>385</v>
      </c>
      <c r="F10" s="1">
        <v>165</v>
      </c>
      <c r="G10" s="7">
        <v>0.45</v>
      </c>
      <c r="H10" s="1">
        <v>45</v>
      </c>
      <c r="I10" s="1" t="s">
        <v>46</v>
      </c>
      <c r="J10" s="1"/>
      <c r="K10" s="1">
        <v>427</v>
      </c>
      <c r="L10" s="1">
        <f t="shared" si="3"/>
        <v>-42</v>
      </c>
      <c r="M10" s="1"/>
      <c r="N10" s="1"/>
      <c r="O10" s="1"/>
      <c r="P10" s="1">
        <v>62.299999999999862</v>
      </c>
      <c r="Q10" s="1">
        <v>138.30000000000001</v>
      </c>
      <c r="R10" s="1">
        <v>-138</v>
      </c>
      <c r="S10" s="1"/>
      <c r="T10" s="1">
        <v>200</v>
      </c>
      <c r="U10" s="1">
        <v>-204</v>
      </c>
      <c r="V10" s="15"/>
      <c r="W10" s="15"/>
      <c r="X10" s="1">
        <f t="shared" si="4"/>
        <v>77</v>
      </c>
      <c r="Y10" s="5">
        <f>10*X10-U10-T10-S10-R10-Q10-P10-O10-F10</f>
        <v>546.4000000000002</v>
      </c>
      <c r="Z10" s="5">
        <f>Y10+$Z$1*X10</f>
        <v>469.4000000000002</v>
      </c>
      <c r="AA10" s="1">
        <f t="shared" si="5"/>
        <v>9.0000000000000018</v>
      </c>
      <c r="AB10" s="1">
        <f t="shared" si="6"/>
        <v>2.9038961038961029</v>
      </c>
      <c r="AC10" s="1">
        <v>68.599999999999994</v>
      </c>
      <c r="AD10" s="1">
        <v>57</v>
      </c>
      <c r="AE10" s="1">
        <v>64.400000000000006</v>
      </c>
      <c r="AF10" s="1">
        <v>51.8</v>
      </c>
      <c r="AG10" s="1">
        <v>54</v>
      </c>
      <c r="AH10" s="1">
        <v>66.599999999999994</v>
      </c>
      <c r="AI10" s="1">
        <v>69</v>
      </c>
      <c r="AJ10" s="1">
        <v>72.599999999999994</v>
      </c>
      <c r="AK10" s="1">
        <v>51</v>
      </c>
      <c r="AL10" s="1">
        <v>59.6</v>
      </c>
      <c r="AM10" s="1"/>
      <c r="AN10" s="1">
        <f t="shared" si="7"/>
        <v>211</v>
      </c>
    </row>
    <row r="11" spans="1:40" x14ac:dyDescent="0.25">
      <c r="A11" s="1" t="s">
        <v>53</v>
      </c>
      <c r="B11" s="1" t="s">
        <v>50</v>
      </c>
      <c r="C11" s="1">
        <v>260</v>
      </c>
      <c r="D11" s="1">
        <v>513</v>
      </c>
      <c r="E11" s="1">
        <v>469</v>
      </c>
      <c r="F11" s="1">
        <v>191</v>
      </c>
      <c r="G11" s="7">
        <v>0.45</v>
      </c>
      <c r="H11" s="1">
        <v>45</v>
      </c>
      <c r="I11" s="1" t="s">
        <v>46</v>
      </c>
      <c r="J11" s="1"/>
      <c r="K11" s="1">
        <v>538</v>
      </c>
      <c r="L11" s="1">
        <f t="shared" si="3"/>
        <v>-69</v>
      </c>
      <c r="M11" s="1"/>
      <c r="N11" s="1"/>
      <c r="O11" s="1"/>
      <c r="P11" s="1">
        <v>225.54000000000019</v>
      </c>
      <c r="Q11" s="1">
        <v>142.7399999999999</v>
      </c>
      <c r="R11" s="1">
        <v>-144</v>
      </c>
      <c r="S11" s="1"/>
      <c r="T11" s="1">
        <v>150</v>
      </c>
      <c r="U11" s="1">
        <v>-156</v>
      </c>
      <c r="V11" s="15"/>
      <c r="W11" s="15"/>
      <c r="X11" s="1">
        <f t="shared" si="4"/>
        <v>93.8</v>
      </c>
      <c r="Y11" s="5">
        <f>11*X11-U11-T11-S11-R11-Q11-P11-O11-F11</f>
        <v>622.51999999999975</v>
      </c>
      <c r="Z11" s="5">
        <f>Y11+$Z$1*X11</f>
        <v>528.7199999999998</v>
      </c>
      <c r="AA11" s="1">
        <f t="shared" si="5"/>
        <v>9.9999999999999982</v>
      </c>
      <c r="AB11" s="1">
        <f t="shared" si="6"/>
        <v>4.3633262260127941</v>
      </c>
      <c r="AC11" s="1">
        <v>88.6</v>
      </c>
      <c r="AD11" s="1">
        <v>85.2</v>
      </c>
      <c r="AE11" s="1">
        <v>90.6</v>
      </c>
      <c r="AF11" s="1">
        <v>71.400000000000006</v>
      </c>
      <c r="AG11" s="1">
        <v>71.8</v>
      </c>
      <c r="AH11" s="1">
        <v>78</v>
      </c>
      <c r="AI11" s="1">
        <v>73.2</v>
      </c>
      <c r="AJ11" s="1">
        <v>69</v>
      </c>
      <c r="AK11" s="1">
        <v>81.8</v>
      </c>
      <c r="AL11" s="1">
        <v>64.8</v>
      </c>
      <c r="AM11" s="1"/>
      <c r="AN11" s="1">
        <f t="shared" si="7"/>
        <v>238</v>
      </c>
    </row>
    <row r="12" spans="1:40" x14ac:dyDescent="0.25">
      <c r="A12" s="10" t="s">
        <v>54</v>
      </c>
      <c r="B12" s="10" t="s">
        <v>50</v>
      </c>
      <c r="C12" s="10"/>
      <c r="D12" s="10"/>
      <c r="E12" s="10"/>
      <c r="F12" s="10"/>
      <c r="G12" s="11">
        <v>0</v>
      </c>
      <c r="H12" s="10"/>
      <c r="I12" s="10" t="s">
        <v>46</v>
      </c>
      <c r="J12" s="10"/>
      <c r="K12" s="10"/>
      <c r="L12" s="10">
        <f t="shared" si="3"/>
        <v>0</v>
      </c>
      <c r="M12" s="10"/>
      <c r="N12" s="10"/>
      <c r="O12" s="10"/>
      <c r="P12" s="10"/>
      <c r="Q12" s="10">
        <v>0</v>
      </c>
      <c r="R12" s="10"/>
      <c r="S12" s="10"/>
      <c r="T12" s="10"/>
      <c r="U12" s="10"/>
      <c r="V12" s="17"/>
      <c r="W12" s="17"/>
      <c r="X12" s="10">
        <f t="shared" si="4"/>
        <v>0</v>
      </c>
      <c r="Y12" s="12"/>
      <c r="Z12" s="5">
        <f>Y12</f>
        <v>0</v>
      </c>
      <c r="AA12" s="1" t="e">
        <f t="shared" si="5"/>
        <v>#DIV/0!</v>
      </c>
      <c r="AB12" s="10" t="e">
        <f t="shared" si="6"/>
        <v>#DIV/0!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 t="s">
        <v>55</v>
      </c>
      <c r="AN12" s="1">
        <f t="shared" si="7"/>
        <v>0</v>
      </c>
    </row>
    <row r="13" spans="1:40" x14ac:dyDescent="0.25">
      <c r="A13" s="1" t="s">
        <v>56</v>
      </c>
      <c r="B13" s="1" t="s">
        <v>50</v>
      </c>
      <c r="C13" s="1">
        <v>68</v>
      </c>
      <c r="D13" s="1">
        <v>171</v>
      </c>
      <c r="E13" s="1">
        <v>115</v>
      </c>
      <c r="F13" s="1">
        <v>98</v>
      </c>
      <c r="G13" s="7">
        <v>0.3</v>
      </c>
      <c r="H13" s="1">
        <v>40</v>
      </c>
      <c r="I13" s="1" t="s">
        <v>46</v>
      </c>
      <c r="J13" s="1"/>
      <c r="K13" s="1">
        <v>119</v>
      </c>
      <c r="L13" s="1">
        <f t="shared" si="3"/>
        <v>-4</v>
      </c>
      <c r="M13" s="1"/>
      <c r="N13" s="1"/>
      <c r="O13" s="1"/>
      <c r="P13" s="1">
        <v>0</v>
      </c>
      <c r="Q13" s="1">
        <v>62</v>
      </c>
      <c r="R13" s="1"/>
      <c r="S13" s="1"/>
      <c r="T13" s="1"/>
      <c r="U13" s="1"/>
      <c r="V13" s="15"/>
      <c r="W13" s="15"/>
      <c r="X13" s="1">
        <f t="shared" si="4"/>
        <v>23</v>
      </c>
      <c r="Y13" s="5">
        <f>12*X13-U13-T13-S13-R13-Q13-P13-O13-F13</f>
        <v>116</v>
      </c>
      <c r="Z13" s="5">
        <f>Y13</f>
        <v>116</v>
      </c>
      <c r="AA13" s="1">
        <f t="shared" si="5"/>
        <v>12</v>
      </c>
      <c r="AB13" s="1">
        <f t="shared" si="6"/>
        <v>6.9565217391304346</v>
      </c>
      <c r="AC13" s="1">
        <v>19.8</v>
      </c>
      <c r="AD13" s="1">
        <v>18</v>
      </c>
      <c r="AE13" s="1">
        <v>25.6</v>
      </c>
      <c r="AF13" s="1">
        <v>22.4</v>
      </c>
      <c r="AG13" s="1">
        <v>14</v>
      </c>
      <c r="AH13" s="1">
        <v>18</v>
      </c>
      <c r="AI13" s="1">
        <v>14.4</v>
      </c>
      <c r="AJ13" s="1">
        <v>9.4</v>
      </c>
      <c r="AK13" s="1">
        <v>11.6</v>
      </c>
      <c r="AL13" s="1">
        <v>16</v>
      </c>
      <c r="AM13" s="1"/>
      <c r="AN13" s="1">
        <f t="shared" si="7"/>
        <v>35</v>
      </c>
    </row>
    <row r="14" spans="1:40" x14ac:dyDescent="0.25">
      <c r="A14" s="1" t="s">
        <v>57</v>
      </c>
      <c r="B14" s="1" t="s">
        <v>50</v>
      </c>
      <c r="C14" s="1">
        <v>298</v>
      </c>
      <c r="D14" s="1">
        <v>2</v>
      </c>
      <c r="E14" s="1">
        <v>88</v>
      </c>
      <c r="F14" s="1">
        <v>204</v>
      </c>
      <c r="G14" s="7">
        <v>0.17</v>
      </c>
      <c r="H14" s="1">
        <v>180</v>
      </c>
      <c r="I14" s="1" t="s">
        <v>46</v>
      </c>
      <c r="J14" s="1"/>
      <c r="K14" s="1">
        <v>88</v>
      </c>
      <c r="L14" s="1">
        <f t="shared" si="3"/>
        <v>0</v>
      </c>
      <c r="M14" s="1"/>
      <c r="N14" s="1"/>
      <c r="O14" s="1"/>
      <c r="P14" s="1">
        <v>0</v>
      </c>
      <c r="Q14" s="1">
        <v>0</v>
      </c>
      <c r="R14" s="1"/>
      <c r="S14" s="1"/>
      <c r="T14" s="1"/>
      <c r="U14" s="1"/>
      <c r="V14" s="15"/>
      <c r="W14" s="15"/>
      <c r="X14" s="1">
        <f t="shared" si="4"/>
        <v>17.600000000000001</v>
      </c>
      <c r="Y14" s="5"/>
      <c r="Z14" s="5">
        <f>Y14</f>
        <v>0</v>
      </c>
      <c r="AA14" s="1">
        <f t="shared" si="5"/>
        <v>11.59090909090909</v>
      </c>
      <c r="AB14" s="1">
        <f t="shared" si="6"/>
        <v>11.59090909090909</v>
      </c>
      <c r="AC14" s="1">
        <v>19.8</v>
      </c>
      <c r="AD14" s="1">
        <v>14.8</v>
      </c>
      <c r="AE14" s="1">
        <v>20.6</v>
      </c>
      <c r="AF14" s="1">
        <v>21.8</v>
      </c>
      <c r="AG14" s="1">
        <v>18.2</v>
      </c>
      <c r="AH14" s="1">
        <v>30.6</v>
      </c>
      <c r="AI14" s="1">
        <v>32.799999999999997</v>
      </c>
      <c r="AJ14" s="1">
        <v>24.6</v>
      </c>
      <c r="AK14" s="1">
        <v>22.6</v>
      </c>
      <c r="AL14" s="1">
        <v>25</v>
      </c>
      <c r="AM14" s="9" t="s">
        <v>58</v>
      </c>
      <c r="AN14" s="1">
        <f t="shared" si="7"/>
        <v>0</v>
      </c>
    </row>
    <row r="15" spans="1:40" x14ac:dyDescent="0.25">
      <c r="A15" s="1" t="s">
        <v>59</v>
      </c>
      <c r="B15" s="1" t="s">
        <v>45</v>
      </c>
      <c r="C15" s="1">
        <v>101.36</v>
      </c>
      <c r="D15" s="1">
        <v>711.89200000000005</v>
      </c>
      <c r="E15" s="1">
        <v>416.59199999999998</v>
      </c>
      <c r="F15" s="1">
        <v>327.25599999999997</v>
      </c>
      <c r="G15" s="7">
        <v>1</v>
      </c>
      <c r="H15" s="1">
        <v>70</v>
      </c>
      <c r="I15" s="1" t="s">
        <v>46</v>
      </c>
      <c r="J15" s="1"/>
      <c r="K15" s="1">
        <v>394.2</v>
      </c>
      <c r="L15" s="1">
        <f t="shared" si="3"/>
        <v>22.391999999999996</v>
      </c>
      <c r="M15" s="1"/>
      <c r="N15" s="1"/>
      <c r="O15" s="1"/>
      <c r="P15" s="1">
        <v>0</v>
      </c>
      <c r="Q15" s="1">
        <v>284.95719999999989</v>
      </c>
      <c r="R15" s="1"/>
      <c r="S15" s="1"/>
      <c r="T15" s="1">
        <v>300</v>
      </c>
      <c r="U15" s="1"/>
      <c r="V15" s="15"/>
      <c r="W15" s="15"/>
      <c r="X15" s="1">
        <f t="shared" si="4"/>
        <v>83.318399999999997</v>
      </c>
      <c r="Y15" s="5">
        <f>12*X15-U15-T15-S15-R15-Q15-P15-O15-F15</f>
        <v>87.607600000000105</v>
      </c>
      <c r="Z15" s="5">
        <f>Y15</f>
        <v>87.607600000000105</v>
      </c>
      <c r="AA15" s="1">
        <f t="shared" si="5"/>
        <v>12</v>
      </c>
      <c r="AB15" s="1">
        <f t="shared" si="6"/>
        <v>10.948520374851173</v>
      </c>
      <c r="AC15" s="1">
        <v>95.534199999999998</v>
      </c>
      <c r="AD15" s="1">
        <v>52.246799999999993</v>
      </c>
      <c r="AE15" s="1">
        <v>66.222200000000001</v>
      </c>
      <c r="AF15" s="1">
        <v>84.409000000000006</v>
      </c>
      <c r="AG15" s="1">
        <v>85.927999999999997</v>
      </c>
      <c r="AH15" s="1">
        <v>52.177999999999997</v>
      </c>
      <c r="AI15" s="1">
        <v>15.4452</v>
      </c>
      <c r="AJ15" s="1">
        <v>54.483400000000003</v>
      </c>
      <c r="AK15" s="1">
        <v>91.662400000000005</v>
      </c>
      <c r="AL15" s="1">
        <v>84.409599999999998</v>
      </c>
      <c r="AM15" s="1"/>
      <c r="AN15" s="1">
        <f t="shared" si="7"/>
        <v>88</v>
      </c>
    </row>
    <row r="16" spans="1:40" x14ac:dyDescent="0.25">
      <c r="A16" s="1" t="s">
        <v>60</v>
      </c>
      <c r="B16" s="1" t="s">
        <v>45</v>
      </c>
      <c r="C16" s="1">
        <v>798.03499999999997</v>
      </c>
      <c r="D16" s="1">
        <v>2530.328</v>
      </c>
      <c r="E16" s="1">
        <v>2015.6469999999999</v>
      </c>
      <c r="F16" s="1">
        <v>913.36099999999999</v>
      </c>
      <c r="G16" s="7">
        <v>1</v>
      </c>
      <c r="H16" s="1">
        <v>50</v>
      </c>
      <c r="I16" s="1" t="s">
        <v>46</v>
      </c>
      <c r="J16" s="1"/>
      <c r="K16" s="1">
        <v>2037.5170000000001</v>
      </c>
      <c r="L16" s="1">
        <f t="shared" si="3"/>
        <v>-21.870000000000118</v>
      </c>
      <c r="M16" s="1"/>
      <c r="N16" s="1"/>
      <c r="O16" s="1"/>
      <c r="P16" s="1">
        <v>575.88681999999972</v>
      </c>
      <c r="Q16" s="1">
        <v>866.25664000000097</v>
      </c>
      <c r="R16" s="1">
        <v>-870</v>
      </c>
      <c r="S16" s="1"/>
      <c r="T16" s="1">
        <v>1000</v>
      </c>
      <c r="U16" s="1">
        <v>-1005</v>
      </c>
      <c r="V16" s="15"/>
      <c r="W16" s="15"/>
      <c r="X16" s="1">
        <f t="shared" si="4"/>
        <v>403.12939999999998</v>
      </c>
      <c r="Y16" s="5">
        <f>11*X16-U16-T16-S16-R16-Q16-P16-O16-F16</f>
        <v>2953.9189399999987</v>
      </c>
      <c r="Z16" s="5">
        <f>Y16+$Z$1*X16</f>
        <v>2550.7895399999989</v>
      </c>
      <c r="AA16" s="1">
        <f t="shared" si="5"/>
        <v>10</v>
      </c>
      <c r="AB16" s="1">
        <f t="shared" si="6"/>
        <v>3.6725291184418718</v>
      </c>
      <c r="AC16" s="1">
        <v>368.91160000000002</v>
      </c>
      <c r="AD16" s="1">
        <v>333.24779999999998</v>
      </c>
      <c r="AE16" s="1">
        <v>396.964</v>
      </c>
      <c r="AF16" s="1">
        <v>364.63580000000002</v>
      </c>
      <c r="AG16" s="1">
        <v>341.27480000000003</v>
      </c>
      <c r="AH16" s="1">
        <v>267.3186</v>
      </c>
      <c r="AI16" s="1">
        <v>211.0538</v>
      </c>
      <c r="AJ16" s="1">
        <v>419.64319999999998</v>
      </c>
      <c r="AK16" s="1">
        <v>440.71100000000001</v>
      </c>
      <c r="AL16" s="1">
        <v>273.9434</v>
      </c>
      <c r="AM16" s="1"/>
      <c r="AN16" s="1">
        <f t="shared" si="7"/>
        <v>2551</v>
      </c>
    </row>
    <row r="17" spans="1:40" x14ac:dyDescent="0.25">
      <c r="A17" s="1" t="s">
        <v>61</v>
      </c>
      <c r="B17" s="1" t="s">
        <v>45</v>
      </c>
      <c r="C17" s="1">
        <v>107.477</v>
      </c>
      <c r="D17" s="1">
        <v>75.503</v>
      </c>
      <c r="E17" s="1">
        <v>113.66200000000001</v>
      </c>
      <c r="F17" s="1">
        <v>64.876000000000005</v>
      </c>
      <c r="G17" s="7">
        <v>1</v>
      </c>
      <c r="H17" s="1">
        <v>60</v>
      </c>
      <c r="I17" s="1" t="s">
        <v>46</v>
      </c>
      <c r="J17" s="1"/>
      <c r="K17" s="1">
        <v>114.9</v>
      </c>
      <c r="L17" s="1">
        <f t="shared" si="3"/>
        <v>-1.2379999999999995</v>
      </c>
      <c r="M17" s="1"/>
      <c r="N17" s="1"/>
      <c r="O17" s="1"/>
      <c r="P17" s="1">
        <v>62.45389999999999</v>
      </c>
      <c r="Q17" s="1">
        <v>15.53169999999999</v>
      </c>
      <c r="R17" s="1"/>
      <c r="S17" s="1"/>
      <c r="T17" s="1"/>
      <c r="U17" s="1"/>
      <c r="V17" s="15"/>
      <c r="W17" s="15"/>
      <c r="X17" s="1">
        <f t="shared" si="4"/>
        <v>22.732400000000002</v>
      </c>
      <c r="Y17" s="5">
        <f>12*X17-U17-T17-S17-R17-Q17-P17-O17-F17</f>
        <v>129.92720000000006</v>
      </c>
      <c r="Z17" s="5">
        <f t="shared" ref="Z17:Z29" si="8">Y17</f>
        <v>129.92720000000006</v>
      </c>
      <c r="AA17" s="1">
        <f t="shared" si="5"/>
        <v>12</v>
      </c>
      <c r="AB17" s="1">
        <f t="shared" si="6"/>
        <v>6.284492618465273</v>
      </c>
      <c r="AC17" s="1">
        <v>16.6022</v>
      </c>
      <c r="AD17" s="1">
        <v>18.7286</v>
      </c>
      <c r="AE17" s="1">
        <v>18.415600000000001</v>
      </c>
      <c r="AF17" s="1">
        <v>10.8032</v>
      </c>
      <c r="AG17" s="1">
        <v>8.2970000000000006</v>
      </c>
      <c r="AH17" s="1">
        <v>16.942399999999999</v>
      </c>
      <c r="AI17" s="1">
        <v>19.0762</v>
      </c>
      <c r="AJ17" s="1">
        <v>18.809999999999999</v>
      </c>
      <c r="AK17" s="1">
        <v>20.7744</v>
      </c>
      <c r="AL17" s="1">
        <v>21.4712</v>
      </c>
      <c r="AM17" s="1"/>
      <c r="AN17" s="1">
        <f t="shared" si="7"/>
        <v>130</v>
      </c>
    </row>
    <row r="18" spans="1:40" x14ac:dyDescent="0.25">
      <c r="A18" s="1" t="s">
        <v>62</v>
      </c>
      <c r="B18" s="1" t="s">
        <v>45</v>
      </c>
      <c r="C18" s="1">
        <v>98.144999999999996</v>
      </c>
      <c r="D18" s="1"/>
      <c r="E18" s="1">
        <v>53.558</v>
      </c>
      <c r="F18" s="1">
        <v>37.487000000000002</v>
      </c>
      <c r="G18" s="7">
        <v>1</v>
      </c>
      <c r="H18" s="1">
        <v>60</v>
      </c>
      <c r="I18" s="1" t="s">
        <v>46</v>
      </c>
      <c r="J18" s="1"/>
      <c r="K18" s="1">
        <v>47.3</v>
      </c>
      <c r="L18" s="1">
        <f t="shared" si="3"/>
        <v>6.2580000000000027</v>
      </c>
      <c r="M18" s="1"/>
      <c r="N18" s="1"/>
      <c r="O18" s="1"/>
      <c r="P18" s="1">
        <v>26.545000000000002</v>
      </c>
      <c r="Q18" s="1">
        <v>35.069999999999993</v>
      </c>
      <c r="R18" s="1"/>
      <c r="S18" s="1"/>
      <c r="T18" s="1"/>
      <c r="U18" s="1"/>
      <c r="V18" s="15"/>
      <c r="W18" s="15"/>
      <c r="X18" s="1">
        <f t="shared" si="4"/>
        <v>10.711600000000001</v>
      </c>
      <c r="Y18" s="5">
        <f>12*X18-U18-T18-S18-R18-Q18-P18-O18-F18</f>
        <v>29.437199999999997</v>
      </c>
      <c r="Z18" s="5">
        <f t="shared" si="8"/>
        <v>29.437199999999997</v>
      </c>
      <c r="AA18" s="1">
        <f t="shared" si="5"/>
        <v>11.999999999999998</v>
      </c>
      <c r="AB18" s="1">
        <f t="shared" si="6"/>
        <v>9.2518391276746694</v>
      </c>
      <c r="AC18" s="1">
        <v>10.7</v>
      </c>
      <c r="AD18" s="1">
        <v>9.6920000000000002</v>
      </c>
      <c r="AE18" s="1">
        <v>6.7256</v>
      </c>
      <c r="AF18" s="1">
        <v>4.0734000000000004</v>
      </c>
      <c r="AG18" s="1">
        <v>4.6054000000000004</v>
      </c>
      <c r="AH18" s="1">
        <v>12.081200000000001</v>
      </c>
      <c r="AI18" s="1">
        <v>12.433199999999999</v>
      </c>
      <c r="AJ18" s="1">
        <v>2.8418000000000001</v>
      </c>
      <c r="AK18" s="1">
        <v>0</v>
      </c>
      <c r="AL18" s="1">
        <v>7.9376000000000007</v>
      </c>
      <c r="AM18" s="1"/>
      <c r="AN18" s="1">
        <f t="shared" si="7"/>
        <v>29</v>
      </c>
    </row>
    <row r="19" spans="1:40" x14ac:dyDescent="0.25">
      <c r="A19" s="1" t="s">
        <v>63</v>
      </c>
      <c r="B19" s="1" t="s">
        <v>45</v>
      </c>
      <c r="C19" s="1">
        <v>57.01</v>
      </c>
      <c r="D19" s="1">
        <v>10.861000000000001</v>
      </c>
      <c r="E19" s="1">
        <v>16.016999999999999</v>
      </c>
      <c r="F19" s="1">
        <v>44.311999999999998</v>
      </c>
      <c r="G19" s="7">
        <v>1</v>
      </c>
      <c r="H19" s="1">
        <v>180</v>
      </c>
      <c r="I19" s="1" t="s">
        <v>46</v>
      </c>
      <c r="J19" s="1"/>
      <c r="K19" s="1">
        <v>17.8</v>
      </c>
      <c r="L19" s="1">
        <f t="shared" si="3"/>
        <v>-1.7830000000000013</v>
      </c>
      <c r="M19" s="1"/>
      <c r="N19" s="1"/>
      <c r="O19" s="1"/>
      <c r="P19" s="1">
        <v>7.2445000000000022</v>
      </c>
      <c r="Q19" s="1">
        <v>0</v>
      </c>
      <c r="R19" s="1"/>
      <c r="S19" s="1"/>
      <c r="T19" s="1"/>
      <c r="U19" s="1"/>
      <c r="V19" s="15"/>
      <c r="W19" s="15"/>
      <c r="X19" s="1">
        <f t="shared" si="4"/>
        <v>3.2033999999999998</v>
      </c>
      <c r="Y19" s="5"/>
      <c r="Z19" s="5">
        <f t="shared" si="8"/>
        <v>0</v>
      </c>
      <c r="AA19" s="1">
        <f t="shared" si="5"/>
        <v>16.094306049822066</v>
      </c>
      <c r="AB19" s="1">
        <f t="shared" si="6"/>
        <v>16.094306049822066</v>
      </c>
      <c r="AC19" s="1">
        <v>2.6796000000000002</v>
      </c>
      <c r="AD19" s="1">
        <v>5.3262</v>
      </c>
      <c r="AE19" s="1">
        <v>5.8662000000000001</v>
      </c>
      <c r="AF19" s="1">
        <v>3.2307999999999999</v>
      </c>
      <c r="AG19" s="1">
        <v>3.8264</v>
      </c>
      <c r="AH19" s="1">
        <v>6.4126000000000003</v>
      </c>
      <c r="AI19" s="1">
        <v>4.5920000000000014</v>
      </c>
      <c r="AJ19" s="1">
        <v>0.43180000000000002</v>
      </c>
      <c r="AK19" s="1">
        <v>1.2968</v>
      </c>
      <c r="AL19" s="1">
        <v>3.1156000000000001</v>
      </c>
      <c r="AM19" s="1"/>
      <c r="AN19" s="1">
        <f t="shared" si="7"/>
        <v>0</v>
      </c>
    </row>
    <row r="20" spans="1:40" x14ac:dyDescent="0.25">
      <c r="A20" s="1" t="s">
        <v>64</v>
      </c>
      <c r="B20" s="1" t="s">
        <v>45</v>
      </c>
      <c r="C20" s="1">
        <v>462.61</v>
      </c>
      <c r="D20" s="1">
        <v>661.87</v>
      </c>
      <c r="E20" s="1">
        <v>496.274</v>
      </c>
      <c r="F20" s="1">
        <v>540.68799999999999</v>
      </c>
      <c r="G20" s="7">
        <v>1</v>
      </c>
      <c r="H20" s="1">
        <v>60</v>
      </c>
      <c r="I20" s="1" t="s">
        <v>46</v>
      </c>
      <c r="J20" s="1"/>
      <c r="K20" s="1">
        <v>456.9</v>
      </c>
      <c r="L20" s="1">
        <f t="shared" si="3"/>
        <v>39.374000000000024</v>
      </c>
      <c r="M20" s="1"/>
      <c r="N20" s="1"/>
      <c r="O20" s="1"/>
      <c r="P20" s="1">
        <v>136.2945599999999</v>
      </c>
      <c r="Q20" s="1">
        <v>206.85838000000021</v>
      </c>
      <c r="R20" s="1"/>
      <c r="S20" s="1"/>
      <c r="T20" s="1">
        <v>200</v>
      </c>
      <c r="U20" s="1"/>
      <c r="V20" s="15"/>
      <c r="W20" s="15"/>
      <c r="X20" s="1">
        <f t="shared" si="4"/>
        <v>99.254800000000003</v>
      </c>
      <c r="Y20" s="5">
        <f>12*X20-U20-T20-S20-R20-Q20-P20-O20-F20</f>
        <v>107.21665999999993</v>
      </c>
      <c r="Z20" s="5">
        <f t="shared" si="8"/>
        <v>107.21665999999993</v>
      </c>
      <c r="AA20" s="1">
        <f t="shared" si="5"/>
        <v>12</v>
      </c>
      <c r="AB20" s="1">
        <f t="shared" si="6"/>
        <v>10.919783627592821</v>
      </c>
      <c r="AC20" s="1">
        <v>109.6948</v>
      </c>
      <c r="AD20" s="1">
        <v>108.2616</v>
      </c>
      <c r="AE20" s="1">
        <v>128.46600000000001</v>
      </c>
      <c r="AF20" s="1">
        <v>94.878799999999998</v>
      </c>
      <c r="AG20" s="1">
        <v>92.316800000000001</v>
      </c>
      <c r="AH20" s="1">
        <v>112.2612</v>
      </c>
      <c r="AI20" s="1">
        <v>109.2184</v>
      </c>
      <c r="AJ20" s="1">
        <v>102.24079999999999</v>
      </c>
      <c r="AK20" s="1">
        <v>114.7664</v>
      </c>
      <c r="AL20" s="1">
        <v>94.618399999999994</v>
      </c>
      <c r="AM20" s="1"/>
      <c r="AN20" s="1">
        <f t="shared" si="7"/>
        <v>107</v>
      </c>
    </row>
    <row r="21" spans="1:40" x14ac:dyDescent="0.25">
      <c r="A21" s="1" t="s">
        <v>65</v>
      </c>
      <c r="B21" s="1" t="s">
        <v>45</v>
      </c>
      <c r="C21" s="1">
        <v>28.143999999999998</v>
      </c>
      <c r="D21" s="1">
        <v>223.30799999999999</v>
      </c>
      <c r="E21" s="1">
        <v>114.024</v>
      </c>
      <c r="F21" s="1">
        <v>95.162000000000006</v>
      </c>
      <c r="G21" s="7">
        <v>1</v>
      </c>
      <c r="H21" s="1">
        <v>70</v>
      </c>
      <c r="I21" s="1" t="s">
        <v>46</v>
      </c>
      <c r="J21" s="1"/>
      <c r="K21" s="1">
        <v>148.30000000000001</v>
      </c>
      <c r="L21" s="1">
        <f t="shared" si="3"/>
        <v>-34.27600000000001</v>
      </c>
      <c r="M21" s="1"/>
      <c r="N21" s="1"/>
      <c r="O21" s="1"/>
      <c r="P21" s="1">
        <v>34.102099999999993</v>
      </c>
      <c r="Q21" s="1">
        <v>0</v>
      </c>
      <c r="R21" s="1"/>
      <c r="S21" s="1"/>
      <c r="T21" s="1"/>
      <c r="U21" s="1"/>
      <c r="V21" s="15"/>
      <c r="W21" s="15"/>
      <c r="X21" s="1">
        <f t="shared" si="4"/>
        <v>22.8048</v>
      </c>
      <c r="Y21" s="5">
        <f>12*X21-U21-T21-S21-R21-Q21-P21-O21-F21</f>
        <v>144.39349999999999</v>
      </c>
      <c r="Z21" s="5">
        <f t="shared" si="8"/>
        <v>144.39349999999999</v>
      </c>
      <c r="AA21" s="1">
        <f t="shared" si="5"/>
        <v>12</v>
      </c>
      <c r="AB21" s="1">
        <f t="shared" si="6"/>
        <v>5.6682847470707918</v>
      </c>
      <c r="AC21" s="1">
        <v>16.5824</v>
      </c>
      <c r="AD21" s="1">
        <v>21.981400000000001</v>
      </c>
      <c r="AE21" s="1">
        <v>25.205400000000001</v>
      </c>
      <c r="AF21" s="1">
        <v>18.808800000000002</v>
      </c>
      <c r="AG21" s="1">
        <v>8.6364000000000001</v>
      </c>
      <c r="AH21" s="1">
        <v>5.4560000000000004</v>
      </c>
      <c r="AI21" s="1">
        <v>17.258400000000002</v>
      </c>
      <c r="AJ21" s="1">
        <v>23.96</v>
      </c>
      <c r="AK21" s="1">
        <v>16.3932</v>
      </c>
      <c r="AL21" s="1">
        <v>14.417999999999999</v>
      </c>
      <c r="AM21" s="1"/>
      <c r="AN21" s="1">
        <f t="shared" si="7"/>
        <v>144</v>
      </c>
    </row>
    <row r="22" spans="1:40" x14ac:dyDescent="0.25">
      <c r="A22" s="1" t="s">
        <v>66</v>
      </c>
      <c r="B22" s="1" t="s">
        <v>45</v>
      </c>
      <c r="C22" s="1">
        <v>287.73899999999998</v>
      </c>
      <c r="D22" s="1">
        <v>175.38800000000001</v>
      </c>
      <c r="E22" s="1">
        <v>288.702</v>
      </c>
      <c r="F22" s="1">
        <v>148.089</v>
      </c>
      <c r="G22" s="7">
        <v>1</v>
      </c>
      <c r="H22" s="1">
        <v>70</v>
      </c>
      <c r="I22" s="1" t="s">
        <v>46</v>
      </c>
      <c r="J22" s="1"/>
      <c r="K22" s="1">
        <v>284.06</v>
      </c>
      <c r="L22" s="1">
        <f t="shared" si="3"/>
        <v>4.6419999999999959</v>
      </c>
      <c r="M22" s="1"/>
      <c r="N22" s="1"/>
      <c r="O22" s="1"/>
      <c r="P22" s="1">
        <v>165.4927800000001</v>
      </c>
      <c r="Q22" s="1">
        <v>121.35321999999989</v>
      </c>
      <c r="R22" s="1"/>
      <c r="S22" s="1"/>
      <c r="T22" s="1">
        <v>150</v>
      </c>
      <c r="U22" s="1"/>
      <c r="V22" s="15"/>
      <c r="W22" s="15"/>
      <c r="X22" s="1">
        <f t="shared" si="4"/>
        <v>57.740400000000001</v>
      </c>
      <c r="Y22" s="5">
        <f>12*X22-U22-T22-S22-R22-Q22-P22-O22-F22</f>
        <v>107.94980000000004</v>
      </c>
      <c r="Z22" s="5">
        <f t="shared" si="8"/>
        <v>107.94980000000004</v>
      </c>
      <c r="AA22" s="1">
        <f t="shared" si="5"/>
        <v>12</v>
      </c>
      <c r="AB22" s="1">
        <f t="shared" si="6"/>
        <v>10.130428608045666</v>
      </c>
      <c r="AC22" s="1">
        <v>61.052200000000013</v>
      </c>
      <c r="AD22" s="1">
        <v>53.941800000000001</v>
      </c>
      <c r="AE22" s="1">
        <v>51.120199999999997</v>
      </c>
      <c r="AF22" s="1">
        <v>36.6006</v>
      </c>
      <c r="AG22" s="1">
        <v>37.357199999999999</v>
      </c>
      <c r="AH22" s="1">
        <v>53.085400000000007</v>
      </c>
      <c r="AI22" s="1">
        <v>53.475800000000007</v>
      </c>
      <c r="AJ22" s="1">
        <v>57.174599999999998</v>
      </c>
      <c r="AK22" s="1">
        <v>54.511600000000001</v>
      </c>
      <c r="AL22" s="1">
        <v>38.178800000000003</v>
      </c>
      <c r="AM22" s="1"/>
      <c r="AN22" s="1">
        <f t="shared" si="7"/>
        <v>108</v>
      </c>
    </row>
    <row r="23" spans="1:40" x14ac:dyDescent="0.25">
      <c r="A23" s="1" t="s">
        <v>67</v>
      </c>
      <c r="B23" s="1" t="s">
        <v>45</v>
      </c>
      <c r="C23" s="1">
        <v>18.771999999999998</v>
      </c>
      <c r="D23" s="1">
        <v>30.206</v>
      </c>
      <c r="E23" s="1">
        <v>15.057</v>
      </c>
      <c r="F23" s="1">
        <v>29.876000000000001</v>
      </c>
      <c r="G23" s="7">
        <v>1</v>
      </c>
      <c r="H23" s="1">
        <v>180</v>
      </c>
      <c r="I23" s="1" t="s">
        <v>46</v>
      </c>
      <c r="J23" s="1"/>
      <c r="K23" s="1">
        <v>16.440000000000001</v>
      </c>
      <c r="L23" s="1">
        <f t="shared" si="3"/>
        <v>-1.3830000000000009</v>
      </c>
      <c r="M23" s="1"/>
      <c r="N23" s="1"/>
      <c r="O23" s="1"/>
      <c r="P23" s="1">
        <v>0</v>
      </c>
      <c r="Q23" s="1">
        <v>0</v>
      </c>
      <c r="R23" s="1"/>
      <c r="S23" s="1"/>
      <c r="T23" s="1"/>
      <c r="U23" s="1"/>
      <c r="V23" s="15"/>
      <c r="W23" s="15"/>
      <c r="X23" s="1">
        <f t="shared" si="4"/>
        <v>3.0114000000000001</v>
      </c>
      <c r="Y23" s="5">
        <f>12*X23-U23-T23-S23-R23-Q23-P23-O23-F23</f>
        <v>6.2607999999999997</v>
      </c>
      <c r="Z23" s="5">
        <f t="shared" si="8"/>
        <v>6.2607999999999997</v>
      </c>
      <c r="AA23" s="1">
        <f t="shared" si="5"/>
        <v>12</v>
      </c>
      <c r="AB23" s="1">
        <f t="shared" si="6"/>
        <v>9.9209669920966999</v>
      </c>
      <c r="AC23" s="1">
        <v>1.6878</v>
      </c>
      <c r="AD23" s="1">
        <v>2.2938000000000001</v>
      </c>
      <c r="AE23" s="1">
        <v>4.5103999999999997</v>
      </c>
      <c r="AF23" s="1">
        <v>4.2845999999999993</v>
      </c>
      <c r="AG23" s="1">
        <v>3.5438000000000001</v>
      </c>
      <c r="AH23" s="1">
        <v>6.9477999999999991</v>
      </c>
      <c r="AI23" s="1">
        <v>5.1381999999999994</v>
      </c>
      <c r="AJ23" s="1">
        <v>0.43819999999999998</v>
      </c>
      <c r="AK23" s="1">
        <v>0.87339999999999995</v>
      </c>
      <c r="AL23" s="1">
        <v>3.0621999999999998</v>
      </c>
      <c r="AM23" s="1"/>
      <c r="AN23" s="1">
        <f t="shared" si="7"/>
        <v>6</v>
      </c>
    </row>
    <row r="24" spans="1:40" x14ac:dyDescent="0.25">
      <c r="A24" s="1" t="s">
        <v>68</v>
      </c>
      <c r="B24" s="1" t="s">
        <v>45</v>
      </c>
      <c r="C24" s="1">
        <v>435.8</v>
      </c>
      <c r="D24" s="1">
        <v>118.947</v>
      </c>
      <c r="E24" s="1">
        <v>257.096</v>
      </c>
      <c r="F24" s="1">
        <v>231.65199999999999</v>
      </c>
      <c r="G24" s="7">
        <v>1</v>
      </c>
      <c r="H24" s="1">
        <v>70</v>
      </c>
      <c r="I24" s="1" t="s">
        <v>46</v>
      </c>
      <c r="J24" s="1"/>
      <c r="K24" s="1">
        <v>240.26</v>
      </c>
      <c r="L24" s="1">
        <f t="shared" si="3"/>
        <v>16.836000000000013</v>
      </c>
      <c r="M24" s="1"/>
      <c r="N24" s="1"/>
      <c r="O24" s="1"/>
      <c r="P24" s="1">
        <v>42.288380000000117</v>
      </c>
      <c r="Q24" s="1">
        <v>138.56922000000009</v>
      </c>
      <c r="R24" s="1"/>
      <c r="S24" s="1"/>
      <c r="T24" s="1">
        <v>50</v>
      </c>
      <c r="U24" s="1"/>
      <c r="V24" s="15"/>
      <c r="W24" s="15"/>
      <c r="X24" s="1">
        <f t="shared" si="4"/>
        <v>51.419200000000004</v>
      </c>
      <c r="Y24" s="5">
        <f>12*X24-U24-T24-S24-R24-Q24-P24-O24-F24</f>
        <v>154.52079999999989</v>
      </c>
      <c r="Z24" s="5">
        <f t="shared" si="8"/>
        <v>154.52079999999989</v>
      </c>
      <c r="AA24" s="1">
        <f t="shared" si="5"/>
        <v>12.000000000000002</v>
      </c>
      <c r="AB24" s="1">
        <f t="shared" si="6"/>
        <v>8.9948812894794195</v>
      </c>
      <c r="AC24" s="1">
        <v>53.342599999999997</v>
      </c>
      <c r="AD24" s="1">
        <v>51.205800000000004</v>
      </c>
      <c r="AE24" s="1">
        <v>58.679999999999993</v>
      </c>
      <c r="AF24" s="1">
        <v>46.426400000000001</v>
      </c>
      <c r="AG24" s="1">
        <v>46.136600000000001</v>
      </c>
      <c r="AH24" s="1">
        <v>69.900199999999998</v>
      </c>
      <c r="AI24" s="1">
        <v>60.441600000000008</v>
      </c>
      <c r="AJ24" s="1">
        <v>43.510000000000012</v>
      </c>
      <c r="AK24" s="1">
        <v>49.888800000000003</v>
      </c>
      <c r="AL24" s="1">
        <v>52.990400000000001</v>
      </c>
      <c r="AM24" s="1"/>
      <c r="AN24" s="1">
        <f t="shared" si="7"/>
        <v>155</v>
      </c>
    </row>
    <row r="25" spans="1:40" x14ac:dyDescent="0.25">
      <c r="A25" s="10" t="s">
        <v>69</v>
      </c>
      <c r="B25" s="10" t="s">
        <v>45</v>
      </c>
      <c r="C25" s="10">
        <v>19.399000000000001</v>
      </c>
      <c r="D25" s="10">
        <v>50.454999999999998</v>
      </c>
      <c r="E25" s="10">
        <v>15.465999999999999</v>
      </c>
      <c r="F25" s="10">
        <v>36.826999999999998</v>
      </c>
      <c r="G25" s="11">
        <v>0</v>
      </c>
      <c r="H25" s="10">
        <v>35</v>
      </c>
      <c r="I25" s="10" t="s">
        <v>70</v>
      </c>
      <c r="J25" s="10"/>
      <c r="K25" s="10">
        <v>16</v>
      </c>
      <c r="L25" s="10">
        <f t="shared" si="3"/>
        <v>-0.5340000000000007</v>
      </c>
      <c r="M25" s="10"/>
      <c r="N25" s="10"/>
      <c r="O25" s="10"/>
      <c r="P25" s="10">
        <v>0</v>
      </c>
      <c r="Q25" s="10">
        <v>0</v>
      </c>
      <c r="R25" s="10"/>
      <c r="S25" s="10"/>
      <c r="T25" s="10"/>
      <c r="U25" s="10"/>
      <c r="V25" s="17"/>
      <c r="W25" s="17"/>
      <c r="X25" s="10">
        <f t="shared" si="4"/>
        <v>3.0931999999999999</v>
      </c>
      <c r="Y25" s="12"/>
      <c r="Z25" s="5">
        <f t="shared" si="8"/>
        <v>0</v>
      </c>
      <c r="AA25" s="1">
        <f t="shared" si="5"/>
        <v>11.905793353161775</v>
      </c>
      <c r="AB25" s="10">
        <f t="shared" si="6"/>
        <v>11.905793353161775</v>
      </c>
      <c r="AC25" s="10">
        <v>2.9478</v>
      </c>
      <c r="AD25" s="10">
        <v>4.7827999999999999</v>
      </c>
      <c r="AE25" s="10">
        <v>7.0242000000000004</v>
      </c>
      <c r="AF25" s="10">
        <v>5.6067999999999998</v>
      </c>
      <c r="AG25" s="10">
        <v>2.6564000000000001</v>
      </c>
      <c r="AH25" s="10">
        <v>4.1875999999999998</v>
      </c>
      <c r="AI25" s="10">
        <v>4.7523999999999997</v>
      </c>
      <c r="AJ25" s="10">
        <v>1.1226</v>
      </c>
      <c r="AK25" s="10">
        <v>4.2080000000000002</v>
      </c>
      <c r="AL25" s="10">
        <v>8.168000000000001</v>
      </c>
      <c r="AM25" s="10"/>
      <c r="AN25" s="1">
        <f t="shared" si="7"/>
        <v>0</v>
      </c>
    </row>
    <row r="26" spans="1:40" x14ac:dyDescent="0.25">
      <c r="A26" s="10" t="s">
        <v>71</v>
      </c>
      <c r="B26" s="10" t="s">
        <v>45</v>
      </c>
      <c r="C26" s="10"/>
      <c r="D26" s="10"/>
      <c r="E26" s="10"/>
      <c r="F26" s="10"/>
      <c r="G26" s="11">
        <v>0</v>
      </c>
      <c r="H26" s="10"/>
      <c r="I26" s="10" t="s">
        <v>46</v>
      </c>
      <c r="J26" s="10"/>
      <c r="K26" s="10"/>
      <c r="L26" s="10">
        <f t="shared" si="3"/>
        <v>0</v>
      </c>
      <c r="M26" s="10"/>
      <c r="N26" s="10"/>
      <c r="O26" s="10"/>
      <c r="P26" s="10"/>
      <c r="Q26" s="10">
        <v>0</v>
      </c>
      <c r="R26" s="10"/>
      <c r="S26" s="10"/>
      <c r="T26" s="10"/>
      <c r="U26" s="10"/>
      <c r="V26" s="17"/>
      <c r="W26" s="17"/>
      <c r="X26" s="10">
        <f t="shared" si="4"/>
        <v>0</v>
      </c>
      <c r="Y26" s="12"/>
      <c r="Z26" s="5">
        <f t="shared" si="8"/>
        <v>0</v>
      </c>
      <c r="AA26" s="1" t="e">
        <f t="shared" si="5"/>
        <v>#DIV/0!</v>
      </c>
      <c r="AB26" s="10" t="e">
        <f t="shared" si="6"/>
        <v>#DIV/0!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 t="s">
        <v>55</v>
      </c>
      <c r="AN26" s="1">
        <f t="shared" si="7"/>
        <v>0</v>
      </c>
    </row>
    <row r="27" spans="1:40" x14ac:dyDescent="0.25">
      <c r="A27" s="1" t="s">
        <v>72</v>
      </c>
      <c r="B27" s="1" t="s">
        <v>45</v>
      </c>
      <c r="C27" s="1">
        <v>186.99600000000001</v>
      </c>
      <c r="D27" s="1">
        <v>222.65799999999999</v>
      </c>
      <c r="E27" s="1">
        <v>173.01300000000001</v>
      </c>
      <c r="F27" s="1">
        <v>197.654</v>
      </c>
      <c r="G27" s="7">
        <v>1</v>
      </c>
      <c r="H27" s="1">
        <v>30</v>
      </c>
      <c r="I27" s="1" t="s">
        <v>46</v>
      </c>
      <c r="J27" s="1"/>
      <c r="K27" s="1">
        <v>170.3</v>
      </c>
      <c r="L27" s="1">
        <f t="shared" si="3"/>
        <v>2.7129999999999939</v>
      </c>
      <c r="M27" s="1"/>
      <c r="N27" s="1"/>
      <c r="O27" s="1"/>
      <c r="P27" s="1">
        <v>59.47909999999996</v>
      </c>
      <c r="Q27" s="1">
        <v>161.95410000000001</v>
      </c>
      <c r="R27" s="1">
        <v>-168</v>
      </c>
      <c r="S27" s="1"/>
      <c r="T27" s="1"/>
      <c r="U27" s="1"/>
      <c r="V27" s="15"/>
      <c r="W27" s="15"/>
      <c r="X27" s="1">
        <f t="shared" si="4"/>
        <v>34.602600000000002</v>
      </c>
      <c r="Y27" s="5">
        <f>12*X27-U27-T27-S27-R27-Q27-P27-O27-F27</f>
        <v>164.14400000000006</v>
      </c>
      <c r="Z27" s="5">
        <f t="shared" si="8"/>
        <v>164.14400000000006</v>
      </c>
      <c r="AA27" s="1">
        <f t="shared" si="5"/>
        <v>12</v>
      </c>
      <c r="AB27" s="1">
        <f t="shared" si="6"/>
        <v>7.2563102194632751</v>
      </c>
      <c r="AC27" s="1">
        <v>39.710599999999999</v>
      </c>
      <c r="AD27" s="1">
        <v>34.586599999999997</v>
      </c>
      <c r="AE27" s="1">
        <v>40.651400000000002</v>
      </c>
      <c r="AF27" s="1">
        <v>18.385000000000002</v>
      </c>
      <c r="AG27" s="1">
        <v>6.2451999999999996</v>
      </c>
      <c r="AH27" s="1">
        <v>23.9664</v>
      </c>
      <c r="AI27" s="1">
        <v>38.5518</v>
      </c>
      <c r="AJ27" s="1">
        <v>15.353400000000001</v>
      </c>
      <c r="AK27" s="1">
        <v>1.7964</v>
      </c>
      <c r="AL27" s="1">
        <v>17.0366</v>
      </c>
      <c r="AM27" s="1"/>
      <c r="AN27" s="1">
        <f t="shared" si="7"/>
        <v>164</v>
      </c>
    </row>
    <row r="28" spans="1:40" x14ac:dyDescent="0.25">
      <c r="A28" s="1" t="s">
        <v>73</v>
      </c>
      <c r="B28" s="1" t="s">
        <v>45</v>
      </c>
      <c r="C28" s="1">
        <v>271.62599999999998</v>
      </c>
      <c r="D28" s="1">
        <v>513.57500000000005</v>
      </c>
      <c r="E28" s="1">
        <v>330.57400000000001</v>
      </c>
      <c r="F28" s="1">
        <v>428.98899999999998</v>
      </c>
      <c r="G28" s="7">
        <v>1</v>
      </c>
      <c r="H28" s="1">
        <v>40</v>
      </c>
      <c r="I28" s="1" t="s">
        <v>46</v>
      </c>
      <c r="J28" s="1"/>
      <c r="K28" s="1">
        <v>389.2</v>
      </c>
      <c r="L28" s="1">
        <f t="shared" si="3"/>
        <v>-58.625999999999976</v>
      </c>
      <c r="M28" s="1"/>
      <c r="N28" s="1"/>
      <c r="O28" s="1"/>
      <c r="P28" s="1">
        <v>85.115880000000189</v>
      </c>
      <c r="Q28" s="1">
        <v>264.90428000000003</v>
      </c>
      <c r="R28" s="1">
        <v>-270</v>
      </c>
      <c r="S28" s="1"/>
      <c r="T28" s="1">
        <v>200</v>
      </c>
      <c r="U28" s="1">
        <v>-207</v>
      </c>
      <c r="V28" s="15"/>
      <c r="W28" s="15">
        <v>-297</v>
      </c>
      <c r="X28" s="1">
        <f t="shared" si="4"/>
        <v>66.114800000000002</v>
      </c>
      <c r="Y28" s="5">
        <f>12*X28-U28-T28-S28-R28-Q28-P28-O28-F28</f>
        <v>291.36843999999991</v>
      </c>
      <c r="Z28" s="5">
        <f t="shared" si="8"/>
        <v>291.36843999999991</v>
      </c>
      <c r="AA28" s="1">
        <f t="shared" si="5"/>
        <v>12.000000000000004</v>
      </c>
      <c r="AB28" s="1">
        <f t="shared" si="6"/>
        <v>7.5929921893433887</v>
      </c>
      <c r="AC28" s="1">
        <v>89.90979999999999</v>
      </c>
      <c r="AD28" s="1">
        <v>73.314800000000005</v>
      </c>
      <c r="AE28" s="1">
        <v>79.865399999999994</v>
      </c>
      <c r="AF28" s="1">
        <v>55.552999999999997</v>
      </c>
      <c r="AG28" s="1">
        <v>47.498399999999997</v>
      </c>
      <c r="AH28" s="1">
        <v>64.634600000000006</v>
      </c>
      <c r="AI28" s="1">
        <v>63.067999999999998</v>
      </c>
      <c r="AJ28" s="1">
        <v>57.167600000000007</v>
      </c>
      <c r="AK28" s="1">
        <v>56.127000000000002</v>
      </c>
      <c r="AL28" s="1">
        <v>46.794800000000002</v>
      </c>
      <c r="AM28" s="1"/>
      <c r="AN28" s="1">
        <f t="shared" si="7"/>
        <v>291</v>
      </c>
    </row>
    <row r="29" spans="1:40" x14ac:dyDescent="0.25">
      <c r="A29" s="1" t="s">
        <v>75</v>
      </c>
      <c r="B29" s="1" t="s">
        <v>45</v>
      </c>
      <c r="C29" s="1">
        <v>133.85900000000001</v>
      </c>
      <c r="D29" s="1">
        <v>131.208</v>
      </c>
      <c r="E29" s="1">
        <v>259.37900000000002</v>
      </c>
      <c r="F29" s="1">
        <v>-7.7670000000000003</v>
      </c>
      <c r="G29" s="7">
        <v>1</v>
      </c>
      <c r="H29" s="1">
        <v>30</v>
      </c>
      <c r="I29" s="1" t="s">
        <v>46</v>
      </c>
      <c r="J29" s="1"/>
      <c r="K29" s="1">
        <v>336.35</v>
      </c>
      <c r="L29" s="1">
        <f t="shared" si="3"/>
        <v>-76.971000000000004</v>
      </c>
      <c r="M29" s="1"/>
      <c r="N29" s="1"/>
      <c r="O29" s="1"/>
      <c r="P29" s="1">
        <v>477.05939999999998</v>
      </c>
      <c r="Q29" s="1">
        <v>270.12702999999982</v>
      </c>
      <c r="R29" s="1">
        <v>-273</v>
      </c>
      <c r="S29" s="1"/>
      <c r="T29" s="1">
        <v>300</v>
      </c>
      <c r="U29" s="1">
        <v>-304.2</v>
      </c>
      <c r="V29" s="15"/>
      <c r="W29" s="15"/>
      <c r="X29" s="1">
        <f t="shared" si="4"/>
        <v>51.875800000000005</v>
      </c>
      <c r="Y29" s="5">
        <f>12*X29-U29-T29-S29-R29-Q29-P29-O29-F29</f>
        <v>160.29017000000027</v>
      </c>
      <c r="Z29" s="5">
        <f t="shared" si="8"/>
        <v>160.29017000000027</v>
      </c>
      <c r="AA29" s="1">
        <f t="shared" si="5"/>
        <v>12</v>
      </c>
      <c r="AB29" s="1">
        <f t="shared" si="6"/>
        <v>8.9101166632610926</v>
      </c>
      <c r="AC29" s="1">
        <v>106.5702</v>
      </c>
      <c r="AD29" s="1">
        <v>91.686000000000007</v>
      </c>
      <c r="AE29" s="1">
        <v>71.770200000000003</v>
      </c>
      <c r="AF29" s="1">
        <v>57.282799999999988</v>
      </c>
      <c r="AG29" s="1">
        <v>54.650399999999998</v>
      </c>
      <c r="AH29" s="1">
        <v>63.486400000000003</v>
      </c>
      <c r="AI29" s="1">
        <v>25.735800000000001</v>
      </c>
      <c r="AJ29" s="1">
        <v>17.547999999999998</v>
      </c>
      <c r="AK29" s="1">
        <v>63.722400000000007</v>
      </c>
      <c r="AL29" s="1">
        <v>111.14619999999999</v>
      </c>
      <c r="AM29" s="1"/>
      <c r="AN29" s="1">
        <f t="shared" si="7"/>
        <v>160</v>
      </c>
    </row>
    <row r="30" spans="1:40" x14ac:dyDescent="0.25">
      <c r="A30" s="1" t="s">
        <v>76</v>
      </c>
      <c r="B30" s="1" t="s">
        <v>45</v>
      </c>
      <c r="C30" s="1">
        <v>925.06899999999996</v>
      </c>
      <c r="D30" s="1">
        <v>30.146999999999998</v>
      </c>
      <c r="E30" s="1">
        <v>933.31600000000003</v>
      </c>
      <c r="F30" s="1">
        <v>-6.79</v>
      </c>
      <c r="G30" s="7">
        <v>1</v>
      </c>
      <c r="H30" s="1">
        <v>40</v>
      </c>
      <c r="I30" s="1" t="s">
        <v>46</v>
      </c>
      <c r="J30" s="1"/>
      <c r="K30" s="1">
        <v>919.8</v>
      </c>
      <c r="L30" s="1">
        <f t="shared" si="3"/>
        <v>13.516000000000076</v>
      </c>
      <c r="M30" s="1"/>
      <c r="N30" s="1"/>
      <c r="O30" s="1"/>
      <c r="P30" s="1">
        <v>784.03268000000025</v>
      </c>
      <c r="Q30" s="1">
        <v>161.83542999999989</v>
      </c>
      <c r="R30" s="1">
        <v>-162</v>
      </c>
      <c r="S30" s="1"/>
      <c r="T30" s="1">
        <v>200</v>
      </c>
      <c r="U30" s="1">
        <v>-207</v>
      </c>
      <c r="V30" s="15"/>
      <c r="W30" s="15">
        <v>-1098</v>
      </c>
      <c r="X30" s="1">
        <f t="shared" si="4"/>
        <v>186.66320000000002</v>
      </c>
      <c r="Y30" s="5">
        <f>11*X30-U30-T30-S30-R30-Q30-P30-O30-F30</f>
        <v>1283.2170899999996</v>
      </c>
      <c r="Z30" s="5">
        <f>Y30+$Z$1*X30</f>
        <v>1096.5538899999997</v>
      </c>
      <c r="AA30" s="1">
        <f t="shared" si="5"/>
        <v>9.9999999999999982</v>
      </c>
      <c r="AB30" s="1">
        <f t="shared" si="6"/>
        <v>4.1254950627654514</v>
      </c>
      <c r="AC30" s="1">
        <v>177.22620000000001</v>
      </c>
      <c r="AD30" s="1">
        <v>205.678</v>
      </c>
      <c r="AE30" s="1">
        <v>192.21559999999999</v>
      </c>
      <c r="AF30" s="1">
        <v>70.557199999999995</v>
      </c>
      <c r="AG30" s="1">
        <v>-0.49800000000000011</v>
      </c>
      <c r="AH30" s="1">
        <v>74.856799999999993</v>
      </c>
      <c r="AI30" s="1">
        <v>185.2568</v>
      </c>
      <c r="AJ30" s="1">
        <v>162.31219999999999</v>
      </c>
      <c r="AK30" s="1">
        <v>71.218600000000009</v>
      </c>
      <c r="AL30" s="1">
        <v>218.88560000000001</v>
      </c>
      <c r="AM30" s="1"/>
      <c r="AN30" s="1">
        <f t="shared" si="7"/>
        <v>1097</v>
      </c>
    </row>
    <row r="31" spans="1:40" x14ac:dyDescent="0.25">
      <c r="A31" s="1" t="s">
        <v>78</v>
      </c>
      <c r="B31" s="1" t="s">
        <v>45</v>
      </c>
      <c r="C31" s="1">
        <v>4.3780000000000001</v>
      </c>
      <c r="D31" s="1">
        <v>2.9860000000000002</v>
      </c>
      <c r="E31" s="1">
        <v>4.3639999999999999</v>
      </c>
      <c r="F31" s="1">
        <v>1.4E-2</v>
      </c>
      <c r="G31" s="7">
        <v>1</v>
      </c>
      <c r="H31" s="1">
        <v>40</v>
      </c>
      <c r="I31" s="1" t="s">
        <v>46</v>
      </c>
      <c r="J31" s="1"/>
      <c r="K31" s="1">
        <v>21.7</v>
      </c>
      <c r="L31" s="1">
        <f t="shared" si="3"/>
        <v>-17.335999999999999</v>
      </c>
      <c r="M31" s="1"/>
      <c r="N31" s="1"/>
      <c r="O31" s="1"/>
      <c r="P31" s="1">
        <v>80</v>
      </c>
      <c r="Q31" s="1">
        <v>14.823600000000001</v>
      </c>
      <c r="R31" s="1">
        <v>-18</v>
      </c>
      <c r="S31" s="1"/>
      <c r="T31" s="1"/>
      <c r="U31" s="1"/>
      <c r="V31" s="15"/>
      <c r="W31" s="15"/>
      <c r="X31" s="1">
        <f t="shared" si="4"/>
        <v>0.87280000000000002</v>
      </c>
      <c r="Y31" s="5"/>
      <c r="Z31" s="5">
        <f>Y31</f>
        <v>0</v>
      </c>
      <c r="AA31" s="1">
        <f t="shared" si="5"/>
        <v>88.035747021081562</v>
      </c>
      <c r="AB31" s="1">
        <f t="shared" si="6"/>
        <v>88.035747021081562</v>
      </c>
      <c r="AC31" s="1">
        <v>8.621599999999999</v>
      </c>
      <c r="AD31" s="1">
        <v>7.7488000000000001</v>
      </c>
      <c r="AE31" s="1">
        <v>-0.42280000000000001</v>
      </c>
      <c r="AF31" s="1">
        <v>-0.42280000000000001</v>
      </c>
      <c r="AG31" s="1">
        <v>0</v>
      </c>
      <c r="AH31" s="1">
        <v>0</v>
      </c>
      <c r="AI31" s="1">
        <v>0.64379999999999993</v>
      </c>
      <c r="AJ31" s="1">
        <v>5.3945999999999996</v>
      </c>
      <c r="AK31" s="1">
        <v>16.281400000000001</v>
      </c>
      <c r="AL31" s="1">
        <v>15.133800000000001</v>
      </c>
      <c r="AM31" s="1"/>
      <c r="AN31" s="1">
        <f t="shared" si="7"/>
        <v>0</v>
      </c>
    </row>
    <row r="32" spans="1:40" x14ac:dyDescent="0.25">
      <c r="A32" s="1" t="s">
        <v>79</v>
      </c>
      <c r="B32" s="1" t="s">
        <v>45</v>
      </c>
      <c r="C32" s="1">
        <v>20.22</v>
      </c>
      <c r="D32" s="1">
        <v>37.19</v>
      </c>
      <c r="E32" s="1">
        <v>54.564999999999998</v>
      </c>
      <c r="F32" s="1">
        <v>1.4510000000000001</v>
      </c>
      <c r="G32" s="7">
        <v>1</v>
      </c>
      <c r="H32" s="1">
        <v>30</v>
      </c>
      <c r="I32" s="1" t="s">
        <v>46</v>
      </c>
      <c r="J32" s="1"/>
      <c r="K32" s="1">
        <v>71.599999999999994</v>
      </c>
      <c r="L32" s="1">
        <f t="shared" si="3"/>
        <v>-17.034999999999997</v>
      </c>
      <c r="M32" s="1"/>
      <c r="N32" s="1"/>
      <c r="O32" s="1"/>
      <c r="P32" s="1">
        <v>0</v>
      </c>
      <c r="Q32" s="1">
        <v>65.6952</v>
      </c>
      <c r="R32" s="1">
        <v>-67.2</v>
      </c>
      <c r="S32" s="1"/>
      <c r="T32" s="1"/>
      <c r="U32" s="1"/>
      <c r="V32" s="15"/>
      <c r="W32" s="15"/>
      <c r="X32" s="1">
        <f t="shared" si="4"/>
        <v>10.913</v>
      </c>
      <c r="Y32" s="5">
        <f>7*X32-U32-T32-S32-R32-Q32-P32-O32-F32</f>
        <v>76.444800000000015</v>
      </c>
      <c r="Z32" s="5">
        <f>Y32</f>
        <v>76.444800000000015</v>
      </c>
      <c r="AA32" s="1">
        <f t="shared" si="5"/>
        <v>7</v>
      </c>
      <c r="AB32" s="1">
        <f t="shared" si="6"/>
        <v>-4.929900119124862E-3</v>
      </c>
      <c r="AC32" s="1">
        <v>11.9476</v>
      </c>
      <c r="AD32" s="1">
        <v>7.6019999999999994</v>
      </c>
      <c r="AE32" s="1">
        <v>9.0299999999999994</v>
      </c>
      <c r="AF32" s="1">
        <v>13.668799999999999</v>
      </c>
      <c r="AG32" s="1">
        <v>10.4878</v>
      </c>
      <c r="AH32" s="1">
        <v>6.930200000000001</v>
      </c>
      <c r="AI32" s="1">
        <v>4.702</v>
      </c>
      <c r="AJ32" s="1">
        <v>11.2216</v>
      </c>
      <c r="AK32" s="1">
        <v>18.107199999999999</v>
      </c>
      <c r="AL32" s="1">
        <v>2.2928000000000002</v>
      </c>
      <c r="AM32" s="1"/>
      <c r="AN32" s="1">
        <f t="shared" si="7"/>
        <v>76</v>
      </c>
    </row>
    <row r="33" spans="1:40" x14ac:dyDescent="0.25">
      <c r="A33" s="1" t="s">
        <v>80</v>
      </c>
      <c r="B33" s="1" t="s">
        <v>45</v>
      </c>
      <c r="C33" s="1">
        <v>205.179</v>
      </c>
      <c r="D33" s="1">
        <v>2.7210000000000001</v>
      </c>
      <c r="E33" s="1">
        <v>69.337999999999994</v>
      </c>
      <c r="F33" s="1">
        <v>124.9</v>
      </c>
      <c r="G33" s="7">
        <v>1</v>
      </c>
      <c r="H33" s="1">
        <v>50</v>
      </c>
      <c r="I33" s="1" t="s">
        <v>46</v>
      </c>
      <c r="J33" s="1"/>
      <c r="K33" s="1">
        <v>61.9</v>
      </c>
      <c r="L33" s="1">
        <f t="shared" si="3"/>
        <v>7.4379999999999953</v>
      </c>
      <c r="M33" s="1"/>
      <c r="N33" s="1"/>
      <c r="O33" s="1"/>
      <c r="P33" s="1">
        <v>0</v>
      </c>
      <c r="Q33" s="1">
        <v>16.894600000000001</v>
      </c>
      <c r="R33" s="1"/>
      <c r="S33" s="1"/>
      <c r="T33" s="1"/>
      <c r="U33" s="1"/>
      <c r="V33" s="15"/>
      <c r="W33" s="15"/>
      <c r="X33" s="1">
        <f t="shared" si="4"/>
        <v>13.867599999999999</v>
      </c>
      <c r="Y33" s="5">
        <f>12*X33-U33-T33-S33-R33-Q33-P33-O33-F33</f>
        <v>24.616600000000005</v>
      </c>
      <c r="Z33" s="5">
        <f>Y33</f>
        <v>24.616600000000005</v>
      </c>
      <c r="AA33" s="1">
        <f t="shared" si="5"/>
        <v>12.000000000000002</v>
      </c>
      <c r="AB33" s="1">
        <f t="shared" si="6"/>
        <v>10.224883902045056</v>
      </c>
      <c r="AC33" s="1">
        <v>15.708600000000001</v>
      </c>
      <c r="AD33" s="1">
        <v>12.254200000000001</v>
      </c>
      <c r="AE33" s="1">
        <v>11.743399999999999</v>
      </c>
      <c r="AF33" s="1">
        <v>12.266</v>
      </c>
      <c r="AG33" s="1">
        <v>12.967599999999999</v>
      </c>
      <c r="AH33" s="1">
        <v>22.8354</v>
      </c>
      <c r="AI33" s="1">
        <v>18.087</v>
      </c>
      <c r="AJ33" s="1">
        <v>8.8298000000000005</v>
      </c>
      <c r="AK33" s="1">
        <v>14.561199999999999</v>
      </c>
      <c r="AL33" s="1">
        <v>13.348000000000001</v>
      </c>
      <c r="AM33" s="1"/>
      <c r="AN33" s="1">
        <f t="shared" si="7"/>
        <v>25</v>
      </c>
    </row>
    <row r="34" spans="1:40" x14ac:dyDescent="0.25">
      <c r="A34" s="10" t="s">
        <v>81</v>
      </c>
      <c r="B34" s="10" t="s">
        <v>45</v>
      </c>
      <c r="C34" s="10">
        <v>189.65199999999999</v>
      </c>
      <c r="D34" s="10">
        <v>2.7290000000000001</v>
      </c>
      <c r="E34" s="10">
        <v>50.86</v>
      </c>
      <c r="F34" s="10">
        <v>129.703</v>
      </c>
      <c r="G34" s="11">
        <v>0</v>
      </c>
      <c r="H34" s="10">
        <v>50</v>
      </c>
      <c r="I34" s="10" t="s">
        <v>70</v>
      </c>
      <c r="J34" s="10"/>
      <c r="K34" s="10">
        <v>46.4</v>
      </c>
      <c r="L34" s="10">
        <f t="shared" si="3"/>
        <v>4.4600000000000009</v>
      </c>
      <c r="M34" s="10"/>
      <c r="N34" s="10"/>
      <c r="O34" s="10"/>
      <c r="P34" s="10">
        <v>0</v>
      </c>
      <c r="Q34" s="10">
        <v>0</v>
      </c>
      <c r="R34" s="10"/>
      <c r="S34" s="10"/>
      <c r="T34" s="10"/>
      <c r="U34" s="10"/>
      <c r="V34" s="17"/>
      <c r="W34" s="17"/>
      <c r="X34" s="10">
        <f t="shared" si="4"/>
        <v>10.172000000000001</v>
      </c>
      <c r="Y34" s="12"/>
      <c r="Z34" s="5">
        <f>Y34</f>
        <v>0</v>
      </c>
      <c r="AA34" s="1">
        <f t="shared" si="5"/>
        <v>12.750983090837593</v>
      </c>
      <c r="AB34" s="10">
        <f t="shared" si="6"/>
        <v>12.750983090837593</v>
      </c>
      <c r="AC34" s="10">
        <v>9.0811999999999991</v>
      </c>
      <c r="AD34" s="10">
        <v>5.2960000000000003</v>
      </c>
      <c r="AE34" s="10">
        <v>9.1239999999999988</v>
      </c>
      <c r="AF34" s="10">
        <v>9.2742000000000004</v>
      </c>
      <c r="AG34" s="10">
        <v>7.9944000000000006</v>
      </c>
      <c r="AH34" s="10">
        <v>17.6374</v>
      </c>
      <c r="AI34" s="10">
        <v>15.8256</v>
      </c>
      <c r="AJ34" s="10">
        <v>2.5464000000000002</v>
      </c>
      <c r="AK34" s="10">
        <v>3.4506000000000001</v>
      </c>
      <c r="AL34" s="10">
        <v>11.9902</v>
      </c>
      <c r="AM34" s="10"/>
      <c r="AN34" s="1">
        <f t="shared" si="7"/>
        <v>0</v>
      </c>
    </row>
    <row r="35" spans="1:40" x14ac:dyDescent="0.25">
      <c r="A35" s="1" t="s">
        <v>82</v>
      </c>
      <c r="B35" s="1" t="s">
        <v>45</v>
      </c>
      <c r="C35" s="1">
        <v>125.057</v>
      </c>
      <c r="D35" s="1">
        <v>2.75</v>
      </c>
      <c r="E35" s="1">
        <v>61.351999999999997</v>
      </c>
      <c r="F35" s="1">
        <v>55.459000000000003</v>
      </c>
      <c r="G35" s="7">
        <v>1</v>
      </c>
      <c r="H35" s="1">
        <v>50</v>
      </c>
      <c r="I35" s="1" t="s">
        <v>46</v>
      </c>
      <c r="J35" s="1"/>
      <c r="K35" s="1">
        <v>54.9</v>
      </c>
      <c r="L35" s="1">
        <f t="shared" si="3"/>
        <v>6.4519999999999982</v>
      </c>
      <c r="M35" s="1"/>
      <c r="N35" s="1"/>
      <c r="O35" s="1"/>
      <c r="P35" s="1">
        <v>0</v>
      </c>
      <c r="Q35" s="1">
        <v>33.178400000000003</v>
      </c>
      <c r="R35" s="1"/>
      <c r="S35" s="1"/>
      <c r="T35" s="1"/>
      <c r="U35" s="1"/>
      <c r="V35" s="15"/>
      <c r="W35" s="15"/>
      <c r="X35" s="1">
        <f t="shared" si="4"/>
        <v>12.270399999999999</v>
      </c>
      <c r="Y35" s="5">
        <f>12*X35-U35-T35-S35-R35-Q35-P35-O35-F35</f>
        <v>58.607399999999984</v>
      </c>
      <c r="Z35" s="5">
        <f>Y35</f>
        <v>58.607399999999984</v>
      </c>
      <c r="AA35" s="1">
        <f t="shared" si="5"/>
        <v>12.000000000000002</v>
      </c>
      <c r="AB35" s="1">
        <f t="shared" si="6"/>
        <v>7.2236764897639869</v>
      </c>
      <c r="AC35" s="1">
        <v>9.8894000000000002</v>
      </c>
      <c r="AD35" s="1">
        <v>6.7754000000000003</v>
      </c>
      <c r="AE35" s="1">
        <v>9.1257999999999999</v>
      </c>
      <c r="AF35" s="1">
        <v>9.4567999999999994</v>
      </c>
      <c r="AG35" s="1">
        <v>7.2782</v>
      </c>
      <c r="AH35" s="1">
        <v>13.0936</v>
      </c>
      <c r="AI35" s="1">
        <v>11.2852</v>
      </c>
      <c r="AJ35" s="1">
        <v>0.90340000000000009</v>
      </c>
      <c r="AK35" s="1">
        <v>1.6257999999999999</v>
      </c>
      <c r="AL35" s="1">
        <v>9.5920000000000005</v>
      </c>
      <c r="AM35" s="1"/>
      <c r="AN35" s="1">
        <f t="shared" si="7"/>
        <v>59</v>
      </c>
    </row>
    <row r="36" spans="1:40" x14ac:dyDescent="0.25">
      <c r="A36" s="1" t="s">
        <v>83</v>
      </c>
      <c r="B36" s="1" t="s">
        <v>50</v>
      </c>
      <c r="C36" s="1">
        <v>1143</v>
      </c>
      <c r="D36" s="1">
        <v>735</v>
      </c>
      <c r="E36" s="1">
        <v>1300</v>
      </c>
      <c r="F36" s="1">
        <v>295</v>
      </c>
      <c r="G36" s="7">
        <v>0.4</v>
      </c>
      <c r="H36" s="1">
        <v>45</v>
      </c>
      <c r="I36" s="1" t="s">
        <v>46</v>
      </c>
      <c r="J36" s="1"/>
      <c r="K36" s="1">
        <v>1296</v>
      </c>
      <c r="L36" s="1">
        <f t="shared" si="3"/>
        <v>4</v>
      </c>
      <c r="M36" s="1"/>
      <c r="N36" s="1"/>
      <c r="O36" s="1"/>
      <c r="P36" s="1">
        <v>353.24800000000027</v>
      </c>
      <c r="Q36" s="1">
        <v>508.17399999999952</v>
      </c>
      <c r="R36" s="1">
        <v>-510</v>
      </c>
      <c r="S36" s="1"/>
      <c r="T36" s="1">
        <v>500</v>
      </c>
      <c r="U36" s="1"/>
      <c r="V36" s="15"/>
      <c r="W36" s="15"/>
      <c r="X36" s="1">
        <f t="shared" si="4"/>
        <v>260</v>
      </c>
      <c r="Y36" s="5">
        <f>11*X36-U36-T36-S36-R36-Q36-P36-O36-F36</f>
        <v>1713.5780000000002</v>
      </c>
      <c r="Z36" s="5">
        <f>Y36+$Z$1*X36</f>
        <v>1453.5780000000002</v>
      </c>
      <c r="AA36" s="1">
        <f t="shared" si="5"/>
        <v>10</v>
      </c>
      <c r="AB36" s="1">
        <f t="shared" si="6"/>
        <v>4.4093153846153834</v>
      </c>
      <c r="AC36" s="1">
        <v>238.2</v>
      </c>
      <c r="AD36" s="1">
        <v>222</v>
      </c>
      <c r="AE36" s="1">
        <v>266.76</v>
      </c>
      <c r="AF36" s="1">
        <v>234.56</v>
      </c>
      <c r="AG36" s="1">
        <v>209.4</v>
      </c>
      <c r="AH36" s="1">
        <v>257.60000000000002</v>
      </c>
      <c r="AI36" s="1">
        <v>219.4</v>
      </c>
      <c r="AJ36" s="1">
        <v>128</v>
      </c>
      <c r="AK36" s="1">
        <v>182.4</v>
      </c>
      <c r="AL36" s="1">
        <v>197.2</v>
      </c>
      <c r="AM36" s="1"/>
      <c r="AN36" s="1">
        <f t="shared" si="7"/>
        <v>581</v>
      </c>
    </row>
    <row r="37" spans="1:40" x14ac:dyDescent="0.25">
      <c r="A37" s="1" t="s">
        <v>84</v>
      </c>
      <c r="B37" s="1" t="s">
        <v>50</v>
      </c>
      <c r="C37" s="1">
        <v>445</v>
      </c>
      <c r="D37" s="1">
        <v>23</v>
      </c>
      <c r="E37" s="1">
        <v>355</v>
      </c>
      <c r="F37" s="1">
        <v>58</v>
      </c>
      <c r="G37" s="7">
        <v>0.45</v>
      </c>
      <c r="H37" s="1">
        <v>50</v>
      </c>
      <c r="I37" s="1" t="s">
        <v>46</v>
      </c>
      <c r="J37" s="1"/>
      <c r="K37" s="1">
        <v>357</v>
      </c>
      <c r="L37" s="1">
        <f t="shared" si="3"/>
        <v>-2</v>
      </c>
      <c r="M37" s="1"/>
      <c r="N37" s="1"/>
      <c r="O37" s="1"/>
      <c r="P37" s="1">
        <v>0</v>
      </c>
      <c r="Q37" s="1">
        <v>101.6</v>
      </c>
      <c r="R37" s="1"/>
      <c r="S37" s="1"/>
      <c r="T37" s="1">
        <v>100</v>
      </c>
      <c r="U37" s="1"/>
      <c r="V37" s="15"/>
      <c r="W37" s="15"/>
      <c r="X37" s="1">
        <f t="shared" si="4"/>
        <v>71</v>
      </c>
      <c r="Y37" s="5">
        <f>11*X37-U37-T37-S37-R37-Q37-P37-O37-F37</f>
        <v>521.4</v>
      </c>
      <c r="Z37" s="5">
        <f>Y37+$Z$1*X37</f>
        <v>450.4</v>
      </c>
      <c r="AA37" s="1">
        <f t="shared" si="5"/>
        <v>10</v>
      </c>
      <c r="AB37" s="1">
        <f t="shared" si="6"/>
        <v>3.6563380281690145</v>
      </c>
      <c r="AC37" s="1">
        <v>44.6</v>
      </c>
      <c r="AD37" s="1">
        <v>24</v>
      </c>
      <c r="AE37" s="1">
        <v>40.4</v>
      </c>
      <c r="AF37" s="1">
        <v>47.8</v>
      </c>
      <c r="AG37" s="1">
        <v>42.4</v>
      </c>
      <c r="AH37" s="1">
        <v>58.6</v>
      </c>
      <c r="AI37" s="1">
        <v>62.8</v>
      </c>
      <c r="AJ37" s="1">
        <v>53</v>
      </c>
      <c r="AK37" s="1">
        <v>51.6</v>
      </c>
      <c r="AL37" s="1">
        <v>32.6</v>
      </c>
      <c r="AM37" s="1"/>
      <c r="AN37" s="1">
        <f t="shared" si="7"/>
        <v>203</v>
      </c>
    </row>
    <row r="38" spans="1:40" x14ac:dyDescent="0.25">
      <c r="A38" s="1" t="s">
        <v>85</v>
      </c>
      <c r="B38" s="1" t="s">
        <v>50</v>
      </c>
      <c r="C38" s="1">
        <v>320</v>
      </c>
      <c r="D38" s="1">
        <v>14</v>
      </c>
      <c r="E38" s="1">
        <v>315</v>
      </c>
      <c r="F38" s="1">
        <v>17</v>
      </c>
      <c r="G38" s="7">
        <v>0.4</v>
      </c>
      <c r="H38" s="1">
        <v>45</v>
      </c>
      <c r="I38" s="1" t="s">
        <v>46</v>
      </c>
      <c r="J38" s="1"/>
      <c r="K38" s="1">
        <v>457</v>
      </c>
      <c r="L38" s="1">
        <f t="shared" ref="L38:L69" si="9">E38-K38</f>
        <v>-142</v>
      </c>
      <c r="M38" s="1"/>
      <c r="N38" s="1"/>
      <c r="O38" s="1"/>
      <c r="P38" s="1">
        <v>67.460000000000136</v>
      </c>
      <c r="Q38" s="1">
        <v>93.620000000000061</v>
      </c>
      <c r="R38" s="1"/>
      <c r="S38" s="1"/>
      <c r="T38" s="1">
        <v>100</v>
      </c>
      <c r="U38" s="1"/>
      <c r="V38" s="15"/>
      <c r="W38" s="15"/>
      <c r="X38" s="1">
        <f t="shared" ref="X38:X69" si="10">E38/5</f>
        <v>63</v>
      </c>
      <c r="Y38" s="5">
        <f>11*X38-U38-T38-S38-R38-Q38-P38-O38-F38</f>
        <v>414.91999999999979</v>
      </c>
      <c r="Z38" s="5">
        <f>Y38+$Z$1*X38</f>
        <v>351.91999999999979</v>
      </c>
      <c r="AA38" s="1">
        <f t="shared" ref="AA38:AA69" si="11">(F38+O38+P38+Q38+R38+S38+T38+U38+Z38+V38)/X38</f>
        <v>10</v>
      </c>
      <c r="AB38" s="1">
        <f t="shared" ref="AB38:AB69" si="12">(F38+O38+P38+Q38+R38+S38+T38+U38)/X38</f>
        <v>4.4139682539682576</v>
      </c>
      <c r="AC38" s="1">
        <v>70.400000000000006</v>
      </c>
      <c r="AD38" s="1">
        <v>69.8</v>
      </c>
      <c r="AE38" s="1">
        <v>86.6</v>
      </c>
      <c r="AF38" s="1">
        <v>51.2</v>
      </c>
      <c r="AG38" s="1">
        <v>34.200000000000003</v>
      </c>
      <c r="AH38" s="1">
        <v>69.8</v>
      </c>
      <c r="AI38" s="1">
        <v>72.599999999999994</v>
      </c>
      <c r="AJ38" s="1">
        <v>49.8</v>
      </c>
      <c r="AK38" s="1">
        <v>42.2</v>
      </c>
      <c r="AL38" s="1">
        <v>54.6</v>
      </c>
      <c r="AM38" s="1"/>
      <c r="AN38" s="1">
        <f t="shared" ref="AN38:AN69" si="13">ROUND(G38*Z38,0)</f>
        <v>141</v>
      </c>
    </row>
    <row r="39" spans="1:40" x14ac:dyDescent="0.25">
      <c r="A39" s="1" t="s">
        <v>86</v>
      </c>
      <c r="B39" s="1" t="s">
        <v>50</v>
      </c>
      <c r="C39" s="1">
        <v>102</v>
      </c>
      <c r="D39" s="1"/>
      <c r="E39" s="1">
        <v>71</v>
      </c>
      <c r="F39" s="1">
        <v>19</v>
      </c>
      <c r="G39" s="7">
        <v>0.4</v>
      </c>
      <c r="H39" s="1">
        <v>40</v>
      </c>
      <c r="I39" s="1" t="s">
        <v>46</v>
      </c>
      <c r="J39" s="1"/>
      <c r="K39" s="1">
        <v>68</v>
      </c>
      <c r="L39" s="1">
        <f t="shared" si="9"/>
        <v>3</v>
      </c>
      <c r="M39" s="1"/>
      <c r="N39" s="1"/>
      <c r="O39" s="1"/>
      <c r="P39" s="1">
        <v>6</v>
      </c>
      <c r="Q39" s="1">
        <v>86.6</v>
      </c>
      <c r="R39" s="1">
        <v>-90</v>
      </c>
      <c r="S39" s="1"/>
      <c r="T39" s="1"/>
      <c r="U39" s="1"/>
      <c r="V39" s="15"/>
      <c r="W39" s="15"/>
      <c r="X39" s="1">
        <f t="shared" si="10"/>
        <v>14.2</v>
      </c>
      <c r="Y39" s="5">
        <f>9*X39-U39-T39-S39-R39-Q39-P39-O39-F39</f>
        <v>106.20000000000002</v>
      </c>
      <c r="Z39" s="5">
        <f t="shared" ref="Z39:Z47" si="14">Y39</f>
        <v>106.20000000000002</v>
      </c>
      <c r="AA39" s="1">
        <f t="shared" si="11"/>
        <v>9.0000000000000018</v>
      </c>
      <c r="AB39" s="1">
        <f t="shared" si="12"/>
        <v>1.52112676056338</v>
      </c>
      <c r="AC39" s="1">
        <v>15.4</v>
      </c>
      <c r="AD39" s="1">
        <v>8.1999999999999993</v>
      </c>
      <c r="AE39" s="1">
        <v>4.5999999999999996</v>
      </c>
      <c r="AF39" s="1">
        <v>2.4</v>
      </c>
      <c r="AG39" s="1">
        <v>0.6</v>
      </c>
      <c r="AH39" s="1">
        <v>9.8000000000000007</v>
      </c>
      <c r="AI39" s="1">
        <v>11.2</v>
      </c>
      <c r="AJ39" s="1">
        <v>12.6</v>
      </c>
      <c r="AK39" s="1">
        <v>11.2</v>
      </c>
      <c r="AL39" s="1">
        <v>2.8</v>
      </c>
      <c r="AM39" s="1"/>
      <c r="AN39" s="1">
        <f t="shared" si="13"/>
        <v>42</v>
      </c>
    </row>
    <row r="40" spans="1:40" x14ac:dyDescent="0.25">
      <c r="A40" s="1" t="s">
        <v>87</v>
      </c>
      <c r="B40" s="1" t="s">
        <v>45</v>
      </c>
      <c r="C40" s="1">
        <v>53.517000000000003</v>
      </c>
      <c r="D40" s="1"/>
      <c r="E40" s="1">
        <v>23.155999999999999</v>
      </c>
      <c r="F40" s="1">
        <v>25.978999999999999</v>
      </c>
      <c r="G40" s="7">
        <v>1</v>
      </c>
      <c r="H40" s="1">
        <v>45</v>
      </c>
      <c r="I40" s="1" t="s">
        <v>46</v>
      </c>
      <c r="J40" s="1"/>
      <c r="K40" s="1">
        <v>23</v>
      </c>
      <c r="L40" s="1">
        <f t="shared" si="9"/>
        <v>0.15599999999999881</v>
      </c>
      <c r="M40" s="1"/>
      <c r="N40" s="1"/>
      <c r="O40" s="1"/>
      <c r="P40" s="1">
        <v>0</v>
      </c>
      <c r="Q40" s="1">
        <v>0</v>
      </c>
      <c r="R40" s="1"/>
      <c r="S40" s="1"/>
      <c r="T40" s="1"/>
      <c r="U40" s="1"/>
      <c r="V40" s="15"/>
      <c r="W40" s="15">
        <v>-34.799999999999997</v>
      </c>
      <c r="X40" s="1">
        <f t="shared" si="10"/>
        <v>4.6311999999999998</v>
      </c>
      <c r="Y40" s="5">
        <f>12*X40-U40-T40-S40-R40-Q40-P40-O40-F40</f>
        <v>29.595399999999998</v>
      </c>
      <c r="Z40" s="5">
        <f t="shared" si="14"/>
        <v>29.595399999999998</v>
      </c>
      <c r="AA40" s="1">
        <f t="shared" si="11"/>
        <v>12</v>
      </c>
      <c r="AB40" s="1">
        <f t="shared" si="12"/>
        <v>5.6095612368284682</v>
      </c>
      <c r="AC40" s="1">
        <v>2.2968000000000002</v>
      </c>
      <c r="AD40" s="1">
        <v>2.3052000000000001</v>
      </c>
      <c r="AE40" s="1">
        <v>2.8776000000000002</v>
      </c>
      <c r="AF40" s="1">
        <v>1.722</v>
      </c>
      <c r="AG40" s="1">
        <v>0</v>
      </c>
      <c r="AH40" s="1">
        <v>1.1624000000000001</v>
      </c>
      <c r="AI40" s="1">
        <v>4.9401999999999999</v>
      </c>
      <c r="AJ40" s="1">
        <v>3.7778</v>
      </c>
      <c r="AK40" s="1">
        <v>0</v>
      </c>
      <c r="AL40" s="1">
        <v>1.9923999999999999</v>
      </c>
      <c r="AM40" s="1"/>
      <c r="AN40" s="1">
        <f t="shared" si="13"/>
        <v>30</v>
      </c>
    </row>
    <row r="41" spans="1:40" x14ac:dyDescent="0.25">
      <c r="A41" s="1" t="s">
        <v>89</v>
      </c>
      <c r="B41" s="1" t="s">
        <v>50</v>
      </c>
      <c r="C41" s="1">
        <v>646</v>
      </c>
      <c r="D41" s="1">
        <v>52</v>
      </c>
      <c r="E41" s="1">
        <v>333</v>
      </c>
      <c r="F41" s="1">
        <v>229</v>
      </c>
      <c r="G41" s="7">
        <v>0.1</v>
      </c>
      <c r="H41" s="1">
        <v>731</v>
      </c>
      <c r="I41" s="1" t="s">
        <v>46</v>
      </c>
      <c r="J41" s="1"/>
      <c r="K41" s="1">
        <v>237</v>
      </c>
      <c r="L41" s="1">
        <f t="shared" si="9"/>
        <v>96</v>
      </c>
      <c r="M41" s="1"/>
      <c r="N41" s="1"/>
      <c r="O41" s="1"/>
      <c r="P41" s="1">
        <v>0</v>
      </c>
      <c r="Q41" s="1">
        <v>187.40000000000009</v>
      </c>
      <c r="R41" s="1"/>
      <c r="S41" s="1"/>
      <c r="T41" s="1">
        <v>100</v>
      </c>
      <c r="U41" s="1"/>
      <c r="V41" s="15"/>
      <c r="W41" s="15"/>
      <c r="X41" s="1">
        <f t="shared" si="10"/>
        <v>66.599999999999994</v>
      </c>
      <c r="Y41" s="5">
        <f>12*X41-U41-T41-S41-R41-Q41-P41-O41-F41</f>
        <v>282.79999999999984</v>
      </c>
      <c r="Z41" s="5">
        <f t="shared" si="14"/>
        <v>282.79999999999984</v>
      </c>
      <c r="AA41" s="1">
        <f t="shared" si="11"/>
        <v>12</v>
      </c>
      <c r="AB41" s="1">
        <f t="shared" si="12"/>
        <v>7.753753753753756</v>
      </c>
      <c r="AC41" s="1">
        <v>65.400000000000006</v>
      </c>
      <c r="AD41" s="1">
        <v>37.6</v>
      </c>
      <c r="AE41" s="1">
        <v>47</v>
      </c>
      <c r="AF41" s="1">
        <v>61</v>
      </c>
      <c r="AG41" s="1">
        <v>70.8</v>
      </c>
      <c r="AH41" s="1">
        <v>84.6</v>
      </c>
      <c r="AI41" s="1">
        <v>73.8</v>
      </c>
      <c r="AJ41" s="1">
        <v>21.4</v>
      </c>
      <c r="AK41" s="1">
        <v>7.4</v>
      </c>
      <c r="AL41" s="1">
        <v>77.599999999999994</v>
      </c>
      <c r="AM41" s="1"/>
      <c r="AN41" s="1">
        <f t="shared" si="13"/>
        <v>28</v>
      </c>
    </row>
    <row r="42" spans="1:40" x14ac:dyDescent="0.25">
      <c r="A42" s="1" t="s">
        <v>90</v>
      </c>
      <c r="B42" s="1" t="s">
        <v>50</v>
      </c>
      <c r="C42" s="1">
        <v>127</v>
      </c>
      <c r="D42" s="1">
        <v>171</v>
      </c>
      <c r="E42" s="1">
        <v>266</v>
      </c>
      <c r="F42" s="1">
        <v>-1</v>
      </c>
      <c r="G42" s="7">
        <v>0.35</v>
      </c>
      <c r="H42" s="1">
        <v>40</v>
      </c>
      <c r="I42" s="1" t="s">
        <v>46</v>
      </c>
      <c r="J42" s="1"/>
      <c r="K42" s="1">
        <v>296</v>
      </c>
      <c r="L42" s="1">
        <f t="shared" si="9"/>
        <v>-30</v>
      </c>
      <c r="M42" s="1"/>
      <c r="N42" s="1"/>
      <c r="O42" s="1"/>
      <c r="P42" s="1">
        <v>80.599999999999994</v>
      </c>
      <c r="Q42" s="1">
        <v>169.4</v>
      </c>
      <c r="R42" s="1"/>
      <c r="S42" s="1"/>
      <c r="T42" s="1">
        <v>100</v>
      </c>
      <c r="U42" s="1"/>
      <c r="V42" s="15"/>
      <c r="W42" s="15">
        <v>-102.9</v>
      </c>
      <c r="X42" s="1">
        <f t="shared" si="10"/>
        <v>53.2</v>
      </c>
      <c r="Y42" s="5">
        <f>12*X42-U42-T42-S42-R42-Q42-P42-O42-F42</f>
        <v>289.40000000000009</v>
      </c>
      <c r="Z42" s="5">
        <f t="shared" si="14"/>
        <v>289.40000000000009</v>
      </c>
      <c r="AA42" s="1">
        <f t="shared" si="11"/>
        <v>12.000000000000002</v>
      </c>
      <c r="AB42" s="1">
        <f t="shared" si="12"/>
        <v>6.5601503759398492</v>
      </c>
      <c r="AC42" s="1">
        <v>48</v>
      </c>
      <c r="AD42" s="1">
        <v>28</v>
      </c>
      <c r="AE42" s="1">
        <v>33.799999999999997</v>
      </c>
      <c r="AF42" s="1">
        <v>35.200000000000003</v>
      </c>
      <c r="AG42" s="1">
        <v>30.4</v>
      </c>
      <c r="AH42" s="1">
        <v>34</v>
      </c>
      <c r="AI42" s="1">
        <v>27.4</v>
      </c>
      <c r="AJ42" s="1">
        <v>7.6</v>
      </c>
      <c r="AK42" s="1">
        <v>13.6</v>
      </c>
      <c r="AL42" s="1">
        <v>27.2</v>
      </c>
      <c r="AM42" s="1"/>
      <c r="AN42" s="1">
        <f t="shared" si="13"/>
        <v>101</v>
      </c>
    </row>
    <row r="43" spans="1:40" x14ac:dyDescent="0.25">
      <c r="A43" s="1" t="s">
        <v>92</v>
      </c>
      <c r="B43" s="1" t="s">
        <v>45</v>
      </c>
      <c r="C43" s="1">
        <v>122.765</v>
      </c>
      <c r="D43" s="1">
        <v>163.74600000000001</v>
      </c>
      <c r="E43" s="1">
        <v>129.08099999999999</v>
      </c>
      <c r="F43" s="1">
        <v>148.505</v>
      </c>
      <c r="G43" s="7">
        <v>1</v>
      </c>
      <c r="H43" s="1">
        <v>40</v>
      </c>
      <c r="I43" s="1" t="s">
        <v>46</v>
      </c>
      <c r="J43" s="1"/>
      <c r="K43" s="1">
        <v>132.6</v>
      </c>
      <c r="L43" s="1">
        <f t="shared" si="9"/>
        <v>-3.5190000000000055</v>
      </c>
      <c r="M43" s="1"/>
      <c r="N43" s="1"/>
      <c r="O43" s="1"/>
      <c r="P43" s="1">
        <v>0</v>
      </c>
      <c r="Q43" s="1">
        <v>59.509</v>
      </c>
      <c r="R43" s="1"/>
      <c r="S43" s="1"/>
      <c r="T43" s="1"/>
      <c r="U43" s="1"/>
      <c r="V43" s="15"/>
      <c r="W43" s="15"/>
      <c r="X43" s="1">
        <f t="shared" si="10"/>
        <v>25.816199999999998</v>
      </c>
      <c r="Y43" s="5">
        <f>12*X43-U43-T43-S43-R43-Q43-P43-O43-F43</f>
        <v>101.78039999999999</v>
      </c>
      <c r="Z43" s="5">
        <f t="shared" si="14"/>
        <v>101.78039999999999</v>
      </c>
      <c r="AA43" s="1">
        <f t="shared" si="11"/>
        <v>12</v>
      </c>
      <c r="AB43" s="1">
        <f t="shared" si="12"/>
        <v>8.0574987798359174</v>
      </c>
      <c r="AC43" s="1">
        <v>21.3096</v>
      </c>
      <c r="AD43" s="1">
        <v>20.192399999999999</v>
      </c>
      <c r="AE43" s="1">
        <v>27.465599999999998</v>
      </c>
      <c r="AF43" s="1">
        <v>16.9666</v>
      </c>
      <c r="AG43" s="1">
        <v>11.3088</v>
      </c>
      <c r="AH43" s="1">
        <v>21.493200000000002</v>
      </c>
      <c r="AI43" s="1">
        <v>20.497599999999998</v>
      </c>
      <c r="AJ43" s="1">
        <v>6.5640000000000001</v>
      </c>
      <c r="AK43" s="1">
        <v>8.2590000000000003</v>
      </c>
      <c r="AL43" s="1">
        <v>17.3644</v>
      </c>
      <c r="AM43" s="1"/>
      <c r="AN43" s="1">
        <f t="shared" si="13"/>
        <v>102</v>
      </c>
    </row>
    <row r="44" spans="1:40" x14ac:dyDescent="0.25">
      <c r="A44" s="1" t="s">
        <v>93</v>
      </c>
      <c r="B44" s="1" t="s">
        <v>50</v>
      </c>
      <c r="C44" s="1">
        <v>15</v>
      </c>
      <c r="D44" s="1">
        <v>3</v>
      </c>
      <c r="E44" s="1">
        <v>8</v>
      </c>
      <c r="F44" s="1">
        <v>1</v>
      </c>
      <c r="G44" s="7">
        <v>0.4</v>
      </c>
      <c r="H44" s="1">
        <v>40</v>
      </c>
      <c r="I44" s="1" t="s">
        <v>46</v>
      </c>
      <c r="J44" s="1"/>
      <c r="K44" s="1">
        <v>166</v>
      </c>
      <c r="L44" s="1">
        <f t="shared" si="9"/>
        <v>-158</v>
      </c>
      <c r="M44" s="1"/>
      <c r="N44" s="1"/>
      <c r="O44" s="1"/>
      <c r="P44" s="1">
        <v>120.88</v>
      </c>
      <c r="Q44" s="1">
        <v>0</v>
      </c>
      <c r="R44" s="1"/>
      <c r="S44" s="1"/>
      <c r="T44" s="1"/>
      <c r="U44" s="1"/>
      <c r="V44" s="15"/>
      <c r="W44" s="15"/>
      <c r="X44" s="1">
        <f t="shared" si="10"/>
        <v>1.6</v>
      </c>
      <c r="Y44" s="5">
        <v>100</v>
      </c>
      <c r="Z44" s="5">
        <f t="shared" si="14"/>
        <v>100</v>
      </c>
      <c r="AA44" s="1">
        <f t="shared" si="11"/>
        <v>138.67499999999998</v>
      </c>
      <c r="AB44" s="1">
        <f t="shared" si="12"/>
        <v>76.174999999999997</v>
      </c>
      <c r="AC44" s="1">
        <v>15.4</v>
      </c>
      <c r="AD44" s="1">
        <v>26.8</v>
      </c>
      <c r="AE44" s="1">
        <v>22.6</v>
      </c>
      <c r="AF44" s="1">
        <v>12.6</v>
      </c>
      <c r="AG44" s="1">
        <v>16.8</v>
      </c>
      <c r="AH44" s="1">
        <v>27.2</v>
      </c>
      <c r="AI44" s="1">
        <v>28.8</v>
      </c>
      <c r="AJ44" s="1">
        <v>33</v>
      </c>
      <c r="AK44" s="1">
        <v>28.78</v>
      </c>
      <c r="AL44" s="1">
        <v>18</v>
      </c>
      <c r="AM44" s="1"/>
      <c r="AN44" s="1">
        <f t="shared" si="13"/>
        <v>40</v>
      </c>
    </row>
    <row r="45" spans="1:40" x14ac:dyDescent="0.25">
      <c r="A45" s="1" t="s">
        <v>94</v>
      </c>
      <c r="B45" s="1" t="s">
        <v>50</v>
      </c>
      <c r="C45" s="1">
        <v>201</v>
      </c>
      <c r="D45" s="1">
        <v>3</v>
      </c>
      <c r="E45" s="1">
        <v>188</v>
      </c>
      <c r="F45" s="1">
        <v>11</v>
      </c>
      <c r="G45" s="7">
        <v>0.4</v>
      </c>
      <c r="H45" s="1">
        <v>45</v>
      </c>
      <c r="I45" s="1" t="s">
        <v>46</v>
      </c>
      <c r="J45" s="1"/>
      <c r="K45" s="1">
        <v>219</v>
      </c>
      <c r="L45" s="1">
        <f t="shared" si="9"/>
        <v>-31</v>
      </c>
      <c r="M45" s="1"/>
      <c r="N45" s="1"/>
      <c r="O45" s="1"/>
      <c r="P45" s="1">
        <v>83</v>
      </c>
      <c r="Q45" s="1">
        <v>97.199999999999989</v>
      </c>
      <c r="R45" s="1">
        <v>-102</v>
      </c>
      <c r="S45" s="1"/>
      <c r="T45" s="1">
        <v>50</v>
      </c>
      <c r="U45" s="1">
        <v>-54</v>
      </c>
      <c r="V45" s="15"/>
      <c r="W45" s="15"/>
      <c r="X45" s="1">
        <f t="shared" si="10"/>
        <v>37.6</v>
      </c>
      <c r="Y45" s="5">
        <f>9*X45-U45-T45-S45-R45-Q45-P45-O45-F45</f>
        <v>253.20000000000005</v>
      </c>
      <c r="Z45" s="5">
        <f t="shared" si="14"/>
        <v>253.20000000000005</v>
      </c>
      <c r="AA45" s="1">
        <f t="shared" si="11"/>
        <v>9</v>
      </c>
      <c r="AB45" s="1">
        <f t="shared" si="12"/>
        <v>2.2659574468085104</v>
      </c>
      <c r="AC45" s="1">
        <v>30.2</v>
      </c>
      <c r="AD45" s="1">
        <v>22.4</v>
      </c>
      <c r="AE45" s="1">
        <v>21.8</v>
      </c>
      <c r="AF45" s="1">
        <v>19.600000000000001</v>
      </c>
      <c r="AG45" s="1">
        <v>21.4</v>
      </c>
      <c r="AH45" s="1">
        <v>24.4</v>
      </c>
      <c r="AI45" s="1">
        <v>27.8</v>
      </c>
      <c r="AJ45" s="1">
        <v>42</v>
      </c>
      <c r="AK45" s="1">
        <v>32</v>
      </c>
      <c r="AL45" s="1">
        <v>16.8</v>
      </c>
      <c r="AM45" s="1"/>
      <c r="AN45" s="1">
        <f t="shared" si="13"/>
        <v>101</v>
      </c>
    </row>
    <row r="46" spans="1:40" x14ac:dyDescent="0.25">
      <c r="A46" s="10" t="s">
        <v>95</v>
      </c>
      <c r="B46" s="10" t="s">
        <v>45</v>
      </c>
      <c r="C46" s="10">
        <v>123.544</v>
      </c>
      <c r="D46" s="10">
        <v>2.8860000000000001</v>
      </c>
      <c r="E46" s="10">
        <v>73.192999999999998</v>
      </c>
      <c r="F46" s="10">
        <v>31.324999999999999</v>
      </c>
      <c r="G46" s="11">
        <v>0</v>
      </c>
      <c r="H46" s="10">
        <v>40</v>
      </c>
      <c r="I46" s="10" t="s">
        <v>70</v>
      </c>
      <c r="J46" s="10"/>
      <c r="K46" s="10">
        <v>76.5</v>
      </c>
      <c r="L46" s="10">
        <f t="shared" si="9"/>
        <v>-3.3070000000000022</v>
      </c>
      <c r="M46" s="10"/>
      <c r="N46" s="10"/>
      <c r="O46" s="10"/>
      <c r="P46" s="10">
        <v>0</v>
      </c>
      <c r="Q46" s="10">
        <v>0</v>
      </c>
      <c r="R46" s="10"/>
      <c r="S46" s="10"/>
      <c r="T46" s="10"/>
      <c r="U46" s="10"/>
      <c r="V46" s="17"/>
      <c r="W46" s="17"/>
      <c r="X46" s="10">
        <f t="shared" si="10"/>
        <v>14.6386</v>
      </c>
      <c r="Y46" s="12"/>
      <c r="Z46" s="5">
        <f t="shared" si="14"/>
        <v>0</v>
      </c>
      <c r="AA46" s="1">
        <f t="shared" si="11"/>
        <v>2.1398904266801471</v>
      </c>
      <c r="AB46" s="10">
        <f t="shared" si="12"/>
        <v>2.1398904266801471</v>
      </c>
      <c r="AC46" s="10">
        <v>12.710599999999999</v>
      </c>
      <c r="AD46" s="10">
        <v>6.6037999999999997</v>
      </c>
      <c r="AE46" s="10">
        <v>9.2596000000000007</v>
      </c>
      <c r="AF46" s="10">
        <v>9.5682000000000009</v>
      </c>
      <c r="AG46" s="10">
        <v>11.018000000000001</v>
      </c>
      <c r="AH46" s="10">
        <v>14.236800000000001</v>
      </c>
      <c r="AI46" s="10">
        <v>11.3324</v>
      </c>
      <c r="AJ46" s="10">
        <v>1.7376</v>
      </c>
      <c r="AK46" s="10">
        <v>1.3106</v>
      </c>
      <c r="AL46" s="10">
        <v>10.1592</v>
      </c>
      <c r="AM46" s="10"/>
      <c r="AN46" s="1">
        <f t="shared" si="13"/>
        <v>0</v>
      </c>
    </row>
    <row r="47" spans="1:40" x14ac:dyDescent="0.25">
      <c r="A47" s="1" t="s">
        <v>96</v>
      </c>
      <c r="B47" s="1" t="s">
        <v>45</v>
      </c>
      <c r="C47" s="1">
        <v>157.803</v>
      </c>
      <c r="D47" s="1">
        <v>144.17599999999999</v>
      </c>
      <c r="E47" s="1">
        <v>163.96100000000001</v>
      </c>
      <c r="F47" s="1">
        <v>127.82</v>
      </c>
      <c r="G47" s="7">
        <v>1</v>
      </c>
      <c r="H47" s="1">
        <v>40</v>
      </c>
      <c r="I47" s="1" t="s">
        <v>46</v>
      </c>
      <c r="J47" s="1"/>
      <c r="K47" s="1">
        <v>160.4</v>
      </c>
      <c r="L47" s="1">
        <f t="shared" si="9"/>
        <v>3.561000000000007</v>
      </c>
      <c r="M47" s="1"/>
      <c r="N47" s="1"/>
      <c r="O47" s="1"/>
      <c r="P47" s="1">
        <v>0</v>
      </c>
      <c r="Q47" s="1">
        <v>69.903600000000012</v>
      </c>
      <c r="R47" s="1"/>
      <c r="S47" s="1"/>
      <c r="T47" s="1">
        <v>50</v>
      </c>
      <c r="U47" s="1"/>
      <c r="V47" s="15"/>
      <c r="W47" s="15"/>
      <c r="X47" s="1">
        <f t="shared" si="10"/>
        <v>32.792200000000001</v>
      </c>
      <c r="Y47" s="5">
        <f>12*X47-U47-T47-S47-R47-Q47-P47-O47-F47</f>
        <v>145.78280000000001</v>
      </c>
      <c r="Z47" s="5">
        <f t="shared" si="14"/>
        <v>145.78280000000001</v>
      </c>
      <c r="AA47" s="1">
        <f t="shared" si="11"/>
        <v>12</v>
      </c>
      <c r="AB47" s="1">
        <f t="shared" si="12"/>
        <v>7.5543452406364926</v>
      </c>
      <c r="AC47" s="1">
        <v>25.5106</v>
      </c>
      <c r="AD47" s="1">
        <v>21.378599999999999</v>
      </c>
      <c r="AE47" s="1">
        <v>28.646000000000001</v>
      </c>
      <c r="AF47" s="1">
        <v>20.747199999999999</v>
      </c>
      <c r="AG47" s="1">
        <v>18.888000000000002</v>
      </c>
      <c r="AH47" s="1">
        <v>24.991</v>
      </c>
      <c r="AI47" s="1">
        <v>20.183199999999999</v>
      </c>
      <c r="AJ47" s="1">
        <v>12.035600000000001</v>
      </c>
      <c r="AK47" s="1">
        <v>17.441600000000001</v>
      </c>
      <c r="AL47" s="1">
        <v>20.315000000000001</v>
      </c>
      <c r="AM47" s="1"/>
      <c r="AN47" s="1">
        <f t="shared" si="13"/>
        <v>146</v>
      </c>
    </row>
    <row r="48" spans="1:40" x14ac:dyDescent="0.25">
      <c r="A48" s="1" t="s">
        <v>97</v>
      </c>
      <c r="B48" s="1" t="s">
        <v>50</v>
      </c>
      <c r="C48" s="1">
        <v>268</v>
      </c>
      <c r="D48" s="1">
        <v>584</v>
      </c>
      <c r="E48" s="1">
        <v>502</v>
      </c>
      <c r="F48" s="1">
        <v>241</v>
      </c>
      <c r="G48" s="7">
        <v>0.35</v>
      </c>
      <c r="H48" s="1">
        <v>40</v>
      </c>
      <c r="I48" s="1" t="s">
        <v>46</v>
      </c>
      <c r="J48" s="1"/>
      <c r="K48" s="1">
        <v>503</v>
      </c>
      <c r="L48" s="1">
        <f t="shared" si="9"/>
        <v>-1</v>
      </c>
      <c r="M48" s="1"/>
      <c r="N48" s="1"/>
      <c r="O48" s="1"/>
      <c r="P48" s="1">
        <v>2.2799999999999732</v>
      </c>
      <c r="Q48" s="1">
        <v>280.2</v>
      </c>
      <c r="R48" s="1">
        <v>-282</v>
      </c>
      <c r="S48" s="1"/>
      <c r="T48" s="1">
        <v>200</v>
      </c>
      <c r="U48" s="1">
        <v>-204</v>
      </c>
      <c r="V48" s="15"/>
      <c r="W48" s="15"/>
      <c r="X48" s="1">
        <f t="shared" si="10"/>
        <v>100.4</v>
      </c>
      <c r="Y48" s="5">
        <f>9*X48-U48-T48-S48-R48-Q48-P48-O48-F48</f>
        <v>666.11999999999989</v>
      </c>
      <c r="Z48" s="5">
        <f>Y48+$Z$1*X48</f>
        <v>565.71999999999991</v>
      </c>
      <c r="AA48" s="1">
        <f t="shared" si="11"/>
        <v>7.9999999999999991</v>
      </c>
      <c r="AB48" s="1">
        <f t="shared" si="12"/>
        <v>2.3653386454183267</v>
      </c>
      <c r="AC48" s="1">
        <v>88.8</v>
      </c>
      <c r="AD48" s="1">
        <v>72.599999999999994</v>
      </c>
      <c r="AE48" s="1">
        <v>95.6</v>
      </c>
      <c r="AF48" s="1">
        <v>83</v>
      </c>
      <c r="AG48" s="1">
        <v>71.8</v>
      </c>
      <c r="AH48" s="1">
        <v>77.2</v>
      </c>
      <c r="AI48" s="1">
        <v>67.97999999999999</v>
      </c>
      <c r="AJ48" s="1">
        <v>25.58</v>
      </c>
      <c r="AK48" s="1">
        <v>37.4</v>
      </c>
      <c r="AL48" s="1">
        <v>78</v>
      </c>
      <c r="AM48" s="1"/>
      <c r="AN48" s="1">
        <f t="shared" si="13"/>
        <v>198</v>
      </c>
    </row>
    <row r="49" spans="1:40" x14ac:dyDescent="0.25">
      <c r="A49" s="1" t="s">
        <v>98</v>
      </c>
      <c r="B49" s="1" t="s">
        <v>50</v>
      </c>
      <c r="C49" s="1">
        <v>5</v>
      </c>
      <c r="D49" s="1">
        <v>407</v>
      </c>
      <c r="E49" s="1">
        <v>402</v>
      </c>
      <c r="F49" s="1">
        <v>6</v>
      </c>
      <c r="G49" s="7">
        <v>0.4</v>
      </c>
      <c r="H49" s="1">
        <v>40</v>
      </c>
      <c r="I49" s="1" t="s">
        <v>46</v>
      </c>
      <c r="J49" s="1"/>
      <c r="K49" s="1">
        <v>505</v>
      </c>
      <c r="L49" s="1">
        <f t="shared" si="9"/>
        <v>-103</v>
      </c>
      <c r="M49" s="1"/>
      <c r="N49" s="1"/>
      <c r="O49" s="1"/>
      <c r="P49" s="1">
        <v>0</v>
      </c>
      <c r="Q49" s="1">
        <v>0</v>
      </c>
      <c r="R49" s="1"/>
      <c r="S49" s="1"/>
      <c r="T49" s="1"/>
      <c r="U49" s="1"/>
      <c r="V49" s="15"/>
      <c r="W49" s="15">
        <v>-192</v>
      </c>
      <c r="X49" s="1">
        <f t="shared" si="10"/>
        <v>80.400000000000006</v>
      </c>
      <c r="Y49" s="5">
        <f>7*X49-U49-T49-S49-R49-Q49-P49-O49-F49</f>
        <v>556.80000000000007</v>
      </c>
      <c r="Z49" s="5">
        <f>Y49+$Z$1*X49</f>
        <v>476.40000000000009</v>
      </c>
      <c r="AA49" s="1">
        <f t="shared" si="11"/>
        <v>6.0000000000000009</v>
      </c>
      <c r="AB49" s="1">
        <f t="shared" si="12"/>
        <v>7.4626865671641784E-2</v>
      </c>
      <c r="AC49" s="1">
        <v>31</v>
      </c>
      <c r="AD49" s="1">
        <v>47</v>
      </c>
      <c r="AE49" s="1">
        <v>79.599999999999994</v>
      </c>
      <c r="AF49" s="1">
        <v>60</v>
      </c>
      <c r="AG49" s="1">
        <v>42</v>
      </c>
      <c r="AH49" s="1">
        <v>28.6</v>
      </c>
      <c r="AI49" s="1">
        <v>26.6</v>
      </c>
      <c r="AJ49" s="1">
        <v>50.2</v>
      </c>
      <c r="AK49" s="1">
        <v>51.4</v>
      </c>
      <c r="AL49" s="1">
        <v>73.400000000000006</v>
      </c>
      <c r="AM49" s="1"/>
      <c r="AN49" s="1">
        <f t="shared" si="13"/>
        <v>191</v>
      </c>
    </row>
    <row r="50" spans="1:40" x14ac:dyDescent="0.25">
      <c r="A50" s="1" t="s">
        <v>100</v>
      </c>
      <c r="B50" s="1" t="s">
        <v>45</v>
      </c>
      <c r="C50" s="1">
        <v>51.222999999999999</v>
      </c>
      <c r="D50" s="1">
        <v>65.149000000000001</v>
      </c>
      <c r="E50" s="1">
        <v>34.655999999999999</v>
      </c>
      <c r="F50" s="1">
        <v>73.23</v>
      </c>
      <c r="G50" s="7">
        <v>1</v>
      </c>
      <c r="H50" s="1">
        <v>50</v>
      </c>
      <c r="I50" s="1" t="s">
        <v>46</v>
      </c>
      <c r="J50" s="1"/>
      <c r="K50" s="1">
        <v>34</v>
      </c>
      <c r="L50" s="1">
        <f t="shared" si="9"/>
        <v>0.65599999999999881</v>
      </c>
      <c r="M50" s="1"/>
      <c r="N50" s="1"/>
      <c r="O50" s="1"/>
      <c r="P50" s="1">
        <v>0</v>
      </c>
      <c r="Q50" s="1">
        <v>0</v>
      </c>
      <c r="R50" s="1"/>
      <c r="S50" s="1"/>
      <c r="T50" s="1"/>
      <c r="U50" s="1"/>
      <c r="V50" s="15"/>
      <c r="W50" s="15"/>
      <c r="X50" s="1">
        <f t="shared" si="10"/>
        <v>6.9311999999999996</v>
      </c>
      <c r="Y50" s="5">
        <f>12*X50-U50-T50-S50-R50-Q50-P50-O50-F50</f>
        <v>9.9443999999999875</v>
      </c>
      <c r="Z50" s="5">
        <f t="shared" ref="Z50:Z64" si="15">Y50</f>
        <v>9.9443999999999875</v>
      </c>
      <c r="AA50" s="1">
        <f t="shared" si="11"/>
        <v>12</v>
      </c>
      <c r="AB50" s="1">
        <f t="shared" si="12"/>
        <v>10.565270083102494</v>
      </c>
      <c r="AC50" s="1">
        <v>5.5941999999999998</v>
      </c>
      <c r="AD50" s="1">
        <v>8.6849999999999987</v>
      </c>
      <c r="AE50" s="1">
        <v>11.409000000000001</v>
      </c>
      <c r="AF50" s="1">
        <v>5.1622000000000003</v>
      </c>
      <c r="AG50" s="1">
        <v>2.6922000000000001</v>
      </c>
      <c r="AH50" s="1">
        <v>6.4640000000000004</v>
      </c>
      <c r="AI50" s="1">
        <v>7.74</v>
      </c>
      <c r="AJ50" s="1">
        <v>4.5076000000000001</v>
      </c>
      <c r="AK50" s="1">
        <v>6.4640000000000004</v>
      </c>
      <c r="AL50" s="1">
        <v>6.4567999999999994</v>
      </c>
      <c r="AM50" s="1"/>
      <c r="AN50" s="1">
        <f t="shared" si="13"/>
        <v>10</v>
      </c>
    </row>
    <row r="51" spans="1:40" x14ac:dyDescent="0.25">
      <c r="A51" s="1" t="s">
        <v>101</v>
      </c>
      <c r="B51" s="1" t="s">
        <v>45</v>
      </c>
      <c r="C51" s="1">
        <v>176.89</v>
      </c>
      <c r="D51" s="1">
        <v>134.447</v>
      </c>
      <c r="E51" s="1">
        <v>86.497</v>
      </c>
      <c r="F51" s="1">
        <v>191.13800000000001</v>
      </c>
      <c r="G51" s="7">
        <v>1</v>
      </c>
      <c r="H51" s="1">
        <v>50</v>
      </c>
      <c r="I51" s="1" t="s">
        <v>46</v>
      </c>
      <c r="J51" s="1"/>
      <c r="K51" s="1">
        <v>84.7</v>
      </c>
      <c r="L51" s="1">
        <f t="shared" si="9"/>
        <v>1.796999999999997</v>
      </c>
      <c r="M51" s="1"/>
      <c r="N51" s="1"/>
      <c r="O51" s="1">
        <v>150</v>
      </c>
      <c r="P51" s="1">
        <v>90.47920000000002</v>
      </c>
      <c r="Q51" s="1">
        <v>0</v>
      </c>
      <c r="R51" s="1"/>
      <c r="S51" s="1"/>
      <c r="T51" s="1"/>
      <c r="U51" s="1"/>
      <c r="V51" s="15"/>
      <c r="W51" s="15"/>
      <c r="X51" s="1">
        <f t="shared" si="10"/>
        <v>17.299399999999999</v>
      </c>
      <c r="Y51" s="5"/>
      <c r="Z51" s="5">
        <f t="shared" si="15"/>
        <v>0</v>
      </c>
      <c r="AA51" s="1">
        <f t="shared" si="11"/>
        <v>24.949836410511352</v>
      </c>
      <c r="AB51" s="1">
        <f t="shared" si="12"/>
        <v>24.949836410511352</v>
      </c>
      <c r="AC51" s="1">
        <v>20.2286</v>
      </c>
      <c r="AD51" s="1">
        <v>30.904399999999999</v>
      </c>
      <c r="AE51" s="1">
        <v>32.477800000000002</v>
      </c>
      <c r="AF51" s="1">
        <v>18.959</v>
      </c>
      <c r="AG51" s="1">
        <v>17.484999999999999</v>
      </c>
      <c r="AH51" s="1">
        <v>29.415600000000001</v>
      </c>
      <c r="AI51" s="1">
        <v>25.074000000000002</v>
      </c>
      <c r="AJ51" s="1">
        <v>17.300999999999998</v>
      </c>
      <c r="AK51" s="1">
        <v>22.004999999999999</v>
      </c>
      <c r="AL51" s="1">
        <v>25.757400000000001</v>
      </c>
      <c r="AM51" s="9" t="s">
        <v>58</v>
      </c>
      <c r="AN51" s="1">
        <f t="shared" si="13"/>
        <v>0</v>
      </c>
    </row>
    <row r="52" spans="1:40" x14ac:dyDescent="0.25">
      <c r="A52" s="1" t="s">
        <v>102</v>
      </c>
      <c r="B52" s="1" t="s">
        <v>45</v>
      </c>
      <c r="C52" s="1">
        <v>-0.151</v>
      </c>
      <c r="D52" s="1">
        <v>136.619</v>
      </c>
      <c r="E52" s="1">
        <v>83.126999999999995</v>
      </c>
      <c r="F52" s="1">
        <v>46.024000000000001</v>
      </c>
      <c r="G52" s="7">
        <v>1</v>
      </c>
      <c r="H52" s="1">
        <v>45</v>
      </c>
      <c r="I52" s="1" t="s">
        <v>46</v>
      </c>
      <c r="J52" s="1"/>
      <c r="K52" s="1">
        <v>171.7</v>
      </c>
      <c r="L52" s="1">
        <f t="shared" si="9"/>
        <v>-88.572999999999993</v>
      </c>
      <c r="M52" s="1"/>
      <c r="N52" s="1"/>
      <c r="O52" s="1"/>
      <c r="P52" s="1">
        <v>0</v>
      </c>
      <c r="Q52" s="1">
        <v>0</v>
      </c>
      <c r="R52" s="1"/>
      <c r="S52" s="1"/>
      <c r="T52" s="1"/>
      <c r="U52" s="1"/>
      <c r="V52" s="15"/>
      <c r="W52" s="15"/>
      <c r="X52" s="1">
        <f t="shared" si="10"/>
        <v>16.625399999999999</v>
      </c>
      <c r="Y52" s="5">
        <f>10*X52-U52-T52-S52-R52-Q52-P52-O52-F52</f>
        <v>120.22999999999999</v>
      </c>
      <c r="Z52" s="5">
        <f t="shared" si="15"/>
        <v>120.22999999999999</v>
      </c>
      <c r="AA52" s="1">
        <f t="shared" si="11"/>
        <v>10</v>
      </c>
      <c r="AB52" s="1">
        <f t="shared" si="12"/>
        <v>2.7682942966785764</v>
      </c>
      <c r="AC52" s="1">
        <v>0.30599999999999999</v>
      </c>
      <c r="AD52" s="1">
        <v>1.5204</v>
      </c>
      <c r="AE52" s="1">
        <v>10.6396</v>
      </c>
      <c r="AF52" s="1">
        <v>9.4252000000000002</v>
      </c>
      <c r="AG52" s="1">
        <v>0</v>
      </c>
      <c r="AH52" s="1">
        <v>0</v>
      </c>
      <c r="AI52" s="1">
        <v>0</v>
      </c>
      <c r="AJ52" s="1">
        <v>-0.30359999999999998</v>
      </c>
      <c r="AK52" s="1">
        <v>2.0486</v>
      </c>
      <c r="AL52" s="1">
        <v>29.5078</v>
      </c>
      <c r="AM52" s="1"/>
      <c r="AN52" s="1">
        <f t="shared" si="13"/>
        <v>120</v>
      </c>
    </row>
    <row r="53" spans="1:40" x14ac:dyDescent="0.25">
      <c r="A53" s="1" t="s">
        <v>103</v>
      </c>
      <c r="B53" s="1" t="s">
        <v>50</v>
      </c>
      <c r="C53" s="1">
        <v>92</v>
      </c>
      <c r="D53" s="1">
        <v>101</v>
      </c>
      <c r="E53" s="1">
        <v>155</v>
      </c>
      <c r="F53" s="1">
        <v>5</v>
      </c>
      <c r="G53" s="7">
        <v>0.45</v>
      </c>
      <c r="H53" s="1">
        <v>50</v>
      </c>
      <c r="I53" s="1" t="s">
        <v>46</v>
      </c>
      <c r="J53" s="1"/>
      <c r="K53" s="1">
        <v>218</v>
      </c>
      <c r="L53" s="1">
        <f t="shared" si="9"/>
        <v>-63</v>
      </c>
      <c r="M53" s="1"/>
      <c r="N53" s="1"/>
      <c r="O53" s="1"/>
      <c r="P53" s="1">
        <v>72.61999999999999</v>
      </c>
      <c r="Q53" s="1">
        <v>92.980000000000018</v>
      </c>
      <c r="R53" s="1"/>
      <c r="S53" s="1"/>
      <c r="T53" s="1">
        <v>100</v>
      </c>
      <c r="U53" s="1"/>
      <c r="V53" s="15"/>
      <c r="W53" s="15"/>
      <c r="X53" s="1">
        <f t="shared" si="10"/>
        <v>31</v>
      </c>
      <c r="Y53" s="5">
        <f>12*X53-U53-T53-S53-R53-Q53-P53-O53-F53</f>
        <v>101.39999999999999</v>
      </c>
      <c r="Z53" s="5">
        <f t="shared" si="15"/>
        <v>101.39999999999999</v>
      </c>
      <c r="AA53" s="1">
        <f t="shared" si="11"/>
        <v>12</v>
      </c>
      <c r="AB53" s="1">
        <f t="shared" si="12"/>
        <v>8.7290322580645174</v>
      </c>
      <c r="AC53" s="1">
        <v>31.8</v>
      </c>
      <c r="AD53" s="1">
        <v>22.2</v>
      </c>
      <c r="AE53" s="1">
        <v>21.8</v>
      </c>
      <c r="AF53" s="1">
        <v>22.8</v>
      </c>
      <c r="AG53" s="1">
        <v>20.8</v>
      </c>
      <c r="AH53" s="1">
        <v>17.399999999999999</v>
      </c>
      <c r="AI53" s="1">
        <v>23</v>
      </c>
      <c r="AJ53" s="1">
        <v>36</v>
      </c>
      <c r="AK53" s="1">
        <v>29</v>
      </c>
      <c r="AL53" s="1">
        <v>28</v>
      </c>
      <c r="AM53" s="1"/>
      <c r="AN53" s="1">
        <f t="shared" si="13"/>
        <v>46</v>
      </c>
    </row>
    <row r="54" spans="1:40" x14ac:dyDescent="0.25">
      <c r="A54" s="1" t="s">
        <v>104</v>
      </c>
      <c r="B54" s="1" t="s">
        <v>50</v>
      </c>
      <c r="C54" s="1">
        <v>207</v>
      </c>
      <c r="D54" s="1">
        <v>294</v>
      </c>
      <c r="E54" s="1">
        <v>202</v>
      </c>
      <c r="F54" s="1">
        <v>225</v>
      </c>
      <c r="G54" s="7">
        <v>0.45</v>
      </c>
      <c r="H54" s="1">
        <v>50</v>
      </c>
      <c r="I54" s="1" t="s">
        <v>46</v>
      </c>
      <c r="J54" s="1"/>
      <c r="K54" s="1">
        <v>203</v>
      </c>
      <c r="L54" s="1">
        <f t="shared" si="9"/>
        <v>-1</v>
      </c>
      <c r="M54" s="1"/>
      <c r="N54" s="1"/>
      <c r="O54" s="1"/>
      <c r="P54" s="1">
        <v>0</v>
      </c>
      <c r="Q54" s="1">
        <v>0</v>
      </c>
      <c r="R54" s="1"/>
      <c r="S54" s="1"/>
      <c r="T54" s="1"/>
      <c r="U54" s="1"/>
      <c r="V54" s="15"/>
      <c r="W54" s="15"/>
      <c r="X54" s="1">
        <f t="shared" si="10"/>
        <v>40.4</v>
      </c>
      <c r="Y54" s="5">
        <f>12*X54-U54-T54-S54-R54-Q54-P54-O54-F54</f>
        <v>259.79999999999995</v>
      </c>
      <c r="Z54" s="5">
        <f t="shared" si="15"/>
        <v>259.79999999999995</v>
      </c>
      <c r="AA54" s="1">
        <f t="shared" si="11"/>
        <v>12</v>
      </c>
      <c r="AB54" s="1">
        <f t="shared" si="12"/>
        <v>5.5693069306930694</v>
      </c>
      <c r="AC54" s="1">
        <v>26.6</v>
      </c>
      <c r="AD54" s="1">
        <v>33.4</v>
      </c>
      <c r="AE54" s="1">
        <v>48.6</v>
      </c>
      <c r="AF54" s="1">
        <v>40.6</v>
      </c>
      <c r="AG54" s="1">
        <v>35.6</v>
      </c>
      <c r="AH54" s="1">
        <v>40.6</v>
      </c>
      <c r="AI54" s="1">
        <v>40.4</v>
      </c>
      <c r="AJ54" s="1">
        <v>42.6</v>
      </c>
      <c r="AK54" s="1">
        <v>49.2</v>
      </c>
      <c r="AL54" s="1">
        <v>37</v>
      </c>
      <c r="AM54" s="1"/>
      <c r="AN54" s="1">
        <f t="shared" si="13"/>
        <v>117</v>
      </c>
    </row>
    <row r="55" spans="1:40" x14ac:dyDescent="0.25">
      <c r="A55" s="1" t="s">
        <v>105</v>
      </c>
      <c r="B55" s="1" t="s">
        <v>50</v>
      </c>
      <c r="C55" s="1">
        <v>177</v>
      </c>
      <c r="D55" s="1">
        <v>3</v>
      </c>
      <c r="E55" s="1">
        <v>163</v>
      </c>
      <c r="F55" s="1">
        <v>-7</v>
      </c>
      <c r="G55" s="7">
        <v>0.4</v>
      </c>
      <c r="H55" s="1">
        <v>40</v>
      </c>
      <c r="I55" s="1" t="s">
        <v>46</v>
      </c>
      <c r="J55" s="1"/>
      <c r="K55" s="1">
        <v>167</v>
      </c>
      <c r="L55" s="1">
        <f t="shared" si="9"/>
        <v>-4</v>
      </c>
      <c r="M55" s="1"/>
      <c r="N55" s="1"/>
      <c r="O55" s="1"/>
      <c r="P55" s="1">
        <v>62.5</v>
      </c>
      <c r="Q55" s="1">
        <v>118.3</v>
      </c>
      <c r="R55" s="1">
        <v>-120</v>
      </c>
      <c r="S55" s="1"/>
      <c r="T55" s="1">
        <v>50</v>
      </c>
      <c r="U55" s="1"/>
      <c r="V55" s="15"/>
      <c r="W55" s="15"/>
      <c r="X55" s="1">
        <f t="shared" si="10"/>
        <v>32.6</v>
      </c>
      <c r="Y55" s="5">
        <f>10*X55-U55-T55-S55-R55-Q55-P55-O55-F55</f>
        <v>222.2</v>
      </c>
      <c r="Z55" s="5">
        <f t="shared" si="15"/>
        <v>222.2</v>
      </c>
      <c r="AA55" s="1">
        <f t="shared" si="11"/>
        <v>10</v>
      </c>
      <c r="AB55" s="1">
        <f t="shared" si="12"/>
        <v>3.1840490797546015</v>
      </c>
      <c r="AC55" s="1">
        <v>27.8</v>
      </c>
      <c r="AD55" s="1">
        <v>19</v>
      </c>
      <c r="AE55" s="1">
        <v>19</v>
      </c>
      <c r="AF55" s="1">
        <v>9.1999999999999993</v>
      </c>
      <c r="AG55" s="1">
        <v>1.2</v>
      </c>
      <c r="AH55" s="1">
        <v>11.8</v>
      </c>
      <c r="AI55" s="1">
        <v>23</v>
      </c>
      <c r="AJ55" s="1">
        <v>16.399999999999999</v>
      </c>
      <c r="AK55" s="1">
        <v>12.2</v>
      </c>
      <c r="AL55" s="1">
        <v>18.399999999999999</v>
      </c>
      <c r="AM55" s="1"/>
      <c r="AN55" s="1">
        <f t="shared" si="13"/>
        <v>89</v>
      </c>
    </row>
    <row r="56" spans="1:40" x14ac:dyDescent="0.25">
      <c r="A56" s="1" t="s">
        <v>106</v>
      </c>
      <c r="B56" s="1" t="s">
        <v>50</v>
      </c>
      <c r="C56" s="1"/>
      <c r="D56" s="1">
        <v>186</v>
      </c>
      <c r="E56" s="1">
        <v>158</v>
      </c>
      <c r="F56" s="1">
        <v>10</v>
      </c>
      <c r="G56" s="7">
        <v>0.4</v>
      </c>
      <c r="H56" s="1">
        <v>40</v>
      </c>
      <c r="I56" s="1" t="s">
        <v>46</v>
      </c>
      <c r="J56" s="1"/>
      <c r="K56" s="1">
        <v>162</v>
      </c>
      <c r="L56" s="1">
        <f t="shared" si="9"/>
        <v>-4</v>
      </c>
      <c r="M56" s="1"/>
      <c r="N56" s="1"/>
      <c r="O56" s="1"/>
      <c r="P56" s="1">
        <v>0</v>
      </c>
      <c r="Q56" s="1">
        <v>60.199999999999989</v>
      </c>
      <c r="R56" s="1">
        <v>-60</v>
      </c>
      <c r="S56" s="1"/>
      <c r="T56" s="1">
        <v>50</v>
      </c>
      <c r="U56" s="1">
        <v>-54</v>
      </c>
      <c r="V56" s="15"/>
      <c r="W56" s="15"/>
      <c r="X56" s="1">
        <f t="shared" si="10"/>
        <v>31.6</v>
      </c>
      <c r="Y56" s="5">
        <f>7*X56-U56-T56-S56-R56-Q56-P56-O56-F56</f>
        <v>215.00000000000006</v>
      </c>
      <c r="Z56" s="5">
        <f t="shared" si="15"/>
        <v>215.00000000000006</v>
      </c>
      <c r="AA56" s="1">
        <f t="shared" si="11"/>
        <v>7.0000000000000009</v>
      </c>
      <c r="AB56" s="1">
        <f t="shared" si="12"/>
        <v>0.19620253164556925</v>
      </c>
      <c r="AC56" s="1">
        <v>18.2</v>
      </c>
      <c r="AD56" s="1">
        <v>-0.8</v>
      </c>
      <c r="AE56" s="1">
        <v>8.8000000000000007</v>
      </c>
      <c r="AF56" s="1">
        <v>15.6</v>
      </c>
      <c r="AG56" s="1">
        <v>14.2</v>
      </c>
      <c r="AH56" s="1">
        <v>6</v>
      </c>
      <c r="AI56" s="1">
        <v>0.4</v>
      </c>
      <c r="AJ56" s="1">
        <v>11</v>
      </c>
      <c r="AK56" s="1">
        <v>18.8</v>
      </c>
      <c r="AL56" s="1">
        <v>16.600000000000001</v>
      </c>
      <c r="AM56" s="1"/>
      <c r="AN56" s="1">
        <f t="shared" si="13"/>
        <v>86</v>
      </c>
    </row>
    <row r="57" spans="1:40" x14ac:dyDescent="0.25">
      <c r="A57" s="1" t="s">
        <v>107</v>
      </c>
      <c r="B57" s="1" t="s">
        <v>45</v>
      </c>
      <c r="C57" s="1">
        <v>259.10300000000001</v>
      </c>
      <c r="D57" s="1">
        <v>4.0599999999999996</v>
      </c>
      <c r="E57" s="1">
        <v>94.26</v>
      </c>
      <c r="F57" s="1">
        <v>146.07900000000001</v>
      </c>
      <c r="G57" s="7">
        <v>1</v>
      </c>
      <c r="H57" s="1">
        <v>50</v>
      </c>
      <c r="I57" s="1" t="s">
        <v>46</v>
      </c>
      <c r="J57" s="1"/>
      <c r="K57" s="1">
        <v>92.25</v>
      </c>
      <c r="L57" s="1">
        <f t="shared" si="9"/>
        <v>2.0100000000000051</v>
      </c>
      <c r="M57" s="1"/>
      <c r="N57" s="1"/>
      <c r="O57" s="1">
        <v>50</v>
      </c>
      <c r="P57" s="1">
        <v>0</v>
      </c>
      <c r="Q57" s="1">
        <v>0</v>
      </c>
      <c r="R57" s="1"/>
      <c r="S57" s="1"/>
      <c r="T57" s="1"/>
      <c r="U57" s="1"/>
      <c r="V57" s="15"/>
      <c r="W57" s="15"/>
      <c r="X57" s="1">
        <f t="shared" si="10"/>
        <v>18.852</v>
      </c>
      <c r="Y57" s="5">
        <f>12*X57-U57-T57-S57-R57-Q57-P57-O57-F57</f>
        <v>30.144999999999982</v>
      </c>
      <c r="Z57" s="5">
        <f t="shared" si="15"/>
        <v>30.144999999999982</v>
      </c>
      <c r="AA57" s="1">
        <f t="shared" si="11"/>
        <v>12</v>
      </c>
      <c r="AB57" s="1">
        <f t="shared" si="12"/>
        <v>10.4009654148101</v>
      </c>
      <c r="AC57" s="1">
        <v>18.622800000000002</v>
      </c>
      <c r="AD57" s="1">
        <v>15.298999999999999</v>
      </c>
      <c r="AE57" s="1">
        <v>19.466200000000001</v>
      </c>
      <c r="AF57" s="1">
        <v>19.613600000000002</v>
      </c>
      <c r="AG57" s="1">
        <v>23.474799999999998</v>
      </c>
      <c r="AH57" s="1">
        <v>30.131599999999999</v>
      </c>
      <c r="AI57" s="1">
        <v>27.6572</v>
      </c>
      <c r="AJ57" s="1">
        <v>10.188000000000001</v>
      </c>
      <c r="AK57" s="1">
        <v>11.5906</v>
      </c>
      <c r="AL57" s="1">
        <v>24.2422</v>
      </c>
      <c r="AM57" s="1"/>
      <c r="AN57" s="1">
        <f t="shared" si="13"/>
        <v>30</v>
      </c>
    </row>
    <row r="58" spans="1:40" x14ac:dyDescent="0.25">
      <c r="A58" s="1" t="s">
        <v>108</v>
      </c>
      <c r="B58" s="1" t="s">
        <v>50</v>
      </c>
      <c r="C58" s="1">
        <v>360</v>
      </c>
      <c r="D58" s="1">
        <v>52</v>
      </c>
      <c r="E58" s="1">
        <v>127</v>
      </c>
      <c r="F58" s="1">
        <v>211</v>
      </c>
      <c r="G58" s="7">
        <v>0.1</v>
      </c>
      <c r="H58" s="1">
        <v>731</v>
      </c>
      <c r="I58" s="1" t="s">
        <v>46</v>
      </c>
      <c r="J58" s="1"/>
      <c r="K58" s="1">
        <v>119</v>
      </c>
      <c r="L58" s="1">
        <f t="shared" si="9"/>
        <v>8</v>
      </c>
      <c r="M58" s="1"/>
      <c r="N58" s="1"/>
      <c r="O58" s="1"/>
      <c r="P58" s="1">
        <v>139.8000000000001</v>
      </c>
      <c r="Q58" s="1">
        <v>0</v>
      </c>
      <c r="R58" s="1"/>
      <c r="S58" s="1"/>
      <c r="T58" s="1"/>
      <c r="U58" s="1"/>
      <c r="V58" s="15"/>
      <c r="W58" s="15"/>
      <c r="X58" s="1">
        <f t="shared" si="10"/>
        <v>25.4</v>
      </c>
      <c r="Y58" s="5"/>
      <c r="Z58" s="5">
        <f t="shared" si="15"/>
        <v>0</v>
      </c>
      <c r="AA58" s="1">
        <f t="shared" si="11"/>
        <v>13.811023622047248</v>
      </c>
      <c r="AB58" s="1">
        <f t="shared" si="12"/>
        <v>13.811023622047248</v>
      </c>
      <c r="AC58" s="1">
        <v>33</v>
      </c>
      <c r="AD58" s="1">
        <v>46</v>
      </c>
      <c r="AE58" s="1">
        <v>45.8</v>
      </c>
      <c r="AF58" s="1">
        <v>44</v>
      </c>
      <c r="AG58" s="1">
        <v>22</v>
      </c>
      <c r="AH58" s="1">
        <v>45</v>
      </c>
      <c r="AI58" s="1">
        <v>59.4</v>
      </c>
      <c r="AJ58" s="1">
        <v>43.8</v>
      </c>
      <c r="AK58" s="1">
        <v>44</v>
      </c>
      <c r="AL58" s="1">
        <v>24.6</v>
      </c>
      <c r="AM58" s="1"/>
      <c r="AN58" s="1">
        <f t="shared" si="13"/>
        <v>0</v>
      </c>
    </row>
    <row r="59" spans="1:40" x14ac:dyDescent="0.25">
      <c r="A59" s="1" t="s">
        <v>109</v>
      </c>
      <c r="B59" s="1" t="s">
        <v>45</v>
      </c>
      <c r="C59" s="1">
        <v>128.04</v>
      </c>
      <c r="D59" s="1">
        <v>75.965000000000003</v>
      </c>
      <c r="E59" s="1">
        <v>64.269000000000005</v>
      </c>
      <c r="F59" s="1">
        <v>127.70399999999999</v>
      </c>
      <c r="G59" s="7">
        <v>1</v>
      </c>
      <c r="H59" s="1">
        <v>50</v>
      </c>
      <c r="I59" s="1" t="s">
        <v>46</v>
      </c>
      <c r="J59" s="1"/>
      <c r="K59" s="1">
        <v>61.4</v>
      </c>
      <c r="L59" s="1">
        <f t="shared" si="9"/>
        <v>2.8690000000000069</v>
      </c>
      <c r="M59" s="1"/>
      <c r="N59" s="1"/>
      <c r="O59" s="1"/>
      <c r="P59" s="1">
        <v>43.134700000000016</v>
      </c>
      <c r="Q59" s="1">
        <v>0</v>
      </c>
      <c r="R59" s="1"/>
      <c r="S59" s="1"/>
      <c r="T59" s="1"/>
      <c r="U59" s="1"/>
      <c r="V59" s="15"/>
      <c r="W59" s="15"/>
      <c r="X59" s="1">
        <f t="shared" si="10"/>
        <v>12.853800000000001</v>
      </c>
      <c r="Y59" s="5"/>
      <c r="Z59" s="5">
        <f t="shared" si="15"/>
        <v>0</v>
      </c>
      <c r="AA59" s="1">
        <f t="shared" si="11"/>
        <v>13.290910081065521</v>
      </c>
      <c r="AB59" s="1">
        <f t="shared" si="12"/>
        <v>13.290910081065521</v>
      </c>
      <c r="AC59" s="1">
        <v>14.462999999999999</v>
      </c>
      <c r="AD59" s="1">
        <v>19.234200000000001</v>
      </c>
      <c r="AE59" s="1">
        <v>21.715800000000002</v>
      </c>
      <c r="AF59" s="1">
        <v>16.465399999999999</v>
      </c>
      <c r="AG59" s="1">
        <v>16.174800000000001</v>
      </c>
      <c r="AH59" s="1">
        <v>20.6662</v>
      </c>
      <c r="AI59" s="1">
        <v>20.6676</v>
      </c>
      <c r="AJ59" s="1">
        <v>20.402799999999999</v>
      </c>
      <c r="AK59" s="1">
        <v>18.515999999999998</v>
      </c>
      <c r="AL59" s="1">
        <v>5.1243999999999996</v>
      </c>
      <c r="AM59" s="1"/>
      <c r="AN59" s="1">
        <f t="shared" si="13"/>
        <v>0</v>
      </c>
    </row>
    <row r="60" spans="1:40" x14ac:dyDescent="0.25">
      <c r="A60" s="1" t="s">
        <v>110</v>
      </c>
      <c r="B60" s="1" t="s">
        <v>45</v>
      </c>
      <c r="C60" s="1">
        <v>20.146000000000001</v>
      </c>
      <c r="D60" s="1">
        <v>38.241</v>
      </c>
      <c r="E60" s="1">
        <v>20.228000000000002</v>
      </c>
      <c r="F60" s="1">
        <v>32.752000000000002</v>
      </c>
      <c r="G60" s="7">
        <v>1</v>
      </c>
      <c r="H60" s="1">
        <v>55</v>
      </c>
      <c r="I60" s="1" t="s">
        <v>46</v>
      </c>
      <c r="J60" s="1"/>
      <c r="K60" s="1">
        <v>19.899999999999999</v>
      </c>
      <c r="L60" s="1">
        <f t="shared" si="9"/>
        <v>0.32800000000000296</v>
      </c>
      <c r="M60" s="1"/>
      <c r="N60" s="1"/>
      <c r="O60" s="1"/>
      <c r="P60" s="1">
        <v>18.481200000000001</v>
      </c>
      <c r="Q60" s="1">
        <v>4</v>
      </c>
      <c r="R60" s="1"/>
      <c r="S60" s="1"/>
      <c r="T60" s="1"/>
      <c r="U60" s="1"/>
      <c r="V60" s="15"/>
      <c r="W60" s="15"/>
      <c r="X60" s="1">
        <f t="shared" si="10"/>
        <v>4.0456000000000003</v>
      </c>
      <c r="Y60" s="5"/>
      <c r="Z60" s="5">
        <f t="shared" si="15"/>
        <v>0</v>
      </c>
      <c r="AA60" s="1">
        <f t="shared" si="11"/>
        <v>13.652659679651967</v>
      </c>
      <c r="AB60" s="1">
        <f t="shared" si="12"/>
        <v>13.652659679651967</v>
      </c>
      <c r="AC60" s="1">
        <v>5.1433999999999997</v>
      </c>
      <c r="AD60" s="1">
        <v>5.1475999999999997</v>
      </c>
      <c r="AE60" s="1">
        <v>5.4037999999999986</v>
      </c>
      <c r="AF60" s="1">
        <v>4.0573999999999986</v>
      </c>
      <c r="AG60" s="1">
        <v>2.7052</v>
      </c>
      <c r="AH60" s="1">
        <v>1.0808</v>
      </c>
      <c r="AI60" s="1">
        <v>2.1631999999999998</v>
      </c>
      <c r="AJ60" s="1">
        <v>5.6636000000000006</v>
      </c>
      <c r="AK60" s="1">
        <v>6.7619999999999996</v>
      </c>
      <c r="AL60" s="1">
        <v>3.774</v>
      </c>
      <c r="AM60" s="1"/>
      <c r="AN60" s="1">
        <f t="shared" si="13"/>
        <v>0</v>
      </c>
    </row>
    <row r="61" spans="1:40" x14ac:dyDescent="0.25">
      <c r="A61" s="1" t="s">
        <v>111</v>
      </c>
      <c r="B61" s="1" t="s">
        <v>50</v>
      </c>
      <c r="C61" s="1">
        <v>304</v>
      </c>
      <c r="D61" s="1">
        <v>32</v>
      </c>
      <c r="E61" s="1">
        <v>181</v>
      </c>
      <c r="F61" s="1">
        <v>39</v>
      </c>
      <c r="G61" s="7">
        <v>0.1</v>
      </c>
      <c r="H61" s="1">
        <v>731</v>
      </c>
      <c r="I61" s="1" t="s">
        <v>46</v>
      </c>
      <c r="J61" s="1"/>
      <c r="K61" s="1">
        <v>188</v>
      </c>
      <c r="L61" s="1">
        <f t="shared" si="9"/>
        <v>-7</v>
      </c>
      <c r="M61" s="1"/>
      <c r="N61" s="1"/>
      <c r="O61" s="1"/>
      <c r="P61" s="1">
        <v>159.52000000000001</v>
      </c>
      <c r="Q61" s="1">
        <v>0</v>
      </c>
      <c r="R61" s="1"/>
      <c r="S61" s="1"/>
      <c r="T61" s="1"/>
      <c r="U61" s="1"/>
      <c r="V61" s="15"/>
      <c r="W61" s="15"/>
      <c r="X61" s="1">
        <f t="shared" si="10"/>
        <v>36.200000000000003</v>
      </c>
      <c r="Y61" s="5">
        <f>12*X61-U61-T61-S61-R61-Q61-P61-O61-F61</f>
        <v>235.88</v>
      </c>
      <c r="Z61" s="5">
        <f t="shared" si="15"/>
        <v>235.88</v>
      </c>
      <c r="AA61" s="1">
        <f t="shared" si="11"/>
        <v>11.999999999999998</v>
      </c>
      <c r="AB61" s="1">
        <f t="shared" si="12"/>
        <v>5.4839779005524862</v>
      </c>
      <c r="AC61" s="1">
        <v>27</v>
      </c>
      <c r="AD61" s="1">
        <v>41.2</v>
      </c>
      <c r="AE61" s="1">
        <v>38.799999999999997</v>
      </c>
      <c r="AF61" s="1">
        <v>36</v>
      </c>
      <c r="AG61" s="1">
        <v>32.6</v>
      </c>
      <c r="AH61" s="1">
        <v>50.2</v>
      </c>
      <c r="AI61" s="1">
        <v>53</v>
      </c>
      <c r="AJ61" s="1">
        <v>35.6</v>
      </c>
      <c r="AK61" s="1">
        <v>34</v>
      </c>
      <c r="AL61" s="1">
        <v>33</v>
      </c>
      <c r="AM61" s="1"/>
      <c r="AN61" s="1">
        <f t="shared" si="13"/>
        <v>24</v>
      </c>
    </row>
    <row r="62" spans="1:40" x14ac:dyDescent="0.25">
      <c r="A62" s="1" t="s">
        <v>112</v>
      </c>
      <c r="B62" s="1" t="s">
        <v>50</v>
      </c>
      <c r="C62" s="1"/>
      <c r="D62" s="1">
        <v>90</v>
      </c>
      <c r="E62" s="1">
        <v>15</v>
      </c>
      <c r="F62" s="1">
        <v>65</v>
      </c>
      <c r="G62" s="7">
        <v>0.4</v>
      </c>
      <c r="H62" s="1">
        <v>50</v>
      </c>
      <c r="I62" s="1" t="s">
        <v>46</v>
      </c>
      <c r="J62" s="1"/>
      <c r="K62" s="1">
        <v>16</v>
      </c>
      <c r="L62" s="1">
        <f t="shared" si="9"/>
        <v>-1</v>
      </c>
      <c r="M62" s="1"/>
      <c r="N62" s="1"/>
      <c r="O62" s="1"/>
      <c r="P62" s="1">
        <v>0</v>
      </c>
      <c r="Q62" s="1">
        <v>0</v>
      </c>
      <c r="R62" s="1"/>
      <c r="S62" s="1"/>
      <c r="T62" s="1"/>
      <c r="U62" s="1"/>
      <c r="V62" s="15"/>
      <c r="W62" s="15"/>
      <c r="X62" s="1">
        <f t="shared" si="10"/>
        <v>3</v>
      </c>
      <c r="Y62" s="5"/>
      <c r="Z62" s="5">
        <f t="shared" si="15"/>
        <v>0</v>
      </c>
      <c r="AA62" s="1">
        <f t="shared" si="11"/>
        <v>21.666666666666668</v>
      </c>
      <c r="AB62" s="1">
        <f t="shared" si="12"/>
        <v>21.666666666666668</v>
      </c>
      <c r="AC62" s="1">
        <v>1.2</v>
      </c>
      <c r="AD62" s="1">
        <v>5</v>
      </c>
      <c r="AE62" s="1">
        <v>7.6</v>
      </c>
      <c r="AF62" s="1">
        <v>4.8</v>
      </c>
      <c r="AG62" s="1">
        <v>3.6</v>
      </c>
      <c r="AH62" s="1">
        <v>3</v>
      </c>
      <c r="AI62" s="1">
        <v>2.2000000000000002</v>
      </c>
      <c r="AJ62" s="1">
        <v>5.2</v>
      </c>
      <c r="AK62" s="1">
        <v>5.4</v>
      </c>
      <c r="AL62" s="1">
        <v>4.2</v>
      </c>
      <c r="AM62" s="1"/>
      <c r="AN62" s="1">
        <f t="shared" si="13"/>
        <v>0</v>
      </c>
    </row>
    <row r="63" spans="1:40" x14ac:dyDescent="0.25">
      <c r="A63" s="1" t="s">
        <v>113</v>
      </c>
      <c r="B63" s="1" t="s">
        <v>45</v>
      </c>
      <c r="C63" s="1">
        <v>21.997</v>
      </c>
      <c r="D63" s="1">
        <v>7.8659999999999997</v>
      </c>
      <c r="E63" s="1">
        <v>21.806000000000001</v>
      </c>
      <c r="F63" s="1">
        <v>8.0570000000000004</v>
      </c>
      <c r="G63" s="7">
        <v>1</v>
      </c>
      <c r="H63" s="1">
        <v>40</v>
      </c>
      <c r="I63" s="1" t="s">
        <v>46</v>
      </c>
      <c r="J63" s="1"/>
      <c r="K63" s="1">
        <v>23.2</v>
      </c>
      <c r="L63" s="1">
        <f t="shared" si="9"/>
        <v>-1.3939999999999984</v>
      </c>
      <c r="M63" s="1"/>
      <c r="N63" s="1"/>
      <c r="O63" s="1"/>
      <c r="P63" s="1">
        <v>12.0678</v>
      </c>
      <c r="Q63" s="1">
        <v>0</v>
      </c>
      <c r="R63" s="1"/>
      <c r="S63" s="1"/>
      <c r="T63" s="1"/>
      <c r="U63" s="1"/>
      <c r="V63" s="15"/>
      <c r="W63" s="15"/>
      <c r="X63" s="1">
        <f t="shared" si="10"/>
        <v>4.3612000000000002</v>
      </c>
      <c r="Y63" s="5">
        <f>12*X63-U63-T63-S63-R63-Q63-P63-O63-F63</f>
        <v>32.209600000000002</v>
      </c>
      <c r="Z63" s="5">
        <f t="shared" si="15"/>
        <v>32.209600000000002</v>
      </c>
      <c r="AA63" s="1">
        <f t="shared" si="11"/>
        <v>12</v>
      </c>
      <c r="AB63" s="1">
        <f t="shared" si="12"/>
        <v>4.6145097679537743</v>
      </c>
      <c r="AC63" s="1">
        <v>1.5891999999999999</v>
      </c>
      <c r="AD63" s="1">
        <v>3.0236000000000001</v>
      </c>
      <c r="AE63" s="1">
        <v>3.0611999999999999</v>
      </c>
      <c r="AF63" s="1">
        <v>0.83219999999999994</v>
      </c>
      <c r="AG63" s="1">
        <v>0</v>
      </c>
      <c r="AH63" s="1">
        <v>0</v>
      </c>
      <c r="AI63" s="1">
        <v>0</v>
      </c>
      <c r="AJ63" s="1">
        <v>3.2136</v>
      </c>
      <c r="AK63" s="1">
        <v>3.2136</v>
      </c>
      <c r="AL63" s="1">
        <v>1.5266</v>
      </c>
      <c r="AM63" s="1"/>
      <c r="AN63" s="1">
        <f t="shared" si="13"/>
        <v>32</v>
      </c>
    </row>
    <row r="64" spans="1:40" x14ac:dyDescent="0.25">
      <c r="A64" s="1" t="s">
        <v>114</v>
      </c>
      <c r="B64" s="1" t="s">
        <v>45</v>
      </c>
      <c r="C64" s="1">
        <v>141.24100000000001</v>
      </c>
      <c r="D64" s="1"/>
      <c r="E64" s="1">
        <v>38.725000000000001</v>
      </c>
      <c r="F64" s="1">
        <v>91.391000000000005</v>
      </c>
      <c r="G64" s="7">
        <v>1</v>
      </c>
      <c r="H64" s="1">
        <v>40</v>
      </c>
      <c r="I64" s="1" t="s">
        <v>46</v>
      </c>
      <c r="J64" s="1"/>
      <c r="K64" s="1">
        <v>39.1</v>
      </c>
      <c r="L64" s="1">
        <f t="shared" si="9"/>
        <v>-0.375</v>
      </c>
      <c r="M64" s="1"/>
      <c r="N64" s="1"/>
      <c r="O64" s="1"/>
      <c r="P64" s="1">
        <v>0</v>
      </c>
      <c r="Q64" s="1">
        <v>0</v>
      </c>
      <c r="R64" s="1"/>
      <c r="S64" s="1"/>
      <c r="T64" s="1"/>
      <c r="U64" s="1"/>
      <c r="V64" s="15"/>
      <c r="W64" s="15"/>
      <c r="X64" s="1">
        <f t="shared" si="10"/>
        <v>7.7450000000000001</v>
      </c>
      <c r="Y64" s="5"/>
      <c r="Z64" s="5">
        <f t="shared" si="15"/>
        <v>0</v>
      </c>
      <c r="AA64" s="1">
        <f t="shared" si="11"/>
        <v>11.8</v>
      </c>
      <c r="AB64" s="1">
        <f t="shared" si="12"/>
        <v>11.8</v>
      </c>
      <c r="AC64" s="1">
        <v>3.6516000000000002</v>
      </c>
      <c r="AD64" s="1">
        <v>5.5808</v>
      </c>
      <c r="AE64" s="1">
        <v>9.1449999999999996</v>
      </c>
      <c r="AF64" s="1">
        <v>8.0937999999999999</v>
      </c>
      <c r="AG64" s="1">
        <v>4.8628</v>
      </c>
      <c r="AH64" s="1">
        <v>0</v>
      </c>
      <c r="AI64" s="1">
        <v>1.8466</v>
      </c>
      <c r="AJ64" s="1">
        <v>17.136600000000001</v>
      </c>
      <c r="AK64" s="1">
        <v>19.513000000000002</v>
      </c>
      <c r="AL64" s="1">
        <v>-6.1999999999999998E-3</v>
      </c>
      <c r="AM64" s="1"/>
      <c r="AN64" s="1">
        <f t="shared" si="13"/>
        <v>0</v>
      </c>
    </row>
    <row r="65" spans="1:40" x14ac:dyDescent="0.25">
      <c r="A65" s="1" t="s">
        <v>115</v>
      </c>
      <c r="B65" s="1" t="s">
        <v>50</v>
      </c>
      <c r="C65" s="1">
        <v>531</v>
      </c>
      <c r="D65" s="1">
        <v>149</v>
      </c>
      <c r="E65" s="1">
        <v>319</v>
      </c>
      <c r="F65" s="1">
        <v>343</v>
      </c>
      <c r="G65" s="7">
        <v>0.4</v>
      </c>
      <c r="H65" s="1">
        <v>40</v>
      </c>
      <c r="I65" s="1" t="s">
        <v>46</v>
      </c>
      <c r="J65" s="1"/>
      <c r="K65" s="1">
        <v>535</v>
      </c>
      <c r="L65" s="1">
        <f t="shared" si="9"/>
        <v>-216</v>
      </c>
      <c r="M65" s="1"/>
      <c r="N65" s="1"/>
      <c r="O65" s="1"/>
      <c r="P65" s="1">
        <v>20.300000000000029</v>
      </c>
      <c r="Q65" s="1">
        <v>114.2200000000003</v>
      </c>
      <c r="R65" s="1">
        <v>-120</v>
      </c>
      <c r="S65" s="1"/>
      <c r="T65" s="1">
        <v>50</v>
      </c>
      <c r="U65" s="1">
        <v>-54</v>
      </c>
      <c r="V65" s="15"/>
      <c r="W65" s="15"/>
      <c r="X65" s="1">
        <f t="shared" si="10"/>
        <v>63.8</v>
      </c>
      <c r="Y65" s="5">
        <f>12*X65-U65-T65-S65-R65-Q65-P65-O65-F65</f>
        <v>412.07999999999959</v>
      </c>
      <c r="Z65" s="5">
        <f>Y65+$Z$1*X65</f>
        <v>348.27999999999957</v>
      </c>
      <c r="AA65" s="1">
        <f t="shared" si="11"/>
        <v>11</v>
      </c>
      <c r="AB65" s="1">
        <f t="shared" si="12"/>
        <v>5.5410658307210081</v>
      </c>
      <c r="AC65" s="1">
        <v>81.2</v>
      </c>
      <c r="AD65" s="1">
        <v>86.2</v>
      </c>
      <c r="AE65" s="1">
        <v>112.6</v>
      </c>
      <c r="AF65" s="1">
        <v>85.6</v>
      </c>
      <c r="AG65" s="1">
        <v>71.599999999999994</v>
      </c>
      <c r="AH65" s="1">
        <v>109.6</v>
      </c>
      <c r="AI65" s="1">
        <v>96.8</v>
      </c>
      <c r="AJ65" s="1">
        <v>28.4</v>
      </c>
      <c r="AK65" s="1">
        <v>40</v>
      </c>
      <c r="AL65" s="1">
        <v>106.4</v>
      </c>
      <c r="AM65" s="1"/>
      <c r="AN65" s="1">
        <f t="shared" si="13"/>
        <v>139</v>
      </c>
    </row>
    <row r="66" spans="1:40" x14ac:dyDescent="0.25">
      <c r="A66" s="1" t="s">
        <v>116</v>
      </c>
      <c r="B66" s="1" t="s">
        <v>50</v>
      </c>
      <c r="C66" s="1">
        <v>455</v>
      </c>
      <c r="D66" s="1">
        <v>8</v>
      </c>
      <c r="E66" s="1">
        <v>463</v>
      </c>
      <c r="F66" s="1">
        <v>-1</v>
      </c>
      <c r="G66" s="7">
        <v>0.4</v>
      </c>
      <c r="H66" s="1">
        <v>40</v>
      </c>
      <c r="I66" s="1" t="s">
        <v>46</v>
      </c>
      <c r="J66" s="1"/>
      <c r="K66" s="1">
        <v>497</v>
      </c>
      <c r="L66" s="1">
        <f t="shared" si="9"/>
        <v>-34</v>
      </c>
      <c r="M66" s="1"/>
      <c r="N66" s="1"/>
      <c r="O66" s="1"/>
      <c r="P66" s="1">
        <v>76.099999999999909</v>
      </c>
      <c r="Q66" s="1">
        <v>150.5</v>
      </c>
      <c r="R66" s="1">
        <v>-150</v>
      </c>
      <c r="S66" s="1"/>
      <c r="T66" s="1">
        <v>100</v>
      </c>
      <c r="U66" s="1">
        <v>-102</v>
      </c>
      <c r="V66" s="15"/>
      <c r="W66" s="15">
        <v>-230.4</v>
      </c>
      <c r="X66" s="1">
        <f t="shared" si="10"/>
        <v>92.6</v>
      </c>
      <c r="Y66" s="5">
        <f>8*X66-U66-T66-S66-R66-Q66-P66-O66-F66</f>
        <v>667.2</v>
      </c>
      <c r="Z66" s="5">
        <f>Y66+$Z$1*X66</f>
        <v>574.6</v>
      </c>
      <c r="AA66" s="1">
        <f t="shared" si="11"/>
        <v>7</v>
      </c>
      <c r="AB66" s="1">
        <f t="shared" si="12"/>
        <v>0.79481641468682407</v>
      </c>
      <c r="AC66" s="1">
        <v>69</v>
      </c>
      <c r="AD66" s="1">
        <v>57.4</v>
      </c>
      <c r="AE66" s="1">
        <v>72.400000000000006</v>
      </c>
      <c r="AF66" s="1">
        <v>47.8</v>
      </c>
      <c r="AG66" s="1">
        <v>37.4</v>
      </c>
      <c r="AH66" s="1">
        <v>71.599999999999994</v>
      </c>
      <c r="AI66" s="1">
        <v>76.599999999999994</v>
      </c>
      <c r="AJ66" s="1">
        <v>54.2</v>
      </c>
      <c r="AK66" s="1">
        <v>24</v>
      </c>
      <c r="AL66" s="1">
        <v>59.8</v>
      </c>
      <c r="AM66" s="1"/>
      <c r="AN66" s="1">
        <f t="shared" si="13"/>
        <v>230</v>
      </c>
    </row>
    <row r="67" spans="1:40" x14ac:dyDescent="0.25">
      <c r="A67" s="1" t="s">
        <v>118</v>
      </c>
      <c r="B67" s="1" t="s">
        <v>45</v>
      </c>
      <c r="C67" s="1">
        <v>12.25</v>
      </c>
      <c r="D67" s="1">
        <v>409.02</v>
      </c>
      <c r="E67" s="1">
        <v>114.04300000000001</v>
      </c>
      <c r="F67" s="1">
        <v>253.976</v>
      </c>
      <c r="G67" s="7">
        <v>1</v>
      </c>
      <c r="H67" s="1">
        <v>40</v>
      </c>
      <c r="I67" s="1" t="s">
        <v>46</v>
      </c>
      <c r="J67" s="1"/>
      <c r="K67" s="1">
        <v>138.5</v>
      </c>
      <c r="L67" s="1">
        <f t="shared" si="9"/>
        <v>-24.456999999999994</v>
      </c>
      <c r="M67" s="1"/>
      <c r="N67" s="1"/>
      <c r="O67" s="1"/>
      <c r="P67" s="1">
        <v>0</v>
      </c>
      <c r="Q67" s="1">
        <v>0</v>
      </c>
      <c r="R67" s="1"/>
      <c r="S67" s="1"/>
      <c r="T67" s="1"/>
      <c r="U67" s="1"/>
      <c r="V67" s="15"/>
      <c r="W67" s="15"/>
      <c r="X67" s="1">
        <f t="shared" si="10"/>
        <v>22.808600000000002</v>
      </c>
      <c r="Y67" s="5">
        <f>12*X67-U67-T67-S67-R67-Q67-P67-O67-F67</f>
        <v>19.727200000000039</v>
      </c>
      <c r="Z67" s="5">
        <f>Y67</f>
        <v>19.727200000000039</v>
      </c>
      <c r="AA67" s="1">
        <f t="shared" si="11"/>
        <v>12</v>
      </c>
      <c r="AB67" s="1">
        <f t="shared" si="12"/>
        <v>11.135098164727339</v>
      </c>
      <c r="AC67" s="1">
        <v>12.564399999999999</v>
      </c>
      <c r="AD67" s="1">
        <v>29.346399999999999</v>
      </c>
      <c r="AE67" s="1">
        <v>40.2258</v>
      </c>
      <c r="AF67" s="1">
        <v>30.734999999999999</v>
      </c>
      <c r="AG67" s="1">
        <v>15.739000000000001</v>
      </c>
      <c r="AH67" s="1">
        <v>10.629</v>
      </c>
      <c r="AI67" s="1">
        <v>20.083200000000001</v>
      </c>
      <c r="AJ67" s="1">
        <v>31.709599999999998</v>
      </c>
      <c r="AK67" s="1">
        <v>30.7652</v>
      </c>
      <c r="AL67" s="1">
        <v>27.3794</v>
      </c>
      <c r="AM67" s="1"/>
      <c r="AN67" s="1">
        <f t="shared" si="13"/>
        <v>20</v>
      </c>
    </row>
    <row r="68" spans="1:40" x14ac:dyDescent="0.25">
      <c r="A68" s="1" t="s">
        <v>119</v>
      </c>
      <c r="B68" s="1" t="s">
        <v>45</v>
      </c>
      <c r="C68" s="1">
        <v>149.97300000000001</v>
      </c>
      <c r="D68" s="1">
        <v>212.37200000000001</v>
      </c>
      <c r="E68" s="1">
        <v>168.49199999999999</v>
      </c>
      <c r="F68" s="1">
        <v>182.929</v>
      </c>
      <c r="G68" s="7">
        <v>1</v>
      </c>
      <c r="H68" s="1">
        <v>40</v>
      </c>
      <c r="I68" s="1" t="s">
        <v>46</v>
      </c>
      <c r="J68" s="1"/>
      <c r="K68" s="1">
        <v>156.69999999999999</v>
      </c>
      <c r="L68" s="1">
        <f t="shared" si="9"/>
        <v>11.792000000000002</v>
      </c>
      <c r="M68" s="1"/>
      <c r="N68" s="1"/>
      <c r="O68" s="1"/>
      <c r="P68" s="1">
        <v>63.932800000000043</v>
      </c>
      <c r="Q68" s="1">
        <v>96.854280000000017</v>
      </c>
      <c r="R68" s="1"/>
      <c r="S68" s="1"/>
      <c r="T68" s="1">
        <v>34</v>
      </c>
      <c r="U68" s="1"/>
      <c r="V68" s="15"/>
      <c r="W68" s="15"/>
      <c r="X68" s="1">
        <f t="shared" si="10"/>
        <v>33.698399999999999</v>
      </c>
      <c r="Y68" s="5">
        <f>12*X68-U68-T68-S68-R68-Q68-P68-O68-F68</f>
        <v>26.66471999999996</v>
      </c>
      <c r="Z68" s="5">
        <f>Y68</f>
        <v>26.66471999999996</v>
      </c>
      <c r="AA68" s="1">
        <f t="shared" si="11"/>
        <v>12</v>
      </c>
      <c r="AB68" s="1">
        <f t="shared" si="12"/>
        <v>11.208724449825512</v>
      </c>
      <c r="AC68" s="1">
        <v>35.2834</v>
      </c>
      <c r="AD68" s="1">
        <v>31.5944</v>
      </c>
      <c r="AE68" s="1">
        <v>36.930199999999999</v>
      </c>
      <c r="AF68" s="1">
        <v>26.832999999999998</v>
      </c>
      <c r="AG68" s="1">
        <v>11.881</v>
      </c>
      <c r="AH68" s="1">
        <v>23.1356</v>
      </c>
      <c r="AI68" s="1">
        <v>31.2576</v>
      </c>
      <c r="AJ68" s="1">
        <v>30.326599999999999</v>
      </c>
      <c r="AK68" s="1">
        <v>27.802</v>
      </c>
      <c r="AL68" s="1">
        <v>26.757999999999999</v>
      </c>
      <c r="AM68" s="1"/>
      <c r="AN68" s="1">
        <f t="shared" si="13"/>
        <v>27</v>
      </c>
    </row>
    <row r="69" spans="1:40" x14ac:dyDescent="0.25">
      <c r="A69" s="1" t="s">
        <v>120</v>
      </c>
      <c r="B69" s="1" t="s">
        <v>45</v>
      </c>
      <c r="C69" s="1">
        <v>772.29499999999996</v>
      </c>
      <c r="D69" s="1">
        <v>11.73</v>
      </c>
      <c r="E69" s="1">
        <v>386.30599999999998</v>
      </c>
      <c r="F69" s="1">
        <v>319.74400000000003</v>
      </c>
      <c r="G69" s="7">
        <v>1</v>
      </c>
      <c r="H69" s="1">
        <v>40</v>
      </c>
      <c r="I69" s="1" t="s">
        <v>46</v>
      </c>
      <c r="J69" s="1"/>
      <c r="K69" s="1">
        <v>356.01400000000001</v>
      </c>
      <c r="L69" s="1">
        <f t="shared" si="9"/>
        <v>30.291999999999973</v>
      </c>
      <c r="M69" s="1"/>
      <c r="N69" s="1"/>
      <c r="O69" s="1"/>
      <c r="P69" s="1">
        <v>6.3483399999999506</v>
      </c>
      <c r="Q69" s="1">
        <v>269.32565999999991</v>
      </c>
      <c r="R69" s="1"/>
      <c r="S69" s="1"/>
      <c r="T69" s="1">
        <v>200</v>
      </c>
      <c r="U69" s="1"/>
      <c r="V69" s="15"/>
      <c r="W69" s="15"/>
      <c r="X69" s="1">
        <f t="shared" si="10"/>
        <v>77.261200000000002</v>
      </c>
      <c r="Y69" s="5">
        <f>12*X69-U69-T69-S69-R69-Q69-P69-O69-F69</f>
        <v>131.71640000000014</v>
      </c>
      <c r="Z69" s="5">
        <f>Y69</f>
        <v>131.71640000000014</v>
      </c>
      <c r="AA69" s="1">
        <f t="shared" si="11"/>
        <v>12</v>
      </c>
      <c r="AB69" s="1">
        <f t="shared" si="12"/>
        <v>10.295180504574093</v>
      </c>
      <c r="AC69" s="1">
        <v>84.820999999999998</v>
      </c>
      <c r="AD69" s="1">
        <v>67.469399999999993</v>
      </c>
      <c r="AE69" s="1">
        <v>80.919799999999995</v>
      </c>
      <c r="AF69" s="1">
        <v>73.772799999999989</v>
      </c>
      <c r="AG69" s="1">
        <v>73.477000000000004</v>
      </c>
      <c r="AH69" s="1">
        <v>111.7908</v>
      </c>
      <c r="AI69" s="1">
        <v>92.128999999999991</v>
      </c>
      <c r="AJ69" s="1">
        <v>74.011400000000009</v>
      </c>
      <c r="AK69" s="1">
        <v>96.486999999999995</v>
      </c>
      <c r="AL69" s="1">
        <v>88.301000000000002</v>
      </c>
      <c r="AM69" s="1"/>
      <c r="AN69" s="1">
        <f t="shared" si="13"/>
        <v>132</v>
      </c>
    </row>
    <row r="70" spans="1:40" x14ac:dyDescent="0.25">
      <c r="A70" s="1" t="s">
        <v>121</v>
      </c>
      <c r="B70" s="1" t="s">
        <v>45</v>
      </c>
      <c r="C70" s="1">
        <v>179.31399999999999</v>
      </c>
      <c r="D70" s="1">
        <v>161.25800000000001</v>
      </c>
      <c r="E70" s="1">
        <v>186.946</v>
      </c>
      <c r="F70" s="1">
        <v>137.24700000000001</v>
      </c>
      <c r="G70" s="7">
        <v>1</v>
      </c>
      <c r="H70" s="1">
        <v>40</v>
      </c>
      <c r="I70" s="1" t="s">
        <v>46</v>
      </c>
      <c r="J70" s="1"/>
      <c r="K70" s="1">
        <v>205.9</v>
      </c>
      <c r="L70" s="1">
        <f t="shared" ref="L70:L101" si="16">E70-K70</f>
        <v>-18.954000000000008</v>
      </c>
      <c r="M70" s="1"/>
      <c r="N70" s="1"/>
      <c r="O70" s="1"/>
      <c r="P70" s="1">
        <v>49.600400000000008</v>
      </c>
      <c r="Q70" s="1">
        <v>128.92959999999991</v>
      </c>
      <c r="R70" s="1"/>
      <c r="S70" s="1"/>
      <c r="T70" s="1"/>
      <c r="U70" s="1"/>
      <c r="V70" s="15"/>
      <c r="W70" s="15"/>
      <c r="X70" s="1">
        <f t="shared" ref="X70:X101" si="17">E70/5</f>
        <v>37.389200000000002</v>
      </c>
      <c r="Y70" s="5">
        <f>12*X70-U70-T70-S70-R70-Q70-P70-O70-F70</f>
        <v>132.8934000000001</v>
      </c>
      <c r="Z70" s="5">
        <f>Y70</f>
        <v>132.8934000000001</v>
      </c>
      <c r="AA70" s="1">
        <f t="shared" ref="AA70:AA101" si="18">(F70+O70+P70+Q70+R70+S70+T70+U70+Z70+V70)/X70</f>
        <v>12</v>
      </c>
      <c r="AB70" s="1">
        <f t="shared" ref="AB70:AB101" si="19">(F70+O70+P70+Q70+R70+S70+T70+U70)/X70</f>
        <v>8.4456741518941278</v>
      </c>
      <c r="AC70" s="1">
        <v>31.877600000000001</v>
      </c>
      <c r="AD70" s="1">
        <v>27.787199999999999</v>
      </c>
      <c r="AE70" s="1">
        <v>32.726599999999998</v>
      </c>
      <c r="AF70" s="1">
        <v>26.318200000000001</v>
      </c>
      <c r="AG70" s="1">
        <v>15.6272</v>
      </c>
      <c r="AH70" s="1">
        <v>17.955400000000001</v>
      </c>
      <c r="AI70" s="1">
        <v>33.378999999999998</v>
      </c>
      <c r="AJ70" s="1">
        <v>41.163799999999988</v>
      </c>
      <c r="AK70" s="1">
        <v>30.2788</v>
      </c>
      <c r="AL70" s="1">
        <v>22.077200000000001</v>
      </c>
      <c r="AM70" s="1"/>
      <c r="AN70" s="1">
        <f t="shared" ref="AN70:AN101" si="20">ROUND(G70*Z70,0)</f>
        <v>133</v>
      </c>
    </row>
    <row r="71" spans="1:40" x14ac:dyDescent="0.25">
      <c r="A71" s="1" t="s">
        <v>122</v>
      </c>
      <c r="B71" s="1" t="s">
        <v>50</v>
      </c>
      <c r="C71" s="1">
        <v>25</v>
      </c>
      <c r="D71" s="1">
        <v>40</v>
      </c>
      <c r="E71" s="1">
        <v>12</v>
      </c>
      <c r="F71" s="1">
        <v>53</v>
      </c>
      <c r="G71" s="7">
        <v>0.6</v>
      </c>
      <c r="H71" s="1">
        <v>70</v>
      </c>
      <c r="I71" s="1" t="s">
        <v>46</v>
      </c>
      <c r="J71" s="1"/>
      <c r="K71" s="1">
        <v>12</v>
      </c>
      <c r="L71" s="1">
        <f t="shared" si="16"/>
        <v>0</v>
      </c>
      <c r="M71" s="1"/>
      <c r="N71" s="1"/>
      <c r="O71" s="1"/>
      <c r="P71" s="1">
        <v>11.099999999999991</v>
      </c>
      <c r="Q71" s="1">
        <v>0</v>
      </c>
      <c r="R71" s="1"/>
      <c r="S71" s="1"/>
      <c r="T71" s="1"/>
      <c r="U71" s="1"/>
      <c r="V71" s="15"/>
      <c r="W71" s="15"/>
      <c r="X71" s="1">
        <f t="shared" si="17"/>
        <v>2.4</v>
      </c>
      <c r="Y71" s="5"/>
      <c r="Z71" s="5">
        <f>Y71</f>
        <v>0</v>
      </c>
      <c r="AA71" s="1">
        <f t="shared" si="18"/>
        <v>26.708333333333332</v>
      </c>
      <c r="AB71" s="1">
        <f t="shared" si="19"/>
        <v>26.708333333333332</v>
      </c>
      <c r="AC71" s="1">
        <v>1.6</v>
      </c>
      <c r="AD71" s="1">
        <v>5</v>
      </c>
      <c r="AE71" s="1">
        <v>5.4</v>
      </c>
      <c r="AF71" s="1">
        <v>2</v>
      </c>
      <c r="AG71" s="1">
        <v>1.8</v>
      </c>
      <c r="AH71" s="1">
        <v>2.8</v>
      </c>
      <c r="AI71" s="1">
        <v>2.2000000000000002</v>
      </c>
      <c r="AJ71" s="1">
        <v>2</v>
      </c>
      <c r="AK71" s="1">
        <v>3</v>
      </c>
      <c r="AL71" s="1">
        <v>4.8</v>
      </c>
      <c r="AM71" s="13" t="s">
        <v>123</v>
      </c>
      <c r="AN71" s="1">
        <f t="shared" si="20"/>
        <v>0</v>
      </c>
    </row>
    <row r="72" spans="1:40" x14ac:dyDescent="0.25">
      <c r="A72" s="1" t="s">
        <v>124</v>
      </c>
      <c r="B72" s="1" t="s">
        <v>45</v>
      </c>
      <c r="C72" s="1">
        <v>59.625999999999998</v>
      </c>
      <c r="D72" s="1">
        <v>743.94399999999996</v>
      </c>
      <c r="E72" s="1">
        <v>426.745</v>
      </c>
      <c r="F72" s="1">
        <v>258.60399999999998</v>
      </c>
      <c r="G72" s="7">
        <v>1</v>
      </c>
      <c r="H72" s="1">
        <v>30</v>
      </c>
      <c r="I72" s="1" t="s">
        <v>46</v>
      </c>
      <c r="J72" s="1"/>
      <c r="K72" s="1">
        <v>444.35</v>
      </c>
      <c r="L72" s="1">
        <f t="shared" si="16"/>
        <v>-17.605000000000018</v>
      </c>
      <c r="M72" s="1"/>
      <c r="N72" s="1"/>
      <c r="O72" s="1"/>
      <c r="P72" s="1">
        <v>0</v>
      </c>
      <c r="Q72" s="1">
        <v>188.7613999999999</v>
      </c>
      <c r="R72" s="1">
        <v>-195</v>
      </c>
      <c r="S72" s="1"/>
      <c r="T72" s="1">
        <v>200</v>
      </c>
      <c r="U72" s="1">
        <v>-202.8</v>
      </c>
      <c r="V72" s="15"/>
      <c r="W72" s="15"/>
      <c r="X72" s="1">
        <f t="shared" si="17"/>
        <v>85.349000000000004</v>
      </c>
      <c r="Y72" s="5">
        <f>10*X72-U72-T72-S72-R72-Q72-P72-O72-F72</f>
        <v>603.92460000000005</v>
      </c>
      <c r="Z72" s="5">
        <f>Y72+$Z$1*X72</f>
        <v>518.57560000000001</v>
      </c>
      <c r="AA72" s="1">
        <f t="shared" si="18"/>
        <v>8.9999999999999982</v>
      </c>
      <c r="AB72" s="1">
        <f t="shared" si="19"/>
        <v>2.9240576925330104</v>
      </c>
      <c r="AC72" s="1">
        <v>80.937399999999997</v>
      </c>
      <c r="AD72" s="1">
        <v>39.692799999999998</v>
      </c>
      <c r="AE72" s="1">
        <v>48.635199999999998</v>
      </c>
      <c r="AF72" s="1">
        <v>81.170600000000007</v>
      </c>
      <c r="AG72" s="1">
        <v>85.153199999999998</v>
      </c>
      <c r="AH72" s="1">
        <v>45.728400000000001</v>
      </c>
      <c r="AI72" s="1">
        <v>6.1534000000000004</v>
      </c>
      <c r="AJ72" s="1">
        <v>39.178400000000003</v>
      </c>
      <c r="AK72" s="1">
        <v>76.381600000000006</v>
      </c>
      <c r="AL72" s="1">
        <v>39.561799999999998</v>
      </c>
      <c r="AM72" s="1"/>
      <c r="AN72" s="1">
        <f t="shared" si="20"/>
        <v>519</v>
      </c>
    </row>
    <row r="73" spans="1:40" x14ac:dyDescent="0.25">
      <c r="A73" s="10" t="s">
        <v>125</v>
      </c>
      <c r="B73" s="10" t="s">
        <v>50</v>
      </c>
      <c r="C73" s="10"/>
      <c r="D73" s="10"/>
      <c r="E73" s="10"/>
      <c r="F73" s="10"/>
      <c r="G73" s="11">
        <v>0</v>
      </c>
      <c r="H73" s="10"/>
      <c r="I73" s="10" t="s">
        <v>46</v>
      </c>
      <c r="J73" s="10"/>
      <c r="K73" s="10"/>
      <c r="L73" s="10">
        <f t="shared" si="16"/>
        <v>0</v>
      </c>
      <c r="M73" s="10"/>
      <c r="N73" s="10"/>
      <c r="O73" s="10"/>
      <c r="P73" s="10"/>
      <c r="Q73" s="10">
        <v>0</v>
      </c>
      <c r="R73" s="10"/>
      <c r="S73" s="10"/>
      <c r="T73" s="10"/>
      <c r="U73" s="10"/>
      <c r="V73" s="17"/>
      <c r="W73" s="17"/>
      <c r="X73" s="10">
        <f t="shared" si="17"/>
        <v>0</v>
      </c>
      <c r="Y73" s="12"/>
      <c r="Z73" s="5">
        <f>Y73</f>
        <v>0</v>
      </c>
      <c r="AA73" s="1" t="e">
        <f t="shared" si="18"/>
        <v>#DIV/0!</v>
      </c>
      <c r="AB73" s="10" t="e">
        <f t="shared" si="19"/>
        <v>#DIV/0!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 t="s">
        <v>55</v>
      </c>
      <c r="AN73" s="1">
        <f t="shared" si="20"/>
        <v>0</v>
      </c>
    </row>
    <row r="74" spans="1:40" x14ac:dyDescent="0.25">
      <c r="A74" s="1" t="s">
        <v>126</v>
      </c>
      <c r="B74" s="1" t="s">
        <v>50</v>
      </c>
      <c r="C74" s="1">
        <v>125</v>
      </c>
      <c r="D74" s="1"/>
      <c r="E74" s="1">
        <v>120</v>
      </c>
      <c r="F74" s="1">
        <v>5</v>
      </c>
      <c r="G74" s="7">
        <v>0.6</v>
      </c>
      <c r="H74" s="1">
        <v>60</v>
      </c>
      <c r="I74" s="1" t="s">
        <v>46</v>
      </c>
      <c r="J74" s="1"/>
      <c r="K74" s="1">
        <v>121</v>
      </c>
      <c r="L74" s="1">
        <f t="shared" si="16"/>
        <v>-1</v>
      </c>
      <c r="M74" s="1"/>
      <c r="N74" s="1"/>
      <c r="O74" s="1"/>
      <c r="P74" s="1">
        <v>30</v>
      </c>
      <c r="Q74" s="1">
        <v>110</v>
      </c>
      <c r="R74" s="1"/>
      <c r="S74" s="1"/>
      <c r="T74" s="1"/>
      <c r="U74" s="1"/>
      <c r="V74" s="15"/>
      <c r="W74" s="15"/>
      <c r="X74" s="1">
        <f t="shared" si="17"/>
        <v>24</v>
      </c>
      <c r="Y74" s="5">
        <f>12*X74-U74-T74-S74-R74-Q74-P74-O74-F74</f>
        <v>143</v>
      </c>
      <c r="Z74" s="5">
        <f>Y74</f>
        <v>143</v>
      </c>
      <c r="AA74" s="1">
        <f t="shared" si="18"/>
        <v>12</v>
      </c>
      <c r="AB74" s="1">
        <f t="shared" si="19"/>
        <v>6.041666666666667</v>
      </c>
      <c r="AC74" s="1">
        <v>23</v>
      </c>
      <c r="AD74" s="1">
        <v>12.4</v>
      </c>
      <c r="AE74" s="1">
        <v>11.8</v>
      </c>
      <c r="AF74" s="1">
        <v>3.8</v>
      </c>
      <c r="AG74" s="1">
        <v>3.8</v>
      </c>
      <c r="AH74" s="1">
        <v>12.6</v>
      </c>
      <c r="AI74" s="1">
        <v>15.2</v>
      </c>
      <c r="AJ74" s="1">
        <v>13.6</v>
      </c>
      <c r="AK74" s="1">
        <v>12.6</v>
      </c>
      <c r="AL74" s="1">
        <v>14.2</v>
      </c>
      <c r="AM74" s="1"/>
      <c r="AN74" s="1">
        <f t="shared" si="20"/>
        <v>86</v>
      </c>
    </row>
    <row r="75" spans="1:40" x14ac:dyDescent="0.25">
      <c r="A75" s="1" t="s">
        <v>127</v>
      </c>
      <c r="B75" s="1" t="s">
        <v>50</v>
      </c>
      <c r="C75" s="1">
        <v>198</v>
      </c>
      <c r="D75" s="1">
        <v>48</v>
      </c>
      <c r="E75" s="1">
        <v>92</v>
      </c>
      <c r="F75" s="1">
        <v>143</v>
      </c>
      <c r="G75" s="7">
        <v>0.4</v>
      </c>
      <c r="H75" s="1">
        <v>90</v>
      </c>
      <c r="I75" s="1" t="s">
        <v>46</v>
      </c>
      <c r="J75" s="1"/>
      <c r="K75" s="1">
        <v>90</v>
      </c>
      <c r="L75" s="1">
        <f t="shared" si="16"/>
        <v>2</v>
      </c>
      <c r="M75" s="1"/>
      <c r="N75" s="1"/>
      <c r="O75" s="1"/>
      <c r="P75" s="1">
        <v>28.100000000000019</v>
      </c>
      <c r="Q75" s="1">
        <v>20.5</v>
      </c>
      <c r="R75" s="1"/>
      <c r="S75" s="1"/>
      <c r="T75" s="1"/>
      <c r="U75" s="1"/>
      <c r="V75" s="15"/>
      <c r="W75" s="15"/>
      <c r="X75" s="1">
        <f t="shared" si="17"/>
        <v>18.399999999999999</v>
      </c>
      <c r="Y75" s="5">
        <f>12*X75-U75-T75-S75-R75-Q75-P75-O75-F75</f>
        <v>29.19999999999996</v>
      </c>
      <c r="Z75" s="5">
        <f>Y75</f>
        <v>29.19999999999996</v>
      </c>
      <c r="AA75" s="1">
        <f t="shared" si="18"/>
        <v>12</v>
      </c>
      <c r="AB75" s="1">
        <f t="shared" si="19"/>
        <v>10.413043478260871</v>
      </c>
      <c r="AC75" s="1">
        <v>20</v>
      </c>
      <c r="AD75" s="1">
        <v>20.6</v>
      </c>
      <c r="AE75" s="1">
        <v>25.4</v>
      </c>
      <c r="AF75" s="1">
        <v>19.2</v>
      </c>
      <c r="AG75" s="1">
        <v>19.600000000000001</v>
      </c>
      <c r="AH75" s="1">
        <v>29.2</v>
      </c>
      <c r="AI75" s="1">
        <v>21</v>
      </c>
      <c r="AJ75" s="1">
        <v>5.2</v>
      </c>
      <c r="AK75" s="1">
        <v>7.6</v>
      </c>
      <c r="AL75" s="1">
        <v>17.2</v>
      </c>
      <c r="AM75" s="1"/>
      <c r="AN75" s="1">
        <f t="shared" si="20"/>
        <v>12</v>
      </c>
    </row>
    <row r="76" spans="1:40" x14ac:dyDescent="0.25">
      <c r="A76" s="1" t="s">
        <v>128</v>
      </c>
      <c r="B76" s="1" t="s">
        <v>50</v>
      </c>
      <c r="C76" s="1">
        <v>272</v>
      </c>
      <c r="D76" s="1">
        <v>10</v>
      </c>
      <c r="E76" s="1">
        <v>121</v>
      </c>
      <c r="F76" s="1">
        <v>145</v>
      </c>
      <c r="G76" s="7">
        <v>0.33</v>
      </c>
      <c r="H76" s="1">
        <v>60</v>
      </c>
      <c r="I76" s="1" t="s">
        <v>46</v>
      </c>
      <c r="J76" s="1"/>
      <c r="K76" s="1">
        <v>117</v>
      </c>
      <c r="L76" s="1">
        <f t="shared" si="16"/>
        <v>4</v>
      </c>
      <c r="M76" s="1"/>
      <c r="N76" s="1"/>
      <c r="O76" s="1"/>
      <c r="P76" s="1">
        <v>64</v>
      </c>
      <c r="Q76" s="1">
        <v>122.6</v>
      </c>
      <c r="R76" s="1">
        <v>-128</v>
      </c>
      <c r="S76" s="1"/>
      <c r="T76" s="1"/>
      <c r="U76" s="1"/>
      <c r="V76" s="15"/>
      <c r="W76" s="15"/>
      <c r="X76" s="1">
        <f t="shared" si="17"/>
        <v>24.2</v>
      </c>
      <c r="Y76" s="5">
        <f>12*X76-U76-T76-S76-R76-Q76-P76-O76-F76</f>
        <v>86.799999999999955</v>
      </c>
      <c r="Z76" s="5">
        <f>Y76</f>
        <v>86.799999999999955</v>
      </c>
      <c r="AA76" s="1">
        <f t="shared" si="18"/>
        <v>12</v>
      </c>
      <c r="AB76" s="1">
        <f t="shared" si="19"/>
        <v>8.4132231404958695</v>
      </c>
      <c r="AC76" s="1">
        <v>33.6</v>
      </c>
      <c r="AD76" s="1">
        <v>25.6</v>
      </c>
      <c r="AE76" s="1">
        <v>14.8</v>
      </c>
      <c r="AF76" s="1">
        <v>21</v>
      </c>
      <c r="AG76" s="1">
        <v>30.8</v>
      </c>
      <c r="AH76" s="1">
        <v>40.200000000000003</v>
      </c>
      <c r="AI76" s="1">
        <v>28.2</v>
      </c>
      <c r="AJ76" s="1">
        <v>8</v>
      </c>
      <c r="AK76" s="1">
        <v>14</v>
      </c>
      <c r="AL76" s="1">
        <v>18.399999999999999</v>
      </c>
      <c r="AM76" s="1"/>
      <c r="AN76" s="1">
        <f t="shared" si="20"/>
        <v>29</v>
      </c>
    </row>
    <row r="77" spans="1:40" x14ac:dyDescent="0.25">
      <c r="A77" s="1" t="s">
        <v>129</v>
      </c>
      <c r="B77" s="1" t="s">
        <v>50</v>
      </c>
      <c r="C77" s="1">
        <v>43</v>
      </c>
      <c r="D77" s="1">
        <v>175</v>
      </c>
      <c r="E77" s="1">
        <v>56</v>
      </c>
      <c r="F77" s="1">
        <v>148</v>
      </c>
      <c r="G77" s="7">
        <v>0.35</v>
      </c>
      <c r="H77" s="1">
        <v>90</v>
      </c>
      <c r="I77" s="1" t="s">
        <v>46</v>
      </c>
      <c r="J77" s="1"/>
      <c r="K77" s="1">
        <v>61</v>
      </c>
      <c r="L77" s="1">
        <f t="shared" si="16"/>
        <v>-5</v>
      </c>
      <c r="M77" s="1"/>
      <c r="N77" s="1"/>
      <c r="O77" s="1"/>
      <c r="P77" s="1">
        <v>0</v>
      </c>
      <c r="Q77" s="1">
        <v>0</v>
      </c>
      <c r="R77" s="1"/>
      <c r="S77" s="1"/>
      <c r="T77" s="1"/>
      <c r="U77" s="1"/>
      <c r="V77" s="15"/>
      <c r="W77" s="15"/>
      <c r="X77" s="1">
        <f t="shared" si="17"/>
        <v>11.2</v>
      </c>
      <c r="Y77" s="5"/>
      <c r="Z77" s="5">
        <f>Y77</f>
        <v>0</v>
      </c>
      <c r="AA77" s="1">
        <f t="shared" si="18"/>
        <v>13.214285714285715</v>
      </c>
      <c r="AB77" s="1">
        <f t="shared" si="19"/>
        <v>13.214285714285715</v>
      </c>
      <c r="AC77" s="1">
        <v>13.4</v>
      </c>
      <c r="AD77" s="1">
        <v>13.6</v>
      </c>
      <c r="AE77" s="1">
        <v>20.8</v>
      </c>
      <c r="AF77" s="1">
        <v>21.8</v>
      </c>
      <c r="AG77" s="1">
        <v>18.2</v>
      </c>
      <c r="AH77" s="1">
        <v>15</v>
      </c>
      <c r="AI77" s="1">
        <v>7.4</v>
      </c>
      <c r="AJ77" s="1">
        <v>9</v>
      </c>
      <c r="AK77" s="1">
        <v>16.2</v>
      </c>
      <c r="AL77" s="1">
        <v>9</v>
      </c>
      <c r="AM77" s="1"/>
      <c r="AN77" s="1">
        <f t="shared" si="20"/>
        <v>0</v>
      </c>
    </row>
    <row r="78" spans="1:40" x14ac:dyDescent="0.25">
      <c r="A78" s="1" t="s">
        <v>130</v>
      </c>
      <c r="B78" s="1" t="s">
        <v>50</v>
      </c>
      <c r="C78" s="1">
        <v>392</v>
      </c>
      <c r="D78" s="1">
        <v>12</v>
      </c>
      <c r="E78" s="1">
        <v>230</v>
      </c>
      <c r="F78" s="1">
        <v>122</v>
      </c>
      <c r="G78" s="7">
        <v>0.37</v>
      </c>
      <c r="H78" s="1">
        <v>50</v>
      </c>
      <c r="I78" s="1" t="s">
        <v>46</v>
      </c>
      <c r="J78" s="1"/>
      <c r="K78" s="1">
        <v>231</v>
      </c>
      <c r="L78" s="1">
        <f t="shared" si="16"/>
        <v>-1</v>
      </c>
      <c r="M78" s="1"/>
      <c r="N78" s="1"/>
      <c r="O78" s="1"/>
      <c r="P78" s="1">
        <v>0</v>
      </c>
      <c r="Q78" s="1">
        <v>72</v>
      </c>
      <c r="R78" s="1"/>
      <c r="S78" s="1"/>
      <c r="T78" s="1"/>
      <c r="U78" s="1"/>
      <c r="V78" s="15"/>
      <c r="W78" s="15"/>
      <c r="X78" s="1">
        <f t="shared" si="17"/>
        <v>46</v>
      </c>
      <c r="Y78" s="5">
        <f>11*X78-U78-T78-S78-R78-Q78-P78-O78-F78</f>
        <v>312</v>
      </c>
      <c r="Z78" s="5">
        <f>Y78+$Z$1*X78</f>
        <v>266</v>
      </c>
      <c r="AA78" s="1">
        <f t="shared" si="18"/>
        <v>10</v>
      </c>
      <c r="AB78" s="1">
        <f t="shared" si="19"/>
        <v>4.2173913043478262</v>
      </c>
      <c r="AC78" s="1">
        <v>32</v>
      </c>
      <c r="AD78" s="1">
        <v>24.8</v>
      </c>
      <c r="AE78" s="1">
        <v>30.8</v>
      </c>
      <c r="AF78" s="1">
        <v>26.4</v>
      </c>
      <c r="AG78" s="1">
        <v>18.2</v>
      </c>
      <c r="AH78" s="1">
        <v>32.4</v>
      </c>
      <c r="AI78" s="1">
        <v>44</v>
      </c>
      <c r="AJ78" s="1">
        <v>41.8</v>
      </c>
      <c r="AK78" s="1">
        <v>34</v>
      </c>
      <c r="AL78" s="1">
        <v>22.4</v>
      </c>
      <c r="AM78" s="1"/>
      <c r="AN78" s="1">
        <f t="shared" si="20"/>
        <v>98</v>
      </c>
    </row>
    <row r="79" spans="1:40" x14ac:dyDescent="0.25">
      <c r="A79" s="10" t="s">
        <v>131</v>
      </c>
      <c r="B79" s="10" t="s">
        <v>50</v>
      </c>
      <c r="C79" s="10"/>
      <c r="D79" s="10"/>
      <c r="E79" s="10"/>
      <c r="F79" s="10"/>
      <c r="G79" s="11">
        <v>0</v>
      </c>
      <c r="H79" s="10"/>
      <c r="I79" s="10" t="s">
        <v>46</v>
      </c>
      <c r="J79" s="10"/>
      <c r="K79" s="10">
        <v>6</v>
      </c>
      <c r="L79" s="10">
        <f t="shared" si="16"/>
        <v>-6</v>
      </c>
      <c r="M79" s="10"/>
      <c r="N79" s="10"/>
      <c r="O79" s="10"/>
      <c r="P79" s="10"/>
      <c r="Q79" s="10">
        <v>0</v>
      </c>
      <c r="R79" s="10"/>
      <c r="S79" s="10"/>
      <c r="T79" s="10"/>
      <c r="U79" s="10"/>
      <c r="V79" s="17"/>
      <c r="W79" s="17"/>
      <c r="X79" s="10">
        <f t="shared" si="17"/>
        <v>0</v>
      </c>
      <c r="Y79" s="12"/>
      <c r="Z79" s="5">
        <f>Y79</f>
        <v>0</v>
      </c>
      <c r="AA79" s="1" t="e">
        <f t="shared" si="18"/>
        <v>#DIV/0!</v>
      </c>
      <c r="AB79" s="10" t="e">
        <f t="shared" si="19"/>
        <v>#DIV/0!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 t="s">
        <v>55</v>
      </c>
      <c r="AN79" s="1">
        <f t="shared" si="20"/>
        <v>0</v>
      </c>
    </row>
    <row r="80" spans="1:40" x14ac:dyDescent="0.25">
      <c r="A80" s="1" t="s">
        <v>132</v>
      </c>
      <c r="B80" s="1" t="s">
        <v>50</v>
      </c>
      <c r="C80" s="1">
        <v>86</v>
      </c>
      <c r="D80" s="1"/>
      <c r="E80" s="1">
        <v>54</v>
      </c>
      <c r="F80" s="1">
        <v>16</v>
      </c>
      <c r="G80" s="7">
        <v>0.33</v>
      </c>
      <c r="H80" s="1">
        <v>40</v>
      </c>
      <c r="I80" s="1" t="s">
        <v>46</v>
      </c>
      <c r="J80" s="1"/>
      <c r="K80" s="1">
        <v>50</v>
      </c>
      <c r="L80" s="1">
        <f t="shared" si="16"/>
        <v>4</v>
      </c>
      <c r="M80" s="1"/>
      <c r="N80" s="1"/>
      <c r="O80" s="1"/>
      <c r="P80" s="1">
        <v>8.5</v>
      </c>
      <c r="Q80" s="1">
        <v>40.699999999999989</v>
      </c>
      <c r="R80" s="1">
        <v>-41.999999999999993</v>
      </c>
      <c r="S80" s="1"/>
      <c r="T80" s="1"/>
      <c r="U80" s="1"/>
      <c r="V80" s="15"/>
      <c r="W80" s="15"/>
      <c r="X80" s="1">
        <f t="shared" si="17"/>
        <v>10.8</v>
      </c>
      <c r="Y80" s="5">
        <f>9*X80-U80-T80-S80-R80-Q80-P80-O80-F80</f>
        <v>74</v>
      </c>
      <c r="Z80" s="5">
        <f>Y80</f>
        <v>74</v>
      </c>
      <c r="AA80" s="1">
        <f t="shared" si="18"/>
        <v>8.9999999999999982</v>
      </c>
      <c r="AB80" s="1">
        <f t="shared" si="19"/>
        <v>2.1481481481481475</v>
      </c>
      <c r="AC80" s="1">
        <v>10.199999999999999</v>
      </c>
      <c r="AD80" s="1">
        <v>7.4</v>
      </c>
      <c r="AE80" s="1">
        <v>7.6</v>
      </c>
      <c r="AF80" s="1">
        <v>6</v>
      </c>
      <c r="AG80" s="1">
        <v>0.8</v>
      </c>
      <c r="AH80" s="1">
        <v>7.4</v>
      </c>
      <c r="AI80" s="1">
        <v>11.2</v>
      </c>
      <c r="AJ80" s="1">
        <v>12.2</v>
      </c>
      <c r="AK80" s="1">
        <v>8.1999999999999993</v>
      </c>
      <c r="AL80" s="1">
        <v>1</v>
      </c>
      <c r="AM80" s="1"/>
      <c r="AN80" s="1">
        <f t="shared" si="20"/>
        <v>24</v>
      </c>
    </row>
    <row r="81" spans="1:40" x14ac:dyDescent="0.25">
      <c r="A81" s="1" t="s">
        <v>133</v>
      </c>
      <c r="B81" s="1" t="s">
        <v>50</v>
      </c>
      <c r="C81" s="1">
        <v>95</v>
      </c>
      <c r="D81" s="1">
        <v>121</v>
      </c>
      <c r="E81" s="1">
        <v>215</v>
      </c>
      <c r="F81" s="1"/>
      <c r="G81" s="7">
        <v>0.4</v>
      </c>
      <c r="H81" s="1">
        <v>55</v>
      </c>
      <c r="I81" s="1" t="s">
        <v>46</v>
      </c>
      <c r="J81" s="1"/>
      <c r="K81" s="1">
        <v>201</v>
      </c>
      <c r="L81" s="1">
        <f t="shared" si="16"/>
        <v>14</v>
      </c>
      <c r="M81" s="1"/>
      <c r="N81" s="1"/>
      <c r="O81" s="1"/>
      <c r="P81" s="1">
        <v>0</v>
      </c>
      <c r="Q81" s="1">
        <v>98.399999999999977</v>
      </c>
      <c r="R81" s="1"/>
      <c r="S81" s="1"/>
      <c r="T81" s="1">
        <v>100</v>
      </c>
      <c r="U81" s="1"/>
      <c r="V81" s="15"/>
      <c r="W81" s="15"/>
      <c r="X81" s="1">
        <f t="shared" si="17"/>
        <v>43</v>
      </c>
      <c r="Y81" s="5">
        <f>12*X81-U81-T81-S81-R81-Q81-P81-O81-F81</f>
        <v>317.60000000000002</v>
      </c>
      <c r="Z81" s="5">
        <f>Y81+$Z$1*X81</f>
        <v>274.60000000000002</v>
      </c>
      <c r="AA81" s="1">
        <f t="shared" si="18"/>
        <v>11</v>
      </c>
      <c r="AB81" s="1">
        <f t="shared" si="19"/>
        <v>4.6139534883720925</v>
      </c>
      <c r="AC81" s="1">
        <v>39.4</v>
      </c>
      <c r="AD81" s="1">
        <v>4</v>
      </c>
      <c r="AE81" s="1">
        <v>4.2</v>
      </c>
      <c r="AF81" s="1">
        <v>14.8</v>
      </c>
      <c r="AG81" s="1">
        <v>22.6</v>
      </c>
      <c r="AH81" s="1">
        <v>18</v>
      </c>
      <c r="AI81" s="1">
        <v>12.6</v>
      </c>
      <c r="AJ81" s="1">
        <v>8.1999999999999993</v>
      </c>
      <c r="AK81" s="1">
        <v>11.4</v>
      </c>
      <c r="AL81" s="1">
        <v>16.2</v>
      </c>
      <c r="AM81" s="1"/>
      <c r="AN81" s="1">
        <f t="shared" si="20"/>
        <v>110</v>
      </c>
    </row>
    <row r="82" spans="1:40" x14ac:dyDescent="0.25">
      <c r="A82" s="1" t="s">
        <v>134</v>
      </c>
      <c r="B82" s="1" t="s">
        <v>50</v>
      </c>
      <c r="C82" s="1"/>
      <c r="D82" s="1">
        <v>98</v>
      </c>
      <c r="E82" s="1">
        <v>17</v>
      </c>
      <c r="F82" s="1">
        <v>61</v>
      </c>
      <c r="G82" s="7">
        <v>0.35</v>
      </c>
      <c r="H82" s="1">
        <v>40</v>
      </c>
      <c r="I82" s="1" t="s">
        <v>46</v>
      </c>
      <c r="J82" s="1"/>
      <c r="K82" s="1">
        <v>22</v>
      </c>
      <c r="L82" s="1">
        <f t="shared" si="16"/>
        <v>-5</v>
      </c>
      <c r="M82" s="1"/>
      <c r="N82" s="1"/>
      <c r="O82" s="1"/>
      <c r="P82" s="1">
        <v>0</v>
      </c>
      <c r="Q82" s="1">
        <v>0</v>
      </c>
      <c r="R82" s="1"/>
      <c r="S82" s="1"/>
      <c r="T82" s="1"/>
      <c r="U82" s="1"/>
      <c r="V82" s="15"/>
      <c r="W82" s="15">
        <v>-4.2</v>
      </c>
      <c r="X82" s="1">
        <f t="shared" si="17"/>
        <v>3.4</v>
      </c>
      <c r="Y82" s="5">
        <v>10</v>
      </c>
      <c r="Z82" s="5">
        <f t="shared" ref="Z82:Z87" si="21">Y82</f>
        <v>10</v>
      </c>
      <c r="AA82" s="1">
        <f t="shared" si="18"/>
        <v>20.882352941176471</v>
      </c>
      <c r="AB82" s="1">
        <f t="shared" si="19"/>
        <v>17.941176470588236</v>
      </c>
      <c r="AC82" s="1">
        <v>2.2000000000000002</v>
      </c>
      <c r="AD82" s="1">
        <v>0.6</v>
      </c>
      <c r="AE82" s="1">
        <v>4.8</v>
      </c>
      <c r="AF82" s="1">
        <v>8.4</v>
      </c>
      <c r="AG82" s="1">
        <v>6.2</v>
      </c>
      <c r="AH82" s="1">
        <v>4.5999999999999996</v>
      </c>
      <c r="AI82" s="1">
        <v>7</v>
      </c>
      <c r="AJ82" s="1">
        <v>11.8</v>
      </c>
      <c r="AK82" s="1">
        <v>13</v>
      </c>
      <c r="AL82" s="1">
        <v>0.6</v>
      </c>
      <c r="AM82" s="1"/>
      <c r="AN82" s="1">
        <f t="shared" si="20"/>
        <v>4</v>
      </c>
    </row>
    <row r="83" spans="1:40" x14ac:dyDescent="0.25">
      <c r="A83" s="1" t="s">
        <v>136</v>
      </c>
      <c r="B83" s="1" t="s">
        <v>50</v>
      </c>
      <c r="C83" s="1">
        <v>90</v>
      </c>
      <c r="D83" s="1">
        <v>5</v>
      </c>
      <c r="E83" s="1">
        <v>9</v>
      </c>
      <c r="F83" s="1">
        <v>61</v>
      </c>
      <c r="G83" s="7">
        <v>0.35</v>
      </c>
      <c r="H83" s="1">
        <v>45</v>
      </c>
      <c r="I83" s="1" t="s">
        <v>46</v>
      </c>
      <c r="J83" s="1"/>
      <c r="K83" s="1">
        <v>19</v>
      </c>
      <c r="L83" s="1">
        <f t="shared" si="16"/>
        <v>-10</v>
      </c>
      <c r="M83" s="1"/>
      <c r="N83" s="1"/>
      <c r="O83" s="1"/>
      <c r="P83" s="1">
        <v>0</v>
      </c>
      <c r="Q83" s="1">
        <v>0</v>
      </c>
      <c r="R83" s="1"/>
      <c r="S83" s="1"/>
      <c r="T83" s="1"/>
      <c r="U83" s="1"/>
      <c r="V83" s="15"/>
      <c r="W83" s="15"/>
      <c r="X83" s="1">
        <f t="shared" si="17"/>
        <v>1.8</v>
      </c>
      <c r="Y83" s="5"/>
      <c r="Z83" s="5">
        <f t="shared" si="21"/>
        <v>0</v>
      </c>
      <c r="AA83" s="1">
        <f t="shared" si="18"/>
        <v>33.888888888888886</v>
      </c>
      <c r="AB83" s="1">
        <f t="shared" si="19"/>
        <v>33.888888888888886</v>
      </c>
      <c r="AC83" s="1">
        <v>6.2</v>
      </c>
      <c r="AD83" s="1">
        <v>6.6</v>
      </c>
      <c r="AE83" s="1">
        <v>4</v>
      </c>
      <c r="AF83" s="1">
        <v>2.6</v>
      </c>
      <c r="AG83" s="1">
        <v>1.2</v>
      </c>
      <c r="AH83" s="1">
        <v>0</v>
      </c>
      <c r="AI83" s="1">
        <v>6</v>
      </c>
      <c r="AJ83" s="1">
        <v>13.2</v>
      </c>
      <c r="AK83" s="1">
        <v>11.8</v>
      </c>
      <c r="AL83" s="1">
        <v>4</v>
      </c>
      <c r="AM83" s="13" t="s">
        <v>123</v>
      </c>
      <c r="AN83" s="1">
        <f t="shared" si="20"/>
        <v>0</v>
      </c>
    </row>
    <row r="84" spans="1:40" x14ac:dyDescent="0.25">
      <c r="A84" s="10" t="s">
        <v>137</v>
      </c>
      <c r="B84" s="10" t="s">
        <v>50</v>
      </c>
      <c r="C84" s="10"/>
      <c r="D84" s="10"/>
      <c r="E84" s="10"/>
      <c r="F84" s="10"/>
      <c r="G84" s="11">
        <v>0</v>
      </c>
      <c r="H84" s="10"/>
      <c r="I84" s="10" t="s">
        <v>46</v>
      </c>
      <c r="J84" s="10"/>
      <c r="K84" s="10"/>
      <c r="L84" s="10">
        <f t="shared" si="16"/>
        <v>0</v>
      </c>
      <c r="M84" s="10"/>
      <c r="N84" s="10"/>
      <c r="O84" s="10"/>
      <c r="P84" s="10"/>
      <c r="Q84" s="10">
        <v>0</v>
      </c>
      <c r="R84" s="10"/>
      <c r="S84" s="10"/>
      <c r="T84" s="10"/>
      <c r="U84" s="10"/>
      <c r="V84" s="17"/>
      <c r="W84" s="17"/>
      <c r="X84" s="10">
        <f t="shared" si="17"/>
        <v>0</v>
      </c>
      <c r="Y84" s="12"/>
      <c r="Z84" s="5">
        <f t="shared" si="21"/>
        <v>0</v>
      </c>
      <c r="AA84" s="1" t="e">
        <f t="shared" si="18"/>
        <v>#DIV/0!</v>
      </c>
      <c r="AB84" s="10" t="e">
        <f t="shared" si="19"/>
        <v>#DIV/0!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 t="s">
        <v>55</v>
      </c>
      <c r="AN84" s="1">
        <f t="shared" si="20"/>
        <v>0</v>
      </c>
    </row>
    <row r="85" spans="1:40" x14ac:dyDescent="0.25">
      <c r="A85" s="10" t="s">
        <v>138</v>
      </c>
      <c r="B85" s="10" t="s">
        <v>45</v>
      </c>
      <c r="C85" s="10"/>
      <c r="D85" s="10"/>
      <c r="E85" s="10"/>
      <c r="F85" s="10"/>
      <c r="G85" s="11">
        <v>0</v>
      </c>
      <c r="H85" s="10"/>
      <c r="I85" s="10" t="s">
        <v>46</v>
      </c>
      <c r="J85" s="10"/>
      <c r="K85" s="10"/>
      <c r="L85" s="10">
        <f t="shared" si="16"/>
        <v>0</v>
      </c>
      <c r="M85" s="10"/>
      <c r="N85" s="10"/>
      <c r="O85" s="10"/>
      <c r="P85" s="10"/>
      <c r="Q85" s="10">
        <v>0</v>
      </c>
      <c r="R85" s="10"/>
      <c r="S85" s="10"/>
      <c r="T85" s="10"/>
      <c r="U85" s="10"/>
      <c r="V85" s="17"/>
      <c r="W85" s="17"/>
      <c r="X85" s="10">
        <f t="shared" si="17"/>
        <v>0</v>
      </c>
      <c r="Y85" s="12"/>
      <c r="Z85" s="5">
        <f t="shared" si="21"/>
        <v>0</v>
      </c>
      <c r="AA85" s="1" t="e">
        <f t="shared" si="18"/>
        <v>#DIV/0!</v>
      </c>
      <c r="AB85" s="10" t="e">
        <f t="shared" si="19"/>
        <v>#DIV/0!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 t="s">
        <v>55</v>
      </c>
      <c r="AN85" s="1">
        <f t="shared" si="20"/>
        <v>0</v>
      </c>
    </row>
    <row r="86" spans="1:40" x14ac:dyDescent="0.25">
      <c r="A86" s="10" t="s">
        <v>139</v>
      </c>
      <c r="B86" s="10" t="s">
        <v>50</v>
      </c>
      <c r="C86" s="10">
        <v>90</v>
      </c>
      <c r="D86" s="10">
        <v>101</v>
      </c>
      <c r="E86" s="10">
        <v>137</v>
      </c>
      <c r="F86" s="10">
        <v>38</v>
      </c>
      <c r="G86" s="11">
        <v>0</v>
      </c>
      <c r="H86" s="10">
        <v>55</v>
      </c>
      <c r="I86" s="10" t="s">
        <v>70</v>
      </c>
      <c r="J86" s="10"/>
      <c r="K86" s="10">
        <v>138</v>
      </c>
      <c r="L86" s="10">
        <f t="shared" si="16"/>
        <v>-1</v>
      </c>
      <c r="M86" s="10"/>
      <c r="N86" s="10"/>
      <c r="O86" s="10"/>
      <c r="P86" s="10">
        <v>0</v>
      </c>
      <c r="Q86" s="10">
        <v>0</v>
      </c>
      <c r="R86" s="10"/>
      <c r="S86" s="10"/>
      <c r="T86" s="10"/>
      <c r="U86" s="10"/>
      <c r="V86" s="17"/>
      <c r="W86" s="17"/>
      <c r="X86" s="10">
        <f t="shared" si="17"/>
        <v>27.4</v>
      </c>
      <c r="Y86" s="12"/>
      <c r="Z86" s="5">
        <f t="shared" si="21"/>
        <v>0</v>
      </c>
      <c r="AA86" s="1">
        <f t="shared" si="18"/>
        <v>1.3868613138686132</v>
      </c>
      <c r="AB86" s="10">
        <f t="shared" si="19"/>
        <v>1.3868613138686132</v>
      </c>
      <c r="AC86" s="10">
        <v>18.600000000000001</v>
      </c>
      <c r="AD86" s="10">
        <v>2.6</v>
      </c>
      <c r="AE86" s="10">
        <v>14.4</v>
      </c>
      <c r="AF86" s="10">
        <v>16.2</v>
      </c>
      <c r="AG86" s="10">
        <v>14.4</v>
      </c>
      <c r="AH86" s="10">
        <v>13.8</v>
      </c>
      <c r="AI86" s="10">
        <v>10.6</v>
      </c>
      <c r="AJ86" s="10">
        <v>13.8</v>
      </c>
      <c r="AK86" s="10">
        <v>12.8</v>
      </c>
      <c r="AL86" s="10">
        <v>11.4</v>
      </c>
      <c r="AM86" s="10"/>
      <c r="AN86" s="1">
        <f t="shared" si="20"/>
        <v>0</v>
      </c>
    </row>
    <row r="87" spans="1:40" x14ac:dyDescent="0.25">
      <c r="A87" s="1" t="s">
        <v>140</v>
      </c>
      <c r="B87" s="1" t="s">
        <v>45</v>
      </c>
      <c r="C87" s="1">
        <v>37.280999999999999</v>
      </c>
      <c r="D87" s="1"/>
      <c r="E87" s="1">
        <v>11.519</v>
      </c>
      <c r="F87" s="1">
        <v>24.335000000000001</v>
      </c>
      <c r="G87" s="7">
        <v>1</v>
      </c>
      <c r="H87" s="1">
        <v>55</v>
      </c>
      <c r="I87" s="1" t="s">
        <v>46</v>
      </c>
      <c r="J87" s="1"/>
      <c r="K87" s="1">
        <v>9.6999999999999993</v>
      </c>
      <c r="L87" s="1">
        <f t="shared" si="16"/>
        <v>1.8190000000000008</v>
      </c>
      <c r="M87" s="1"/>
      <c r="N87" s="1"/>
      <c r="O87" s="1"/>
      <c r="P87" s="1">
        <v>0</v>
      </c>
      <c r="Q87" s="1">
        <v>0</v>
      </c>
      <c r="R87" s="1"/>
      <c r="S87" s="1"/>
      <c r="T87" s="1"/>
      <c r="U87" s="1"/>
      <c r="V87" s="15"/>
      <c r="W87" s="15"/>
      <c r="X87" s="1">
        <f t="shared" si="17"/>
        <v>2.3037999999999998</v>
      </c>
      <c r="Y87" s="5"/>
      <c r="Z87" s="5">
        <f t="shared" si="21"/>
        <v>0</v>
      </c>
      <c r="AA87" s="1">
        <f t="shared" si="18"/>
        <v>10.562982897820993</v>
      </c>
      <c r="AB87" s="1">
        <f t="shared" si="19"/>
        <v>10.562982897820993</v>
      </c>
      <c r="AC87" s="1">
        <v>0.86639999999999995</v>
      </c>
      <c r="AD87" s="1">
        <v>1.159</v>
      </c>
      <c r="AE87" s="1">
        <v>1.4476</v>
      </c>
      <c r="AF87" s="1">
        <v>0.86639999999999995</v>
      </c>
      <c r="AG87" s="1">
        <v>0.28920000000000001</v>
      </c>
      <c r="AH87" s="1">
        <v>0.57919999999999994</v>
      </c>
      <c r="AI87" s="1">
        <v>2.3048000000000002</v>
      </c>
      <c r="AJ87" s="1">
        <v>1.7256</v>
      </c>
      <c r="AK87" s="1">
        <v>2.31</v>
      </c>
      <c r="AL87" s="1">
        <v>2.3452000000000002</v>
      </c>
      <c r="AM87" s="1"/>
      <c r="AN87" s="1">
        <f t="shared" si="20"/>
        <v>0</v>
      </c>
    </row>
    <row r="88" spans="1:40" x14ac:dyDescent="0.25">
      <c r="A88" s="1" t="s">
        <v>141</v>
      </c>
      <c r="B88" s="1" t="s">
        <v>45</v>
      </c>
      <c r="C88" s="1">
        <v>345.91199999999998</v>
      </c>
      <c r="D88" s="1">
        <v>350.48399999999998</v>
      </c>
      <c r="E88" s="1">
        <v>328.96</v>
      </c>
      <c r="F88" s="1">
        <v>296.10599999999999</v>
      </c>
      <c r="G88" s="7">
        <v>1</v>
      </c>
      <c r="H88" s="1">
        <v>60</v>
      </c>
      <c r="I88" s="1" t="s">
        <v>46</v>
      </c>
      <c r="J88" s="1"/>
      <c r="K88" s="1">
        <v>326.94</v>
      </c>
      <c r="L88" s="1">
        <f t="shared" si="16"/>
        <v>2.0199999999999818</v>
      </c>
      <c r="M88" s="1"/>
      <c r="N88" s="1"/>
      <c r="O88" s="1"/>
      <c r="P88" s="1">
        <v>0</v>
      </c>
      <c r="Q88" s="1">
        <v>146.35370800000001</v>
      </c>
      <c r="R88" s="1"/>
      <c r="S88" s="1"/>
      <c r="T88" s="1"/>
      <c r="U88" s="1"/>
      <c r="V88" s="15"/>
      <c r="W88" s="15"/>
      <c r="X88" s="1">
        <f t="shared" si="17"/>
        <v>65.792000000000002</v>
      </c>
      <c r="Y88" s="5">
        <f>12*X88-U88-T88-S88-R88-Q88-P88-O88-F88</f>
        <v>347.04429200000004</v>
      </c>
      <c r="Z88" s="5">
        <f>Y88+$Z$1*X88</f>
        <v>281.25229200000001</v>
      </c>
      <c r="AA88" s="1">
        <f t="shared" si="18"/>
        <v>11</v>
      </c>
      <c r="AB88" s="1">
        <f t="shared" si="19"/>
        <v>6.7251293166342405</v>
      </c>
      <c r="AC88" s="1">
        <v>54.653599999999997</v>
      </c>
      <c r="AD88" s="1">
        <v>52.551599999999993</v>
      </c>
      <c r="AE88" s="1">
        <v>69.242800000000003</v>
      </c>
      <c r="AF88" s="1">
        <v>51.0944</v>
      </c>
      <c r="AG88" s="1">
        <v>33.292000000000002</v>
      </c>
      <c r="AH88" s="1">
        <v>50.997199999999999</v>
      </c>
      <c r="AI88" s="1">
        <v>63.35</v>
      </c>
      <c r="AJ88" s="1">
        <v>57.907600000000002</v>
      </c>
      <c r="AK88" s="1">
        <v>54.795200000000001</v>
      </c>
      <c r="AL88" s="1">
        <v>50.4236</v>
      </c>
      <c r="AM88" s="1"/>
      <c r="AN88" s="1">
        <f t="shared" si="20"/>
        <v>281</v>
      </c>
    </row>
    <row r="89" spans="1:40" x14ac:dyDescent="0.25">
      <c r="A89" s="10" t="s">
        <v>142</v>
      </c>
      <c r="B89" s="10" t="s">
        <v>50</v>
      </c>
      <c r="C89" s="10"/>
      <c r="D89" s="10"/>
      <c r="E89" s="10"/>
      <c r="F89" s="10"/>
      <c r="G89" s="11">
        <v>0</v>
      </c>
      <c r="H89" s="10"/>
      <c r="I89" s="10" t="s">
        <v>46</v>
      </c>
      <c r="J89" s="10"/>
      <c r="K89" s="10"/>
      <c r="L89" s="10">
        <f t="shared" si="16"/>
        <v>0</v>
      </c>
      <c r="M89" s="10"/>
      <c r="N89" s="10"/>
      <c r="O89" s="10"/>
      <c r="P89" s="10"/>
      <c r="Q89" s="10">
        <v>0</v>
      </c>
      <c r="R89" s="10"/>
      <c r="S89" s="10"/>
      <c r="T89" s="10"/>
      <c r="U89" s="10"/>
      <c r="V89" s="17"/>
      <c r="W89" s="17"/>
      <c r="X89" s="10">
        <f t="shared" si="17"/>
        <v>0</v>
      </c>
      <c r="Y89" s="12"/>
      <c r="Z89" s="5">
        <f>Y89</f>
        <v>0</v>
      </c>
      <c r="AA89" s="1" t="e">
        <f t="shared" si="18"/>
        <v>#DIV/0!</v>
      </c>
      <c r="AB89" s="10" t="e">
        <f t="shared" si="19"/>
        <v>#DIV/0!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 t="s">
        <v>55</v>
      </c>
      <c r="AN89" s="1">
        <f t="shared" si="20"/>
        <v>0</v>
      </c>
    </row>
    <row r="90" spans="1:40" x14ac:dyDescent="0.25">
      <c r="A90" s="1" t="s">
        <v>143</v>
      </c>
      <c r="B90" s="1" t="s">
        <v>45</v>
      </c>
      <c r="C90" s="1">
        <v>336.31700000000001</v>
      </c>
      <c r="D90" s="1">
        <v>3065.6590000000001</v>
      </c>
      <c r="E90" s="1">
        <v>1651.508</v>
      </c>
      <c r="F90" s="1">
        <v>1363.1869999999999</v>
      </c>
      <c r="G90" s="7">
        <v>1</v>
      </c>
      <c r="H90" s="1">
        <v>60</v>
      </c>
      <c r="I90" s="1" t="s">
        <v>46</v>
      </c>
      <c r="J90" s="1"/>
      <c r="K90" s="1">
        <v>1654.5</v>
      </c>
      <c r="L90" s="1">
        <f t="shared" si="16"/>
        <v>-2.9919999999999618</v>
      </c>
      <c r="M90" s="1"/>
      <c r="N90" s="1"/>
      <c r="O90" s="1"/>
      <c r="P90" s="1">
        <v>961.86855191999859</v>
      </c>
      <c r="Q90" s="1">
        <v>437.61983000000009</v>
      </c>
      <c r="R90" s="1"/>
      <c r="S90" s="1"/>
      <c r="T90" s="1">
        <v>400</v>
      </c>
      <c r="U90" s="1"/>
      <c r="V90" s="15"/>
      <c r="W90" s="15"/>
      <c r="X90" s="1">
        <f t="shared" si="17"/>
        <v>330.30160000000001</v>
      </c>
      <c r="Y90" s="5">
        <f>12*X90-U90-T90-S90-R90-Q90-P90-O90-F90</f>
        <v>800.94381808000162</v>
      </c>
      <c r="Z90" s="5">
        <f>Y90+$Z$1*X90</f>
        <v>470.64221808000161</v>
      </c>
      <c r="AA90" s="1">
        <f t="shared" si="18"/>
        <v>11</v>
      </c>
      <c r="AB90" s="1">
        <f t="shared" si="19"/>
        <v>9.5751137200667458</v>
      </c>
      <c r="AC90" s="1">
        <v>346.56220000000002</v>
      </c>
      <c r="AD90" s="1">
        <v>373.70159999999998</v>
      </c>
      <c r="AE90" s="1">
        <v>399.83</v>
      </c>
      <c r="AF90" s="1">
        <v>296.8424</v>
      </c>
      <c r="AG90" s="1">
        <v>287.976</v>
      </c>
      <c r="AH90" s="1">
        <v>270.93779999999998</v>
      </c>
      <c r="AI90" s="1">
        <v>197.911</v>
      </c>
      <c r="AJ90" s="1">
        <v>281.72179999999997</v>
      </c>
      <c r="AK90" s="1">
        <v>365.83620000000002</v>
      </c>
      <c r="AL90" s="1">
        <v>364.94260000000003</v>
      </c>
      <c r="AM90" s="1"/>
      <c r="AN90" s="1">
        <f t="shared" si="20"/>
        <v>471</v>
      </c>
    </row>
    <row r="91" spans="1:40" x14ac:dyDescent="0.25">
      <c r="A91" s="19" t="s">
        <v>144</v>
      </c>
      <c r="B91" s="1" t="s">
        <v>45</v>
      </c>
      <c r="C91" s="1">
        <v>1887.84</v>
      </c>
      <c r="D91" s="1">
        <v>2096.7510000000002</v>
      </c>
      <c r="E91" s="1">
        <v>1669.1949999999999</v>
      </c>
      <c r="F91" s="1">
        <v>1953.895</v>
      </c>
      <c r="G91" s="7">
        <v>1</v>
      </c>
      <c r="H91" s="1">
        <v>60</v>
      </c>
      <c r="I91" s="1" t="s">
        <v>46</v>
      </c>
      <c r="J91" s="1"/>
      <c r="K91" s="1">
        <v>1682.5</v>
      </c>
      <c r="L91" s="1">
        <f t="shared" si="16"/>
        <v>-13.305000000000064</v>
      </c>
      <c r="M91" s="1"/>
      <c r="N91" s="1"/>
      <c r="O91" s="1">
        <v>400</v>
      </c>
      <c r="P91" s="1">
        <v>110.5612446399999</v>
      </c>
      <c r="Q91" s="1">
        <v>125.1212800000001</v>
      </c>
      <c r="R91" s="1"/>
      <c r="S91" s="1">
        <v>1000</v>
      </c>
      <c r="T91" s="1">
        <v>100</v>
      </c>
      <c r="U91" s="1"/>
      <c r="V91" s="15">
        <v>1000</v>
      </c>
      <c r="W91" s="15"/>
      <c r="X91" s="1">
        <f t="shared" si="17"/>
        <v>333.839</v>
      </c>
      <c r="Y91" s="5">
        <f>12*X91-U91-T91-S91-R91-Q91-P91-O91-F91</f>
        <v>316.49047535999989</v>
      </c>
      <c r="Z91" s="5">
        <v>0</v>
      </c>
      <c r="AA91" s="1">
        <f t="shared" si="18"/>
        <v>14.047422633784551</v>
      </c>
      <c r="AB91" s="1">
        <f t="shared" si="19"/>
        <v>11.051966740374853</v>
      </c>
      <c r="AC91" s="1">
        <v>299.80560000000003</v>
      </c>
      <c r="AD91" s="1">
        <v>327.33319999999998</v>
      </c>
      <c r="AE91" s="1">
        <v>409.26220000000001</v>
      </c>
      <c r="AF91" s="1">
        <v>319.29379999999998</v>
      </c>
      <c r="AG91" s="1">
        <v>349.4932</v>
      </c>
      <c r="AH91" s="1">
        <v>374.82220000000001</v>
      </c>
      <c r="AI91" s="1">
        <v>291.64859999999999</v>
      </c>
      <c r="AJ91" s="1">
        <v>348.50799999999998</v>
      </c>
      <c r="AK91" s="1">
        <v>351.85340000000002</v>
      </c>
      <c r="AL91" s="1">
        <v>259.17039999999997</v>
      </c>
      <c r="AM91" s="1"/>
      <c r="AN91" s="1">
        <f t="shared" si="20"/>
        <v>0</v>
      </c>
    </row>
    <row r="92" spans="1:40" x14ac:dyDescent="0.25">
      <c r="A92" s="19" t="s">
        <v>145</v>
      </c>
      <c r="B92" s="1" t="s">
        <v>45</v>
      </c>
      <c r="C92" s="1">
        <v>2936.1239999999998</v>
      </c>
      <c r="D92" s="1">
        <v>2472.6460000000002</v>
      </c>
      <c r="E92" s="1">
        <v>2641.8009999999999</v>
      </c>
      <c r="F92" s="1">
        <v>2196.3389999999999</v>
      </c>
      <c r="G92" s="7">
        <v>1</v>
      </c>
      <c r="H92" s="1">
        <v>60</v>
      </c>
      <c r="I92" s="1" t="s">
        <v>46</v>
      </c>
      <c r="J92" s="1"/>
      <c r="K92" s="1">
        <v>2655.0239999999999</v>
      </c>
      <c r="L92" s="1">
        <f t="shared" si="16"/>
        <v>-13.222999999999956</v>
      </c>
      <c r="M92" s="1"/>
      <c r="N92" s="1"/>
      <c r="O92" s="1">
        <v>700</v>
      </c>
      <c r="P92" s="1">
        <v>1335.8314600000019</v>
      </c>
      <c r="Q92" s="1">
        <v>308.53789591999822</v>
      </c>
      <c r="R92" s="1"/>
      <c r="S92" s="1">
        <v>1800</v>
      </c>
      <c r="T92" s="1">
        <v>300</v>
      </c>
      <c r="U92" s="1"/>
      <c r="V92" s="15">
        <v>500</v>
      </c>
      <c r="W92" s="15"/>
      <c r="X92" s="1">
        <f t="shared" si="17"/>
        <v>528.36019999999996</v>
      </c>
      <c r="Y92" s="5"/>
      <c r="Z92" s="5">
        <f t="shared" ref="Z92:Z121" si="22">Y92</f>
        <v>0</v>
      </c>
      <c r="AA92" s="1">
        <f t="shared" si="18"/>
        <v>13.514849066829788</v>
      </c>
      <c r="AB92" s="1">
        <f t="shared" si="19"/>
        <v>12.568524949305418</v>
      </c>
      <c r="AC92" s="1">
        <v>520.89139999999998</v>
      </c>
      <c r="AD92" s="1">
        <v>526.52819999999997</v>
      </c>
      <c r="AE92" s="1">
        <v>579.12779999999998</v>
      </c>
      <c r="AF92" s="1">
        <v>471.89260000000002</v>
      </c>
      <c r="AG92" s="1">
        <v>469.8184</v>
      </c>
      <c r="AH92" s="1">
        <v>607.09460000000001</v>
      </c>
      <c r="AI92" s="1">
        <v>618.89179999999999</v>
      </c>
      <c r="AJ92" s="1">
        <v>622.35180000000003</v>
      </c>
      <c r="AK92" s="1">
        <v>606.17020000000002</v>
      </c>
      <c r="AL92" s="1">
        <v>528.50659999999993</v>
      </c>
      <c r="AM92" s="1"/>
      <c r="AN92" s="1">
        <f t="shared" si="20"/>
        <v>0</v>
      </c>
    </row>
    <row r="93" spans="1:40" x14ac:dyDescent="0.25">
      <c r="A93" s="10" t="s">
        <v>146</v>
      </c>
      <c r="B93" s="10" t="s">
        <v>45</v>
      </c>
      <c r="C93" s="10"/>
      <c r="D93" s="10"/>
      <c r="E93" s="10"/>
      <c r="F93" s="10"/>
      <c r="G93" s="11">
        <v>0</v>
      </c>
      <c r="H93" s="10"/>
      <c r="I93" s="10" t="s">
        <v>46</v>
      </c>
      <c r="J93" s="10"/>
      <c r="K93" s="10"/>
      <c r="L93" s="10">
        <f t="shared" si="16"/>
        <v>0</v>
      </c>
      <c r="M93" s="10"/>
      <c r="N93" s="10"/>
      <c r="O93" s="10"/>
      <c r="P93" s="10"/>
      <c r="Q93" s="10">
        <v>0</v>
      </c>
      <c r="R93" s="10"/>
      <c r="S93" s="10"/>
      <c r="T93" s="10"/>
      <c r="U93" s="10"/>
      <c r="V93" s="17"/>
      <c r="W93" s="17"/>
      <c r="X93" s="10">
        <f t="shared" si="17"/>
        <v>0</v>
      </c>
      <c r="Y93" s="12"/>
      <c r="Z93" s="5">
        <f t="shared" si="22"/>
        <v>0</v>
      </c>
      <c r="AA93" s="1" t="e">
        <f t="shared" si="18"/>
        <v>#DIV/0!</v>
      </c>
      <c r="AB93" s="10" t="e">
        <f t="shared" si="19"/>
        <v>#DIV/0!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 t="s">
        <v>55</v>
      </c>
      <c r="AN93" s="1">
        <f t="shared" si="20"/>
        <v>0</v>
      </c>
    </row>
    <row r="94" spans="1:40" x14ac:dyDescent="0.25">
      <c r="A94" s="1" t="s">
        <v>147</v>
      </c>
      <c r="B94" s="1" t="s">
        <v>50</v>
      </c>
      <c r="C94" s="1">
        <v>-2</v>
      </c>
      <c r="D94" s="1">
        <v>318</v>
      </c>
      <c r="E94" s="1">
        <v>144</v>
      </c>
      <c r="F94" s="1">
        <v>70</v>
      </c>
      <c r="G94" s="7">
        <v>0.3</v>
      </c>
      <c r="H94" s="1">
        <v>40</v>
      </c>
      <c r="I94" s="1" t="s">
        <v>46</v>
      </c>
      <c r="J94" s="1"/>
      <c r="K94" s="1">
        <v>169</v>
      </c>
      <c r="L94" s="1">
        <f t="shared" si="16"/>
        <v>-25</v>
      </c>
      <c r="M94" s="1"/>
      <c r="N94" s="1"/>
      <c r="O94" s="1"/>
      <c r="P94" s="1">
        <v>6</v>
      </c>
      <c r="Q94" s="1">
        <v>0</v>
      </c>
      <c r="R94" s="1"/>
      <c r="S94" s="1"/>
      <c r="T94" s="1"/>
      <c r="U94" s="1"/>
      <c r="V94" s="15"/>
      <c r="W94" s="15">
        <v>-64.8</v>
      </c>
      <c r="X94" s="1">
        <f t="shared" si="17"/>
        <v>28.8</v>
      </c>
      <c r="Y94" s="5">
        <f>10*X94-U94-T94-S94-R94-Q94-P94-O94-F94</f>
        <v>212</v>
      </c>
      <c r="Z94" s="5">
        <f t="shared" si="22"/>
        <v>212</v>
      </c>
      <c r="AA94" s="1">
        <f t="shared" si="18"/>
        <v>10</v>
      </c>
      <c r="AB94" s="1">
        <f t="shared" si="19"/>
        <v>2.6388888888888888</v>
      </c>
      <c r="AC94" s="1">
        <v>12.6</v>
      </c>
      <c r="AD94" s="1">
        <v>25</v>
      </c>
      <c r="AE94" s="1">
        <v>32.4</v>
      </c>
      <c r="AF94" s="1">
        <v>26.6</v>
      </c>
      <c r="AG94" s="1">
        <v>8</v>
      </c>
      <c r="AH94" s="1">
        <v>5</v>
      </c>
      <c r="AI94" s="1">
        <v>21</v>
      </c>
      <c r="AJ94" s="1">
        <v>27.8</v>
      </c>
      <c r="AK94" s="1">
        <v>22.8</v>
      </c>
      <c r="AL94" s="1">
        <v>24</v>
      </c>
      <c r="AM94" s="1"/>
      <c r="AN94" s="1">
        <f t="shared" si="20"/>
        <v>64</v>
      </c>
    </row>
    <row r="95" spans="1:40" x14ac:dyDescent="0.25">
      <c r="A95" s="10" t="s">
        <v>149</v>
      </c>
      <c r="B95" s="10" t="s">
        <v>50</v>
      </c>
      <c r="C95" s="10"/>
      <c r="D95" s="10"/>
      <c r="E95" s="10"/>
      <c r="F95" s="10"/>
      <c r="G95" s="11">
        <v>0</v>
      </c>
      <c r="H95" s="10"/>
      <c r="I95" s="10" t="s">
        <v>46</v>
      </c>
      <c r="J95" s="10"/>
      <c r="K95" s="10"/>
      <c r="L95" s="10">
        <f t="shared" si="16"/>
        <v>0</v>
      </c>
      <c r="M95" s="10"/>
      <c r="N95" s="10"/>
      <c r="O95" s="10"/>
      <c r="P95" s="10"/>
      <c r="Q95" s="10">
        <v>0</v>
      </c>
      <c r="R95" s="10"/>
      <c r="S95" s="10"/>
      <c r="T95" s="10"/>
      <c r="U95" s="10"/>
      <c r="V95" s="17"/>
      <c r="W95" s="17"/>
      <c r="X95" s="10">
        <f t="shared" si="17"/>
        <v>0</v>
      </c>
      <c r="Y95" s="12"/>
      <c r="Z95" s="5">
        <f t="shared" si="22"/>
        <v>0</v>
      </c>
      <c r="AA95" s="1" t="e">
        <f t="shared" si="18"/>
        <v>#DIV/0!</v>
      </c>
      <c r="AB95" s="10" t="e">
        <f t="shared" si="19"/>
        <v>#DIV/0!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 t="s">
        <v>55</v>
      </c>
      <c r="AN95" s="1">
        <f t="shared" si="20"/>
        <v>0</v>
      </c>
    </row>
    <row r="96" spans="1:40" x14ac:dyDescent="0.25">
      <c r="A96" s="1" t="s">
        <v>150</v>
      </c>
      <c r="B96" s="1" t="s">
        <v>50</v>
      </c>
      <c r="C96" s="1">
        <v>36</v>
      </c>
      <c r="D96" s="1">
        <v>95</v>
      </c>
      <c r="E96" s="1">
        <v>60</v>
      </c>
      <c r="F96" s="1">
        <v>71</v>
      </c>
      <c r="G96" s="7">
        <v>7.0000000000000007E-2</v>
      </c>
      <c r="H96" s="1">
        <v>90</v>
      </c>
      <c r="I96" s="1" t="s">
        <v>46</v>
      </c>
      <c r="J96" s="1"/>
      <c r="K96" s="1">
        <v>64</v>
      </c>
      <c r="L96" s="1">
        <f t="shared" si="16"/>
        <v>-4</v>
      </c>
      <c r="M96" s="1"/>
      <c r="N96" s="1"/>
      <c r="O96" s="1"/>
      <c r="P96" s="1">
        <v>59.5</v>
      </c>
      <c r="Q96" s="1">
        <v>80</v>
      </c>
      <c r="R96" s="1"/>
      <c r="S96" s="1"/>
      <c r="T96" s="1"/>
      <c r="U96" s="1"/>
      <c r="V96" s="15"/>
      <c r="W96" s="15"/>
      <c r="X96" s="1">
        <f t="shared" si="17"/>
        <v>12</v>
      </c>
      <c r="Y96" s="5"/>
      <c r="Z96" s="5">
        <f t="shared" si="22"/>
        <v>0</v>
      </c>
      <c r="AA96" s="1">
        <f t="shared" si="18"/>
        <v>17.541666666666668</v>
      </c>
      <c r="AB96" s="1">
        <f t="shared" si="19"/>
        <v>17.541666666666668</v>
      </c>
      <c r="AC96" s="1">
        <v>13</v>
      </c>
      <c r="AD96" s="1">
        <v>14.6</v>
      </c>
      <c r="AE96" s="1">
        <v>15</v>
      </c>
      <c r="AF96" s="1">
        <v>10</v>
      </c>
      <c r="AG96" s="1">
        <v>9.1999999999999993</v>
      </c>
      <c r="AH96" s="1">
        <v>11.4</v>
      </c>
      <c r="AI96" s="1">
        <v>6.8</v>
      </c>
      <c r="AJ96" s="1">
        <v>7.6</v>
      </c>
      <c r="AK96" s="1">
        <v>13.6</v>
      </c>
      <c r="AL96" s="1">
        <v>8.4</v>
      </c>
      <c r="AM96" s="1" t="s">
        <v>151</v>
      </c>
      <c r="AN96" s="1">
        <f t="shared" si="20"/>
        <v>0</v>
      </c>
    </row>
    <row r="97" spans="1:40" x14ac:dyDescent="0.25">
      <c r="A97" s="1" t="s">
        <v>152</v>
      </c>
      <c r="B97" s="1" t="s">
        <v>50</v>
      </c>
      <c r="C97" s="1"/>
      <c r="D97" s="1">
        <v>72</v>
      </c>
      <c r="E97" s="1"/>
      <c r="F97" s="1">
        <v>72</v>
      </c>
      <c r="G97" s="7">
        <v>7.0000000000000007E-2</v>
      </c>
      <c r="H97" s="1">
        <v>90</v>
      </c>
      <c r="I97" s="1" t="s">
        <v>46</v>
      </c>
      <c r="J97" s="1"/>
      <c r="K97" s="1">
        <v>1</v>
      </c>
      <c r="L97" s="1">
        <f t="shared" si="16"/>
        <v>-1</v>
      </c>
      <c r="M97" s="1"/>
      <c r="N97" s="1"/>
      <c r="O97" s="1"/>
      <c r="P97" s="1">
        <v>0</v>
      </c>
      <c r="Q97" s="1">
        <v>0</v>
      </c>
      <c r="R97" s="1"/>
      <c r="S97" s="1"/>
      <c r="T97" s="1"/>
      <c r="U97" s="1"/>
      <c r="V97" s="15"/>
      <c r="W97" s="15"/>
      <c r="X97" s="1">
        <f t="shared" si="17"/>
        <v>0</v>
      </c>
      <c r="Y97" s="5"/>
      <c r="Z97" s="5">
        <f t="shared" si="22"/>
        <v>0</v>
      </c>
      <c r="AA97" s="1" t="e">
        <f t="shared" si="18"/>
        <v>#DIV/0!</v>
      </c>
      <c r="AB97" s="1" t="e">
        <f t="shared" si="19"/>
        <v>#DIV/0!</v>
      </c>
      <c r="AC97" s="1">
        <v>0</v>
      </c>
      <c r="AD97" s="1">
        <v>4</v>
      </c>
      <c r="AE97" s="1">
        <v>10.4</v>
      </c>
      <c r="AF97" s="1">
        <v>9.8000000000000007</v>
      </c>
      <c r="AG97" s="1">
        <v>10</v>
      </c>
      <c r="AH97" s="1">
        <v>12.4</v>
      </c>
      <c r="AI97" s="1">
        <v>6.6</v>
      </c>
      <c r="AJ97" s="1">
        <v>1.8</v>
      </c>
      <c r="AK97" s="1">
        <v>0</v>
      </c>
      <c r="AL97" s="1">
        <v>0</v>
      </c>
      <c r="AM97" s="1"/>
      <c r="AN97" s="1">
        <f t="shared" si="20"/>
        <v>0</v>
      </c>
    </row>
    <row r="98" spans="1:40" x14ac:dyDescent="0.25">
      <c r="A98" s="1" t="s">
        <v>153</v>
      </c>
      <c r="B98" s="1" t="s">
        <v>50</v>
      </c>
      <c r="C98" s="1">
        <v>96</v>
      </c>
      <c r="D98" s="1"/>
      <c r="E98" s="1">
        <v>77</v>
      </c>
      <c r="F98" s="1">
        <v>14</v>
      </c>
      <c r="G98" s="7">
        <v>7.0000000000000007E-2</v>
      </c>
      <c r="H98" s="1">
        <v>90</v>
      </c>
      <c r="I98" s="1" t="s">
        <v>46</v>
      </c>
      <c r="J98" s="1"/>
      <c r="K98" s="1">
        <v>73</v>
      </c>
      <c r="L98" s="1">
        <f t="shared" si="16"/>
        <v>4</v>
      </c>
      <c r="M98" s="1"/>
      <c r="N98" s="1"/>
      <c r="O98" s="1"/>
      <c r="P98" s="1">
        <v>39.5</v>
      </c>
      <c r="Q98" s="1">
        <v>86.699999999999989</v>
      </c>
      <c r="R98" s="1"/>
      <c r="S98" s="1"/>
      <c r="T98" s="1"/>
      <c r="U98" s="1"/>
      <c r="V98" s="15"/>
      <c r="W98" s="15"/>
      <c r="X98" s="1">
        <f t="shared" si="17"/>
        <v>15.4</v>
      </c>
      <c r="Y98" s="5">
        <f>12*X98-U98-T98-S98-R98-Q98-P98-O98-F98</f>
        <v>44.600000000000023</v>
      </c>
      <c r="Z98" s="5">
        <f t="shared" si="22"/>
        <v>44.600000000000023</v>
      </c>
      <c r="AA98" s="1">
        <f t="shared" si="18"/>
        <v>12</v>
      </c>
      <c r="AB98" s="1">
        <f t="shared" si="19"/>
        <v>9.103896103896103</v>
      </c>
      <c r="AC98" s="1">
        <v>14.2</v>
      </c>
      <c r="AD98" s="1">
        <v>10.6</v>
      </c>
      <c r="AE98" s="1">
        <v>8.4</v>
      </c>
      <c r="AF98" s="1">
        <v>4.2</v>
      </c>
      <c r="AG98" s="1">
        <v>5</v>
      </c>
      <c r="AH98" s="1">
        <v>12.4</v>
      </c>
      <c r="AI98" s="1">
        <v>9</v>
      </c>
      <c r="AJ98" s="1">
        <v>4.5999999999999996</v>
      </c>
      <c r="AK98" s="1">
        <v>7.2</v>
      </c>
      <c r="AL98" s="1">
        <v>6.8</v>
      </c>
      <c r="AM98" s="1"/>
      <c r="AN98" s="1">
        <f t="shared" si="20"/>
        <v>3</v>
      </c>
    </row>
    <row r="99" spans="1:40" x14ac:dyDescent="0.25">
      <c r="A99" s="10" t="s">
        <v>154</v>
      </c>
      <c r="B99" s="10" t="s">
        <v>50</v>
      </c>
      <c r="C99" s="10">
        <v>194</v>
      </c>
      <c r="D99" s="10"/>
      <c r="E99" s="10">
        <v>75</v>
      </c>
      <c r="F99" s="10">
        <v>115</v>
      </c>
      <c r="G99" s="11">
        <v>0</v>
      </c>
      <c r="H99" s="10">
        <v>90</v>
      </c>
      <c r="I99" s="10" t="s">
        <v>70</v>
      </c>
      <c r="J99" s="10"/>
      <c r="K99" s="10">
        <v>70</v>
      </c>
      <c r="L99" s="10">
        <f t="shared" si="16"/>
        <v>5</v>
      </c>
      <c r="M99" s="10"/>
      <c r="N99" s="10"/>
      <c r="O99" s="10"/>
      <c r="P99" s="10">
        <v>0</v>
      </c>
      <c r="Q99" s="10">
        <v>0</v>
      </c>
      <c r="R99" s="10"/>
      <c r="S99" s="10"/>
      <c r="T99" s="10"/>
      <c r="U99" s="10"/>
      <c r="V99" s="17"/>
      <c r="W99" s="17"/>
      <c r="X99" s="10">
        <f t="shared" si="17"/>
        <v>15</v>
      </c>
      <c r="Y99" s="12"/>
      <c r="Z99" s="5">
        <f t="shared" si="22"/>
        <v>0</v>
      </c>
      <c r="AA99" s="1">
        <f t="shared" si="18"/>
        <v>7.666666666666667</v>
      </c>
      <c r="AB99" s="10">
        <f t="shared" si="19"/>
        <v>7.666666666666667</v>
      </c>
      <c r="AC99" s="10">
        <v>12.6</v>
      </c>
      <c r="AD99" s="10">
        <v>7.6</v>
      </c>
      <c r="AE99" s="10">
        <v>9.1999999999999993</v>
      </c>
      <c r="AF99" s="10">
        <v>8.8000000000000007</v>
      </c>
      <c r="AG99" s="10">
        <v>15.2</v>
      </c>
      <c r="AH99" s="10">
        <v>20.2</v>
      </c>
      <c r="AI99" s="10">
        <v>10</v>
      </c>
      <c r="AJ99" s="10">
        <v>3.6</v>
      </c>
      <c r="AK99" s="10">
        <v>5.4</v>
      </c>
      <c r="AL99" s="10">
        <v>10.4</v>
      </c>
      <c r="AM99" s="10"/>
      <c r="AN99" s="1">
        <f t="shared" si="20"/>
        <v>0</v>
      </c>
    </row>
    <row r="100" spans="1:40" x14ac:dyDescent="0.25">
      <c r="A100" s="10" t="s">
        <v>155</v>
      </c>
      <c r="B100" s="10" t="s">
        <v>50</v>
      </c>
      <c r="C100" s="10">
        <v>1</v>
      </c>
      <c r="D100" s="10"/>
      <c r="E100" s="10">
        <v>-1</v>
      </c>
      <c r="F100" s="10">
        <v>1</v>
      </c>
      <c r="G100" s="11">
        <v>0</v>
      </c>
      <c r="H100" s="10"/>
      <c r="I100" s="10" t="s">
        <v>70</v>
      </c>
      <c r="J100" s="10"/>
      <c r="K100" s="10">
        <v>41</v>
      </c>
      <c r="L100" s="10">
        <f t="shared" si="16"/>
        <v>-42</v>
      </c>
      <c r="M100" s="10"/>
      <c r="N100" s="10"/>
      <c r="O100" s="10"/>
      <c r="P100" s="10">
        <v>0</v>
      </c>
      <c r="Q100" s="10">
        <v>0</v>
      </c>
      <c r="R100" s="10"/>
      <c r="S100" s="10"/>
      <c r="T100" s="10"/>
      <c r="U100" s="10"/>
      <c r="V100" s="17"/>
      <c r="W100" s="17"/>
      <c r="X100" s="10">
        <f t="shared" si="17"/>
        <v>-0.2</v>
      </c>
      <c r="Y100" s="12"/>
      <c r="Z100" s="5">
        <f t="shared" si="22"/>
        <v>0</v>
      </c>
      <c r="AA100" s="1">
        <f t="shared" si="18"/>
        <v>-5</v>
      </c>
      <c r="AB100" s="10">
        <f t="shared" si="19"/>
        <v>-5</v>
      </c>
      <c r="AC100" s="10">
        <v>-0.8</v>
      </c>
      <c r="AD100" s="10">
        <v>2.8</v>
      </c>
      <c r="AE100" s="10">
        <v>11</v>
      </c>
      <c r="AF100" s="10">
        <v>10</v>
      </c>
      <c r="AG100" s="10">
        <v>7.8</v>
      </c>
      <c r="AH100" s="10">
        <v>12.6</v>
      </c>
      <c r="AI100" s="10">
        <v>9.4</v>
      </c>
      <c r="AJ100" s="10">
        <v>9.4</v>
      </c>
      <c r="AK100" s="10">
        <v>7.8</v>
      </c>
      <c r="AL100" s="10">
        <v>0.8</v>
      </c>
      <c r="AM100" s="10" t="s">
        <v>156</v>
      </c>
      <c r="AN100" s="1">
        <f t="shared" si="20"/>
        <v>0</v>
      </c>
    </row>
    <row r="101" spans="1:40" x14ac:dyDescent="0.25">
      <c r="A101" s="10" t="s">
        <v>157</v>
      </c>
      <c r="B101" s="10" t="s">
        <v>50</v>
      </c>
      <c r="C101" s="10"/>
      <c r="D101" s="10"/>
      <c r="E101" s="10"/>
      <c r="F101" s="10"/>
      <c r="G101" s="11">
        <v>0</v>
      </c>
      <c r="H101" s="10"/>
      <c r="I101" s="10" t="s">
        <v>46</v>
      </c>
      <c r="J101" s="10"/>
      <c r="K101" s="10"/>
      <c r="L101" s="10">
        <f t="shared" si="16"/>
        <v>0</v>
      </c>
      <c r="M101" s="10"/>
      <c r="N101" s="10"/>
      <c r="O101" s="10"/>
      <c r="P101" s="10"/>
      <c r="Q101" s="10">
        <v>0</v>
      </c>
      <c r="R101" s="10"/>
      <c r="S101" s="10"/>
      <c r="T101" s="10"/>
      <c r="U101" s="10"/>
      <c r="V101" s="17"/>
      <c r="W101" s="17"/>
      <c r="X101" s="10">
        <f t="shared" si="17"/>
        <v>0</v>
      </c>
      <c r="Y101" s="12"/>
      <c r="Z101" s="5">
        <f t="shared" si="22"/>
        <v>0</v>
      </c>
      <c r="AA101" s="1" t="e">
        <f t="shared" si="18"/>
        <v>#DIV/0!</v>
      </c>
      <c r="AB101" s="10" t="e">
        <f t="shared" si="19"/>
        <v>#DIV/0!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 t="s">
        <v>55</v>
      </c>
      <c r="AN101" s="1">
        <f t="shared" si="20"/>
        <v>0</v>
      </c>
    </row>
    <row r="102" spans="1:40" x14ac:dyDescent="0.25">
      <c r="A102" s="10" t="s">
        <v>158</v>
      </c>
      <c r="B102" s="10" t="s">
        <v>45</v>
      </c>
      <c r="C102" s="10">
        <v>97.721999999999994</v>
      </c>
      <c r="D102" s="10"/>
      <c r="E102" s="10">
        <v>32.048000000000002</v>
      </c>
      <c r="F102" s="10">
        <v>-1.5780000000000001</v>
      </c>
      <c r="G102" s="11">
        <v>0</v>
      </c>
      <c r="H102" s="10"/>
      <c r="I102" s="10" t="s">
        <v>46</v>
      </c>
      <c r="J102" s="10"/>
      <c r="K102" s="10">
        <v>31</v>
      </c>
      <c r="L102" s="10">
        <f t="shared" ref="L102:L132" si="23">E102-K102</f>
        <v>1.0480000000000018</v>
      </c>
      <c r="M102" s="10"/>
      <c r="N102" s="10"/>
      <c r="O102" s="10"/>
      <c r="P102" s="10">
        <v>0</v>
      </c>
      <c r="Q102" s="10">
        <v>0</v>
      </c>
      <c r="R102" s="10"/>
      <c r="S102" s="10"/>
      <c r="T102" s="10"/>
      <c r="U102" s="10"/>
      <c r="V102" s="17"/>
      <c r="W102" s="17"/>
      <c r="X102" s="10">
        <f t="shared" ref="X102:X132" si="24">E102/5</f>
        <v>6.4096000000000002</v>
      </c>
      <c r="Y102" s="12"/>
      <c r="Z102" s="5">
        <f t="shared" si="22"/>
        <v>0</v>
      </c>
      <c r="AA102" s="1">
        <f t="shared" ref="AA102:AA132" si="25">(F102+O102+P102+Q102+R102+S102+T102+U102+Z102+V102)/X102</f>
        <v>-0.24619321018472293</v>
      </c>
      <c r="AB102" s="10">
        <f t="shared" ref="AB102:AB132" si="26">(F102+O102+P102+Q102+R102+S102+T102+U102)/X102</f>
        <v>-0.24619321018472293</v>
      </c>
      <c r="AC102" s="10">
        <v>3.5326</v>
      </c>
      <c r="AD102" s="10">
        <v>2.8809999999999998</v>
      </c>
      <c r="AE102" s="10">
        <v>7.3634000000000004</v>
      </c>
      <c r="AF102" s="10">
        <v>8.003400000000001</v>
      </c>
      <c r="AG102" s="10">
        <v>10.226000000000001</v>
      </c>
      <c r="AH102" s="10">
        <v>11.8124</v>
      </c>
      <c r="AI102" s="10">
        <v>7.6684000000000001</v>
      </c>
      <c r="AJ102" s="10">
        <v>0.9608000000000001</v>
      </c>
      <c r="AK102" s="10">
        <v>0</v>
      </c>
      <c r="AL102" s="10">
        <v>0</v>
      </c>
      <c r="AM102" s="10" t="s">
        <v>55</v>
      </c>
      <c r="AN102" s="1">
        <f t="shared" ref="AN102:AN132" si="27">ROUND(G102*Z102,0)</f>
        <v>0</v>
      </c>
    </row>
    <row r="103" spans="1:40" x14ac:dyDescent="0.25">
      <c r="A103" s="10" t="s">
        <v>159</v>
      </c>
      <c r="B103" s="10" t="s">
        <v>50</v>
      </c>
      <c r="C103" s="10"/>
      <c r="D103" s="10"/>
      <c r="E103" s="10"/>
      <c r="F103" s="10"/>
      <c r="G103" s="11">
        <v>0</v>
      </c>
      <c r="H103" s="10"/>
      <c r="I103" s="10" t="s">
        <v>46</v>
      </c>
      <c r="J103" s="10"/>
      <c r="K103" s="10"/>
      <c r="L103" s="10">
        <f t="shared" si="23"/>
        <v>0</v>
      </c>
      <c r="M103" s="10"/>
      <c r="N103" s="10"/>
      <c r="O103" s="10"/>
      <c r="P103" s="10"/>
      <c r="Q103" s="10">
        <v>0</v>
      </c>
      <c r="R103" s="10"/>
      <c r="S103" s="10"/>
      <c r="T103" s="10"/>
      <c r="U103" s="10"/>
      <c r="V103" s="17"/>
      <c r="W103" s="17"/>
      <c r="X103" s="10">
        <f t="shared" si="24"/>
        <v>0</v>
      </c>
      <c r="Y103" s="12"/>
      <c r="Z103" s="5">
        <f t="shared" si="22"/>
        <v>0</v>
      </c>
      <c r="AA103" s="1" t="e">
        <f t="shared" si="25"/>
        <v>#DIV/0!</v>
      </c>
      <c r="AB103" s="10" t="e">
        <f t="shared" si="26"/>
        <v>#DIV/0!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 t="s">
        <v>55</v>
      </c>
      <c r="AN103" s="1">
        <f t="shared" si="27"/>
        <v>0</v>
      </c>
    </row>
    <row r="104" spans="1:40" x14ac:dyDescent="0.25">
      <c r="A104" s="10" t="s">
        <v>160</v>
      </c>
      <c r="B104" s="10" t="s">
        <v>50</v>
      </c>
      <c r="C104" s="10"/>
      <c r="D104" s="10"/>
      <c r="E104" s="10"/>
      <c r="F104" s="10"/>
      <c r="G104" s="11">
        <v>0</v>
      </c>
      <c r="H104" s="10"/>
      <c r="I104" s="10" t="s">
        <v>46</v>
      </c>
      <c r="J104" s="10"/>
      <c r="K104" s="10"/>
      <c r="L104" s="10">
        <f t="shared" si="23"/>
        <v>0</v>
      </c>
      <c r="M104" s="10"/>
      <c r="N104" s="10"/>
      <c r="O104" s="10"/>
      <c r="P104" s="10"/>
      <c r="Q104" s="10">
        <v>0</v>
      </c>
      <c r="R104" s="10"/>
      <c r="S104" s="10"/>
      <c r="T104" s="10"/>
      <c r="U104" s="10"/>
      <c r="V104" s="17"/>
      <c r="W104" s="17"/>
      <c r="X104" s="10">
        <f t="shared" si="24"/>
        <v>0</v>
      </c>
      <c r="Y104" s="12"/>
      <c r="Z104" s="5">
        <f t="shared" si="22"/>
        <v>0</v>
      </c>
      <c r="AA104" s="1" t="e">
        <f t="shared" si="25"/>
        <v>#DIV/0!</v>
      </c>
      <c r="AB104" s="10" t="e">
        <f t="shared" si="26"/>
        <v>#DIV/0!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 t="s">
        <v>55</v>
      </c>
      <c r="AN104" s="1">
        <f t="shared" si="27"/>
        <v>0</v>
      </c>
    </row>
    <row r="105" spans="1:40" x14ac:dyDescent="0.25">
      <c r="A105" s="1" t="s">
        <v>161</v>
      </c>
      <c r="B105" s="1" t="s">
        <v>50</v>
      </c>
      <c r="C105" s="1">
        <v>51</v>
      </c>
      <c r="D105" s="1">
        <v>100</v>
      </c>
      <c r="E105" s="1">
        <v>50</v>
      </c>
      <c r="F105" s="1">
        <v>99</v>
      </c>
      <c r="G105" s="7">
        <v>0.08</v>
      </c>
      <c r="H105" s="1">
        <v>45</v>
      </c>
      <c r="I105" s="1" t="s">
        <v>46</v>
      </c>
      <c r="J105" s="1"/>
      <c r="K105" s="1">
        <v>58</v>
      </c>
      <c r="L105" s="1">
        <f t="shared" si="23"/>
        <v>-8</v>
      </c>
      <c r="M105" s="1"/>
      <c r="N105" s="1"/>
      <c r="O105" s="1"/>
      <c r="P105" s="1">
        <v>89.800000000000011</v>
      </c>
      <c r="Q105" s="1">
        <v>16.399999999999981</v>
      </c>
      <c r="R105" s="1"/>
      <c r="S105" s="1"/>
      <c r="T105" s="1"/>
      <c r="U105" s="1"/>
      <c r="V105" s="15"/>
      <c r="W105" s="15"/>
      <c r="X105" s="1">
        <f t="shared" si="24"/>
        <v>10</v>
      </c>
      <c r="Y105" s="5"/>
      <c r="Z105" s="5">
        <f t="shared" si="22"/>
        <v>0</v>
      </c>
      <c r="AA105" s="1">
        <f t="shared" si="25"/>
        <v>20.52</v>
      </c>
      <c r="AB105" s="1">
        <f t="shared" si="26"/>
        <v>20.52</v>
      </c>
      <c r="AC105" s="1">
        <v>18.399999999999999</v>
      </c>
      <c r="AD105" s="1">
        <v>18.8</v>
      </c>
      <c r="AE105" s="1">
        <v>17.2</v>
      </c>
      <c r="AF105" s="1">
        <v>7.4</v>
      </c>
      <c r="AG105" s="1">
        <v>1</v>
      </c>
      <c r="AH105" s="1">
        <v>8.8000000000000007</v>
      </c>
      <c r="AI105" s="1">
        <v>14.2</v>
      </c>
      <c r="AJ105" s="1">
        <v>14.6</v>
      </c>
      <c r="AK105" s="1">
        <v>11.6</v>
      </c>
      <c r="AL105" s="1">
        <v>6.2</v>
      </c>
      <c r="AM105" s="1"/>
      <c r="AN105" s="1">
        <f t="shared" si="27"/>
        <v>0</v>
      </c>
    </row>
    <row r="106" spans="1:40" x14ac:dyDescent="0.25">
      <c r="A106" s="1" t="s">
        <v>162</v>
      </c>
      <c r="B106" s="1" t="s">
        <v>50</v>
      </c>
      <c r="C106" s="1">
        <v>41</v>
      </c>
      <c r="D106" s="1">
        <v>10</v>
      </c>
      <c r="E106" s="1">
        <v>47</v>
      </c>
      <c r="F106" s="1">
        <v>3</v>
      </c>
      <c r="G106" s="7">
        <v>0.08</v>
      </c>
      <c r="H106" s="1">
        <v>45</v>
      </c>
      <c r="I106" s="1" t="s">
        <v>46</v>
      </c>
      <c r="J106" s="1"/>
      <c r="K106" s="1">
        <v>71</v>
      </c>
      <c r="L106" s="1">
        <f t="shared" si="23"/>
        <v>-24</v>
      </c>
      <c r="M106" s="1"/>
      <c r="N106" s="1"/>
      <c r="O106" s="1"/>
      <c r="P106" s="1">
        <v>97.5</v>
      </c>
      <c r="Q106" s="1">
        <v>110</v>
      </c>
      <c r="R106" s="1"/>
      <c r="S106" s="1"/>
      <c r="T106" s="1"/>
      <c r="U106" s="1"/>
      <c r="V106" s="15"/>
      <c r="W106" s="15"/>
      <c r="X106" s="1">
        <f t="shared" si="24"/>
        <v>9.4</v>
      </c>
      <c r="Y106" s="5"/>
      <c r="Z106" s="5">
        <f t="shared" si="22"/>
        <v>0</v>
      </c>
      <c r="AA106" s="1">
        <f t="shared" si="25"/>
        <v>22.393617021276594</v>
      </c>
      <c r="AB106" s="1">
        <f t="shared" si="26"/>
        <v>22.393617021276594</v>
      </c>
      <c r="AC106" s="1">
        <v>16.8</v>
      </c>
      <c r="AD106" s="1">
        <v>22.2</v>
      </c>
      <c r="AE106" s="1">
        <v>22</v>
      </c>
      <c r="AF106" s="1">
        <v>19</v>
      </c>
      <c r="AG106" s="1">
        <v>16.2</v>
      </c>
      <c r="AH106" s="1">
        <v>17.2</v>
      </c>
      <c r="AI106" s="1">
        <v>13.8</v>
      </c>
      <c r="AJ106" s="1">
        <v>19</v>
      </c>
      <c r="AK106" s="1">
        <v>20.8</v>
      </c>
      <c r="AL106" s="1">
        <v>6.4</v>
      </c>
      <c r="AM106" s="1" t="s">
        <v>163</v>
      </c>
      <c r="AN106" s="1">
        <f t="shared" si="27"/>
        <v>0</v>
      </c>
    </row>
    <row r="107" spans="1:40" x14ac:dyDescent="0.25">
      <c r="A107" s="10" t="s">
        <v>164</v>
      </c>
      <c r="B107" s="10" t="s">
        <v>50</v>
      </c>
      <c r="C107" s="10"/>
      <c r="D107" s="10"/>
      <c r="E107" s="10"/>
      <c r="F107" s="10"/>
      <c r="G107" s="11">
        <v>0</v>
      </c>
      <c r="H107" s="10"/>
      <c r="I107" s="10" t="s">
        <v>46</v>
      </c>
      <c r="J107" s="10"/>
      <c r="K107" s="10"/>
      <c r="L107" s="10">
        <f t="shared" si="23"/>
        <v>0</v>
      </c>
      <c r="M107" s="10"/>
      <c r="N107" s="10"/>
      <c r="O107" s="10"/>
      <c r="P107" s="10"/>
      <c r="Q107" s="10">
        <v>0</v>
      </c>
      <c r="R107" s="10"/>
      <c r="S107" s="10"/>
      <c r="T107" s="10"/>
      <c r="U107" s="10"/>
      <c r="V107" s="17"/>
      <c r="W107" s="17"/>
      <c r="X107" s="10">
        <f t="shared" si="24"/>
        <v>0</v>
      </c>
      <c r="Y107" s="12"/>
      <c r="Z107" s="5">
        <f t="shared" si="22"/>
        <v>0</v>
      </c>
      <c r="AA107" s="1" t="e">
        <f t="shared" si="25"/>
        <v>#DIV/0!</v>
      </c>
      <c r="AB107" s="10" t="e">
        <f t="shared" si="26"/>
        <v>#DIV/0!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 t="s">
        <v>55</v>
      </c>
      <c r="AN107" s="1">
        <f t="shared" si="27"/>
        <v>0</v>
      </c>
    </row>
    <row r="108" spans="1:40" x14ac:dyDescent="0.25">
      <c r="A108" s="1" t="s">
        <v>165</v>
      </c>
      <c r="B108" s="1" t="s">
        <v>45</v>
      </c>
      <c r="C108" s="1">
        <v>306.959</v>
      </c>
      <c r="D108" s="1">
        <v>135.506</v>
      </c>
      <c r="E108" s="1">
        <v>196.02699999999999</v>
      </c>
      <c r="F108" s="1">
        <v>208.61799999999999</v>
      </c>
      <c r="G108" s="7">
        <v>1</v>
      </c>
      <c r="H108" s="1">
        <v>40</v>
      </c>
      <c r="I108" s="1" t="s">
        <v>46</v>
      </c>
      <c r="J108" s="1"/>
      <c r="K108" s="1">
        <v>195.9</v>
      </c>
      <c r="L108" s="1">
        <f t="shared" si="23"/>
        <v>0.12699999999998113</v>
      </c>
      <c r="M108" s="1"/>
      <c r="N108" s="1"/>
      <c r="O108" s="1"/>
      <c r="P108" s="1">
        <v>47.670600000000007</v>
      </c>
      <c r="Q108" s="1">
        <v>182.18159999999989</v>
      </c>
      <c r="R108" s="1"/>
      <c r="S108" s="1"/>
      <c r="T108" s="1"/>
      <c r="U108" s="1"/>
      <c r="V108" s="15"/>
      <c r="W108" s="15"/>
      <c r="X108" s="1">
        <f t="shared" si="24"/>
        <v>39.205399999999997</v>
      </c>
      <c r="Y108" s="5">
        <f>12*X108-U108-T108-S108-R108-Q108-P108-O108-F108</f>
        <v>31.994600000000077</v>
      </c>
      <c r="Z108" s="5">
        <f t="shared" si="22"/>
        <v>31.994600000000077</v>
      </c>
      <c r="AA108" s="1">
        <f t="shared" si="25"/>
        <v>12</v>
      </c>
      <c r="AB108" s="1">
        <f t="shared" si="26"/>
        <v>11.183923643171601</v>
      </c>
      <c r="AC108" s="1">
        <v>47.357999999999997</v>
      </c>
      <c r="AD108" s="1">
        <v>40.43</v>
      </c>
      <c r="AE108" s="1">
        <v>48.8384</v>
      </c>
      <c r="AF108" s="1">
        <v>44.055</v>
      </c>
      <c r="AG108" s="1">
        <v>44.2652</v>
      </c>
      <c r="AH108" s="1">
        <v>54.242199999999997</v>
      </c>
      <c r="AI108" s="1">
        <v>42.4114</v>
      </c>
      <c r="AJ108" s="1">
        <v>28.562200000000001</v>
      </c>
      <c r="AK108" s="1">
        <v>39.197200000000002</v>
      </c>
      <c r="AL108" s="1">
        <v>41.034799999999997</v>
      </c>
      <c r="AM108" s="1"/>
      <c r="AN108" s="1">
        <f t="shared" si="27"/>
        <v>32</v>
      </c>
    </row>
    <row r="109" spans="1:40" x14ac:dyDescent="0.25">
      <c r="A109" s="1" t="s">
        <v>166</v>
      </c>
      <c r="B109" s="1" t="s">
        <v>45</v>
      </c>
      <c r="C109" s="1">
        <v>285.75</v>
      </c>
      <c r="D109" s="1">
        <v>238.30500000000001</v>
      </c>
      <c r="E109" s="1">
        <v>215.90600000000001</v>
      </c>
      <c r="F109" s="1">
        <v>269.02800000000002</v>
      </c>
      <c r="G109" s="7">
        <v>1</v>
      </c>
      <c r="H109" s="1">
        <v>40</v>
      </c>
      <c r="I109" s="1" t="s">
        <v>46</v>
      </c>
      <c r="J109" s="1"/>
      <c r="K109" s="1">
        <v>219.03</v>
      </c>
      <c r="L109" s="1">
        <f t="shared" si="23"/>
        <v>-3.1239999999999952</v>
      </c>
      <c r="M109" s="1"/>
      <c r="N109" s="1"/>
      <c r="O109" s="1"/>
      <c r="P109" s="1">
        <v>64.04789999999997</v>
      </c>
      <c r="Q109" s="1">
        <v>72.282355520000095</v>
      </c>
      <c r="R109" s="1"/>
      <c r="S109" s="1"/>
      <c r="T109" s="1"/>
      <c r="U109" s="1"/>
      <c r="V109" s="15"/>
      <c r="W109" s="15"/>
      <c r="X109" s="1">
        <f t="shared" si="24"/>
        <v>43.181200000000004</v>
      </c>
      <c r="Y109" s="5">
        <f>12*X109-U109-T109-S109-R109-Q109-P109-O109-F109</f>
        <v>112.81614447999999</v>
      </c>
      <c r="Z109" s="5">
        <f t="shared" si="22"/>
        <v>112.81614447999999</v>
      </c>
      <c r="AA109" s="1">
        <f t="shared" si="25"/>
        <v>12.000000000000002</v>
      </c>
      <c r="AB109" s="1">
        <f t="shared" si="26"/>
        <v>9.3873781997721242</v>
      </c>
      <c r="AC109" s="1">
        <v>44.637</v>
      </c>
      <c r="AD109" s="1">
        <v>44.8142</v>
      </c>
      <c r="AE109" s="1">
        <v>56.320599999999999</v>
      </c>
      <c r="AF109" s="1">
        <v>47.069200000000002</v>
      </c>
      <c r="AG109" s="1">
        <v>42.101199999999999</v>
      </c>
      <c r="AH109" s="1">
        <v>53.484000000000002</v>
      </c>
      <c r="AI109" s="1">
        <v>58.659000000000013</v>
      </c>
      <c r="AJ109" s="1">
        <v>62.764200000000002</v>
      </c>
      <c r="AK109" s="1">
        <v>61.113199999999992</v>
      </c>
      <c r="AL109" s="1">
        <v>41.221800000000002</v>
      </c>
      <c r="AM109" s="1"/>
      <c r="AN109" s="1">
        <f t="shared" si="27"/>
        <v>113</v>
      </c>
    </row>
    <row r="110" spans="1:40" x14ac:dyDescent="0.25">
      <c r="A110" s="1" t="s">
        <v>167</v>
      </c>
      <c r="B110" s="1" t="s">
        <v>45</v>
      </c>
      <c r="C110" s="1">
        <v>144.453</v>
      </c>
      <c r="D110" s="1">
        <v>363.17099999999999</v>
      </c>
      <c r="E110" s="1">
        <v>285.06400000000002</v>
      </c>
      <c r="F110" s="1">
        <v>171.52600000000001</v>
      </c>
      <c r="G110" s="7">
        <v>1</v>
      </c>
      <c r="H110" s="1">
        <v>40</v>
      </c>
      <c r="I110" s="1" t="s">
        <v>46</v>
      </c>
      <c r="J110" s="1"/>
      <c r="K110" s="1">
        <v>286.52</v>
      </c>
      <c r="L110" s="1">
        <f t="shared" si="23"/>
        <v>-1.4559999999999604</v>
      </c>
      <c r="M110" s="1"/>
      <c r="N110" s="1"/>
      <c r="O110" s="1"/>
      <c r="P110" s="1">
        <v>87.16352000000002</v>
      </c>
      <c r="Q110" s="1">
        <v>153.72315999999989</v>
      </c>
      <c r="R110" s="1"/>
      <c r="S110" s="1"/>
      <c r="T110" s="1">
        <v>200</v>
      </c>
      <c r="U110" s="1"/>
      <c r="V110" s="15"/>
      <c r="W110" s="15"/>
      <c r="X110" s="1">
        <f t="shared" si="24"/>
        <v>57.012800000000006</v>
      </c>
      <c r="Y110" s="5">
        <f>12*X110-U110-T110-S110-R110-Q110-P110-O110-F110</f>
        <v>71.740920000000187</v>
      </c>
      <c r="Z110" s="5">
        <f t="shared" si="22"/>
        <v>71.740920000000187</v>
      </c>
      <c r="AA110" s="1">
        <f t="shared" si="25"/>
        <v>12</v>
      </c>
      <c r="AB110" s="1">
        <f t="shared" si="26"/>
        <v>10.741669940785224</v>
      </c>
      <c r="AC110" s="1">
        <v>65.165199999999999</v>
      </c>
      <c r="AD110" s="1">
        <v>60.9452</v>
      </c>
      <c r="AE110" s="1">
        <v>70.5732</v>
      </c>
      <c r="AF110" s="1">
        <v>62.651200000000003</v>
      </c>
      <c r="AG110" s="1">
        <v>44.876600000000003</v>
      </c>
      <c r="AH110" s="1">
        <v>53.498600000000003</v>
      </c>
      <c r="AI110" s="1">
        <v>56.879600000000003</v>
      </c>
      <c r="AJ110" s="1">
        <v>47.910400000000003</v>
      </c>
      <c r="AK110" s="1">
        <v>60.2986</v>
      </c>
      <c r="AL110" s="1">
        <v>44.475000000000001</v>
      </c>
      <c r="AM110" s="1"/>
      <c r="AN110" s="1">
        <f t="shared" si="27"/>
        <v>72</v>
      </c>
    </row>
    <row r="111" spans="1:40" x14ac:dyDescent="0.25">
      <c r="A111" s="10" t="s">
        <v>168</v>
      </c>
      <c r="B111" s="10" t="s">
        <v>50</v>
      </c>
      <c r="C111" s="10"/>
      <c r="D111" s="10"/>
      <c r="E111" s="10"/>
      <c r="F111" s="10"/>
      <c r="G111" s="11">
        <v>0</v>
      </c>
      <c r="H111" s="10"/>
      <c r="I111" s="10" t="s">
        <v>46</v>
      </c>
      <c r="J111" s="10"/>
      <c r="K111" s="10"/>
      <c r="L111" s="10">
        <f t="shared" si="23"/>
        <v>0</v>
      </c>
      <c r="M111" s="10"/>
      <c r="N111" s="10"/>
      <c r="O111" s="10"/>
      <c r="P111" s="10"/>
      <c r="Q111" s="10">
        <v>0</v>
      </c>
      <c r="R111" s="10"/>
      <c r="S111" s="10"/>
      <c r="T111" s="10"/>
      <c r="U111" s="10"/>
      <c r="V111" s="17"/>
      <c r="W111" s="17"/>
      <c r="X111" s="10">
        <f t="shared" si="24"/>
        <v>0</v>
      </c>
      <c r="Y111" s="12"/>
      <c r="Z111" s="5">
        <f t="shared" si="22"/>
        <v>0</v>
      </c>
      <c r="AA111" s="1" t="e">
        <f t="shared" si="25"/>
        <v>#DIV/0!</v>
      </c>
      <c r="AB111" s="10" t="e">
        <f t="shared" si="26"/>
        <v>#DIV/0!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 t="s">
        <v>55</v>
      </c>
      <c r="AN111" s="1">
        <f t="shared" si="27"/>
        <v>0</v>
      </c>
    </row>
    <row r="112" spans="1:40" x14ac:dyDescent="0.25">
      <c r="A112" s="10" t="s">
        <v>169</v>
      </c>
      <c r="B112" s="10" t="s">
        <v>50</v>
      </c>
      <c r="C112" s="10"/>
      <c r="D112" s="10"/>
      <c r="E112" s="10"/>
      <c r="F112" s="10"/>
      <c r="G112" s="11">
        <v>0</v>
      </c>
      <c r="H112" s="10"/>
      <c r="I112" s="10" t="s">
        <v>46</v>
      </c>
      <c r="J112" s="10"/>
      <c r="K112" s="10"/>
      <c r="L112" s="10">
        <f t="shared" si="23"/>
        <v>0</v>
      </c>
      <c r="M112" s="10"/>
      <c r="N112" s="10"/>
      <c r="O112" s="10"/>
      <c r="P112" s="10"/>
      <c r="Q112" s="10">
        <v>0</v>
      </c>
      <c r="R112" s="10"/>
      <c r="S112" s="10"/>
      <c r="T112" s="10"/>
      <c r="U112" s="10"/>
      <c r="V112" s="17"/>
      <c r="W112" s="17"/>
      <c r="X112" s="10">
        <f t="shared" si="24"/>
        <v>0</v>
      </c>
      <c r="Y112" s="12"/>
      <c r="Z112" s="5">
        <f t="shared" si="22"/>
        <v>0</v>
      </c>
      <c r="AA112" s="1" t="e">
        <f t="shared" si="25"/>
        <v>#DIV/0!</v>
      </c>
      <c r="AB112" s="10" t="e">
        <f t="shared" si="26"/>
        <v>#DIV/0!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 t="s">
        <v>55</v>
      </c>
      <c r="AN112" s="1">
        <f t="shared" si="27"/>
        <v>0</v>
      </c>
    </row>
    <row r="113" spans="1:40" x14ac:dyDescent="0.25">
      <c r="A113" s="1" t="s">
        <v>170</v>
      </c>
      <c r="B113" s="1" t="s">
        <v>50</v>
      </c>
      <c r="C113" s="1">
        <v>13</v>
      </c>
      <c r="D113" s="1">
        <v>291</v>
      </c>
      <c r="E113" s="1">
        <v>9</v>
      </c>
      <c r="F113" s="1">
        <v>271</v>
      </c>
      <c r="G113" s="7">
        <v>0.28000000000000003</v>
      </c>
      <c r="H113" s="1">
        <v>40</v>
      </c>
      <c r="I113" s="1" t="s">
        <v>46</v>
      </c>
      <c r="J113" s="1"/>
      <c r="K113" s="1">
        <v>169</v>
      </c>
      <c r="L113" s="1">
        <f t="shared" si="23"/>
        <v>-160</v>
      </c>
      <c r="M113" s="1"/>
      <c r="N113" s="1"/>
      <c r="O113" s="1"/>
      <c r="P113" s="1">
        <v>164.1</v>
      </c>
      <c r="Q113" s="1">
        <v>0</v>
      </c>
      <c r="R113" s="1"/>
      <c r="S113" s="1"/>
      <c r="T113" s="1"/>
      <c r="U113" s="1"/>
      <c r="V113" s="15"/>
      <c r="W113" s="15"/>
      <c r="X113" s="1">
        <f t="shared" si="24"/>
        <v>1.8</v>
      </c>
      <c r="Y113" s="5"/>
      <c r="Z113" s="5">
        <f t="shared" si="22"/>
        <v>0</v>
      </c>
      <c r="AA113" s="1">
        <f t="shared" si="25"/>
        <v>241.72222222222223</v>
      </c>
      <c r="AB113" s="1">
        <f t="shared" si="26"/>
        <v>241.72222222222223</v>
      </c>
      <c r="AC113" s="1">
        <v>20</v>
      </c>
      <c r="AD113" s="1">
        <v>41</v>
      </c>
      <c r="AE113" s="1">
        <v>38.799999999999997</v>
      </c>
      <c r="AF113" s="1">
        <v>14.8</v>
      </c>
      <c r="AG113" s="1">
        <v>-2.6</v>
      </c>
      <c r="AH113" s="1">
        <v>-1.8</v>
      </c>
      <c r="AI113" s="1">
        <v>10.4</v>
      </c>
      <c r="AJ113" s="1">
        <v>23</v>
      </c>
      <c r="AK113" s="1">
        <v>12</v>
      </c>
      <c r="AL113" s="1">
        <v>46.2</v>
      </c>
      <c r="AM113" s="1"/>
      <c r="AN113" s="1">
        <f t="shared" si="27"/>
        <v>0</v>
      </c>
    </row>
    <row r="114" spans="1:40" x14ac:dyDescent="0.25">
      <c r="A114" s="1" t="s">
        <v>171</v>
      </c>
      <c r="B114" s="1" t="s">
        <v>50</v>
      </c>
      <c r="C114" s="1">
        <v>352</v>
      </c>
      <c r="D114" s="1">
        <v>3</v>
      </c>
      <c r="E114" s="1">
        <v>202</v>
      </c>
      <c r="F114" s="1">
        <v>117</v>
      </c>
      <c r="G114" s="7">
        <v>0.28000000000000003</v>
      </c>
      <c r="H114" s="1">
        <v>40</v>
      </c>
      <c r="I114" s="1" t="s">
        <v>46</v>
      </c>
      <c r="J114" s="1"/>
      <c r="K114" s="1">
        <v>197</v>
      </c>
      <c r="L114" s="1">
        <f t="shared" si="23"/>
        <v>5</v>
      </c>
      <c r="M114" s="1"/>
      <c r="N114" s="1"/>
      <c r="O114" s="1"/>
      <c r="P114" s="1">
        <v>0</v>
      </c>
      <c r="Q114" s="1">
        <v>116.6</v>
      </c>
      <c r="R114" s="1"/>
      <c r="S114" s="1"/>
      <c r="T114" s="1">
        <v>100</v>
      </c>
      <c r="U114" s="1"/>
      <c r="V114" s="15"/>
      <c r="W114" s="15"/>
      <c r="X114" s="1">
        <f t="shared" si="24"/>
        <v>40.4</v>
      </c>
      <c r="Y114" s="5">
        <f>12*X114-U114-T114-S114-R114-Q114-P114-O114-F114</f>
        <v>151.19999999999993</v>
      </c>
      <c r="Z114" s="5">
        <f t="shared" si="22"/>
        <v>151.19999999999993</v>
      </c>
      <c r="AA114" s="1">
        <f t="shared" si="25"/>
        <v>12</v>
      </c>
      <c r="AB114" s="1">
        <f t="shared" si="26"/>
        <v>8.2574257425742577</v>
      </c>
      <c r="AC114" s="1">
        <v>38.6</v>
      </c>
      <c r="AD114" s="1">
        <v>25</v>
      </c>
      <c r="AE114" s="1">
        <v>12.8</v>
      </c>
      <c r="AF114" s="1">
        <v>8.6</v>
      </c>
      <c r="AG114" s="1">
        <v>24</v>
      </c>
      <c r="AH114" s="1">
        <v>42.6</v>
      </c>
      <c r="AI114" s="1">
        <v>28.8</v>
      </c>
      <c r="AJ114" s="1">
        <v>4.2</v>
      </c>
      <c r="AK114" s="1">
        <v>0</v>
      </c>
      <c r="AL114" s="1">
        <v>0</v>
      </c>
      <c r="AM114" s="1"/>
      <c r="AN114" s="1">
        <f t="shared" si="27"/>
        <v>42</v>
      </c>
    </row>
    <row r="115" spans="1:40" x14ac:dyDescent="0.25">
      <c r="A115" s="1" t="s">
        <v>172</v>
      </c>
      <c r="B115" s="1" t="s">
        <v>50</v>
      </c>
      <c r="C115" s="1">
        <v>248</v>
      </c>
      <c r="D115" s="1">
        <v>114</v>
      </c>
      <c r="E115" s="1">
        <v>195</v>
      </c>
      <c r="F115" s="1">
        <v>124</v>
      </c>
      <c r="G115" s="7">
        <v>0.28000000000000003</v>
      </c>
      <c r="H115" s="1">
        <v>40</v>
      </c>
      <c r="I115" s="1" t="s">
        <v>46</v>
      </c>
      <c r="J115" s="1"/>
      <c r="K115" s="1">
        <v>195</v>
      </c>
      <c r="L115" s="1">
        <f t="shared" si="23"/>
        <v>0</v>
      </c>
      <c r="M115" s="1"/>
      <c r="N115" s="1"/>
      <c r="O115" s="1"/>
      <c r="P115" s="1">
        <v>70.5</v>
      </c>
      <c r="Q115" s="1">
        <v>165.1</v>
      </c>
      <c r="R115" s="1"/>
      <c r="S115" s="1"/>
      <c r="T115" s="1"/>
      <c r="U115" s="1"/>
      <c r="V115" s="15"/>
      <c r="W115" s="15"/>
      <c r="X115" s="1">
        <f t="shared" si="24"/>
        <v>39</v>
      </c>
      <c r="Y115" s="5">
        <f>12*X115-U115-T115-S115-R115-Q115-P115-O115-F115</f>
        <v>108.39999999999998</v>
      </c>
      <c r="Z115" s="5">
        <f t="shared" si="22"/>
        <v>108.39999999999998</v>
      </c>
      <c r="AA115" s="1">
        <f t="shared" si="25"/>
        <v>12</v>
      </c>
      <c r="AB115" s="1">
        <f t="shared" si="26"/>
        <v>9.2205128205128215</v>
      </c>
      <c r="AC115" s="1">
        <v>39.6</v>
      </c>
      <c r="AD115" s="1">
        <v>31.8</v>
      </c>
      <c r="AE115" s="1">
        <v>39</v>
      </c>
      <c r="AF115" s="1">
        <v>32.200000000000003</v>
      </c>
      <c r="AG115" s="1">
        <v>27.6</v>
      </c>
      <c r="AH115" s="1">
        <v>42.8</v>
      </c>
      <c r="AI115" s="1">
        <v>38.6</v>
      </c>
      <c r="AJ115" s="1">
        <v>32.6</v>
      </c>
      <c r="AK115" s="1">
        <v>34.200000000000003</v>
      </c>
      <c r="AL115" s="1">
        <v>36.799999999999997</v>
      </c>
      <c r="AM115" s="1"/>
      <c r="AN115" s="1">
        <f t="shared" si="27"/>
        <v>30</v>
      </c>
    </row>
    <row r="116" spans="1:40" x14ac:dyDescent="0.25">
      <c r="A116" s="10" t="s">
        <v>173</v>
      </c>
      <c r="B116" s="10" t="s">
        <v>50</v>
      </c>
      <c r="C116" s="10"/>
      <c r="D116" s="10"/>
      <c r="E116" s="10"/>
      <c r="F116" s="10"/>
      <c r="G116" s="11">
        <v>0</v>
      </c>
      <c r="H116" s="10"/>
      <c r="I116" s="10" t="s">
        <v>46</v>
      </c>
      <c r="J116" s="10"/>
      <c r="K116" s="10"/>
      <c r="L116" s="10">
        <f t="shared" si="23"/>
        <v>0</v>
      </c>
      <c r="M116" s="10"/>
      <c r="N116" s="10"/>
      <c r="O116" s="10"/>
      <c r="P116" s="10"/>
      <c r="Q116" s="10">
        <v>0</v>
      </c>
      <c r="R116" s="10"/>
      <c r="S116" s="10"/>
      <c r="T116" s="10"/>
      <c r="U116" s="10"/>
      <c r="V116" s="17"/>
      <c r="W116" s="17"/>
      <c r="X116" s="10">
        <f t="shared" si="24"/>
        <v>0</v>
      </c>
      <c r="Y116" s="12"/>
      <c r="Z116" s="5">
        <f t="shared" si="22"/>
        <v>0</v>
      </c>
      <c r="AA116" s="1" t="e">
        <f t="shared" si="25"/>
        <v>#DIV/0!</v>
      </c>
      <c r="AB116" s="10" t="e">
        <f t="shared" si="26"/>
        <v>#DIV/0!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 t="s">
        <v>55</v>
      </c>
      <c r="AN116" s="1">
        <f t="shared" si="27"/>
        <v>0</v>
      </c>
    </row>
    <row r="117" spans="1:40" x14ac:dyDescent="0.25">
      <c r="A117" s="1" t="s">
        <v>174</v>
      </c>
      <c r="B117" s="1" t="s">
        <v>45</v>
      </c>
      <c r="C117" s="1">
        <v>239.43100000000001</v>
      </c>
      <c r="D117" s="1"/>
      <c r="E117" s="1">
        <v>101.313</v>
      </c>
      <c r="F117" s="1">
        <v>109.04300000000001</v>
      </c>
      <c r="G117" s="7">
        <v>1</v>
      </c>
      <c r="H117" s="1">
        <v>60</v>
      </c>
      <c r="I117" s="1" t="s">
        <v>46</v>
      </c>
      <c r="J117" s="1"/>
      <c r="K117" s="1">
        <v>105</v>
      </c>
      <c r="L117" s="1">
        <f t="shared" si="23"/>
        <v>-3.6869999999999976</v>
      </c>
      <c r="M117" s="1"/>
      <c r="N117" s="1"/>
      <c r="O117" s="1"/>
      <c r="P117" s="1">
        <v>0</v>
      </c>
      <c r="Q117" s="1">
        <v>42.951799999999963</v>
      </c>
      <c r="R117" s="1"/>
      <c r="S117" s="1"/>
      <c r="T117" s="1"/>
      <c r="U117" s="1"/>
      <c r="V117" s="15"/>
      <c r="W117" s="15"/>
      <c r="X117" s="1">
        <f t="shared" si="24"/>
        <v>20.262599999999999</v>
      </c>
      <c r="Y117" s="5">
        <f>12*X117-U117-T117-S117-R117-Q117-P117-O117-F117</f>
        <v>91.156400000000019</v>
      </c>
      <c r="Z117" s="5">
        <f t="shared" si="22"/>
        <v>91.156400000000019</v>
      </c>
      <c r="AA117" s="1">
        <f t="shared" si="25"/>
        <v>12</v>
      </c>
      <c r="AB117" s="1">
        <f t="shared" si="26"/>
        <v>7.5012486058057695</v>
      </c>
      <c r="AC117" s="1">
        <v>18.412800000000001</v>
      </c>
      <c r="AD117" s="1">
        <v>15.7308</v>
      </c>
      <c r="AE117" s="1">
        <v>19.185199999999998</v>
      </c>
      <c r="AF117" s="1">
        <v>9.5001999999999995</v>
      </c>
      <c r="AG117" s="1">
        <v>4.1302000000000003</v>
      </c>
      <c r="AH117" s="1">
        <v>29.898199999999999</v>
      </c>
      <c r="AI117" s="1">
        <v>29.849799999999998</v>
      </c>
      <c r="AJ117" s="1">
        <v>3.4443999999999999</v>
      </c>
      <c r="AK117" s="1">
        <v>3.4984000000000002</v>
      </c>
      <c r="AL117" s="1">
        <v>23.016400000000001</v>
      </c>
      <c r="AM117" s="1"/>
      <c r="AN117" s="1">
        <f t="shared" si="27"/>
        <v>91</v>
      </c>
    </row>
    <row r="118" spans="1:40" x14ac:dyDescent="0.25">
      <c r="A118" s="1" t="s">
        <v>175</v>
      </c>
      <c r="B118" s="1" t="s">
        <v>45</v>
      </c>
      <c r="C118" s="1">
        <v>85.293000000000006</v>
      </c>
      <c r="D118" s="1">
        <v>74.918999999999997</v>
      </c>
      <c r="E118" s="1">
        <v>82.474000000000004</v>
      </c>
      <c r="F118" s="1">
        <v>45.228999999999999</v>
      </c>
      <c r="G118" s="7">
        <v>1</v>
      </c>
      <c r="H118" s="1">
        <v>50</v>
      </c>
      <c r="I118" s="1" t="s">
        <v>46</v>
      </c>
      <c r="J118" s="1"/>
      <c r="K118" s="1">
        <v>82.5</v>
      </c>
      <c r="L118" s="1">
        <f t="shared" si="23"/>
        <v>-2.5999999999996248E-2</v>
      </c>
      <c r="M118" s="1"/>
      <c r="N118" s="1"/>
      <c r="O118" s="1"/>
      <c r="P118" s="1">
        <v>45.138999999999982</v>
      </c>
      <c r="Q118" s="1">
        <v>71.320200000000042</v>
      </c>
      <c r="R118" s="1"/>
      <c r="S118" s="1"/>
      <c r="T118" s="1"/>
      <c r="U118" s="1"/>
      <c r="V118" s="15"/>
      <c r="W118" s="15"/>
      <c r="X118" s="1">
        <f t="shared" si="24"/>
        <v>16.494800000000001</v>
      </c>
      <c r="Y118" s="5">
        <f>12*X118-U118-T118-S118-R118-Q118-P118-O118-F118</f>
        <v>36.249400000000009</v>
      </c>
      <c r="Z118" s="5">
        <f t="shared" si="22"/>
        <v>36.249400000000009</v>
      </c>
      <c r="AA118" s="1">
        <f t="shared" si="25"/>
        <v>12</v>
      </c>
      <c r="AB118" s="1">
        <f t="shared" si="26"/>
        <v>9.8023740815287255</v>
      </c>
      <c r="AC118" s="1">
        <v>16.497199999999999</v>
      </c>
      <c r="AD118" s="1">
        <v>14.1732</v>
      </c>
      <c r="AE118" s="1">
        <v>15.641999999999999</v>
      </c>
      <c r="AF118" s="1">
        <v>12.287000000000001</v>
      </c>
      <c r="AG118" s="1">
        <v>4.1159999999999997</v>
      </c>
      <c r="AH118" s="1">
        <v>7.7904</v>
      </c>
      <c r="AI118" s="1">
        <v>13.495799999999999</v>
      </c>
      <c r="AJ118" s="1">
        <v>18.490400000000001</v>
      </c>
      <c r="AK118" s="1">
        <v>21.981000000000002</v>
      </c>
      <c r="AL118" s="1">
        <v>8.9923999999999999</v>
      </c>
      <c r="AM118" s="1"/>
      <c r="AN118" s="1">
        <f t="shared" si="27"/>
        <v>36</v>
      </c>
    </row>
    <row r="119" spans="1:40" x14ac:dyDescent="0.25">
      <c r="A119" s="10" t="s">
        <v>176</v>
      </c>
      <c r="B119" s="10" t="s">
        <v>50</v>
      </c>
      <c r="C119" s="10"/>
      <c r="D119" s="10"/>
      <c r="E119" s="10"/>
      <c r="F119" s="10"/>
      <c r="G119" s="11">
        <v>0</v>
      </c>
      <c r="H119" s="10"/>
      <c r="I119" s="10" t="s">
        <v>46</v>
      </c>
      <c r="J119" s="10"/>
      <c r="K119" s="10"/>
      <c r="L119" s="10">
        <f t="shared" si="23"/>
        <v>0</v>
      </c>
      <c r="M119" s="10"/>
      <c r="N119" s="10"/>
      <c r="O119" s="10"/>
      <c r="P119" s="10"/>
      <c r="Q119" s="10">
        <v>0</v>
      </c>
      <c r="R119" s="10"/>
      <c r="S119" s="10"/>
      <c r="T119" s="10"/>
      <c r="U119" s="10"/>
      <c r="V119" s="17"/>
      <c r="W119" s="17"/>
      <c r="X119" s="10">
        <f t="shared" si="24"/>
        <v>0</v>
      </c>
      <c r="Y119" s="12"/>
      <c r="Z119" s="5">
        <f t="shared" si="22"/>
        <v>0</v>
      </c>
      <c r="AA119" s="1" t="e">
        <f t="shared" si="25"/>
        <v>#DIV/0!</v>
      </c>
      <c r="AB119" s="10" t="e">
        <f t="shared" si="26"/>
        <v>#DIV/0!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 t="s">
        <v>55</v>
      </c>
      <c r="AN119" s="1">
        <f t="shared" si="27"/>
        <v>0</v>
      </c>
    </row>
    <row r="120" spans="1:40" x14ac:dyDescent="0.25">
      <c r="A120" s="10" t="s">
        <v>177</v>
      </c>
      <c r="B120" s="10" t="s">
        <v>50</v>
      </c>
      <c r="C120" s="10"/>
      <c r="D120" s="10"/>
      <c r="E120" s="10"/>
      <c r="F120" s="10"/>
      <c r="G120" s="11">
        <v>0</v>
      </c>
      <c r="H120" s="10"/>
      <c r="I120" s="10" t="s">
        <v>46</v>
      </c>
      <c r="J120" s="10"/>
      <c r="K120" s="10"/>
      <c r="L120" s="10">
        <f t="shared" si="23"/>
        <v>0</v>
      </c>
      <c r="M120" s="10"/>
      <c r="N120" s="10"/>
      <c r="O120" s="10"/>
      <c r="P120" s="10"/>
      <c r="Q120" s="10">
        <v>0</v>
      </c>
      <c r="R120" s="10"/>
      <c r="S120" s="10"/>
      <c r="T120" s="10"/>
      <c r="U120" s="10"/>
      <c r="V120" s="17"/>
      <c r="W120" s="17"/>
      <c r="X120" s="10">
        <f t="shared" si="24"/>
        <v>0</v>
      </c>
      <c r="Y120" s="12"/>
      <c r="Z120" s="5">
        <f t="shared" si="22"/>
        <v>0</v>
      </c>
      <c r="AA120" s="1" t="e">
        <f t="shared" si="25"/>
        <v>#DIV/0!</v>
      </c>
      <c r="AB120" s="10" t="e">
        <f t="shared" si="26"/>
        <v>#DIV/0!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 t="s">
        <v>55</v>
      </c>
      <c r="AN120" s="1">
        <f t="shared" si="27"/>
        <v>0</v>
      </c>
    </row>
    <row r="121" spans="1:40" x14ac:dyDescent="0.25">
      <c r="A121" s="1" t="s">
        <v>178</v>
      </c>
      <c r="B121" s="1" t="s">
        <v>45</v>
      </c>
      <c r="C121" s="1">
        <v>16.895</v>
      </c>
      <c r="D121" s="1">
        <v>180.267</v>
      </c>
      <c r="E121" s="1">
        <v>43.735999999999997</v>
      </c>
      <c r="F121" s="1">
        <v>148.834</v>
      </c>
      <c r="G121" s="7">
        <v>1</v>
      </c>
      <c r="H121" s="1">
        <v>60</v>
      </c>
      <c r="I121" s="1" t="s">
        <v>46</v>
      </c>
      <c r="J121" s="1"/>
      <c r="K121" s="1">
        <v>60.4</v>
      </c>
      <c r="L121" s="1">
        <f t="shared" si="23"/>
        <v>-16.664000000000001</v>
      </c>
      <c r="M121" s="1"/>
      <c r="N121" s="1"/>
      <c r="O121" s="1"/>
      <c r="P121" s="1">
        <v>41.368999999999957</v>
      </c>
      <c r="Q121" s="1">
        <v>0</v>
      </c>
      <c r="R121" s="1"/>
      <c r="S121" s="1"/>
      <c r="T121" s="1"/>
      <c r="U121" s="1"/>
      <c r="V121" s="15"/>
      <c r="W121" s="15"/>
      <c r="X121" s="1">
        <f t="shared" si="24"/>
        <v>8.7471999999999994</v>
      </c>
      <c r="Y121" s="5"/>
      <c r="Z121" s="5">
        <f t="shared" si="22"/>
        <v>0</v>
      </c>
      <c r="AA121" s="1">
        <f t="shared" si="25"/>
        <v>21.744443936345345</v>
      </c>
      <c r="AB121" s="1">
        <f t="shared" si="26"/>
        <v>21.744443936345345</v>
      </c>
      <c r="AC121" s="1">
        <v>11.3284</v>
      </c>
      <c r="AD121" s="1">
        <v>16.998000000000001</v>
      </c>
      <c r="AE121" s="1">
        <v>21.1784</v>
      </c>
      <c r="AF121" s="1">
        <v>9.8439999999999994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12.7134</v>
      </c>
      <c r="AM121" s="1"/>
      <c r="AN121" s="1">
        <f t="shared" si="27"/>
        <v>0</v>
      </c>
    </row>
    <row r="122" spans="1:40" x14ac:dyDescent="0.25">
      <c r="A122" s="1" t="s">
        <v>179</v>
      </c>
      <c r="B122" s="1" t="s">
        <v>45</v>
      </c>
      <c r="C122" s="1">
        <v>75.066000000000003</v>
      </c>
      <c r="D122" s="1">
        <v>299.755</v>
      </c>
      <c r="E122" s="1">
        <v>290.12400000000002</v>
      </c>
      <c r="F122" s="1">
        <v>30.231000000000002</v>
      </c>
      <c r="G122" s="7">
        <v>1</v>
      </c>
      <c r="H122" s="1">
        <v>60</v>
      </c>
      <c r="I122" s="1" t="s">
        <v>46</v>
      </c>
      <c r="J122" s="1"/>
      <c r="K122" s="1">
        <v>283.2</v>
      </c>
      <c r="L122" s="1">
        <f t="shared" si="23"/>
        <v>6.924000000000035</v>
      </c>
      <c r="M122" s="1"/>
      <c r="N122" s="1"/>
      <c r="O122" s="1"/>
      <c r="P122" s="1">
        <v>48.586099999999902</v>
      </c>
      <c r="Q122" s="1">
        <v>96.87430000000009</v>
      </c>
      <c r="R122" s="1"/>
      <c r="S122" s="1"/>
      <c r="T122" s="1">
        <v>100</v>
      </c>
      <c r="U122" s="1"/>
      <c r="V122" s="15"/>
      <c r="W122" s="15"/>
      <c r="X122" s="1">
        <f t="shared" si="24"/>
        <v>58.024800000000006</v>
      </c>
      <c r="Y122" s="5">
        <f>12*X122-U122-T122-S122-R122-Q122-P122-O122-F122</f>
        <v>420.60620000000017</v>
      </c>
      <c r="Z122" s="5">
        <f>Y122+$Z$1*X122</f>
        <v>362.58140000000014</v>
      </c>
      <c r="AA122" s="1">
        <f t="shared" si="25"/>
        <v>11.000000000000002</v>
      </c>
      <c r="AB122" s="1">
        <f t="shared" si="26"/>
        <v>4.7512684231569944</v>
      </c>
      <c r="AC122" s="1">
        <v>40.68</v>
      </c>
      <c r="AD122" s="1">
        <v>30.541399999999999</v>
      </c>
      <c r="AE122" s="1">
        <v>38.330199999999998</v>
      </c>
      <c r="AF122" s="1">
        <v>36.979799999999997</v>
      </c>
      <c r="AG122" s="1">
        <v>37.952800000000003</v>
      </c>
      <c r="AH122" s="1">
        <v>20.715</v>
      </c>
      <c r="AI122" s="1">
        <v>10.0794</v>
      </c>
      <c r="AJ122" s="1">
        <v>31.320399999999999</v>
      </c>
      <c r="AK122" s="1">
        <v>42.749200000000002</v>
      </c>
      <c r="AL122" s="1">
        <v>29.668399999999998</v>
      </c>
      <c r="AM122" s="1"/>
      <c r="AN122" s="1">
        <f t="shared" si="27"/>
        <v>363</v>
      </c>
    </row>
    <row r="123" spans="1:40" x14ac:dyDescent="0.25">
      <c r="A123" s="1" t="s">
        <v>180</v>
      </c>
      <c r="B123" s="1" t="s">
        <v>45</v>
      </c>
      <c r="C123" s="1">
        <v>105.346</v>
      </c>
      <c r="D123" s="1">
        <v>2.74</v>
      </c>
      <c r="E123" s="1">
        <v>98.671000000000006</v>
      </c>
      <c r="F123" s="1">
        <v>2.2370000000000001</v>
      </c>
      <c r="G123" s="7">
        <v>1</v>
      </c>
      <c r="H123" s="1">
        <v>60</v>
      </c>
      <c r="I123" s="1" t="s">
        <v>46</v>
      </c>
      <c r="J123" s="1"/>
      <c r="K123" s="1">
        <v>83.8</v>
      </c>
      <c r="L123" s="1">
        <f t="shared" si="23"/>
        <v>14.871000000000009</v>
      </c>
      <c r="M123" s="1"/>
      <c r="N123" s="1"/>
      <c r="O123" s="1"/>
      <c r="P123" s="1">
        <v>23.1965</v>
      </c>
      <c r="Q123" s="1">
        <v>106.59569999999999</v>
      </c>
      <c r="R123" s="1"/>
      <c r="S123" s="1"/>
      <c r="T123" s="1"/>
      <c r="U123" s="1"/>
      <c r="V123" s="15"/>
      <c r="W123" s="15"/>
      <c r="X123" s="1">
        <f t="shared" si="24"/>
        <v>19.734200000000001</v>
      </c>
      <c r="Y123" s="5">
        <f>12*X123-U123-T123-S123-R123-Q123-P123-O123-F123</f>
        <v>104.78120000000003</v>
      </c>
      <c r="Z123" s="5">
        <f t="shared" ref="Z123:Z132" si="28">Y123</f>
        <v>104.78120000000003</v>
      </c>
      <c r="AA123" s="1">
        <f t="shared" si="25"/>
        <v>12</v>
      </c>
      <c r="AB123" s="1">
        <f t="shared" si="26"/>
        <v>6.6903750848780286</v>
      </c>
      <c r="AC123" s="1">
        <v>18.6568</v>
      </c>
      <c r="AD123" s="1">
        <v>9.5117999999999991</v>
      </c>
      <c r="AE123" s="1">
        <v>9.5025999999999993</v>
      </c>
      <c r="AF123" s="1">
        <v>9.9976000000000003</v>
      </c>
      <c r="AG123" s="1">
        <v>8.3857999999999997</v>
      </c>
      <c r="AH123" s="1">
        <v>12.8756</v>
      </c>
      <c r="AI123" s="1">
        <v>14.671799999999999</v>
      </c>
      <c r="AJ123" s="1">
        <v>8.1275999999999993</v>
      </c>
      <c r="AK123" s="1">
        <v>5.9496000000000002</v>
      </c>
      <c r="AL123" s="1">
        <v>7.8940000000000001</v>
      </c>
      <c r="AM123" s="1"/>
      <c r="AN123" s="1">
        <f t="shared" si="27"/>
        <v>105</v>
      </c>
    </row>
    <row r="124" spans="1:40" x14ac:dyDescent="0.25">
      <c r="A124" s="19" t="s">
        <v>181</v>
      </c>
      <c r="B124" s="1" t="s">
        <v>45</v>
      </c>
      <c r="C124" s="1">
        <v>1170.5440000000001</v>
      </c>
      <c r="D124" s="1">
        <v>234.24299999999999</v>
      </c>
      <c r="E124" s="1">
        <v>989.73699999999997</v>
      </c>
      <c r="F124" s="1">
        <v>232.053</v>
      </c>
      <c r="G124" s="7">
        <v>1</v>
      </c>
      <c r="H124" s="1">
        <v>60</v>
      </c>
      <c r="I124" s="1" t="s">
        <v>46</v>
      </c>
      <c r="J124" s="1"/>
      <c r="K124" s="1">
        <v>1001.3339999999999</v>
      </c>
      <c r="L124" s="1">
        <f t="shared" si="23"/>
        <v>-11.59699999999998</v>
      </c>
      <c r="M124" s="1"/>
      <c r="N124" s="1"/>
      <c r="O124" s="1">
        <v>200</v>
      </c>
      <c r="P124" s="1">
        <v>891.41624000000013</v>
      </c>
      <c r="Q124" s="1">
        <v>239.5215300000001</v>
      </c>
      <c r="R124" s="1"/>
      <c r="S124" s="1">
        <v>700</v>
      </c>
      <c r="T124" s="1">
        <v>200</v>
      </c>
      <c r="U124" s="1"/>
      <c r="V124" s="15">
        <v>600</v>
      </c>
      <c r="W124" s="15"/>
      <c r="X124" s="1">
        <f t="shared" si="24"/>
        <v>197.94739999999999</v>
      </c>
      <c r="Y124" s="5"/>
      <c r="Z124" s="5">
        <f t="shared" si="28"/>
        <v>0</v>
      </c>
      <c r="AA124" s="1">
        <f t="shared" si="25"/>
        <v>15.473761059756281</v>
      </c>
      <c r="AB124" s="1">
        <f t="shared" si="26"/>
        <v>12.442652795641672</v>
      </c>
      <c r="AC124" s="1">
        <v>193.87379999999999</v>
      </c>
      <c r="AD124" s="1">
        <v>177.26840000000001</v>
      </c>
      <c r="AE124" s="1">
        <v>143.54259999999999</v>
      </c>
      <c r="AF124" s="1">
        <v>73.318599999999989</v>
      </c>
      <c r="AG124" s="1">
        <v>37.800199999999997</v>
      </c>
      <c r="AH124" s="1">
        <v>16.512</v>
      </c>
      <c r="AI124" s="1">
        <v>0</v>
      </c>
      <c r="AJ124" s="1">
        <v>0</v>
      </c>
      <c r="AK124" s="1">
        <v>0</v>
      </c>
      <c r="AL124" s="1">
        <v>0</v>
      </c>
      <c r="AM124" s="1" t="s">
        <v>182</v>
      </c>
      <c r="AN124" s="1">
        <f t="shared" si="27"/>
        <v>0</v>
      </c>
    </row>
    <row r="125" spans="1:40" x14ac:dyDescent="0.25">
      <c r="A125" s="1" t="s">
        <v>183</v>
      </c>
      <c r="B125" s="1" t="s">
        <v>50</v>
      </c>
      <c r="C125" s="1">
        <v>283</v>
      </c>
      <c r="D125" s="1">
        <v>130</v>
      </c>
      <c r="E125" s="1">
        <v>299</v>
      </c>
      <c r="F125" s="1">
        <v>106</v>
      </c>
      <c r="G125" s="7">
        <v>0.3</v>
      </c>
      <c r="H125" s="1">
        <v>40</v>
      </c>
      <c r="I125" s="1" t="s">
        <v>46</v>
      </c>
      <c r="J125" s="1"/>
      <c r="K125" s="1">
        <v>397.7</v>
      </c>
      <c r="L125" s="1">
        <f t="shared" si="23"/>
        <v>-98.699999999999989</v>
      </c>
      <c r="M125" s="1"/>
      <c r="N125" s="1"/>
      <c r="O125" s="1"/>
      <c r="P125" s="1">
        <v>75.600000000000023</v>
      </c>
      <c r="Q125" s="1">
        <v>152.00000000000011</v>
      </c>
      <c r="R125" s="1"/>
      <c r="S125" s="1"/>
      <c r="T125" s="1">
        <v>200</v>
      </c>
      <c r="U125" s="1"/>
      <c r="V125" s="15"/>
      <c r="W125" s="15">
        <v>-55.8</v>
      </c>
      <c r="X125" s="1">
        <f t="shared" si="24"/>
        <v>59.8</v>
      </c>
      <c r="Y125" s="5">
        <f>12*X125-U125-T125-S125-R125-Q125-P125-O125-F125</f>
        <v>183.99999999999977</v>
      </c>
      <c r="Z125" s="5">
        <f t="shared" si="28"/>
        <v>183.99999999999977</v>
      </c>
      <c r="AA125" s="1">
        <f t="shared" si="25"/>
        <v>11.999999999999998</v>
      </c>
      <c r="AB125" s="1">
        <f t="shared" si="26"/>
        <v>8.9230769230769251</v>
      </c>
      <c r="AC125" s="1">
        <v>60</v>
      </c>
      <c r="AD125" s="1">
        <v>36.4</v>
      </c>
      <c r="AE125" s="1">
        <v>44.4</v>
      </c>
      <c r="AF125" s="1">
        <v>39</v>
      </c>
      <c r="AG125" s="1">
        <v>37.200000000000003</v>
      </c>
      <c r="AH125" s="1">
        <v>48.4</v>
      </c>
      <c r="AI125" s="1">
        <v>47.6</v>
      </c>
      <c r="AJ125" s="1">
        <v>37.4</v>
      </c>
      <c r="AK125" s="1">
        <v>29</v>
      </c>
      <c r="AL125" s="1">
        <v>50.2</v>
      </c>
      <c r="AM125" s="1"/>
      <c r="AN125" s="1">
        <f t="shared" si="27"/>
        <v>55</v>
      </c>
    </row>
    <row r="126" spans="1:40" x14ac:dyDescent="0.25">
      <c r="A126" s="1" t="s">
        <v>185</v>
      </c>
      <c r="B126" s="1" t="s">
        <v>50</v>
      </c>
      <c r="C126" s="1">
        <v>2</v>
      </c>
      <c r="D126" s="1">
        <v>86</v>
      </c>
      <c r="E126" s="1">
        <v>79</v>
      </c>
      <c r="F126" s="1">
        <v>1</v>
      </c>
      <c r="G126" s="7">
        <v>0.3</v>
      </c>
      <c r="H126" s="1">
        <v>40</v>
      </c>
      <c r="I126" s="1" t="s">
        <v>46</v>
      </c>
      <c r="J126" s="1"/>
      <c r="K126" s="1">
        <v>119</v>
      </c>
      <c r="L126" s="1">
        <f t="shared" si="23"/>
        <v>-40</v>
      </c>
      <c r="M126" s="1"/>
      <c r="N126" s="1"/>
      <c r="O126" s="1"/>
      <c r="P126" s="1">
        <v>0</v>
      </c>
      <c r="Q126" s="1">
        <v>130</v>
      </c>
      <c r="R126" s="1"/>
      <c r="S126" s="1"/>
      <c r="T126" s="1"/>
      <c r="U126" s="1"/>
      <c r="V126" s="15"/>
      <c r="W126" s="15"/>
      <c r="X126" s="1">
        <f t="shared" si="24"/>
        <v>15.8</v>
      </c>
      <c r="Y126" s="5">
        <f>12*X126-U126-T126-S126-R126-Q126-P126-O126-F126</f>
        <v>58.600000000000023</v>
      </c>
      <c r="Z126" s="5">
        <f t="shared" si="28"/>
        <v>58.600000000000023</v>
      </c>
      <c r="AA126" s="1">
        <f t="shared" si="25"/>
        <v>12.000000000000002</v>
      </c>
      <c r="AB126" s="1">
        <f t="shared" si="26"/>
        <v>8.2911392405063289</v>
      </c>
      <c r="AC126" s="1">
        <v>16</v>
      </c>
      <c r="AD126" s="1">
        <v>-1.2</v>
      </c>
      <c r="AE126" s="1">
        <v>-0.6</v>
      </c>
      <c r="AF126" s="1">
        <v>-1.2</v>
      </c>
      <c r="AG126" s="1">
        <v>-3.6</v>
      </c>
      <c r="AH126" s="1">
        <v>-6.6</v>
      </c>
      <c r="AI126" s="1">
        <v>4.4000000000000004</v>
      </c>
      <c r="AJ126" s="1">
        <v>6.8</v>
      </c>
      <c r="AK126" s="1">
        <v>2.8</v>
      </c>
      <c r="AL126" s="1">
        <v>20.399999999999999</v>
      </c>
      <c r="AM126" s="1" t="s">
        <v>186</v>
      </c>
      <c r="AN126" s="1">
        <f t="shared" si="27"/>
        <v>18</v>
      </c>
    </row>
    <row r="127" spans="1:40" x14ac:dyDescent="0.25">
      <c r="A127" s="1" t="s">
        <v>187</v>
      </c>
      <c r="B127" s="1" t="s">
        <v>45</v>
      </c>
      <c r="C127" s="1">
        <v>19.010999999999999</v>
      </c>
      <c r="D127" s="1">
        <v>10.725</v>
      </c>
      <c r="E127" s="1">
        <v>17.690000000000001</v>
      </c>
      <c r="F127" s="1">
        <v>12.045999999999999</v>
      </c>
      <c r="G127" s="7">
        <v>1</v>
      </c>
      <c r="H127" s="1">
        <v>50</v>
      </c>
      <c r="I127" s="1" t="s">
        <v>46</v>
      </c>
      <c r="J127" s="1"/>
      <c r="K127" s="1">
        <v>16.100000000000001</v>
      </c>
      <c r="L127" s="1">
        <f t="shared" si="23"/>
        <v>1.5899999999999999</v>
      </c>
      <c r="M127" s="1"/>
      <c r="N127" s="1"/>
      <c r="O127" s="1"/>
      <c r="P127" s="1">
        <v>0</v>
      </c>
      <c r="Q127" s="1">
        <v>5.0127999999999968</v>
      </c>
      <c r="R127" s="1"/>
      <c r="S127" s="1"/>
      <c r="T127" s="1"/>
      <c r="U127" s="1"/>
      <c r="V127" s="15"/>
      <c r="W127" s="15"/>
      <c r="X127" s="1">
        <f t="shared" si="24"/>
        <v>3.5380000000000003</v>
      </c>
      <c r="Y127" s="5">
        <f>12*X127-U127-T127-S127-R127-Q127-P127-O127-F127</f>
        <v>25.397200000000005</v>
      </c>
      <c r="Z127" s="5">
        <f t="shared" si="28"/>
        <v>25.397200000000005</v>
      </c>
      <c r="AA127" s="1">
        <f t="shared" si="25"/>
        <v>12</v>
      </c>
      <c r="AB127" s="1">
        <f t="shared" si="26"/>
        <v>4.8215941209722999</v>
      </c>
      <c r="AC127" s="1">
        <v>1.901</v>
      </c>
      <c r="AD127" s="1">
        <v>1.0864</v>
      </c>
      <c r="AE127" s="1">
        <v>2.4331999999999998</v>
      </c>
      <c r="AF127" s="1">
        <v>1.623</v>
      </c>
      <c r="AG127" s="1">
        <v>0</v>
      </c>
      <c r="AH127" s="1">
        <v>0</v>
      </c>
      <c r="AI127" s="1">
        <v>-4.7E-2</v>
      </c>
      <c r="AJ127" s="1">
        <v>2.073</v>
      </c>
      <c r="AK127" s="1">
        <v>2.12</v>
      </c>
      <c r="AL127" s="1">
        <v>3.0232000000000001</v>
      </c>
      <c r="AM127" s="1"/>
      <c r="AN127" s="1">
        <f t="shared" si="27"/>
        <v>25</v>
      </c>
    </row>
    <row r="128" spans="1:40" x14ac:dyDescent="0.25">
      <c r="A128" s="1" t="s">
        <v>188</v>
      </c>
      <c r="B128" s="1" t="s">
        <v>50</v>
      </c>
      <c r="C128" s="1">
        <v>8</v>
      </c>
      <c r="D128" s="1">
        <v>420</v>
      </c>
      <c r="E128" s="1">
        <v>79</v>
      </c>
      <c r="F128" s="1">
        <v>309</v>
      </c>
      <c r="G128" s="7">
        <v>0.3</v>
      </c>
      <c r="H128" s="1">
        <v>40</v>
      </c>
      <c r="I128" s="1" t="s">
        <v>46</v>
      </c>
      <c r="J128" s="1"/>
      <c r="K128" s="1">
        <v>131</v>
      </c>
      <c r="L128" s="1">
        <f t="shared" si="23"/>
        <v>-52</v>
      </c>
      <c r="M128" s="1"/>
      <c r="N128" s="1"/>
      <c r="O128" s="1"/>
      <c r="P128" s="1">
        <v>0</v>
      </c>
      <c r="Q128" s="1">
        <v>0</v>
      </c>
      <c r="R128" s="1"/>
      <c r="S128" s="1"/>
      <c r="T128" s="1"/>
      <c r="U128" s="1"/>
      <c r="V128" s="15"/>
      <c r="W128" s="15"/>
      <c r="X128" s="1">
        <f t="shared" si="24"/>
        <v>15.8</v>
      </c>
      <c r="Y128" s="5"/>
      <c r="Z128" s="5">
        <f t="shared" si="28"/>
        <v>0</v>
      </c>
      <c r="AA128" s="1">
        <f t="shared" si="25"/>
        <v>19.556962025316455</v>
      </c>
      <c r="AB128" s="1">
        <f t="shared" si="26"/>
        <v>19.556962025316455</v>
      </c>
      <c r="AC128" s="1">
        <v>14.6</v>
      </c>
      <c r="AD128" s="1">
        <v>30</v>
      </c>
      <c r="AE128" s="1">
        <v>42.6</v>
      </c>
      <c r="AF128" s="1">
        <v>23.8</v>
      </c>
      <c r="AG128" s="1">
        <v>8</v>
      </c>
      <c r="AH128" s="1">
        <v>18.8</v>
      </c>
      <c r="AI128" s="1">
        <v>20.399999999999999</v>
      </c>
      <c r="AJ128" s="1">
        <v>20.399999999999999</v>
      </c>
      <c r="AK128" s="1">
        <v>16.600000000000001</v>
      </c>
      <c r="AL128" s="1">
        <v>16</v>
      </c>
      <c r="AM128" s="1"/>
      <c r="AN128" s="1">
        <f t="shared" si="27"/>
        <v>0</v>
      </c>
    </row>
    <row r="129" spans="1:40" x14ac:dyDescent="0.25">
      <c r="A129" s="1" t="s">
        <v>189</v>
      </c>
      <c r="B129" s="1" t="s">
        <v>50</v>
      </c>
      <c r="C129" s="1">
        <v>123</v>
      </c>
      <c r="D129" s="1"/>
      <c r="E129" s="1">
        <v>88</v>
      </c>
      <c r="F129" s="1">
        <v>28</v>
      </c>
      <c r="G129" s="7">
        <v>0.12</v>
      </c>
      <c r="H129" s="1">
        <v>45</v>
      </c>
      <c r="I129" s="1" t="s">
        <v>46</v>
      </c>
      <c r="J129" s="1"/>
      <c r="K129" s="1">
        <v>86</v>
      </c>
      <c r="L129" s="1">
        <f t="shared" si="23"/>
        <v>2</v>
      </c>
      <c r="M129" s="1"/>
      <c r="N129" s="1"/>
      <c r="O129" s="1"/>
      <c r="P129" s="1">
        <v>0</v>
      </c>
      <c r="Q129" s="1">
        <v>89.6</v>
      </c>
      <c r="R129" s="1"/>
      <c r="S129" s="1"/>
      <c r="T129" s="1"/>
      <c r="U129" s="1"/>
      <c r="V129" s="15"/>
      <c r="W129" s="15"/>
      <c r="X129" s="1">
        <f t="shared" si="24"/>
        <v>17.600000000000001</v>
      </c>
      <c r="Y129" s="5">
        <f>12*X129-U129-T129-S129-R129-Q129-P129-O129-F129</f>
        <v>93.600000000000023</v>
      </c>
      <c r="Z129" s="5">
        <f t="shared" si="28"/>
        <v>93.600000000000023</v>
      </c>
      <c r="AA129" s="1">
        <f t="shared" si="25"/>
        <v>12</v>
      </c>
      <c r="AB129" s="1">
        <f t="shared" si="26"/>
        <v>6.6818181818181808</v>
      </c>
      <c r="AC129" s="1">
        <v>14.6</v>
      </c>
      <c r="AD129" s="1">
        <v>7.4</v>
      </c>
      <c r="AE129" s="1">
        <v>3.6</v>
      </c>
      <c r="AF129" s="1">
        <v>3.2</v>
      </c>
      <c r="AG129" s="1">
        <v>6.2</v>
      </c>
      <c r="AH129" s="1">
        <v>12.2</v>
      </c>
      <c r="AI129" s="1">
        <v>7.6</v>
      </c>
      <c r="AJ129" s="1">
        <v>0.4</v>
      </c>
      <c r="AK129" s="1">
        <v>1.8</v>
      </c>
      <c r="AL129" s="1">
        <v>7.6</v>
      </c>
      <c r="AM129" s="1"/>
      <c r="AN129" s="1">
        <f t="shared" si="27"/>
        <v>11</v>
      </c>
    </row>
    <row r="130" spans="1:40" x14ac:dyDescent="0.25">
      <c r="A130" s="1" t="s">
        <v>190</v>
      </c>
      <c r="B130" s="1" t="s">
        <v>50</v>
      </c>
      <c r="C130" s="1"/>
      <c r="D130" s="1"/>
      <c r="E130" s="1"/>
      <c r="F130" s="1"/>
      <c r="G130" s="7">
        <v>0.25</v>
      </c>
      <c r="H130" s="1"/>
      <c r="I130" s="1" t="s">
        <v>46</v>
      </c>
      <c r="J130" s="1"/>
      <c r="K130" s="1"/>
      <c r="L130" s="1">
        <f t="shared" si="23"/>
        <v>0</v>
      </c>
      <c r="M130" s="1"/>
      <c r="N130" s="1"/>
      <c r="O130" s="1"/>
      <c r="P130" s="1"/>
      <c r="Q130" s="1">
        <v>0</v>
      </c>
      <c r="R130" s="1"/>
      <c r="S130" s="1"/>
      <c r="T130" s="1">
        <v>200</v>
      </c>
      <c r="U130" s="1"/>
      <c r="V130" s="15"/>
      <c r="W130" s="15"/>
      <c r="X130" s="1">
        <f t="shared" si="24"/>
        <v>0</v>
      </c>
      <c r="Y130" s="5"/>
      <c r="Z130" s="5">
        <f t="shared" si="28"/>
        <v>0</v>
      </c>
      <c r="AA130" s="1" t="e">
        <f t="shared" si="25"/>
        <v>#DIV/0!</v>
      </c>
      <c r="AB130" s="1" t="e">
        <f t="shared" si="26"/>
        <v>#DIV/0!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 t="s">
        <v>191</v>
      </c>
      <c r="AN130" s="1">
        <f t="shared" si="27"/>
        <v>0</v>
      </c>
    </row>
    <row r="131" spans="1:40" x14ac:dyDescent="0.25">
      <c r="A131" s="1" t="s">
        <v>192</v>
      </c>
      <c r="B131" s="1" t="s">
        <v>50</v>
      </c>
      <c r="C131" s="1"/>
      <c r="D131" s="1"/>
      <c r="E131" s="1"/>
      <c r="F131" s="1"/>
      <c r="G131" s="7">
        <v>0.32500000000000001</v>
      </c>
      <c r="H131" s="1"/>
      <c r="I131" s="1" t="s">
        <v>46</v>
      </c>
      <c r="J131" s="1"/>
      <c r="K131" s="1"/>
      <c r="L131" s="1">
        <f t="shared" si="23"/>
        <v>0</v>
      </c>
      <c r="M131" s="1"/>
      <c r="N131" s="1"/>
      <c r="O131" s="1"/>
      <c r="P131" s="1"/>
      <c r="Q131" s="1">
        <v>0</v>
      </c>
      <c r="R131" s="1"/>
      <c r="S131" s="1"/>
      <c r="T131" s="1">
        <v>200</v>
      </c>
      <c r="U131" s="1"/>
      <c r="V131" s="15"/>
      <c r="W131" s="15"/>
      <c r="X131" s="1">
        <f t="shared" si="24"/>
        <v>0</v>
      </c>
      <c r="Y131" s="5"/>
      <c r="Z131" s="5">
        <f t="shared" si="28"/>
        <v>0</v>
      </c>
      <c r="AA131" s="1" t="e">
        <f t="shared" si="25"/>
        <v>#DIV/0!</v>
      </c>
      <c r="AB131" s="1" t="e">
        <f t="shared" si="26"/>
        <v>#DIV/0!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 t="s">
        <v>191</v>
      </c>
      <c r="AN131" s="1">
        <f t="shared" si="27"/>
        <v>0</v>
      </c>
    </row>
    <row r="132" spans="1:40" x14ac:dyDescent="0.25">
      <c r="A132" s="1" t="s">
        <v>193</v>
      </c>
      <c r="B132" s="1" t="s">
        <v>50</v>
      </c>
      <c r="C132" s="1"/>
      <c r="D132" s="1"/>
      <c r="E132" s="1"/>
      <c r="F132" s="1"/>
      <c r="G132" s="7">
        <v>0.25</v>
      </c>
      <c r="H132" s="1"/>
      <c r="I132" s="1" t="s">
        <v>46</v>
      </c>
      <c r="J132" s="1"/>
      <c r="K132" s="1"/>
      <c r="L132" s="1">
        <f t="shared" si="23"/>
        <v>0</v>
      </c>
      <c r="M132" s="1"/>
      <c r="N132" s="1"/>
      <c r="O132" s="1"/>
      <c r="P132" s="1"/>
      <c r="Q132" s="1">
        <v>0</v>
      </c>
      <c r="R132" s="1"/>
      <c r="S132" s="1"/>
      <c r="T132" s="1">
        <v>200</v>
      </c>
      <c r="U132" s="1"/>
      <c r="V132" s="15"/>
      <c r="W132" s="15"/>
      <c r="X132" s="1">
        <f t="shared" si="24"/>
        <v>0</v>
      </c>
      <c r="Y132" s="5"/>
      <c r="Z132" s="5">
        <f t="shared" si="28"/>
        <v>0</v>
      </c>
      <c r="AA132" s="1" t="e">
        <f t="shared" si="25"/>
        <v>#DIV/0!</v>
      </c>
      <c r="AB132" s="1" t="e">
        <f t="shared" si="26"/>
        <v>#DIV/0!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 t="s">
        <v>191</v>
      </c>
      <c r="AN132" s="1">
        <f t="shared" si="27"/>
        <v>0</v>
      </c>
    </row>
    <row r="133" spans="1:4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5"/>
      <c r="W133" s="15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5"/>
      <c r="W134" s="15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5"/>
      <c r="W135" s="15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5"/>
      <c r="W136" s="15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5"/>
      <c r="W137" s="15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5"/>
      <c r="W138" s="15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5"/>
      <c r="W139" s="1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5"/>
      <c r="W140" s="15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5"/>
      <c r="W141" s="15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5"/>
      <c r="W142" s="15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5"/>
      <c r="W143" s="15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5"/>
      <c r="W144" s="15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5"/>
      <c r="W145" s="15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5"/>
      <c r="W146" s="15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5"/>
      <c r="W147" s="15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5"/>
      <c r="W148" s="15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5"/>
      <c r="W149" s="15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5"/>
      <c r="W150" s="15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5"/>
      <c r="W151" s="15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5"/>
      <c r="W152" s="15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5"/>
      <c r="W153" s="15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5"/>
      <c r="W154" s="15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5"/>
      <c r="W155" s="15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5"/>
      <c r="W156" s="15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5"/>
      <c r="W157" s="15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5"/>
      <c r="W158" s="15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5"/>
      <c r="W159" s="15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5"/>
      <c r="W160" s="15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5"/>
      <c r="W161" s="15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5"/>
      <c r="W162" s="15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5"/>
      <c r="W163" s="15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5"/>
      <c r="W164" s="15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5"/>
      <c r="W165" s="15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5"/>
      <c r="W166" s="15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5"/>
      <c r="W167" s="15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5"/>
      <c r="W168" s="15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5"/>
      <c r="W169" s="15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5"/>
      <c r="W170" s="15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5"/>
      <c r="W171" s="15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5"/>
      <c r="W172" s="15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5"/>
      <c r="W173" s="15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5"/>
      <c r="W174" s="15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5"/>
      <c r="W175" s="15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5"/>
      <c r="W176" s="15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5"/>
      <c r="W177" s="15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5"/>
      <c r="W178" s="15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5"/>
      <c r="W179" s="15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5"/>
      <c r="W180" s="15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5"/>
      <c r="W181" s="15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5"/>
      <c r="W182" s="15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5"/>
      <c r="W183" s="15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5"/>
      <c r="W184" s="15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5"/>
      <c r="W185" s="15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5"/>
      <c r="W186" s="15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5"/>
      <c r="W187" s="15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5"/>
      <c r="W188" s="15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5"/>
      <c r="W189" s="15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5"/>
      <c r="W190" s="15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5"/>
      <c r="W191" s="15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5"/>
      <c r="W192" s="15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5"/>
      <c r="W193" s="15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5"/>
      <c r="W194" s="15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5"/>
      <c r="W195" s="15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5"/>
      <c r="W196" s="15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5"/>
      <c r="W197" s="15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5"/>
      <c r="W198" s="15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5"/>
      <c r="W199" s="15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5"/>
      <c r="W200" s="15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5"/>
      <c r="W201" s="15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5"/>
      <c r="W202" s="15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5"/>
      <c r="W203" s="15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5"/>
      <c r="W204" s="15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5"/>
      <c r="W205" s="15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5"/>
      <c r="W206" s="15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5"/>
      <c r="W207" s="15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5"/>
      <c r="W208" s="15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5"/>
      <c r="W209" s="15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5"/>
      <c r="W210" s="15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5"/>
      <c r="W211" s="15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5"/>
      <c r="W212" s="15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5"/>
      <c r="W213" s="15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5"/>
      <c r="W214" s="15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5"/>
      <c r="W215" s="15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5"/>
      <c r="W216" s="15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5"/>
      <c r="W217" s="15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5"/>
      <c r="W218" s="15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5"/>
      <c r="W219" s="15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5"/>
      <c r="W220" s="15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5"/>
      <c r="W221" s="15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5"/>
      <c r="W222" s="15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5"/>
      <c r="W223" s="15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5"/>
      <c r="W224" s="15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5"/>
      <c r="W225" s="15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5"/>
      <c r="W226" s="15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5"/>
      <c r="W227" s="15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5"/>
      <c r="W228" s="15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5"/>
      <c r="W229" s="15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5"/>
      <c r="W230" s="15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5"/>
      <c r="W231" s="15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5"/>
      <c r="W232" s="15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5"/>
      <c r="W233" s="15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5"/>
      <c r="W234" s="15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5"/>
      <c r="W235" s="15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5"/>
      <c r="W236" s="15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5"/>
      <c r="W237" s="15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5"/>
      <c r="W238" s="15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5"/>
      <c r="W239" s="15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5"/>
      <c r="W240" s="15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5"/>
      <c r="W241" s="15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5"/>
      <c r="W242" s="15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5"/>
      <c r="W243" s="15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5"/>
      <c r="W244" s="15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5"/>
      <c r="W245" s="15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5"/>
      <c r="W246" s="15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5"/>
      <c r="W247" s="15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5"/>
      <c r="W248" s="15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5"/>
      <c r="W249" s="15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5"/>
      <c r="W250" s="15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5"/>
      <c r="W251" s="15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5"/>
      <c r="W252" s="15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5"/>
      <c r="W253" s="15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5"/>
      <c r="W254" s="15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5"/>
      <c r="W255" s="15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5"/>
      <c r="W256" s="15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5"/>
      <c r="W257" s="15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5"/>
      <c r="W258" s="15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5"/>
      <c r="W259" s="15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5"/>
      <c r="W260" s="15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5"/>
      <c r="W261" s="15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5"/>
      <c r="W262" s="15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5"/>
      <c r="W263" s="15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5"/>
      <c r="W264" s="15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5"/>
      <c r="W265" s="15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5"/>
      <c r="W266" s="15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5"/>
      <c r="W267" s="15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5"/>
      <c r="W268" s="15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5"/>
      <c r="W269" s="15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5"/>
      <c r="W270" s="15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5"/>
      <c r="W271" s="15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5"/>
      <c r="W272" s="15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5"/>
      <c r="W273" s="15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5"/>
      <c r="W274" s="15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5"/>
      <c r="W275" s="15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5"/>
      <c r="W276" s="15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5"/>
      <c r="W277" s="15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5"/>
      <c r="W278" s="15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5"/>
      <c r="W279" s="15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5"/>
      <c r="W280" s="15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5"/>
      <c r="W281" s="15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5"/>
      <c r="W282" s="15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5"/>
      <c r="W283" s="15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5"/>
      <c r="W284" s="15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5"/>
      <c r="W285" s="15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5"/>
      <c r="W286" s="15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5"/>
      <c r="W287" s="15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5"/>
      <c r="W288" s="15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5"/>
      <c r="W289" s="15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5"/>
      <c r="W290" s="15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5"/>
      <c r="W291" s="15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5"/>
      <c r="W292" s="15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5"/>
      <c r="W293" s="15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5"/>
      <c r="W294" s="15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5"/>
      <c r="W295" s="15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5"/>
      <c r="W296" s="15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5"/>
      <c r="W297" s="15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5"/>
      <c r="W298" s="15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5"/>
      <c r="W299" s="15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5"/>
      <c r="W300" s="15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5"/>
      <c r="W301" s="15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5"/>
      <c r="W302" s="15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5"/>
      <c r="W303" s="15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5"/>
      <c r="W304" s="15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5"/>
      <c r="W305" s="15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5"/>
      <c r="W306" s="15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5"/>
      <c r="W307" s="15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5"/>
      <c r="W308" s="15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5"/>
      <c r="W309" s="15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5"/>
      <c r="W310" s="15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5"/>
      <c r="W311" s="15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5"/>
      <c r="W312" s="15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5"/>
      <c r="W313" s="15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5"/>
      <c r="W314" s="15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5"/>
      <c r="W315" s="15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5"/>
      <c r="W316" s="15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5"/>
      <c r="W317" s="15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5"/>
      <c r="W318" s="15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5"/>
      <c r="W319" s="15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5"/>
      <c r="W320" s="15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5"/>
      <c r="W321" s="15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5"/>
      <c r="W322" s="15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5"/>
      <c r="W323" s="15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5"/>
      <c r="W324" s="15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5"/>
      <c r="W325" s="15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5"/>
      <c r="W326" s="15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5"/>
      <c r="W327" s="15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5"/>
      <c r="W328" s="15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5"/>
      <c r="W329" s="15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5"/>
      <c r="W330" s="15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5"/>
      <c r="W331" s="15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5"/>
      <c r="W332" s="15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5"/>
      <c r="W333" s="15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5"/>
      <c r="W334" s="15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5"/>
      <c r="W335" s="15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5"/>
      <c r="W336" s="15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5"/>
      <c r="W337" s="15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5"/>
      <c r="W338" s="15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5"/>
      <c r="W339" s="15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5"/>
      <c r="W340" s="15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5"/>
      <c r="W341" s="15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5"/>
      <c r="W342" s="15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5"/>
      <c r="W343" s="15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5"/>
      <c r="W344" s="15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5"/>
      <c r="W345" s="15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5"/>
      <c r="W346" s="15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5"/>
      <c r="W347" s="15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5"/>
      <c r="W348" s="15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5"/>
      <c r="W349" s="15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5"/>
      <c r="W350" s="15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5"/>
      <c r="W351" s="15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5"/>
      <c r="W352" s="15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5"/>
      <c r="W353" s="15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5"/>
      <c r="W354" s="15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5"/>
      <c r="W355" s="15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5"/>
      <c r="W356" s="15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5"/>
      <c r="W357" s="15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5"/>
      <c r="W358" s="15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5"/>
      <c r="W359" s="15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5"/>
      <c r="W360" s="15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5"/>
      <c r="W361" s="15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5"/>
      <c r="W362" s="15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5"/>
      <c r="W363" s="15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5"/>
      <c r="W364" s="15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5"/>
      <c r="W365" s="15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5"/>
      <c r="W366" s="15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5"/>
      <c r="W367" s="15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5"/>
      <c r="W368" s="15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5"/>
      <c r="W369" s="15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5"/>
      <c r="W370" s="15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5"/>
      <c r="W371" s="15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5"/>
      <c r="W372" s="15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5"/>
      <c r="W373" s="15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5"/>
      <c r="W374" s="15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5"/>
      <c r="W375" s="15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5"/>
      <c r="W376" s="15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5"/>
      <c r="W377" s="15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5"/>
      <c r="W378" s="15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5"/>
      <c r="W379" s="15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5"/>
      <c r="W380" s="15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5"/>
      <c r="W381" s="15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5"/>
      <c r="W382" s="15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5"/>
      <c r="W383" s="15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5"/>
      <c r="W384" s="15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5"/>
      <c r="W385" s="15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5"/>
      <c r="W386" s="15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5"/>
      <c r="W387" s="15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5"/>
      <c r="W388" s="15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5"/>
      <c r="W389" s="15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5"/>
      <c r="W390" s="15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5"/>
      <c r="W391" s="15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5"/>
      <c r="W392" s="15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5"/>
      <c r="W393" s="15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5"/>
      <c r="W394" s="15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5"/>
      <c r="W395" s="15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5"/>
      <c r="W396" s="15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5"/>
      <c r="W397" s="15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5"/>
      <c r="W398" s="15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5"/>
      <c r="W399" s="15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5"/>
      <c r="W400" s="15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5"/>
      <c r="W401" s="15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5"/>
      <c r="W402" s="15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5"/>
      <c r="W403" s="15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5"/>
      <c r="W404" s="15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5"/>
      <c r="W405" s="15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5"/>
      <c r="W406" s="15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5"/>
      <c r="W407" s="15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5"/>
      <c r="W408" s="15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5"/>
      <c r="W409" s="15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5"/>
      <c r="W410" s="15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5"/>
      <c r="W411" s="15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5"/>
      <c r="W412" s="15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5"/>
      <c r="W413" s="15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5"/>
      <c r="W414" s="15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5"/>
      <c r="W415" s="15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5"/>
      <c r="W416" s="15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5"/>
      <c r="W417" s="15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5"/>
      <c r="W418" s="15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5"/>
      <c r="W419" s="15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5"/>
      <c r="W420" s="15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5"/>
      <c r="W421" s="15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5"/>
      <c r="W422" s="15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5"/>
      <c r="W423" s="15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5"/>
      <c r="W424" s="15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5"/>
      <c r="W425" s="15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5"/>
      <c r="W426" s="15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5"/>
      <c r="W427" s="15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5"/>
      <c r="W428" s="15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5"/>
      <c r="W429" s="15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5"/>
      <c r="W430" s="15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5"/>
      <c r="W431" s="15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5"/>
      <c r="W432" s="15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5"/>
      <c r="W433" s="15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5"/>
      <c r="W434" s="15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5"/>
      <c r="W435" s="15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5"/>
      <c r="W436" s="15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5"/>
      <c r="W437" s="15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5"/>
      <c r="W438" s="15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5"/>
      <c r="W439" s="15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5"/>
      <c r="W440" s="15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5"/>
      <c r="W441" s="15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5"/>
      <c r="W442" s="15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5"/>
      <c r="W443" s="15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5"/>
      <c r="W444" s="15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5"/>
      <c r="W445" s="15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5"/>
      <c r="W446" s="15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5"/>
      <c r="W447" s="15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5"/>
      <c r="W448" s="15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5"/>
      <c r="W449" s="15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5"/>
      <c r="W450" s="15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5"/>
      <c r="W451" s="15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5"/>
      <c r="W452" s="15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5"/>
      <c r="W453" s="15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5"/>
      <c r="W454" s="15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5"/>
      <c r="W455" s="15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5"/>
      <c r="W456" s="15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5"/>
      <c r="W457" s="15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5"/>
      <c r="W458" s="15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5"/>
      <c r="W459" s="15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5"/>
      <c r="W460" s="15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5"/>
      <c r="W461" s="15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5"/>
      <c r="W462" s="15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5"/>
      <c r="W463" s="15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5"/>
      <c r="W464" s="15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5"/>
      <c r="W465" s="15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5"/>
      <c r="W466" s="15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5"/>
      <c r="W467" s="15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5"/>
      <c r="W468" s="15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5"/>
      <c r="W469" s="15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5"/>
      <c r="W470" s="15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5"/>
      <c r="W471" s="15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5"/>
      <c r="W472" s="15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5"/>
      <c r="W473" s="15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5"/>
      <c r="W474" s="15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5"/>
      <c r="W475" s="15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5"/>
      <c r="W476" s="15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5"/>
      <c r="W477" s="15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5"/>
      <c r="W478" s="15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5"/>
      <c r="W479" s="15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5"/>
      <c r="W480" s="15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5"/>
      <c r="W481" s="15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5"/>
      <c r="W482" s="15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5"/>
      <c r="W483" s="15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5"/>
      <c r="W484" s="15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5"/>
      <c r="W485" s="15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5"/>
      <c r="W486" s="15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5"/>
      <c r="W487" s="15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5"/>
      <c r="W488" s="15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5"/>
      <c r="W489" s="15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5"/>
      <c r="W490" s="15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5"/>
      <c r="W491" s="15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5"/>
      <c r="W492" s="15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5"/>
      <c r="W493" s="15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5"/>
      <c r="W494" s="15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5"/>
      <c r="W495" s="15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5"/>
      <c r="W496" s="15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5"/>
      <c r="W497" s="15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5"/>
      <c r="W498" s="15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5"/>
      <c r="W499" s="15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</sheetData>
  <autoFilter ref="A3:AN13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10" sqref="C10"/>
    </sheetView>
  </sheetViews>
  <sheetFormatPr defaultRowHeight="15" x14ac:dyDescent="0.25"/>
  <cols>
    <col min="2" max="2" width="110.28515625" bestFit="1" customWidth="1"/>
    <col min="3" max="3" width="9.140625" style="6" customWidth="1"/>
  </cols>
  <sheetData>
    <row r="1" spans="1:4" x14ac:dyDescent="0.25">
      <c r="A1" s="20" t="s">
        <v>77</v>
      </c>
      <c r="B1" s="21" t="s">
        <v>194</v>
      </c>
      <c r="C1" s="23">
        <v>1</v>
      </c>
      <c r="D1" s="22">
        <v>-1098</v>
      </c>
    </row>
    <row r="2" spans="1:4" x14ac:dyDescent="0.25">
      <c r="A2" s="20" t="s">
        <v>74</v>
      </c>
      <c r="B2" s="21" t="s">
        <v>195</v>
      </c>
      <c r="C2" s="23">
        <v>1</v>
      </c>
      <c r="D2" s="22">
        <v>-297</v>
      </c>
    </row>
    <row r="3" spans="1:4" x14ac:dyDescent="0.25">
      <c r="A3" s="20" t="s">
        <v>117</v>
      </c>
      <c r="B3" s="21" t="s">
        <v>196</v>
      </c>
      <c r="C3" s="23">
        <v>0.4</v>
      </c>
      <c r="D3" s="22">
        <v>-230.4</v>
      </c>
    </row>
    <row r="4" spans="1:4" x14ac:dyDescent="0.25">
      <c r="A4" s="20" t="s">
        <v>99</v>
      </c>
      <c r="B4" s="21" t="s">
        <v>197</v>
      </c>
      <c r="C4" s="23">
        <v>0.4</v>
      </c>
      <c r="D4" s="22">
        <v>-192</v>
      </c>
    </row>
    <row r="5" spans="1:4" x14ac:dyDescent="0.25">
      <c r="A5" s="20" t="s">
        <v>91</v>
      </c>
      <c r="B5" s="21" t="s">
        <v>198</v>
      </c>
      <c r="C5" s="23">
        <v>0.35</v>
      </c>
      <c r="D5" s="22">
        <v>-102.9</v>
      </c>
    </row>
    <row r="6" spans="1:4" x14ac:dyDescent="0.25">
      <c r="A6" s="20" t="s">
        <v>148</v>
      </c>
      <c r="B6" s="21" t="s">
        <v>199</v>
      </c>
      <c r="C6" s="23">
        <v>0.3</v>
      </c>
      <c r="D6" s="22">
        <v>-64.8</v>
      </c>
    </row>
    <row r="7" spans="1:4" x14ac:dyDescent="0.25">
      <c r="A7" s="20" t="s">
        <v>184</v>
      </c>
      <c r="B7" s="21" t="s">
        <v>200</v>
      </c>
      <c r="C7" s="23">
        <v>0.3</v>
      </c>
      <c r="D7" s="22">
        <v>-55.8</v>
      </c>
    </row>
    <row r="8" spans="1:4" x14ac:dyDescent="0.25">
      <c r="A8" s="20" t="s">
        <v>88</v>
      </c>
      <c r="B8" s="21" t="s">
        <v>201</v>
      </c>
      <c r="C8" s="23">
        <v>1</v>
      </c>
      <c r="D8" s="22">
        <v>-34.799999999999997</v>
      </c>
    </row>
    <row r="9" spans="1:4" x14ac:dyDescent="0.25">
      <c r="A9" s="20" t="s">
        <v>135</v>
      </c>
      <c r="B9" s="21" t="s">
        <v>202</v>
      </c>
      <c r="C9" s="23">
        <v>0.35</v>
      </c>
      <c r="D9" s="22">
        <v>-4.2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2026-07-23T16:49:39Z</dcterms:created>
  <dcterms:modified xsi:type="dcterms:W3CDTF">2026-07-28T07:20:23Z</dcterms:modified>
</cp:coreProperties>
</file>