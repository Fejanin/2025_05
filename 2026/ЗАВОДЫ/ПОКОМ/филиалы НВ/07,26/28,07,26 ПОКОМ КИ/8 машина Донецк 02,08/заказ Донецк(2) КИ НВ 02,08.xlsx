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FF3411D-744D-4B10-A2FD-0D022ED2573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09" i="1" l="1"/>
  <c r="Z543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Z143" i="1" s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551" i="1" s="1"/>
  <c r="Y553" i="1" s="1"/>
  <c r="Y24" i="1"/>
  <c r="X550" i="1"/>
  <c r="Z27" i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Z67" i="1" s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Z92" i="1" s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Z215" i="1" s="1"/>
  <c r="Y215" i="1"/>
  <c r="BP224" i="1"/>
  <c r="BN224" i="1"/>
  <c r="Z224" i="1"/>
  <c r="Z237" i="1" s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Z245" i="1" s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Z277" i="1" s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Z297" i="1"/>
  <c r="BP364" i="1"/>
  <c r="BN364" i="1"/>
  <c r="Z364" i="1"/>
  <c r="Z368" i="1" s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Y298" i="1"/>
  <c r="Y308" i="1"/>
  <c r="BP301" i="1"/>
  <c r="BN301" i="1"/>
  <c r="Z301" i="1"/>
  <c r="Z308" i="1" s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Z378" i="1" s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Z463" i="1"/>
  <c r="BP461" i="1"/>
  <c r="BN461" i="1"/>
  <c r="Z461" i="1"/>
  <c r="BP496" i="1"/>
  <c r="BN496" i="1"/>
  <c r="Z496" i="1"/>
  <c r="BP500" i="1"/>
  <c r="BN500" i="1"/>
  <c r="Z500" i="1"/>
  <c r="Z504" i="1" s="1"/>
  <c r="Y504" i="1"/>
  <c r="Z510" i="1"/>
  <c r="BP508" i="1"/>
  <c r="BN508" i="1"/>
  <c r="Z508" i="1"/>
  <c r="Y51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Z391" i="1" l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Z555" i="1" s="1"/>
  <c r="Y554" i="1"/>
  <c r="X553" i="1"/>
  <c r="Z347" i="1"/>
  <c r="Z194" i="1"/>
  <c r="Z169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<sst xmlns="http://schemas.openxmlformats.org/spreadsheetml/2006/main" count="2500" uniqueCount="907">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</sst>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45</v>
      </c>
      <c r="Y66" s="628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46.900000000000006</v>
      </c>
      <c r="BN66" s="64">
        <f t="shared" si="2"/>
        <v>46.900000000000006</v>
      </c>
      <c r="BO66" s="64">
        <f t="shared" si="3"/>
        <v>7.575757575757576E-2</v>
      </c>
      <c r="BP66" s="64">
        <f t="shared" si="4"/>
        <v>7.575757575757576E-2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10</v>
      </c>
      <c r="Y67" s="629">
        <f>IFERROR(Y59/H59,"0")+IFERROR(Y60/H60,"0")+IFERROR(Y61/H61,"0")+IFERROR(Y62/H62,"0")+IFERROR(Y63/H63,"0")+IFERROR(Y64/H64,"0")+IFERROR(Y65/H65,"0")+IFERROR(Y66/H66,"0")</f>
        <v>10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9.0200000000000002E-2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45</v>
      </c>
      <c r="Y68" s="629">
        <f>IFERROR(SUM(Y59:Y66),"0")</f>
        <v>45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60</v>
      </c>
      <c r="Y77" s="628">
        <f>IFERROR(IF(X77="",0,CEILING((X77/$H77),1)*$H77),"")</f>
        <v>61.2</v>
      </c>
      <c r="Z77" s="36">
        <f>IFERROR(IF(Y77=0,"",ROUNDUP(Y77/H77,0)*0.00651),"")</f>
        <v>0.22134000000000001</v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68.199999999999989</v>
      </c>
      <c r="BN77" s="64">
        <f>IFERROR(Y77*I77/H77,"0")</f>
        <v>69.563999999999993</v>
      </c>
      <c r="BO77" s="64">
        <f>IFERROR(1/J77*(X77/H77),"0")</f>
        <v>0.18315018315018317</v>
      </c>
      <c r="BP77" s="64">
        <f>IFERROR(1/J77*(Y77/H77),"0")</f>
        <v>0.18681318681318682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33.333333333333336</v>
      </c>
      <c r="Y79" s="629">
        <f>IFERROR(Y77/H77,"0")+IFERROR(Y78/H78,"0")</f>
        <v>34</v>
      </c>
      <c r="Z79" s="629">
        <f>IFERROR(IF(Z77="",0,Z77),"0")+IFERROR(IF(Z78="",0,Z78),"0")</f>
        <v>0.22134000000000001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60</v>
      </c>
      <c r="Y80" s="629">
        <f>IFERROR(SUM(Y77:Y78),"0")</f>
        <v>61.2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225</v>
      </c>
      <c r="Y91" s="628">
        <f>IFERROR(IF(X91="",0,CEILING((X91/$H91),1)*$H91),"")</f>
        <v>225</v>
      </c>
      <c r="Z91" s="36">
        <f>IFERROR(IF(Y91=0,"",ROUNDUP(Y91/H91,0)*0.00902),"")</f>
        <v>0.45100000000000001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234.5</v>
      </c>
      <c r="BN91" s="64">
        <f>IFERROR(Y91*I91/H91,"0")</f>
        <v>234.5</v>
      </c>
      <c r="BO91" s="64">
        <f>IFERROR(1/J91*(X91/H91),"0")</f>
        <v>0.37878787878787878</v>
      </c>
      <c r="BP91" s="64">
        <f>IFERROR(1/J91*(Y91/H91),"0")</f>
        <v>0.37878787878787878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50</v>
      </c>
      <c r="Y92" s="629">
        <f>IFERROR(Y88/H88,"0")+IFERROR(Y89/H89,"0")+IFERROR(Y90/H90,"0")+IFERROR(Y91/H91,"0")</f>
        <v>50</v>
      </c>
      <c r="Z92" s="629">
        <f>IFERROR(IF(Z88="",0,Z88),"0")+IFERROR(IF(Z89="",0,Z89),"0")+IFERROR(IF(Z90="",0,Z90),"0")+IFERROR(IF(Z91="",0,Z91),"0")</f>
        <v>0.45100000000000001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225</v>
      </c>
      <c r="Y93" s="629">
        <f>IFERROR(SUM(Y88:Y91),"0")</f>
        <v>225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450</v>
      </c>
      <c r="Y97" s="628">
        <f>IFERROR(IF(X97="",0,CEILING((X97/$H97),1)*$H97),"")</f>
        <v>450.90000000000003</v>
      </c>
      <c r="Z97" s="36">
        <f>IFERROR(IF(Y97=0,"",ROUNDUP(Y97/H97,0)*0.00651),"")</f>
        <v>1.08717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492</v>
      </c>
      <c r="BN97" s="64">
        <f>IFERROR(Y97*I97/H97,"0")</f>
        <v>492.98399999999998</v>
      </c>
      <c r="BO97" s="64">
        <f>IFERROR(1/J97*(X97/H97),"0")</f>
        <v>0.91575091575091572</v>
      </c>
      <c r="BP97" s="64">
        <f>IFERROR(1/J97*(Y97/H97),"0")</f>
        <v>0.91758241758241765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166.66666666666666</v>
      </c>
      <c r="Y99" s="629">
        <f>IFERROR(Y95/H95,"0")+IFERROR(Y96/H96,"0")+IFERROR(Y97/H97,"0")+IFERROR(Y98/H98,"0")</f>
        <v>167</v>
      </c>
      <c r="Z99" s="629">
        <f>IFERROR(IF(Z95="",0,Z95),"0")+IFERROR(IF(Z96="",0,Z96),"0")+IFERROR(IF(Z97="",0,Z97),"0")+IFERROR(IF(Z98="",0,Z98),"0")</f>
        <v>1.08717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450</v>
      </c>
      <c r="Y100" s="629">
        <f>IFERROR(SUM(Y95:Y98),"0")</f>
        <v>450.90000000000003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500</v>
      </c>
      <c r="Y120" s="628">
        <f>IFERROR(IF(X120="",0,CEILING((X120/$H120),1)*$H120),"")</f>
        <v>502.2</v>
      </c>
      <c r="Z120" s="36">
        <f>IFERROR(IF(Y120=0,"",ROUNDUP(Y120/H120,0)*0.01898),"")</f>
        <v>1.17676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530.12345679012344</v>
      </c>
      <c r="BN120" s="64">
        <f>IFERROR(Y120*I120/H120,"0")</f>
        <v>532.4559999999999</v>
      </c>
      <c r="BO120" s="64">
        <f>IFERROR(1/J120*(X120/H120),"0")</f>
        <v>0.96450617283950624</v>
      </c>
      <c r="BP120" s="64">
        <f>IFERROR(1/J120*(Y120/H120),"0")</f>
        <v>0.96875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1350</v>
      </c>
      <c r="Y122" s="628">
        <f>IFERROR(IF(X122="",0,CEILING((X122/$H122),1)*$H122),"")</f>
        <v>1350</v>
      </c>
      <c r="Z122" s="36">
        <f>IFERROR(IF(Y122=0,"",ROUNDUP(Y122/H122,0)*0.00651),"")</f>
        <v>3.2549999999999999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1475.9999999999998</v>
      </c>
      <c r="BN122" s="64">
        <f>IFERROR(Y122*I122/H122,"0")</f>
        <v>1475.9999999999998</v>
      </c>
      <c r="BO122" s="64">
        <f>IFERROR(1/J122*(X122/H122),"0")</f>
        <v>2.7472527472527473</v>
      </c>
      <c r="BP122" s="64">
        <f>IFERROR(1/J122*(Y122/H122),"0")</f>
        <v>2.7472527472527473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561.72839506172829</v>
      </c>
      <c r="Y124" s="629">
        <f>IFERROR(Y120/H120,"0")+IFERROR(Y121/H121,"0")+IFERROR(Y122/H122,"0")+IFERROR(Y123/H123,"0")</f>
        <v>562</v>
      </c>
      <c r="Z124" s="629">
        <f>IFERROR(IF(Z120="",0,Z120),"0")+IFERROR(IF(Z121="",0,Z121),"0")+IFERROR(IF(Z122="",0,Z122),"0")+IFERROR(IF(Z123="",0,Z123),"0")</f>
        <v>4.4317599999999997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1850</v>
      </c>
      <c r="Y125" s="629">
        <f>IFERROR(SUM(Y120:Y123),"0")</f>
        <v>1852.2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33</v>
      </c>
      <c r="Y127" s="628">
        <f>IFERROR(IF(X127="",0,CEILING((X127/$H127),1)*$H127),"")</f>
        <v>33.659999999999997</v>
      </c>
      <c r="Z127" s="36">
        <f>IFERROR(IF(Y127=0,"",ROUNDUP(Y127/H127,0)*0.00651),"")</f>
        <v>0.11067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37.299999999999997</v>
      </c>
      <c r="BN127" s="64">
        <f>IFERROR(Y127*I127/H127,"0")</f>
        <v>38.045999999999992</v>
      </c>
      <c r="BO127" s="64">
        <f>IFERROR(1/J127*(X127/H127),"0")</f>
        <v>9.1575091575091583E-2</v>
      </c>
      <c r="BP127" s="64">
        <f>IFERROR(1/J127*(Y127/H127),"0")</f>
        <v>9.3406593406593408E-2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16.666666666666668</v>
      </c>
      <c r="Y128" s="629">
        <f>IFERROR(Y127/H127,"0")</f>
        <v>17</v>
      </c>
      <c r="Z128" s="629">
        <f>IFERROR(IF(Z127="",0,Z127),"0")</f>
        <v>0.11067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33</v>
      </c>
      <c r="Y129" s="629">
        <f>IFERROR(SUM(Y127:Y127),"0")</f>
        <v>33.659999999999997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100</v>
      </c>
      <c r="Y177" s="628">
        <f t="shared" ref="Y177:Y187" si="10">IFERROR(IF(X177="",0,CEILING((X177/$H177),1)*$H177),"")</f>
        <v>101.5</v>
      </c>
      <c r="Z177" s="36">
        <f>IFERROR(IF(Y177=0,"",ROUNDUP(Y177/H177,0)*0.00902),"")</f>
        <v>0.26158000000000003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105.42857142857143</v>
      </c>
      <c r="BN177" s="64">
        <f t="shared" ref="BN177:BN187" si="12">IFERROR(Y177*I177/H177,"0")</f>
        <v>107.00999999999999</v>
      </c>
      <c r="BO177" s="64">
        <f t="shared" ref="BO177:BO187" si="13">IFERROR(1/J177*(X177/H177),"0")</f>
        <v>0.21645021645021648</v>
      </c>
      <c r="BP177" s="64">
        <f t="shared" ref="BP177:BP187" si="14">IFERROR(1/J177*(Y177/H177),"0")</f>
        <v>0.2196969696969697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84</v>
      </c>
      <c r="Y185" s="628">
        <f t="shared" si="10"/>
        <v>84</v>
      </c>
      <c r="Z185" s="36">
        <f>IFERROR(IF(Y185=0,"",ROUNDUP(Y185/H185,0)*0.00502),"")</f>
        <v>0.251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89.000000000000014</v>
      </c>
      <c r="BN185" s="64">
        <f t="shared" si="12"/>
        <v>89.000000000000014</v>
      </c>
      <c r="BO185" s="64">
        <f t="shared" si="13"/>
        <v>0.21367521367521369</v>
      </c>
      <c r="BP185" s="64">
        <f t="shared" si="14"/>
        <v>0.21367521367521369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112</v>
      </c>
      <c r="Y187" s="628">
        <f t="shared" si="10"/>
        <v>112.56</v>
      </c>
      <c r="Z187" s="36">
        <f>IFERROR(IF(Y187=0,"",ROUNDUP(Y187/H187,0)*0.00502),"")</f>
        <v>0.33634000000000003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118.66666666666669</v>
      </c>
      <c r="BN187" s="64">
        <f t="shared" si="12"/>
        <v>119.26000000000002</v>
      </c>
      <c r="BO187" s="64">
        <f t="shared" si="13"/>
        <v>0.28490028490028496</v>
      </c>
      <c r="BP187" s="64">
        <f t="shared" si="14"/>
        <v>0.28632478632478636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145.23809523809524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146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0.84892000000000012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296</v>
      </c>
      <c r="Y189" s="629">
        <f>IFERROR(SUM(Y177:Y187),"0")</f>
        <v>298.06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16</v>
      </c>
      <c r="Y226" s="628">
        <f t="shared" si="21"/>
        <v>16</v>
      </c>
      <c r="Z226" s="36">
        <f>IFERROR(IF(Y226=0,"",ROUNDUP(Y226/H226,0)*0.00556),"")</f>
        <v>0.11119999999999999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18.600000000000001</v>
      </c>
      <c r="BN226" s="64">
        <f t="shared" si="23"/>
        <v>18.600000000000001</v>
      </c>
      <c r="BO226" s="64">
        <f t="shared" si="24"/>
        <v>7.9365079365079361E-2</v>
      </c>
      <c r="BP226" s="64">
        <f t="shared" si="25"/>
        <v>7.9365079365079361E-2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0.11119999999999999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16</v>
      </c>
      <c r="Y238" s="629">
        <f>IFERROR(SUM(Y223:Y236),"0")</f>
        <v>16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7</v>
      </c>
      <c r="Y249" s="628">
        <f>IFERROR(IF(X249="",0,CEILING((X249/$H249),1)*$H249),"")</f>
        <v>7.5600000000000005</v>
      </c>
      <c r="Z249" s="36">
        <f>IFERROR(IF(Y249=0,"",ROUNDUP(Y249/H249,0)*0.0059),"")</f>
        <v>3.5400000000000001E-2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8.0555555555555554</v>
      </c>
      <c r="BN249" s="64">
        <f>IFERROR(Y249*I249/H249,"0")</f>
        <v>8.6999999999999993</v>
      </c>
      <c r="BO249" s="64">
        <f>IFERROR(1/J249*(X249/H249),"0")</f>
        <v>2.5720164609053495E-2</v>
      </c>
      <c r="BP249" s="64">
        <f>IFERROR(1/J249*(Y249/H249),"0")</f>
        <v>2.7777777777777776E-2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5.5555555555555554</v>
      </c>
      <c r="Y251" s="629">
        <f>IFERROR(Y248/H248,"0")+IFERROR(Y249/H249,"0")+IFERROR(Y250/H250,"0")</f>
        <v>6</v>
      </c>
      <c r="Z251" s="629">
        <f>IFERROR(IF(Z248="",0,Z248),"0")+IFERROR(IF(Z249="",0,Z249),"0")+IFERROR(IF(Z250="",0,Z250),"0")</f>
        <v>3.5400000000000001E-2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7</v>
      </c>
      <c r="Y252" s="629">
        <f>IFERROR(SUM(Y248:Y250),"0")</f>
        <v>7.5600000000000005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400</v>
      </c>
      <c r="Y286" s="628">
        <f t="shared" si="32"/>
        <v>400.8</v>
      </c>
      <c r="Z286" s="36">
        <f>IFERROR(IF(Y286=0,"",ROUNDUP(Y286/H286,0)*0.00651),"")</f>
        <v>1.08717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442</v>
      </c>
      <c r="BN286" s="64">
        <f t="shared" si="34"/>
        <v>442.88400000000007</v>
      </c>
      <c r="BO286" s="64">
        <f t="shared" si="35"/>
        <v>0.91575091575091594</v>
      </c>
      <c r="BP286" s="64">
        <f t="shared" si="36"/>
        <v>0.91758241758241765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400</v>
      </c>
      <c r="Y288" s="628">
        <f t="shared" si="32"/>
        <v>400.8</v>
      </c>
      <c r="Z288" s="36">
        <f>IFERROR(IF(Y288=0,"",ROUNDUP(Y288/H288,0)*0.00651),"")</f>
        <v>1.08717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442</v>
      </c>
      <c r="BN288" s="64">
        <f t="shared" si="34"/>
        <v>442.88400000000007</v>
      </c>
      <c r="BO288" s="64">
        <f t="shared" si="35"/>
        <v>0.91575091575091594</v>
      </c>
      <c r="BP288" s="64">
        <f t="shared" si="36"/>
        <v>0.91758241758241765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333.33333333333337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334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2.1743399999999999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800</v>
      </c>
      <c r="Y293" s="629">
        <f>IFERROR(SUM(Y280:Y291),"0")</f>
        <v>801.6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400</v>
      </c>
      <c r="Y357" s="628">
        <f>IFERROR(IF(X357="",0,CEILING((X357/$H357),1)*$H357),"")</f>
        <v>405.59999999999997</v>
      </c>
      <c r="Z357" s="36">
        <f>IFERROR(IF(Y357=0,"",ROUNDUP(Y357/H357,0)*0.01898),"")</f>
        <v>0.98696000000000006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421.02564102564111</v>
      </c>
      <c r="BN357" s="64">
        <f>IFERROR(Y357*I357/H357,"0")</f>
        <v>426.92</v>
      </c>
      <c r="BO357" s="64">
        <f>IFERROR(1/J357*(X357/H357),"0")</f>
        <v>0.80128205128205132</v>
      </c>
      <c r="BP357" s="64">
        <f>IFERROR(1/J357*(Y357/H357),"0")</f>
        <v>0.8125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51.282051282051285</v>
      </c>
      <c r="Y359" s="629">
        <f>IFERROR(Y356/H356,"0")+IFERROR(Y357/H357,"0")+IFERROR(Y358/H358,"0")</f>
        <v>52</v>
      </c>
      <c r="Z359" s="629">
        <f>IFERROR(IF(Z356="",0,Z356),"0")+IFERROR(IF(Z357="",0,Z357),"0")+IFERROR(IF(Z358="",0,Z358),"0")</f>
        <v>0.98696000000000006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400</v>
      </c>
      <c r="Y360" s="629">
        <f>IFERROR(SUM(Y356:Y358),"0")</f>
        <v>405.59999999999997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400</v>
      </c>
      <c r="Y389" s="628">
        <f>IFERROR(IF(X389="",0,CEILING((X389/$H389),1)*$H389),"")</f>
        <v>405.59999999999997</v>
      </c>
      <c r="Z389" s="36">
        <f>IFERROR(IF(Y389=0,"",ROUNDUP(Y389/H389,0)*0.01898),"")</f>
        <v>0.98696000000000006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425.33333333333337</v>
      </c>
      <c r="BN389" s="64">
        <f>IFERROR(Y389*I389/H389,"0")</f>
        <v>431.28799999999995</v>
      </c>
      <c r="BO389" s="64">
        <f>IFERROR(1/J389*(X389/H389),"0")</f>
        <v>0.80128205128205132</v>
      </c>
      <c r="BP389" s="64">
        <f>IFERROR(1/J389*(Y389/H389),"0")</f>
        <v>0.8125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51.282051282051285</v>
      </c>
      <c r="Y391" s="629">
        <f>IFERROR(Y388/H388,"0")+IFERROR(Y389/H389,"0")+IFERROR(Y390/H390,"0")</f>
        <v>52</v>
      </c>
      <c r="Z391" s="629">
        <f>IFERROR(IF(Z388="",0,Z388),"0")+IFERROR(IF(Z389="",0,Z389),"0")+IFERROR(IF(Z390="",0,Z390),"0")</f>
        <v>0.98696000000000006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400</v>
      </c>
      <c r="Y392" s="629">
        <f>IFERROR(SUM(Y388:Y390),"0")</f>
        <v>405.59999999999997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10</v>
      </c>
      <c r="Y403" s="628">
        <f>IFERROR(IF(X403="",0,CEILING((X403/$H403),1)*$H403),"")</f>
        <v>10</v>
      </c>
      <c r="Z403" s="36">
        <f>IFERROR(IF(Y403=0,"",ROUNDUP(Y403/H403,0)*0.00474),"")</f>
        <v>2.3700000000000002E-2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11.200000000000001</v>
      </c>
      <c r="BN403" s="64">
        <f>IFERROR(Y403*I403/H403,"0")</f>
        <v>11.200000000000001</v>
      </c>
      <c r="BO403" s="64">
        <f>IFERROR(1/J403*(X403/H403),"0")</f>
        <v>2.1008403361344536E-2</v>
      </c>
      <c r="BP403" s="64">
        <f>IFERROR(1/J403*(Y403/H403),"0")</f>
        <v>2.1008403361344536E-2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5</v>
      </c>
      <c r="Y404" s="629">
        <f>IFERROR(Y401/H401,"0")+IFERROR(Y402/H402,"0")+IFERROR(Y403/H403,"0")</f>
        <v>5</v>
      </c>
      <c r="Z404" s="629">
        <f>IFERROR(IF(Z401="",0,Z401),"0")+IFERROR(IF(Z402="",0,Z402),"0")+IFERROR(IF(Z403="",0,Z403),"0")</f>
        <v>2.3700000000000002E-2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10</v>
      </c>
      <c r="Y405" s="629">
        <f>IFERROR(SUM(Y401:Y403),"0")</f>
        <v>10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35</v>
      </c>
      <c r="Y415" s="628">
        <f>IFERROR(IF(X415="",0,CEILING((X415/$H415),1)*$H415),"")</f>
        <v>35.700000000000003</v>
      </c>
      <c r="Z415" s="36">
        <f>IFERROR(IF(Y415=0,"",ROUNDUP(Y415/H415,0)*0.00651),"")</f>
        <v>0.11067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39.199999999999996</v>
      </c>
      <c r="BN415" s="64">
        <f>IFERROR(Y415*I415/H415,"0")</f>
        <v>39.984000000000002</v>
      </c>
      <c r="BO415" s="64">
        <f>IFERROR(1/J415*(X415/H415),"0")</f>
        <v>9.1575091575091569E-2</v>
      </c>
      <c r="BP415" s="64">
        <f>IFERROR(1/J415*(Y415/H415),"0")</f>
        <v>9.3406593406593408E-2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16.666666666666664</v>
      </c>
      <c r="Y417" s="629">
        <f>IFERROR(Y414/H414,"0")+IFERROR(Y415/H415,"0")+IFERROR(Y416/H416,"0")</f>
        <v>17</v>
      </c>
      <c r="Z417" s="629">
        <f>IFERROR(IF(Z414="",0,Z414),"0")+IFERROR(IF(Z415="",0,Z415),"0")+IFERROR(IF(Z416="",0,Z416),"0")</f>
        <v>0.11067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35</v>
      </c>
      <c r="Y418" s="629">
        <f>IFERROR(SUM(Y414:Y416),"0")</f>
        <v>35.700000000000003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900</v>
      </c>
      <c r="Y424" s="628">
        <f t="shared" si="47"/>
        <v>900</v>
      </c>
      <c r="Z424" s="36">
        <f>IFERROR(IF(Y424=0,"",ROUNDUP(Y424/H424,0)*0.02175),"")</f>
        <v>1.3049999999999999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928.2</v>
      </c>
      <c r="BN424" s="64">
        <f t="shared" si="49"/>
        <v>928.2</v>
      </c>
      <c r="BO424" s="64">
        <f t="shared" si="50"/>
        <v>1.25</v>
      </c>
      <c r="BP424" s="64">
        <f t="shared" si="51"/>
        <v>1.25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60</v>
      </c>
      <c r="Y430" s="629">
        <f>IFERROR(Y422/H422,"0")+IFERROR(Y423/H423,"0")+IFERROR(Y424/H424,"0")+IFERROR(Y425/H425,"0")+IFERROR(Y426/H426,"0")+IFERROR(Y427/H427,"0")+IFERROR(Y428/H428,"0")+IFERROR(Y429/H429,"0")</f>
        <v>60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1.3049999999999999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900</v>
      </c>
      <c r="Y431" s="629">
        <f>IFERROR(SUM(Y422:Y429),"0")</f>
        <v>900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500</v>
      </c>
      <c r="Y460" s="628">
        <f>IFERROR(IF(X460="",0,CEILING((X460/$H460),1)*$H460),"")</f>
        <v>504</v>
      </c>
      <c r="Z460" s="36">
        <f>IFERROR(IF(Y460=0,"",ROUNDUP(Y460/H460,0)*0.01898),"")</f>
        <v>1.06288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527.44444444444446</v>
      </c>
      <c r="BN460" s="64">
        <f>IFERROR(Y460*I460/H460,"0")</f>
        <v>531.66399999999999</v>
      </c>
      <c r="BO460" s="64">
        <f>IFERROR(1/J460*(X460/H460),"0")</f>
        <v>0.86805555555555558</v>
      </c>
      <c r="BP460" s="64">
        <f>IFERROR(1/J460*(Y460/H460),"0")</f>
        <v>0.875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160</v>
      </c>
      <c r="Y461" s="628">
        <f>IFERROR(IF(X461="",0,CEILING((X461/$H461),1)*$H461),"")</f>
        <v>160.79999999999998</v>
      </c>
      <c r="Z461" s="36">
        <f>IFERROR(IF(Y461=0,"",ROUNDUP(Y461/H461,0)*0.00651),"")</f>
        <v>0.43617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177.60000000000002</v>
      </c>
      <c r="BN461" s="64">
        <f>IFERROR(Y461*I461/H461,"0")</f>
        <v>178.488</v>
      </c>
      <c r="BO461" s="64">
        <f>IFERROR(1/J461*(X461/H461),"0")</f>
        <v>0.36630036630036633</v>
      </c>
      <c r="BP461" s="64">
        <f>IFERROR(1/J461*(Y461/H461),"0")</f>
        <v>0.36813186813186816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122.22222222222223</v>
      </c>
      <c r="Y463" s="629">
        <f>IFERROR(Y460/H460,"0")+IFERROR(Y461/H461,"0")+IFERROR(Y462/H462,"0")</f>
        <v>123</v>
      </c>
      <c r="Z463" s="629">
        <f>IFERROR(IF(Z460="",0,Z460),"0")+IFERROR(IF(Z461="",0,Z461),"0")+IFERROR(IF(Z462="",0,Z462),"0")</f>
        <v>1.49905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660</v>
      </c>
      <c r="Y464" s="629">
        <f>IFERROR(SUM(Y460:Y462),"0")</f>
        <v>664.8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2300</v>
      </c>
      <c r="Y498" s="628">
        <f t="shared" si="57"/>
        <v>2302.08</v>
      </c>
      <c r="Z498" s="36">
        <f t="shared" si="58"/>
        <v>5.2145599999999996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2452.462121212121</v>
      </c>
      <c r="BN498" s="64">
        <f t="shared" si="60"/>
        <v>2454.6799999999998</v>
      </c>
      <c r="BO498" s="64">
        <f t="shared" si="61"/>
        <v>4.1885198135198136</v>
      </c>
      <c r="BP498" s="64">
        <f t="shared" si="62"/>
        <v>4.1923076923076916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3500</v>
      </c>
      <c r="Y500" s="628">
        <f t="shared" si="57"/>
        <v>3500.6400000000003</v>
      </c>
      <c r="Z500" s="36">
        <f t="shared" si="58"/>
        <v>7.9294799999999999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3732.0075757575755</v>
      </c>
      <c r="BN500" s="64">
        <f t="shared" si="60"/>
        <v>3732.69</v>
      </c>
      <c r="BO500" s="64">
        <f t="shared" si="61"/>
        <v>6.3738344988344995</v>
      </c>
      <c r="BP500" s="64">
        <f t="shared" si="62"/>
        <v>6.375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300</v>
      </c>
      <c r="Y502" s="628">
        <f t="shared" si="57"/>
        <v>302.39999999999998</v>
      </c>
      <c r="Z502" s="36">
        <f>IFERROR(IF(Y502=0,"",ROUNDUP(Y502/H502,0)*0.00902),"")</f>
        <v>0.56825999999999999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431.875</v>
      </c>
      <c r="BN502" s="64">
        <f t="shared" si="60"/>
        <v>435.33</v>
      </c>
      <c r="BO502" s="64">
        <f t="shared" si="61"/>
        <v>0.47348484848484851</v>
      </c>
      <c r="BP502" s="64">
        <f t="shared" si="62"/>
        <v>0.47727272727272729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180</v>
      </c>
      <c r="Y503" s="628">
        <f t="shared" si="57"/>
        <v>182.4</v>
      </c>
      <c r="Z503" s="36">
        <f>IFERROR(IF(Y503=0,"",ROUNDUP(Y503/H503,0)*0.00902),"")</f>
        <v>0.34276000000000001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259.125</v>
      </c>
      <c r="BN503" s="64">
        <f t="shared" si="60"/>
        <v>262.58000000000004</v>
      </c>
      <c r="BO503" s="64">
        <f t="shared" si="61"/>
        <v>0.28409090909090912</v>
      </c>
      <c r="BP503" s="64">
        <f t="shared" si="62"/>
        <v>0.2878787878787879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1198.4848484848485</v>
      </c>
      <c r="Y504" s="629">
        <f>IFERROR(Y495/H495,"0")+IFERROR(Y496/H496,"0")+IFERROR(Y497/H497,"0")+IFERROR(Y498/H498,"0")+IFERROR(Y499/H499,"0")+IFERROR(Y500/H500,"0")+IFERROR(Y501/H501,"0")+IFERROR(Y502/H502,"0")+IFERROR(Y503/H503,"0")</f>
        <v>1200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14.055060000000001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6280</v>
      </c>
      <c r="Y505" s="629">
        <f>IFERROR(SUM(Y495:Y503),"0")</f>
        <v>6287.5199999999995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2000</v>
      </c>
      <c r="Y507" s="628">
        <f>IFERROR(IF(X507="",0,CEILING((X507/$H507),1)*$H507),"")</f>
        <v>2001.1200000000001</v>
      </c>
      <c r="Z507" s="36">
        <f>IFERROR(IF(Y507=0,"",ROUNDUP(Y507/H507,0)*0.01196),"")</f>
        <v>4.5328400000000002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2132.5757575757575</v>
      </c>
      <c r="BN507" s="64">
        <f>IFERROR(Y507*I507/H507,"0")</f>
        <v>2133.77</v>
      </c>
      <c r="BO507" s="64">
        <f>IFERROR(1/J507*(X507/H507),"0")</f>
        <v>3.6421911421911419</v>
      </c>
      <c r="BP507" s="64">
        <f>IFERROR(1/J507*(Y507/H507),"0")</f>
        <v>3.6442307692307696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378.78787878787875</v>
      </c>
      <c r="Y510" s="629">
        <f>IFERROR(Y507/H507,"0")+IFERROR(Y508/H508,"0")+IFERROR(Y509/H509,"0")</f>
        <v>379</v>
      </c>
      <c r="Z510" s="629">
        <f>IFERROR(IF(Z507="",0,Z507),"0")+IFERROR(IF(Z508="",0,Z508),"0")+IFERROR(IF(Z509="",0,Z509),"0")</f>
        <v>4.5328400000000002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2000</v>
      </c>
      <c r="Y511" s="629">
        <f>IFERROR(SUM(Y507:Y509),"0")</f>
        <v>2001.1200000000001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300</v>
      </c>
      <c r="Y513" s="628">
        <f t="shared" ref="Y513:Y519" si="63">IFERROR(IF(X513="",0,CEILING((X513/$H513),1)*$H513),"")</f>
        <v>300.96000000000004</v>
      </c>
      <c r="Z513" s="36">
        <f>IFERROR(IF(Y513=0,"",ROUNDUP(Y513/H513,0)*0.01196),"")</f>
        <v>0.68171999999999999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319.88636363636363</v>
      </c>
      <c r="BN513" s="64">
        <f t="shared" ref="BN513:BN519" si="65">IFERROR(Y513*I513/H513,"0")</f>
        <v>320.91000000000003</v>
      </c>
      <c r="BO513" s="64">
        <f t="shared" ref="BO513:BO519" si="66">IFERROR(1/J513*(X513/H513),"0")</f>
        <v>0.54632867132867136</v>
      </c>
      <c r="BP513" s="64">
        <f t="shared" ref="BP513:BP519" si="67">IFERROR(1/J513*(Y513/H513),"0")</f>
        <v>0.54807692307692313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800</v>
      </c>
      <c r="Y514" s="628">
        <f t="shared" si="63"/>
        <v>802.56000000000006</v>
      </c>
      <c r="Z514" s="36">
        <f>IFERROR(IF(Y514=0,"",ROUNDUP(Y514/H514,0)*0.01196),"")</f>
        <v>1.81792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853.030303030303</v>
      </c>
      <c r="BN514" s="64">
        <f t="shared" si="65"/>
        <v>855.76</v>
      </c>
      <c r="BO514" s="64">
        <f t="shared" si="66"/>
        <v>1.4568764568764567</v>
      </c>
      <c r="BP514" s="64">
        <f t="shared" si="67"/>
        <v>1.4615384615384617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2000</v>
      </c>
      <c r="Y515" s="628">
        <f t="shared" si="63"/>
        <v>2001.1200000000001</v>
      </c>
      <c r="Z515" s="36">
        <f>IFERROR(IF(Y515=0,"",ROUNDUP(Y515/H515,0)*0.01196),"")</f>
        <v>4.5328400000000002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2132.5757575757575</v>
      </c>
      <c r="BN515" s="64">
        <f t="shared" si="65"/>
        <v>2133.77</v>
      </c>
      <c r="BO515" s="64">
        <f t="shared" si="66"/>
        <v>3.6421911421911419</v>
      </c>
      <c r="BP515" s="64">
        <f t="shared" si="67"/>
        <v>3.6442307692307696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587.12121212121201</v>
      </c>
      <c r="Y520" s="629">
        <f>IFERROR(Y513/H513,"0")+IFERROR(Y514/H514,"0")+IFERROR(Y515/H515,"0")+IFERROR(Y516/H516,"0")+IFERROR(Y517/H517,"0")+IFERROR(Y518/H518,"0")+IFERROR(Y519/H519,"0")</f>
        <v>588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7.0324799999999996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3100</v>
      </c>
      <c r="Y521" s="629">
        <f>IFERROR(SUM(Y513:Y519),"0")</f>
        <v>3104.6400000000003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17567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17606.16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18952.315548032213</v>
      </c>
      <c r="Y551" s="629">
        <f>IFERROR(SUM(BN22:BN547),"0")</f>
        <v>18996.022000000001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33</v>
      </c>
      <c r="Y552" s="38">
        <f>ROUNDUP(SUM(BP22:BP547),0)</f>
        <v>33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19777.315548032213</v>
      </c>
      <c r="Y553" s="629">
        <f>GrossWeightTotalR+PalletQtyTotalR*25</f>
        <v>19821.022000000001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3813.3689767023097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3822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40.094720000000002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106.2</v>
      </c>
      <c r="F560" s="46">
        <f>IFERROR(Y88*1,"0")+IFERROR(Y89*1,"0")+IFERROR(Y90*1,"0")+IFERROR(Y91*1,"0")+IFERROR(Y95*1,"0")+IFERROR(Y96*1,"0")+IFERROR(Y97*1,"0")+IFERROR(Y98*1,"0")</f>
        <v>675.90000000000009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1885.8600000000001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298.06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23.560000000000002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801.6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405.59999999999997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415.59999999999997</v>
      </c>
      <c r="U560" s="46">
        <f>IFERROR(Y414*1,"0")+IFERROR(Y415*1,"0")+IFERROR(Y416*1,"0")</f>
        <v>35.700000000000003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900</v>
      </c>
      <c r="W560" s="46">
        <f>IFERROR(Y451*1,"0")+IFERROR(Y452*1,"0")+IFERROR(Y456*1,"0")+IFERROR(Y460*1,"0")+IFERROR(Y461*1,"0")+IFERROR(Y462*1,"0")</f>
        <v>664.8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11393.279999999999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2026-07-29T10:51:45Z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