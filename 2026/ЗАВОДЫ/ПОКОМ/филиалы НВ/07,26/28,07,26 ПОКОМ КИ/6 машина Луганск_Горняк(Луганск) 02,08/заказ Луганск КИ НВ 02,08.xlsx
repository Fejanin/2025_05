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A51B06E8-9E55-441D-8776-6FE36AB3DB3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Y510" i="1" s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Y479" i="1" s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BP469" i="1" s="1"/>
  <c r="P469" i="1"/>
  <c r="BP468" i="1"/>
  <c r="BO468" i="1"/>
  <c r="BN468" i="1"/>
  <c r="BM468" i="1"/>
  <c r="Z468" i="1"/>
  <c r="Y468" i="1"/>
  <c r="P468" i="1"/>
  <c r="X464" i="1"/>
  <c r="X463" i="1"/>
  <c r="BP462" i="1"/>
  <c r="BO462" i="1"/>
  <c r="BN462" i="1"/>
  <c r="BM462" i="1"/>
  <c r="Z462" i="1"/>
  <c r="Y462" i="1"/>
  <c r="P462" i="1"/>
  <c r="BO461" i="1"/>
  <c r="BM461" i="1"/>
  <c r="Y461" i="1"/>
  <c r="Y463" i="1" s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W560" i="1" s="1"/>
  <c r="P451" i="1"/>
  <c r="X448" i="1"/>
  <c r="X447" i="1"/>
  <c r="BO446" i="1"/>
  <c r="BM446" i="1"/>
  <c r="Y446" i="1"/>
  <c r="Y448" i="1" s="1"/>
  <c r="P446" i="1"/>
  <c r="BP445" i="1"/>
  <c r="BO445" i="1"/>
  <c r="BN445" i="1"/>
  <c r="BM445" i="1"/>
  <c r="Z445" i="1"/>
  <c r="Y445" i="1"/>
  <c r="Y447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Y442" i="1" s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Y436" i="1" s="1"/>
  <c r="P434" i="1"/>
  <c r="BP433" i="1"/>
  <c r="BO433" i="1"/>
  <c r="BN433" i="1"/>
  <c r="BM433" i="1"/>
  <c r="Z433" i="1"/>
  <c r="Y433" i="1"/>
  <c r="Y437" i="1" s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BP428" i="1" s="1"/>
  <c r="P428" i="1"/>
  <c r="BP427" i="1"/>
  <c r="BO427" i="1"/>
  <c r="BN427" i="1"/>
  <c r="BM427" i="1"/>
  <c r="Z427" i="1"/>
  <c r="Y427" i="1"/>
  <c r="P427" i="1"/>
  <c r="BO426" i="1"/>
  <c r="BM426" i="1"/>
  <c r="Y426" i="1"/>
  <c r="BP426" i="1" s="1"/>
  <c r="P426" i="1"/>
  <c r="BP425" i="1"/>
  <c r="BO425" i="1"/>
  <c r="BN425" i="1"/>
  <c r="BM425" i="1"/>
  <c r="Z425" i="1"/>
  <c r="Y425" i="1"/>
  <c r="P425" i="1"/>
  <c r="BO424" i="1"/>
  <c r="BM424" i="1"/>
  <c r="Y424" i="1"/>
  <c r="BP424" i="1" s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Y418" i="1" s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Y405" i="1" s="1"/>
  <c r="P401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X392" i="1"/>
  <c r="X391" i="1"/>
  <c r="BP390" i="1"/>
  <c r="BO390" i="1"/>
  <c r="BN390" i="1"/>
  <c r="BM390" i="1"/>
  <c r="Z390" i="1"/>
  <c r="Y390" i="1"/>
  <c r="P390" i="1"/>
  <c r="BO389" i="1"/>
  <c r="BM389" i="1"/>
  <c r="Y389" i="1"/>
  <c r="Y391" i="1" s="1"/>
  <c r="P389" i="1"/>
  <c r="BP388" i="1"/>
  <c r="BO388" i="1"/>
  <c r="BN388" i="1"/>
  <c r="BM388" i="1"/>
  <c r="Z388" i="1"/>
  <c r="Y388" i="1"/>
  <c r="Y392" i="1" s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Y385" i="1" s="1"/>
  <c r="P381" i="1"/>
  <c r="X379" i="1"/>
  <c r="X378" i="1"/>
  <c r="BO377" i="1"/>
  <c r="BM377" i="1"/>
  <c r="Y377" i="1"/>
  <c r="BP377" i="1" s="1"/>
  <c r="P377" i="1"/>
  <c r="BP376" i="1"/>
  <c r="BO376" i="1"/>
  <c r="BN376" i="1"/>
  <c r="BM376" i="1"/>
  <c r="Z376" i="1"/>
  <c r="Y376" i="1"/>
  <c r="P376" i="1"/>
  <c r="BO375" i="1"/>
  <c r="BM375" i="1"/>
  <c r="Y375" i="1"/>
  <c r="BP375" i="1" s="1"/>
  <c r="P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M371" i="1"/>
  <c r="Y371" i="1"/>
  <c r="Y379" i="1" s="1"/>
  <c r="P371" i="1"/>
  <c r="X369" i="1"/>
  <c r="X368" i="1"/>
  <c r="BO367" i="1"/>
  <c r="BM367" i="1"/>
  <c r="Y367" i="1"/>
  <c r="BP367" i="1" s="1"/>
  <c r="P367" i="1"/>
  <c r="BP366" i="1"/>
  <c r="BO366" i="1"/>
  <c r="BN366" i="1"/>
  <c r="BM366" i="1"/>
  <c r="Z366" i="1"/>
  <c r="Y366" i="1"/>
  <c r="P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BO363" i="1"/>
  <c r="BM363" i="1"/>
  <c r="Y363" i="1"/>
  <c r="T560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S560" i="1" s="1"/>
  <c r="P356" i="1"/>
  <c r="X353" i="1"/>
  <c r="X352" i="1"/>
  <c r="BO351" i="1"/>
  <c r="BM351" i="1"/>
  <c r="Y351" i="1"/>
  <c r="Y353" i="1" s="1"/>
  <c r="P351" i="1"/>
  <c r="BP350" i="1"/>
  <c r="BO350" i="1"/>
  <c r="BN350" i="1"/>
  <c r="BM350" i="1"/>
  <c r="Z350" i="1"/>
  <c r="Y350" i="1"/>
  <c r="Y352" i="1" s="1"/>
  <c r="P350" i="1"/>
  <c r="X348" i="1"/>
  <c r="X347" i="1"/>
  <c r="BP346" i="1"/>
  <c r="BO346" i="1"/>
  <c r="BN346" i="1"/>
  <c r="BM346" i="1"/>
  <c r="Z346" i="1"/>
  <c r="Y346" i="1"/>
  <c r="P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Y347" i="1" s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Y338" i="1" s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Y331" i="1" s="1"/>
  <c r="P327" i="1"/>
  <c r="BP326" i="1"/>
  <c r="BO326" i="1"/>
  <c r="BN326" i="1"/>
  <c r="BM326" i="1"/>
  <c r="Z326" i="1"/>
  <c r="Y326" i="1"/>
  <c r="P326" i="1"/>
  <c r="X323" i="1"/>
  <c r="X322" i="1"/>
  <c r="BP321" i="1"/>
  <c r="BO321" i="1"/>
  <c r="BN321" i="1"/>
  <c r="BM321" i="1"/>
  <c r="Z321" i="1"/>
  <c r="Y321" i="1"/>
  <c r="P321" i="1"/>
  <c r="BO320" i="1"/>
  <c r="BM320" i="1"/>
  <c r="Y320" i="1"/>
  <c r="Y322" i="1" s="1"/>
  <c r="P320" i="1"/>
  <c r="BP319" i="1"/>
  <c r="BO319" i="1"/>
  <c r="BN319" i="1"/>
  <c r="BM319" i="1"/>
  <c r="Z319" i="1"/>
  <c r="Y319" i="1"/>
  <c r="Y323" i="1" s="1"/>
  <c r="P319" i="1"/>
  <c r="X317" i="1"/>
  <c r="Y316" i="1"/>
  <c r="X316" i="1"/>
  <c r="BP315" i="1"/>
  <c r="BO315" i="1"/>
  <c r="BN315" i="1"/>
  <c r="BM315" i="1"/>
  <c r="Z315" i="1"/>
  <c r="Z316" i="1" s="1"/>
  <c r="Y315" i="1"/>
  <c r="Y317" i="1" s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BP306" i="1" s="1"/>
  <c r="P306" i="1"/>
  <c r="BP305" i="1"/>
  <c r="BO305" i="1"/>
  <c r="BN305" i="1"/>
  <c r="BM305" i="1"/>
  <c r="Z305" i="1"/>
  <c r="Y305" i="1"/>
  <c r="P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Y308" i="1" s="1"/>
  <c r="P302" i="1"/>
  <c r="BP301" i="1"/>
  <c r="BO301" i="1"/>
  <c r="BN301" i="1"/>
  <c r="BM301" i="1"/>
  <c r="Z301" i="1"/>
  <c r="Y301" i="1"/>
  <c r="P301" i="1"/>
  <c r="X298" i="1"/>
  <c r="X297" i="1"/>
  <c r="BP296" i="1"/>
  <c r="BO296" i="1"/>
  <c r="BN296" i="1"/>
  <c r="BM296" i="1"/>
  <c r="Z296" i="1"/>
  <c r="Y296" i="1"/>
  <c r="P296" i="1"/>
  <c r="BO295" i="1"/>
  <c r="BM295" i="1"/>
  <c r="Y295" i="1"/>
  <c r="Y297" i="1" s="1"/>
  <c r="P295" i="1"/>
  <c r="X293" i="1"/>
  <c r="X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BP289" i="1" s="1"/>
  <c r="P289" i="1"/>
  <c r="BP288" i="1"/>
  <c r="BO288" i="1"/>
  <c r="BN288" i="1"/>
  <c r="BM288" i="1"/>
  <c r="Z288" i="1"/>
  <c r="Y288" i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BP285" i="1" s="1"/>
  <c r="P285" i="1"/>
  <c r="BP284" i="1"/>
  <c r="BO284" i="1"/>
  <c r="BN284" i="1"/>
  <c r="BM284" i="1"/>
  <c r="Z284" i="1"/>
  <c r="Y284" i="1"/>
  <c r="P284" i="1"/>
  <c r="BO283" i="1"/>
  <c r="BM283" i="1"/>
  <c r="Y283" i="1"/>
  <c r="BP283" i="1" s="1"/>
  <c r="P283" i="1"/>
  <c r="BP282" i="1"/>
  <c r="BO282" i="1"/>
  <c r="BN282" i="1"/>
  <c r="BM282" i="1"/>
  <c r="Z282" i="1"/>
  <c r="Y282" i="1"/>
  <c r="P282" i="1"/>
  <c r="BO281" i="1"/>
  <c r="BM281" i="1"/>
  <c r="Y281" i="1"/>
  <c r="BP281" i="1" s="1"/>
  <c r="P281" i="1"/>
  <c r="BP280" i="1"/>
  <c r="BO280" i="1"/>
  <c r="BN280" i="1"/>
  <c r="BM280" i="1"/>
  <c r="Z280" i="1"/>
  <c r="Y280" i="1"/>
  <c r="Y293" i="1" s="1"/>
  <c r="P280" i="1"/>
  <c r="X278" i="1"/>
  <c r="X277" i="1"/>
  <c r="BP276" i="1"/>
  <c r="BO276" i="1"/>
  <c r="BN276" i="1"/>
  <c r="BM276" i="1"/>
  <c r="Z276" i="1"/>
  <c r="Y276" i="1"/>
  <c r="P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Y277" i="1" s="1"/>
  <c r="P269" i="1"/>
  <c r="X267" i="1"/>
  <c r="X266" i="1"/>
  <c r="BO265" i="1"/>
  <c r="BM265" i="1"/>
  <c r="Y265" i="1"/>
  <c r="Y267" i="1" s="1"/>
  <c r="P265" i="1"/>
  <c r="BP264" i="1"/>
  <c r="BO264" i="1"/>
  <c r="BN264" i="1"/>
  <c r="BM264" i="1"/>
  <c r="Z264" i="1"/>
  <c r="Y264" i="1"/>
  <c r="Y266" i="1" s="1"/>
  <c r="P264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X238" i="1"/>
  <c r="X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Y215" i="1" s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X199" i="1"/>
  <c r="BP198" i="1"/>
  <c r="BO198" i="1"/>
  <c r="BN198" i="1"/>
  <c r="BM198" i="1"/>
  <c r="Z198" i="1"/>
  <c r="Y198" i="1"/>
  <c r="P198" i="1"/>
  <c r="BO197" i="1"/>
  <c r="BM197" i="1"/>
  <c r="Y197" i="1"/>
  <c r="Y199" i="1" s="1"/>
  <c r="P197" i="1"/>
  <c r="X195" i="1"/>
  <c r="X194" i="1"/>
  <c r="BO193" i="1"/>
  <c r="BM193" i="1"/>
  <c r="Y193" i="1"/>
  <c r="BP193" i="1" s="1"/>
  <c r="P193" i="1"/>
  <c r="BP192" i="1"/>
  <c r="BO192" i="1"/>
  <c r="BN192" i="1"/>
  <c r="BM192" i="1"/>
  <c r="Z192" i="1"/>
  <c r="Y192" i="1"/>
  <c r="P192" i="1"/>
  <c r="BO191" i="1"/>
  <c r="BM191" i="1"/>
  <c r="Y191" i="1"/>
  <c r="Y195" i="1" s="1"/>
  <c r="P191" i="1"/>
  <c r="X189" i="1"/>
  <c r="X188" i="1"/>
  <c r="BO187" i="1"/>
  <c r="BM187" i="1"/>
  <c r="Y187" i="1"/>
  <c r="BP187" i="1" s="1"/>
  <c r="P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Y189" i="1" s="1"/>
  <c r="P177" i="1"/>
  <c r="X175" i="1"/>
  <c r="X174" i="1"/>
  <c r="BO173" i="1"/>
  <c r="BM173" i="1"/>
  <c r="Y173" i="1"/>
  <c r="Y175" i="1" s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J560" i="1" s="1"/>
  <c r="P166" i="1"/>
  <c r="X163" i="1"/>
  <c r="X162" i="1"/>
  <c r="BO161" i="1"/>
  <c r="BM161" i="1"/>
  <c r="Y161" i="1"/>
  <c r="Y163" i="1" s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Y159" i="1" s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50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Y144" i="1" s="1"/>
  <c r="P140" i="1"/>
  <c r="BP139" i="1"/>
  <c r="BO139" i="1"/>
  <c r="BN139" i="1"/>
  <c r="BM139" i="1"/>
  <c r="Z139" i="1"/>
  <c r="Y139" i="1"/>
  <c r="Y143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BP134" i="1" s="1"/>
  <c r="P134" i="1"/>
  <c r="BP133" i="1"/>
  <c r="BO133" i="1"/>
  <c r="BN133" i="1"/>
  <c r="BM133" i="1"/>
  <c r="Z133" i="1"/>
  <c r="Y133" i="1"/>
  <c r="P133" i="1"/>
  <c r="BO132" i="1"/>
  <c r="BM132" i="1"/>
  <c r="Y132" i="1"/>
  <c r="H560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Y125" i="1" s="1"/>
  <c r="P121" i="1"/>
  <c r="BP120" i="1"/>
  <c r="BO120" i="1"/>
  <c r="BN120" i="1"/>
  <c r="BM120" i="1"/>
  <c r="Z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60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Y100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60" i="1" s="1"/>
  <c r="P88" i="1"/>
  <c r="X85" i="1"/>
  <c r="X84" i="1"/>
  <c r="BO83" i="1"/>
  <c r="BM83" i="1"/>
  <c r="Y83" i="1"/>
  <c r="Y85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5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60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6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Y46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550" i="1" s="1"/>
  <c r="X24" i="1"/>
  <c r="BP23" i="1"/>
  <c r="BO23" i="1"/>
  <c r="BN23" i="1"/>
  <c r="BM23" i="1"/>
  <c r="Z23" i="1"/>
  <c r="Y23" i="1"/>
  <c r="P23" i="1"/>
  <c r="BO22" i="1"/>
  <c r="X552" i="1" s="1"/>
  <c r="BM22" i="1"/>
  <c r="X551" i="1" s="1"/>
  <c r="X553" i="1" s="1"/>
  <c r="Y22" i="1"/>
  <c r="B560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X554" i="1"/>
  <c r="Y25" i="1"/>
  <c r="Z28" i="1"/>
  <c r="Z32" i="1" s="1"/>
  <c r="BN28" i="1"/>
  <c r="BP28" i="1"/>
  <c r="Z30" i="1"/>
  <c r="BN30" i="1"/>
  <c r="C560" i="1"/>
  <c r="Z42" i="1"/>
  <c r="Z46" i="1" s="1"/>
  <c r="BN42" i="1"/>
  <c r="BP42" i="1"/>
  <c r="Z44" i="1"/>
  <c r="BN44" i="1"/>
  <c r="Y47" i="1"/>
  <c r="D560" i="1"/>
  <c r="Z52" i="1"/>
  <c r="Z55" i="1" s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Z96" i="1"/>
  <c r="Z99" i="1" s="1"/>
  <c r="BN96" i="1"/>
  <c r="BP96" i="1"/>
  <c r="Z98" i="1"/>
  <c r="BN98" i="1"/>
  <c r="Z103" i="1"/>
  <c r="Z109" i="1" s="1"/>
  <c r="BN103" i="1"/>
  <c r="BP103" i="1"/>
  <c r="Z105" i="1"/>
  <c r="BN105" i="1"/>
  <c r="Z107" i="1"/>
  <c r="BN107" i="1"/>
  <c r="Y110" i="1"/>
  <c r="Z113" i="1"/>
  <c r="Z117" i="1" s="1"/>
  <c r="BN113" i="1"/>
  <c r="BP113" i="1"/>
  <c r="Z115" i="1"/>
  <c r="BN115" i="1"/>
  <c r="Z121" i="1"/>
  <c r="Z124" i="1" s="1"/>
  <c r="BN121" i="1"/>
  <c r="BP121" i="1"/>
  <c r="Z123" i="1"/>
  <c r="BN123" i="1"/>
  <c r="Z127" i="1"/>
  <c r="Z128" i="1" s="1"/>
  <c r="BN127" i="1"/>
  <c r="BP127" i="1"/>
  <c r="Y128" i="1"/>
  <c r="Z132" i="1"/>
  <c r="Z136" i="1" s="1"/>
  <c r="BN132" i="1"/>
  <c r="BP132" i="1"/>
  <c r="Z134" i="1"/>
  <c r="BN134" i="1"/>
  <c r="Y137" i="1"/>
  <c r="Z140" i="1"/>
  <c r="Z143" i="1" s="1"/>
  <c r="BN140" i="1"/>
  <c r="BP140" i="1"/>
  <c r="Z142" i="1"/>
  <c r="BN142" i="1"/>
  <c r="Z146" i="1"/>
  <c r="BN146" i="1"/>
  <c r="BP146" i="1"/>
  <c r="Z148" i="1"/>
  <c r="BN148" i="1"/>
  <c r="Y151" i="1"/>
  <c r="I560" i="1"/>
  <c r="Z155" i="1"/>
  <c r="Z158" i="1" s="1"/>
  <c r="BN155" i="1"/>
  <c r="BP155" i="1"/>
  <c r="Z157" i="1"/>
  <c r="BN157" i="1"/>
  <c r="Y158" i="1"/>
  <c r="Z161" i="1"/>
  <c r="Z162" i="1" s="1"/>
  <c r="BN161" i="1"/>
  <c r="BP161" i="1"/>
  <c r="Y162" i="1"/>
  <c r="Z166" i="1"/>
  <c r="Z169" i="1" s="1"/>
  <c r="BN166" i="1"/>
  <c r="BP166" i="1"/>
  <c r="Z168" i="1"/>
  <c r="BN168" i="1"/>
  <c r="Y169" i="1"/>
  <c r="Z173" i="1"/>
  <c r="Z174" i="1" s="1"/>
  <c r="BN173" i="1"/>
  <c r="BP173" i="1"/>
  <c r="Z177" i="1"/>
  <c r="BN177" i="1"/>
  <c r="BP177" i="1"/>
  <c r="Z179" i="1"/>
  <c r="BN179" i="1"/>
  <c r="Z181" i="1"/>
  <c r="BN181" i="1"/>
  <c r="Z183" i="1"/>
  <c r="BN183" i="1"/>
  <c r="Z185" i="1"/>
  <c r="BN185" i="1"/>
  <c r="Z187" i="1"/>
  <c r="BN187" i="1"/>
  <c r="Y188" i="1"/>
  <c r="Z191" i="1"/>
  <c r="BN191" i="1"/>
  <c r="BP191" i="1"/>
  <c r="Z193" i="1"/>
  <c r="BN193" i="1"/>
  <c r="Y194" i="1"/>
  <c r="Z197" i="1"/>
  <c r="Z199" i="1" s="1"/>
  <c r="BN197" i="1"/>
  <c r="BP197" i="1"/>
  <c r="Y200" i="1"/>
  <c r="K560" i="1"/>
  <c r="Z209" i="1"/>
  <c r="Z215" i="1" s="1"/>
  <c r="BN209" i="1"/>
  <c r="BP209" i="1"/>
  <c r="Z211" i="1"/>
  <c r="BN211" i="1"/>
  <c r="Z213" i="1"/>
  <c r="BN213" i="1"/>
  <c r="Y216" i="1"/>
  <c r="L560" i="1"/>
  <c r="Y221" i="1"/>
  <c r="Y237" i="1"/>
  <c r="Z224" i="1"/>
  <c r="Z237" i="1" s="1"/>
  <c r="BN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Y238" i="1"/>
  <c r="Y245" i="1"/>
  <c r="BP240" i="1"/>
  <c r="BN240" i="1"/>
  <c r="Z240" i="1"/>
  <c r="BP244" i="1"/>
  <c r="BN244" i="1"/>
  <c r="Z244" i="1"/>
  <c r="Y246" i="1"/>
  <c r="Y251" i="1"/>
  <c r="BP248" i="1"/>
  <c r="BN248" i="1"/>
  <c r="Z248" i="1"/>
  <c r="H9" i="1"/>
  <c r="Y24" i="1"/>
  <c r="Y67" i="1"/>
  <c r="Y92" i="1"/>
  <c r="Y109" i="1"/>
  <c r="Y136" i="1"/>
  <c r="Y170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Z266" i="1"/>
  <c r="Z265" i="1"/>
  <c r="BN265" i="1"/>
  <c r="BP265" i="1"/>
  <c r="Z269" i="1"/>
  <c r="Z277" i="1" s="1"/>
  <c r="BN269" i="1"/>
  <c r="BP269" i="1"/>
  <c r="Z271" i="1"/>
  <c r="BN271" i="1"/>
  <c r="Z273" i="1"/>
  <c r="BN273" i="1"/>
  <c r="Z275" i="1"/>
  <c r="BN275" i="1"/>
  <c r="Y278" i="1"/>
  <c r="Z281" i="1"/>
  <c r="Z292" i="1" s="1"/>
  <c r="BN281" i="1"/>
  <c r="Z283" i="1"/>
  <c r="BN283" i="1"/>
  <c r="Z285" i="1"/>
  <c r="BN285" i="1"/>
  <c r="Z287" i="1"/>
  <c r="BN287" i="1"/>
  <c r="Z289" i="1"/>
  <c r="BN289" i="1"/>
  <c r="Z291" i="1"/>
  <c r="BN291" i="1"/>
  <c r="Y292" i="1"/>
  <c r="Z295" i="1"/>
  <c r="Z297" i="1" s="1"/>
  <c r="BN295" i="1"/>
  <c r="BP295" i="1"/>
  <c r="Y298" i="1"/>
  <c r="O560" i="1"/>
  <c r="Z302" i="1"/>
  <c r="Z308" i="1" s="1"/>
  <c r="BN302" i="1"/>
  <c r="BP302" i="1"/>
  <c r="Z304" i="1"/>
  <c r="BN304" i="1"/>
  <c r="Z306" i="1"/>
  <c r="BN306" i="1"/>
  <c r="Y309" i="1"/>
  <c r="Z320" i="1"/>
  <c r="Z322" i="1" s="1"/>
  <c r="BN320" i="1"/>
  <c r="BP320" i="1"/>
  <c r="P560" i="1"/>
  <c r="Z327" i="1"/>
  <c r="Z331" i="1" s="1"/>
  <c r="BN327" i="1"/>
  <c r="BP327" i="1"/>
  <c r="Z329" i="1"/>
  <c r="BN329" i="1"/>
  <c r="Y332" i="1"/>
  <c r="Q560" i="1"/>
  <c r="Z336" i="1"/>
  <c r="Z338" i="1" s="1"/>
  <c r="BN336" i="1"/>
  <c r="BP336" i="1"/>
  <c r="Y339" i="1"/>
  <c r="R560" i="1"/>
  <c r="Z343" i="1"/>
  <c r="Z347" i="1" s="1"/>
  <c r="BN343" i="1"/>
  <c r="BP343" i="1"/>
  <c r="Z345" i="1"/>
  <c r="BN345" i="1"/>
  <c r="Y348" i="1"/>
  <c r="Z351" i="1"/>
  <c r="Z352" i="1" s="1"/>
  <c r="BN351" i="1"/>
  <c r="BP351" i="1"/>
  <c r="Z356" i="1"/>
  <c r="BN356" i="1"/>
  <c r="BP356" i="1"/>
  <c r="Z358" i="1"/>
  <c r="BN358" i="1"/>
  <c r="Y359" i="1"/>
  <c r="Z363" i="1"/>
  <c r="BN363" i="1"/>
  <c r="BP363" i="1"/>
  <c r="Z365" i="1"/>
  <c r="BN365" i="1"/>
  <c r="Z367" i="1"/>
  <c r="BN367" i="1"/>
  <c r="Y368" i="1"/>
  <c r="Z371" i="1"/>
  <c r="BN371" i="1"/>
  <c r="BP371" i="1"/>
  <c r="Z373" i="1"/>
  <c r="BN373" i="1"/>
  <c r="Z375" i="1"/>
  <c r="BN375" i="1"/>
  <c r="Z377" i="1"/>
  <c r="BN377" i="1"/>
  <c r="Y378" i="1"/>
  <c r="Z381" i="1"/>
  <c r="BN381" i="1"/>
  <c r="BP381" i="1"/>
  <c r="Z383" i="1"/>
  <c r="BN383" i="1"/>
  <c r="Y386" i="1"/>
  <c r="Z389" i="1"/>
  <c r="Z391" i="1" s="1"/>
  <c r="BN389" i="1"/>
  <c r="BP389" i="1"/>
  <c r="Y398" i="1"/>
  <c r="Z395" i="1"/>
  <c r="Z398" i="1" s="1"/>
  <c r="BN395" i="1"/>
  <c r="BP403" i="1"/>
  <c r="BN403" i="1"/>
  <c r="Z403" i="1"/>
  <c r="Y410" i="1"/>
  <c r="BP407" i="1"/>
  <c r="BN407" i="1"/>
  <c r="Z407" i="1"/>
  <c r="BP416" i="1"/>
  <c r="BN416" i="1"/>
  <c r="Z416" i="1"/>
  <c r="V560" i="1"/>
  <c r="Y430" i="1"/>
  <c r="Y431" i="1"/>
  <c r="BP422" i="1"/>
  <c r="BN422" i="1"/>
  <c r="Z422" i="1"/>
  <c r="Y360" i="1"/>
  <c r="Y369" i="1"/>
  <c r="BP397" i="1"/>
  <c r="BN397" i="1"/>
  <c r="Z397" i="1"/>
  <c r="Y399" i="1"/>
  <c r="Y404" i="1"/>
  <c r="BP401" i="1"/>
  <c r="BN401" i="1"/>
  <c r="Z401" i="1"/>
  <c r="Z404" i="1" s="1"/>
  <c r="BP409" i="1"/>
  <c r="BN409" i="1"/>
  <c r="Z409" i="1"/>
  <c r="Y411" i="1"/>
  <c r="U560" i="1"/>
  <c r="Y417" i="1"/>
  <c r="BP414" i="1"/>
  <c r="BN414" i="1"/>
  <c r="Z414" i="1"/>
  <c r="Z424" i="1"/>
  <c r="BN424" i="1"/>
  <c r="Z426" i="1"/>
  <c r="BN426" i="1"/>
  <c r="Z428" i="1"/>
  <c r="BN428" i="1"/>
  <c r="Z434" i="1"/>
  <c r="Z436" i="1" s="1"/>
  <c r="BN434" i="1"/>
  <c r="BP434" i="1"/>
  <c r="Z440" i="1"/>
  <c r="Z442" i="1" s="1"/>
  <c r="BN440" i="1"/>
  <c r="BP440" i="1"/>
  <c r="Z446" i="1"/>
  <c r="Z447" i="1" s="1"/>
  <c r="BN446" i="1"/>
  <c r="BP446" i="1"/>
  <c r="Z451" i="1"/>
  <c r="Z453" i="1" s="1"/>
  <c r="BN451" i="1"/>
  <c r="BP451" i="1"/>
  <c r="Y454" i="1"/>
  <c r="Z461" i="1"/>
  <c r="Z463" i="1" s="1"/>
  <c r="BN461" i="1"/>
  <c r="BP461" i="1"/>
  <c r="X560" i="1"/>
  <c r="Y474" i="1"/>
  <c r="Z469" i="1"/>
  <c r="Z474" i="1" s="1"/>
  <c r="BN469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Z520" i="1" s="1"/>
  <c r="BP518" i="1"/>
  <c r="BN518" i="1"/>
  <c r="Z518" i="1"/>
  <c r="Y543" i="1"/>
  <c r="Y560" i="1"/>
  <c r="Y453" i="1"/>
  <c r="BP473" i="1"/>
  <c r="BN473" i="1"/>
  <c r="Z473" i="1"/>
  <c r="Y475" i="1"/>
  <c r="Y480" i="1"/>
  <c r="BP477" i="1"/>
  <c r="BN477" i="1"/>
  <c r="Z477" i="1"/>
  <c r="Z479" i="1" s="1"/>
  <c r="BP496" i="1"/>
  <c r="BN496" i="1"/>
  <c r="Z496" i="1"/>
  <c r="Z504" i="1" s="1"/>
  <c r="BP500" i="1"/>
  <c r="BN500" i="1"/>
  <c r="Z500" i="1"/>
  <c r="Y504" i="1"/>
  <c r="BP508" i="1"/>
  <c r="BN508" i="1"/>
  <c r="Z508" i="1"/>
  <c r="Z510" i="1" s="1"/>
  <c r="BP516" i="1"/>
  <c r="BN516" i="1"/>
  <c r="Z516" i="1"/>
  <c r="Y520" i="1"/>
  <c r="BP542" i="1"/>
  <c r="BN542" i="1"/>
  <c r="Z542" i="1"/>
  <c r="Z543" i="1" s="1"/>
  <c r="Y544" i="1"/>
  <c r="AB560" i="1"/>
  <c r="Y548" i="1"/>
  <c r="BP547" i="1"/>
  <c r="BN547" i="1"/>
  <c r="Z547" i="1"/>
  <c r="Z548" i="1" s="1"/>
  <c r="Y549" i="1"/>
  <c r="AA560" i="1"/>
  <c r="Y505" i="1"/>
  <c r="Z430" i="1" l="1"/>
  <c r="Y554" i="1"/>
  <c r="Y551" i="1"/>
  <c r="Z417" i="1"/>
  <c r="Z410" i="1"/>
  <c r="Z385" i="1"/>
  <c r="Z378" i="1"/>
  <c r="Z368" i="1"/>
  <c r="Z359" i="1"/>
  <c r="Z251" i="1"/>
  <c r="Z245" i="1"/>
  <c r="Z194" i="1"/>
  <c r="Z188" i="1"/>
  <c r="Z150" i="1"/>
  <c r="Z92" i="1"/>
  <c r="Z67" i="1"/>
  <c r="Y550" i="1"/>
  <c r="Y552" i="1"/>
  <c r="Z555" i="1"/>
  <c r="Y553" i="1" l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<sst xmlns="http://schemas.openxmlformats.org/spreadsheetml/2006/main" count="2500" uniqueCount="907">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</sst>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7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1700</v>
      </c>
      <c r="Y51" s="628">
        <f>IFERROR(IF(X51="",0,CEILING((X51/$H51),1)*$H51),"")</f>
        <v>1706.4</v>
      </c>
      <c r="Z51" s="36">
        <f>IFERROR(IF(Y51=0,"",ROUNDUP(Y51/H51,0)*0.01898),"")</f>
        <v>2.99884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1764.537037037037</v>
      </c>
      <c r="BN51" s="64">
        <f>IFERROR(Y51*I51/H51,"0")</f>
        <v>1771.18</v>
      </c>
      <c r="BO51" s="64">
        <f>IFERROR(1/J51*(X51/H51),"0")</f>
        <v>2.4594907407407405</v>
      </c>
      <c r="BP51" s="64">
        <f>IFERROR(1/J51*(Y51/H51),"0")</f>
        <v>2.46875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157.40740740740739</v>
      </c>
      <c r="Y55" s="629">
        <f>IFERROR(Y51/H51,"0")+IFERROR(Y52/H52,"0")+IFERROR(Y53/H53,"0")+IFERROR(Y54/H54,"0")</f>
        <v>158</v>
      </c>
      <c r="Z55" s="629">
        <f>IFERROR(IF(Z51="",0,Z51),"0")+IFERROR(IF(Z52="",0,Z52),"0")+IFERROR(IF(Z53="",0,Z53),"0")+IFERROR(IF(Z54="",0,Z54),"0")</f>
        <v>2.99884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1700</v>
      </c>
      <c r="Y56" s="629">
        <f>IFERROR(SUM(Y51:Y54),"0")</f>
        <v>1706.4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350</v>
      </c>
      <c r="Y61" s="628">
        <f t="shared" si="0"/>
        <v>356.40000000000003</v>
      </c>
      <c r="Z61" s="36">
        <f>IFERROR(IF(Y61=0,"",ROUNDUP(Y61/H61,0)*0.01898),"")</f>
        <v>0.62634000000000001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363.28703703703707</v>
      </c>
      <c r="BN61" s="64">
        <f t="shared" si="2"/>
        <v>369.93</v>
      </c>
      <c r="BO61" s="64">
        <f t="shared" si="3"/>
        <v>0.5063657407407407</v>
      </c>
      <c r="BP61" s="64">
        <f t="shared" si="4"/>
        <v>0.515625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32.407407407407405</v>
      </c>
      <c r="Y67" s="629">
        <f>IFERROR(Y59/H59,"0")+IFERROR(Y60/H60,"0")+IFERROR(Y61/H61,"0")+IFERROR(Y62/H62,"0")+IFERROR(Y63/H63,"0")+IFERROR(Y64/H64,"0")+IFERROR(Y65/H65,"0")+IFERROR(Y66/H66,"0")</f>
        <v>33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0.62634000000000001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350</v>
      </c>
      <c r="Y68" s="629">
        <f>IFERROR(SUM(Y59:Y66),"0")</f>
        <v>356.40000000000003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250</v>
      </c>
      <c r="Y88" s="628">
        <f>IFERROR(IF(X88="",0,CEILING((X88/$H88),1)*$H88),"")</f>
        <v>259.20000000000005</v>
      </c>
      <c r="Z88" s="36">
        <f>IFERROR(IF(Y88=0,"",ROUNDUP(Y88/H88,0)*0.01898),"")</f>
        <v>0.45552000000000004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259.4907407407407</v>
      </c>
      <c r="BN88" s="64">
        <f>IFERROR(Y88*I88/H88,"0")</f>
        <v>269.04000000000002</v>
      </c>
      <c r="BO88" s="64">
        <f>IFERROR(1/J88*(X88/H88),"0")</f>
        <v>0.36168981481481477</v>
      </c>
      <c r="BP88" s="64">
        <f>IFERROR(1/J88*(Y88/H88),"0")</f>
        <v>0.37500000000000006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158</v>
      </c>
      <c r="Y91" s="628">
        <f>IFERROR(IF(X91="",0,CEILING((X91/$H91),1)*$H91),"")</f>
        <v>162</v>
      </c>
      <c r="Z91" s="36">
        <f>IFERROR(IF(Y91=0,"",ROUNDUP(Y91/H91,0)*0.00902),"")</f>
        <v>0.32472000000000001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164.67111111111114</v>
      </c>
      <c r="BN91" s="64">
        <f>IFERROR(Y91*I91/H91,"0")</f>
        <v>168.84000000000003</v>
      </c>
      <c r="BO91" s="64">
        <f>IFERROR(1/J91*(X91/H91),"0")</f>
        <v>0.265993265993266</v>
      </c>
      <c r="BP91" s="64">
        <f>IFERROR(1/J91*(Y91/H91),"0")</f>
        <v>0.27272727272727271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58.25925925925926</v>
      </c>
      <c r="Y92" s="629">
        <f>IFERROR(Y88/H88,"0")+IFERROR(Y89/H89,"0")+IFERROR(Y90/H90,"0")+IFERROR(Y91/H91,"0")</f>
        <v>60</v>
      </c>
      <c r="Z92" s="629">
        <f>IFERROR(IF(Z88="",0,Z88),"0")+IFERROR(IF(Z89="",0,Z89),"0")+IFERROR(IF(Z90="",0,Z90),"0")+IFERROR(IF(Z91="",0,Z91),"0")</f>
        <v>0.78024000000000004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408</v>
      </c>
      <c r="Y93" s="629">
        <f>IFERROR(SUM(Y88:Y91),"0")</f>
        <v>421.20000000000005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158</v>
      </c>
      <c r="Y97" s="628">
        <f>IFERROR(IF(X97="",0,CEILING((X97/$H97),1)*$H97),"")</f>
        <v>159.30000000000001</v>
      </c>
      <c r="Z97" s="36">
        <f>IFERROR(IF(Y97=0,"",ROUNDUP(Y97/H97,0)*0.00651),"")</f>
        <v>0.38408999999999999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172.74666666666664</v>
      </c>
      <c r="BN97" s="64">
        <f>IFERROR(Y97*I97/H97,"0")</f>
        <v>174.16799999999998</v>
      </c>
      <c r="BO97" s="64">
        <f>IFERROR(1/J97*(X97/H97),"0")</f>
        <v>0.32153032153032152</v>
      </c>
      <c r="BP97" s="64">
        <f>IFERROR(1/J97*(Y97/H97),"0")</f>
        <v>0.32417582417582419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58.518518518518512</v>
      </c>
      <c r="Y99" s="629">
        <f>IFERROR(Y95/H95,"0")+IFERROR(Y96/H96,"0")+IFERROR(Y97/H97,"0")+IFERROR(Y98/H98,"0")</f>
        <v>59</v>
      </c>
      <c r="Z99" s="629">
        <f>IFERROR(IF(Z95="",0,Z95),"0")+IFERROR(IF(Z96="",0,Z96),"0")+IFERROR(IF(Z97="",0,Z97),"0")+IFERROR(IF(Z98="",0,Z98),"0")</f>
        <v>0.38408999999999999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158</v>
      </c>
      <c r="Y100" s="629">
        <f>IFERROR(SUM(Y95:Y98),"0")</f>
        <v>159.30000000000001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400</v>
      </c>
      <c r="Y103" s="628">
        <f t="shared" ref="Y103:Y108" si="5">IFERROR(IF(X103="",0,CEILING((X103/$H103),1)*$H103),"")</f>
        <v>410.40000000000003</v>
      </c>
      <c r="Z103" s="36">
        <f>IFERROR(IF(Y103=0,"",ROUNDUP(Y103/H103,0)*0.01898),"")</f>
        <v>0.72123999999999999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415.18518518518516</v>
      </c>
      <c r="BN103" s="64">
        <f t="shared" ref="BN103:BN108" si="7">IFERROR(Y103*I103/H103,"0")</f>
        <v>425.98</v>
      </c>
      <c r="BO103" s="64">
        <f t="shared" ref="BO103:BO108" si="8">IFERROR(1/J103*(X103/H103),"0")</f>
        <v>0.57870370370370372</v>
      </c>
      <c r="BP103" s="64">
        <f t="shared" ref="BP103:BP108" si="9">IFERROR(1/J103*(Y103/H103),"0")</f>
        <v>0.59375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37.037037037037038</v>
      </c>
      <c r="Y109" s="629">
        <f>IFERROR(Y103/H103,"0")+IFERROR(Y104/H104,"0")+IFERROR(Y105/H105,"0")+IFERROR(Y106/H106,"0")+IFERROR(Y107/H107,"0")+IFERROR(Y108/H108,"0")</f>
        <v>38</v>
      </c>
      <c r="Z109" s="629">
        <f>IFERROR(IF(Z103="",0,Z103),"0")+IFERROR(IF(Z104="",0,Z104),"0")+IFERROR(IF(Z105="",0,Z105),"0")+IFERROR(IF(Z106="",0,Z106),"0")+IFERROR(IF(Z107="",0,Z107),"0")+IFERROR(IF(Z108="",0,Z108),"0")</f>
        <v>0.72123999999999999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400</v>
      </c>
      <c r="Y110" s="629">
        <f>IFERROR(SUM(Y103:Y108),"0")</f>
        <v>410.40000000000003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306</v>
      </c>
      <c r="Y122" s="628">
        <f>IFERROR(IF(X122="",0,CEILING((X122/$H122),1)*$H122),"")</f>
        <v>307.8</v>
      </c>
      <c r="Z122" s="36">
        <f>IFERROR(IF(Y122=0,"",ROUNDUP(Y122/H122,0)*0.00651),"")</f>
        <v>0.74214000000000002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334.56</v>
      </c>
      <c r="BN122" s="64">
        <f>IFERROR(Y122*I122/H122,"0")</f>
        <v>336.52800000000002</v>
      </c>
      <c r="BO122" s="64">
        <f>IFERROR(1/J122*(X122/H122),"0")</f>
        <v>0.62271062271062272</v>
      </c>
      <c r="BP122" s="64">
        <f>IFERROR(1/J122*(Y122/H122),"0")</f>
        <v>0.62637362637362637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113.33333333333333</v>
      </c>
      <c r="Y124" s="629">
        <f>IFERROR(Y120/H120,"0")+IFERROR(Y121/H121,"0")+IFERROR(Y122/H122,"0")+IFERROR(Y123/H123,"0")</f>
        <v>114</v>
      </c>
      <c r="Z124" s="629">
        <f>IFERROR(IF(Z120="",0,Z120),"0")+IFERROR(IF(Z121="",0,Z121),"0")+IFERROR(IF(Z122="",0,Z122),"0")+IFERROR(IF(Z123="",0,Z123),"0")</f>
        <v>0.74214000000000002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306</v>
      </c>
      <c r="Y125" s="629">
        <f>IFERROR(SUM(Y120:Y123),"0")</f>
        <v>307.8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0</v>
      </c>
      <c r="Y238" s="629">
        <f>IFERROR(SUM(Y223:Y236),"0")</f>
        <v>0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400</v>
      </c>
      <c r="Y271" s="628">
        <f t="shared" si="27"/>
        <v>405</v>
      </c>
      <c r="Z271" s="36">
        <f>IFERROR(IF(Y271=0,"",ROUNDUP(Y271/H271,0)*0.00902),"")</f>
        <v>0.67649999999999999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414.07407407407402</v>
      </c>
      <c r="BN271" s="64">
        <f t="shared" si="29"/>
        <v>419.24999999999994</v>
      </c>
      <c r="BO271" s="64">
        <f t="shared" si="30"/>
        <v>0.5611672278338945</v>
      </c>
      <c r="BP271" s="64">
        <f t="shared" si="31"/>
        <v>0.56818181818181823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74.074074074074076</v>
      </c>
      <c r="Y277" s="629">
        <f>IFERROR(Y269/H269,"0")+IFERROR(Y270/H270,"0")+IFERROR(Y271/H271,"0")+IFERROR(Y272/H272,"0")+IFERROR(Y273/H273,"0")+IFERROR(Y274/H274,"0")+IFERROR(Y275/H275,"0")+IFERROR(Y276/H276,"0")</f>
        <v>75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0.67649999999999999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400</v>
      </c>
      <c r="Y278" s="629">
        <f>IFERROR(SUM(Y269:Y276),"0")</f>
        <v>405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60</v>
      </c>
      <c r="Y283" s="628">
        <f t="shared" si="32"/>
        <v>60</v>
      </c>
      <c r="Z283" s="36">
        <f>IFERROR(IF(Y283=0,"",ROUNDUP(Y283/H283,0)*0.00651),"")</f>
        <v>0.16275000000000001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66.75</v>
      </c>
      <c r="BN283" s="64">
        <f t="shared" si="34"/>
        <v>66.75</v>
      </c>
      <c r="BO283" s="64">
        <f t="shared" si="35"/>
        <v>0.13736263736263737</v>
      </c>
      <c r="BP283" s="64">
        <f t="shared" si="36"/>
        <v>0.13736263736263737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200</v>
      </c>
      <c r="Y288" s="628">
        <f t="shared" si="32"/>
        <v>201.6</v>
      </c>
      <c r="Z288" s="36">
        <f>IFERROR(IF(Y288=0,"",ROUNDUP(Y288/H288,0)*0.00651),"")</f>
        <v>0.54683999999999999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221</v>
      </c>
      <c r="BN288" s="64">
        <f t="shared" si="34"/>
        <v>222.768</v>
      </c>
      <c r="BO288" s="64">
        <f t="shared" si="35"/>
        <v>0.45787545787545797</v>
      </c>
      <c r="BP288" s="64">
        <f t="shared" si="36"/>
        <v>0.46153846153846156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80</v>
      </c>
      <c r="Y290" s="628">
        <f t="shared" si="32"/>
        <v>81.599999999999994</v>
      </c>
      <c r="Z290" s="36">
        <f>IFERROR(IF(Y290=0,"",ROUNDUP(Y290/H290,0)*0.00651),"")</f>
        <v>0.22134000000000001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88.6</v>
      </c>
      <c r="BN290" s="64">
        <f t="shared" si="34"/>
        <v>90.371999999999986</v>
      </c>
      <c r="BO290" s="64">
        <f t="shared" si="35"/>
        <v>0.18315018315018317</v>
      </c>
      <c r="BP290" s="64">
        <f t="shared" si="36"/>
        <v>0.18681318681318682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141.66666666666669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143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0.93092999999999992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340</v>
      </c>
      <c r="Y293" s="629">
        <f>IFERROR(SUM(Y280:Y291),"0")</f>
        <v>343.20000000000005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500</v>
      </c>
      <c r="Y423" s="628">
        <f t="shared" si="47"/>
        <v>510</v>
      </c>
      <c r="Z423" s="36">
        <f>IFERROR(IF(Y423=0,"",ROUNDUP(Y423/H423,0)*0.02175),"")</f>
        <v>0.73949999999999994</v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515.66666666666663</v>
      </c>
      <c r="BN423" s="64">
        <f t="shared" si="49"/>
        <v>525.98</v>
      </c>
      <c r="BO423" s="64">
        <f t="shared" si="50"/>
        <v>0.69444444444444442</v>
      </c>
      <c r="BP423" s="64">
        <f t="shared" si="51"/>
        <v>0.70833333333333326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1900</v>
      </c>
      <c r="Y424" s="628">
        <f t="shared" si="47"/>
        <v>1905</v>
      </c>
      <c r="Z424" s="36">
        <f>IFERROR(IF(Y424=0,"",ROUNDUP(Y424/H424,0)*0.02175),"")</f>
        <v>2.7622499999999999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1959.5333333333333</v>
      </c>
      <c r="BN424" s="64">
        <f t="shared" si="49"/>
        <v>1964.69</v>
      </c>
      <c r="BO424" s="64">
        <f t="shared" si="50"/>
        <v>2.6388888888888888</v>
      </c>
      <c r="BP424" s="64">
        <f t="shared" si="51"/>
        <v>2.645833333333333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600</v>
      </c>
      <c r="Y426" s="628">
        <f t="shared" si="47"/>
        <v>600</v>
      </c>
      <c r="Z426" s="36">
        <f>IFERROR(IF(Y426=0,"",ROUNDUP(Y426/H426,0)*0.02175),"")</f>
        <v>0.86999999999999988</v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618.79999999999995</v>
      </c>
      <c r="BN426" s="64">
        <f t="shared" si="49"/>
        <v>618.79999999999995</v>
      </c>
      <c r="BO426" s="64">
        <f t="shared" si="50"/>
        <v>0.83333333333333326</v>
      </c>
      <c r="BP426" s="64">
        <f t="shared" si="51"/>
        <v>0.83333333333333326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200</v>
      </c>
      <c r="Y430" s="629">
        <f>IFERROR(Y422/H422,"0")+IFERROR(Y423/H423,"0")+IFERROR(Y424/H424,"0")+IFERROR(Y425/H425,"0")+IFERROR(Y426/H426,"0")+IFERROR(Y427/H427,"0")+IFERROR(Y428/H428,"0")+IFERROR(Y429/H429,"0")</f>
        <v>201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4.3717499999999996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3000</v>
      </c>
      <c r="Y431" s="629">
        <f>IFERROR(SUM(Y422:Y429),"0")</f>
        <v>3015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0</v>
      </c>
      <c r="Y463" s="629">
        <f>IFERROR(Y460/H460,"0")+IFERROR(Y461/H461,"0")+IFERROR(Y462/H462,"0")</f>
        <v>0</v>
      </c>
      <c r="Z463" s="629">
        <f>IFERROR(IF(Z460="",0,Z460),"0")+IFERROR(IF(Z461="",0,Z461),"0")+IFERROR(IF(Z462="",0,Z462),"0")</f>
        <v>0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0</v>
      </c>
      <c r="Y464" s="629">
        <f>IFERROR(SUM(Y460:Y462),"0")</f>
        <v>0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700</v>
      </c>
      <c r="Y500" s="628">
        <f t="shared" si="57"/>
        <v>702.24</v>
      </c>
      <c r="Z500" s="36">
        <f t="shared" si="58"/>
        <v>1.5906800000000001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746.40151515151513</v>
      </c>
      <c r="BN500" s="64">
        <f t="shared" si="60"/>
        <v>748.79</v>
      </c>
      <c r="BO500" s="64">
        <f t="shared" si="61"/>
        <v>1.2747668997668997</v>
      </c>
      <c r="BP500" s="64">
        <f t="shared" si="62"/>
        <v>1.278846153846154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132.57575757575756</v>
      </c>
      <c r="Y504" s="629">
        <f>IFERROR(Y495/H495,"0")+IFERROR(Y496/H496,"0")+IFERROR(Y497/H497,"0")+IFERROR(Y498/H498,"0")+IFERROR(Y499/H499,"0")+IFERROR(Y500/H500,"0")+IFERROR(Y501/H501,"0")+IFERROR(Y502/H502,"0")+IFERROR(Y503/H503,"0")</f>
        <v>133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1.5906800000000001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700</v>
      </c>
      <c r="Y505" s="629">
        <f>IFERROR(SUM(Y495:Y503),"0")</f>
        <v>702.24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550</v>
      </c>
      <c r="Y507" s="628">
        <f>IFERROR(IF(X507="",0,CEILING((X507/$H507),1)*$H507),"")</f>
        <v>554.4</v>
      </c>
      <c r="Z507" s="36">
        <f>IFERROR(IF(Y507=0,"",ROUNDUP(Y507/H507,0)*0.01196),"")</f>
        <v>1.2558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586.45833333333326</v>
      </c>
      <c r="BN507" s="64">
        <f>IFERROR(Y507*I507/H507,"0")</f>
        <v>591.15</v>
      </c>
      <c r="BO507" s="64">
        <f>IFERROR(1/J507*(X507/H507),"0")</f>
        <v>1.0016025641025641</v>
      </c>
      <c r="BP507" s="64">
        <f>IFERROR(1/J507*(Y507/H507),"0")</f>
        <v>1.0096153846153846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104.16666666666666</v>
      </c>
      <c r="Y510" s="629">
        <f>IFERROR(Y507/H507,"0")+IFERROR(Y508/H508,"0")+IFERROR(Y509/H509,"0")</f>
        <v>104.99999999999999</v>
      </c>
      <c r="Z510" s="629">
        <f>IFERROR(IF(Z507="",0,Z507),"0")+IFERROR(IF(Z508="",0,Z508),"0")+IFERROR(IF(Z509="",0,Z509),"0")</f>
        <v>1.2558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550</v>
      </c>
      <c r="Y511" s="629">
        <f>IFERROR(SUM(Y507:Y509),"0")</f>
        <v>554.4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250</v>
      </c>
      <c r="Y515" s="628">
        <f t="shared" si="63"/>
        <v>253.44</v>
      </c>
      <c r="Z515" s="36">
        <f>IFERROR(IF(Y515=0,"",ROUNDUP(Y515/H515,0)*0.01196),"")</f>
        <v>0.57408000000000003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266.57196969696969</v>
      </c>
      <c r="BN515" s="64">
        <f t="shared" si="65"/>
        <v>270.23999999999995</v>
      </c>
      <c r="BO515" s="64">
        <f t="shared" si="66"/>
        <v>0.45527389277389274</v>
      </c>
      <c r="BP515" s="64">
        <f t="shared" si="67"/>
        <v>0.46153846153846156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47.348484848484844</v>
      </c>
      <c r="Y520" s="629">
        <f>IFERROR(Y513/H513,"0")+IFERROR(Y514/H514,"0")+IFERROR(Y515/H515,"0")+IFERROR(Y516/H516,"0")+IFERROR(Y517/H517,"0")+IFERROR(Y518/H518,"0")+IFERROR(Y519/H519,"0")</f>
        <v>48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0.57408000000000003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250</v>
      </c>
      <c r="Y521" s="629">
        <f>IFERROR(SUM(Y513:Y519),"0")</f>
        <v>253.44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8562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8634.7800000000007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8958.3336700336713</v>
      </c>
      <c r="Y551" s="629">
        <f>IFERROR(SUM(BN22:BN547),"0")</f>
        <v>9034.4560000000001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14</v>
      </c>
      <c r="Y552" s="38">
        <f>ROUNDUP(SUM(BP22:BP547),0)</f>
        <v>14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9308.3336700336713</v>
      </c>
      <c r="Y553" s="629">
        <f>GrossWeightTotalR+PalletQtyTotalR*25</f>
        <v>9384.4560000000001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1156.7946127946127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1167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15.65263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1706.4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356.40000000000003</v>
      </c>
      <c r="F560" s="46">
        <f>IFERROR(Y88*1,"0")+IFERROR(Y89*1,"0")+IFERROR(Y90*1,"0")+IFERROR(Y91*1,"0")+IFERROR(Y95*1,"0")+IFERROR(Y96*1,"0")+IFERROR(Y97*1,"0")+IFERROR(Y98*1,"0")</f>
        <v>580.5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718.2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748.2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3015</v>
      </c>
      <c r="W560" s="46">
        <f>IFERROR(Y451*1,"0")+IFERROR(Y452*1,"0")+IFERROR(Y456*1,"0")+IFERROR(Y460*1,"0")+IFERROR(Y461*1,"0")+IFERROR(Y462*1,"0")</f>
        <v>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1510.08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2026-07-29T10:41:29Z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