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1C73FC23-2BCA-4237-A068-02823577701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Y199" i="1"/>
  <c r="X199" i="1"/>
  <c r="BP198" i="1"/>
  <c r="BO198" i="1"/>
  <c r="BN198" i="1"/>
  <c r="BM198" i="1"/>
  <c r="Z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Y92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447" i="1" l="1"/>
  <c r="Z79" i="1"/>
  <c r="Y55" i="1"/>
  <c r="Y68" i="1"/>
  <c r="Y84" i="1"/>
  <c r="Y93" i="1"/>
  <c r="Y110" i="1"/>
  <c r="Y118" i="1"/>
  <c r="Y124" i="1"/>
  <c r="BP140" i="1"/>
  <c r="BN140" i="1"/>
  <c r="Z140" i="1"/>
  <c r="Z143" i="1" s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Z215" i="1" s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Z322" i="1" s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Z391" i="1" s="1"/>
  <c r="Y392" i="1"/>
  <c r="BP396" i="1"/>
  <c r="BN396" i="1"/>
  <c r="Z396" i="1"/>
  <c r="F560" i="1"/>
  <c r="Y25" i="1"/>
  <c r="Y33" i="1"/>
  <c r="Y37" i="1"/>
  <c r="Y47" i="1"/>
  <c r="Y74" i="1"/>
  <c r="Y80" i="1"/>
  <c r="Y99" i="1"/>
  <c r="H9" i="1"/>
  <c r="B560" i="1"/>
  <c r="X551" i="1"/>
  <c r="X553" i="1" s="1"/>
  <c r="X552" i="1"/>
  <c r="Z23" i="1"/>
  <c r="Z24" i="1" s="1"/>
  <c r="BN23" i="1"/>
  <c r="Y551" i="1" s="1"/>
  <c r="Y24" i="1"/>
  <c r="X550" i="1"/>
  <c r="Z27" i="1"/>
  <c r="Z32" i="1" s="1"/>
  <c r="BN27" i="1"/>
  <c r="BP27" i="1"/>
  <c r="Y552" i="1" s="1"/>
  <c r="Z29" i="1"/>
  <c r="BN29" i="1"/>
  <c r="Z31" i="1"/>
  <c r="BN31" i="1"/>
  <c r="Z35" i="1"/>
  <c r="Z36" i="1" s="1"/>
  <c r="BN35" i="1"/>
  <c r="BP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60" i="1"/>
  <c r="Z60" i="1"/>
  <c r="Z67" i="1" s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BN78" i="1"/>
  <c r="Z82" i="1"/>
  <c r="Z84" i="1" s="1"/>
  <c r="BN82" i="1"/>
  <c r="BP82" i="1"/>
  <c r="Z89" i="1"/>
  <c r="Z92" i="1" s="1"/>
  <c r="BN89" i="1"/>
  <c r="Z91" i="1"/>
  <c r="BN91" i="1"/>
  <c r="Z95" i="1"/>
  <c r="Z99" i="1" s="1"/>
  <c r="BN95" i="1"/>
  <c r="BP95" i="1"/>
  <c r="Z97" i="1"/>
  <c r="BN97" i="1"/>
  <c r="G560" i="1"/>
  <c r="Z104" i="1"/>
  <c r="Z109" i="1" s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Z124" i="1" s="1"/>
  <c r="BN120" i="1"/>
  <c r="BP120" i="1"/>
  <c r="Z122" i="1"/>
  <c r="BN122" i="1"/>
  <c r="H560" i="1"/>
  <c r="Y137" i="1"/>
  <c r="Z133" i="1"/>
  <c r="Z136" i="1" s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Z158" i="1" s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Z237" i="1" s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Z251" i="1" s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Z368" i="1"/>
  <c r="BP364" i="1"/>
  <c r="BN364" i="1"/>
  <c r="Z364" i="1"/>
  <c r="Y368" i="1"/>
  <c r="BP372" i="1"/>
  <c r="BN372" i="1"/>
  <c r="Z372" i="1"/>
  <c r="Z378" i="1" s="1"/>
  <c r="Y378" i="1"/>
  <c r="BP376" i="1"/>
  <c r="BN376" i="1"/>
  <c r="Z376" i="1"/>
  <c r="BP446" i="1"/>
  <c r="BN446" i="1"/>
  <c r="Z446" i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Z277" i="1" s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Z331" i="1" s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Z410" i="1" s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Z404" i="1" s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Z442" i="1"/>
  <c r="BP440" i="1"/>
  <c r="BN440" i="1"/>
  <c r="Z440" i="1"/>
  <c r="Y447" i="1"/>
  <c r="BP461" i="1"/>
  <c r="BN461" i="1"/>
  <c r="Z461" i="1"/>
  <c r="Z463" i="1" s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Z520" i="1" s="1"/>
  <c r="BP518" i="1"/>
  <c r="BN518" i="1"/>
  <c r="Z518" i="1"/>
  <c r="Y543" i="1"/>
  <c r="Y560" i="1"/>
  <c r="Y505" i="1"/>
  <c r="Y553" i="1" l="1"/>
  <c r="Z430" i="1"/>
  <c r="Z398" i="1"/>
  <c r="Z292" i="1"/>
  <c r="Z188" i="1"/>
  <c r="Y554" i="1"/>
  <c r="Z308" i="1"/>
  <c r="Z245" i="1"/>
  <c r="Z117" i="1"/>
  <c r="Y550" i="1"/>
  <c r="Z347" i="1"/>
  <c r="Z194" i="1"/>
  <c r="Z555" i="1" s="1"/>
  <c r="Z169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<sst xmlns="http://schemas.openxmlformats.org/spreadsheetml/2006/main" count="2500" uniqueCount="907">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</sst>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130</v>
      </c>
      <c r="Y51" s="628">
        <f>IFERROR(IF(X51="",0,CEILING((X51/$H51),1)*$H51),"")</f>
        <v>140.4</v>
      </c>
      <c r="Z51" s="36">
        <f>IFERROR(IF(Y51=0,"",ROUNDUP(Y51/H51,0)*0.01898),"")</f>
        <v>0.24674000000000001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134.93518518518519</v>
      </c>
      <c r="BN51" s="64">
        <f>IFERROR(Y51*I51/H51,"0")</f>
        <v>145.73000000000002</v>
      </c>
      <c r="BO51" s="64">
        <f>IFERROR(1/J51*(X51/H51),"0")</f>
        <v>0.18807870370370369</v>
      </c>
      <c r="BP51" s="64">
        <f>IFERROR(1/J51*(Y51/H51),"0")</f>
        <v>0.203125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12.037037037037036</v>
      </c>
      <c r="Y55" s="629">
        <f>IFERROR(Y51/H51,"0")+IFERROR(Y52/H52,"0")+IFERROR(Y53/H53,"0")+IFERROR(Y54/H54,"0")</f>
        <v>13</v>
      </c>
      <c r="Z55" s="629">
        <f>IFERROR(IF(Z51="",0,Z51),"0")+IFERROR(IF(Z52="",0,Z52),"0")+IFERROR(IF(Z53="",0,Z53),"0")+IFERROR(IF(Z54="",0,Z54),"0")</f>
        <v>0.24674000000000001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130</v>
      </c>
      <c r="Y56" s="629">
        <f>IFERROR(SUM(Y51:Y54),"0")</f>
        <v>140.4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47</v>
      </c>
      <c r="Y61" s="628">
        <f t="shared" si="0"/>
        <v>54</v>
      </c>
      <c r="Z61" s="36">
        <f>IFERROR(IF(Y61=0,"",ROUNDUP(Y61/H61,0)*0.01898),"")</f>
        <v>9.4899999999999998E-2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48.784259259259258</v>
      </c>
      <c r="BN61" s="64">
        <f t="shared" si="2"/>
        <v>56.05</v>
      </c>
      <c r="BO61" s="64">
        <f t="shared" si="3"/>
        <v>6.7997685185185175E-2</v>
      </c>
      <c r="BP61" s="64">
        <f t="shared" si="4"/>
        <v>7.8125E-2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7</v>
      </c>
      <c r="Y64" s="628">
        <f t="shared" si="0"/>
        <v>8</v>
      </c>
      <c r="Z64" s="36">
        <f>IFERROR(IF(Y64=0,"",ROUNDUP(Y64/H64,0)*0.00902),"")</f>
        <v>1.804E-2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7.3325000000000005</v>
      </c>
      <c r="BN64" s="64">
        <f t="shared" si="2"/>
        <v>8.3800000000000008</v>
      </c>
      <c r="BO64" s="64">
        <f t="shared" si="3"/>
        <v>1.3257575757575758E-2</v>
      </c>
      <c r="BP64" s="64">
        <f t="shared" si="4"/>
        <v>1.5151515151515152E-2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6.1018518518518512</v>
      </c>
      <c r="Y67" s="629">
        <f>IFERROR(Y59/H59,"0")+IFERROR(Y60/H60,"0")+IFERROR(Y61/H61,"0")+IFERROR(Y62/H62,"0")+IFERROR(Y63/H63,"0")+IFERROR(Y64/H64,"0")+IFERROR(Y65/H65,"0")+IFERROR(Y66/H66,"0")</f>
        <v>7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0.11294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54</v>
      </c>
      <c r="Y68" s="629">
        <f>IFERROR(SUM(Y59:Y66),"0")</f>
        <v>62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14</v>
      </c>
      <c r="Y70" s="628">
        <f>IFERROR(IF(X70="",0,CEILING((X70/$H70),1)*$H70),"")</f>
        <v>21.6</v>
      </c>
      <c r="Z70" s="36">
        <f>IFERROR(IF(Y70=0,"",ROUNDUP(Y70/H70,0)*0.01898),"")</f>
        <v>3.7960000000000001E-2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14.53148148148148</v>
      </c>
      <c r="BN70" s="64">
        <f>IFERROR(Y70*I70/H70,"0")</f>
        <v>22.42</v>
      </c>
      <c r="BO70" s="64">
        <f>IFERROR(1/J70*(X70/H70),"0")</f>
        <v>2.0254629629629629E-2</v>
      </c>
      <c r="BP70" s="64">
        <f>IFERROR(1/J70*(Y70/H70),"0")</f>
        <v>3.125E-2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1.2962962962962963</v>
      </c>
      <c r="Y74" s="629">
        <f>IFERROR(Y70/H70,"0")+IFERROR(Y71/H71,"0")+IFERROR(Y72/H72,"0")+IFERROR(Y73/H73,"0")</f>
        <v>2</v>
      </c>
      <c r="Z74" s="629">
        <f>IFERROR(IF(Z70="",0,Z70),"0")+IFERROR(IF(Z71="",0,Z71),"0")+IFERROR(IF(Z72="",0,Z72),"0")+IFERROR(IF(Z73="",0,Z73),"0")</f>
        <v>3.7960000000000001E-2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14</v>
      </c>
      <c r="Y75" s="629">
        <f>IFERROR(SUM(Y70:Y73),"0")</f>
        <v>21.6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30</v>
      </c>
      <c r="Y82" s="628">
        <f>IFERROR(IF(X82="",0,CEILING((X82/$H82),1)*$H82),"")</f>
        <v>31.2</v>
      </c>
      <c r="Z82" s="36">
        <f>IFERROR(IF(Y82=0,"",ROUNDUP(Y82/H82,0)*0.01898),"")</f>
        <v>7.5920000000000001E-2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31.57692307692308</v>
      </c>
      <c r="BN82" s="64">
        <f>IFERROR(Y82*I82/H82,"0")</f>
        <v>32.840000000000003</v>
      </c>
      <c r="BO82" s="64">
        <f>IFERROR(1/J82*(X82/H82),"0")</f>
        <v>6.0096153846153848E-2</v>
      </c>
      <c r="BP82" s="64">
        <f>IFERROR(1/J82*(Y82/H82),"0")</f>
        <v>6.25E-2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3.8461538461538463</v>
      </c>
      <c r="Y84" s="629">
        <f>IFERROR(Y82/H82,"0")+IFERROR(Y83/H83,"0")</f>
        <v>4</v>
      </c>
      <c r="Z84" s="629">
        <f>IFERROR(IF(Z82="",0,Z82),"0")+IFERROR(IF(Z83="",0,Z83),"0")</f>
        <v>7.5920000000000001E-2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30</v>
      </c>
      <c r="Y85" s="629">
        <f>IFERROR(SUM(Y82:Y83),"0")</f>
        <v>31.2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104</v>
      </c>
      <c r="Y91" s="628">
        <f>IFERROR(IF(X91="",0,CEILING((X91/$H91),1)*$H91),"")</f>
        <v>108</v>
      </c>
      <c r="Z91" s="36">
        <f>IFERROR(IF(Y91=0,"",ROUNDUP(Y91/H91,0)*0.00902),"")</f>
        <v>0.21648000000000001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108.39111111111112</v>
      </c>
      <c r="BN91" s="64">
        <f>IFERROR(Y91*I91/H91,"0")</f>
        <v>112.56</v>
      </c>
      <c r="BO91" s="64">
        <f>IFERROR(1/J91*(X91/H91),"0")</f>
        <v>0.17508417508417509</v>
      </c>
      <c r="BP91" s="64">
        <f>IFERROR(1/J91*(Y91/H91),"0")</f>
        <v>0.18181818181818182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23.111111111111111</v>
      </c>
      <c r="Y92" s="629">
        <f>IFERROR(Y88/H88,"0")+IFERROR(Y89/H89,"0")+IFERROR(Y90/H90,"0")+IFERROR(Y91/H91,"0")</f>
        <v>24</v>
      </c>
      <c r="Z92" s="629">
        <f>IFERROR(IF(Z88="",0,Z88),"0")+IFERROR(IF(Z89="",0,Z89),"0")+IFERROR(IF(Z90="",0,Z90),"0")+IFERROR(IF(Z91="",0,Z91),"0")</f>
        <v>0.21648000000000001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104</v>
      </c>
      <c r="Y93" s="629">
        <f>IFERROR(SUM(Y88:Y91),"0")</f>
        <v>108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60</v>
      </c>
      <c r="Y107" s="628">
        <f t="shared" si="5"/>
        <v>63</v>
      </c>
      <c r="Z107" s="36">
        <f>IFERROR(IF(Y107=0,"",ROUNDUP(Y107/H107,0)*0.00902),"")</f>
        <v>0.12628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62.533333333333339</v>
      </c>
      <c r="BN107" s="64">
        <f t="shared" si="7"/>
        <v>65.660000000000011</v>
      </c>
      <c r="BO107" s="64">
        <f t="shared" si="8"/>
        <v>0.10101010101010102</v>
      </c>
      <c r="BP107" s="64">
        <f t="shared" si="9"/>
        <v>0.10606060606060606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13.333333333333334</v>
      </c>
      <c r="Y109" s="629">
        <f>IFERROR(Y103/H103,"0")+IFERROR(Y104/H104,"0")+IFERROR(Y105/H105,"0")+IFERROR(Y106/H106,"0")+IFERROR(Y107/H107,"0")+IFERROR(Y108/H108,"0")</f>
        <v>14</v>
      </c>
      <c r="Z109" s="629">
        <f>IFERROR(IF(Z103="",0,Z103),"0")+IFERROR(IF(Z104="",0,Z104),"0")+IFERROR(IF(Z105="",0,Z105),"0")+IFERROR(IF(Z106="",0,Z106),"0")+IFERROR(IF(Z107="",0,Z107),"0")+IFERROR(IF(Z108="",0,Z108),"0")</f>
        <v>0.12628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60</v>
      </c>
      <c r="Y110" s="629">
        <f>IFERROR(SUM(Y103:Y108),"0")</f>
        <v>63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135</v>
      </c>
      <c r="Y122" s="628">
        <f>IFERROR(IF(X122="",0,CEILING((X122/$H122),1)*$H122),"")</f>
        <v>135</v>
      </c>
      <c r="Z122" s="36">
        <f>IFERROR(IF(Y122=0,"",ROUNDUP(Y122/H122,0)*0.00651),"")</f>
        <v>0.32550000000000001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147.6</v>
      </c>
      <c r="BN122" s="64">
        <f>IFERROR(Y122*I122/H122,"0")</f>
        <v>147.6</v>
      </c>
      <c r="BO122" s="64">
        <f>IFERROR(1/J122*(X122/H122),"0")</f>
        <v>0.27472527472527475</v>
      </c>
      <c r="BP122" s="64">
        <f>IFERROR(1/J122*(Y122/H122),"0")</f>
        <v>0.27472527472527475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50</v>
      </c>
      <c r="Y124" s="629">
        <f>IFERROR(Y120/H120,"0")+IFERROR(Y121/H121,"0")+IFERROR(Y122/H122,"0")+IFERROR(Y123/H123,"0")</f>
        <v>50</v>
      </c>
      <c r="Z124" s="629">
        <f>IFERROR(IF(Z120="",0,Z120),"0")+IFERROR(IF(Z121="",0,Z121),"0")+IFERROR(IF(Z122="",0,Z122),"0")+IFERROR(IF(Z123="",0,Z123),"0")</f>
        <v>0.32550000000000001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135</v>
      </c>
      <c r="Y125" s="629">
        <f>IFERROR(SUM(Y120:Y123),"0")</f>
        <v>135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5</v>
      </c>
      <c r="Y127" s="628">
        <f>IFERROR(IF(X127="",0,CEILING((X127/$H127),1)*$H127),"")</f>
        <v>5.9399999999999995</v>
      </c>
      <c r="Z127" s="36">
        <f>IFERROR(IF(Y127=0,"",ROUNDUP(Y127/H127,0)*0.00651),"")</f>
        <v>1.9529999999999999E-2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5.6515151515151514</v>
      </c>
      <c r="BN127" s="64">
        <f>IFERROR(Y127*I127/H127,"0")</f>
        <v>6.7139999999999995</v>
      </c>
      <c r="BO127" s="64">
        <f>IFERROR(1/J127*(X127/H127),"0")</f>
        <v>1.3875013875013876E-2</v>
      </c>
      <c r="BP127" s="64">
        <f>IFERROR(1/J127*(Y127/H127),"0")</f>
        <v>1.6483516483516484E-2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2.5252525252525251</v>
      </c>
      <c r="Y128" s="629">
        <f>IFERROR(Y127/H127,"0")</f>
        <v>2.9999999999999996</v>
      </c>
      <c r="Z128" s="629">
        <f>IFERROR(IF(Z127="",0,Z127),"0")</f>
        <v>1.9529999999999999E-2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5</v>
      </c>
      <c r="Y129" s="629">
        <f>IFERROR(SUM(Y127:Y127),"0")</f>
        <v>5.9399999999999995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25</v>
      </c>
      <c r="Y134" s="628">
        <f>IFERROR(IF(X134="",0,CEILING((X134/$H134),1)*$H134),"")</f>
        <v>25.6</v>
      </c>
      <c r="Z134" s="36">
        <f>IFERROR(IF(Y134=0,"",ROUNDUP(Y134/H134,0)*0.00651),"")</f>
        <v>5.2080000000000001E-2</v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26.40625</v>
      </c>
      <c r="BN134" s="64">
        <f>IFERROR(Y134*I134/H134,"0")</f>
        <v>27.04</v>
      </c>
      <c r="BO134" s="64">
        <f>IFERROR(1/J134*(X134/H134),"0")</f>
        <v>4.2925824175824176E-2</v>
      </c>
      <c r="BP134" s="64">
        <f>IFERROR(1/J134*(Y134/H134),"0")</f>
        <v>4.3956043956043959E-2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7.8125</v>
      </c>
      <c r="Y136" s="629">
        <f>IFERROR(Y132/H132,"0")+IFERROR(Y133/H133,"0")+IFERROR(Y134/H134,"0")+IFERROR(Y135/H135,"0")</f>
        <v>8</v>
      </c>
      <c r="Z136" s="629">
        <f>IFERROR(IF(Z132="",0,Z132),"0")+IFERROR(IF(Z133="",0,Z133),"0")+IFERROR(IF(Z134="",0,Z134),"0")+IFERROR(IF(Z135="",0,Z135),"0")</f>
        <v>5.2080000000000001E-2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25</v>
      </c>
      <c r="Y137" s="629">
        <f>IFERROR(SUM(Y132:Y135),"0")</f>
        <v>25.6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12</v>
      </c>
      <c r="Y148" s="628">
        <f>IFERROR(IF(X148="",0,CEILING((X148/$H148),1)*$H148),"")</f>
        <v>13.200000000000001</v>
      </c>
      <c r="Z148" s="36">
        <f>IFERROR(IF(Y148=0,"",ROUNDUP(Y148/H148,0)*0.00651),"")</f>
        <v>3.2550000000000003E-2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13.218181818181819</v>
      </c>
      <c r="BN148" s="64">
        <f>IFERROR(Y148*I148/H148,"0")</f>
        <v>14.540000000000001</v>
      </c>
      <c r="BO148" s="64">
        <f>IFERROR(1/J148*(X148/H148),"0")</f>
        <v>2.4975024975024976E-2</v>
      </c>
      <c r="BP148" s="64">
        <f>IFERROR(1/J148*(Y148/H148),"0")</f>
        <v>2.7472527472527476E-2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4.545454545454545</v>
      </c>
      <c r="Y150" s="629">
        <f>IFERROR(Y146/H146,"0")+IFERROR(Y147/H147,"0")+IFERROR(Y148/H148,"0")+IFERROR(Y149/H149,"0")</f>
        <v>5</v>
      </c>
      <c r="Z150" s="629">
        <f>IFERROR(IF(Z146="",0,Z146),"0")+IFERROR(IF(Z147="",0,Z147),"0")+IFERROR(IF(Z148="",0,Z148),"0")+IFERROR(IF(Z149="",0,Z149),"0")</f>
        <v>3.2550000000000003E-2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12</v>
      </c>
      <c r="Y151" s="629">
        <f>IFERROR(SUM(Y146:Y149),"0")</f>
        <v>13.200000000000001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2</v>
      </c>
      <c r="Y181" s="628">
        <f t="shared" si="10"/>
        <v>2.7</v>
      </c>
      <c r="Z181" s="36">
        <f>IFERROR(IF(Y181=0,"",ROUNDUP(Y181/H181,0)*0.00417),"")</f>
        <v>1.251E-2</v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2.4666666666666668</v>
      </c>
      <c r="BN181" s="64">
        <f t="shared" si="12"/>
        <v>3.33</v>
      </c>
      <c r="BO181" s="64">
        <f t="shared" si="13"/>
        <v>6.6137566137566134E-3</v>
      </c>
      <c r="BP181" s="64">
        <f t="shared" si="14"/>
        <v>8.9285714285714281E-3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5</v>
      </c>
      <c r="Y183" s="628">
        <f t="shared" si="10"/>
        <v>5.4</v>
      </c>
      <c r="Z183" s="36">
        <f>IFERROR(IF(Y183=0,"",ROUNDUP(Y183/H183,0)*0.00417),"")</f>
        <v>2.5020000000000001E-2</v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6.166666666666667</v>
      </c>
      <c r="BN183" s="64">
        <f t="shared" si="12"/>
        <v>6.66</v>
      </c>
      <c r="BO183" s="64">
        <f t="shared" si="13"/>
        <v>1.6534391534391533E-2</v>
      </c>
      <c r="BP183" s="64">
        <f t="shared" si="14"/>
        <v>1.7857142857142856E-2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12</v>
      </c>
      <c r="Y185" s="628">
        <f t="shared" si="10"/>
        <v>13.44</v>
      </c>
      <c r="Z185" s="36">
        <f>IFERROR(IF(Y185=0,"",ROUNDUP(Y185/H185,0)*0.00502),"")</f>
        <v>4.0160000000000001E-2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12.714285714285715</v>
      </c>
      <c r="BN185" s="64">
        <f t="shared" si="12"/>
        <v>14.239999999999998</v>
      </c>
      <c r="BO185" s="64">
        <f t="shared" si="13"/>
        <v>3.0525030525030531E-2</v>
      </c>
      <c r="BP185" s="64">
        <f t="shared" si="14"/>
        <v>3.4188034188034191E-2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14.920634920634921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17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7.7690000000000009E-2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19</v>
      </c>
      <c r="Y189" s="629">
        <f>IFERROR(SUM(Y177:Y187),"0")</f>
        <v>21.54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12</v>
      </c>
      <c r="Y226" s="628">
        <f t="shared" si="21"/>
        <v>12</v>
      </c>
      <c r="Z226" s="36">
        <f>IFERROR(IF(Y226=0,"",ROUNDUP(Y226/H226,0)*0.00556),"")</f>
        <v>8.3400000000000002E-2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13.95</v>
      </c>
      <c r="BN226" s="64">
        <f t="shared" si="23"/>
        <v>13.95</v>
      </c>
      <c r="BO226" s="64">
        <f t="shared" si="24"/>
        <v>5.9523809523809521E-2</v>
      </c>
      <c r="BP226" s="64">
        <f t="shared" si="25"/>
        <v>5.9523809523809521E-2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11</v>
      </c>
      <c r="Y232" s="628">
        <f t="shared" si="21"/>
        <v>12.6</v>
      </c>
      <c r="Z232" s="36">
        <f t="shared" si="26"/>
        <v>3.5140000000000005E-2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11.794444444444444</v>
      </c>
      <c r="BN232" s="64">
        <f t="shared" si="23"/>
        <v>13.509999999999998</v>
      </c>
      <c r="BO232" s="64">
        <f t="shared" si="24"/>
        <v>2.6115859449192782E-2</v>
      </c>
      <c r="BP232" s="64">
        <f t="shared" si="25"/>
        <v>2.9914529914529919E-2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2</v>
      </c>
      <c r="Y233" s="628">
        <f t="shared" si="21"/>
        <v>2.4000000000000004</v>
      </c>
      <c r="Z233" s="36">
        <f>IFERROR(IF(Y233=0,"",ROUNDUP(Y233/H233,0)*0.00417),"")</f>
        <v>1.251E-2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2.5249999999999999</v>
      </c>
      <c r="BN233" s="64">
        <f t="shared" si="23"/>
        <v>3.0300000000000002</v>
      </c>
      <c r="BO233" s="64">
        <f t="shared" si="24"/>
        <v>7.4404761904761901E-3</v>
      </c>
      <c r="BP233" s="64">
        <f t="shared" si="25"/>
        <v>8.9285714285714298E-3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23.611111111111111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25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0.13105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25</v>
      </c>
      <c r="Y238" s="629">
        <f>IFERROR(SUM(Y223:Y236),"0")</f>
        <v>27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10</v>
      </c>
      <c r="Y249" s="628">
        <f>IFERROR(IF(X249="",0,CEILING((X249/$H249),1)*$H249),"")</f>
        <v>10.08</v>
      </c>
      <c r="Z249" s="36">
        <f>IFERROR(IF(Y249=0,"",ROUNDUP(Y249/H249,0)*0.0059),"")</f>
        <v>4.7199999999999999E-2</v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11.507936507936508</v>
      </c>
      <c r="BN249" s="64">
        <f>IFERROR(Y249*I249/H249,"0")</f>
        <v>11.6</v>
      </c>
      <c r="BO249" s="64">
        <f>IFERROR(1/J249*(X249/H249),"0")</f>
        <v>3.6743092298647854E-2</v>
      </c>
      <c r="BP249" s="64">
        <f>IFERROR(1/J249*(Y249/H249),"0")</f>
        <v>3.7037037037037035E-2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2</v>
      </c>
      <c r="Y250" s="628">
        <f>IFERROR(IF(X250="",0,CEILING((X250/$H250),1)*$H250),"")</f>
        <v>2.52</v>
      </c>
      <c r="Z250" s="36">
        <f>IFERROR(IF(Y250=0,"",ROUNDUP(Y250/H250,0)*0.0059),"")</f>
        <v>1.18E-2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2.3015873015873014</v>
      </c>
      <c r="BN250" s="64">
        <f>IFERROR(Y250*I250/H250,"0")</f>
        <v>2.9</v>
      </c>
      <c r="BO250" s="64">
        <f>IFERROR(1/J250*(X250/H250),"0")</f>
        <v>7.3486184597295699E-3</v>
      </c>
      <c r="BP250" s="64">
        <f>IFERROR(1/J250*(Y250/H250),"0")</f>
        <v>9.2592592592592587E-3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9.5238095238095237</v>
      </c>
      <c r="Y251" s="629">
        <f>IFERROR(Y248/H248,"0")+IFERROR(Y249/H249,"0")+IFERROR(Y250/H250,"0")</f>
        <v>10</v>
      </c>
      <c r="Z251" s="629">
        <f>IFERROR(IF(Z248="",0,Z248),"0")+IFERROR(IF(Z249="",0,Z249),"0")+IFERROR(IF(Z250="",0,Z250),"0")</f>
        <v>5.8999999999999997E-2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12</v>
      </c>
      <c r="Y252" s="629">
        <f>IFERROR(SUM(Y248:Y250),"0")</f>
        <v>12.6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9</v>
      </c>
      <c r="Y254" s="628">
        <f>IFERROR(IF(X254="",0,CEILING((X254/$H254),1)*$H254),"")</f>
        <v>10.08</v>
      </c>
      <c r="Z254" s="36">
        <f>IFERROR(IF(Y254=0,"",ROUNDUP(Y254/H254,0)*0.0059),"")</f>
        <v>4.7199999999999999E-2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10.357142857142856</v>
      </c>
      <c r="BN254" s="64">
        <f>IFERROR(Y254*I254/H254,"0")</f>
        <v>11.6</v>
      </c>
      <c r="BO254" s="64">
        <f>IFERROR(1/J254*(X254/H254),"0")</f>
        <v>3.3068783068783067E-2</v>
      </c>
      <c r="BP254" s="64">
        <f>IFERROR(1/J254*(Y254/H254),"0")</f>
        <v>3.7037037037037035E-2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7.1428571428571432</v>
      </c>
      <c r="Y255" s="629">
        <f>IFERROR(Y254/H254,"0")</f>
        <v>8</v>
      </c>
      <c r="Z255" s="629">
        <f>IFERROR(IF(Z254="",0,Z254),"0")</f>
        <v>4.7199999999999999E-2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9</v>
      </c>
      <c r="Y256" s="629">
        <f>IFERROR(SUM(Y254:Y254),"0")</f>
        <v>10.08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108</v>
      </c>
      <c r="Y269" s="628">
        <f t="shared" ref="Y269:Y276" si="27">IFERROR(IF(X269="",0,CEILING((X269/$H269),1)*$H269),"")</f>
        <v>108</v>
      </c>
      <c r="Z269" s="36">
        <f>IFERROR(IF(Y269=0,"",ROUNDUP(Y269/H269,0)*0.00902),"")</f>
        <v>0.1804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111.8</v>
      </c>
      <c r="BN269" s="64">
        <f t="shared" ref="BN269:BN276" si="29">IFERROR(Y269*I269/H269,"0")</f>
        <v>111.8</v>
      </c>
      <c r="BO269" s="64">
        <f t="shared" ref="BO269:BO276" si="30">IFERROR(1/J269*(X269/H269),"0")</f>
        <v>0.15151515151515152</v>
      </c>
      <c r="BP269" s="64">
        <f t="shared" ref="BP269:BP276" si="31">IFERROR(1/J269*(Y269/H269),"0")</f>
        <v>0.15151515151515152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31</v>
      </c>
      <c r="Y270" s="628">
        <f t="shared" si="27"/>
        <v>32.400000000000006</v>
      </c>
      <c r="Z270" s="36">
        <f>IFERROR(IF(Y270=0,"",ROUNDUP(Y270/H270,0)*0.00902),"")</f>
        <v>5.4120000000000001E-2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32.090740740740735</v>
      </c>
      <c r="BN270" s="64">
        <f t="shared" si="29"/>
        <v>33.54</v>
      </c>
      <c r="BO270" s="64">
        <f t="shared" si="30"/>
        <v>4.349046015712682E-2</v>
      </c>
      <c r="BP270" s="64">
        <f t="shared" si="31"/>
        <v>4.5454545454545463E-2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89</v>
      </c>
      <c r="Y271" s="628">
        <f t="shared" si="27"/>
        <v>91.800000000000011</v>
      </c>
      <c r="Z271" s="36">
        <f>IFERROR(IF(Y271=0,"",ROUNDUP(Y271/H271,0)*0.00902),"")</f>
        <v>0.15334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92.131481481481472</v>
      </c>
      <c r="BN271" s="64">
        <f t="shared" si="29"/>
        <v>95.03</v>
      </c>
      <c r="BO271" s="64">
        <f t="shared" si="30"/>
        <v>0.12485970819304153</v>
      </c>
      <c r="BP271" s="64">
        <f t="shared" si="31"/>
        <v>0.12878787878787878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48</v>
      </c>
      <c r="Y273" s="628">
        <f t="shared" si="27"/>
        <v>48.6</v>
      </c>
      <c r="Z273" s="36">
        <f>IFERROR(IF(Y273=0,"",ROUNDUP(Y273/H273,0)*0.00502),"")</f>
        <v>0.13553999999999999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51.466666666666669</v>
      </c>
      <c r="BN273" s="64">
        <f t="shared" si="29"/>
        <v>52.11</v>
      </c>
      <c r="BO273" s="64">
        <f t="shared" si="30"/>
        <v>0.11396011396011396</v>
      </c>
      <c r="BP273" s="64">
        <f t="shared" si="31"/>
        <v>0.11538461538461539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49</v>
      </c>
      <c r="Y276" s="628">
        <f t="shared" si="27"/>
        <v>50.4</v>
      </c>
      <c r="Z276" s="36">
        <f>IFERROR(IF(Y276=0,"",ROUNDUP(Y276/H276,0)*0.00502),"")</f>
        <v>0.14056000000000002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51.722222222222214</v>
      </c>
      <c r="BN276" s="64">
        <f t="shared" si="29"/>
        <v>53.199999999999996</v>
      </c>
      <c r="BO276" s="64">
        <f t="shared" si="30"/>
        <v>0.11633428300094968</v>
      </c>
      <c r="BP276" s="64">
        <f t="shared" si="31"/>
        <v>0.11965811965811968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96.111111111111114</v>
      </c>
      <c r="Y277" s="629">
        <f>IFERROR(Y269/H269,"0")+IFERROR(Y270/H270,"0")+IFERROR(Y271/H271,"0")+IFERROR(Y272/H272,"0")+IFERROR(Y273/H273,"0")+IFERROR(Y274/H274,"0")+IFERROR(Y275/H275,"0")+IFERROR(Y276/H276,"0")</f>
        <v>98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0.66395999999999999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325</v>
      </c>
      <c r="Y278" s="629">
        <f>IFERROR(SUM(Y269:Y276),"0")</f>
        <v>331.2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22</v>
      </c>
      <c r="Y280" s="628">
        <f t="shared" ref="Y280:Y291" si="32">IFERROR(IF(X280="",0,CEILING((X280/$H280),1)*$H280),"")</f>
        <v>24.299999999999997</v>
      </c>
      <c r="Z280" s="36">
        <f>IFERROR(IF(Y280=0,"",ROUNDUP(Y280/H280,0)*0.01898),"")</f>
        <v>5.6940000000000004E-2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23.341728395061729</v>
      </c>
      <c r="BN280" s="64">
        <f t="shared" ref="BN280:BN291" si="34">IFERROR(Y280*I280/H280,"0")</f>
        <v>25.781999999999996</v>
      </c>
      <c r="BO280" s="64">
        <f t="shared" ref="BO280:BO291" si="35">IFERROR(1/J280*(X280/H280),"0")</f>
        <v>4.2438271604938273E-2</v>
      </c>
      <c r="BP280" s="64">
        <f t="shared" ref="BP280:BP291" si="36">IFERROR(1/J280*(Y280/H280),"0")</f>
        <v>4.6875E-2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73</v>
      </c>
      <c r="Y283" s="628">
        <f t="shared" si="32"/>
        <v>74.399999999999991</v>
      </c>
      <c r="Z283" s="36">
        <f>IFERROR(IF(Y283=0,"",ROUNDUP(Y283/H283,0)*0.00651),"")</f>
        <v>0.20181000000000002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81.212500000000006</v>
      </c>
      <c r="BN283" s="64">
        <f t="shared" si="34"/>
        <v>82.77</v>
      </c>
      <c r="BO283" s="64">
        <f t="shared" si="35"/>
        <v>0.16712454212454214</v>
      </c>
      <c r="BP283" s="64">
        <f t="shared" si="36"/>
        <v>0.17032967032967034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60</v>
      </c>
      <c r="Y288" s="628">
        <f t="shared" si="32"/>
        <v>60</v>
      </c>
      <c r="Z288" s="36">
        <f>IFERROR(IF(Y288=0,"",ROUNDUP(Y288/H288,0)*0.00651),"")</f>
        <v>0.16275000000000001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66.300000000000011</v>
      </c>
      <c r="BN288" s="64">
        <f t="shared" si="34"/>
        <v>66.300000000000011</v>
      </c>
      <c r="BO288" s="64">
        <f t="shared" si="35"/>
        <v>0.13736263736263737</v>
      </c>
      <c r="BP288" s="64">
        <f t="shared" si="36"/>
        <v>0.13736263736263737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58.132716049382715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59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0.42150000000000004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155</v>
      </c>
      <c r="Y293" s="629">
        <f>IFERROR(SUM(Y280:Y291),"0")</f>
        <v>158.69999999999999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73</v>
      </c>
      <c r="Y295" s="628">
        <f>IFERROR(IF(X295="",0,CEILING((X295/$H295),1)*$H295),"")</f>
        <v>74.399999999999991</v>
      </c>
      <c r="Z295" s="36">
        <f>IFERROR(IF(Y295=0,"",ROUNDUP(Y295/H295,0)*0.00651),"")</f>
        <v>0.20181000000000002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80.665000000000006</v>
      </c>
      <c r="BN295" s="64">
        <f>IFERROR(Y295*I295/H295,"0")</f>
        <v>82.212000000000003</v>
      </c>
      <c r="BO295" s="64">
        <f>IFERROR(1/J295*(X295/H295),"0")</f>
        <v>0.16712454212454214</v>
      </c>
      <c r="BP295" s="64">
        <f>IFERROR(1/J295*(Y295/H295),"0")</f>
        <v>0.17032967032967034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30.416666666666668</v>
      </c>
      <c r="Y297" s="629">
        <f>IFERROR(Y295/H295,"0")+IFERROR(Y296/H296,"0")</f>
        <v>30.999999999999996</v>
      </c>
      <c r="Z297" s="629">
        <f>IFERROR(IF(Z295="",0,Z295),"0")+IFERROR(IF(Z296="",0,Z296),"0")</f>
        <v>0.20181000000000002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73</v>
      </c>
      <c r="Y298" s="629">
        <f>IFERROR(SUM(Y295:Y296),"0")</f>
        <v>74.399999999999991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6</v>
      </c>
      <c r="Y315" s="628">
        <f>IFERROR(IF(X315="",0,CEILING((X315/$H315),1)*$H315),"")</f>
        <v>7.2</v>
      </c>
      <c r="Z315" s="36">
        <f>IFERROR(IF(Y315=0,"",ROUNDUP(Y315/H315,0)*0.0059),"")</f>
        <v>2.3599999999999999E-2</v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6.5833333333333339</v>
      </c>
      <c r="BN315" s="64">
        <f>IFERROR(Y315*I315/H315,"0")</f>
        <v>7.9</v>
      </c>
      <c r="BO315" s="64">
        <f>IFERROR(1/J315*(X315/H315),"0")</f>
        <v>1.5432098765432096E-2</v>
      </c>
      <c r="BP315" s="64">
        <f>IFERROR(1/J315*(Y315/H315),"0")</f>
        <v>1.8518518518518517E-2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3.333333333333333</v>
      </c>
      <c r="Y316" s="629">
        <f>IFERROR(Y315/H315,"0")</f>
        <v>4</v>
      </c>
      <c r="Z316" s="629">
        <f>IFERROR(IF(Z315="",0,Z315),"0")</f>
        <v>2.3599999999999999E-2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6</v>
      </c>
      <c r="Y317" s="629">
        <f>IFERROR(SUM(Y315:Y315),"0")</f>
        <v>7.2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53</v>
      </c>
      <c r="Y336" s="628">
        <f>IFERROR(IF(X336="",0,CEILING((X336/$H336),1)*$H336),"")</f>
        <v>55.199999999999996</v>
      </c>
      <c r="Z336" s="36">
        <f>IFERROR(IF(Y336=0,"",ROUNDUP(Y336/H336,0)*0.00651),"")</f>
        <v>0.14973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58.565000000000005</v>
      </c>
      <c r="BN336" s="64">
        <f>IFERROR(Y336*I336/H336,"0")</f>
        <v>60.996000000000002</v>
      </c>
      <c r="BO336" s="64">
        <f>IFERROR(1/J336*(X336/H336),"0")</f>
        <v>0.12133699633699636</v>
      </c>
      <c r="BP336" s="64">
        <f>IFERROR(1/J336*(Y336/H336),"0")</f>
        <v>0.1263736263736264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20</v>
      </c>
      <c r="Y337" s="628">
        <f>IFERROR(IF(X337="",0,CEILING((X337/$H337),1)*$H337),"")</f>
        <v>21.599999999999998</v>
      </c>
      <c r="Z337" s="36">
        <f>IFERROR(IF(Y337=0,"",ROUNDUP(Y337/H337,0)*0.00651),"")</f>
        <v>5.8590000000000003E-2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21.5</v>
      </c>
      <c r="BN337" s="64">
        <f>IFERROR(Y337*I337/H337,"0")</f>
        <v>23.22</v>
      </c>
      <c r="BO337" s="64">
        <f>IFERROR(1/J337*(X337/H337),"0")</f>
        <v>4.5787545787545791E-2</v>
      </c>
      <c r="BP337" s="64">
        <f>IFERROR(1/J337*(Y337/H337),"0")</f>
        <v>4.9450549450549455E-2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30.416666666666671</v>
      </c>
      <c r="Y338" s="629">
        <f>IFERROR(Y335/H335,"0")+IFERROR(Y336/H336,"0")+IFERROR(Y337/H337,"0")</f>
        <v>32</v>
      </c>
      <c r="Z338" s="629">
        <f>IFERROR(IF(Z335="",0,Z335),"0")+IFERROR(IF(Z336="",0,Z336),"0")+IFERROR(IF(Z337="",0,Z337),"0")</f>
        <v>0.20832000000000001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73</v>
      </c>
      <c r="Y339" s="629">
        <f>IFERROR(SUM(Y335:Y337),"0")</f>
        <v>76.8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11</v>
      </c>
      <c r="Y358" s="628">
        <f>IFERROR(IF(X358="",0,CEILING((X358/$H358),1)*$H358),"")</f>
        <v>15.6</v>
      </c>
      <c r="Z358" s="36">
        <f>IFERROR(IF(Y358=0,"",ROUNDUP(Y358/H358,0)*0.01898),"")</f>
        <v>3.7960000000000001E-2</v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11.578205128205129</v>
      </c>
      <c r="BN358" s="64">
        <f>IFERROR(Y358*I358/H358,"0")</f>
        <v>16.420000000000002</v>
      </c>
      <c r="BO358" s="64">
        <f>IFERROR(1/J358*(X358/H358),"0")</f>
        <v>2.2035256410256412E-2</v>
      </c>
      <c r="BP358" s="64">
        <f>IFERROR(1/J358*(Y358/H358),"0")</f>
        <v>3.125E-2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1.4102564102564104</v>
      </c>
      <c r="Y359" s="629">
        <f>IFERROR(Y356/H356,"0")+IFERROR(Y357/H357,"0")+IFERROR(Y358/H358,"0")</f>
        <v>2</v>
      </c>
      <c r="Z359" s="629">
        <f>IFERROR(IF(Z356="",0,Z356),"0")+IFERROR(IF(Z357="",0,Z357),"0")+IFERROR(IF(Z358="",0,Z358),"0")</f>
        <v>3.7960000000000001E-2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11</v>
      </c>
      <c r="Y360" s="629">
        <f>IFERROR(SUM(Y356:Y358),"0")</f>
        <v>15.6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6</v>
      </c>
      <c r="Y377" s="628">
        <f t="shared" si="42"/>
        <v>7.2</v>
      </c>
      <c r="Z377" s="36">
        <f>IFERROR(IF(Y377=0,"",ROUNDUP(Y377/H377,0)*0.00651),"")</f>
        <v>2.6040000000000001E-2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6.76</v>
      </c>
      <c r="BN377" s="64">
        <f t="shared" si="44"/>
        <v>8.1120000000000001</v>
      </c>
      <c r="BO377" s="64">
        <f t="shared" si="45"/>
        <v>1.8315018315018316E-2</v>
      </c>
      <c r="BP377" s="64">
        <f t="shared" si="46"/>
        <v>2.197802197802198E-2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3.333333333333333</v>
      </c>
      <c r="Y378" s="629">
        <f>IFERROR(Y371/H371,"0")+IFERROR(Y372/H372,"0")+IFERROR(Y373/H373,"0")+IFERROR(Y374/H374,"0")+IFERROR(Y375/H375,"0")+IFERROR(Y376/H376,"0")+IFERROR(Y377/H377,"0")</f>
        <v>4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2.6040000000000001E-2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6</v>
      </c>
      <c r="Y379" s="629">
        <f>IFERROR(SUM(Y371:Y377),"0")</f>
        <v>7.2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346</v>
      </c>
      <c r="Y389" s="628">
        <f>IFERROR(IF(X389="",0,CEILING((X389/$H389),1)*$H389),"")</f>
        <v>351</v>
      </c>
      <c r="Z389" s="36">
        <f>IFERROR(IF(Y389=0,"",ROUNDUP(Y389/H389,0)*0.01898),"")</f>
        <v>0.85409999999999997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367.91333333333336</v>
      </c>
      <c r="BN389" s="64">
        <f>IFERROR(Y389*I389/H389,"0")</f>
        <v>373.23</v>
      </c>
      <c r="BO389" s="64">
        <f>IFERROR(1/J389*(X389/H389),"0")</f>
        <v>0.69310897435897434</v>
      </c>
      <c r="BP389" s="64">
        <f>IFERROR(1/J389*(Y389/H389),"0")</f>
        <v>0.703125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32</v>
      </c>
      <c r="Y390" s="628">
        <f>IFERROR(IF(X390="",0,CEILING((X390/$H390),1)*$H390),"")</f>
        <v>33.6</v>
      </c>
      <c r="Z390" s="36">
        <f>IFERROR(IF(Y390=0,"",ROUNDUP(Y390/H390,0)*0.01898),"")</f>
        <v>7.5920000000000001E-2</v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33.881904761904764</v>
      </c>
      <c r="BN390" s="64">
        <f>IFERROR(Y390*I390/H390,"0")</f>
        <v>35.576000000000001</v>
      </c>
      <c r="BO390" s="64">
        <f>IFERROR(1/J390*(X390/H390),"0")</f>
        <v>5.9523809523809521E-2</v>
      </c>
      <c r="BP390" s="64">
        <f>IFERROR(1/J390*(Y390/H390),"0")</f>
        <v>6.25E-2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48.168498168498168</v>
      </c>
      <c r="Y391" s="629">
        <f>IFERROR(Y388/H388,"0")+IFERROR(Y389/H389,"0")+IFERROR(Y390/H390,"0")</f>
        <v>49</v>
      </c>
      <c r="Z391" s="629">
        <f>IFERROR(IF(Z388="",0,Z388),"0")+IFERROR(IF(Z389="",0,Z389),"0")+IFERROR(IF(Z390="",0,Z390),"0")</f>
        <v>0.93001999999999996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378</v>
      </c>
      <c r="Y392" s="629">
        <f>IFERROR(SUM(Y388:Y390),"0")</f>
        <v>384.6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29</v>
      </c>
      <c r="Y394" s="628">
        <f>IFERROR(IF(X394="",0,CEILING((X394/$H394),1)*$H394),"")</f>
        <v>30.4</v>
      </c>
      <c r="Z394" s="36">
        <f>IFERROR(IF(Y394=0,"",ROUNDUP(Y394/H394,0)*0.00902),"")</f>
        <v>9.0200000000000002E-2</v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31.575657894736839</v>
      </c>
      <c r="BN394" s="64">
        <f>IFERROR(Y394*I394/H394,"0")</f>
        <v>33.1</v>
      </c>
      <c r="BO394" s="64">
        <f>IFERROR(1/J394*(X394/H394),"0")</f>
        <v>7.2268740031897927E-2</v>
      </c>
      <c r="BP394" s="64">
        <f>IFERROR(1/J394*(Y394/H394),"0")</f>
        <v>7.575757575757576E-2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5</v>
      </c>
      <c r="Y397" s="628">
        <f>IFERROR(IF(X397="",0,CEILING((X397/$H397),1)*$H397),"")</f>
        <v>5.0999999999999996</v>
      </c>
      <c r="Z397" s="36">
        <f>IFERROR(IF(Y397=0,"",ROUNDUP(Y397/H397,0)*0.00651),"")</f>
        <v>1.302E-2</v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5.6470588235294112</v>
      </c>
      <c r="BN397" s="64">
        <f>IFERROR(Y397*I397/H397,"0")</f>
        <v>5.76</v>
      </c>
      <c r="BO397" s="64">
        <f>IFERROR(1/J397*(X397/H397),"0")</f>
        <v>1.0773540185304893E-2</v>
      </c>
      <c r="BP397" s="64">
        <f>IFERROR(1/J397*(Y397/H397),"0")</f>
        <v>1.098901098901099E-2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11.500257997936016</v>
      </c>
      <c r="Y398" s="629">
        <f>IFERROR(Y394/H394,"0")+IFERROR(Y395/H395,"0")+IFERROR(Y396/H396,"0")+IFERROR(Y397/H397,"0")</f>
        <v>12</v>
      </c>
      <c r="Z398" s="629">
        <f>IFERROR(IF(Z394="",0,Z394),"0")+IFERROR(IF(Z395="",0,Z395),"0")+IFERROR(IF(Z396="",0,Z396),"0")+IFERROR(IF(Z397="",0,Z397),"0")</f>
        <v>0.10322000000000001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34</v>
      </c>
      <c r="Y399" s="629">
        <f>IFERROR(SUM(Y394:Y397),"0")</f>
        <v>35.5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10</v>
      </c>
      <c r="Y402" s="628">
        <f>IFERROR(IF(X402="",0,CEILING((X402/$H402),1)*$H402),"")</f>
        <v>10</v>
      </c>
      <c r="Z402" s="36">
        <f>IFERROR(IF(Y402=0,"",ROUNDUP(Y402/H402,0)*0.00474),"")</f>
        <v>2.3700000000000002E-2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11.200000000000001</v>
      </c>
      <c r="BN402" s="64">
        <f>IFERROR(Y402*I402/H402,"0")</f>
        <v>11.200000000000001</v>
      </c>
      <c r="BO402" s="64">
        <f>IFERROR(1/J402*(X402/H402),"0")</f>
        <v>2.1008403361344536E-2</v>
      </c>
      <c r="BP402" s="64">
        <f>IFERROR(1/J402*(Y402/H402),"0")</f>
        <v>2.1008403361344536E-2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5</v>
      </c>
      <c r="Y404" s="629">
        <f>IFERROR(Y401/H401,"0")+IFERROR(Y402/H402,"0")+IFERROR(Y403/H403,"0")</f>
        <v>5</v>
      </c>
      <c r="Z404" s="629">
        <f>IFERROR(IF(Z401="",0,Z401),"0")+IFERROR(IF(Z402="",0,Z402),"0")+IFERROR(IF(Z403="",0,Z403),"0")</f>
        <v>2.3700000000000002E-2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10</v>
      </c>
      <c r="Y405" s="629">
        <f>IFERROR(SUM(Y401:Y403),"0")</f>
        <v>10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16</v>
      </c>
      <c r="Y416" s="628">
        <f>IFERROR(IF(X416="",0,CEILING((X416/$H416),1)*$H416),"")</f>
        <v>16.8</v>
      </c>
      <c r="Z416" s="36">
        <f>IFERROR(IF(Y416=0,"",ROUNDUP(Y416/H416,0)*0.00651),"")</f>
        <v>5.2080000000000001E-2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17.828571428571426</v>
      </c>
      <c r="BN416" s="64">
        <f>IFERROR(Y416*I416/H416,"0")</f>
        <v>18.72</v>
      </c>
      <c r="BO416" s="64">
        <f>IFERROR(1/J416*(X416/H416),"0")</f>
        <v>4.1862899005756148E-2</v>
      </c>
      <c r="BP416" s="64">
        <f>IFERROR(1/J416*(Y416/H416),"0")</f>
        <v>4.3956043956043959E-2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7.6190476190476186</v>
      </c>
      <c r="Y417" s="629">
        <f>IFERROR(Y414/H414,"0")+IFERROR(Y415/H415,"0")+IFERROR(Y416/H416,"0")</f>
        <v>8</v>
      </c>
      <c r="Z417" s="629">
        <f>IFERROR(IF(Z414="",0,Z414),"0")+IFERROR(IF(Z415="",0,Z415),"0")+IFERROR(IF(Z416="",0,Z416),"0")</f>
        <v>5.2080000000000001E-2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16</v>
      </c>
      <c r="Y418" s="629">
        <f>IFERROR(SUM(Y414:Y416),"0")</f>
        <v>16.8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0</v>
      </c>
      <c r="Y430" s="629">
        <f>IFERROR(Y422/H422,"0")+IFERROR(Y423/H423,"0")+IFERROR(Y424/H424,"0")+IFERROR(Y425/H425,"0")+IFERROR(Y426/H426,"0")+IFERROR(Y427/H427,"0")+IFERROR(Y428/H428,"0")+IFERROR(Y429/H429,"0")</f>
        <v>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0</v>
      </c>
      <c r="Y431" s="629">
        <f>IFERROR(SUM(Y422:Y429),"0")</f>
        <v>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115</v>
      </c>
      <c r="Y446" s="628">
        <f>IFERROR(IF(X446="",0,CEILING((X446/$H446),1)*$H446),"")</f>
        <v>117</v>
      </c>
      <c r="Z446" s="36">
        <f>IFERROR(IF(Y446=0,"",ROUNDUP(Y446/H446,0)*0.01898),"")</f>
        <v>0.24674000000000001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121.31222222222222</v>
      </c>
      <c r="BN446" s="64">
        <f>IFERROR(Y446*I446/H446,"0")</f>
        <v>123.422</v>
      </c>
      <c r="BO446" s="64">
        <f>IFERROR(1/J446*(X446/H446),"0")</f>
        <v>0.19965277777777779</v>
      </c>
      <c r="BP446" s="64">
        <f>IFERROR(1/J446*(Y446/H446),"0")</f>
        <v>0.203125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12.777777777777779</v>
      </c>
      <c r="Y447" s="629">
        <f>IFERROR(Y445/H445,"0")+IFERROR(Y446/H446,"0")</f>
        <v>13</v>
      </c>
      <c r="Z447" s="629">
        <f>IFERROR(IF(Z445="",0,Z445),"0")+IFERROR(IF(Z446="",0,Z446),"0")</f>
        <v>0.24674000000000001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115</v>
      </c>
      <c r="Y448" s="629">
        <f>IFERROR(SUM(Y445:Y446),"0")</f>
        <v>117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21</v>
      </c>
      <c r="Y461" s="628">
        <f>IFERROR(IF(X461="",0,CEILING((X461/$H461),1)*$H461),"")</f>
        <v>21.599999999999998</v>
      </c>
      <c r="Z461" s="36">
        <f>IFERROR(IF(Y461=0,"",ROUNDUP(Y461/H461,0)*0.00651),"")</f>
        <v>5.8590000000000003E-2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23.310000000000002</v>
      </c>
      <c r="BN461" s="64">
        <f>IFERROR(Y461*I461/H461,"0")</f>
        <v>23.976000000000003</v>
      </c>
      <c r="BO461" s="64">
        <f>IFERROR(1/J461*(X461/H461),"0")</f>
        <v>4.807692307692308E-2</v>
      </c>
      <c r="BP461" s="64">
        <f>IFERROR(1/J461*(Y461/H461),"0")</f>
        <v>4.9450549450549455E-2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8.75</v>
      </c>
      <c r="Y463" s="629">
        <f>IFERROR(Y460/H460,"0")+IFERROR(Y461/H461,"0")+IFERROR(Y462/H462,"0")</f>
        <v>9</v>
      </c>
      <c r="Z463" s="629">
        <f>IFERROR(IF(Z460="",0,Z460),"0")+IFERROR(IF(Z461="",0,Z461),"0")+IFERROR(IF(Z462="",0,Z462),"0")</f>
        <v>5.8590000000000003E-2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21</v>
      </c>
      <c r="Y464" s="629">
        <f>IFERROR(SUM(Y460:Y462),"0")</f>
        <v>21.599999999999998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82</v>
      </c>
      <c r="Y495" s="628">
        <f t="shared" ref="Y495:Y503" si="57">IFERROR(IF(X495="",0,CEILING((X495/$H495),1)*$H495),"")</f>
        <v>84.48</v>
      </c>
      <c r="Z495" s="36">
        <f t="shared" ref="Z495:Z500" si="58">IFERROR(IF(Y495=0,"",ROUNDUP(Y495/H495,0)*0.01196),"")</f>
        <v>0.19136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87.435606060606048</v>
      </c>
      <c r="BN495" s="64">
        <f t="shared" ref="BN495:BN503" si="60">IFERROR(Y495*I495/H495,"0")</f>
        <v>90.08</v>
      </c>
      <c r="BO495" s="64">
        <f t="shared" ref="BO495:BO503" si="61">IFERROR(1/J495*(X495/H495),"0")</f>
        <v>0.14932983682983683</v>
      </c>
      <c r="BP495" s="64">
        <f t="shared" ref="BP495:BP503" si="62">IFERROR(1/J495*(Y495/H495),"0")</f>
        <v>0.15384615384615385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26</v>
      </c>
      <c r="Y497" s="628">
        <f t="shared" si="57"/>
        <v>26.400000000000002</v>
      </c>
      <c r="Z497" s="36">
        <f t="shared" si="58"/>
        <v>5.9799999999999999E-2</v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27.723484848484848</v>
      </c>
      <c r="BN497" s="64">
        <f t="shared" si="60"/>
        <v>28.15</v>
      </c>
      <c r="BO497" s="64">
        <f t="shared" si="61"/>
        <v>4.7348484848484848E-2</v>
      </c>
      <c r="BP497" s="64">
        <f t="shared" si="62"/>
        <v>4.807692307692308E-2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89</v>
      </c>
      <c r="Y503" s="628">
        <f t="shared" si="57"/>
        <v>91.2</v>
      </c>
      <c r="Z503" s="36">
        <f>IFERROR(IF(Y503=0,"",ROUNDUP(Y503/H503,0)*0.00902),"")</f>
        <v>0.17138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128.12291666666667</v>
      </c>
      <c r="BN503" s="64">
        <f t="shared" si="60"/>
        <v>131.29000000000002</v>
      </c>
      <c r="BO503" s="64">
        <f t="shared" si="61"/>
        <v>0.14046717171717174</v>
      </c>
      <c r="BP503" s="64">
        <f t="shared" si="62"/>
        <v>0.14393939393939395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38.996212121212125</v>
      </c>
      <c r="Y504" s="629">
        <f>IFERROR(Y495/H495,"0")+IFERROR(Y496/H496,"0")+IFERROR(Y497/H497,"0")+IFERROR(Y498/H498,"0")+IFERROR(Y499/H499,"0")+IFERROR(Y500/H500,"0")+IFERROR(Y501/H501,"0")+IFERROR(Y502/H502,"0")+IFERROR(Y503/H503,"0")</f>
        <v>40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0.42254000000000003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197</v>
      </c>
      <c r="Y505" s="629">
        <f>IFERROR(SUM(Y495:Y503),"0")</f>
        <v>202.08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300</v>
      </c>
      <c r="Y507" s="628">
        <f>IFERROR(IF(X507="",0,CEILING((X507/$H507),1)*$H507),"")</f>
        <v>300.96000000000004</v>
      </c>
      <c r="Z507" s="36">
        <f>IFERROR(IF(Y507=0,"",ROUNDUP(Y507/H507,0)*0.01196),"")</f>
        <v>0.68171999999999999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319.88636363636363</v>
      </c>
      <c r="BN507" s="64">
        <f>IFERROR(Y507*I507/H507,"0")</f>
        <v>320.91000000000003</v>
      </c>
      <c r="BO507" s="64">
        <f>IFERROR(1/J507*(X507/H507),"0")</f>
        <v>0.54632867132867136</v>
      </c>
      <c r="BP507" s="64">
        <f>IFERROR(1/J507*(Y507/H507),"0")</f>
        <v>0.54807692307692313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53</v>
      </c>
      <c r="Y509" s="628">
        <f>IFERROR(IF(X509="",0,CEILING((X509/$H509),1)*$H509),"")</f>
        <v>57.599999999999994</v>
      </c>
      <c r="Z509" s="36">
        <f>IFERROR(IF(Y509=0,"",ROUNDUP(Y509/H509,0)*0.00902),"")</f>
        <v>0.10824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76.29791666666668</v>
      </c>
      <c r="BN509" s="64">
        <f>IFERROR(Y509*I509/H509,"0")</f>
        <v>82.92</v>
      </c>
      <c r="BO509" s="64">
        <f>IFERROR(1/J509*(X509/H509),"0")</f>
        <v>8.3648989898989917E-2</v>
      </c>
      <c r="BP509" s="64">
        <f>IFERROR(1/J509*(Y509/H509),"0")</f>
        <v>9.0909090909090912E-2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67.859848484848484</v>
      </c>
      <c r="Y510" s="629">
        <f>IFERROR(Y507/H507,"0")+IFERROR(Y508/H508,"0")+IFERROR(Y509/H509,"0")</f>
        <v>69</v>
      </c>
      <c r="Z510" s="629">
        <f>IFERROR(IF(Z507="",0,Z507),"0")+IFERROR(IF(Z508="",0,Z508),"0")+IFERROR(IF(Z509="",0,Z509),"0")</f>
        <v>0.78996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353</v>
      </c>
      <c r="Y511" s="629">
        <f>IFERROR(SUM(Y507:Y509),"0")</f>
        <v>358.56000000000006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33</v>
      </c>
      <c r="Y514" s="628">
        <f t="shared" si="63"/>
        <v>36.96</v>
      </c>
      <c r="Z514" s="36">
        <f>IFERROR(IF(Y514=0,"",ROUNDUP(Y514/H514,0)*0.01196),"")</f>
        <v>8.3720000000000003E-2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35.1875</v>
      </c>
      <c r="BN514" s="64">
        <f t="shared" si="65"/>
        <v>39.409999999999997</v>
      </c>
      <c r="BO514" s="64">
        <f t="shared" si="66"/>
        <v>6.0096153846153848E-2</v>
      </c>
      <c r="BP514" s="64">
        <f t="shared" si="67"/>
        <v>6.7307692307692318E-2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6.25</v>
      </c>
      <c r="Y520" s="629">
        <f>IFERROR(Y513/H513,"0")+IFERROR(Y514/H514,"0")+IFERROR(Y515/H515,"0")+IFERROR(Y516/H516,"0")+IFERROR(Y517/H517,"0")+IFERROR(Y518/H518,"0")+IFERROR(Y519/H519,"0")</f>
        <v>7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8.3720000000000003E-2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33</v>
      </c>
      <c r="Y521" s="629">
        <f>IFERROR(SUM(Y513:Y519),"0")</f>
        <v>36.96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182</v>
      </c>
      <c r="Y537" s="628">
        <f>IFERROR(IF(X537="",0,CEILING((X537/$H537),1)*$H537),"")</f>
        <v>189</v>
      </c>
      <c r="Z537" s="36">
        <f>IFERROR(IF(Y537=0,"",ROUNDUP(Y537/H537,0)*0.01898),"")</f>
        <v>0.39857999999999999</v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191.98977777777776</v>
      </c>
      <c r="BN537" s="64">
        <f>IFERROR(Y537*I537/H537,"0")</f>
        <v>199.374</v>
      </c>
      <c r="BO537" s="64">
        <f>IFERROR(1/J537*(X537/H537),"0")</f>
        <v>0.31597222222222221</v>
      </c>
      <c r="BP537" s="64">
        <f>IFERROR(1/J537*(Y537/H537),"0")</f>
        <v>0.328125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20.222222222222221</v>
      </c>
      <c r="Y538" s="629">
        <f>IFERROR(Y537/H537,"0")</f>
        <v>21</v>
      </c>
      <c r="Z538" s="629">
        <f>IFERROR(IF(Z537="",0,Z537),"0")</f>
        <v>0.39857999999999999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182</v>
      </c>
      <c r="Y539" s="629">
        <f>IFERROR(SUM(Y537:Y537),"0")</f>
        <v>189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2622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2720.36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2849.7736626642964</v>
      </c>
      <c r="Y551" s="629">
        <f>IFERROR(SUM(BN22:BN547),"0")</f>
        <v>2956.864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5</v>
      </c>
      <c r="Y552" s="38">
        <f>ROUNDUP(SUM(BP22:BP547),0)</f>
        <v>6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2974.7736626642964</v>
      </c>
      <c r="Y553" s="629">
        <f>GrossWeightTotalR+PalletQtyTotalR*25</f>
        <v>3106.864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630.10535120719578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653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6.2532599999999992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140.4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114.8</v>
      </c>
      <c r="F560" s="46">
        <f>IFERROR(Y88*1,"0")+IFERROR(Y89*1,"0")+IFERROR(Y90*1,"0")+IFERROR(Y91*1,"0")+IFERROR(Y95*1,"0")+IFERROR(Y96*1,"0")+IFERROR(Y97*1,"0")+IFERROR(Y98*1,"0")</f>
        <v>108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203.94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38.800000000000004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21.54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49.68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564.29999999999995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7.2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76.8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15.6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437.3</v>
      </c>
      <c r="U560" s="46">
        <f>IFERROR(Y414*1,"0")+IFERROR(Y415*1,"0")+IFERROR(Y416*1,"0")</f>
        <v>16.8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117</v>
      </c>
      <c r="W560" s="46">
        <f>IFERROR(Y451*1,"0")+IFERROR(Y452*1,"0")+IFERROR(Y456*1,"0")+IFERROR(Y460*1,"0")+IFERROR(Y461*1,"0")+IFERROR(Y462*1,"0")</f>
        <v>21.599999999999998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597.60000000000014</v>
      </c>
      <c r="AA560" s="46">
        <f>IFERROR(Y525*1,"0")+IFERROR(Y529*1,"0")+IFERROR(Y533*1,"0")+IFERROR(Y537*1,"0")+IFERROR(Y541*1,"0")+IFERROR(Y542*1,"0")</f>
        <v>189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2026-07-29T09:28:34Z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