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16,07,26 ПОКОМ КИ\"/>
    </mc:Choice>
  </mc:AlternateContent>
  <xr:revisionPtr revIDLastSave="0" documentId="13_ncr:1_{4352543F-CFB9-4BE5-B91D-C5697F5251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Sheet!$A$3:$AH$112</definedName>
  </definedNames>
  <calcPr calcId="191029"/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6" i="1"/>
  <c r="Q5" i="1"/>
  <c r="T9" i="1"/>
  <c r="AH9" i="1" s="1"/>
  <c r="T12" i="1"/>
  <c r="AH12" i="1" s="1"/>
  <c r="T13" i="1"/>
  <c r="AH13" i="1" s="1"/>
  <c r="T14" i="1"/>
  <c r="AH14" i="1" s="1"/>
  <c r="T22" i="1"/>
  <c r="AH22" i="1" s="1"/>
  <c r="T24" i="1"/>
  <c r="AH24" i="1" s="1"/>
  <c r="T29" i="1"/>
  <c r="AH29" i="1" s="1"/>
  <c r="T30" i="1"/>
  <c r="AH30" i="1" s="1"/>
  <c r="T31" i="1"/>
  <c r="AH31" i="1" s="1"/>
  <c r="T32" i="1"/>
  <c r="AH32" i="1" s="1"/>
  <c r="T33" i="1"/>
  <c r="AH33" i="1" s="1"/>
  <c r="T35" i="1"/>
  <c r="AH35" i="1" s="1"/>
  <c r="T37" i="1"/>
  <c r="AH37" i="1" s="1"/>
  <c r="T38" i="1"/>
  <c r="AH38" i="1" s="1"/>
  <c r="T39" i="1"/>
  <c r="AH39" i="1" s="1"/>
  <c r="T41" i="1"/>
  <c r="AH41" i="1" s="1"/>
  <c r="T44" i="1"/>
  <c r="AH44" i="1" s="1"/>
  <c r="T45" i="1"/>
  <c r="AH45" i="1" s="1"/>
  <c r="T47" i="1"/>
  <c r="AH47" i="1" s="1"/>
  <c r="T48" i="1"/>
  <c r="AH48" i="1" s="1"/>
  <c r="T50" i="1"/>
  <c r="AH50" i="1" s="1"/>
  <c r="T52" i="1"/>
  <c r="AH52" i="1" s="1"/>
  <c r="T54" i="1"/>
  <c r="AH54" i="1" s="1"/>
  <c r="T55" i="1"/>
  <c r="AH55" i="1" s="1"/>
  <c r="T60" i="1"/>
  <c r="AH60" i="1" s="1"/>
  <c r="T62" i="1"/>
  <c r="AH62" i="1" s="1"/>
  <c r="T65" i="1"/>
  <c r="AH65" i="1" s="1"/>
  <c r="T70" i="1"/>
  <c r="AH70" i="1" s="1"/>
  <c r="T74" i="1"/>
  <c r="AH74" i="1" s="1"/>
  <c r="T75" i="1"/>
  <c r="AH75" i="1" s="1"/>
  <c r="T77" i="1"/>
  <c r="AH77" i="1" s="1"/>
  <c r="T78" i="1"/>
  <c r="AH78" i="1" s="1"/>
  <c r="T79" i="1"/>
  <c r="AH79" i="1" s="1"/>
  <c r="T80" i="1"/>
  <c r="AH80" i="1" s="1"/>
  <c r="T81" i="1"/>
  <c r="AH81" i="1" s="1"/>
  <c r="T82" i="1"/>
  <c r="AH82" i="1" s="1"/>
  <c r="T86" i="1"/>
  <c r="AH86" i="1" s="1"/>
  <c r="T88" i="1"/>
  <c r="AH88" i="1" s="1"/>
  <c r="T90" i="1"/>
  <c r="AH90" i="1" s="1"/>
  <c r="T91" i="1"/>
  <c r="AH91" i="1" s="1"/>
  <c r="T92" i="1"/>
  <c r="AH92" i="1" s="1"/>
  <c r="T93" i="1"/>
  <c r="AH93" i="1" s="1"/>
  <c r="T100" i="1"/>
  <c r="AH100" i="1" s="1"/>
  <c r="T102" i="1"/>
  <c r="AH102" i="1" s="1"/>
  <c r="T109" i="1"/>
  <c r="AH109" i="1" s="1"/>
  <c r="T110" i="1"/>
  <c r="AH110" i="1" s="1"/>
  <c r="T111" i="1"/>
  <c r="AH111" i="1" s="1"/>
  <c r="T112" i="1"/>
  <c r="AH112" i="1" s="1"/>
  <c r="R7" i="1" l="1"/>
  <c r="R8" i="1"/>
  <c r="S8" i="1" s="1"/>
  <c r="T8" i="1" s="1"/>
  <c r="R9" i="1"/>
  <c r="R10" i="1"/>
  <c r="R11" i="1"/>
  <c r="R12" i="1"/>
  <c r="R13" i="1"/>
  <c r="R14" i="1"/>
  <c r="R15" i="1"/>
  <c r="R16" i="1"/>
  <c r="S16" i="1" s="1"/>
  <c r="T16" i="1" s="1"/>
  <c r="AH16" i="1" s="1"/>
  <c r="R17" i="1"/>
  <c r="R18" i="1"/>
  <c r="R19" i="1"/>
  <c r="R20" i="1"/>
  <c r="S20" i="1" s="1"/>
  <c r="T20" i="1" s="1"/>
  <c r="AH20" i="1" s="1"/>
  <c r="R21" i="1"/>
  <c r="R22" i="1"/>
  <c r="R23" i="1"/>
  <c r="R24" i="1"/>
  <c r="R25" i="1"/>
  <c r="R26" i="1"/>
  <c r="R27" i="1"/>
  <c r="S27" i="1" s="1"/>
  <c r="T27" i="1" s="1"/>
  <c r="R28" i="1"/>
  <c r="S28" i="1" s="1"/>
  <c r="T28" i="1" s="1"/>
  <c r="R29" i="1"/>
  <c r="R30" i="1"/>
  <c r="R31" i="1"/>
  <c r="R32" i="1"/>
  <c r="R33" i="1"/>
  <c r="R34" i="1"/>
  <c r="R35" i="1"/>
  <c r="R36" i="1"/>
  <c r="S36" i="1" s="1"/>
  <c r="T36" i="1" s="1"/>
  <c r="R37" i="1"/>
  <c r="R38" i="1"/>
  <c r="R39" i="1"/>
  <c r="R40" i="1"/>
  <c r="S40" i="1" s="1"/>
  <c r="T40" i="1" s="1"/>
  <c r="AH40" i="1" s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S56" i="1" s="1"/>
  <c r="T56" i="1" s="1"/>
  <c r="R57" i="1"/>
  <c r="R58" i="1"/>
  <c r="R59" i="1"/>
  <c r="R60" i="1"/>
  <c r="R61" i="1"/>
  <c r="R62" i="1"/>
  <c r="R63" i="1"/>
  <c r="R64" i="1"/>
  <c r="S64" i="1" s="1"/>
  <c r="T64" i="1" s="1"/>
  <c r="AH64" i="1" s="1"/>
  <c r="R65" i="1"/>
  <c r="R66" i="1"/>
  <c r="R67" i="1"/>
  <c r="R68" i="1"/>
  <c r="S68" i="1" s="1"/>
  <c r="T68" i="1" s="1"/>
  <c r="AH68" i="1" s="1"/>
  <c r="R69" i="1"/>
  <c r="R70" i="1"/>
  <c r="R71" i="1"/>
  <c r="R72" i="1"/>
  <c r="S72" i="1" s="1"/>
  <c r="T72" i="1" s="1"/>
  <c r="AH72" i="1" s="1"/>
  <c r="R73" i="1"/>
  <c r="R74" i="1"/>
  <c r="R75" i="1"/>
  <c r="R76" i="1"/>
  <c r="S76" i="1" s="1"/>
  <c r="T76" i="1" s="1"/>
  <c r="AH76" i="1" s="1"/>
  <c r="R77" i="1"/>
  <c r="R78" i="1"/>
  <c r="R79" i="1"/>
  <c r="R80" i="1"/>
  <c r="R81" i="1"/>
  <c r="R82" i="1"/>
  <c r="R83" i="1"/>
  <c r="R84" i="1"/>
  <c r="S84" i="1" s="1"/>
  <c r="T84" i="1" s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6" i="1"/>
  <c r="S6" i="1" s="1"/>
  <c r="T6" i="1" s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F5" i="1"/>
  <c r="E5" i="1"/>
  <c r="AH27" i="1" l="1"/>
  <c r="AH84" i="1"/>
  <c r="AH56" i="1"/>
  <c r="AH36" i="1"/>
  <c r="AH28" i="1"/>
  <c r="AH8" i="1"/>
  <c r="AH6" i="1"/>
  <c r="S99" i="1"/>
  <c r="T99" i="1" s="1"/>
  <c r="S107" i="1"/>
  <c r="T107" i="1" s="1"/>
  <c r="S105" i="1"/>
  <c r="T105" i="1" s="1"/>
  <c r="AH105" i="1" s="1"/>
  <c r="S101" i="1"/>
  <c r="T101" i="1" s="1"/>
  <c r="AH101" i="1" s="1"/>
  <c r="S97" i="1"/>
  <c r="T97" i="1" s="1"/>
  <c r="AH97" i="1" s="1"/>
  <c r="S89" i="1"/>
  <c r="T89" i="1" s="1"/>
  <c r="AH89" i="1" s="1"/>
  <c r="S87" i="1"/>
  <c r="T87" i="1" s="1"/>
  <c r="AH87" i="1" s="1"/>
  <c r="S85" i="1"/>
  <c r="T85" i="1" s="1"/>
  <c r="S83" i="1"/>
  <c r="T83" i="1" s="1"/>
  <c r="S73" i="1"/>
  <c r="T73" i="1" s="1"/>
  <c r="AH73" i="1" s="1"/>
  <c r="S95" i="1"/>
  <c r="T95" i="1" s="1"/>
  <c r="AH95" i="1" s="1"/>
  <c r="S103" i="1"/>
  <c r="T103" i="1" s="1"/>
  <c r="AH103" i="1" s="1"/>
  <c r="S108" i="1"/>
  <c r="T108" i="1" s="1"/>
  <c r="AH108" i="1" s="1"/>
  <c r="S106" i="1"/>
  <c r="T106" i="1" s="1"/>
  <c r="AH106" i="1" s="1"/>
  <c r="S104" i="1"/>
  <c r="T104" i="1" s="1"/>
  <c r="AH104" i="1" s="1"/>
  <c r="S98" i="1"/>
  <c r="T98" i="1" s="1"/>
  <c r="S96" i="1"/>
  <c r="T96" i="1" s="1"/>
  <c r="S94" i="1"/>
  <c r="T94" i="1" s="1"/>
  <c r="AH94" i="1" s="1"/>
  <c r="S10" i="1"/>
  <c r="T10" i="1" s="1"/>
  <c r="S18" i="1"/>
  <c r="T18" i="1" s="1"/>
  <c r="AH18" i="1" s="1"/>
  <c r="S26" i="1"/>
  <c r="T26" i="1" s="1"/>
  <c r="S34" i="1"/>
  <c r="T34" i="1" s="1"/>
  <c r="S42" i="1"/>
  <c r="T42" i="1" s="1"/>
  <c r="S46" i="1"/>
  <c r="T46" i="1" s="1"/>
  <c r="S58" i="1"/>
  <c r="T58" i="1" s="1"/>
  <c r="AH58" i="1" s="1"/>
  <c r="S66" i="1"/>
  <c r="T66" i="1" s="1"/>
  <c r="AH66" i="1" s="1"/>
  <c r="S7" i="1"/>
  <c r="S11" i="1"/>
  <c r="T11" i="1" s="1"/>
  <c r="S15" i="1"/>
  <c r="T15" i="1" s="1"/>
  <c r="S17" i="1"/>
  <c r="T17" i="1" s="1"/>
  <c r="AH17" i="1" s="1"/>
  <c r="S19" i="1"/>
  <c r="T19" i="1" s="1"/>
  <c r="S21" i="1"/>
  <c r="T21" i="1" s="1"/>
  <c r="S23" i="1"/>
  <c r="T23" i="1" s="1"/>
  <c r="S25" i="1"/>
  <c r="T25" i="1" s="1"/>
  <c r="AH25" i="1" s="1"/>
  <c r="S43" i="1"/>
  <c r="T43" i="1" s="1"/>
  <c r="AH43" i="1" s="1"/>
  <c r="S49" i="1"/>
  <c r="T49" i="1" s="1"/>
  <c r="AH49" i="1" s="1"/>
  <c r="S51" i="1"/>
  <c r="T51" i="1" s="1"/>
  <c r="S53" i="1"/>
  <c r="T53" i="1" s="1"/>
  <c r="AH53" i="1" s="1"/>
  <c r="S57" i="1"/>
  <c r="T57" i="1" s="1"/>
  <c r="AH57" i="1" s="1"/>
  <c r="S59" i="1"/>
  <c r="T59" i="1" s="1"/>
  <c r="S61" i="1"/>
  <c r="T61" i="1" s="1"/>
  <c r="AH61" i="1" s="1"/>
  <c r="S63" i="1"/>
  <c r="T63" i="1" s="1"/>
  <c r="S67" i="1"/>
  <c r="T67" i="1" s="1"/>
  <c r="S69" i="1"/>
  <c r="T69" i="1" s="1"/>
  <c r="AH69" i="1" s="1"/>
  <c r="S71" i="1"/>
  <c r="T71" i="1" s="1"/>
  <c r="AH71" i="1" s="1"/>
  <c r="R5" i="1"/>
  <c r="L5" i="1"/>
  <c r="AH63" i="1" l="1"/>
  <c r="AH59" i="1"/>
  <c r="AH21" i="1"/>
  <c r="AH11" i="1"/>
  <c r="AH46" i="1"/>
  <c r="AH34" i="1"/>
  <c r="AH83" i="1"/>
  <c r="AH99" i="1"/>
  <c r="AH67" i="1"/>
  <c r="AH51" i="1"/>
  <c r="AH23" i="1"/>
  <c r="AH19" i="1"/>
  <c r="AH15" i="1"/>
  <c r="T7" i="1"/>
  <c r="AH42" i="1"/>
  <c r="AH26" i="1"/>
  <c r="AH10" i="1"/>
  <c r="AH96" i="1"/>
  <c r="AH98" i="1"/>
  <c r="AH85" i="1"/>
  <c r="AH107" i="1"/>
  <c r="S5" i="1"/>
  <c r="AH7" i="1" l="1"/>
  <c r="AH5" i="1"/>
  <c r="T5" i="1"/>
</calcChain>
</file>

<file path=xl/sharedStrings.xml><?xml version="1.0" encoding="utf-8"?>
<sst xmlns="http://schemas.openxmlformats.org/spreadsheetml/2006/main" count="376" uniqueCount="256">
  <si>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</si>
  <si>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</si>
  <si>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</si>
  <si>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</si>
  <si>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</si>
  <si>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</si>
  <si>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</si>
  <si>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</si>
  <si>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</si>
  <si>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</si>
  <si>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</si>
  <si>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</si>
  <si>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</si>
  <si>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</si>
  <si>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</si>
  <si>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</si>
  <si>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</si>
  <si>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</si>
  <si>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</si>
  <si>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</si>
  <si>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</si>
  <si>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</si>
  <si>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14,07,</t>
  </si>
  <si>
    <t>18,07,</t>
  </si>
  <si>
    <t>16,07,</t>
  </si>
  <si>
    <t>09,07,</t>
  </si>
  <si>
    <t>07,07,</t>
  </si>
  <si>
    <t>02,07,</t>
  </si>
  <si>
    <t>30,06,</t>
  </si>
  <si>
    <t>25,06,</t>
  </si>
  <si>
    <t>23,06,</t>
  </si>
  <si>
    <t>16,06,</t>
  </si>
  <si>
    <t>09,06,</t>
  </si>
  <si>
    <t>02,06,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</si>
  <si>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</si>
  <si>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</si>
  <si>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</si>
  <si>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</si>
  <si>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</si>
  <si>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</si>
  <si>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</si>
  <si>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</si>
  <si>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</si>
  <si>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</si>
  <si>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</si>
  <si>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>P003985</t>
  </si>
  <si>
    <t xml:space="preserve"> 032  Сосиски Вязанка Сливочные, Вязанка амицел МГС, 0.45кг, ПОКОМ</t>
  </si>
  <si>
    <t>P003989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</si>
  <si>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</si>
  <si>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</si>
  <si>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</si>
  <si>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</si>
  <si>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</si>
  <si>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</si>
  <si>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</si>
  <si>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</si>
  <si>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</si>
  <si>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</si>
  <si>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</si>
  <si>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</si>
  <si>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</si>
  <si>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</si>
  <si>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</si>
  <si>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</si>
  <si>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</si>
  <si>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</si>
  <si>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</si>
  <si>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</si>
  <si>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</si>
  <si>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</si>
  <si>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</si>
  <si>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</si>
  <si>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</si>
  <si>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</si>
  <si>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</si>
  <si>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</si>
  <si>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</si>
  <si>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</si>
  <si>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</si>
  <si>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</si>
  <si>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</si>
  <si>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</si>
  <si>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</si>
  <si>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</si>
  <si>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</si>
  <si>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</si>
  <si>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</si>
  <si>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</si>
  <si>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</si>
  <si>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</si>
  <si>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</si>
  <si>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</si>
  <si>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</si>
  <si>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</si>
  <si>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</si>
  <si>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</si>
  <si>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</si>
  <si>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</si>
  <si>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</si>
  <si>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</si>
  <si>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</si>
  <si>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</si>
  <si>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</si>
  <si>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</si>
  <si>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</si>
  <si>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</si>
  <si>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</si>
  <si>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</si>
  <si>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</si>
  <si>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</si>
  <si>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</si>
  <si>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</si>
  <si>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</si>
  <si>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</si>
  <si>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</si>
  <si>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</si>
  <si>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</si>
  <si>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</si>
  <si>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</si>
  <si>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</si>
  <si>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</si>
  <si>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</si>
  <si>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</si>
  <si>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</si>
  <si>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</si>
  <si>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</si>
  <si>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</si>
  <si>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</si>
  <si>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</si>
  <si>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</si>
  <si>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</si>
  <si>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</si>
  <si>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</si>
  <si>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</si>
  <si>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</si>
  <si>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</si>
  <si>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</si>
  <si>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</si>
  <si>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</si>
  <si>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</si>
  <si>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</si>
  <si>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</si>
  <si>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</si>
  <si>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</si>
  <si>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</si>
  <si>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</si>
  <si>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</si>
  <si>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</si>
  <si>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</si>
  <si>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</si>
  <si>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</si>
  <si>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</si>
  <si>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</si>
  <si>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</si>
  <si>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</si>
  <si>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</si>
  <si>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</si>
  <si>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</si>
  <si>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</si>
  <si>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</si>
  <si>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</si>
  <si>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</si>
  <si>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</si>
  <si>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</si>
  <si>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</si>
  <si>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</si>
  <si>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</si>
  <si>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</si>
  <si>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</si>
  <si>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</si>
  <si>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</si>
  <si>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</si>
  <si>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</si>
  <si>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</si>
  <si>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</si>
  <si>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</si>
  <si>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</si>
  <si>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</si>
  <si>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</si>
  <si>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</si>
  <si>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</si>
  <si>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</si>
  <si>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</si>
  <si>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</si>
  <si>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</si>
  <si>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</si>
  <si>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</si>
  <si>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</si>
  <si>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</si>
  <si>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</si>
  <si>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</si>
  <si>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</si>
  <si>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</si>
  <si>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</si>
  <si>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</si>
  <si>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</si>
  <si>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</si>
  <si>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</si>
  <si>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</si>
  <si>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</si>
  <si>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</si>
  <si>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</si>
  <si>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</si>
  <si>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</si>
  <si>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</si>
  <si>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</si>
  <si>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</si>
  <si>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</si>
  <si>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</si>
  <si>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</si>
  <si>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</si>
  <si>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</si>
  <si>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</si>
  <si>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</si>
  <si>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</si>
  <si>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</si>
  <si>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</si>
  <si>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</si>
  <si>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</si>
  <si>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</si>
  <si>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</si>
  <si>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</si>
  <si>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</si>
  <si>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</si>
  <si>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</si>
  <si>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</si>
  <si>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</si>
  <si>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</si>
  <si>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</si>
  <si>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</si>
  <si>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</si>
  <si>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</si>
  <si>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</si>
  <si>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</si>
  <si>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</si>
  <si>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</si>
  <si>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</si>
  <si>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</si>
  <si>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</si>
  <si>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</si>
  <si>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</si>
  <si>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</si>
  <si>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</si>
  <si>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159 шт списание (04,07,26 - инвентаризация)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</si>
  <si>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</si>
  <si>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</si>
  <si>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</si>
  <si>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</si>
  <si>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</si>
  <si>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</si>
  <si>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нужно увеличить продажи</t>
  </si>
  <si>
    <t>нужно увеличить продажи!!!</t>
  </si>
  <si>
    <t>заказ</t>
  </si>
  <si>
    <t>20,07,</t>
  </si>
  <si>
    <t>дн</t>
  </si>
  <si>
    <t>18,07,(дозаказ)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</si>
</sst>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5" fontId="1" fillId="0" borderId="1" xfId="1" applyNumberFormat="1"/>
    <xf numFmtId="164" fontId="5" fillId="0" borderId="1" xfId="1" applyNumberFormat="1" applyFont="1"/>
    <xf numFmtId="164" fontId="1" fillId="7" borderId="1" xfId="1" applyNumberFormat="1" applyFill="1"/>
    <xf numFmtId="164" fontId="7" fillId="0" borderId="1" xfId="1" applyNumberFormat="1" applyFont="1"/>
    <xf numFmtId="164" fontId="7" fillId="3" borderId="1" xfId="1" applyNumberFormat="1" applyFont="1" applyFill="1"/>
    <xf numFmtId="164" fontId="7" fillId="6" borderId="1" xfId="1" applyNumberFormat="1" applyFont="1" applyFill="1"/>
    <xf numFmtId="164" fontId="7" fillId="5" borderId="1" xfId="1" applyNumberFormat="1" applyFont="1" applyFill="1"/>
    <xf numFmtId="0" fontId="6" fillId="0" borderId="0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11" sqref="Q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42578125" customWidth="1"/>
    <col min="15" max="16" width="7" customWidth="1"/>
    <col min="17" max="17" width="7" style="24" customWidth="1"/>
    <col min="18" max="20" width="7" customWidth="1"/>
    <col min="21" max="22" width="5" customWidth="1"/>
    <col min="23" max="32" width="6" customWidth="1"/>
    <col min="33" max="33" width="39.28515625" customWidth="1"/>
    <col min="34" max="34" width="7" customWidth="1"/>
    <col min="35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20"/>
      <c r="R1" s="1"/>
      <c r="S1" s="1"/>
      <c r="T1" s="17">
        <v>-1.4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20"/>
      <c r="R2" s="1"/>
      <c r="S2" s="1"/>
      <c r="T2" s="18" t="s">
        <v>254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252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20" t="s">
        <v>255</v>
      </c>
      <c r="R4" s="1" t="s">
        <v>24</v>
      </c>
      <c r="S4" s="1"/>
      <c r="T4" s="1" t="s">
        <v>253</v>
      </c>
      <c r="U4" s="1"/>
      <c r="V4" s="1"/>
      <c r="W4" s="1" t="s">
        <v>22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24745.292000000005</v>
      </c>
      <c r="F5" s="4">
        <f>SUM(F6:F500)</f>
        <v>28752.462000000003</v>
      </c>
      <c r="G5" s="7"/>
      <c r="H5" s="1"/>
      <c r="I5" s="1"/>
      <c r="J5" s="1"/>
      <c r="K5" s="4">
        <f t="shared" ref="K5:T5" si="0">SUM(K6:K500)</f>
        <v>25750.405999999995</v>
      </c>
      <c r="L5" s="4">
        <f t="shared" si="0"/>
        <v>-1005.1140000000004</v>
      </c>
      <c r="M5" s="4">
        <f t="shared" si="0"/>
        <v>0</v>
      </c>
      <c r="N5" s="4">
        <f t="shared" si="0"/>
        <v>0</v>
      </c>
      <c r="O5" s="4">
        <f t="shared" si="0"/>
        <v>7355.6278694400035</v>
      </c>
      <c r="P5" s="4">
        <f t="shared" si="0"/>
        <v>14044.124733999997</v>
      </c>
      <c r="Q5" s="21">
        <f t="shared" si="0"/>
        <v>1000</v>
      </c>
      <c r="R5" s="4">
        <f t="shared" si="0"/>
        <v>4949.0583999999999</v>
      </c>
      <c r="S5" s="4">
        <f t="shared" si="0"/>
        <v>14294.498576560001</v>
      </c>
      <c r="T5" s="4">
        <f t="shared" si="0"/>
        <v>9305.531376560004</v>
      </c>
      <c r="U5" s="1"/>
      <c r="V5" s="1"/>
      <c r="W5" s="4">
        <f t="shared" ref="W5:AF5" si="1">SUM(W6:W500)</f>
        <v>5681.1398000000008</v>
      </c>
      <c r="X5" s="4">
        <f t="shared" si="1"/>
        <v>4551.0276000000013</v>
      </c>
      <c r="Y5" s="4">
        <f t="shared" si="1"/>
        <v>4055.5027999999998</v>
      </c>
      <c r="Z5" s="4">
        <f t="shared" si="1"/>
        <v>4899.2521999999981</v>
      </c>
      <c r="AA5" s="4">
        <f t="shared" si="1"/>
        <v>4551.299799999997</v>
      </c>
      <c r="AB5" s="4">
        <f t="shared" si="1"/>
        <v>4262.4295999999977</v>
      </c>
      <c r="AC5" s="4">
        <f t="shared" si="1"/>
        <v>4449.9754000000012</v>
      </c>
      <c r="AD5" s="4">
        <f t="shared" si="1"/>
        <v>4569.6715999999988</v>
      </c>
      <c r="AE5" s="4">
        <f t="shared" si="1"/>
        <v>3542.7732000000005</v>
      </c>
      <c r="AF5" s="4">
        <f t="shared" si="1"/>
        <v>4222.9649999999992</v>
      </c>
      <c r="AG5" s="1"/>
      <c r="AH5" s="4">
        <f>SUM(AH6:AH500)</f>
        <v>7735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1127.404</v>
      </c>
      <c r="D6" s="1">
        <v>1.3440000000000001</v>
      </c>
      <c r="E6" s="1">
        <v>334.26299999999998</v>
      </c>
      <c r="F6" s="1">
        <v>745.87800000000004</v>
      </c>
      <c r="G6" s="7">
        <v>1</v>
      </c>
      <c r="H6" s="1">
        <v>50</v>
      </c>
      <c r="I6" s="1" t="s">
        <v>36</v>
      </c>
      <c r="J6" s="1"/>
      <c r="K6" s="1">
        <v>304.33999999999997</v>
      </c>
      <c r="L6" s="1">
        <f t="shared" ref="L6:L37" si="2">E6-K6</f>
        <v>29.923000000000002</v>
      </c>
      <c r="M6" s="1"/>
      <c r="N6" s="1"/>
      <c r="O6" s="1"/>
      <c r="P6" s="1">
        <v>0</v>
      </c>
      <c r="Q6" s="20"/>
      <c r="R6" s="1">
        <f>E6/5</f>
        <v>66.852599999999995</v>
      </c>
      <c r="S6" s="5">
        <f>12.5*R6-P6-O6-F6</f>
        <v>89.779499999999871</v>
      </c>
      <c r="T6" s="5">
        <f>S6</f>
        <v>89.779499999999871</v>
      </c>
      <c r="U6" s="1">
        <f>(F6+O6+P6+Q6+T6)/R6</f>
        <v>12.5</v>
      </c>
      <c r="V6" s="1">
        <f>(F6+O6+P6+Q6)/R6</f>
        <v>11.157052979240898</v>
      </c>
      <c r="W6" s="1">
        <v>82.294000000000011</v>
      </c>
      <c r="X6" s="1">
        <v>60.082000000000008</v>
      </c>
      <c r="Y6" s="1">
        <v>55.816999999999993</v>
      </c>
      <c r="Z6" s="1">
        <v>53.811199999999999</v>
      </c>
      <c r="AA6" s="1">
        <v>54.4542</v>
      </c>
      <c r="AB6" s="1">
        <v>78.643600000000006</v>
      </c>
      <c r="AC6" s="1">
        <v>81.141999999999996</v>
      </c>
      <c r="AD6" s="1">
        <v>56.725999999999999</v>
      </c>
      <c r="AE6" s="1">
        <v>56.728200000000001</v>
      </c>
      <c r="AF6" s="1">
        <v>58.592599999999997</v>
      </c>
      <c r="AG6" s="1"/>
      <c r="AH6" s="1">
        <f>ROUND(G6*T6,0)</f>
        <v>90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35</v>
      </c>
      <c r="C7" s="1">
        <v>91.635999999999996</v>
      </c>
      <c r="D7" s="1">
        <v>1563.5170000000001</v>
      </c>
      <c r="E7" s="1">
        <v>748.22699999999998</v>
      </c>
      <c r="F7" s="1">
        <v>749.52499999999998</v>
      </c>
      <c r="G7" s="7">
        <v>1</v>
      </c>
      <c r="H7" s="1">
        <v>45</v>
      </c>
      <c r="I7" s="1" t="s">
        <v>38</v>
      </c>
      <c r="J7" s="1"/>
      <c r="K7" s="1">
        <v>693.15</v>
      </c>
      <c r="L7" s="1">
        <f t="shared" si="2"/>
        <v>55.076999999999998</v>
      </c>
      <c r="M7" s="1"/>
      <c r="N7" s="1"/>
      <c r="O7" s="1">
        <v>302.76372000000049</v>
      </c>
      <c r="P7" s="1">
        <v>332.08991999999961</v>
      </c>
      <c r="Q7" s="20"/>
      <c r="R7" s="1">
        <f t="shared" ref="R7:R70" si="3">E7/5</f>
        <v>149.6454</v>
      </c>
      <c r="S7" s="5">
        <f t="shared" ref="S7:S69" si="4">12.5*R7-P7-O7-F7</f>
        <v>486.18885999999986</v>
      </c>
      <c r="T7" s="5">
        <f>S7+$T$1*R7</f>
        <v>276.68529999999987</v>
      </c>
      <c r="U7" s="1">
        <f t="shared" ref="U7:U70" si="5">(F7+O7+P7+Q7+T7)/R7</f>
        <v>11.1</v>
      </c>
      <c r="V7" s="1">
        <f t="shared" ref="V7:V70" si="6">(F7+O7+P7+Q7)/R7</f>
        <v>9.2510604402140011</v>
      </c>
      <c r="W7" s="1">
        <v>178.84819999999999</v>
      </c>
      <c r="X7" s="1">
        <v>149.67179999999999</v>
      </c>
      <c r="Y7" s="1">
        <v>148.21080000000001</v>
      </c>
      <c r="Z7" s="1">
        <v>187.27260000000001</v>
      </c>
      <c r="AA7" s="1">
        <v>139.0446</v>
      </c>
      <c r="AB7" s="1">
        <v>77.631399999999999</v>
      </c>
      <c r="AC7" s="1">
        <v>85.131200000000007</v>
      </c>
      <c r="AD7" s="1">
        <v>120.83459999999999</v>
      </c>
      <c r="AE7" s="1">
        <v>53.919400000000003</v>
      </c>
      <c r="AF7" s="1">
        <v>103.55159999999999</v>
      </c>
      <c r="AG7" s="1"/>
      <c r="AH7" s="1">
        <f t="shared" ref="AH7:AH70" si="7">ROUND(G7*T7,0)</f>
        <v>277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35</v>
      </c>
      <c r="C8" s="1">
        <v>80.558000000000007</v>
      </c>
      <c r="D8" s="1">
        <v>1507.203</v>
      </c>
      <c r="E8" s="1">
        <v>764.45399999999995</v>
      </c>
      <c r="F8" s="1">
        <v>698.73099999999999</v>
      </c>
      <c r="G8" s="7">
        <v>1</v>
      </c>
      <c r="H8" s="1">
        <v>45</v>
      </c>
      <c r="I8" s="1" t="s">
        <v>40</v>
      </c>
      <c r="J8" s="1"/>
      <c r="K8" s="1">
        <v>738.49</v>
      </c>
      <c r="L8" s="1">
        <f t="shared" si="2"/>
        <v>25.963999999999942</v>
      </c>
      <c r="M8" s="1"/>
      <c r="N8" s="1"/>
      <c r="O8" s="1">
        <v>450.35723999999999</v>
      </c>
      <c r="P8" s="1">
        <v>362.17072000000007</v>
      </c>
      <c r="Q8" s="20"/>
      <c r="R8" s="1">
        <f t="shared" si="3"/>
        <v>152.89079999999998</v>
      </c>
      <c r="S8" s="5">
        <f t="shared" si="4"/>
        <v>399.87603999999965</v>
      </c>
      <c r="T8" s="5">
        <f>S8+$T$1*R8</f>
        <v>185.82891999999967</v>
      </c>
      <c r="U8" s="1">
        <f t="shared" si="5"/>
        <v>11.1</v>
      </c>
      <c r="V8" s="1">
        <f t="shared" si="6"/>
        <v>9.8845644080611805</v>
      </c>
      <c r="W8" s="1">
        <v>189.7098</v>
      </c>
      <c r="X8" s="1">
        <v>156.5736</v>
      </c>
      <c r="Y8" s="1">
        <v>142.0624</v>
      </c>
      <c r="Z8" s="1">
        <v>183.81639999999999</v>
      </c>
      <c r="AA8" s="1">
        <v>143.90119999999999</v>
      </c>
      <c r="AB8" s="1">
        <v>28.558599999999998</v>
      </c>
      <c r="AC8" s="1">
        <v>19.2348</v>
      </c>
      <c r="AD8" s="1">
        <v>136.8586</v>
      </c>
      <c r="AE8" s="1">
        <v>61.915200000000013</v>
      </c>
      <c r="AF8" s="1">
        <v>120.94499999999999</v>
      </c>
      <c r="AG8" s="1"/>
      <c r="AH8" s="1">
        <f t="shared" si="7"/>
        <v>186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42</v>
      </c>
      <c r="C9" s="1"/>
      <c r="D9" s="1">
        <v>20</v>
      </c>
      <c r="E9" s="1"/>
      <c r="F9" s="1">
        <v>20</v>
      </c>
      <c r="G9" s="7">
        <v>0.4</v>
      </c>
      <c r="H9" s="1">
        <v>50</v>
      </c>
      <c r="I9" s="1"/>
      <c r="J9" s="1"/>
      <c r="K9" s="1"/>
      <c r="L9" s="1">
        <f t="shared" si="2"/>
        <v>0</v>
      </c>
      <c r="M9" s="1"/>
      <c r="N9" s="1"/>
      <c r="O9" s="1"/>
      <c r="P9" s="1">
        <v>0</v>
      </c>
      <c r="Q9" s="20"/>
      <c r="R9" s="1">
        <f t="shared" si="3"/>
        <v>0</v>
      </c>
      <c r="S9" s="5"/>
      <c r="T9" s="5">
        <f t="shared" ref="T9:T70" si="8">S9</f>
        <v>0</v>
      </c>
      <c r="U9" s="1" t="e">
        <f t="shared" si="5"/>
        <v>#DIV/0!</v>
      </c>
      <c r="V9" s="1" t="e">
        <f t="shared" si="6"/>
        <v>#DIV/0!</v>
      </c>
      <c r="W9" s="1">
        <v>0</v>
      </c>
      <c r="X9" s="1">
        <v>0</v>
      </c>
      <c r="Y9" s="1">
        <v>0.4</v>
      </c>
      <c r="Z9" s="1">
        <v>1.4</v>
      </c>
      <c r="AA9" s="1">
        <v>2</v>
      </c>
      <c r="AB9" s="1">
        <v>2.2000000000000002</v>
      </c>
      <c r="AC9" s="1">
        <v>1.2</v>
      </c>
      <c r="AD9" s="1">
        <v>1</v>
      </c>
      <c r="AE9" s="1">
        <v>0</v>
      </c>
      <c r="AF9" s="1">
        <v>0</v>
      </c>
      <c r="AG9" s="1" t="s">
        <v>43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42</v>
      </c>
      <c r="C10" s="1">
        <v>423</v>
      </c>
      <c r="D10" s="1">
        <v>292</v>
      </c>
      <c r="E10" s="1">
        <v>285</v>
      </c>
      <c r="F10" s="1">
        <v>324</v>
      </c>
      <c r="G10" s="7">
        <v>0.45</v>
      </c>
      <c r="H10" s="1">
        <v>45</v>
      </c>
      <c r="I10" s="1" t="s">
        <v>45</v>
      </c>
      <c r="J10" s="1"/>
      <c r="K10" s="1">
        <v>320</v>
      </c>
      <c r="L10" s="1">
        <f t="shared" si="2"/>
        <v>-35</v>
      </c>
      <c r="M10" s="1"/>
      <c r="N10" s="1"/>
      <c r="O10" s="1">
        <v>32.400000000000027</v>
      </c>
      <c r="P10" s="1">
        <v>214.00000000000011</v>
      </c>
      <c r="Q10" s="20"/>
      <c r="R10" s="1">
        <f t="shared" si="3"/>
        <v>57</v>
      </c>
      <c r="S10" s="5">
        <f t="shared" si="4"/>
        <v>142.09999999999985</v>
      </c>
      <c r="T10" s="5">
        <f t="shared" ref="T10:T11" si="9">S10+$T$1*R10</f>
        <v>62.299999999999855</v>
      </c>
      <c r="U10" s="1">
        <f t="shared" si="5"/>
        <v>11.1</v>
      </c>
      <c r="V10" s="1">
        <f t="shared" si="6"/>
        <v>10.00701754385965</v>
      </c>
      <c r="W10" s="1">
        <v>64.400000000000006</v>
      </c>
      <c r="X10" s="1">
        <v>51.8</v>
      </c>
      <c r="Y10" s="1">
        <v>54</v>
      </c>
      <c r="Z10" s="1">
        <v>66.599999999999994</v>
      </c>
      <c r="AA10" s="1">
        <v>69</v>
      </c>
      <c r="AB10" s="1">
        <v>72.599999999999994</v>
      </c>
      <c r="AC10" s="1">
        <v>51</v>
      </c>
      <c r="AD10" s="1">
        <v>59.6</v>
      </c>
      <c r="AE10" s="1">
        <v>-0.4</v>
      </c>
      <c r="AF10" s="1">
        <v>12.8</v>
      </c>
      <c r="AG10" s="1"/>
      <c r="AH10" s="1">
        <f t="shared" si="7"/>
        <v>28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42</v>
      </c>
      <c r="C11" s="1">
        <v>716</v>
      </c>
      <c r="D11" s="1">
        <v>171</v>
      </c>
      <c r="E11" s="1">
        <v>426</v>
      </c>
      <c r="F11" s="1">
        <v>337</v>
      </c>
      <c r="G11" s="7">
        <v>0.45</v>
      </c>
      <c r="H11" s="1">
        <v>45</v>
      </c>
      <c r="I11" s="1" t="s">
        <v>47</v>
      </c>
      <c r="J11" s="1"/>
      <c r="K11" s="1">
        <v>463</v>
      </c>
      <c r="L11" s="1">
        <f t="shared" si="2"/>
        <v>-37</v>
      </c>
      <c r="M11" s="1"/>
      <c r="N11" s="1"/>
      <c r="O11" s="1">
        <v>113.86</v>
      </c>
      <c r="P11" s="1">
        <v>269.31999999999982</v>
      </c>
      <c r="Q11" s="20"/>
      <c r="R11" s="1">
        <f t="shared" si="3"/>
        <v>85.2</v>
      </c>
      <c r="S11" s="5">
        <f t="shared" si="4"/>
        <v>344.82000000000016</v>
      </c>
      <c r="T11" s="5">
        <f t="shared" si="9"/>
        <v>225.54000000000016</v>
      </c>
      <c r="U11" s="1">
        <f t="shared" si="5"/>
        <v>11.1</v>
      </c>
      <c r="V11" s="1">
        <f t="shared" si="6"/>
        <v>8.4528169014084487</v>
      </c>
      <c r="W11" s="1">
        <v>90.6</v>
      </c>
      <c r="X11" s="1">
        <v>71.400000000000006</v>
      </c>
      <c r="Y11" s="1">
        <v>71.8</v>
      </c>
      <c r="Z11" s="1">
        <v>78</v>
      </c>
      <c r="AA11" s="1">
        <v>73.2</v>
      </c>
      <c r="AB11" s="1">
        <v>69</v>
      </c>
      <c r="AC11" s="1">
        <v>81.8</v>
      </c>
      <c r="AD11" s="1">
        <v>64.8</v>
      </c>
      <c r="AE11" s="1">
        <v>39.799999999999997</v>
      </c>
      <c r="AF11" s="1">
        <v>75.599999999999994</v>
      </c>
      <c r="AG11" s="1"/>
      <c r="AH11" s="1">
        <f t="shared" si="7"/>
        <v>101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48</v>
      </c>
      <c r="B12" s="1" t="s">
        <v>42</v>
      </c>
      <c r="C12" s="1">
        <v>40</v>
      </c>
      <c r="D12" s="1">
        <v>128</v>
      </c>
      <c r="E12" s="1">
        <v>90</v>
      </c>
      <c r="F12" s="1">
        <v>60</v>
      </c>
      <c r="G12" s="7">
        <v>0.3</v>
      </c>
      <c r="H12" s="1">
        <v>40</v>
      </c>
      <c r="I12" s="1" t="s">
        <v>49</v>
      </c>
      <c r="J12" s="1"/>
      <c r="K12" s="1">
        <v>94</v>
      </c>
      <c r="L12" s="1">
        <f t="shared" si="2"/>
        <v>-4</v>
      </c>
      <c r="M12" s="1"/>
      <c r="N12" s="1"/>
      <c r="O12" s="1">
        <v>112.8</v>
      </c>
      <c r="P12" s="1">
        <v>53.800000000000011</v>
      </c>
      <c r="Q12" s="20"/>
      <c r="R12" s="1">
        <f t="shared" si="3"/>
        <v>18</v>
      </c>
      <c r="S12" s="5"/>
      <c r="T12" s="5">
        <f t="shared" si="8"/>
        <v>0</v>
      </c>
      <c r="U12" s="1">
        <f t="shared" si="5"/>
        <v>12.58888888888889</v>
      </c>
      <c r="V12" s="1">
        <f t="shared" si="6"/>
        <v>12.58888888888889</v>
      </c>
      <c r="W12" s="1">
        <v>25.6</v>
      </c>
      <c r="X12" s="1">
        <v>22.4</v>
      </c>
      <c r="Y12" s="1">
        <v>14</v>
      </c>
      <c r="Z12" s="1">
        <v>18</v>
      </c>
      <c r="AA12" s="1">
        <v>14.4</v>
      </c>
      <c r="AB12" s="1">
        <v>9.4</v>
      </c>
      <c r="AC12" s="1">
        <v>11.6</v>
      </c>
      <c r="AD12" s="1">
        <v>16</v>
      </c>
      <c r="AE12" s="1">
        <v>8.6</v>
      </c>
      <c r="AF12" s="1">
        <v>17.2</v>
      </c>
      <c r="AG12" s="1"/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50</v>
      </c>
      <c r="B13" s="1" t="s">
        <v>42</v>
      </c>
      <c r="C13" s="1">
        <v>379</v>
      </c>
      <c r="D13" s="1">
        <v>1</v>
      </c>
      <c r="E13" s="1">
        <v>74</v>
      </c>
      <c r="F13" s="1">
        <v>289</v>
      </c>
      <c r="G13" s="7">
        <v>0.17</v>
      </c>
      <c r="H13" s="1">
        <v>180</v>
      </c>
      <c r="I13" s="1" t="s">
        <v>51</v>
      </c>
      <c r="J13" s="1"/>
      <c r="K13" s="1">
        <v>67</v>
      </c>
      <c r="L13" s="1">
        <f t="shared" si="2"/>
        <v>7</v>
      </c>
      <c r="M13" s="1"/>
      <c r="N13" s="1"/>
      <c r="O13" s="1"/>
      <c r="P13" s="1">
        <v>0</v>
      </c>
      <c r="Q13" s="20"/>
      <c r="R13" s="1">
        <f t="shared" si="3"/>
        <v>14.8</v>
      </c>
      <c r="S13" s="5"/>
      <c r="T13" s="5">
        <f t="shared" si="8"/>
        <v>0</v>
      </c>
      <c r="U13" s="1">
        <f t="shared" si="5"/>
        <v>19.527027027027025</v>
      </c>
      <c r="V13" s="1">
        <f t="shared" si="6"/>
        <v>19.527027027027025</v>
      </c>
      <c r="W13" s="1">
        <v>20.6</v>
      </c>
      <c r="X13" s="1">
        <v>21.8</v>
      </c>
      <c r="Y13" s="1">
        <v>18.2</v>
      </c>
      <c r="Z13" s="1">
        <v>30.6</v>
      </c>
      <c r="AA13" s="1">
        <v>32.799999999999997</v>
      </c>
      <c r="AB13" s="1">
        <v>24.6</v>
      </c>
      <c r="AC13" s="1">
        <v>22.6</v>
      </c>
      <c r="AD13" s="1">
        <v>25</v>
      </c>
      <c r="AE13" s="1">
        <v>14.8</v>
      </c>
      <c r="AF13" s="1">
        <v>12</v>
      </c>
      <c r="AG13" s="16" t="s">
        <v>250</v>
      </c>
      <c r="AH13" s="1">
        <f t="shared" si="7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52</v>
      </c>
      <c r="B14" s="1" t="s">
        <v>35</v>
      </c>
      <c r="C14" s="1">
        <v>80.400000000000006</v>
      </c>
      <c r="D14" s="1">
        <v>938.74</v>
      </c>
      <c r="E14" s="1">
        <v>261.23399999999998</v>
      </c>
      <c r="F14" s="1">
        <v>689.38300000000004</v>
      </c>
      <c r="G14" s="7">
        <v>1</v>
      </c>
      <c r="H14" s="1">
        <v>70</v>
      </c>
      <c r="I14" s="1" t="s">
        <v>53</v>
      </c>
      <c r="J14" s="1"/>
      <c r="K14" s="1">
        <v>298</v>
      </c>
      <c r="L14" s="1">
        <f t="shared" si="2"/>
        <v>-36.76600000000002</v>
      </c>
      <c r="M14" s="1"/>
      <c r="N14" s="1"/>
      <c r="O14" s="1">
        <v>66.298200000000065</v>
      </c>
      <c r="P14" s="1">
        <v>0</v>
      </c>
      <c r="Q14" s="20"/>
      <c r="R14" s="1">
        <f t="shared" si="3"/>
        <v>52.246799999999993</v>
      </c>
      <c r="S14" s="5"/>
      <c r="T14" s="5">
        <f t="shared" si="8"/>
        <v>0</v>
      </c>
      <c r="U14" s="1">
        <f t="shared" si="5"/>
        <v>14.46368390025801</v>
      </c>
      <c r="V14" s="1">
        <f t="shared" si="6"/>
        <v>14.46368390025801</v>
      </c>
      <c r="W14" s="1">
        <v>66.222200000000001</v>
      </c>
      <c r="X14" s="1">
        <v>84.409000000000006</v>
      </c>
      <c r="Y14" s="1">
        <v>85.927999999999997</v>
      </c>
      <c r="Z14" s="1">
        <v>52.177999999999997</v>
      </c>
      <c r="AA14" s="1">
        <v>15.4452</v>
      </c>
      <c r="AB14" s="1">
        <v>54.483400000000003</v>
      </c>
      <c r="AC14" s="1">
        <v>91.662400000000005</v>
      </c>
      <c r="AD14" s="1">
        <v>84.409599999999998</v>
      </c>
      <c r="AE14" s="1">
        <v>76.513199999999998</v>
      </c>
      <c r="AF14" s="1">
        <v>84.661199999999994</v>
      </c>
      <c r="AG14" s="1"/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54</v>
      </c>
      <c r="B15" s="1" t="s">
        <v>35</v>
      </c>
      <c r="C15" s="1">
        <v>549.04899999999998</v>
      </c>
      <c r="D15" s="1">
        <v>3221.5360000000001</v>
      </c>
      <c r="E15" s="1">
        <v>1666.239</v>
      </c>
      <c r="F15" s="1">
        <v>1879.8579999999999</v>
      </c>
      <c r="G15" s="7">
        <v>1</v>
      </c>
      <c r="H15" s="1">
        <v>50</v>
      </c>
      <c r="I15" s="1" t="s">
        <v>55</v>
      </c>
      <c r="J15" s="1"/>
      <c r="K15" s="1">
        <v>1939.35</v>
      </c>
      <c r="L15" s="1">
        <f t="shared" si="2"/>
        <v>-273.11099999999988</v>
      </c>
      <c r="M15" s="1"/>
      <c r="N15" s="1"/>
      <c r="O15" s="1">
        <v>937.00008000000071</v>
      </c>
      <c r="P15" s="1">
        <v>306.30567999999948</v>
      </c>
      <c r="Q15" s="20"/>
      <c r="R15" s="1">
        <f t="shared" si="3"/>
        <v>333.24779999999998</v>
      </c>
      <c r="S15" s="5">
        <f t="shared" si="4"/>
        <v>1042.4337399999997</v>
      </c>
      <c r="T15" s="5">
        <f>S15+$T$1*R15</f>
        <v>575.88681999999972</v>
      </c>
      <c r="U15" s="1">
        <f t="shared" si="5"/>
        <v>11.100000000000001</v>
      </c>
      <c r="V15" s="1">
        <f t="shared" si="6"/>
        <v>9.3718961085414527</v>
      </c>
      <c r="W15" s="1">
        <v>396.964</v>
      </c>
      <c r="X15" s="1">
        <v>364.63580000000002</v>
      </c>
      <c r="Y15" s="1">
        <v>341.27480000000003</v>
      </c>
      <c r="Z15" s="1">
        <v>267.3186</v>
      </c>
      <c r="AA15" s="1">
        <v>211.0538</v>
      </c>
      <c r="AB15" s="1">
        <v>419.64319999999998</v>
      </c>
      <c r="AC15" s="1">
        <v>440.71100000000001</v>
      </c>
      <c r="AD15" s="1">
        <v>273.9434</v>
      </c>
      <c r="AE15" s="1">
        <v>349.3664</v>
      </c>
      <c r="AF15" s="1">
        <v>403.61200000000002</v>
      </c>
      <c r="AG15" s="1"/>
      <c r="AH15" s="1">
        <f t="shared" si="7"/>
        <v>576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56</v>
      </c>
      <c r="B16" s="1" t="s">
        <v>35</v>
      </c>
      <c r="C16" s="1">
        <v>116.723</v>
      </c>
      <c r="D16" s="1">
        <v>99.512</v>
      </c>
      <c r="E16" s="1">
        <v>93.643000000000001</v>
      </c>
      <c r="F16" s="1">
        <v>101.271</v>
      </c>
      <c r="G16" s="7">
        <v>1</v>
      </c>
      <c r="H16" s="1">
        <v>60</v>
      </c>
      <c r="I16" s="1" t="s">
        <v>57</v>
      </c>
      <c r="J16" s="1"/>
      <c r="K16" s="1">
        <v>95.8</v>
      </c>
      <c r="L16" s="1">
        <f t="shared" si="2"/>
        <v>-2.1569999999999965</v>
      </c>
      <c r="M16" s="1"/>
      <c r="N16" s="1"/>
      <c r="O16" s="1"/>
      <c r="P16" s="1">
        <v>70.382600000000025</v>
      </c>
      <c r="Q16" s="20"/>
      <c r="R16" s="1">
        <f t="shared" si="3"/>
        <v>18.7286</v>
      </c>
      <c r="S16" s="5">
        <f t="shared" si="4"/>
        <v>62.45389999999999</v>
      </c>
      <c r="T16" s="5">
        <f t="shared" si="8"/>
        <v>62.45389999999999</v>
      </c>
      <c r="U16" s="1">
        <f t="shared" si="5"/>
        <v>12.5</v>
      </c>
      <c r="V16" s="1">
        <f t="shared" si="6"/>
        <v>9.1653193511527853</v>
      </c>
      <c r="W16" s="1">
        <v>18.415600000000001</v>
      </c>
      <c r="X16" s="1">
        <v>10.8032</v>
      </c>
      <c r="Y16" s="1">
        <v>8.2970000000000006</v>
      </c>
      <c r="Z16" s="1">
        <v>16.942399999999999</v>
      </c>
      <c r="AA16" s="1">
        <v>19.0762</v>
      </c>
      <c r="AB16" s="1">
        <v>18.809999999999999</v>
      </c>
      <c r="AC16" s="1">
        <v>20.7744</v>
      </c>
      <c r="AD16" s="1">
        <v>21.4712</v>
      </c>
      <c r="AE16" s="1">
        <v>20.5778</v>
      </c>
      <c r="AF16" s="1">
        <v>18.390999999999998</v>
      </c>
      <c r="AG16" s="1"/>
      <c r="AH16" s="1">
        <f t="shared" si="7"/>
        <v>62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58</v>
      </c>
      <c r="B17" s="1" t="s">
        <v>35</v>
      </c>
      <c r="C17" s="1">
        <v>15.73</v>
      </c>
      <c r="D17" s="1">
        <v>165.28100000000001</v>
      </c>
      <c r="E17" s="1">
        <v>48.46</v>
      </c>
      <c r="F17" s="1">
        <v>94.605000000000004</v>
      </c>
      <c r="G17" s="7">
        <v>1</v>
      </c>
      <c r="H17" s="1">
        <v>60</v>
      </c>
      <c r="I17" s="1" t="s">
        <v>59</v>
      </c>
      <c r="J17" s="1"/>
      <c r="K17" s="1">
        <v>46.3</v>
      </c>
      <c r="L17" s="1">
        <f t="shared" si="2"/>
        <v>2.1600000000000037</v>
      </c>
      <c r="M17" s="1"/>
      <c r="N17" s="1"/>
      <c r="O17" s="1"/>
      <c r="P17" s="1">
        <v>0</v>
      </c>
      <c r="Q17" s="20"/>
      <c r="R17" s="1">
        <f t="shared" si="3"/>
        <v>9.6920000000000002</v>
      </c>
      <c r="S17" s="5">
        <f t="shared" si="4"/>
        <v>26.545000000000002</v>
      </c>
      <c r="T17" s="5">
        <f t="shared" si="8"/>
        <v>26.545000000000002</v>
      </c>
      <c r="U17" s="1">
        <f t="shared" si="5"/>
        <v>12.5</v>
      </c>
      <c r="V17" s="1">
        <f t="shared" si="6"/>
        <v>9.7611432108955842</v>
      </c>
      <c r="W17" s="1">
        <v>6.7256</v>
      </c>
      <c r="X17" s="1">
        <v>4.0734000000000004</v>
      </c>
      <c r="Y17" s="1">
        <v>4.6054000000000004</v>
      </c>
      <c r="Z17" s="1">
        <v>12.081200000000001</v>
      </c>
      <c r="AA17" s="1">
        <v>12.433199999999999</v>
      </c>
      <c r="AB17" s="1">
        <v>2.8418000000000001</v>
      </c>
      <c r="AC17" s="1">
        <v>0</v>
      </c>
      <c r="AD17" s="1">
        <v>7.9376000000000007</v>
      </c>
      <c r="AE17" s="1">
        <v>1.6040000000000001</v>
      </c>
      <c r="AF17" s="1">
        <v>3.9266000000000001</v>
      </c>
      <c r="AG17" s="1"/>
      <c r="AH17" s="1">
        <f t="shared" si="7"/>
        <v>27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60</v>
      </c>
      <c r="B18" s="1" t="s">
        <v>35</v>
      </c>
      <c r="C18" s="1">
        <v>12.067</v>
      </c>
      <c r="D18" s="1">
        <v>73.992000000000004</v>
      </c>
      <c r="E18" s="1">
        <v>26.631</v>
      </c>
      <c r="F18" s="1">
        <v>55.332999999999998</v>
      </c>
      <c r="G18" s="7">
        <v>1</v>
      </c>
      <c r="H18" s="1">
        <v>180</v>
      </c>
      <c r="I18" s="1" t="s">
        <v>61</v>
      </c>
      <c r="J18" s="1"/>
      <c r="K18" s="1">
        <v>27.19</v>
      </c>
      <c r="L18" s="1">
        <f t="shared" si="2"/>
        <v>-0.55900000000000105</v>
      </c>
      <c r="M18" s="1"/>
      <c r="N18" s="1"/>
      <c r="O18" s="1"/>
      <c r="P18" s="1">
        <v>4</v>
      </c>
      <c r="Q18" s="20"/>
      <c r="R18" s="1">
        <f t="shared" si="3"/>
        <v>5.3262</v>
      </c>
      <c r="S18" s="5">
        <f t="shared" si="4"/>
        <v>7.2445000000000022</v>
      </c>
      <c r="T18" s="5">
        <f t="shared" si="8"/>
        <v>7.2445000000000022</v>
      </c>
      <c r="U18" s="1">
        <f t="shared" si="5"/>
        <v>12.5</v>
      </c>
      <c r="V18" s="1">
        <f t="shared" si="6"/>
        <v>11.139837032030341</v>
      </c>
      <c r="W18" s="1">
        <v>5.8662000000000001</v>
      </c>
      <c r="X18" s="1">
        <v>3.2307999999999999</v>
      </c>
      <c r="Y18" s="1">
        <v>3.8264</v>
      </c>
      <c r="Z18" s="1">
        <v>6.4126000000000003</v>
      </c>
      <c r="AA18" s="1">
        <v>4.5920000000000014</v>
      </c>
      <c r="AB18" s="1">
        <v>0.43180000000000002</v>
      </c>
      <c r="AC18" s="1">
        <v>1.2968</v>
      </c>
      <c r="AD18" s="1">
        <v>3.1156000000000001</v>
      </c>
      <c r="AE18" s="1">
        <v>1.7052</v>
      </c>
      <c r="AF18" s="1">
        <v>3.2547999999999999</v>
      </c>
      <c r="AG18" s="1"/>
      <c r="AH18" s="1">
        <f t="shared" si="7"/>
        <v>7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62</v>
      </c>
      <c r="B19" s="1" t="s">
        <v>35</v>
      </c>
      <c r="C19" s="1">
        <v>725.35400000000004</v>
      </c>
      <c r="D19" s="1">
        <v>332.298</v>
      </c>
      <c r="E19" s="1">
        <v>541.30799999999999</v>
      </c>
      <c r="F19" s="1">
        <v>418.58</v>
      </c>
      <c r="G19" s="7">
        <v>1</v>
      </c>
      <c r="H19" s="1">
        <v>60</v>
      </c>
      <c r="I19" s="1" t="s">
        <v>63</v>
      </c>
      <c r="J19" s="1"/>
      <c r="K19" s="1">
        <v>512.49</v>
      </c>
      <c r="L19" s="1">
        <f t="shared" si="2"/>
        <v>28.817999999999984</v>
      </c>
      <c r="M19" s="1"/>
      <c r="N19" s="1"/>
      <c r="O19" s="1">
        <v>171.70972000000009</v>
      </c>
      <c r="P19" s="1">
        <v>475.11948000000012</v>
      </c>
      <c r="Q19" s="20"/>
      <c r="R19" s="1">
        <f t="shared" si="3"/>
        <v>108.2616</v>
      </c>
      <c r="S19" s="5">
        <f t="shared" si="4"/>
        <v>287.86079999999987</v>
      </c>
      <c r="T19" s="5">
        <f>S19+$T$1*R19</f>
        <v>136.29455999999988</v>
      </c>
      <c r="U19" s="1">
        <f t="shared" si="5"/>
        <v>11.100000000000001</v>
      </c>
      <c r="V19" s="1">
        <f t="shared" si="6"/>
        <v>9.8410627590946405</v>
      </c>
      <c r="W19" s="1">
        <v>128.46600000000001</v>
      </c>
      <c r="X19" s="1">
        <v>94.878799999999998</v>
      </c>
      <c r="Y19" s="1">
        <v>92.316800000000001</v>
      </c>
      <c r="Z19" s="1">
        <v>112.2612</v>
      </c>
      <c r="AA19" s="1">
        <v>109.2184</v>
      </c>
      <c r="AB19" s="1">
        <v>102.24079999999999</v>
      </c>
      <c r="AC19" s="1">
        <v>114.7664</v>
      </c>
      <c r="AD19" s="1">
        <v>94.618399999999994</v>
      </c>
      <c r="AE19" s="1">
        <v>100.66679999999999</v>
      </c>
      <c r="AF19" s="1">
        <v>104.90519999999999</v>
      </c>
      <c r="AG19" s="1"/>
      <c r="AH19" s="1">
        <f t="shared" si="7"/>
        <v>136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64</v>
      </c>
      <c r="B20" s="1" t="s">
        <v>35</v>
      </c>
      <c r="C20" s="1">
        <v>150.316</v>
      </c>
      <c r="D20" s="1">
        <v>2.6160000000000001</v>
      </c>
      <c r="E20" s="1">
        <v>109.907</v>
      </c>
      <c r="F20" s="1">
        <v>22.013999999999999</v>
      </c>
      <c r="G20" s="7">
        <v>1</v>
      </c>
      <c r="H20" s="1">
        <v>70</v>
      </c>
      <c r="I20" s="1" t="s">
        <v>65</v>
      </c>
      <c r="J20" s="1"/>
      <c r="K20" s="1">
        <v>125.8</v>
      </c>
      <c r="L20" s="1">
        <f t="shared" si="2"/>
        <v>-15.893000000000001</v>
      </c>
      <c r="M20" s="1"/>
      <c r="N20" s="1"/>
      <c r="O20" s="1">
        <v>86.773599999999988</v>
      </c>
      <c r="P20" s="1">
        <v>131.87780000000001</v>
      </c>
      <c r="Q20" s="20"/>
      <c r="R20" s="1">
        <f t="shared" si="3"/>
        <v>21.981400000000001</v>
      </c>
      <c r="S20" s="5">
        <f t="shared" si="4"/>
        <v>34.102099999999993</v>
      </c>
      <c r="T20" s="5">
        <f t="shared" si="8"/>
        <v>34.102099999999993</v>
      </c>
      <c r="U20" s="1">
        <f t="shared" si="5"/>
        <v>12.499999999999998</v>
      </c>
      <c r="V20" s="1">
        <f t="shared" si="6"/>
        <v>10.948592901271073</v>
      </c>
      <c r="W20" s="1">
        <v>25.205400000000001</v>
      </c>
      <c r="X20" s="1">
        <v>18.808800000000002</v>
      </c>
      <c r="Y20" s="1">
        <v>8.6364000000000001</v>
      </c>
      <c r="Z20" s="1">
        <v>5.4560000000000004</v>
      </c>
      <c r="AA20" s="1">
        <v>17.258400000000002</v>
      </c>
      <c r="AB20" s="1">
        <v>23.96</v>
      </c>
      <c r="AC20" s="1">
        <v>16.3932</v>
      </c>
      <c r="AD20" s="1">
        <v>14.417999999999999</v>
      </c>
      <c r="AE20" s="1">
        <v>13.342599999999999</v>
      </c>
      <c r="AF20" s="1">
        <v>12.1364</v>
      </c>
      <c r="AG20" s="1"/>
      <c r="AH20" s="1">
        <f t="shared" si="7"/>
        <v>34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66</v>
      </c>
      <c r="B21" s="1" t="s">
        <v>35</v>
      </c>
      <c r="C21" s="1">
        <v>373.49599999999998</v>
      </c>
      <c r="D21" s="1">
        <v>205.23500000000001</v>
      </c>
      <c r="E21" s="1">
        <v>269.709</v>
      </c>
      <c r="F21" s="1">
        <v>270.15100000000001</v>
      </c>
      <c r="G21" s="7">
        <v>1</v>
      </c>
      <c r="H21" s="1">
        <v>70</v>
      </c>
      <c r="I21" s="1" t="s">
        <v>67</v>
      </c>
      <c r="J21" s="1"/>
      <c r="K21" s="1">
        <v>262.04000000000002</v>
      </c>
      <c r="L21" s="1">
        <f t="shared" si="2"/>
        <v>7.6689999999999827</v>
      </c>
      <c r="M21" s="1"/>
      <c r="N21" s="1"/>
      <c r="O21" s="1"/>
      <c r="P21" s="1">
        <v>163.11019999999999</v>
      </c>
      <c r="Q21" s="20"/>
      <c r="R21" s="1">
        <f t="shared" si="3"/>
        <v>53.941800000000001</v>
      </c>
      <c r="S21" s="5">
        <f t="shared" si="4"/>
        <v>241.01130000000006</v>
      </c>
      <c r="T21" s="5">
        <f>S21+$T$1*R21</f>
        <v>165.49278000000007</v>
      </c>
      <c r="U21" s="1">
        <f t="shared" si="5"/>
        <v>11.100000000000001</v>
      </c>
      <c r="V21" s="1">
        <f t="shared" si="6"/>
        <v>8.0320122799016715</v>
      </c>
      <c r="W21" s="1">
        <v>51.120199999999997</v>
      </c>
      <c r="X21" s="1">
        <v>36.6006</v>
      </c>
      <c r="Y21" s="1">
        <v>37.357199999999999</v>
      </c>
      <c r="Z21" s="1">
        <v>53.085400000000007</v>
      </c>
      <c r="AA21" s="1">
        <v>53.475800000000007</v>
      </c>
      <c r="AB21" s="1">
        <v>57.174599999999998</v>
      </c>
      <c r="AC21" s="1">
        <v>54.511600000000001</v>
      </c>
      <c r="AD21" s="1">
        <v>38.178800000000003</v>
      </c>
      <c r="AE21" s="1">
        <v>33.288400000000003</v>
      </c>
      <c r="AF21" s="1">
        <v>42.434199999999997</v>
      </c>
      <c r="AG21" s="1"/>
      <c r="AH21" s="1">
        <f t="shared" si="7"/>
        <v>165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68</v>
      </c>
      <c r="B22" s="1" t="s">
        <v>35</v>
      </c>
      <c r="C22" s="1">
        <v>6.7990000000000004</v>
      </c>
      <c r="D22" s="1">
        <v>24.545999999999999</v>
      </c>
      <c r="E22" s="1">
        <v>11.468999999999999</v>
      </c>
      <c r="F22" s="1">
        <v>18.771999999999998</v>
      </c>
      <c r="G22" s="7">
        <v>1</v>
      </c>
      <c r="H22" s="1">
        <v>180</v>
      </c>
      <c r="I22" s="1" t="s">
        <v>69</v>
      </c>
      <c r="J22" s="1"/>
      <c r="K22" s="1">
        <v>12.54</v>
      </c>
      <c r="L22" s="1">
        <f t="shared" si="2"/>
        <v>-1.0709999999999997</v>
      </c>
      <c r="M22" s="1"/>
      <c r="N22" s="1"/>
      <c r="O22" s="1"/>
      <c r="P22" s="1">
        <v>25.749400000000001</v>
      </c>
      <c r="Q22" s="20"/>
      <c r="R22" s="1">
        <f t="shared" si="3"/>
        <v>2.2938000000000001</v>
      </c>
      <c r="S22" s="5"/>
      <c r="T22" s="5">
        <f t="shared" si="8"/>
        <v>0</v>
      </c>
      <c r="U22" s="1">
        <f t="shared" si="5"/>
        <v>19.409451565088499</v>
      </c>
      <c r="V22" s="1">
        <f t="shared" si="6"/>
        <v>19.409451565088499</v>
      </c>
      <c r="W22" s="1">
        <v>4.5103999999999997</v>
      </c>
      <c r="X22" s="1">
        <v>4.2845999999999993</v>
      </c>
      <c r="Y22" s="1">
        <v>3.5438000000000001</v>
      </c>
      <c r="Z22" s="1">
        <v>6.9477999999999991</v>
      </c>
      <c r="AA22" s="1">
        <v>5.1381999999999994</v>
      </c>
      <c r="AB22" s="1">
        <v>0.43819999999999998</v>
      </c>
      <c r="AC22" s="1">
        <v>0.87339999999999995</v>
      </c>
      <c r="AD22" s="1">
        <v>3.0621999999999998</v>
      </c>
      <c r="AE22" s="1">
        <v>3.3464</v>
      </c>
      <c r="AF22" s="1">
        <v>1.7766</v>
      </c>
      <c r="AG22" s="1"/>
      <c r="AH22" s="1">
        <f t="shared" si="7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70</v>
      </c>
      <c r="B23" s="1" t="s">
        <v>35</v>
      </c>
      <c r="C23" s="1">
        <v>395.83100000000002</v>
      </c>
      <c r="D23" s="1">
        <v>324.86399999999998</v>
      </c>
      <c r="E23" s="1">
        <v>256.029</v>
      </c>
      <c r="F23" s="1">
        <v>411.178</v>
      </c>
      <c r="G23" s="7">
        <v>1</v>
      </c>
      <c r="H23" s="1">
        <v>70</v>
      </c>
      <c r="I23" s="1" t="s">
        <v>71</v>
      </c>
      <c r="J23" s="1"/>
      <c r="K23" s="1">
        <v>250.62</v>
      </c>
      <c r="L23" s="1">
        <f t="shared" si="2"/>
        <v>5.4089999999999918</v>
      </c>
      <c r="M23" s="1"/>
      <c r="N23" s="1"/>
      <c r="O23" s="1"/>
      <c r="P23" s="1">
        <v>114.91799999999991</v>
      </c>
      <c r="Q23" s="20"/>
      <c r="R23" s="1">
        <f t="shared" si="3"/>
        <v>51.205799999999996</v>
      </c>
      <c r="S23" s="5">
        <f t="shared" si="4"/>
        <v>113.9765000000001</v>
      </c>
      <c r="T23" s="5">
        <f>S23+$T$1*R23</f>
        <v>42.288380000000117</v>
      </c>
      <c r="U23" s="1">
        <f t="shared" si="5"/>
        <v>11.1</v>
      </c>
      <c r="V23" s="1">
        <f t="shared" si="6"/>
        <v>10.274148631600324</v>
      </c>
      <c r="W23" s="1">
        <v>58.679999999999993</v>
      </c>
      <c r="X23" s="1">
        <v>46.426400000000001</v>
      </c>
      <c r="Y23" s="1">
        <v>46.136600000000001</v>
      </c>
      <c r="Z23" s="1">
        <v>69.900199999999998</v>
      </c>
      <c r="AA23" s="1">
        <v>60.441600000000008</v>
      </c>
      <c r="AB23" s="1">
        <v>43.510000000000012</v>
      </c>
      <c r="AC23" s="1">
        <v>49.888800000000003</v>
      </c>
      <c r="AD23" s="1">
        <v>52.990400000000001</v>
      </c>
      <c r="AE23" s="1">
        <v>39.368600000000001</v>
      </c>
      <c r="AF23" s="1">
        <v>52.986800000000002</v>
      </c>
      <c r="AG23" s="1"/>
      <c r="AH23" s="1">
        <f t="shared" si="7"/>
        <v>42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72</v>
      </c>
      <c r="B24" s="1" t="s">
        <v>35</v>
      </c>
      <c r="C24" s="1">
        <v>15.974</v>
      </c>
      <c r="D24" s="1">
        <v>29.469000000000001</v>
      </c>
      <c r="E24" s="1">
        <v>23.914000000000001</v>
      </c>
      <c r="F24" s="1">
        <v>15.887</v>
      </c>
      <c r="G24" s="7">
        <v>1</v>
      </c>
      <c r="H24" s="1">
        <v>35</v>
      </c>
      <c r="I24" s="1" t="s">
        <v>73</v>
      </c>
      <c r="J24" s="1"/>
      <c r="K24" s="1">
        <v>25.297999999999998</v>
      </c>
      <c r="L24" s="1">
        <f t="shared" si="2"/>
        <v>-1.3839999999999968</v>
      </c>
      <c r="M24" s="1"/>
      <c r="N24" s="1"/>
      <c r="O24" s="1">
        <v>24.03291999999999</v>
      </c>
      <c r="P24" s="1">
        <v>25.405280000000008</v>
      </c>
      <c r="Q24" s="20"/>
      <c r="R24" s="1">
        <f t="shared" si="3"/>
        <v>4.7827999999999999</v>
      </c>
      <c r="S24" s="5"/>
      <c r="T24" s="5">
        <f t="shared" si="8"/>
        <v>0</v>
      </c>
      <c r="U24" s="1">
        <f t="shared" si="5"/>
        <v>13.658359120180647</v>
      </c>
      <c r="V24" s="1">
        <f t="shared" si="6"/>
        <v>13.658359120180647</v>
      </c>
      <c r="W24" s="1">
        <v>7.0242000000000004</v>
      </c>
      <c r="X24" s="1">
        <v>5.6067999999999998</v>
      </c>
      <c r="Y24" s="1">
        <v>2.6564000000000001</v>
      </c>
      <c r="Z24" s="1">
        <v>4.1875999999999998</v>
      </c>
      <c r="AA24" s="1">
        <v>4.7523999999999997</v>
      </c>
      <c r="AB24" s="1">
        <v>1.1226</v>
      </c>
      <c r="AC24" s="1">
        <v>4.2080000000000002</v>
      </c>
      <c r="AD24" s="1">
        <v>8.168000000000001</v>
      </c>
      <c r="AE24" s="1">
        <v>2.4500000000000002</v>
      </c>
      <c r="AF24" s="1">
        <v>3.4954000000000001</v>
      </c>
      <c r="AG24" s="1"/>
      <c r="AH24" s="1">
        <f t="shared" si="7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74</v>
      </c>
      <c r="B25" s="1" t="s">
        <v>35</v>
      </c>
      <c r="C25" s="1">
        <v>37.863</v>
      </c>
      <c r="D25" s="1">
        <v>344.43099999999998</v>
      </c>
      <c r="E25" s="1">
        <v>172.93299999999999</v>
      </c>
      <c r="F25" s="1">
        <v>163.13900000000001</v>
      </c>
      <c r="G25" s="7">
        <v>1</v>
      </c>
      <c r="H25" s="1">
        <v>30</v>
      </c>
      <c r="I25" s="1" t="s">
        <v>75</v>
      </c>
      <c r="J25" s="1"/>
      <c r="K25" s="1">
        <v>178</v>
      </c>
      <c r="L25" s="1">
        <f t="shared" si="2"/>
        <v>-5.0670000000000073</v>
      </c>
      <c r="M25" s="1"/>
      <c r="N25" s="1"/>
      <c r="O25" s="1"/>
      <c r="P25" s="1">
        <v>209.71440000000001</v>
      </c>
      <c r="Q25" s="20"/>
      <c r="R25" s="1">
        <f t="shared" si="3"/>
        <v>34.586599999999997</v>
      </c>
      <c r="S25" s="5">
        <f t="shared" si="4"/>
        <v>59.47909999999996</v>
      </c>
      <c r="T25" s="5">
        <f t="shared" si="8"/>
        <v>59.47909999999996</v>
      </c>
      <c r="U25" s="1">
        <f t="shared" si="5"/>
        <v>12.5</v>
      </c>
      <c r="V25" s="1">
        <f t="shared" si="6"/>
        <v>10.780284850202102</v>
      </c>
      <c r="W25" s="1">
        <v>40.651400000000002</v>
      </c>
      <c r="X25" s="1">
        <v>18.385000000000002</v>
      </c>
      <c r="Y25" s="1">
        <v>6.2451999999999996</v>
      </c>
      <c r="Z25" s="1">
        <v>23.9664</v>
      </c>
      <c r="AA25" s="1">
        <v>38.5518</v>
      </c>
      <c r="AB25" s="1">
        <v>15.353400000000001</v>
      </c>
      <c r="AC25" s="1">
        <v>1.7964</v>
      </c>
      <c r="AD25" s="1">
        <v>17.0366</v>
      </c>
      <c r="AE25" s="1">
        <v>5.8121999999999998</v>
      </c>
      <c r="AF25" s="1">
        <v>19.634599999999999</v>
      </c>
      <c r="AG25" s="1"/>
      <c r="AH25" s="1">
        <f t="shared" si="7"/>
        <v>59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76</v>
      </c>
      <c r="B26" s="1" t="s">
        <v>35</v>
      </c>
      <c r="C26" s="1">
        <v>178.12899999999999</v>
      </c>
      <c r="D26" s="1">
        <v>513.822</v>
      </c>
      <c r="E26" s="1">
        <v>366.57400000000001</v>
      </c>
      <c r="F26" s="1">
        <v>235.905</v>
      </c>
      <c r="G26" s="7">
        <v>1</v>
      </c>
      <c r="H26" s="1">
        <v>40</v>
      </c>
      <c r="I26" s="1" t="s">
        <v>77</v>
      </c>
      <c r="J26" s="1"/>
      <c r="K26" s="1">
        <v>340.3</v>
      </c>
      <c r="L26" s="1">
        <f t="shared" si="2"/>
        <v>26.274000000000001</v>
      </c>
      <c r="M26" s="1"/>
      <c r="N26" s="1"/>
      <c r="O26" s="1">
        <v>44.541760000000181</v>
      </c>
      <c r="P26" s="1">
        <v>448.23163999999969</v>
      </c>
      <c r="Q26" s="20"/>
      <c r="R26" s="1">
        <f t="shared" si="3"/>
        <v>73.314800000000005</v>
      </c>
      <c r="S26" s="5">
        <f t="shared" si="4"/>
        <v>187.75660000000019</v>
      </c>
      <c r="T26" s="5">
        <f t="shared" ref="T26:T28" si="10">S26+$T$1*R26</f>
        <v>85.115880000000189</v>
      </c>
      <c r="U26" s="1">
        <f t="shared" si="5"/>
        <v>11.099999999999998</v>
      </c>
      <c r="V26" s="1">
        <f t="shared" si="6"/>
        <v>9.9390355016995162</v>
      </c>
      <c r="W26" s="1">
        <v>79.865399999999994</v>
      </c>
      <c r="X26" s="1">
        <v>55.552999999999997</v>
      </c>
      <c r="Y26" s="1">
        <v>47.498399999999997</v>
      </c>
      <c r="Z26" s="1">
        <v>64.634600000000006</v>
      </c>
      <c r="AA26" s="1">
        <v>63.067999999999998</v>
      </c>
      <c r="AB26" s="1">
        <v>57.167600000000007</v>
      </c>
      <c r="AC26" s="1">
        <v>56.127000000000002</v>
      </c>
      <c r="AD26" s="1">
        <v>46.794800000000002</v>
      </c>
      <c r="AE26" s="1">
        <v>46.891800000000003</v>
      </c>
      <c r="AF26" s="1">
        <v>38.828800000000001</v>
      </c>
      <c r="AG26" s="1"/>
      <c r="AH26" s="1">
        <f t="shared" si="7"/>
        <v>85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78</v>
      </c>
      <c r="B27" s="1" t="s">
        <v>35</v>
      </c>
      <c r="C27" s="1">
        <v>140.036</v>
      </c>
      <c r="D27" s="1">
        <v>495.45600000000002</v>
      </c>
      <c r="E27" s="1">
        <v>458.43</v>
      </c>
      <c r="F27" s="1">
        <v>87.168999999999997</v>
      </c>
      <c r="G27" s="7">
        <v>1</v>
      </c>
      <c r="H27" s="1">
        <v>30</v>
      </c>
      <c r="I27" s="1" t="s">
        <v>79</v>
      </c>
      <c r="J27" s="1"/>
      <c r="K27" s="1">
        <v>467.48</v>
      </c>
      <c r="L27" s="1">
        <f t="shared" si="2"/>
        <v>-9.0500000000000114</v>
      </c>
      <c r="M27" s="1"/>
      <c r="N27" s="1"/>
      <c r="O27" s="1">
        <v>116.4957999999999</v>
      </c>
      <c r="P27" s="1">
        <v>199.46140000000011</v>
      </c>
      <c r="Q27" s="20"/>
      <c r="R27" s="1">
        <f t="shared" si="3"/>
        <v>91.686000000000007</v>
      </c>
      <c r="S27" s="5">
        <f>11*R27-P27-O27-F27</f>
        <v>605.41980000000001</v>
      </c>
      <c r="T27" s="5">
        <f t="shared" si="10"/>
        <v>477.05939999999998</v>
      </c>
      <c r="U27" s="1">
        <f t="shared" si="5"/>
        <v>9.6</v>
      </c>
      <c r="V27" s="1">
        <f t="shared" si="6"/>
        <v>4.3968130357960868</v>
      </c>
      <c r="W27" s="1">
        <v>71.770200000000003</v>
      </c>
      <c r="X27" s="1">
        <v>57.282799999999988</v>
      </c>
      <c r="Y27" s="1">
        <v>54.650399999999998</v>
      </c>
      <c r="Z27" s="1">
        <v>63.486400000000003</v>
      </c>
      <c r="AA27" s="1">
        <v>25.735800000000001</v>
      </c>
      <c r="AB27" s="1">
        <v>17.547999999999998</v>
      </c>
      <c r="AC27" s="1">
        <v>63.722400000000007</v>
      </c>
      <c r="AD27" s="1">
        <v>111.14619999999999</v>
      </c>
      <c r="AE27" s="1">
        <v>73.176400000000001</v>
      </c>
      <c r="AF27" s="1">
        <v>86.483800000000002</v>
      </c>
      <c r="AG27" s="1"/>
      <c r="AH27" s="1">
        <f t="shared" si="7"/>
        <v>477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80</v>
      </c>
      <c r="B28" s="1" t="s">
        <v>35</v>
      </c>
      <c r="C28" s="1">
        <v>695.53</v>
      </c>
      <c r="D28" s="1">
        <v>1322.646</v>
      </c>
      <c r="E28" s="1">
        <v>1028.3900000000001</v>
      </c>
      <c r="F28" s="1">
        <v>836.20799999999997</v>
      </c>
      <c r="G28" s="7">
        <v>1</v>
      </c>
      <c r="H28" s="1">
        <v>40</v>
      </c>
      <c r="I28" s="1" t="s">
        <v>81</v>
      </c>
      <c r="J28" s="1"/>
      <c r="K28" s="1">
        <v>1053.1780000000001</v>
      </c>
      <c r="L28" s="1">
        <f t="shared" si="2"/>
        <v>-24.788000000000011</v>
      </c>
      <c r="M28" s="1"/>
      <c r="N28" s="1"/>
      <c r="O28" s="1"/>
      <c r="P28" s="1">
        <v>662.78511999999989</v>
      </c>
      <c r="Q28" s="20"/>
      <c r="R28" s="1">
        <f t="shared" si="3"/>
        <v>205.67800000000003</v>
      </c>
      <c r="S28" s="5">
        <f t="shared" si="4"/>
        <v>1071.9818800000003</v>
      </c>
      <c r="T28" s="5">
        <f t="shared" si="10"/>
        <v>784.03268000000025</v>
      </c>
      <c r="U28" s="1">
        <f t="shared" si="5"/>
        <v>11.1</v>
      </c>
      <c r="V28" s="1">
        <f t="shared" si="6"/>
        <v>7.2880576435010047</v>
      </c>
      <c r="W28" s="1">
        <v>192.21559999999999</v>
      </c>
      <c r="X28" s="1">
        <v>70.557199999999995</v>
      </c>
      <c r="Y28" s="1">
        <v>-0.49800000000000011</v>
      </c>
      <c r="Z28" s="1">
        <v>74.856799999999993</v>
      </c>
      <c r="AA28" s="1">
        <v>185.2568</v>
      </c>
      <c r="AB28" s="1">
        <v>162.31219999999999</v>
      </c>
      <c r="AC28" s="1">
        <v>71.218600000000009</v>
      </c>
      <c r="AD28" s="1">
        <v>218.88560000000001</v>
      </c>
      <c r="AE28" s="1">
        <v>80.849599999999995</v>
      </c>
      <c r="AF28" s="1">
        <v>144.97579999999999</v>
      </c>
      <c r="AG28" s="1"/>
      <c r="AH28" s="1">
        <f t="shared" si="7"/>
        <v>784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82</v>
      </c>
      <c r="B29" s="1" t="s">
        <v>35</v>
      </c>
      <c r="C29" s="1"/>
      <c r="D29" s="1">
        <v>43.122</v>
      </c>
      <c r="E29" s="1">
        <v>38.744</v>
      </c>
      <c r="F29" s="1">
        <v>1.4E-2</v>
      </c>
      <c r="G29" s="7">
        <v>1</v>
      </c>
      <c r="H29" s="1">
        <v>40</v>
      </c>
      <c r="I29" s="1" t="s">
        <v>83</v>
      </c>
      <c r="J29" s="1"/>
      <c r="K29" s="1">
        <v>35.1</v>
      </c>
      <c r="L29" s="1">
        <f t="shared" si="2"/>
        <v>3.6439999999999984</v>
      </c>
      <c r="M29" s="1"/>
      <c r="N29" s="1"/>
      <c r="O29" s="1"/>
      <c r="P29" s="1">
        <v>0</v>
      </c>
      <c r="Q29" s="20"/>
      <c r="R29" s="1">
        <f t="shared" si="3"/>
        <v>7.7488000000000001</v>
      </c>
      <c r="S29" s="5">
        <v>80</v>
      </c>
      <c r="T29" s="5">
        <f t="shared" si="8"/>
        <v>80</v>
      </c>
      <c r="U29" s="1">
        <f t="shared" si="5"/>
        <v>10.325985959116249</v>
      </c>
      <c r="V29" s="1">
        <f t="shared" si="6"/>
        <v>1.806731364856494E-3</v>
      </c>
      <c r="W29" s="1">
        <v>-0.42280000000000001</v>
      </c>
      <c r="X29" s="1">
        <v>-0.42280000000000001</v>
      </c>
      <c r="Y29" s="1">
        <v>0</v>
      </c>
      <c r="Z29" s="1">
        <v>0</v>
      </c>
      <c r="AA29" s="1">
        <v>0.64379999999999993</v>
      </c>
      <c r="AB29" s="1">
        <v>5.3945999999999996</v>
      </c>
      <c r="AC29" s="1">
        <v>16.281400000000001</v>
      </c>
      <c r="AD29" s="1">
        <v>15.133800000000001</v>
      </c>
      <c r="AE29" s="1">
        <v>11.8508</v>
      </c>
      <c r="AF29" s="1">
        <v>11.727399999999999</v>
      </c>
      <c r="AG29" s="1"/>
      <c r="AH29" s="1">
        <f t="shared" si="7"/>
        <v>80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84</v>
      </c>
      <c r="B30" s="1" t="s">
        <v>35</v>
      </c>
      <c r="C30" s="1">
        <v>3.012</v>
      </c>
      <c r="D30" s="1">
        <v>96.56</v>
      </c>
      <c r="E30" s="1">
        <v>38.01</v>
      </c>
      <c r="F30" s="1">
        <v>53.055999999999997</v>
      </c>
      <c r="G30" s="7">
        <v>1</v>
      </c>
      <c r="H30" s="1">
        <v>30</v>
      </c>
      <c r="I30" s="1" t="s">
        <v>85</v>
      </c>
      <c r="J30" s="1"/>
      <c r="K30" s="1">
        <v>49</v>
      </c>
      <c r="L30" s="1">
        <f t="shared" si="2"/>
        <v>-10.990000000000002</v>
      </c>
      <c r="M30" s="1"/>
      <c r="N30" s="1"/>
      <c r="O30" s="1">
        <v>82.287799999999976</v>
      </c>
      <c r="P30" s="1">
        <v>0</v>
      </c>
      <c r="Q30" s="20"/>
      <c r="R30" s="1">
        <f t="shared" si="3"/>
        <v>7.6019999999999994</v>
      </c>
      <c r="S30" s="5"/>
      <c r="T30" s="5">
        <f t="shared" si="8"/>
        <v>0</v>
      </c>
      <c r="U30" s="1">
        <f t="shared" si="5"/>
        <v>17.803709550118391</v>
      </c>
      <c r="V30" s="1">
        <f t="shared" si="6"/>
        <v>17.803709550118391</v>
      </c>
      <c r="W30" s="1">
        <v>9.0299999999999994</v>
      </c>
      <c r="X30" s="1">
        <v>13.668799999999999</v>
      </c>
      <c r="Y30" s="1">
        <v>10.4878</v>
      </c>
      <c r="Z30" s="1">
        <v>6.930200000000001</v>
      </c>
      <c r="AA30" s="1">
        <v>4.702</v>
      </c>
      <c r="AB30" s="1">
        <v>11.2216</v>
      </c>
      <c r="AC30" s="1">
        <v>18.107199999999999</v>
      </c>
      <c r="AD30" s="1">
        <v>2.2928000000000002</v>
      </c>
      <c r="AE30" s="1">
        <v>11.4916</v>
      </c>
      <c r="AF30" s="1">
        <v>10.300800000000001</v>
      </c>
      <c r="AG30" s="1"/>
      <c r="AH30" s="1">
        <f t="shared" si="7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86</v>
      </c>
      <c r="B31" s="1" t="s">
        <v>35</v>
      </c>
      <c r="C31" s="1">
        <v>-1.865</v>
      </c>
      <c r="D31" s="1">
        <v>271.99900000000002</v>
      </c>
      <c r="E31" s="1">
        <v>61.271000000000001</v>
      </c>
      <c r="F31" s="1">
        <v>194.20400000000001</v>
      </c>
      <c r="G31" s="7">
        <v>1</v>
      </c>
      <c r="H31" s="1">
        <v>50</v>
      </c>
      <c r="I31" s="1" t="s">
        <v>87</v>
      </c>
      <c r="J31" s="1"/>
      <c r="K31" s="1">
        <v>53.9</v>
      </c>
      <c r="L31" s="1">
        <f t="shared" si="2"/>
        <v>7.3710000000000022</v>
      </c>
      <c r="M31" s="1"/>
      <c r="N31" s="1"/>
      <c r="O31" s="1"/>
      <c r="P31" s="1">
        <v>0</v>
      </c>
      <c r="Q31" s="20"/>
      <c r="R31" s="1">
        <f t="shared" si="3"/>
        <v>12.254200000000001</v>
      </c>
      <c r="S31" s="5"/>
      <c r="T31" s="5">
        <f t="shared" si="8"/>
        <v>0</v>
      </c>
      <c r="U31" s="1">
        <f t="shared" si="5"/>
        <v>15.847954170814903</v>
      </c>
      <c r="V31" s="1">
        <f t="shared" si="6"/>
        <v>15.847954170814903</v>
      </c>
      <c r="W31" s="1">
        <v>11.743399999999999</v>
      </c>
      <c r="X31" s="1">
        <v>12.266</v>
      </c>
      <c r="Y31" s="1">
        <v>12.967599999999999</v>
      </c>
      <c r="Z31" s="1">
        <v>22.8354</v>
      </c>
      <c r="AA31" s="1">
        <v>18.087</v>
      </c>
      <c r="AB31" s="1">
        <v>8.8298000000000005</v>
      </c>
      <c r="AC31" s="1">
        <v>14.561199999999999</v>
      </c>
      <c r="AD31" s="1">
        <v>13.348000000000001</v>
      </c>
      <c r="AE31" s="1">
        <v>11</v>
      </c>
      <c r="AF31" s="1">
        <v>17.146799999999999</v>
      </c>
      <c r="AG31" s="1"/>
      <c r="AH31" s="1">
        <f t="shared" si="7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88</v>
      </c>
      <c r="B32" s="1" t="s">
        <v>35</v>
      </c>
      <c r="C32" s="1">
        <v>-0.34499999999999997</v>
      </c>
      <c r="D32" s="1">
        <v>221.06299999999999</v>
      </c>
      <c r="E32" s="1">
        <v>26.48</v>
      </c>
      <c r="F32" s="1">
        <v>178.773</v>
      </c>
      <c r="G32" s="7">
        <v>1</v>
      </c>
      <c r="H32" s="1">
        <v>50</v>
      </c>
      <c r="I32" s="1" t="s">
        <v>89</v>
      </c>
      <c r="J32" s="1"/>
      <c r="K32" s="1">
        <v>26.7</v>
      </c>
      <c r="L32" s="1">
        <f t="shared" si="2"/>
        <v>-0.21999999999999886</v>
      </c>
      <c r="M32" s="1"/>
      <c r="N32" s="1"/>
      <c r="O32" s="1"/>
      <c r="P32" s="1">
        <v>0</v>
      </c>
      <c r="Q32" s="20"/>
      <c r="R32" s="1">
        <f t="shared" si="3"/>
        <v>5.2960000000000003</v>
      </c>
      <c r="S32" s="5"/>
      <c r="T32" s="5">
        <f t="shared" si="8"/>
        <v>0</v>
      </c>
      <c r="U32" s="1">
        <f t="shared" si="5"/>
        <v>33.756231117824768</v>
      </c>
      <c r="V32" s="1">
        <f t="shared" si="6"/>
        <v>33.756231117824768</v>
      </c>
      <c r="W32" s="1">
        <v>9.1239999999999988</v>
      </c>
      <c r="X32" s="1">
        <v>9.2742000000000004</v>
      </c>
      <c r="Y32" s="1">
        <v>7.9944000000000006</v>
      </c>
      <c r="Z32" s="1">
        <v>17.6374</v>
      </c>
      <c r="AA32" s="1">
        <v>15.8256</v>
      </c>
      <c r="AB32" s="1">
        <v>2.5464000000000002</v>
      </c>
      <c r="AC32" s="1">
        <v>3.4506000000000001</v>
      </c>
      <c r="AD32" s="1">
        <v>11.9902</v>
      </c>
      <c r="AE32" s="1">
        <v>6.7331999999999992</v>
      </c>
      <c r="AF32" s="1">
        <v>7.7528000000000006</v>
      </c>
      <c r="AG32" s="1"/>
      <c r="AH32" s="1">
        <f t="shared" si="7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90</v>
      </c>
      <c r="B33" s="1" t="s">
        <v>35</v>
      </c>
      <c r="C33" s="1">
        <v>-1.27</v>
      </c>
      <c r="D33" s="1">
        <v>162.988</v>
      </c>
      <c r="E33" s="1">
        <v>33.877000000000002</v>
      </c>
      <c r="F33" s="1">
        <v>119.553</v>
      </c>
      <c r="G33" s="7">
        <v>1</v>
      </c>
      <c r="H33" s="1">
        <v>50</v>
      </c>
      <c r="I33" s="1" t="s">
        <v>91</v>
      </c>
      <c r="J33" s="1"/>
      <c r="K33" s="1">
        <v>29.5</v>
      </c>
      <c r="L33" s="1">
        <f t="shared" si="2"/>
        <v>4.3770000000000024</v>
      </c>
      <c r="M33" s="1"/>
      <c r="N33" s="1"/>
      <c r="O33" s="1"/>
      <c r="P33" s="1">
        <v>0</v>
      </c>
      <c r="Q33" s="20"/>
      <c r="R33" s="1">
        <f t="shared" si="3"/>
        <v>6.7754000000000003</v>
      </c>
      <c r="S33" s="5"/>
      <c r="T33" s="5">
        <f t="shared" si="8"/>
        <v>0</v>
      </c>
      <c r="U33" s="1">
        <f t="shared" si="5"/>
        <v>17.645157481477106</v>
      </c>
      <c r="V33" s="1">
        <f t="shared" si="6"/>
        <v>17.645157481477106</v>
      </c>
      <c r="W33" s="1">
        <v>9.1257999999999999</v>
      </c>
      <c r="X33" s="1">
        <v>9.4567999999999994</v>
      </c>
      <c r="Y33" s="1">
        <v>7.2782</v>
      </c>
      <c r="Z33" s="1">
        <v>13.0936</v>
      </c>
      <c r="AA33" s="1">
        <v>11.2852</v>
      </c>
      <c r="AB33" s="1">
        <v>0.90340000000000009</v>
      </c>
      <c r="AC33" s="1">
        <v>1.6257999999999999</v>
      </c>
      <c r="AD33" s="1">
        <v>9.5920000000000005</v>
      </c>
      <c r="AE33" s="1">
        <v>4.7031999999999998</v>
      </c>
      <c r="AF33" s="1">
        <v>8.8510000000000009</v>
      </c>
      <c r="AG33" s="1"/>
      <c r="AH33" s="1">
        <f t="shared" si="7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92</v>
      </c>
      <c r="B34" s="1" t="s">
        <v>42</v>
      </c>
      <c r="C34" s="1">
        <v>145</v>
      </c>
      <c r="D34" s="1">
        <v>2236</v>
      </c>
      <c r="E34" s="1">
        <v>1110</v>
      </c>
      <c r="F34" s="1">
        <v>1043</v>
      </c>
      <c r="G34" s="7">
        <v>0.4</v>
      </c>
      <c r="H34" s="1">
        <v>45</v>
      </c>
      <c r="I34" s="1" t="s">
        <v>93</v>
      </c>
      <c r="J34" s="1"/>
      <c r="K34" s="1">
        <v>1123</v>
      </c>
      <c r="L34" s="1">
        <f t="shared" si="2"/>
        <v>-13</v>
      </c>
      <c r="M34" s="1"/>
      <c r="N34" s="1"/>
      <c r="O34" s="1">
        <v>693.34400000000005</v>
      </c>
      <c r="P34" s="1">
        <v>374.60799999999961</v>
      </c>
      <c r="Q34" s="20"/>
      <c r="R34" s="1">
        <f t="shared" si="3"/>
        <v>222</v>
      </c>
      <c r="S34" s="5">
        <f t="shared" si="4"/>
        <v>664.04800000000023</v>
      </c>
      <c r="T34" s="5">
        <f>S34+$T$1*R34</f>
        <v>353.24800000000027</v>
      </c>
      <c r="U34" s="1">
        <f t="shared" si="5"/>
        <v>11.1</v>
      </c>
      <c r="V34" s="1">
        <f t="shared" si="6"/>
        <v>9.5087927927927911</v>
      </c>
      <c r="W34" s="1">
        <v>266.76</v>
      </c>
      <c r="X34" s="1">
        <v>234.56</v>
      </c>
      <c r="Y34" s="1">
        <v>209.4</v>
      </c>
      <c r="Z34" s="1">
        <v>257.60000000000002</v>
      </c>
      <c r="AA34" s="1">
        <v>219.4</v>
      </c>
      <c r="AB34" s="1">
        <v>128</v>
      </c>
      <c r="AC34" s="1">
        <v>182.4</v>
      </c>
      <c r="AD34" s="1">
        <v>197.2</v>
      </c>
      <c r="AE34" s="1">
        <v>91.4</v>
      </c>
      <c r="AF34" s="1">
        <v>215.4</v>
      </c>
      <c r="AG34" s="1"/>
      <c r="AH34" s="1">
        <f t="shared" si="7"/>
        <v>141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94</v>
      </c>
      <c r="B35" s="1" t="s">
        <v>42</v>
      </c>
      <c r="C35" s="1">
        <v>260</v>
      </c>
      <c r="D35" s="1">
        <v>360</v>
      </c>
      <c r="E35" s="1">
        <v>120</v>
      </c>
      <c r="F35" s="1">
        <v>430</v>
      </c>
      <c r="G35" s="7">
        <v>0.45</v>
      </c>
      <c r="H35" s="1">
        <v>50</v>
      </c>
      <c r="I35" s="1" t="s">
        <v>95</v>
      </c>
      <c r="J35" s="1"/>
      <c r="K35" s="1">
        <v>118</v>
      </c>
      <c r="L35" s="1">
        <f t="shared" si="2"/>
        <v>2</v>
      </c>
      <c r="M35" s="1"/>
      <c r="N35" s="1"/>
      <c r="O35" s="1">
        <v>15.39999999999986</v>
      </c>
      <c r="P35" s="1">
        <v>0</v>
      </c>
      <c r="Q35" s="20"/>
      <c r="R35" s="1">
        <f t="shared" si="3"/>
        <v>24</v>
      </c>
      <c r="S35" s="5"/>
      <c r="T35" s="5">
        <f t="shared" si="8"/>
        <v>0</v>
      </c>
      <c r="U35" s="1">
        <f t="shared" si="5"/>
        <v>18.558333333333326</v>
      </c>
      <c r="V35" s="1">
        <f t="shared" si="6"/>
        <v>18.558333333333326</v>
      </c>
      <c r="W35" s="1">
        <v>40.4</v>
      </c>
      <c r="X35" s="1">
        <v>47.8</v>
      </c>
      <c r="Y35" s="1">
        <v>42.4</v>
      </c>
      <c r="Z35" s="1">
        <v>58.6</v>
      </c>
      <c r="AA35" s="1">
        <v>62.8</v>
      </c>
      <c r="AB35" s="1">
        <v>53</v>
      </c>
      <c r="AC35" s="1">
        <v>51.6</v>
      </c>
      <c r="AD35" s="1">
        <v>32.6</v>
      </c>
      <c r="AE35" s="1">
        <v>47</v>
      </c>
      <c r="AF35" s="1">
        <v>33</v>
      </c>
      <c r="AG35" s="1"/>
      <c r="AH35" s="1">
        <f t="shared" si="7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96</v>
      </c>
      <c r="B36" s="1" t="s">
        <v>42</v>
      </c>
      <c r="C36" s="1">
        <v>105</v>
      </c>
      <c r="D36" s="1">
        <v>619</v>
      </c>
      <c r="E36" s="1">
        <v>349</v>
      </c>
      <c r="F36" s="1">
        <v>300</v>
      </c>
      <c r="G36" s="7">
        <v>0.4</v>
      </c>
      <c r="H36" s="1">
        <v>45</v>
      </c>
      <c r="I36" s="1" t="s">
        <v>97</v>
      </c>
      <c r="J36" s="1"/>
      <c r="K36" s="1">
        <v>359</v>
      </c>
      <c r="L36" s="1">
        <f t="shared" si="2"/>
        <v>-10</v>
      </c>
      <c r="M36" s="1"/>
      <c r="N36" s="1"/>
      <c r="O36" s="1"/>
      <c r="P36" s="1">
        <v>407.31999999999988</v>
      </c>
      <c r="Q36" s="20"/>
      <c r="R36" s="1">
        <f t="shared" si="3"/>
        <v>69.8</v>
      </c>
      <c r="S36" s="5">
        <f t="shared" si="4"/>
        <v>165.18000000000012</v>
      </c>
      <c r="T36" s="5">
        <f>S36+$T$1*R36</f>
        <v>67.460000000000136</v>
      </c>
      <c r="U36" s="1">
        <f t="shared" si="5"/>
        <v>11.100000000000001</v>
      </c>
      <c r="V36" s="1">
        <f t="shared" si="6"/>
        <v>10.133524355300858</v>
      </c>
      <c r="W36" s="1">
        <v>86.6</v>
      </c>
      <c r="X36" s="1">
        <v>51.2</v>
      </c>
      <c r="Y36" s="1">
        <v>34.200000000000003</v>
      </c>
      <c r="Z36" s="1">
        <v>69.8</v>
      </c>
      <c r="AA36" s="1">
        <v>72.599999999999994</v>
      </c>
      <c r="AB36" s="1">
        <v>49.8</v>
      </c>
      <c r="AC36" s="1">
        <v>42.2</v>
      </c>
      <c r="AD36" s="1">
        <v>54.6</v>
      </c>
      <c r="AE36" s="1">
        <v>24.8</v>
      </c>
      <c r="AF36" s="1">
        <v>36.6</v>
      </c>
      <c r="AG36" s="1"/>
      <c r="AH36" s="1">
        <f t="shared" si="7"/>
        <v>27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98</v>
      </c>
      <c r="B37" s="1" t="s">
        <v>42</v>
      </c>
      <c r="C37" s="1">
        <v>85</v>
      </c>
      <c r="D37" s="1">
        <v>61</v>
      </c>
      <c r="E37" s="1">
        <v>41</v>
      </c>
      <c r="F37" s="1">
        <v>99</v>
      </c>
      <c r="G37" s="7">
        <v>0.4</v>
      </c>
      <c r="H37" s="1">
        <v>40</v>
      </c>
      <c r="I37" s="1" t="s">
        <v>99</v>
      </c>
      <c r="J37" s="1"/>
      <c r="K37" s="1">
        <v>39</v>
      </c>
      <c r="L37" s="1">
        <f t="shared" si="2"/>
        <v>2</v>
      </c>
      <c r="M37" s="1"/>
      <c r="N37" s="1"/>
      <c r="O37" s="1"/>
      <c r="P37" s="1">
        <v>0</v>
      </c>
      <c r="Q37" s="20"/>
      <c r="R37" s="1">
        <f t="shared" si="3"/>
        <v>8.1999999999999993</v>
      </c>
      <c r="S37" s="5">
        <v>6</v>
      </c>
      <c r="T37" s="5">
        <f t="shared" si="8"/>
        <v>6</v>
      </c>
      <c r="U37" s="1">
        <f t="shared" si="5"/>
        <v>12.804878048780489</v>
      </c>
      <c r="V37" s="1">
        <f t="shared" si="6"/>
        <v>12.073170731707318</v>
      </c>
      <c r="W37" s="1">
        <v>4.5999999999999996</v>
      </c>
      <c r="X37" s="1">
        <v>2.4</v>
      </c>
      <c r="Y37" s="1">
        <v>0.6</v>
      </c>
      <c r="Z37" s="1">
        <v>9.8000000000000007</v>
      </c>
      <c r="AA37" s="1">
        <v>11.2</v>
      </c>
      <c r="AB37" s="1">
        <v>12.6</v>
      </c>
      <c r="AC37" s="1">
        <v>11.2</v>
      </c>
      <c r="AD37" s="1">
        <v>2.8</v>
      </c>
      <c r="AE37" s="1">
        <v>3.2</v>
      </c>
      <c r="AF37" s="1">
        <v>3</v>
      </c>
      <c r="AG37" s="1"/>
      <c r="AH37" s="1">
        <f t="shared" si="7"/>
        <v>2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100</v>
      </c>
      <c r="B38" s="1" t="s">
        <v>35</v>
      </c>
      <c r="C38" s="1">
        <v>31.413</v>
      </c>
      <c r="D38" s="1">
        <v>35.064</v>
      </c>
      <c r="E38" s="1">
        <v>11.526</v>
      </c>
      <c r="F38" s="1">
        <v>49.225000000000001</v>
      </c>
      <c r="G38" s="7">
        <v>1</v>
      </c>
      <c r="H38" s="1">
        <v>45</v>
      </c>
      <c r="I38" s="1" t="s">
        <v>101</v>
      </c>
      <c r="J38" s="1"/>
      <c r="K38" s="1">
        <v>10.1</v>
      </c>
      <c r="L38" s="1">
        <f t="shared" ref="L38:L69" si="11">E38-K38</f>
        <v>1.4260000000000002</v>
      </c>
      <c r="M38" s="1"/>
      <c r="N38" s="1"/>
      <c r="O38" s="1"/>
      <c r="P38" s="1">
        <v>0</v>
      </c>
      <c r="Q38" s="20"/>
      <c r="R38" s="1">
        <f t="shared" si="3"/>
        <v>2.3052000000000001</v>
      </c>
      <c r="S38" s="5"/>
      <c r="T38" s="5">
        <f t="shared" si="8"/>
        <v>0</v>
      </c>
      <c r="U38" s="1">
        <f t="shared" si="5"/>
        <v>21.35389554051709</v>
      </c>
      <c r="V38" s="1">
        <f t="shared" si="6"/>
        <v>21.35389554051709</v>
      </c>
      <c r="W38" s="1">
        <v>2.8776000000000002</v>
      </c>
      <c r="X38" s="1">
        <v>1.722</v>
      </c>
      <c r="Y38" s="1">
        <v>0</v>
      </c>
      <c r="Z38" s="1">
        <v>1.1624000000000001</v>
      </c>
      <c r="AA38" s="1">
        <v>4.9401999999999999</v>
      </c>
      <c r="AB38" s="1">
        <v>3.7778</v>
      </c>
      <c r="AC38" s="1">
        <v>0</v>
      </c>
      <c r="AD38" s="1">
        <v>1.9923999999999999</v>
      </c>
      <c r="AE38" s="1">
        <v>5.5179999999999998</v>
      </c>
      <c r="AF38" s="1">
        <v>3.1657999999999999</v>
      </c>
      <c r="AG38" s="1"/>
      <c r="AH38" s="1">
        <f t="shared" si="7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102</v>
      </c>
      <c r="B39" s="1" t="s">
        <v>42</v>
      </c>
      <c r="C39" s="1">
        <v>1</v>
      </c>
      <c r="D39" s="1">
        <v>920</v>
      </c>
      <c r="E39" s="1">
        <v>188</v>
      </c>
      <c r="F39" s="1">
        <v>666</v>
      </c>
      <c r="G39" s="7">
        <v>0.1</v>
      </c>
      <c r="H39" s="1">
        <v>731</v>
      </c>
      <c r="I39" s="1" t="s">
        <v>103</v>
      </c>
      <c r="J39" s="1"/>
      <c r="K39" s="1">
        <v>174</v>
      </c>
      <c r="L39" s="1">
        <f t="shared" si="11"/>
        <v>14</v>
      </c>
      <c r="M39" s="1"/>
      <c r="N39" s="1"/>
      <c r="O39" s="1"/>
      <c r="P39" s="1">
        <v>0</v>
      </c>
      <c r="Q39" s="20"/>
      <c r="R39" s="1">
        <f t="shared" si="3"/>
        <v>37.6</v>
      </c>
      <c r="S39" s="5"/>
      <c r="T39" s="5">
        <f t="shared" si="8"/>
        <v>0</v>
      </c>
      <c r="U39" s="1">
        <f t="shared" si="5"/>
        <v>17.712765957446809</v>
      </c>
      <c r="V39" s="1">
        <f t="shared" si="6"/>
        <v>17.712765957446809</v>
      </c>
      <c r="W39" s="1">
        <v>47</v>
      </c>
      <c r="X39" s="1">
        <v>61</v>
      </c>
      <c r="Y39" s="1">
        <v>70.8</v>
      </c>
      <c r="Z39" s="1">
        <v>84.6</v>
      </c>
      <c r="AA39" s="1">
        <v>73.8</v>
      </c>
      <c r="AB39" s="1">
        <v>21.4</v>
      </c>
      <c r="AC39" s="1">
        <v>7.4</v>
      </c>
      <c r="AD39" s="1">
        <v>77.599999999999994</v>
      </c>
      <c r="AE39" s="1">
        <v>32.4</v>
      </c>
      <c r="AF39" s="1">
        <v>20.8</v>
      </c>
      <c r="AG39" s="1"/>
      <c r="AH39" s="1">
        <f t="shared" si="7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104</v>
      </c>
      <c r="B40" s="1" t="s">
        <v>42</v>
      </c>
      <c r="C40" s="1">
        <v>-4</v>
      </c>
      <c r="D40" s="1">
        <v>294</v>
      </c>
      <c r="E40" s="1">
        <v>140</v>
      </c>
      <c r="F40" s="1">
        <v>108</v>
      </c>
      <c r="G40" s="7">
        <v>0.35</v>
      </c>
      <c r="H40" s="1">
        <v>40</v>
      </c>
      <c r="I40" s="1" t="s">
        <v>105</v>
      </c>
      <c r="J40" s="1"/>
      <c r="K40" s="1">
        <v>151</v>
      </c>
      <c r="L40" s="1">
        <f t="shared" si="11"/>
        <v>-11</v>
      </c>
      <c r="M40" s="1"/>
      <c r="N40" s="1"/>
      <c r="O40" s="1">
        <v>161.4</v>
      </c>
      <c r="P40" s="1">
        <v>0</v>
      </c>
      <c r="Q40" s="20"/>
      <c r="R40" s="1">
        <f t="shared" si="3"/>
        <v>28</v>
      </c>
      <c r="S40" s="5">
        <f t="shared" si="4"/>
        <v>80.599999999999994</v>
      </c>
      <c r="T40" s="5">
        <f t="shared" si="8"/>
        <v>80.599999999999994</v>
      </c>
      <c r="U40" s="1">
        <f t="shared" si="5"/>
        <v>12.5</v>
      </c>
      <c r="V40" s="1">
        <f t="shared" si="6"/>
        <v>9.6214285714285701</v>
      </c>
      <c r="W40" s="1">
        <v>33.799999999999997</v>
      </c>
      <c r="X40" s="1">
        <v>35.200000000000003</v>
      </c>
      <c r="Y40" s="1">
        <v>30.4</v>
      </c>
      <c r="Z40" s="1">
        <v>34</v>
      </c>
      <c r="AA40" s="1">
        <v>27.4</v>
      </c>
      <c r="AB40" s="1">
        <v>7.6</v>
      </c>
      <c r="AC40" s="1">
        <v>13.6</v>
      </c>
      <c r="AD40" s="1">
        <v>27.2</v>
      </c>
      <c r="AE40" s="1">
        <v>18.2</v>
      </c>
      <c r="AF40" s="1">
        <v>25.4</v>
      </c>
      <c r="AG40" s="1"/>
      <c r="AH40" s="1">
        <f t="shared" si="7"/>
        <v>28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106</v>
      </c>
      <c r="B41" s="1" t="s">
        <v>35</v>
      </c>
      <c r="C41" s="1">
        <v>23.628</v>
      </c>
      <c r="D41" s="1">
        <v>215.547</v>
      </c>
      <c r="E41" s="1">
        <v>100.962</v>
      </c>
      <c r="F41" s="1">
        <v>99.53</v>
      </c>
      <c r="G41" s="7">
        <v>1</v>
      </c>
      <c r="H41" s="1">
        <v>40</v>
      </c>
      <c r="I41" s="1" t="s">
        <v>107</v>
      </c>
      <c r="J41" s="1"/>
      <c r="K41" s="1">
        <v>91.1</v>
      </c>
      <c r="L41" s="1">
        <f t="shared" si="11"/>
        <v>9.862000000000009</v>
      </c>
      <c r="M41" s="1"/>
      <c r="N41" s="1"/>
      <c r="O41" s="1"/>
      <c r="P41" s="1">
        <v>153.0966</v>
      </c>
      <c r="Q41" s="20"/>
      <c r="R41" s="1">
        <f t="shared" si="3"/>
        <v>20.192399999999999</v>
      </c>
      <c r="S41" s="5"/>
      <c r="T41" s="5">
        <f t="shared" si="8"/>
        <v>0</v>
      </c>
      <c r="U41" s="1">
        <f t="shared" si="5"/>
        <v>12.510974426021672</v>
      </c>
      <c r="V41" s="1">
        <f t="shared" si="6"/>
        <v>12.510974426021672</v>
      </c>
      <c r="W41" s="1">
        <v>27.465599999999998</v>
      </c>
      <c r="X41" s="1">
        <v>16.9666</v>
      </c>
      <c r="Y41" s="1">
        <v>11.3088</v>
      </c>
      <c r="Z41" s="1">
        <v>21.493200000000002</v>
      </c>
      <c r="AA41" s="1">
        <v>20.497599999999998</v>
      </c>
      <c r="AB41" s="1">
        <v>6.5640000000000001</v>
      </c>
      <c r="AC41" s="1">
        <v>8.2590000000000003</v>
      </c>
      <c r="AD41" s="1">
        <v>17.3644</v>
      </c>
      <c r="AE41" s="1">
        <v>10.4474</v>
      </c>
      <c r="AF41" s="1">
        <v>16.349599999999999</v>
      </c>
      <c r="AG41" s="1"/>
      <c r="AH41" s="1">
        <f t="shared" si="7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108</v>
      </c>
      <c r="B42" s="1" t="s">
        <v>42</v>
      </c>
      <c r="C42" s="1">
        <v>184</v>
      </c>
      <c r="D42" s="1">
        <v>3</v>
      </c>
      <c r="E42" s="1">
        <v>134</v>
      </c>
      <c r="F42" s="1">
        <v>12</v>
      </c>
      <c r="G42" s="7">
        <v>0.4</v>
      </c>
      <c r="H42" s="1">
        <v>40</v>
      </c>
      <c r="I42" s="1" t="s">
        <v>109</v>
      </c>
      <c r="J42" s="1"/>
      <c r="K42" s="1">
        <v>131</v>
      </c>
      <c r="L42" s="1">
        <f t="shared" si="11"/>
        <v>3</v>
      </c>
      <c r="M42" s="1"/>
      <c r="N42" s="1"/>
      <c r="O42" s="1"/>
      <c r="P42" s="1">
        <v>164.6</v>
      </c>
      <c r="Q42" s="20"/>
      <c r="R42" s="1">
        <f t="shared" si="3"/>
        <v>26.8</v>
      </c>
      <c r="S42" s="5">
        <f t="shared" si="4"/>
        <v>158.4</v>
      </c>
      <c r="T42" s="5">
        <f>S42+$T$1*R42</f>
        <v>120.88000000000001</v>
      </c>
      <c r="U42" s="1">
        <f t="shared" si="5"/>
        <v>11.1</v>
      </c>
      <c r="V42" s="1">
        <f t="shared" si="6"/>
        <v>6.58955223880597</v>
      </c>
      <c r="W42" s="1">
        <v>22.6</v>
      </c>
      <c r="X42" s="1">
        <v>12.6</v>
      </c>
      <c r="Y42" s="1">
        <v>16.8</v>
      </c>
      <c r="Z42" s="1">
        <v>27.2</v>
      </c>
      <c r="AA42" s="1">
        <v>28.8</v>
      </c>
      <c r="AB42" s="1">
        <v>33</v>
      </c>
      <c r="AC42" s="1">
        <v>28.78</v>
      </c>
      <c r="AD42" s="1">
        <v>18</v>
      </c>
      <c r="AE42" s="1">
        <v>15.6</v>
      </c>
      <c r="AF42" s="1">
        <v>21.8</v>
      </c>
      <c r="AG42" s="1"/>
      <c r="AH42" s="1">
        <f t="shared" si="7"/>
        <v>48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110</v>
      </c>
      <c r="B43" s="1" t="s">
        <v>42</v>
      </c>
      <c r="C43" s="1">
        <v>338</v>
      </c>
      <c r="D43" s="1">
        <v>13</v>
      </c>
      <c r="E43" s="1">
        <v>112</v>
      </c>
      <c r="F43" s="1">
        <v>197</v>
      </c>
      <c r="G43" s="7">
        <v>0.4</v>
      </c>
      <c r="H43" s="1">
        <v>45</v>
      </c>
      <c r="I43" s="1" t="s">
        <v>111</v>
      </c>
      <c r="J43" s="1"/>
      <c r="K43" s="1">
        <v>116</v>
      </c>
      <c r="L43" s="1">
        <f t="shared" si="11"/>
        <v>-4</v>
      </c>
      <c r="M43" s="1"/>
      <c r="N43" s="1"/>
      <c r="O43" s="1"/>
      <c r="P43" s="1">
        <v>0</v>
      </c>
      <c r="Q43" s="20"/>
      <c r="R43" s="1">
        <f t="shared" si="3"/>
        <v>22.4</v>
      </c>
      <c r="S43" s="5">
        <f t="shared" si="4"/>
        <v>83</v>
      </c>
      <c r="T43" s="5">
        <f t="shared" si="8"/>
        <v>83</v>
      </c>
      <c r="U43" s="1">
        <f t="shared" si="5"/>
        <v>12.5</v>
      </c>
      <c r="V43" s="1">
        <f t="shared" si="6"/>
        <v>8.7946428571428577</v>
      </c>
      <c r="W43" s="1">
        <v>21.8</v>
      </c>
      <c r="X43" s="1">
        <v>19.600000000000001</v>
      </c>
      <c r="Y43" s="1">
        <v>21.4</v>
      </c>
      <c r="Z43" s="1">
        <v>24.4</v>
      </c>
      <c r="AA43" s="1">
        <v>27.8</v>
      </c>
      <c r="AB43" s="1">
        <v>42</v>
      </c>
      <c r="AC43" s="1">
        <v>32</v>
      </c>
      <c r="AD43" s="1">
        <v>16.8</v>
      </c>
      <c r="AE43" s="1">
        <v>16</v>
      </c>
      <c r="AF43" s="1">
        <v>12.2</v>
      </c>
      <c r="AG43" s="1"/>
      <c r="AH43" s="1">
        <f t="shared" si="7"/>
        <v>33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112</v>
      </c>
      <c r="B44" s="1" t="s">
        <v>35</v>
      </c>
      <c r="C44" s="1">
        <v>-10.699</v>
      </c>
      <c r="D44" s="1">
        <v>169.45</v>
      </c>
      <c r="E44" s="1">
        <v>33.018999999999998</v>
      </c>
      <c r="F44" s="1">
        <v>100.539</v>
      </c>
      <c r="G44" s="7">
        <v>1</v>
      </c>
      <c r="H44" s="1">
        <v>40</v>
      </c>
      <c r="I44" s="1" t="s">
        <v>113</v>
      </c>
      <c r="J44" s="1"/>
      <c r="K44" s="1">
        <v>36.6</v>
      </c>
      <c r="L44" s="1">
        <f t="shared" si="11"/>
        <v>-3.5810000000000031</v>
      </c>
      <c r="M44" s="1"/>
      <c r="N44" s="1"/>
      <c r="O44" s="1"/>
      <c r="P44" s="1">
        <v>0</v>
      </c>
      <c r="Q44" s="20"/>
      <c r="R44" s="1">
        <f t="shared" si="3"/>
        <v>6.6037999999999997</v>
      </c>
      <c r="S44" s="5"/>
      <c r="T44" s="5">
        <f t="shared" si="8"/>
        <v>0</v>
      </c>
      <c r="U44" s="1">
        <f t="shared" si="5"/>
        <v>15.224416245192163</v>
      </c>
      <c r="V44" s="1">
        <f t="shared" si="6"/>
        <v>15.224416245192163</v>
      </c>
      <c r="W44" s="1">
        <v>9.2596000000000007</v>
      </c>
      <c r="X44" s="1">
        <v>9.5682000000000009</v>
      </c>
      <c r="Y44" s="1">
        <v>11.018000000000001</v>
      </c>
      <c r="Z44" s="1">
        <v>14.236800000000001</v>
      </c>
      <c r="AA44" s="1">
        <v>11.3324</v>
      </c>
      <c r="AB44" s="1">
        <v>1.7376</v>
      </c>
      <c r="AC44" s="1">
        <v>1.3106</v>
      </c>
      <c r="AD44" s="1">
        <v>10.1592</v>
      </c>
      <c r="AE44" s="1">
        <v>6.6159999999999997</v>
      </c>
      <c r="AF44" s="1">
        <v>7.5105999999999993</v>
      </c>
      <c r="AG44" s="1"/>
      <c r="AH44" s="1">
        <f t="shared" si="7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114</v>
      </c>
      <c r="B45" s="1" t="s">
        <v>35</v>
      </c>
      <c r="C45" s="1">
        <v>23.027000000000001</v>
      </c>
      <c r="D45" s="1">
        <v>253.31200000000001</v>
      </c>
      <c r="E45" s="1">
        <v>106.893</v>
      </c>
      <c r="F45" s="1">
        <v>142.03200000000001</v>
      </c>
      <c r="G45" s="7">
        <v>1</v>
      </c>
      <c r="H45" s="1">
        <v>40</v>
      </c>
      <c r="I45" s="1" t="s">
        <v>115</v>
      </c>
      <c r="J45" s="1"/>
      <c r="K45" s="1">
        <v>98.1</v>
      </c>
      <c r="L45" s="1">
        <f t="shared" si="11"/>
        <v>8.7930000000000064</v>
      </c>
      <c r="M45" s="1"/>
      <c r="N45" s="1"/>
      <c r="O45" s="1"/>
      <c r="P45" s="1">
        <v>134.91399999999999</v>
      </c>
      <c r="Q45" s="20"/>
      <c r="R45" s="1">
        <f t="shared" si="3"/>
        <v>21.378599999999999</v>
      </c>
      <c r="S45" s="5"/>
      <c r="T45" s="5">
        <f t="shared" si="8"/>
        <v>0</v>
      </c>
      <c r="U45" s="1">
        <f t="shared" si="5"/>
        <v>12.954356225384265</v>
      </c>
      <c r="V45" s="1">
        <f t="shared" si="6"/>
        <v>12.954356225384265</v>
      </c>
      <c r="W45" s="1">
        <v>28.646000000000001</v>
      </c>
      <c r="X45" s="1">
        <v>20.747199999999999</v>
      </c>
      <c r="Y45" s="1">
        <v>18.888000000000002</v>
      </c>
      <c r="Z45" s="1">
        <v>24.991</v>
      </c>
      <c r="AA45" s="1">
        <v>20.183199999999999</v>
      </c>
      <c r="AB45" s="1">
        <v>12.035600000000001</v>
      </c>
      <c r="AC45" s="1">
        <v>17.441600000000001</v>
      </c>
      <c r="AD45" s="1">
        <v>20.315000000000001</v>
      </c>
      <c r="AE45" s="1">
        <v>4.5293999999999999</v>
      </c>
      <c r="AF45" s="1">
        <v>18.5532</v>
      </c>
      <c r="AG45" s="1"/>
      <c r="AH45" s="1">
        <f t="shared" si="7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116</v>
      </c>
      <c r="B46" s="1" t="s">
        <v>42</v>
      </c>
      <c r="C46" s="1">
        <v>158</v>
      </c>
      <c r="D46" s="1">
        <v>662</v>
      </c>
      <c r="E46" s="1">
        <v>363</v>
      </c>
      <c r="F46" s="1">
        <v>350</v>
      </c>
      <c r="G46" s="7">
        <v>0.35</v>
      </c>
      <c r="H46" s="1">
        <v>40</v>
      </c>
      <c r="I46" s="1" t="s">
        <v>117</v>
      </c>
      <c r="J46" s="1"/>
      <c r="K46" s="1">
        <v>375</v>
      </c>
      <c r="L46" s="1">
        <f t="shared" si="11"/>
        <v>-12</v>
      </c>
      <c r="M46" s="1"/>
      <c r="N46" s="1"/>
      <c r="O46" s="1">
        <v>297.26</v>
      </c>
      <c r="P46" s="1">
        <v>156.31999999999991</v>
      </c>
      <c r="Q46" s="20"/>
      <c r="R46" s="1">
        <f t="shared" si="3"/>
        <v>72.599999999999994</v>
      </c>
      <c r="S46" s="5">
        <f t="shared" si="4"/>
        <v>103.91999999999996</v>
      </c>
      <c r="T46" s="5">
        <f>S46+$T$1*R46</f>
        <v>2.2799999999999727</v>
      </c>
      <c r="U46" s="1">
        <f t="shared" si="5"/>
        <v>11.1</v>
      </c>
      <c r="V46" s="1">
        <f t="shared" si="6"/>
        <v>11.068595041322315</v>
      </c>
      <c r="W46" s="1">
        <v>95.6</v>
      </c>
      <c r="X46" s="1">
        <v>83</v>
      </c>
      <c r="Y46" s="1">
        <v>71.8</v>
      </c>
      <c r="Z46" s="1">
        <v>77.2</v>
      </c>
      <c r="AA46" s="1">
        <v>67.97999999999999</v>
      </c>
      <c r="AB46" s="1">
        <v>25.58</v>
      </c>
      <c r="AC46" s="1">
        <v>37.4</v>
      </c>
      <c r="AD46" s="1">
        <v>78</v>
      </c>
      <c r="AE46" s="1">
        <v>40</v>
      </c>
      <c r="AF46" s="1">
        <v>84.2</v>
      </c>
      <c r="AG46" s="1"/>
      <c r="AH46" s="1">
        <f t="shared" si="7"/>
        <v>1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118</v>
      </c>
      <c r="B47" s="1" t="s">
        <v>42</v>
      </c>
      <c r="C47" s="1">
        <v>307</v>
      </c>
      <c r="D47" s="1">
        <v>50</v>
      </c>
      <c r="E47" s="1">
        <v>235</v>
      </c>
      <c r="F47" s="1">
        <v>41</v>
      </c>
      <c r="G47" s="7">
        <v>0.4</v>
      </c>
      <c r="H47" s="1">
        <v>40</v>
      </c>
      <c r="I47" s="1" t="s">
        <v>119</v>
      </c>
      <c r="J47" s="1"/>
      <c r="K47" s="1">
        <v>330</v>
      </c>
      <c r="L47" s="1">
        <f t="shared" si="11"/>
        <v>-95</v>
      </c>
      <c r="M47" s="1"/>
      <c r="N47" s="1"/>
      <c r="O47" s="1">
        <v>363.4</v>
      </c>
      <c r="P47" s="1">
        <v>319.59999999999991</v>
      </c>
      <c r="Q47" s="20"/>
      <c r="R47" s="1">
        <f t="shared" si="3"/>
        <v>47</v>
      </c>
      <c r="S47" s="5"/>
      <c r="T47" s="5">
        <f t="shared" si="8"/>
        <v>0</v>
      </c>
      <c r="U47" s="1">
        <f t="shared" si="5"/>
        <v>15.404255319148934</v>
      </c>
      <c r="V47" s="1">
        <f t="shared" si="6"/>
        <v>15.404255319148934</v>
      </c>
      <c r="W47" s="1">
        <v>79.599999999999994</v>
      </c>
      <c r="X47" s="1">
        <v>60</v>
      </c>
      <c r="Y47" s="1">
        <v>42</v>
      </c>
      <c r="Z47" s="1">
        <v>28.6</v>
      </c>
      <c r="AA47" s="1">
        <v>26.6</v>
      </c>
      <c r="AB47" s="1">
        <v>50.2</v>
      </c>
      <c r="AC47" s="1">
        <v>51.4</v>
      </c>
      <c r="AD47" s="1">
        <v>73.400000000000006</v>
      </c>
      <c r="AE47" s="1">
        <v>46.6</v>
      </c>
      <c r="AF47" s="1">
        <v>53</v>
      </c>
      <c r="AG47" s="1"/>
      <c r="AH47" s="1">
        <f t="shared" si="7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120</v>
      </c>
      <c r="B48" s="1" t="s">
        <v>35</v>
      </c>
      <c r="C48" s="1">
        <v>19.05</v>
      </c>
      <c r="D48" s="1">
        <v>75.597999999999999</v>
      </c>
      <c r="E48" s="1">
        <v>43.424999999999997</v>
      </c>
      <c r="F48" s="1">
        <v>51.222999999999999</v>
      </c>
      <c r="G48" s="7">
        <v>1</v>
      </c>
      <c r="H48" s="1">
        <v>50</v>
      </c>
      <c r="I48" s="1" t="s">
        <v>121</v>
      </c>
      <c r="J48" s="1"/>
      <c r="K48" s="1">
        <v>39.700000000000003</v>
      </c>
      <c r="L48" s="1">
        <f t="shared" si="11"/>
        <v>3.7249999999999943</v>
      </c>
      <c r="M48" s="1"/>
      <c r="N48" s="1"/>
      <c r="O48" s="1"/>
      <c r="P48" s="1">
        <v>62.085000000000008</v>
      </c>
      <c r="Q48" s="20"/>
      <c r="R48" s="1">
        <f t="shared" si="3"/>
        <v>8.6849999999999987</v>
      </c>
      <c r="S48" s="5"/>
      <c r="T48" s="5">
        <f t="shared" si="8"/>
        <v>0</v>
      </c>
      <c r="U48" s="1">
        <f t="shared" si="5"/>
        <v>13.046401842256767</v>
      </c>
      <c r="V48" s="1">
        <f t="shared" si="6"/>
        <v>13.046401842256767</v>
      </c>
      <c r="W48" s="1">
        <v>11.409000000000001</v>
      </c>
      <c r="X48" s="1">
        <v>5.1622000000000003</v>
      </c>
      <c r="Y48" s="1">
        <v>2.6922000000000001</v>
      </c>
      <c r="Z48" s="1">
        <v>6.4640000000000004</v>
      </c>
      <c r="AA48" s="1">
        <v>7.74</v>
      </c>
      <c r="AB48" s="1">
        <v>4.5076000000000001</v>
      </c>
      <c r="AC48" s="1">
        <v>6.4640000000000004</v>
      </c>
      <c r="AD48" s="1">
        <v>6.4567999999999994</v>
      </c>
      <c r="AE48" s="1">
        <v>6.7715999999999994</v>
      </c>
      <c r="AF48" s="1">
        <v>7.5808000000000009</v>
      </c>
      <c r="AG48" s="1"/>
      <c r="AH48" s="1">
        <f t="shared" si="7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9" t="s">
        <v>122</v>
      </c>
      <c r="B49" s="1" t="s">
        <v>35</v>
      </c>
      <c r="C49" s="1">
        <v>68.266999999999996</v>
      </c>
      <c r="D49" s="1">
        <v>271.53800000000001</v>
      </c>
      <c r="E49" s="1">
        <v>154.52199999999999</v>
      </c>
      <c r="F49" s="1">
        <v>171.47</v>
      </c>
      <c r="G49" s="7">
        <v>1</v>
      </c>
      <c r="H49" s="1">
        <v>50</v>
      </c>
      <c r="I49" s="1" t="s">
        <v>123</v>
      </c>
      <c r="J49" s="1"/>
      <c r="K49" s="1">
        <v>137.15</v>
      </c>
      <c r="L49" s="1">
        <f t="shared" si="11"/>
        <v>17.371999999999986</v>
      </c>
      <c r="M49" s="1"/>
      <c r="N49" s="1"/>
      <c r="O49" s="1"/>
      <c r="P49" s="1">
        <v>124.3558</v>
      </c>
      <c r="Q49" s="20"/>
      <c r="R49" s="1">
        <f t="shared" si="3"/>
        <v>30.904399999999999</v>
      </c>
      <c r="S49" s="5">
        <f t="shared" si="4"/>
        <v>90.47920000000002</v>
      </c>
      <c r="T49" s="5">
        <f t="shared" si="8"/>
        <v>90.47920000000002</v>
      </c>
      <c r="U49" s="1">
        <f t="shared" si="5"/>
        <v>12.500000000000002</v>
      </c>
      <c r="V49" s="1">
        <f t="shared" si="6"/>
        <v>9.5722874412705004</v>
      </c>
      <c r="W49" s="1">
        <v>32.477800000000002</v>
      </c>
      <c r="X49" s="1">
        <v>18.959</v>
      </c>
      <c r="Y49" s="1">
        <v>17.484999999999999</v>
      </c>
      <c r="Z49" s="1">
        <v>29.415600000000001</v>
      </c>
      <c r="AA49" s="1">
        <v>25.074000000000002</v>
      </c>
      <c r="AB49" s="1">
        <v>17.300999999999998</v>
      </c>
      <c r="AC49" s="1">
        <v>22.004999999999999</v>
      </c>
      <c r="AD49" s="1">
        <v>25.757400000000001</v>
      </c>
      <c r="AE49" s="1">
        <v>6.9251999999999994</v>
      </c>
      <c r="AF49" s="1">
        <v>16.209599999999998</v>
      </c>
      <c r="AG49" s="1"/>
      <c r="AH49" s="1">
        <f t="shared" si="7"/>
        <v>90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124</v>
      </c>
      <c r="B50" s="1" t="s">
        <v>35</v>
      </c>
      <c r="C50" s="1">
        <v>22.600999999999999</v>
      </c>
      <c r="D50" s="1">
        <v>1.55</v>
      </c>
      <c r="E50" s="1">
        <v>7.6020000000000003</v>
      </c>
      <c r="F50" s="1">
        <v>-0.151</v>
      </c>
      <c r="G50" s="7">
        <v>1</v>
      </c>
      <c r="H50" s="1">
        <v>45</v>
      </c>
      <c r="I50" s="1" t="s">
        <v>125</v>
      </c>
      <c r="J50" s="1"/>
      <c r="K50" s="1">
        <v>36.9</v>
      </c>
      <c r="L50" s="1">
        <f t="shared" si="11"/>
        <v>-29.297999999999998</v>
      </c>
      <c r="M50" s="1"/>
      <c r="N50" s="1"/>
      <c r="O50" s="1">
        <v>78.92580000000001</v>
      </c>
      <c r="P50" s="1">
        <v>38.280799999999992</v>
      </c>
      <c r="Q50" s="20"/>
      <c r="R50" s="1">
        <f t="shared" si="3"/>
        <v>1.5204</v>
      </c>
      <c r="S50" s="5"/>
      <c r="T50" s="5">
        <f t="shared" si="8"/>
        <v>0</v>
      </c>
      <c r="U50" s="1">
        <f t="shared" si="5"/>
        <v>76.990002630886607</v>
      </c>
      <c r="V50" s="1">
        <f t="shared" si="6"/>
        <v>76.990002630886607</v>
      </c>
      <c r="W50" s="1">
        <v>10.6396</v>
      </c>
      <c r="X50" s="1">
        <v>9.4252000000000002</v>
      </c>
      <c r="Y50" s="1">
        <v>0</v>
      </c>
      <c r="Z50" s="1">
        <v>0</v>
      </c>
      <c r="AA50" s="1">
        <v>0</v>
      </c>
      <c r="AB50" s="1">
        <v>-0.30359999999999998</v>
      </c>
      <c r="AC50" s="1">
        <v>2.0486</v>
      </c>
      <c r="AD50" s="1">
        <v>29.5078</v>
      </c>
      <c r="AE50" s="1">
        <v>3.2395999999999998</v>
      </c>
      <c r="AF50" s="1">
        <v>14.295199999999999</v>
      </c>
      <c r="AG50" s="1"/>
      <c r="AH50" s="1">
        <f t="shared" si="7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126</v>
      </c>
      <c r="B51" s="1" t="s">
        <v>42</v>
      </c>
      <c r="C51" s="1">
        <v>228</v>
      </c>
      <c r="D51" s="1"/>
      <c r="E51" s="1">
        <v>111</v>
      </c>
      <c r="F51" s="1">
        <v>83</v>
      </c>
      <c r="G51" s="7">
        <v>0.45</v>
      </c>
      <c r="H51" s="1">
        <v>50</v>
      </c>
      <c r="I51" s="1" t="s">
        <v>127</v>
      </c>
      <c r="J51" s="1"/>
      <c r="K51" s="1">
        <v>108</v>
      </c>
      <c r="L51" s="1">
        <f t="shared" si="11"/>
        <v>3</v>
      </c>
      <c r="M51" s="1"/>
      <c r="N51" s="1"/>
      <c r="O51" s="1">
        <v>65.600000000000023</v>
      </c>
      <c r="P51" s="1">
        <v>25.199999999999989</v>
      </c>
      <c r="Q51" s="20"/>
      <c r="R51" s="1">
        <f t="shared" si="3"/>
        <v>22.2</v>
      </c>
      <c r="S51" s="5">
        <f t="shared" si="4"/>
        <v>103.69999999999999</v>
      </c>
      <c r="T51" s="5">
        <f>S51+$T$1*R51</f>
        <v>72.61999999999999</v>
      </c>
      <c r="U51" s="1">
        <f t="shared" si="5"/>
        <v>11.100000000000001</v>
      </c>
      <c r="V51" s="1">
        <f t="shared" si="6"/>
        <v>7.8288288288288292</v>
      </c>
      <c r="W51" s="1">
        <v>21.8</v>
      </c>
      <c r="X51" s="1">
        <v>22.8</v>
      </c>
      <c r="Y51" s="1">
        <v>20.8</v>
      </c>
      <c r="Z51" s="1">
        <v>17.399999999999999</v>
      </c>
      <c r="AA51" s="1">
        <v>23</v>
      </c>
      <c r="AB51" s="1">
        <v>36</v>
      </c>
      <c r="AC51" s="1">
        <v>29</v>
      </c>
      <c r="AD51" s="1">
        <v>28</v>
      </c>
      <c r="AE51" s="1">
        <v>7.2</v>
      </c>
      <c r="AF51" s="1">
        <v>42.6</v>
      </c>
      <c r="AG51" s="1"/>
      <c r="AH51" s="1">
        <f t="shared" si="7"/>
        <v>33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128</v>
      </c>
      <c r="B52" s="1" t="s">
        <v>42</v>
      </c>
      <c r="C52" s="1">
        <v>231</v>
      </c>
      <c r="D52" s="1">
        <v>190</v>
      </c>
      <c r="E52" s="1">
        <v>167</v>
      </c>
      <c r="F52" s="1">
        <v>204</v>
      </c>
      <c r="G52" s="7">
        <v>0.45</v>
      </c>
      <c r="H52" s="1">
        <v>50</v>
      </c>
      <c r="I52" s="1" t="s">
        <v>129</v>
      </c>
      <c r="J52" s="1"/>
      <c r="K52" s="1">
        <v>159</v>
      </c>
      <c r="L52" s="1">
        <f t="shared" si="11"/>
        <v>8</v>
      </c>
      <c r="M52" s="1"/>
      <c r="N52" s="1"/>
      <c r="O52" s="1">
        <v>120</v>
      </c>
      <c r="P52" s="1">
        <v>163.6</v>
      </c>
      <c r="Q52" s="20"/>
      <c r="R52" s="1">
        <f t="shared" si="3"/>
        <v>33.4</v>
      </c>
      <c r="S52" s="5"/>
      <c r="T52" s="5">
        <f t="shared" si="8"/>
        <v>0</v>
      </c>
      <c r="U52" s="1">
        <f t="shared" si="5"/>
        <v>14.598802395209582</v>
      </c>
      <c r="V52" s="1">
        <f t="shared" si="6"/>
        <v>14.598802395209582</v>
      </c>
      <c r="W52" s="1">
        <v>48.6</v>
      </c>
      <c r="X52" s="1">
        <v>40.6</v>
      </c>
      <c r="Y52" s="1">
        <v>35.6</v>
      </c>
      <c r="Z52" s="1">
        <v>40.6</v>
      </c>
      <c r="AA52" s="1">
        <v>40.4</v>
      </c>
      <c r="AB52" s="1">
        <v>42.6</v>
      </c>
      <c r="AC52" s="1">
        <v>49.2</v>
      </c>
      <c r="AD52" s="1">
        <v>37</v>
      </c>
      <c r="AE52" s="1">
        <v>23.4</v>
      </c>
      <c r="AF52" s="1">
        <v>35.200000000000003</v>
      </c>
      <c r="AG52" s="1"/>
      <c r="AH52" s="1">
        <f t="shared" si="7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130</v>
      </c>
      <c r="B53" s="1" t="s">
        <v>42</v>
      </c>
      <c r="C53" s="1">
        <v>104</v>
      </c>
      <c r="D53" s="1">
        <v>187</v>
      </c>
      <c r="E53" s="1">
        <v>95</v>
      </c>
      <c r="F53" s="1">
        <v>175</v>
      </c>
      <c r="G53" s="7">
        <v>0.4</v>
      </c>
      <c r="H53" s="1">
        <v>40</v>
      </c>
      <c r="I53" s="1" t="s">
        <v>131</v>
      </c>
      <c r="J53" s="1"/>
      <c r="K53" s="1">
        <v>94</v>
      </c>
      <c r="L53" s="1">
        <f t="shared" si="11"/>
        <v>1</v>
      </c>
      <c r="M53" s="1"/>
      <c r="N53" s="1"/>
      <c r="O53" s="1"/>
      <c r="P53" s="1">
        <v>0</v>
      </c>
      <c r="Q53" s="20"/>
      <c r="R53" s="1">
        <f t="shared" si="3"/>
        <v>19</v>
      </c>
      <c r="S53" s="5">
        <f t="shared" si="4"/>
        <v>62.5</v>
      </c>
      <c r="T53" s="5">
        <f t="shared" si="8"/>
        <v>62.5</v>
      </c>
      <c r="U53" s="1">
        <f t="shared" si="5"/>
        <v>12.5</v>
      </c>
      <c r="V53" s="1">
        <f t="shared" si="6"/>
        <v>9.2105263157894743</v>
      </c>
      <c r="W53" s="1">
        <v>19</v>
      </c>
      <c r="X53" s="1">
        <v>9.1999999999999993</v>
      </c>
      <c r="Y53" s="1">
        <v>1.2</v>
      </c>
      <c r="Z53" s="1">
        <v>11.8</v>
      </c>
      <c r="AA53" s="1">
        <v>23</v>
      </c>
      <c r="AB53" s="1">
        <v>16.399999999999999</v>
      </c>
      <c r="AC53" s="1">
        <v>12.2</v>
      </c>
      <c r="AD53" s="1">
        <v>18.399999999999999</v>
      </c>
      <c r="AE53" s="1">
        <v>16.2</v>
      </c>
      <c r="AF53" s="1">
        <v>23.8</v>
      </c>
      <c r="AG53" s="1"/>
      <c r="AH53" s="1">
        <f t="shared" si="7"/>
        <v>25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132</v>
      </c>
      <c r="B54" s="1" t="s">
        <v>42</v>
      </c>
      <c r="C54" s="1"/>
      <c r="D54" s="1">
        <v>90</v>
      </c>
      <c r="E54" s="1">
        <v>-4</v>
      </c>
      <c r="F54" s="1">
        <v>90</v>
      </c>
      <c r="G54" s="7">
        <v>0.4</v>
      </c>
      <c r="H54" s="1">
        <v>40</v>
      </c>
      <c r="I54" s="1" t="s">
        <v>133</v>
      </c>
      <c r="J54" s="1"/>
      <c r="K54" s="1"/>
      <c r="L54" s="1">
        <f t="shared" si="11"/>
        <v>-4</v>
      </c>
      <c r="M54" s="1"/>
      <c r="N54" s="1"/>
      <c r="O54" s="1">
        <v>93.399999999999991</v>
      </c>
      <c r="P54" s="1">
        <v>0</v>
      </c>
      <c r="Q54" s="20"/>
      <c r="R54" s="1">
        <f t="shared" si="3"/>
        <v>-0.8</v>
      </c>
      <c r="S54" s="5"/>
      <c r="T54" s="5">
        <f t="shared" si="8"/>
        <v>0</v>
      </c>
      <c r="U54" s="1">
        <f t="shared" si="5"/>
        <v>-229.24999999999997</v>
      </c>
      <c r="V54" s="1">
        <f t="shared" si="6"/>
        <v>-229.24999999999997</v>
      </c>
      <c r="W54" s="1">
        <v>8.8000000000000007</v>
      </c>
      <c r="X54" s="1">
        <v>15.6</v>
      </c>
      <c r="Y54" s="1">
        <v>14.2</v>
      </c>
      <c r="Z54" s="1">
        <v>6</v>
      </c>
      <c r="AA54" s="1">
        <v>0.4</v>
      </c>
      <c r="AB54" s="1">
        <v>11</v>
      </c>
      <c r="AC54" s="1">
        <v>18.8</v>
      </c>
      <c r="AD54" s="1">
        <v>16.600000000000001</v>
      </c>
      <c r="AE54" s="1">
        <v>18</v>
      </c>
      <c r="AF54" s="1">
        <v>25.2</v>
      </c>
      <c r="AG54" s="1"/>
      <c r="AH54" s="1">
        <f t="shared" si="7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9" t="s">
        <v>134</v>
      </c>
      <c r="B55" s="1" t="s">
        <v>35</v>
      </c>
      <c r="C55" s="1">
        <v>30.321000000000002</v>
      </c>
      <c r="D55" s="1">
        <v>310.60500000000002</v>
      </c>
      <c r="E55" s="1">
        <v>76.495000000000005</v>
      </c>
      <c r="F55" s="1">
        <v>255.065</v>
      </c>
      <c r="G55" s="7">
        <v>1</v>
      </c>
      <c r="H55" s="1">
        <v>50</v>
      </c>
      <c r="I55" s="1" t="s">
        <v>135</v>
      </c>
      <c r="J55" s="1"/>
      <c r="K55" s="1">
        <v>82.9</v>
      </c>
      <c r="L55" s="1">
        <f t="shared" si="11"/>
        <v>-6.4050000000000011</v>
      </c>
      <c r="M55" s="1"/>
      <c r="N55" s="1"/>
      <c r="O55" s="1"/>
      <c r="P55" s="1">
        <v>0</v>
      </c>
      <c r="Q55" s="20"/>
      <c r="R55" s="1">
        <f t="shared" si="3"/>
        <v>15.299000000000001</v>
      </c>
      <c r="S55" s="5"/>
      <c r="T55" s="5">
        <f t="shared" si="8"/>
        <v>0</v>
      </c>
      <c r="U55" s="1">
        <f t="shared" si="5"/>
        <v>16.672004706189945</v>
      </c>
      <c r="V55" s="1">
        <f t="shared" si="6"/>
        <v>16.672004706189945</v>
      </c>
      <c r="W55" s="1">
        <v>19.466200000000001</v>
      </c>
      <c r="X55" s="1">
        <v>19.613600000000002</v>
      </c>
      <c r="Y55" s="1">
        <v>23.474799999999998</v>
      </c>
      <c r="Z55" s="1">
        <v>30.131599999999999</v>
      </c>
      <c r="AA55" s="1">
        <v>27.6572</v>
      </c>
      <c r="AB55" s="1">
        <v>10.188000000000001</v>
      </c>
      <c r="AC55" s="1">
        <v>11.5906</v>
      </c>
      <c r="AD55" s="1">
        <v>24.2422</v>
      </c>
      <c r="AE55" s="1">
        <v>12.941000000000001</v>
      </c>
      <c r="AF55" s="1">
        <v>20.411799999999999</v>
      </c>
      <c r="AG55" s="1"/>
      <c r="AH55" s="1">
        <f t="shared" si="7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136</v>
      </c>
      <c r="B56" s="1" t="s">
        <v>42</v>
      </c>
      <c r="C56" s="1">
        <v>337</v>
      </c>
      <c r="D56" s="1">
        <v>320</v>
      </c>
      <c r="E56" s="1">
        <v>230</v>
      </c>
      <c r="F56" s="1">
        <v>338</v>
      </c>
      <c r="G56" s="7">
        <v>0.1</v>
      </c>
      <c r="H56" s="1">
        <v>731</v>
      </c>
      <c r="I56" s="1" t="s">
        <v>137</v>
      </c>
      <c r="J56" s="1"/>
      <c r="K56" s="1">
        <v>212</v>
      </c>
      <c r="L56" s="1">
        <f t="shared" si="11"/>
        <v>18</v>
      </c>
      <c r="M56" s="1"/>
      <c r="N56" s="1"/>
      <c r="O56" s="1"/>
      <c r="P56" s="1">
        <v>32.799999999999947</v>
      </c>
      <c r="Q56" s="20"/>
      <c r="R56" s="1">
        <f t="shared" si="3"/>
        <v>46</v>
      </c>
      <c r="S56" s="5">
        <f t="shared" si="4"/>
        <v>204.20000000000005</v>
      </c>
      <c r="T56" s="5">
        <f>S56+$T$1*R56</f>
        <v>139.80000000000007</v>
      </c>
      <c r="U56" s="1">
        <f t="shared" si="5"/>
        <v>11.1</v>
      </c>
      <c r="V56" s="1">
        <f t="shared" si="6"/>
        <v>8.0608695652173896</v>
      </c>
      <c r="W56" s="1">
        <v>45.8</v>
      </c>
      <c r="X56" s="1">
        <v>44</v>
      </c>
      <c r="Y56" s="1">
        <v>22</v>
      </c>
      <c r="Z56" s="1">
        <v>45</v>
      </c>
      <c r="AA56" s="1">
        <v>59.4</v>
      </c>
      <c r="AB56" s="1">
        <v>43.8</v>
      </c>
      <c r="AC56" s="1">
        <v>44</v>
      </c>
      <c r="AD56" s="1">
        <v>24.6</v>
      </c>
      <c r="AE56" s="1">
        <v>34.6</v>
      </c>
      <c r="AF56" s="1">
        <v>19.2</v>
      </c>
      <c r="AG56" s="1"/>
      <c r="AH56" s="1">
        <f t="shared" si="7"/>
        <v>14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138</v>
      </c>
      <c r="B57" s="1" t="s">
        <v>35</v>
      </c>
      <c r="C57" s="1">
        <v>193.28899999999999</v>
      </c>
      <c r="D57" s="1">
        <v>32.270000000000003</v>
      </c>
      <c r="E57" s="1">
        <v>96.171000000000006</v>
      </c>
      <c r="F57" s="1">
        <v>124.01</v>
      </c>
      <c r="G57" s="7">
        <v>1</v>
      </c>
      <c r="H57" s="1">
        <v>50</v>
      </c>
      <c r="I57" s="1" t="s">
        <v>139</v>
      </c>
      <c r="J57" s="1"/>
      <c r="K57" s="1">
        <v>77.75</v>
      </c>
      <c r="L57" s="1">
        <f t="shared" si="11"/>
        <v>18.421000000000006</v>
      </c>
      <c r="M57" s="1"/>
      <c r="N57" s="1"/>
      <c r="O57" s="1"/>
      <c r="P57" s="1">
        <v>73.28279999999998</v>
      </c>
      <c r="Q57" s="20"/>
      <c r="R57" s="1">
        <f t="shared" si="3"/>
        <v>19.234200000000001</v>
      </c>
      <c r="S57" s="5">
        <f t="shared" si="4"/>
        <v>43.134700000000024</v>
      </c>
      <c r="T57" s="5">
        <f t="shared" si="8"/>
        <v>43.134700000000024</v>
      </c>
      <c r="U57" s="1">
        <f t="shared" si="5"/>
        <v>12.5</v>
      </c>
      <c r="V57" s="1">
        <f t="shared" si="6"/>
        <v>10.257395680610578</v>
      </c>
      <c r="W57" s="1">
        <v>21.715800000000002</v>
      </c>
      <c r="X57" s="1">
        <v>16.465399999999999</v>
      </c>
      <c r="Y57" s="1">
        <v>16.174800000000001</v>
      </c>
      <c r="Z57" s="1">
        <v>20.6662</v>
      </c>
      <c r="AA57" s="1">
        <v>20.6676</v>
      </c>
      <c r="AB57" s="1">
        <v>20.402799999999999</v>
      </c>
      <c r="AC57" s="1">
        <v>18.515999999999998</v>
      </c>
      <c r="AD57" s="1">
        <v>5.1243999999999996</v>
      </c>
      <c r="AE57" s="1">
        <v>12.113200000000001</v>
      </c>
      <c r="AF57" s="1">
        <v>9.4244000000000003</v>
      </c>
      <c r="AG57" s="1"/>
      <c r="AH57" s="1">
        <f t="shared" si="7"/>
        <v>43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140</v>
      </c>
      <c r="B58" s="1" t="s">
        <v>35</v>
      </c>
      <c r="C58" s="1">
        <v>35.095999999999997</v>
      </c>
      <c r="D58" s="1">
        <v>10.788</v>
      </c>
      <c r="E58" s="1">
        <v>25.738</v>
      </c>
      <c r="F58" s="1">
        <v>20.146000000000001</v>
      </c>
      <c r="G58" s="7">
        <v>1</v>
      </c>
      <c r="H58" s="1">
        <v>55</v>
      </c>
      <c r="I58" s="1" t="s">
        <v>141</v>
      </c>
      <c r="J58" s="1"/>
      <c r="K58" s="1">
        <v>25.15</v>
      </c>
      <c r="L58" s="1">
        <f t="shared" si="11"/>
        <v>0.58800000000000097</v>
      </c>
      <c r="M58" s="1"/>
      <c r="N58" s="1"/>
      <c r="O58" s="1">
        <v>3.5927999999999969</v>
      </c>
      <c r="P58" s="1">
        <v>22.125</v>
      </c>
      <c r="Q58" s="20"/>
      <c r="R58" s="1">
        <f t="shared" si="3"/>
        <v>5.1475999999999997</v>
      </c>
      <c r="S58" s="5">
        <f t="shared" si="4"/>
        <v>18.481200000000001</v>
      </c>
      <c r="T58" s="5">
        <f t="shared" si="8"/>
        <v>18.481200000000001</v>
      </c>
      <c r="U58" s="1">
        <f t="shared" si="5"/>
        <v>12.5</v>
      </c>
      <c r="V58" s="1">
        <f t="shared" si="6"/>
        <v>8.9097443468800996</v>
      </c>
      <c r="W58" s="1">
        <v>5.4037999999999986</v>
      </c>
      <c r="X58" s="1">
        <v>4.0573999999999986</v>
      </c>
      <c r="Y58" s="1">
        <v>2.7052</v>
      </c>
      <c r="Z58" s="1">
        <v>1.0808</v>
      </c>
      <c r="AA58" s="1">
        <v>2.1631999999999998</v>
      </c>
      <c r="AB58" s="1">
        <v>5.6636000000000006</v>
      </c>
      <c r="AC58" s="1">
        <v>6.7619999999999996</v>
      </c>
      <c r="AD58" s="1">
        <v>3.774</v>
      </c>
      <c r="AE58" s="1">
        <v>3.25</v>
      </c>
      <c r="AF58" s="1">
        <v>3.2517999999999998</v>
      </c>
      <c r="AG58" s="1"/>
      <c r="AH58" s="1">
        <f t="shared" si="7"/>
        <v>18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142</v>
      </c>
      <c r="B59" s="1" t="s">
        <v>42</v>
      </c>
      <c r="C59" s="1">
        <v>277</v>
      </c>
      <c r="D59" s="1">
        <v>300</v>
      </c>
      <c r="E59" s="1">
        <v>206</v>
      </c>
      <c r="F59" s="1">
        <v>282</v>
      </c>
      <c r="G59" s="7">
        <v>0.1</v>
      </c>
      <c r="H59" s="1">
        <v>731</v>
      </c>
      <c r="I59" s="1" t="s">
        <v>143</v>
      </c>
      <c r="J59" s="1"/>
      <c r="K59" s="1">
        <v>179</v>
      </c>
      <c r="L59" s="1">
        <f t="shared" si="11"/>
        <v>27</v>
      </c>
      <c r="M59" s="1"/>
      <c r="N59" s="1"/>
      <c r="O59" s="1"/>
      <c r="P59" s="1">
        <v>15.799999999999949</v>
      </c>
      <c r="Q59" s="20"/>
      <c r="R59" s="1">
        <f t="shared" si="3"/>
        <v>41.2</v>
      </c>
      <c r="S59" s="5">
        <f t="shared" si="4"/>
        <v>217.20000000000005</v>
      </c>
      <c r="T59" s="5">
        <f>S59+$T$1*R59</f>
        <v>159.52000000000004</v>
      </c>
      <c r="U59" s="1">
        <f t="shared" si="5"/>
        <v>11.1</v>
      </c>
      <c r="V59" s="1">
        <f t="shared" si="6"/>
        <v>7.2281553398058236</v>
      </c>
      <c r="W59" s="1">
        <v>38.799999999999997</v>
      </c>
      <c r="X59" s="1">
        <v>36</v>
      </c>
      <c r="Y59" s="1">
        <v>32.6</v>
      </c>
      <c r="Z59" s="1">
        <v>50.2</v>
      </c>
      <c r="AA59" s="1">
        <v>53</v>
      </c>
      <c r="AB59" s="1">
        <v>35.6</v>
      </c>
      <c r="AC59" s="1">
        <v>34</v>
      </c>
      <c r="AD59" s="1">
        <v>33</v>
      </c>
      <c r="AE59" s="1">
        <v>26.2</v>
      </c>
      <c r="AF59" s="1">
        <v>19.600000000000001</v>
      </c>
      <c r="AG59" s="1"/>
      <c r="AH59" s="1">
        <f t="shared" si="7"/>
        <v>16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144</v>
      </c>
      <c r="B60" s="1" t="s">
        <v>42</v>
      </c>
      <c r="C60" s="1">
        <v>27</v>
      </c>
      <c r="D60" s="1"/>
      <c r="E60" s="1">
        <v>25</v>
      </c>
      <c r="F60" s="1"/>
      <c r="G60" s="7">
        <v>0.4</v>
      </c>
      <c r="H60" s="1">
        <v>50</v>
      </c>
      <c r="I60" s="1" t="s">
        <v>145</v>
      </c>
      <c r="J60" s="1"/>
      <c r="K60" s="1">
        <v>28</v>
      </c>
      <c r="L60" s="1">
        <f t="shared" si="11"/>
        <v>-3</v>
      </c>
      <c r="M60" s="1"/>
      <c r="N60" s="1"/>
      <c r="O60" s="1">
        <v>32.599999999999987</v>
      </c>
      <c r="P60" s="1">
        <v>47.000000000000007</v>
      </c>
      <c r="Q60" s="20"/>
      <c r="R60" s="1">
        <f t="shared" si="3"/>
        <v>5</v>
      </c>
      <c r="S60" s="5"/>
      <c r="T60" s="5">
        <f t="shared" si="8"/>
        <v>0</v>
      </c>
      <c r="U60" s="1">
        <f t="shared" si="5"/>
        <v>15.919999999999998</v>
      </c>
      <c r="V60" s="1">
        <f t="shared" si="6"/>
        <v>15.919999999999998</v>
      </c>
      <c r="W60" s="1">
        <v>7.6</v>
      </c>
      <c r="X60" s="1">
        <v>4.8</v>
      </c>
      <c r="Y60" s="1">
        <v>3.6</v>
      </c>
      <c r="Z60" s="1">
        <v>3</v>
      </c>
      <c r="AA60" s="1">
        <v>2.2000000000000002</v>
      </c>
      <c r="AB60" s="1">
        <v>5.2</v>
      </c>
      <c r="AC60" s="1">
        <v>5.4</v>
      </c>
      <c r="AD60" s="1">
        <v>4.2</v>
      </c>
      <c r="AE60" s="1">
        <v>4.4000000000000004</v>
      </c>
      <c r="AF60" s="1">
        <v>6.6</v>
      </c>
      <c r="AG60" s="1"/>
      <c r="AH60" s="1">
        <f t="shared" si="7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146</v>
      </c>
      <c r="B61" s="1" t="s">
        <v>35</v>
      </c>
      <c r="C61" s="1">
        <v>22.151</v>
      </c>
      <c r="D61" s="1">
        <v>16.393999999999998</v>
      </c>
      <c r="E61" s="1">
        <v>15.118</v>
      </c>
      <c r="F61" s="1">
        <v>18.024000000000001</v>
      </c>
      <c r="G61" s="7">
        <v>1</v>
      </c>
      <c r="H61" s="1">
        <v>40</v>
      </c>
      <c r="I61" s="1" t="s">
        <v>147</v>
      </c>
      <c r="J61" s="1"/>
      <c r="K61" s="1">
        <v>15.2</v>
      </c>
      <c r="L61" s="1">
        <f t="shared" si="11"/>
        <v>-8.1999999999998963E-2</v>
      </c>
      <c r="M61" s="1"/>
      <c r="N61" s="1"/>
      <c r="O61" s="1"/>
      <c r="P61" s="1">
        <v>7.7032000000000016</v>
      </c>
      <c r="Q61" s="20"/>
      <c r="R61" s="1">
        <f t="shared" si="3"/>
        <v>3.0236000000000001</v>
      </c>
      <c r="S61" s="5">
        <f t="shared" si="4"/>
        <v>12.067799999999998</v>
      </c>
      <c r="T61" s="5">
        <f t="shared" si="8"/>
        <v>12.067799999999998</v>
      </c>
      <c r="U61" s="1">
        <f t="shared" si="5"/>
        <v>12.5</v>
      </c>
      <c r="V61" s="1">
        <f t="shared" si="6"/>
        <v>8.50879745998148</v>
      </c>
      <c r="W61" s="1">
        <v>3.0611999999999999</v>
      </c>
      <c r="X61" s="1">
        <v>0.83219999999999994</v>
      </c>
      <c r="Y61" s="1">
        <v>0</v>
      </c>
      <c r="Z61" s="1">
        <v>0</v>
      </c>
      <c r="AA61" s="1">
        <v>0</v>
      </c>
      <c r="AB61" s="1">
        <v>3.2136</v>
      </c>
      <c r="AC61" s="1">
        <v>3.2136</v>
      </c>
      <c r="AD61" s="1">
        <v>1.5266</v>
      </c>
      <c r="AE61" s="1">
        <v>2.9758</v>
      </c>
      <c r="AF61" s="1">
        <v>3.5434000000000001</v>
      </c>
      <c r="AG61" s="1"/>
      <c r="AH61" s="1">
        <f t="shared" si="7"/>
        <v>12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148</v>
      </c>
      <c r="B62" s="1" t="s">
        <v>35</v>
      </c>
      <c r="C62" s="1">
        <v>170.85599999999999</v>
      </c>
      <c r="D62" s="1">
        <v>1.345</v>
      </c>
      <c r="E62" s="1">
        <v>27.904</v>
      </c>
      <c r="F62" s="1">
        <v>138.53899999999999</v>
      </c>
      <c r="G62" s="7">
        <v>1</v>
      </c>
      <c r="H62" s="1">
        <v>40</v>
      </c>
      <c r="I62" s="1" t="s">
        <v>149</v>
      </c>
      <c r="J62" s="1"/>
      <c r="K62" s="1">
        <v>28.5</v>
      </c>
      <c r="L62" s="1">
        <f t="shared" si="11"/>
        <v>-0.59600000000000009</v>
      </c>
      <c r="M62" s="1"/>
      <c r="N62" s="1"/>
      <c r="O62" s="1"/>
      <c r="P62" s="1">
        <v>0</v>
      </c>
      <c r="Q62" s="20"/>
      <c r="R62" s="1">
        <f t="shared" si="3"/>
        <v>5.5808</v>
      </c>
      <c r="S62" s="5"/>
      <c r="T62" s="5">
        <f t="shared" si="8"/>
        <v>0</v>
      </c>
      <c r="U62" s="1">
        <f t="shared" si="5"/>
        <v>24.824218749999996</v>
      </c>
      <c r="V62" s="1">
        <f t="shared" si="6"/>
        <v>24.824218749999996</v>
      </c>
      <c r="W62" s="1">
        <v>9.1449999999999996</v>
      </c>
      <c r="X62" s="1">
        <v>8.0937999999999999</v>
      </c>
      <c r="Y62" s="1">
        <v>4.8628</v>
      </c>
      <c r="Z62" s="1">
        <v>0</v>
      </c>
      <c r="AA62" s="1">
        <v>1.8466</v>
      </c>
      <c r="AB62" s="1">
        <v>17.136600000000001</v>
      </c>
      <c r="AC62" s="1">
        <v>19.513000000000002</v>
      </c>
      <c r="AD62" s="1">
        <v>-6.1999999999999998E-3</v>
      </c>
      <c r="AE62" s="1">
        <v>10.728199999999999</v>
      </c>
      <c r="AF62" s="1">
        <v>2.1617999999999999</v>
      </c>
      <c r="AG62" s="16" t="s">
        <v>250</v>
      </c>
      <c r="AH62" s="1">
        <f t="shared" si="7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150</v>
      </c>
      <c r="B63" s="1" t="s">
        <v>42</v>
      </c>
      <c r="C63" s="1">
        <v>174</v>
      </c>
      <c r="D63" s="1">
        <v>855</v>
      </c>
      <c r="E63" s="1">
        <v>431</v>
      </c>
      <c r="F63" s="1">
        <v>503</v>
      </c>
      <c r="G63" s="7">
        <v>0.4</v>
      </c>
      <c r="H63" s="1">
        <v>40</v>
      </c>
      <c r="I63" s="1" t="s">
        <v>151</v>
      </c>
      <c r="J63" s="1"/>
      <c r="K63" s="1">
        <v>434</v>
      </c>
      <c r="L63" s="1">
        <f t="shared" si="11"/>
        <v>-3</v>
      </c>
      <c r="M63" s="1"/>
      <c r="N63" s="1"/>
      <c r="O63" s="1">
        <v>122.8400000000001</v>
      </c>
      <c r="P63" s="1">
        <v>310.67999999999978</v>
      </c>
      <c r="Q63" s="20"/>
      <c r="R63" s="1">
        <f t="shared" si="3"/>
        <v>86.2</v>
      </c>
      <c r="S63" s="5">
        <f t="shared" si="4"/>
        <v>140.98000000000002</v>
      </c>
      <c r="T63" s="5">
        <f>S63+$T$1*R63</f>
        <v>20.300000000000026</v>
      </c>
      <c r="U63" s="1">
        <f t="shared" si="5"/>
        <v>11.1</v>
      </c>
      <c r="V63" s="1">
        <f t="shared" si="6"/>
        <v>10.864501160092807</v>
      </c>
      <c r="W63" s="1">
        <v>112.6</v>
      </c>
      <c r="X63" s="1">
        <v>85.6</v>
      </c>
      <c r="Y63" s="1">
        <v>71.599999999999994</v>
      </c>
      <c r="Z63" s="1">
        <v>109.6</v>
      </c>
      <c r="AA63" s="1">
        <v>96.8</v>
      </c>
      <c r="AB63" s="1">
        <v>28.4</v>
      </c>
      <c r="AC63" s="1">
        <v>40</v>
      </c>
      <c r="AD63" s="1">
        <v>106.4</v>
      </c>
      <c r="AE63" s="1">
        <v>50.4</v>
      </c>
      <c r="AF63" s="1">
        <v>89</v>
      </c>
      <c r="AG63" s="1"/>
      <c r="AH63" s="1">
        <f t="shared" si="7"/>
        <v>8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152</v>
      </c>
      <c r="B64" s="1" t="s">
        <v>42</v>
      </c>
      <c r="C64" s="1">
        <v>161</v>
      </c>
      <c r="D64" s="1">
        <v>646</v>
      </c>
      <c r="E64" s="1">
        <v>287</v>
      </c>
      <c r="F64" s="1">
        <v>423</v>
      </c>
      <c r="G64" s="7">
        <v>0.4</v>
      </c>
      <c r="H64" s="1">
        <v>40</v>
      </c>
      <c r="I64" s="1" t="s">
        <v>153</v>
      </c>
      <c r="J64" s="1"/>
      <c r="K64" s="1">
        <v>299</v>
      </c>
      <c r="L64" s="1">
        <f t="shared" si="11"/>
        <v>-12</v>
      </c>
      <c r="M64" s="1"/>
      <c r="N64" s="1"/>
      <c r="O64" s="1"/>
      <c r="P64" s="1">
        <v>218.40000000000009</v>
      </c>
      <c r="Q64" s="20"/>
      <c r="R64" s="1">
        <f t="shared" si="3"/>
        <v>57.4</v>
      </c>
      <c r="S64" s="5">
        <f t="shared" si="4"/>
        <v>76.099999999999909</v>
      </c>
      <c r="T64" s="5">
        <f t="shared" si="8"/>
        <v>76.099999999999909</v>
      </c>
      <c r="U64" s="1">
        <f t="shared" si="5"/>
        <v>12.5</v>
      </c>
      <c r="V64" s="1">
        <f t="shared" si="6"/>
        <v>11.174216027874566</v>
      </c>
      <c r="W64" s="1">
        <v>72.400000000000006</v>
      </c>
      <c r="X64" s="1">
        <v>47.8</v>
      </c>
      <c r="Y64" s="1">
        <v>37.4</v>
      </c>
      <c r="Z64" s="1">
        <v>71.599999999999994</v>
      </c>
      <c r="AA64" s="1">
        <v>76.599999999999994</v>
      </c>
      <c r="AB64" s="1">
        <v>54.2</v>
      </c>
      <c r="AC64" s="1">
        <v>24</v>
      </c>
      <c r="AD64" s="1">
        <v>59.8</v>
      </c>
      <c r="AE64" s="1">
        <v>28.2</v>
      </c>
      <c r="AF64" s="1">
        <v>41</v>
      </c>
      <c r="AG64" s="1"/>
      <c r="AH64" s="1">
        <f t="shared" si="7"/>
        <v>30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154</v>
      </c>
      <c r="B65" s="1" t="s">
        <v>35</v>
      </c>
      <c r="C65" s="1">
        <v>179.762</v>
      </c>
      <c r="D65" s="1">
        <v>14.371</v>
      </c>
      <c r="E65" s="1">
        <v>146.732</v>
      </c>
      <c r="F65" s="1">
        <v>-1.1990000000000001</v>
      </c>
      <c r="G65" s="7">
        <v>1</v>
      </c>
      <c r="H65" s="1">
        <v>40</v>
      </c>
      <c r="I65" s="1" t="s">
        <v>155</v>
      </c>
      <c r="J65" s="1"/>
      <c r="K65" s="1">
        <v>156</v>
      </c>
      <c r="L65" s="1">
        <f t="shared" si="11"/>
        <v>-9.2680000000000007</v>
      </c>
      <c r="M65" s="1"/>
      <c r="N65" s="1"/>
      <c r="O65" s="1">
        <v>203.45</v>
      </c>
      <c r="P65" s="1">
        <v>198.11680000000001</v>
      </c>
      <c r="Q65" s="20"/>
      <c r="R65" s="1">
        <f t="shared" si="3"/>
        <v>29.346399999999999</v>
      </c>
      <c r="S65" s="5"/>
      <c r="T65" s="5">
        <f t="shared" si="8"/>
        <v>0</v>
      </c>
      <c r="U65" s="1">
        <f t="shared" si="5"/>
        <v>13.642825014311807</v>
      </c>
      <c r="V65" s="1">
        <f t="shared" si="6"/>
        <v>13.642825014311807</v>
      </c>
      <c r="W65" s="1">
        <v>40.2258</v>
      </c>
      <c r="X65" s="1">
        <v>30.734999999999999</v>
      </c>
      <c r="Y65" s="1">
        <v>15.739000000000001</v>
      </c>
      <c r="Z65" s="1">
        <v>10.629</v>
      </c>
      <c r="AA65" s="1">
        <v>20.083200000000001</v>
      </c>
      <c r="AB65" s="1">
        <v>31.709599999999998</v>
      </c>
      <c r="AC65" s="1">
        <v>30.7652</v>
      </c>
      <c r="AD65" s="1">
        <v>27.3794</v>
      </c>
      <c r="AE65" s="1">
        <v>29.851400000000002</v>
      </c>
      <c r="AF65" s="1">
        <v>27.0808</v>
      </c>
      <c r="AG65" s="1"/>
      <c r="AH65" s="1">
        <f t="shared" si="7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156</v>
      </c>
      <c r="B66" s="1" t="s">
        <v>35</v>
      </c>
      <c r="C66" s="1">
        <v>141.49199999999999</v>
      </c>
      <c r="D66" s="1">
        <v>193.64699999999999</v>
      </c>
      <c r="E66" s="1">
        <v>157.97200000000001</v>
      </c>
      <c r="F66" s="1">
        <v>130.94999999999999</v>
      </c>
      <c r="G66" s="7">
        <v>1</v>
      </c>
      <c r="H66" s="1">
        <v>40</v>
      </c>
      <c r="I66" s="1" t="s">
        <v>157</v>
      </c>
      <c r="J66" s="1"/>
      <c r="K66" s="1">
        <v>151.1</v>
      </c>
      <c r="L66" s="1">
        <f t="shared" si="11"/>
        <v>6.8720000000000141</v>
      </c>
      <c r="M66" s="1"/>
      <c r="N66" s="1"/>
      <c r="O66" s="1">
        <v>14.46888000000007</v>
      </c>
      <c r="P66" s="1">
        <v>185.57831999999991</v>
      </c>
      <c r="Q66" s="20"/>
      <c r="R66" s="1">
        <f t="shared" si="3"/>
        <v>31.5944</v>
      </c>
      <c r="S66" s="5">
        <f t="shared" si="4"/>
        <v>63.932800000000043</v>
      </c>
      <c r="T66" s="5">
        <f t="shared" si="8"/>
        <v>63.932800000000043</v>
      </c>
      <c r="U66" s="1">
        <f t="shared" si="5"/>
        <v>12.5</v>
      </c>
      <c r="V66" s="1">
        <f t="shared" si="6"/>
        <v>10.476451523054717</v>
      </c>
      <c r="W66" s="1">
        <v>36.930199999999999</v>
      </c>
      <c r="X66" s="1">
        <v>26.832999999999998</v>
      </c>
      <c r="Y66" s="1">
        <v>11.881</v>
      </c>
      <c r="Z66" s="1">
        <v>23.1356</v>
      </c>
      <c r="AA66" s="1">
        <v>31.2576</v>
      </c>
      <c r="AB66" s="1">
        <v>30.326599999999999</v>
      </c>
      <c r="AC66" s="1">
        <v>27.802</v>
      </c>
      <c r="AD66" s="1">
        <v>26.757999999999999</v>
      </c>
      <c r="AE66" s="1">
        <v>25.724399999999999</v>
      </c>
      <c r="AF66" s="1">
        <v>24.2698</v>
      </c>
      <c r="AG66" s="1"/>
      <c r="AH66" s="1">
        <f t="shared" si="7"/>
        <v>64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158</v>
      </c>
      <c r="B67" s="1" t="s">
        <v>35</v>
      </c>
      <c r="C67" s="1">
        <v>35.536999999999999</v>
      </c>
      <c r="D67" s="1">
        <v>1109.4369999999999</v>
      </c>
      <c r="E67" s="1">
        <v>337.34699999999998</v>
      </c>
      <c r="F67" s="1">
        <v>742.56200000000001</v>
      </c>
      <c r="G67" s="7">
        <v>1</v>
      </c>
      <c r="H67" s="1">
        <v>40</v>
      </c>
      <c r="I67" s="1" t="s">
        <v>159</v>
      </c>
      <c r="J67" s="1"/>
      <c r="K67" s="1">
        <v>311.89999999999998</v>
      </c>
      <c r="L67" s="1">
        <f t="shared" si="11"/>
        <v>25.447000000000003</v>
      </c>
      <c r="M67" s="1"/>
      <c r="N67" s="1"/>
      <c r="O67" s="1"/>
      <c r="P67" s="1">
        <v>0</v>
      </c>
      <c r="Q67" s="20"/>
      <c r="R67" s="1">
        <f t="shared" si="3"/>
        <v>67.469399999999993</v>
      </c>
      <c r="S67" s="5">
        <f t="shared" si="4"/>
        <v>100.80549999999994</v>
      </c>
      <c r="T67" s="5">
        <f>S67+$T$1*R67</f>
        <v>6.3483399999999506</v>
      </c>
      <c r="U67" s="1">
        <f t="shared" si="5"/>
        <v>11.1</v>
      </c>
      <c r="V67" s="1">
        <f t="shared" si="6"/>
        <v>11.005907863416603</v>
      </c>
      <c r="W67" s="1">
        <v>80.919799999999995</v>
      </c>
      <c r="X67" s="1">
        <v>73.772799999999989</v>
      </c>
      <c r="Y67" s="1">
        <v>73.477000000000004</v>
      </c>
      <c r="Z67" s="1">
        <v>111.7908</v>
      </c>
      <c r="AA67" s="1">
        <v>92.128999999999991</v>
      </c>
      <c r="AB67" s="1">
        <v>74.011400000000009</v>
      </c>
      <c r="AC67" s="1">
        <v>96.486999999999995</v>
      </c>
      <c r="AD67" s="1">
        <v>88.301000000000002</v>
      </c>
      <c r="AE67" s="1">
        <v>78.686999999999998</v>
      </c>
      <c r="AF67" s="1">
        <v>85.581600000000009</v>
      </c>
      <c r="AG67" s="1"/>
      <c r="AH67" s="1">
        <f t="shared" si="7"/>
        <v>6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160</v>
      </c>
      <c r="B68" s="1" t="s">
        <v>35</v>
      </c>
      <c r="C68" s="1">
        <v>261.91800000000001</v>
      </c>
      <c r="D68" s="1">
        <v>90.778000000000006</v>
      </c>
      <c r="E68" s="1">
        <v>138.93600000000001</v>
      </c>
      <c r="F68" s="1">
        <v>156.72900000000001</v>
      </c>
      <c r="G68" s="7">
        <v>1</v>
      </c>
      <c r="H68" s="1">
        <v>40</v>
      </c>
      <c r="I68" s="1" t="s">
        <v>161</v>
      </c>
      <c r="J68" s="1"/>
      <c r="K68" s="1">
        <v>131.80000000000001</v>
      </c>
      <c r="L68" s="1">
        <f t="shared" si="11"/>
        <v>7.1359999999999957</v>
      </c>
      <c r="M68" s="1"/>
      <c r="N68" s="1"/>
      <c r="O68" s="1"/>
      <c r="P68" s="1">
        <v>141.01060000000001</v>
      </c>
      <c r="Q68" s="20"/>
      <c r="R68" s="1">
        <f t="shared" si="3"/>
        <v>27.787200000000002</v>
      </c>
      <c r="S68" s="5">
        <f t="shared" si="4"/>
        <v>49.600400000000008</v>
      </c>
      <c r="T68" s="5">
        <f t="shared" si="8"/>
        <v>49.600400000000008</v>
      </c>
      <c r="U68" s="1">
        <f t="shared" si="5"/>
        <v>12.5</v>
      </c>
      <c r="V68" s="1">
        <f t="shared" si="6"/>
        <v>10.714991075027349</v>
      </c>
      <c r="W68" s="1">
        <v>32.726599999999998</v>
      </c>
      <c r="X68" s="1">
        <v>26.318200000000001</v>
      </c>
      <c r="Y68" s="1">
        <v>15.6272</v>
      </c>
      <c r="Z68" s="1">
        <v>17.955400000000001</v>
      </c>
      <c r="AA68" s="1">
        <v>33.378999999999998</v>
      </c>
      <c r="AB68" s="1">
        <v>41.163799999999988</v>
      </c>
      <c r="AC68" s="1">
        <v>30.2788</v>
      </c>
      <c r="AD68" s="1">
        <v>22.077200000000001</v>
      </c>
      <c r="AE68" s="1">
        <v>26.0336</v>
      </c>
      <c r="AF68" s="1">
        <v>22.261199999999999</v>
      </c>
      <c r="AG68" s="1"/>
      <c r="AH68" s="1">
        <f t="shared" si="7"/>
        <v>50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162</v>
      </c>
      <c r="B69" s="1" t="s">
        <v>42</v>
      </c>
      <c r="C69" s="1">
        <v>28</v>
      </c>
      <c r="D69" s="1">
        <v>24</v>
      </c>
      <c r="E69" s="1">
        <v>25</v>
      </c>
      <c r="F69" s="1">
        <v>17</v>
      </c>
      <c r="G69" s="7">
        <v>0.6</v>
      </c>
      <c r="H69" s="1">
        <v>70</v>
      </c>
      <c r="I69" s="1" t="s">
        <v>163</v>
      </c>
      <c r="J69" s="1"/>
      <c r="K69" s="1">
        <v>22</v>
      </c>
      <c r="L69" s="1">
        <f t="shared" si="11"/>
        <v>3</v>
      </c>
      <c r="M69" s="1"/>
      <c r="N69" s="1"/>
      <c r="O69" s="1"/>
      <c r="P69" s="1">
        <v>34.400000000000013</v>
      </c>
      <c r="Q69" s="20"/>
      <c r="R69" s="1">
        <f t="shared" si="3"/>
        <v>5</v>
      </c>
      <c r="S69" s="5">
        <f t="shared" si="4"/>
        <v>11.099999999999987</v>
      </c>
      <c r="T69" s="5">
        <f t="shared" si="8"/>
        <v>11.099999999999987</v>
      </c>
      <c r="U69" s="1">
        <f t="shared" si="5"/>
        <v>12.5</v>
      </c>
      <c r="V69" s="1">
        <f t="shared" si="6"/>
        <v>10.280000000000003</v>
      </c>
      <c r="W69" s="1">
        <v>5.4</v>
      </c>
      <c r="X69" s="1">
        <v>2</v>
      </c>
      <c r="Y69" s="1">
        <v>1.8</v>
      </c>
      <c r="Z69" s="1">
        <v>2.8</v>
      </c>
      <c r="AA69" s="1">
        <v>2.2000000000000002</v>
      </c>
      <c r="AB69" s="1">
        <v>2</v>
      </c>
      <c r="AC69" s="1">
        <v>3</v>
      </c>
      <c r="AD69" s="1">
        <v>4.8</v>
      </c>
      <c r="AE69" s="1">
        <v>2.8</v>
      </c>
      <c r="AF69" s="1">
        <v>3.2</v>
      </c>
      <c r="AG69" s="1"/>
      <c r="AH69" s="1">
        <f t="shared" si="7"/>
        <v>7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164</v>
      </c>
      <c r="B70" s="1" t="s">
        <v>35</v>
      </c>
      <c r="C70" s="1">
        <v>11</v>
      </c>
      <c r="D70" s="1">
        <v>892.21199999999999</v>
      </c>
      <c r="E70" s="1">
        <v>198.464</v>
      </c>
      <c r="F70" s="1">
        <v>646.78</v>
      </c>
      <c r="G70" s="7">
        <v>1</v>
      </c>
      <c r="H70" s="1">
        <v>30</v>
      </c>
      <c r="I70" s="1" t="s">
        <v>165</v>
      </c>
      <c r="J70" s="1"/>
      <c r="K70" s="1">
        <v>313.64999999999998</v>
      </c>
      <c r="L70" s="1">
        <f t="shared" ref="L70:L101" si="12">E70-K70</f>
        <v>-115.18599999999998</v>
      </c>
      <c r="M70" s="1"/>
      <c r="N70" s="1"/>
      <c r="O70" s="1">
        <v>116.77908000000021</v>
      </c>
      <c r="P70" s="1">
        <v>0</v>
      </c>
      <c r="Q70" s="20"/>
      <c r="R70" s="1">
        <f t="shared" si="3"/>
        <v>39.692799999999998</v>
      </c>
      <c r="S70" s="5"/>
      <c r="T70" s="5">
        <f t="shared" si="8"/>
        <v>0</v>
      </c>
      <c r="U70" s="1">
        <f t="shared" si="5"/>
        <v>19.236714970977111</v>
      </c>
      <c r="V70" s="1">
        <f t="shared" si="6"/>
        <v>19.236714970977111</v>
      </c>
      <c r="W70" s="1">
        <v>48.635199999999998</v>
      </c>
      <c r="X70" s="1">
        <v>81.170600000000007</v>
      </c>
      <c r="Y70" s="1">
        <v>85.153199999999998</v>
      </c>
      <c r="Z70" s="1">
        <v>45.728400000000001</v>
      </c>
      <c r="AA70" s="1">
        <v>6.1534000000000004</v>
      </c>
      <c r="AB70" s="1">
        <v>39.178400000000003</v>
      </c>
      <c r="AC70" s="1">
        <v>76.381600000000006</v>
      </c>
      <c r="AD70" s="1">
        <v>39.561799999999998</v>
      </c>
      <c r="AE70" s="1">
        <v>37.741399999999999</v>
      </c>
      <c r="AF70" s="1">
        <v>33.580399999999997</v>
      </c>
      <c r="AG70" s="1"/>
      <c r="AH70" s="1">
        <f t="shared" si="7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166</v>
      </c>
      <c r="B71" s="1" t="s">
        <v>42</v>
      </c>
      <c r="C71" s="1">
        <v>99</v>
      </c>
      <c r="D71" s="1">
        <v>96</v>
      </c>
      <c r="E71" s="1">
        <v>62</v>
      </c>
      <c r="F71" s="1">
        <v>125</v>
      </c>
      <c r="G71" s="7">
        <v>0.6</v>
      </c>
      <c r="H71" s="1">
        <v>60</v>
      </c>
      <c r="I71" s="1" t="s">
        <v>167</v>
      </c>
      <c r="J71" s="1"/>
      <c r="K71" s="1">
        <v>53</v>
      </c>
      <c r="L71" s="1">
        <f t="shared" si="12"/>
        <v>9</v>
      </c>
      <c r="M71" s="1"/>
      <c r="N71" s="1"/>
      <c r="O71" s="1"/>
      <c r="P71" s="1">
        <v>0</v>
      </c>
      <c r="Q71" s="20"/>
      <c r="R71" s="1">
        <f t="shared" ref="R71:R112" si="13">E71/5</f>
        <v>12.4</v>
      </c>
      <c r="S71" s="5">
        <f t="shared" ref="S71:S89" si="14">12.5*R71-P71-O71-F71</f>
        <v>30</v>
      </c>
      <c r="T71" s="5">
        <f t="shared" ref="T71:T112" si="15">S71</f>
        <v>30</v>
      </c>
      <c r="U71" s="1">
        <f t="shared" ref="U71:U112" si="16">(F71+O71+P71+Q71+T71)/R71</f>
        <v>12.5</v>
      </c>
      <c r="V71" s="1">
        <f t="shared" ref="V71:V112" si="17">(F71+O71+P71+Q71)/R71</f>
        <v>10.080645161290322</v>
      </c>
      <c r="W71" s="1">
        <v>11.8</v>
      </c>
      <c r="X71" s="1">
        <v>3.8</v>
      </c>
      <c r="Y71" s="1">
        <v>3.8</v>
      </c>
      <c r="Z71" s="1">
        <v>12.6</v>
      </c>
      <c r="AA71" s="1">
        <v>15.2</v>
      </c>
      <c r="AB71" s="1">
        <v>13.6</v>
      </c>
      <c r="AC71" s="1">
        <v>12.6</v>
      </c>
      <c r="AD71" s="1">
        <v>14.2</v>
      </c>
      <c r="AE71" s="1">
        <v>5.8</v>
      </c>
      <c r="AF71" s="1">
        <v>16.600000000000001</v>
      </c>
      <c r="AG71" s="1"/>
      <c r="AH71" s="1">
        <f t="shared" ref="AH71:AH112" si="18">ROUND(G71*T71,0)</f>
        <v>18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168</v>
      </c>
      <c r="B72" s="1" t="s">
        <v>42</v>
      </c>
      <c r="C72" s="1">
        <v>119</v>
      </c>
      <c r="D72" s="1">
        <v>194</v>
      </c>
      <c r="E72" s="1">
        <v>103</v>
      </c>
      <c r="F72" s="1">
        <v>194</v>
      </c>
      <c r="G72" s="7">
        <v>0.4</v>
      </c>
      <c r="H72" s="1">
        <v>90</v>
      </c>
      <c r="I72" s="1" t="s">
        <v>169</v>
      </c>
      <c r="J72" s="1"/>
      <c r="K72" s="1">
        <v>102</v>
      </c>
      <c r="L72" s="1">
        <f t="shared" si="12"/>
        <v>1</v>
      </c>
      <c r="M72" s="1"/>
      <c r="N72" s="1"/>
      <c r="O72" s="1"/>
      <c r="P72" s="1">
        <v>35.399999999999977</v>
      </c>
      <c r="Q72" s="20"/>
      <c r="R72" s="1">
        <f t="shared" si="13"/>
        <v>20.6</v>
      </c>
      <c r="S72" s="5">
        <f t="shared" si="14"/>
        <v>28.100000000000023</v>
      </c>
      <c r="T72" s="5">
        <f t="shared" si="15"/>
        <v>28.100000000000023</v>
      </c>
      <c r="U72" s="1">
        <f t="shared" si="16"/>
        <v>12.5</v>
      </c>
      <c r="V72" s="1">
        <f t="shared" si="17"/>
        <v>11.135922330097085</v>
      </c>
      <c r="W72" s="1">
        <v>25.4</v>
      </c>
      <c r="X72" s="1">
        <v>19.2</v>
      </c>
      <c r="Y72" s="1">
        <v>19.600000000000001</v>
      </c>
      <c r="Z72" s="1">
        <v>29.2</v>
      </c>
      <c r="AA72" s="1">
        <v>21</v>
      </c>
      <c r="AB72" s="1">
        <v>5.2</v>
      </c>
      <c r="AC72" s="1">
        <v>7.6</v>
      </c>
      <c r="AD72" s="1">
        <v>17.2</v>
      </c>
      <c r="AE72" s="1">
        <v>7</v>
      </c>
      <c r="AF72" s="1">
        <v>15.8</v>
      </c>
      <c r="AG72" s="1"/>
      <c r="AH72" s="1">
        <f t="shared" si="18"/>
        <v>11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170</v>
      </c>
      <c r="B73" s="1" t="s">
        <v>42</v>
      </c>
      <c r="C73" s="1"/>
      <c r="D73" s="1">
        <v>400</v>
      </c>
      <c r="E73" s="1">
        <v>128</v>
      </c>
      <c r="F73" s="1">
        <v>256</v>
      </c>
      <c r="G73" s="7">
        <v>0.33</v>
      </c>
      <c r="H73" s="1">
        <v>60</v>
      </c>
      <c r="I73" s="1" t="s">
        <v>171</v>
      </c>
      <c r="J73" s="1"/>
      <c r="K73" s="1">
        <v>120</v>
      </c>
      <c r="L73" s="1">
        <f t="shared" si="12"/>
        <v>8</v>
      </c>
      <c r="M73" s="1"/>
      <c r="N73" s="1"/>
      <c r="O73" s="1"/>
      <c r="P73" s="1">
        <v>0</v>
      </c>
      <c r="Q73" s="20"/>
      <c r="R73" s="1">
        <f t="shared" si="13"/>
        <v>25.6</v>
      </c>
      <c r="S73" s="5">
        <f t="shared" si="14"/>
        <v>64</v>
      </c>
      <c r="T73" s="5">
        <f t="shared" si="15"/>
        <v>64</v>
      </c>
      <c r="U73" s="1">
        <f t="shared" si="16"/>
        <v>12.5</v>
      </c>
      <c r="V73" s="1">
        <f t="shared" si="17"/>
        <v>10</v>
      </c>
      <c r="W73" s="1">
        <v>14.8</v>
      </c>
      <c r="X73" s="1">
        <v>21</v>
      </c>
      <c r="Y73" s="1">
        <v>30.8</v>
      </c>
      <c r="Z73" s="1">
        <v>40.200000000000003</v>
      </c>
      <c r="AA73" s="1">
        <v>28.2</v>
      </c>
      <c r="AB73" s="1">
        <v>8</v>
      </c>
      <c r="AC73" s="1">
        <v>14</v>
      </c>
      <c r="AD73" s="1">
        <v>18.399999999999999</v>
      </c>
      <c r="AE73" s="1">
        <v>12.4</v>
      </c>
      <c r="AF73" s="1">
        <v>21.6</v>
      </c>
      <c r="AG73" s="1"/>
      <c r="AH73" s="1">
        <f t="shared" si="18"/>
        <v>21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172</v>
      </c>
      <c r="B74" s="1" t="s">
        <v>42</v>
      </c>
      <c r="C74" s="1">
        <v>49</v>
      </c>
      <c r="D74" s="1">
        <v>114</v>
      </c>
      <c r="E74" s="1">
        <v>68</v>
      </c>
      <c r="F74" s="1">
        <v>65</v>
      </c>
      <c r="G74" s="7">
        <v>0.35</v>
      </c>
      <c r="H74" s="1">
        <v>90</v>
      </c>
      <c r="I74" s="1" t="s">
        <v>173</v>
      </c>
      <c r="J74" s="1"/>
      <c r="K74" s="1">
        <v>73</v>
      </c>
      <c r="L74" s="1">
        <f t="shared" si="12"/>
        <v>-5</v>
      </c>
      <c r="M74" s="1"/>
      <c r="N74" s="1"/>
      <c r="O74" s="1">
        <v>129.4</v>
      </c>
      <c r="P74" s="1">
        <v>0</v>
      </c>
      <c r="Q74" s="20"/>
      <c r="R74" s="1">
        <f t="shared" si="13"/>
        <v>13.6</v>
      </c>
      <c r="S74" s="5"/>
      <c r="T74" s="5">
        <f t="shared" si="15"/>
        <v>0</v>
      </c>
      <c r="U74" s="1">
        <f t="shared" si="16"/>
        <v>14.294117647058824</v>
      </c>
      <c r="V74" s="1">
        <f t="shared" si="17"/>
        <v>14.294117647058824</v>
      </c>
      <c r="W74" s="1">
        <v>20.8</v>
      </c>
      <c r="X74" s="1">
        <v>21.8</v>
      </c>
      <c r="Y74" s="1">
        <v>18.2</v>
      </c>
      <c r="Z74" s="1">
        <v>15</v>
      </c>
      <c r="AA74" s="1">
        <v>7.4</v>
      </c>
      <c r="AB74" s="1">
        <v>9</v>
      </c>
      <c r="AC74" s="1">
        <v>16.2</v>
      </c>
      <c r="AD74" s="1">
        <v>9</v>
      </c>
      <c r="AE74" s="1">
        <v>5.8</v>
      </c>
      <c r="AF74" s="1">
        <v>14</v>
      </c>
      <c r="AG74" s="1"/>
      <c r="AH74" s="1">
        <f t="shared" si="18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174</v>
      </c>
      <c r="B75" s="1" t="s">
        <v>42</v>
      </c>
      <c r="C75" s="1">
        <v>260</v>
      </c>
      <c r="D75" s="1">
        <v>290</v>
      </c>
      <c r="E75" s="1">
        <v>124</v>
      </c>
      <c r="F75" s="1">
        <v>392</v>
      </c>
      <c r="G75" s="7">
        <v>0.37</v>
      </c>
      <c r="H75" s="1">
        <v>50</v>
      </c>
      <c r="I75" s="1" t="s">
        <v>175</v>
      </c>
      <c r="J75" s="1"/>
      <c r="K75" s="1">
        <v>122</v>
      </c>
      <c r="L75" s="1">
        <f t="shared" si="12"/>
        <v>2</v>
      </c>
      <c r="M75" s="1"/>
      <c r="N75" s="1"/>
      <c r="O75" s="1"/>
      <c r="P75" s="1">
        <v>0</v>
      </c>
      <c r="Q75" s="20"/>
      <c r="R75" s="1">
        <f t="shared" si="13"/>
        <v>24.8</v>
      </c>
      <c r="S75" s="5"/>
      <c r="T75" s="5">
        <f t="shared" si="15"/>
        <v>0</v>
      </c>
      <c r="U75" s="1">
        <f t="shared" si="16"/>
        <v>15.806451612903226</v>
      </c>
      <c r="V75" s="1">
        <f t="shared" si="17"/>
        <v>15.806451612903226</v>
      </c>
      <c r="W75" s="1">
        <v>30.8</v>
      </c>
      <c r="X75" s="1">
        <v>26.4</v>
      </c>
      <c r="Y75" s="1">
        <v>18.2</v>
      </c>
      <c r="Z75" s="1">
        <v>32.4</v>
      </c>
      <c r="AA75" s="1">
        <v>44</v>
      </c>
      <c r="AB75" s="1">
        <v>41.8</v>
      </c>
      <c r="AC75" s="1">
        <v>34</v>
      </c>
      <c r="AD75" s="1">
        <v>22.4</v>
      </c>
      <c r="AE75" s="1">
        <v>41.6</v>
      </c>
      <c r="AF75" s="1">
        <v>29.4</v>
      </c>
      <c r="AG75" s="1"/>
      <c r="AH75" s="1">
        <f t="shared" si="18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176</v>
      </c>
      <c r="B76" s="1" t="s">
        <v>42</v>
      </c>
      <c r="C76" s="1">
        <v>63</v>
      </c>
      <c r="D76" s="1">
        <v>66</v>
      </c>
      <c r="E76" s="1">
        <v>37</v>
      </c>
      <c r="F76" s="1">
        <v>84</v>
      </c>
      <c r="G76" s="7">
        <v>0.33</v>
      </c>
      <c r="H76" s="1">
        <v>40</v>
      </c>
      <c r="I76" s="1" t="s">
        <v>177</v>
      </c>
      <c r="J76" s="1"/>
      <c r="K76" s="1">
        <v>37</v>
      </c>
      <c r="L76" s="1">
        <f t="shared" si="12"/>
        <v>0</v>
      </c>
      <c r="M76" s="1"/>
      <c r="N76" s="1"/>
      <c r="O76" s="1"/>
      <c r="P76" s="1">
        <v>0</v>
      </c>
      <c r="Q76" s="20"/>
      <c r="R76" s="1">
        <f t="shared" si="13"/>
        <v>7.4</v>
      </c>
      <c r="S76" s="5">
        <f t="shared" si="14"/>
        <v>8.5</v>
      </c>
      <c r="T76" s="5">
        <f t="shared" si="15"/>
        <v>8.5</v>
      </c>
      <c r="U76" s="1">
        <f t="shared" si="16"/>
        <v>12.5</v>
      </c>
      <c r="V76" s="1">
        <f t="shared" si="17"/>
        <v>11.351351351351351</v>
      </c>
      <c r="W76" s="1">
        <v>7.6</v>
      </c>
      <c r="X76" s="1">
        <v>6</v>
      </c>
      <c r="Y76" s="1">
        <v>0.8</v>
      </c>
      <c r="Z76" s="1">
        <v>7.4</v>
      </c>
      <c r="AA76" s="1">
        <v>11.2</v>
      </c>
      <c r="AB76" s="1">
        <v>12.2</v>
      </c>
      <c r="AC76" s="1">
        <v>8.1999999999999993</v>
      </c>
      <c r="AD76" s="1">
        <v>1</v>
      </c>
      <c r="AE76" s="1">
        <v>11.6</v>
      </c>
      <c r="AF76" s="1">
        <v>9.1999999999999993</v>
      </c>
      <c r="AG76" s="1"/>
      <c r="AH76" s="1">
        <f t="shared" si="18"/>
        <v>3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178</v>
      </c>
      <c r="B77" s="1" t="s">
        <v>42</v>
      </c>
      <c r="C77" s="1">
        <v>2</v>
      </c>
      <c r="D77" s="1">
        <v>234</v>
      </c>
      <c r="E77" s="1">
        <v>20</v>
      </c>
      <c r="F77" s="1">
        <v>213</v>
      </c>
      <c r="G77" s="7">
        <v>0.4</v>
      </c>
      <c r="H77" s="1">
        <v>55</v>
      </c>
      <c r="I77" s="1" t="s">
        <v>179</v>
      </c>
      <c r="J77" s="1"/>
      <c r="K77" s="1">
        <v>48</v>
      </c>
      <c r="L77" s="1">
        <f t="shared" si="12"/>
        <v>-28</v>
      </c>
      <c r="M77" s="1"/>
      <c r="N77" s="1"/>
      <c r="O77" s="1"/>
      <c r="P77" s="1">
        <v>0</v>
      </c>
      <c r="Q77" s="20"/>
      <c r="R77" s="1">
        <f t="shared" si="13"/>
        <v>4</v>
      </c>
      <c r="S77" s="5"/>
      <c r="T77" s="5">
        <f t="shared" si="15"/>
        <v>0</v>
      </c>
      <c r="U77" s="1">
        <f t="shared" si="16"/>
        <v>53.25</v>
      </c>
      <c r="V77" s="1">
        <f t="shared" si="17"/>
        <v>53.25</v>
      </c>
      <c r="W77" s="1">
        <v>4.2</v>
      </c>
      <c r="X77" s="1">
        <v>14.8</v>
      </c>
      <c r="Y77" s="1">
        <v>22.6</v>
      </c>
      <c r="Z77" s="1">
        <v>18</v>
      </c>
      <c r="AA77" s="1">
        <v>12.6</v>
      </c>
      <c r="AB77" s="1">
        <v>8.1999999999999993</v>
      </c>
      <c r="AC77" s="1">
        <v>11.4</v>
      </c>
      <c r="AD77" s="1">
        <v>16.2</v>
      </c>
      <c r="AE77" s="1">
        <v>8.4</v>
      </c>
      <c r="AF77" s="1">
        <v>13.4</v>
      </c>
      <c r="AG77" s="1"/>
      <c r="AH77" s="1">
        <f t="shared" si="18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180</v>
      </c>
      <c r="B78" s="1" t="s">
        <v>42</v>
      </c>
      <c r="C78" s="1">
        <v>8</v>
      </c>
      <c r="D78" s="1">
        <v>36</v>
      </c>
      <c r="E78" s="1">
        <v>3</v>
      </c>
      <c r="F78" s="1">
        <v>36</v>
      </c>
      <c r="G78" s="7">
        <v>0.35</v>
      </c>
      <c r="H78" s="1">
        <v>40</v>
      </c>
      <c r="I78" s="1" t="s">
        <v>181</v>
      </c>
      <c r="J78" s="1"/>
      <c r="K78" s="1">
        <v>20</v>
      </c>
      <c r="L78" s="1">
        <f t="shared" si="12"/>
        <v>-17</v>
      </c>
      <c r="M78" s="1"/>
      <c r="N78" s="1"/>
      <c r="O78" s="1">
        <v>60.000000000000007</v>
      </c>
      <c r="P78" s="1">
        <v>0</v>
      </c>
      <c r="Q78" s="20"/>
      <c r="R78" s="1">
        <f t="shared" si="13"/>
        <v>0.6</v>
      </c>
      <c r="S78" s="5"/>
      <c r="T78" s="5">
        <f t="shared" si="15"/>
        <v>0</v>
      </c>
      <c r="U78" s="1">
        <f t="shared" si="16"/>
        <v>160</v>
      </c>
      <c r="V78" s="1">
        <f t="shared" si="17"/>
        <v>160</v>
      </c>
      <c r="W78" s="1">
        <v>4.8</v>
      </c>
      <c r="X78" s="1">
        <v>8.4</v>
      </c>
      <c r="Y78" s="1">
        <v>6.2</v>
      </c>
      <c r="Z78" s="1">
        <v>4.5999999999999996</v>
      </c>
      <c r="AA78" s="1">
        <v>7</v>
      </c>
      <c r="AB78" s="1">
        <v>11.8</v>
      </c>
      <c r="AC78" s="1">
        <v>13</v>
      </c>
      <c r="AD78" s="1">
        <v>0.6</v>
      </c>
      <c r="AE78" s="1">
        <v>5.8</v>
      </c>
      <c r="AF78" s="1">
        <v>5.4</v>
      </c>
      <c r="AG78" s="1"/>
      <c r="AH78" s="1">
        <f t="shared" si="18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182</v>
      </c>
      <c r="B79" s="1" t="s">
        <v>42</v>
      </c>
      <c r="C79" s="1">
        <v>128</v>
      </c>
      <c r="D79" s="1"/>
      <c r="E79" s="1">
        <v>33</v>
      </c>
      <c r="F79" s="1">
        <v>90</v>
      </c>
      <c r="G79" s="7">
        <v>0.35</v>
      </c>
      <c r="H79" s="1">
        <v>45</v>
      </c>
      <c r="I79" s="1" t="s">
        <v>183</v>
      </c>
      <c r="J79" s="1"/>
      <c r="K79" s="1">
        <v>33</v>
      </c>
      <c r="L79" s="1">
        <f t="shared" si="12"/>
        <v>0</v>
      </c>
      <c r="M79" s="1"/>
      <c r="N79" s="1"/>
      <c r="O79" s="1"/>
      <c r="P79" s="1">
        <v>0</v>
      </c>
      <c r="Q79" s="20"/>
      <c r="R79" s="1">
        <f t="shared" si="13"/>
        <v>6.6</v>
      </c>
      <c r="S79" s="5"/>
      <c r="T79" s="5">
        <f t="shared" si="15"/>
        <v>0</v>
      </c>
      <c r="U79" s="1">
        <f t="shared" si="16"/>
        <v>13.636363636363637</v>
      </c>
      <c r="V79" s="1">
        <f t="shared" si="17"/>
        <v>13.636363636363637</v>
      </c>
      <c r="W79" s="1">
        <v>4</v>
      </c>
      <c r="X79" s="1">
        <v>2.6</v>
      </c>
      <c r="Y79" s="1">
        <v>1.2</v>
      </c>
      <c r="Z79" s="1">
        <v>0</v>
      </c>
      <c r="AA79" s="1">
        <v>6</v>
      </c>
      <c r="AB79" s="1">
        <v>13.2</v>
      </c>
      <c r="AC79" s="1">
        <v>11.8</v>
      </c>
      <c r="AD79" s="1">
        <v>4</v>
      </c>
      <c r="AE79" s="1">
        <v>-2.2000000000000002</v>
      </c>
      <c r="AF79" s="1">
        <v>10.8</v>
      </c>
      <c r="AG79" s="1"/>
      <c r="AH79" s="1">
        <f t="shared" si="18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184</v>
      </c>
      <c r="B80" s="1" t="s">
        <v>42</v>
      </c>
      <c r="C80" s="1">
        <v>69</v>
      </c>
      <c r="D80" s="1">
        <v>100</v>
      </c>
      <c r="E80" s="1">
        <v>13</v>
      </c>
      <c r="F80" s="1">
        <v>100</v>
      </c>
      <c r="G80" s="7">
        <v>0.4</v>
      </c>
      <c r="H80" s="1">
        <v>55</v>
      </c>
      <c r="I80" s="1" t="s">
        <v>185</v>
      </c>
      <c r="J80" s="1"/>
      <c r="K80" s="1">
        <v>35</v>
      </c>
      <c r="L80" s="1">
        <f t="shared" si="12"/>
        <v>-22</v>
      </c>
      <c r="M80" s="1"/>
      <c r="N80" s="1"/>
      <c r="O80" s="1">
        <v>88.399999999999977</v>
      </c>
      <c r="P80" s="1">
        <v>0</v>
      </c>
      <c r="Q80" s="20"/>
      <c r="R80" s="1">
        <f t="shared" si="13"/>
        <v>2.6</v>
      </c>
      <c r="S80" s="5"/>
      <c r="T80" s="5">
        <f t="shared" si="15"/>
        <v>0</v>
      </c>
      <c r="U80" s="1">
        <f t="shared" si="16"/>
        <v>72.461538461538453</v>
      </c>
      <c r="V80" s="1">
        <f t="shared" si="17"/>
        <v>72.461538461538453</v>
      </c>
      <c r="W80" s="1">
        <v>14.4</v>
      </c>
      <c r="X80" s="1">
        <v>16.2</v>
      </c>
      <c r="Y80" s="1">
        <v>14.4</v>
      </c>
      <c r="Z80" s="1">
        <v>13.8</v>
      </c>
      <c r="AA80" s="1">
        <v>10.6</v>
      </c>
      <c r="AB80" s="1">
        <v>13.8</v>
      </c>
      <c r="AC80" s="1">
        <v>12.8</v>
      </c>
      <c r="AD80" s="1">
        <v>11.4</v>
      </c>
      <c r="AE80" s="1">
        <v>6.6</v>
      </c>
      <c r="AF80" s="1">
        <v>11.8</v>
      </c>
      <c r="AG80" s="1"/>
      <c r="AH80" s="1">
        <f t="shared" si="18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186</v>
      </c>
      <c r="B81" s="1" t="s">
        <v>35</v>
      </c>
      <c r="C81" s="1">
        <v>20.181999999999999</v>
      </c>
      <c r="D81" s="1">
        <v>22.893999999999998</v>
      </c>
      <c r="E81" s="1">
        <v>5.7949999999999999</v>
      </c>
      <c r="F81" s="1">
        <v>35.823999999999998</v>
      </c>
      <c r="G81" s="7">
        <v>1</v>
      </c>
      <c r="H81" s="1">
        <v>55</v>
      </c>
      <c r="I81" s="1" t="s">
        <v>187</v>
      </c>
      <c r="J81" s="1"/>
      <c r="K81" s="1">
        <v>5.3</v>
      </c>
      <c r="L81" s="1">
        <f t="shared" si="12"/>
        <v>0.49500000000000011</v>
      </c>
      <c r="M81" s="1"/>
      <c r="N81" s="1"/>
      <c r="O81" s="1"/>
      <c r="P81" s="1">
        <v>0</v>
      </c>
      <c r="Q81" s="20"/>
      <c r="R81" s="1">
        <f t="shared" si="13"/>
        <v>1.159</v>
      </c>
      <c r="S81" s="5"/>
      <c r="T81" s="5">
        <f t="shared" si="15"/>
        <v>0</v>
      </c>
      <c r="U81" s="1">
        <f t="shared" si="16"/>
        <v>30.909404659188954</v>
      </c>
      <c r="V81" s="1">
        <f t="shared" si="17"/>
        <v>30.909404659188954</v>
      </c>
      <c r="W81" s="1">
        <v>1.4476</v>
      </c>
      <c r="X81" s="1">
        <v>0.86639999999999995</v>
      </c>
      <c r="Y81" s="1">
        <v>0.28920000000000001</v>
      </c>
      <c r="Z81" s="1">
        <v>0.57919999999999994</v>
      </c>
      <c r="AA81" s="1">
        <v>2.3048000000000002</v>
      </c>
      <c r="AB81" s="1">
        <v>1.7256</v>
      </c>
      <c r="AC81" s="1">
        <v>2.31</v>
      </c>
      <c r="AD81" s="1">
        <v>2.3452000000000002</v>
      </c>
      <c r="AE81" s="1">
        <v>1.4443999999999999</v>
      </c>
      <c r="AF81" s="1">
        <v>2.5912000000000002</v>
      </c>
      <c r="AG81" s="12" t="s">
        <v>251</v>
      </c>
      <c r="AH81" s="1">
        <f t="shared" si="18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188</v>
      </c>
      <c r="B82" s="1" t="s">
        <v>35</v>
      </c>
      <c r="C82" s="1">
        <v>340.66800000000001</v>
      </c>
      <c r="D82" s="1">
        <v>308.09800000000001</v>
      </c>
      <c r="E82" s="1">
        <v>262.75799999999998</v>
      </c>
      <c r="F82" s="1">
        <v>334.83800000000002</v>
      </c>
      <c r="G82" s="7">
        <v>1</v>
      </c>
      <c r="H82" s="1">
        <v>60</v>
      </c>
      <c r="I82" s="1" t="s">
        <v>189</v>
      </c>
      <c r="J82" s="1"/>
      <c r="K82" s="1">
        <v>260.18</v>
      </c>
      <c r="L82" s="1">
        <f t="shared" si="12"/>
        <v>2.5779999999999745</v>
      </c>
      <c r="M82" s="1"/>
      <c r="N82" s="1"/>
      <c r="O82" s="1">
        <v>18.634907999999999</v>
      </c>
      <c r="P82" s="1">
        <v>322.92589199999998</v>
      </c>
      <c r="Q82" s="20"/>
      <c r="R82" s="1">
        <f t="shared" si="13"/>
        <v>52.551599999999993</v>
      </c>
      <c r="S82" s="5"/>
      <c r="T82" s="5">
        <f t="shared" si="15"/>
        <v>0</v>
      </c>
      <c r="U82" s="1">
        <f t="shared" si="16"/>
        <v>12.871136178536904</v>
      </c>
      <c r="V82" s="1">
        <f t="shared" si="17"/>
        <v>12.871136178536904</v>
      </c>
      <c r="W82" s="1">
        <v>69.242800000000003</v>
      </c>
      <c r="X82" s="1">
        <v>51.0944</v>
      </c>
      <c r="Y82" s="1">
        <v>33.292000000000002</v>
      </c>
      <c r="Z82" s="1">
        <v>50.997199999999999</v>
      </c>
      <c r="AA82" s="1">
        <v>63.35</v>
      </c>
      <c r="AB82" s="1">
        <v>57.907600000000002</v>
      </c>
      <c r="AC82" s="1">
        <v>54.795200000000001</v>
      </c>
      <c r="AD82" s="1">
        <v>50.4236</v>
      </c>
      <c r="AE82" s="1">
        <v>37.101199999999999</v>
      </c>
      <c r="AF82" s="1">
        <v>60.118399999999987</v>
      </c>
      <c r="AG82" s="1"/>
      <c r="AH82" s="1">
        <f t="shared" si="18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190</v>
      </c>
      <c r="B83" s="1" t="s">
        <v>35</v>
      </c>
      <c r="C83" s="1">
        <v>622.93200000000002</v>
      </c>
      <c r="D83" s="1">
        <v>2569.723</v>
      </c>
      <c r="E83" s="1">
        <v>1868.508</v>
      </c>
      <c r="F83" s="1">
        <v>1012.096</v>
      </c>
      <c r="G83" s="7">
        <v>1</v>
      </c>
      <c r="H83" s="1">
        <v>60</v>
      </c>
      <c r="I83" s="1" t="s">
        <v>191</v>
      </c>
      <c r="J83" s="1"/>
      <c r="K83" s="1">
        <v>1927.0129999999999</v>
      </c>
      <c r="L83" s="1">
        <f t="shared" si="12"/>
        <v>-58.504999999999882</v>
      </c>
      <c r="M83" s="1"/>
      <c r="N83" s="1"/>
      <c r="O83" s="1">
        <v>668.16195999999991</v>
      </c>
      <c r="P83" s="1">
        <v>1505.961248080001</v>
      </c>
      <c r="Q83" s="20"/>
      <c r="R83" s="1">
        <f t="shared" si="13"/>
        <v>373.70159999999998</v>
      </c>
      <c r="S83" s="5">
        <f t="shared" si="14"/>
        <v>1485.0507919199986</v>
      </c>
      <c r="T83" s="5">
        <f t="shared" ref="T83:T85" si="19">S83+$T$1*R83</f>
        <v>961.86855191999859</v>
      </c>
      <c r="U83" s="1">
        <f t="shared" si="16"/>
        <v>11.1</v>
      </c>
      <c r="V83" s="1">
        <f t="shared" si="17"/>
        <v>8.5261053420161996</v>
      </c>
      <c r="W83" s="1">
        <v>399.83</v>
      </c>
      <c r="X83" s="1">
        <v>296.8424</v>
      </c>
      <c r="Y83" s="1">
        <v>287.976</v>
      </c>
      <c r="Z83" s="1">
        <v>270.93779999999998</v>
      </c>
      <c r="AA83" s="1">
        <v>197.911</v>
      </c>
      <c r="AB83" s="1">
        <v>281.72179999999997</v>
      </c>
      <c r="AC83" s="1">
        <v>365.83620000000002</v>
      </c>
      <c r="AD83" s="1">
        <v>364.94260000000003</v>
      </c>
      <c r="AE83" s="1">
        <v>298.39519999999999</v>
      </c>
      <c r="AF83" s="1">
        <v>305.68599999999998</v>
      </c>
      <c r="AG83" s="1"/>
      <c r="AH83" s="1">
        <f t="shared" si="18"/>
        <v>962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9" t="s">
        <v>192</v>
      </c>
      <c r="B84" s="1" t="s">
        <v>35</v>
      </c>
      <c r="C84" s="1">
        <v>592.36900000000003</v>
      </c>
      <c r="D84" s="1">
        <v>3420.098</v>
      </c>
      <c r="E84" s="1">
        <v>1636.6659999999999</v>
      </c>
      <c r="F84" s="1">
        <v>2030.0920000000001</v>
      </c>
      <c r="G84" s="7">
        <v>1</v>
      </c>
      <c r="H84" s="1">
        <v>60</v>
      </c>
      <c r="I84" s="1" t="s">
        <v>193</v>
      </c>
      <c r="J84" s="1"/>
      <c r="K84" s="1">
        <v>1761</v>
      </c>
      <c r="L84" s="1">
        <f t="shared" si="12"/>
        <v>-124.33400000000006</v>
      </c>
      <c r="M84" s="1"/>
      <c r="N84" s="1"/>
      <c r="O84" s="1">
        <v>192.67155999999969</v>
      </c>
      <c r="P84" s="1">
        <v>1300.0737153600001</v>
      </c>
      <c r="Q84" s="20">
        <v>300</v>
      </c>
      <c r="R84" s="1">
        <f t="shared" si="13"/>
        <v>327.33319999999998</v>
      </c>
      <c r="S84" s="5">
        <f t="shared" si="14"/>
        <v>568.82772463999981</v>
      </c>
      <c r="T84" s="5">
        <f t="shared" si="19"/>
        <v>110.56124463999987</v>
      </c>
      <c r="U84" s="1">
        <f t="shared" si="16"/>
        <v>12.016497318328847</v>
      </c>
      <c r="V84" s="1">
        <f t="shared" si="17"/>
        <v>11.678733704249982</v>
      </c>
      <c r="W84" s="1">
        <v>409.26220000000001</v>
      </c>
      <c r="X84" s="1">
        <v>319.29379999999998</v>
      </c>
      <c r="Y84" s="1">
        <v>349.4932</v>
      </c>
      <c r="Z84" s="1">
        <v>374.82220000000001</v>
      </c>
      <c r="AA84" s="1">
        <v>291.64859999999999</v>
      </c>
      <c r="AB84" s="1">
        <v>348.50799999999998</v>
      </c>
      <c r="AC84" s="1">
        <v>351.85340000000002</v>
      </c>
      <c r="AD84" s="1">
        <v>259.17039999999997</v>
      </c>
      <c r="AE84" s="1">
        <v>199.94980000000001</v>
      </c>
      <c r="AF84" s="1">
        <v>215.18979999999999</v>
      </c>
      <c r="AG84" s="1"/>
      <c r="AH84" s="1">
        <f t="shared" si="18"/>
        <v>111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9" t="s">
        <v>194</v>
      </c>
      <c r="B85" s="1" t="s">
        <v>35</v>
      </c>
      <c r="C85" s="1">
        <v>1334.6590000000001</v>
      </c>
      <c r="D85" s="1">
        <v>4482.3999999999996</v>
      </c>
      <c r="E85" s="1">
        <v>2632.6410000000001</v>
      </c>
      <c r="F85" s="1">
        <v>2672.9029999999998</v>
      </c>
      <c r="G85" s="7">
        <v>1</v>
      </c>
      <c r="H85" s="1">
        <v>60</v>
      </c>
      <c r="I85" s="1" t="s">
        <v>195</v>
      </c>
      <c r="J85" s="1"/>
      <c r="K85" s="1">
        <v>2757.5160000000001</v>
      </c>
      <c r="L85" s="1">
        <f t="shared" si="12"/>
        <v>-124.875</v>
      </c>
      <c r="M85" s="1"/>
      <c r="N85" s="1"/>
      <c r="O85" s="1">
        <v>306.3101059200003</v>
      </c>
      <c r="P85" s="1">
        <v>1529.418454079999</v>
      </c>
      <c r="Q85" s="20">
        <v>500</v>
      </c>
      <c r="R85" s="1">
        <f t="shared" si="13"/>
        <v>526.52819999999997</v>
      </c>
      <c r="S85" s="5">
        <f t="shared" si="14"/>
        <v>2072.9709400000015</v>
      </c>
      <c r="T85" s="5">
        <f t="shared" si="19"/>
        <v>1335.8314600000017</v>
      </c>
      <c r="U85" s="1">
        <f t="shared" si="16"/>
        <v>12.049616753670556</v>
      </c>
      <c r="V85" s="1">
        <f t="shared" si="17"/>
        <v>9.5125608846781606</v>
      </c>
      <c r="W85" s="1">
        <v>579.12779999999998</v>
      </c>
      <c r="X85" s="1">
        <v>471.89260000000002</v>
      </c>
      <c r="Y85" s="1">
        <v>469.8184</v>
      </c>
      <c r="Z85" s="1">
        <v>607.09460000000001</v>
      </c>
      <c r="AA85" s="1">
        <v>618.89179999999999</v>
      </c>
      <c r="AB85" s="1">
        <v>622.35180000000003</v>
      </c>
      <c r="AC85" s="1">
        <v>606.17020000000002</v>
      </c>
      <c r="AD85" s="1">
        <v>528.50659999999993</v>
      </c>
      <c r="AE85" s="1">
        <v>517.31659999999999</v>
      </c>
      <c r="AF85" s="1">
        <v>479.43520000000001</v>
      </c>
      <c r="AG85" s="1"/>
      <c r="AH85" s="1">
        <f t="shared" si="18"/>
        <v>1336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196</v>
      </c>
      <c r="B86" s="1" t="s">
        <v>42</v>
      </c>
      <c r="C86" s="1">
        <v>163</v>
      </c>
      <c r="D86" s="1">
        <v>12</v>
      </c>
      <c r="E86" s="1">
        <v>125</v>
      </c>
      <c r="F86" s="1">
        <v>-2</v>
      </c>
      <c r="G86" s="7">
        <v>0.3</v>
      </c>
      <c r="H86" s="1">
        <v>40</v>
      </c>
      <c r="I86" s="1" t="s">
        <v>197</v>
      </c>
      <c r="J86" s="1"/>
      <c r="K86" s="1">
        <v>161</v>
      </c>
      <c r="L86" s="1">
        <f t="shared" si="12"/>
        <v>-36</v>
      </c>
      <c r="M86" s="1"/>
      <c r="N86" s="1"/>
      <c r="O86" s="1">
        <v>196.2</v>
      </c>
      <c r="P86" s="1">
        <v>115.2</v>
      </c>
      <c r="Q86" s="20"/>
      <c r="R86" s="1">
        <f t="shared" si="13"/>
        <v>25</v>
      </c>
      <c r="S86" s="5">
        <v>6</v>
      </c>
      <c r="T86" s="5">
        <f t="shared" si="15"/>
        <v>6</v>
      </c>
      <c r="U86" s="1">
        <f t="shared" si="16"/>
        <v>12.616</v>
      </c>
      <c r="V86" s="1">
        <f t="shared" si="17"/>
        <v>12.375999999999999</v>
      </c>
      <c r="W86" s="1">
        <v>32.4</v>
      </c>
      <c r="X86" s="1">
        <v>26.6</v>
      </c>
      <c r="Y86" s="1">
        <v>8</v>
      </c>
      <c r="Z86" s="1">
        <v>5</v>
      </c>
      <c r="AA86" s="1">
        <v>21</v>
      </c>
      <c r="AB86" s="1">
        <v>27.8</v>
      </c>
      <c r="AC86" s="1">
        <v>22.8</v>
      </c>
      <c r="AD86" s="1">
        <v>24</v>
      </c>
      <c r="AE86" s="1">
        <v>24.4</v>
      </c>
      <c r="AF86" s="1">
        <v>24</v>
      </c>
      <c r="AG86" s="1"/>
      <c r="AH86" s="1">
        <f t="shared" si="18"/>
        <v>2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198</v>
      </c>
      <c r="B87" s="1" t="s">
        <v>42</v>
      </c>
      <c r="C87" s="1">
        <v>60</v>
      </c>
      <c r="D87" s="1">
        <v>56</v>
      </c>
      <c r="E87" s="1">
        <v>73</v>
      </c>
      <c r="F87" s="1">
        <v>25</v>
      </c>
      <c r="G87" s="7">
        <v>7.0000000000000007E-2</v>
      </c>
      <c r="H87" s="1">
        <v>90</v>
      </c>
      <c r="I87" s="1" t="s">
        <v>199</v>
      </c>
      <c r="J87" s="1"/>
      <c r="K87" s="1">
        <v>75</v>
      </c>
      <c r="L87" s="1">
        <f t="shared" si="12"/>
        <v>-2</v>
      </c>
      <c r="M87" s="1"/>
      <c r="N87" s="1"/>
      <c r="O87" s="1">
        <v>20.199999999999989</v>
      </c>
      <c r="P87" s="1">
        <v>77.800000000000011</v>
      </c>
      <c r="Q87" s="20"/>
      <c r="R87" s="1">
        <f t="shared" si="13"/>
        <v>14.6</v>
      </c>
      <c r="S87" s="5">
        <f t="shared" si="14"/>
        <v>59.5</v>
      </c>
      <c r="T87" s="5">
        <f t="shared" si="15"/>
        <v>59.5</v>
      </c>
      <c r="U87" s="1">
        <f t="shared" si="16"/>
        <v>12.5</v>
      </c>
      <c r="V87" s="1">
        <f t="shared" si="17"/>
        <v>8.4246575342465757</v>
      </c>
      <c r="W87" s="1">
        <v>15</v>
      </c>
      <c r="X87" s="1">
        <v>10</v>
      </c>
      <c r="Y87" s="1">
        <v>9.1999999999999993</v>
      </c>
      <c r="Z87" s="1">
        <v>11.4</v>
      </c>
      <c r="AA87" s="1">
        <v>6.8</v>
      </c>
      <c r="AB87" s="1">
        <v>7.6</v>
      </c>
      <c r="AC87" s="1">
        <v>13.6</v>
      </c>
      <c r="AD87" s="1">
        <v>8.4</v>
      </c>
      <c r="AE87" s="1">
        <v>7.6</v>
      </c>
      <c r="AF87" s="1">
        <v>9.1999999999999993</v>
      </c>
      <c r="AG87" s="1"/>
      <c r="AH87" s="1">
        <f t="shared" si="18"/>
        <v>4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200</v>
      </c>
      <c r="B88" s="1" t="s">
        <v>42</v>
      </c>
      <c r="C88" s="1">
        <v>23</v>
      </c>
      <c r="D88" s="1">
        <v>2</v>
      </c>
      <c r="E88" s="1">
        <v>20</v>
      </c>
      <c r="F88" s="1"/>
      <c r="G88" s="7">
        <v>7.0000000000000007E-2</v>
      </c>
      <c r="H88" s="1">
        <v>90</v>
      </c>
      <c r="I88" s="1"/>
      <c r="J88" s="1"/>
      <c r="K88" s="1">
        <v>30</v>
      </c>
      <c r="L88" s="1">
        <f t="shared" si="12"/>
        <v>-10</v>
      </c>
      <c r="M88" s="1"/>
      <c r="N88" s="1"/>
      <c r="O88" s="1"/>
      <c r="P88" s="1">
        <v>74.8</v>
      </c>
      <c r="Q88" s="20"/>
      <c r="R88" s="1">
        <f t="shared" si="13"/>
        <v>4</v>
      </c>
      <c r="S88" s="5"/>
      <c r="T88" s="5">
        <f t="shared" si="15"/>
        <v>0</v>
      </c>
      <c r="U88" s="1">
        <f t="shared" si="16"/>
        <v>18.7</v>
      </c>
      <c r="V88" s="1">
        <f t="shared" si="17"/>
        <v>18.7</v>
      </c>
      <c r="W88" s="1">
        <v>10.4</v>
      </c>
      <c r="X88" s="1">
        <v>9.8000000000000007</v>
      </c>
      <c r="Y88" s="1">
        <v>10</v>
      </c>
      <c r="Z88" s="1">
        <v>12.4</v>
      </c>
      <c r="AA88" s="1">
        <v>6.6</v>
      </c>
      <c r="AB88" s="1">
        <v>1.8</v>
      </c>
      <c r="AC88" s="1">
        <v>0</v>
      </c>
      <c r="AD88" s="1">
        <v>0</v>
      </c>
      <c r="AE88" s="1">
        <v>0</v>
      </c>
      <c r="AF88" s="1">
        <v>0</v>
      </c>
      <c r="AG88" s="1"/>
      <c r="AH88" s="1">
        <f t="shared" si="18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201</v>
      </c>
      <c r="B89" s="1" t="s">
        <v>42</v>
      </c>
      <c r="C89" s="1">
        <v>8</v>
      </c>
      <c r="D89" s="1">
        <v>146</v>
      </c>
      <c r="E89" s="1">
        <v>53</v>
      </c>
      <c r="F89" s="1">
        <v>93</v>
      </c>
      <c r="G89" s="7">
        <v>7.0000000000000007E-2</v>
      </c>
      <c r="H89" s="1">
        <v>90</v>
      </c>
      <c r="I89" s="1" t="s">
        <v>202</v>
      </c>
      <c r="J89" s="1"/>
      <c r="K89" s="1">
        <v>55</v>
      </c>
      <c r="L89" s="1">
        <f t="shared" si="12"/>
        <v>-2</v>
      </c>
      <c r="M89" s="1"/>
      <c r="N89" s="1"/>
      <c r="O89" s="1"/>
      <c r="P89" s="1">
        <v>0</v>
      </c>
      <c r="Q89" s="20"/>
      <c r="R89" s="1">
        <f t="shared" si="13"/>
        <v>10.6</v>
      </c>
      <c r="S89" s="5">
        <f t="shared" si="14"/>
        <v>39.5</v>
      </c>
      <c r="T89" s="5">
        <f t="shared" si="15"/>
        <v>39.5</v>
      </c>
      <c r="U89" s="1">
        <f t="shared" si="16"/>
        <v>12.5</v>
      </c>
      <c r="V89" s="1">
        <f t="shared" si="17"/>
        <v>8.7735849056603783</v>
      </c>
      <c r="W89" s="1">
        <v>8.4</v>
      </c>
      <c r="X89" s="1">
        <v>4.2</v>
      </c>
      <c r="Y89" s="1">
        <v>5</v>
      </c>
      <c r="Z89" s="1">
        <v>12.4</v>
      </c>
      <c r="AA89" s="1">
        <v>9</v>
      </c>
      <c r="AB89" s="1">
        <v>4.5999999999999996</v>
      </c>
      <c r="AC89" s="1">
        <v>7.2</v>
      </c>
      <c r="AD89" s="1">
        <v>6.8</v>
      </c>
      <c r="AE89" s="1">
        <v>7.4</v>
      </c>
      <c r="AF89" s="1">
        <v>7.6</v>
      </c>
      <c r="AG89" s="1"/>
      <c r="AH89" s="1">
        <f t="shared" si="18"/>
        <v>3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203</v>
      </c>
      <c r="B90" s="1" t="s">
        <v>42</v>
      </c>
      <c r="C90" s="1"/>
      <c r="D90" s="1">
        <v>236</v>
      </c>
      <c r="E90" s="1">
        <v>38</v>
      </c>
      <c r="F90" s="1">
        <v>185</v>
      </c>
      <c r="G90" s="7">
        <v>0.05</v>
      </c>
      <c r="H90" s="1">
        <v>90</v>
      </c>
      <c r="I90" s="1" t="s">
        <v>204</v>
      </c>
      <c r="J90" s="1"/>
      <c r="K90" s="1">
        <v>39</v>
      </c>
      <c r="L90" s="1">
        <f t="shared" si="12"/>
        <v>-1</v>
      </c>
      <c r="M90" s="1"/>
      <c r="N90" s="1"/>
      <c r="O90" s="1"/>
      <c r="P90" s="1">
        <v>0</v>
      </c>
      <c r="Q90" s="20"/>
      <c r="R90" s="1">
        <f t="shared" si="13"/>
        <v>7.6</v>
      </c>
      <c r="S90" s="5"/>
      <c r="T90" s="5">
        <f t="shared" si="15"/>
        <v>0</v>
      </c>
      <c r="U90" s="1">
        <f t="shared" si="16"/>
        <v>24.342105263157897</v>
      </c>
      <c r="V90" s="1">
        <f t="shared" si="17"/>
        <v>24.342105263157897</v>
      </c>
      <c r="W90" s="1">
        <v>9.1999999999999993</v>
      </c>
      <c r="X90" s="1">
        <v>8.8000000000000007</v>
      </c>
      <c r="Y90" s="1">
        <v>15.2</v>
      </c>
      <c r="Z90" s="1">
        <v>20.2</v>
      </c>
      <c r="AA90" s="1">
        <v>10</v>
      </c>
      <c r="AB90" s="1">
        <v>3.6</v>
      </c>
      <c r="AC90" s="1">
        <v>5.4</v>
      </c>
      <c r="AD90" s="1">
        <v>10.4</v>
      </c>
      <c r="AE90" s="1">
        <v>6</v>
      </c>
      <c r="AF90" s="1">
        <v>9.4</v>
      </c>
      <c r="AG90" s="1"/>
      <c r="AH90" s="1">
        <f t="shared" si="18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3" t="s">
        <v>205</v>
      </c>
      <c r="B91" s="13" t="s">
        <v>42</v>
      </c>
      <c r="C91" s="13">
        <v>1</v>
      </c>
      <c r="D91" s="13"/>
      <c r="E91" s="13">
        <v>-3</v>
      </c>
      <c r="F91" s="13"/>
      <c r="G91" s="14">
        <v>5.5E-2</v>
      </c>
      <c r="H91" s="13"/>
      <c r="I91" s="13" t="s">
        <v>206</v>
      </c>
      <c r="J91" s="13"/>
      <c r="K91" s="13">
        <v>34</v>
      </c>
      <c r="L91" s="13">
        <f t="shared" si="12"/>
        <v>-37</v>
      </c>
      <c r="M91" s="13"/>
      <c r="N91" s="13"/>
      <c r="O91" s="13"/>
      <c r="P91" s="13">
        <v>0</v>
      </c>
      <c r="Q91" s="22"/>
      <c r="R91" s="13">
        <f t="shared" si="13"/>
        <v>-0.6</v>
      </c>
      <c r="S91" s="15"/>
      <c r="T91" s="5">
        <f t="shared" si="15"/>
        <v>0</v>
      </c>
      <c r="U91" s="1">
        <f t="shared" si="16"/>
        <v>0</v>
      </c>
      <c r="V91" s="1">
        <f t="shared" si="17"/>
        <v>0</v>
      </c>
      <c r="W91" s="13">
        <v>-0.4</v>
      </c>
      <c r="X91" s="13">
        <v>-0.4</v>
      </c>
      <c r="Y91" s="13">
        <v>-1</v>
      </c>
      <c r="Z91" s="13">
        <v>2</v>
      </c>
      <c r="AA91" s="13">
        <v>6.4</v>
      </c>
      <c r="AB91" s="13">
        <v>11</v>
      </c>
      <c r="AC91" s="13">
        <v>12.8</v>
      </c>
      <c r="AD91" s="13">
        <v>7</v>
      </c>
      <c r="AE91" s="13">
        <v>11</v>
      </c>
      <c r="AF91" s="13">
        <v>11.8</v>
      </c>
      <c r="AG91" s="13" t="s">
        <v>207</v>
      </c>
      <c r="AH91" s="1">
        <f t="shared" si="18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3" t="s">
        <v>208</v>
      </c>
      <c r="B92" s="13" t="s">
        <v>42</v>
      </c>
      <c r="C92" s="13">
        <v>23</v>
      </c>
      <c r="D92" s="13">
        <v>2</v>
      </c>
      <c r="E92" s="13">
        <v>14</v>
      </c>
      <c r="F92" s="13">
        <v>1</v>
      </c>
      <c r="G92" s="14">
        <v>5.5E-2</v>
      </c>
      <c r="H92" s="13"/>
      <c r="I92" s="13" t="s">
        <v>209</v>
      </c>
      <c r="J92" s="13"/>
      <c r="K92" s="13">
        <v>28</v>
      </c>
      <c r="L92" s="13">
        <f t="shared" si="12"/>
        <v>-14</v>
      </c>
      <c r="M92" s="13"/>
      <c r="N92" s="13"/>
      <c r="O92" s="13"/>
      <c r="P92" s="13">
        <v>0</v>
      </c>
      <c r="Q92" s="22"/>
      <c r="R92" s="13">
        <f t="shared" si="13"/>
        <v>2.8</v>
      </c>
      <c r="S92" s="15"/>
      <c r="T92" s="5">
        <f t="shared" si="15"/>
        <v>0</v>
      </c>
      <c r="U92" s="1">
        <f t="shared" si="16"/>
        <v>0.35714285714285715</v>
      </c>
      <c r="V92" s="1">
        <f t="shared" si="17"/>
        <v>0.35714285714285715</v>
      </c>
      <c r="W92" s="13">
        <v>11</v>
      </c>
      <c r="X92" s="13">
        <v>10</v>
      </c>
      <c r="Y92" s="13">
        <v>7.8</v>
      </c>
      <c r="Z92" s="13">
        <v>12.6</v>
      </c>
      <c r="AA92" s="13">
        <v>9.4</v>
      </c>
      <c r="AB92" s="13">
        <v>9.4</v>
      </c>
      <c r="AC92" s="13">
        <v>7.8</v>
      </c>
      <c r="AD92" s="13">
        <v>0.8</v>
      </c>
      <c r="AE92" s="13">
        <v>11.2</v>
      </c>
      <c r="AF92" s="13">
        <v>7.4</v>
      </c>
      <c r="AG92" s="13" t="s">
        <v>207</v>
      </c>
      <c r="AH92" s="1">
        <f t="shared" si="18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9" t="s">
        <v>210</v>
      </c>
      <c r="B93" s="9" t="s">
        <v>35</v>
      </c>
      <c r="C93" s="9">
        <v>113.715</v>
      </c>
      <c r="D93" s="9"/>
      <c r="E93" s="9">
        <v>14.404999999999999</v>
      </c>
      <c r="F93" s="9">
        <v>97.721999999999994</v>
      </c>
      <c r="G93" s="10">
        <v>0</v>
      </c>
      <c r="H93" s="9"/>
      <c r="I93" s="9" t="s">
        <v>211</v>
      </c>
      <c r="J93" s="9"/>
      <c r="K93" s="9">
        <v>12</v>
      </c>
      <c r="L93" s="9">
        <f t="shared" si="12"/>
        <v>2.4049999999999994</v>
      </c>
      <c r="M93" s="9"/>
      <c r="N93" s="9"/>
      <c r="O93" s="9"/>
      <c r="P93" s="9">
        <v>0</v>
      </c>
      <c r="Q93" s="23"/>
      <c r="R93" s="9">
        <f t="shared" si="13"/>
        <v>2.8809999999999998</v>
      </c>
      <c r="S93" s="11"/>
      <c r="T93" s="5">
        <f t="shared" si="15"/>
        <v>0</v>
      </c>
      <c r="U93" s="1">
        <f t="shared" si="16"/>
        <v>33.919472405414787</v>
      </c>
      <c r="V93" s="1">
        <f t="shared" si="17"/>
        <v>33.919472405414787</v>
      </c>
      <c r="W93" s="9">
        <v>7.3634000000000004</v>
      </c>
      <c r="X93" s="9">
        <v>8.003400000000001</v>
      </c>
      <c r="Y93" s="9">
        <v>10.226000000000001</v>
      </c>
      <c r="Z93" s="9">
        <v>11.8124</v>
      </c>
      <c r="AA93" s="9">
        <v>7.6684000000000001</v>
      </c>
      <c r="AB93" s="9">
        <v>0.9608000000000001</v>
      </c>
      <c r="AC93" s="9">
        <v>0</v>
      </c>
      <c r="AD93" s="9">
        <v>0</v>
      </c>
      <c r="AE93" s="9">
        <v>0</v>
      </c>
      <c r="AF93" s="9">
        <v>0</v>
      </c>
      <c r="AG93" s="12" t="s">
        <v>212</v>
      </c>
      <c r="AH93" s="1">
        <f t="shared" si="18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213</v>
      </c>
      <c r="B94" s="1" t="s">
        <v>42</v>
      </c>
      <c r="C94" s="1">
        <v>70</v>
      </c>
      <c r="D94" s="1">
        <v>82</v>
      </c>
      <c r="E94" s="1">
        <v>94</v>
      </c>
      <c r="F94" s="1">
        <v>48</v>
      </c>
      <c r="G94" s="7">
        <v>0.08</v>
      </c>
      <c r="H94" s="1">
        <v>45</v>
      </c>
      <c r="I94" s="1" t="s">
        <v>214</v>
      </c>
      <c r="J94" s="1"/>
      <c r="K94" s="1">
        <v>90</v>
      </c>
      <c r="L94" s="1">
        <f t="shared" si="12"/>
        <v>4</v>
      </c>
      <c r="M94" s="1"/>
      <c r="N94" s="1"/>
      <c r="O94" s="1"/>
      <c r="P94" s="1">
        <v>97.199999999999989</v>
      </c>
      <c r="Q94" s="20"/>
      <c r="R94" s="1">
        <f t="shared" si="13"/>
        <v>18.8</v>
      </c>
      <c r="S94" s="5">
        <f t="shared" ref="S94:S108" si="20">12.5*R94-P94-O94-F94</f>
        <v>89.800000000000011</v>
      </c>
      <c r="T94" s="5">
        <f t="shared" si="15"/>
        <v>89.800000000000011</v>
      </c>
      <c r="U94" s="1">
        <f t="shared" si="16"/>
        <v>12.5</v>
      </c>
      <c r="V94" s="1">
        <f t="shared" si="17"/>
        <v>7.7234042553191484</v>
      </c>
      <c r="W94" s="1">
        <v>17.2</v>
      </c>
      <c r="X94" s="1">
        <v>7.4</v>
      </c>
      <c r="Y94" s="1">
        <v>1</v>
      </c>
      <c r="Z94" s="1">
        <v>8.8000000000000007</v>
      </c>
      <c r="AA94" s="1">
        <v>14.2</v>
      </c>
      <c r="AB94" s="1">
        <v>14.6</v>
      </c>
      <c r="AC94" s="1">
        <v>11.6</v>
      </c>
      <c r="AD94" s="1">
        <v>6.2</v>
      </c>
      <c r="AE94" s="1">
        <v>13.2</v>
      </c>
      <c r="AF94" s="1">
        <v>10.8</v>
      </c>
      <c r="AG94" s="1"/>
      <c r="AH94" s="1">
        <f t="shared" si="18"/>
        <v>7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215</v>
      </c>
      <c r="B95" s="1" t="s">
        <v>42</v>
      </c>
      <c r="C95" s="1">
        <v>73</v>
      </c>
      <c r="D95" s="1">
        <v>86</v>
      </c>
      <c r="E95" s="1">
        <v>111</v>
      </c>
      <c r="F95" s="1">
        <v>36</v>
      </c>
      <c r="G95" s="7">
        <v>0.08</v>
      </c>
      <c r="H95" s="1">
        <v>45</v>
      </c>
      <c r="I95" s="1" t="s">
        <v>216</v>
      </c>
      <c r="J95" s="1"/>
      <c r="K95" s="1">
        <v>111</v>
      </c>
      <c r="L95" s="1">
        <f t="shared" si="12"/>
        <v>0</v>
      </c>
      <c r="M95" s="1"/>
      <c r="N95" s="1"/>
      <c r="O95" s="1">
        <v>85.600000000000023</v>
      </c>
      <c r="P95" s="1">
        <v>58.399999999999977</v>
      </c>
      <c r="Q95" s="20"/>
      <c r="R95" s="1">
        <f t="shared" si="13"/>
        <v>22.2</v>
      </c>
      <c r="S95" s="5">
        <f t="shared" si="20"/>
        <v>97.5</v>
      </c>
      <c r="T95" s="5">
        <f t="shared" si="15"/>
        <v>97.5</v>
      </c>
      <c r="U95" s="1">
        <f t="shared" si="16"/>
        <v>12.5</v>
      </c>
      <c r="V95" s="1">
        <f t="shared" si="17"/>
        <v>8.1081081081081088</v>
      </c>
      <c r="W95" s="1">
        <v>22</v>
      </c>
      <c r="X95" s="1">
        <v>19</v>
      </c>
      <c r="Y95" s="1">
        <v>16.2</v>
      </c>
      <c r="Z95" s="1">
        <v>17.2</v>
      </c>
      <c r="AA95" s="1">
        <v>13.8</v>
      </c>
      <c r="AB95" s="1">
        <v>19</v>
      </c>
      <c r="AC95" s="1">
        <v>20.8</v>
      </c>
      <c r="AD95" s="1">
        <v>6.4</v>
      </c>
      <c r="AE95" s="1">
        <v>16</v>
      </c>
      <c r="AF95" s="1">
        <v>10.6</v>
      </c>
      <c r="AG95" s="1"/>
      <c r="AH95" s="1">
        <f t="shared" si="18"/>
        <v>8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217</v>
      </c>
      <c r="B96" s="1" t="s">
        <v>35</v>
      </c>
      <c r="C96" s="1">
        <v>142.613</v>
      </c>
      <c r="D96" s="1">
        <v>377.31200000000001</v>
      </c>
      <c r="E96" s="1">
        <v>202.15</v>
      </c>
      <c r="F96" s="1">
        <v>283.94400000000002</v>
      </c>
      <c r="G96" s="7">
        <v>1</v>
      </c>
      <c r="H96" s="1">
        <v>40</v>
      </c>
      <c r="I96" s="1" t="s">
        <v>218</v>
      </c>
      <c r="J96" s="1"/>
      <c r="K96" s="1">
        <v>200.88</v>
      </c>
      <c r="L96" s="1">
        <f t="shared" si="12"/>
        <v>1.2700000000000102</v>
      </c>
      <c r="M96" s="1"/>
      <c r="N96" s="1"/>
      <c r="O96" s="1">
        <v>25.44159999999988</v>
      </c>
      <c r="P96" s="1">
        <v>91.716800000000092</v>
      </c>
      <c r="Q96" s="20"/>
      <c r="R96" s="1">
        <f t="shared" si="13"/>
        <v>40.43</v>
      </c>
      <c r="S96" s="5">
        <f t="shared" si="20"/>
        <v>104.27260000000001</v>
      </c>
      <c r="T96" s="5">
        <f>S96+$T$1*R96</f>
        <v>47.670600000000015</v>
      </c>
      <c r="U96" s="1">
        <f t="shared" si="16"/>
        <v>11.100000000000001</v>
      </c>
      <c r="V96" s="1">
        <f t="shared" si="17"/>
        <v>9.9209102151867423</v>
      </c>
      <c r="W96" s="1">
        <v>48.8384</v>
      </c>
      <c r="X96" s="1">
        <v>44.055</v>
      </c>
      <c r="Y96" s="1">
        <v>44.2652</v>
      </c>
      <c r="Z96" s="1">
        <v>54.242199999999997</v>
      </c>
      <c r="AA96" s="1">
        <v>42.4114</v>
      </c>
      <c r="AB96" s="1">
        <v>28.562200000000001</v>
      </c>
      <c r="AC96" s="1">
        <v>39.197200000000002</v>
      </c>
      <c r="AD96" s="1">
        <v>41.034799999999997</v>
      </c>
      <c r="AE96" s="1">
        <v>31.838200000000001</v>
      </c>
      <c r="AF96" s="1">
        <v>26.247199999999999</v>
      </c>
      <c r="AG96" s="1"/>
      <c r="AH96" s="1">
        <f t="shared" si="18"/>
        <v>48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219</v>
      </c>
      <c r="B97" s="1" t="s">
        <v>35</v>
      </c>
      <c r="C97" s="1">
        <v>211.828</v>
      </c>
      <c r="D97" s="1">
        <v>312.43799999999999</v>
      </c>
      <c r="E97" s="1">
        <v>224.071</v>
      </c>
      <c r="F97" s="1">
        <v>270.59899999999999</v>
      </c>
      <c r="G97" s="7">
        <v>1</v>
      </c>
      <c r="H97" s="1">
        <v>40</v>
      </c>
      <c r="I97" s="1" t="s">
        <v>220</v>
      </c>
      <c r="J97" s="1"/>
      <c r="K97" s="1">
        <v>212.42</v>
      </c>
      <c r="L97" s="1">
        <f t="shared" si="12"/>
        <v>11.65100000000001</v>
      </c>
      <c r="M97" s="1"/>
      <c r="N97" s="1"/>
      <c r="O97" s="1">
        <v>60.93685552000008</v>
      </c>
      <c r="P97" s="1">
        <v>164.59374447999991</v>
      </c>
      <c r="Q97" s="20"/>
      <c r="R97" s="1">
        <f t="shared" si="13"/>
        <v>44.8142</v>
      </c>
      <c r="S97" s="5">
        <f t="shared" si="20"/>
        <v>64.04789999999997</v>
      </c>
      <c r="T97" s="5">
        <f t="shared" si="15"/>
        <v>64.04789999999997</v>
      </c>
      <c r="U97" s="1">
        <f t="shared" si="16"/>
        <v>12.5</v>
      </c>
      <c r="V97" s="1">
        <f t="shared" si="17"/>
        <v>11.070812376434255</v>
      </c>
      <c r="W97" s="1">
        <v>56.320599999999999</v>
      </c>
      <c r="X97" s="1">
        <v>47.069200000000002</v>
      </c>
      <c r="Y97" s="1">
        <v>42.101199999999999</v>
      </c>
      <c r="Z97" s="1">
        <v>53.484000000000002</v>
      </c>
      <c r="AA97" s="1">
        <v>58.659000000000013</v>
      </c>
      <c r="AB97" s="1">
        <v>62.764200000000002</v>
      </c>
      <c r="AC97" s="1">
        <v>61.113199999999992</v>
      </c>
      <c r="AD97" s="1">
        <v>41.221800000000002</v>
      </c>
      <c r="AE97" s="1">
        <v>20.991399999999999</v>
      </c>
      <c r="AF97" s="1">
        <v>18.970800000000001</v>
      </c>
      <c r="AG97" s="1"/>
      <c r="AH97" s="1">
        <f t="shared" si="18"/>
        <v>64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221</v>
      </c>
      <c r="B98" s="1" t="s">
        <v>35</v>
      </c>
      <c r="C98" s="1">
        <v>83.516999999999996</v>
      </c>
      <c r="D98" s="1">
        <v>397.00799999999998</v>
      </c>
      <c r="E98" s="1">
        <v>304.726</v>
      </c>
      <c r="F98" s="1">
        <v>117.66500000000001</v>
      </c>
      <c r="G98" s="7">
        <v>1</v>
      </c>
      <c r="H98" s="1">
        <v>40</v>
      </c>
      <c r="I98" s="1" t="s">
        <v>222</v>
      </c>
      <c r="J98" s="1"/>
      <c r="K98" s="1">
        <v>305.54000000000002</v>
      </c>
      <c r="L98" s="1">
        <f t="shared" si="12"/>
        <v>-0.81400000000002137</v>
      </c>
      <c r="M98" s="1"/>
      <c r="N98" s="1"/>
      <c r="O98" s="1">
        <v>308.42167999999998</v>
      </c>
      <c r="P98" s="1">
        <v>163.24152000000001</v>
      </c>
      <c r="Q98" s="20"/>
      <c r="R98" s="1">
        <f t="shared" si="13"/>
        <v>60.9452</v>
      </c>
      <c r="S98" s="5">
        <f t="shared" si="20"/>
        <v>172.48680000000002</v>
      </c>
      <c r="T98" s="5">
        <f t="shared" ref="T98:T99" si="21">S98+$T$1*R98</f>
        <v>87.16352000000002</v>
      </c>
      <c r="U98" s="1">
        <f t="shared" si="16"/>
        <v>11.100000000000001</v>
      </c>
      <c r="V98" s="1">
        <f t="shared" si="17"/>
        <v>9.6698050051521705</v>
      </c>
      <c r="W98" s="1">
        <v>70.5732</v>
      </c>
      <c r="X98" s="1">
        <v>62.651200000000003</v>
      </c>
      <c r="Y98" s="1">
        <v>44.876600000000003</v>
      </c>
      <c r="Z98" s="1">
        <v>53.498600000000003</v>
      </c>
      <c r="AA98" s="1">
        <v>56.879600000000003</v>
      </c>
      <c r="AB98" s="1">
        <v>47.910400000000003</v>
      </c>
      <c r="AC98" s="1">
        <v>60.2986</v>
      </c>
      <c r="AD98" s="1">
        <v>44.475000000000001</v>
      </c>
      <c r="AE98" s="1">
        <v>43.321599999999997</v>
      </c>
      <c r="AF98" s="1">
        <v>38.055599999999998</v>
      </c>
      <c r="AG98" s="1"/>
      <c r="AH98" s="1">
        <f t="shared" si="18"/>
        <v>87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223</v>
      </c>
      <c r="B99" s="1" t="s">
        <v>42</v>
      </c>
      <c r="C99" s="1">
        <v>128</v>
      </c>
      <c r="D99" s="1">
        <v>110</v>
      </c>
      <c r="E99" s="1">
        <v>205</v>
      </c>
      <c r="F99" s="1">
        <v>4</v>
      </c>
      <c r="G99" s="7">
        <v>0.28000000000000003</v>
      </c>
      <c r="H99" s="1">
        <v>40</v>
      </c>
      <c r="I99" s="1" t="s">
        <v>224</v>
      </c>
      <c r="J99" s="1"/>
      <c r="K99" s="1">
        <v>209</v>
      </c>
      <c r="L99" s="1">
        <f t="shared" si="12"/>
        <v>-4</v>
      </c>
      <c r="M99" s="1"/>
      <c r="N99" s="1"/>
      <c r="O99" s="1"/>
      <c r="P99" s="1">
        <v>287</v>
      </c>
      <c r="Q99" s="20"/>
      <c r="R99" s="1">
        <f t="shared" si="13"/>
        <v>41</v>
      </c>
      <c r="S99" s="5">
        <f t="shared" si="20"/>
        <v>221.5</v>
      </c>
      <c r="T99" s="5">
        <f t="shared" si="21"/>
        <v>164.1</v>
      </c>
      <c r="U99" s="1">
        <f t="shared" si="16"/>
        <v>11.100000000000001</v>
      </c>
      <c r="V99" s="1">
        <f t="shared" si="17"/>
        <v>7.0975609756097562</v>
      </c>
      <c r="W99" s="1">
        <v>38.799999999999997</v>
      </c>
      <c r="X99" s="1">
        <v>14.8</v>
      </c>
      <c r="Y99" s="1">
        <v>-2.6</v>
      </c>
      <c r="Z99" s="1">
        <v>-1.8</v>
      </c>
      <c r="AA99" s="1">
        <v>10.4</v>
      </c>
      <c r="AB99" s="1">
        <v>23</v>
      </c>
      <c r="AC99" s="1">
        <v>12</v>
      </c>
      <c r="AD99" s="1">
        <v>46.2</v>
      </c>
      <c r="AE99" s="1">
        <v>35.4</v>
      </c>
      <c r="AF99" s="1">
        <v>47.4</v>
      </c>
      <c r="AG99" s="1"/>
      <c r="AH99" s="1">
        <f t="shared" si="18"/>
        <v>46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225</v>
      </c>
      <c r="B100" s="1" t="s">
        <v>42</v>
      </c>
      <c r="C100" s="1">
        <v>2</v>
      </c>
      <c r="D100" s="1">
        <v>480</v>
      </c>
      <c r="E100" s="1">
        <v>125</v>
      </c>
      <c r="F100" s="1">
        <v>327</v>
      </c>
      <c r="G100" s="7">
        <v>0.28000000000000003</v>
      </c>
      <c r="H100" s="1">
        <v>40</v>
      </c>
      <c r="I100" s="1"/>
      <c r="J100" s="1"/>
      <c r="K100" s="1">
        <v>128</v>
      </c>
      <c r="L100" s="1">
        <f t="shared" si="12"/>
        <v>-3</v>
      </c>
      <c r="M100" s="1"/>
      <c r="N100" s="1"/>
      <c r="O100" s="1"/>
      <c r="P100" s="1">
        <v>0</v>
      </c>
      <c r="Q100" s="20"/>
      <c r="R100" s="1">
        <f t="shared" si="13"/>
        <v>25</v>
      </c>
      <c r="S100" s="5"/>
      <c r="T100" s="5">
        <f t="shared" si="15"/>
        <v>0</v>
      </c>
      <c r="U100" s="1">
        <f t="shared" si="16"/>
        <v>13.08</v>
      </c>
      <c r="V100" s="1">
        <f t="shared" si="17"/>
        <v>13.08</v>
      </c>
      <c r="W100" s="1">
        <v>12.8</v>
      </c>
      <c r="X100" s="1">
        <v>8.6</v>
      </c>
      <c r="Y100" s="1">
        <v>24</v>
      </c>
      <c r="Z100" s="1">
        <v>42.6</v>
      </c>
      <c r="AA100" s="1">
        <v>28.8</v>
      </c>
      <c r="AB100" s="1">
        <v>4.2</v>
      </c>
      <c r="AC100" s="1">
        <v>0</v>
      </c>
      <c r="AD100" s="1">
        <v>0</v>
      </c>
      <c r="AE100" s="1">
        <v>0</v>
      </c>
      <c r="AF100" s="1">
        <v>0</v>
      </c>
      <c r="AG100" s="1"/>
      <c r="AH100" s="1">
        <f t="shared" si="18"/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226</v>
      </c>
      <c r="B101" s="1" t="s">
        <v>42</v>
      </c>
      <c r="C101" s="1">
        <v>111</v>
      </c>
      <c r="D101" s="1">
        <v>315</v>
      </c>
      <c r="E101" s="1">
        <v>159</v>
      </c>
      <c r="F101" s="1">
        <v>224</v>
      </c>
      <c r="G101" s="7">
        <v>0.28000000000000003</v>
      </c>
      <c r="H101" s="1">
        <v>40</v>
      </c>
      <c r="I101" s="1" t="s">
        <v>227</v>
      </c>
      <c r="J101" s="1"/>
      <c r="K101" s="1">
        <v>164</v>
      </c>
      <c r="L101" s="1">
        <f t="shared" si="12"/>
        <v>-5</v>
      </c>
      <c r="M101" s="1"/>
      <c r="N101" s="1"/>
      <c r="O101" s="1"/>
      <c r="P101" s="1">
        <v>103</v>
      </c>
      <c r="Q101" s="20"/>
      <c r="R101" s="1">
        <f t="shared" si="13"/>
        <v>31.8</v>
      </c>
      <c r="S101" s="5">
        <f t="shared" si="20"/>
        <v>70.5</v>
      </c>
      <c r="T101" s="5">
        <f t="shared" si="15"/>
        <v>70.5</v>
      </c>
      <c r="U101" s="1">
        <f t="shared" si="16"/>
        <v>12.5</v>
      </c>
      <c r="V101" s="1">
        <f t="shared" si="17"/>
        <v>10.283018867924529</v>
      </c>
      <c r="W101" s="1">
        <v>39</v>
      </c>
      <c r="X101" s="1">
        <v>32.200000000000003</v>
      </c>
      <c r="Y101" s="1">
        <v>27.6</v>
      </c>
      <c r="Z101" s="1">
        <v>42.8</v>
      </c>
      <c r="AA101" s="1">
        <v>38.6</v>
      </c>
      <c r="AB101" s="1">
        <v>32.6</v>
      </c>
      <c r="AC101" s="1">
        <v>34.200000000000003</v>
      </c>
      <c r="AD101" s="1">
        <v>36.799999999999997</v>
      </c>
      <c r="AE101" s="1">
        <v>29</v>
      </c>
      <c r="AF101" s="1">
        <v>35.799999999999997</v>
      </c>
      <c r="AG101" s="1"/>
      <c r="AH101" s="1">
        <f t="shared" si="18"/>
        <v>20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228</v>
      </c>
      <c r="B102" s="1" t="s">
        <v>35</v>
      </c>
      <c r="C102" s="1">
        <v>5.4960000000000004</v>
      </c>
      <c r="D102" s="1">
        <v>315.02300000000002</v>
      </c>
      <c r="E102" s="1">
        <v>78.653999999999996</v>
      </c>
      <c r="F102" s="1">
        <v>215.364</v>
      </c>
      <c r="G102" s="7">
        <v>1</v>
      </c>
      <c r="H102" s="1">
        <v>60</v>
      </c>
      <c r="I102" s="1" t="s">
        <v>229</v>
      </c>
      <c r="J102" s="1"/>
      <c r="K102" s="1">
        <v>80</v>
      </c>
      <c r="L102" s="1">
        <f t="shared" ref="L102:L112" si="22">E102-K102</f>
        <v>-1.3460000000000036</v>
      </c>
      <c r="M102" s="1"/>
      <c r="N102" s="1"/>
      <c r="O102" s="1"/>
      <c r="P102" s="1">
        <v>0</v>
      </c>
      <c r="Q102" s="20"/>
      <c r="R102" s="1">
        <f t="shared" si="13"/>
        <v>15.730799999999999</v>
      </c>
      <c r="S102" s="5"/>
      <c r="T102" s="5">
        <f t="shared" si="15"/>
        <v>0</v>
      </c>
      <c r="U102" s="1">
        <f t="shared" si="16"/>
        <v>13.690594248226411</v>
      </c>
      <c r="V102" s="1">
        <f t="shared" si="17"/>
        <v>13.690594248226411</v>
      </c>
      <c r="W102" s="1">
        <v>19.185199999999998</v>
      </c>
      <c r="X102" s="1">
        <v>9.5001999999999995</v>
      </c>
      <c r="Y102" s="1">
        <v>4.1302000000000003</v>
      </c>
      <c r="Z102" s="1">
        <v>29.898199999999999</v>
      </c>
      <c r="AA102" s="1">
        <v>29.849799999999998</v>
      </c>
      <c r="AB102" s="1">
        <v>3.4443999999999999</v>
      </c>
      <c r="AC102" s="1">
        <v>3.4984000000000002</v>
      </c>
      <c r="AD102" s="1">
        <v>23.016400000000001</v>
      </c>
      <c r="AE102" s="1">
        <v>18.604199999999999</v>
      </c>
      <c r="AF102" s="1">
        <v>18.595199999999998</v>
      </c>
      <c r="AG102" s="1"/>
      <c r="AH102" s="1">
        <f t="shared" si="18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230</v>
      </c>
      <c r="B103" s="1" t="s">
        <v>35</v>
      </c>
      <c r="C103" s="1">
        <v>160.16499999999999</v>
      </c>
      <c r="D103" s="1">
        <v>17.29</v>
      </c>
      <c r="E103" s="1">
        <v>70.866</v>
      </c>
      <c r="F103" s="1">
        <v>77.793000000000006</v>
      </c>
      <c r="G103" s="7">
        <v>1</v>
      </c>
      <c r="H103" s="1">
        <v>50</v>
      </c>
      <c r="I103" s="1" t="s">
        <v>231</v>
      </c>
      <c r="J103" s="1"/>
      <c r="K103" s="1">
        <v>87.35</v>
      </c>
      <c r="L103" s="1">
        <f t="shared" si="22"/>
        <v>-16.483999999999995</v>
      </c>
      <c r="M103" s="1"/>
      <c r="N103" s="1"/>
      <c r="O103" s="1">
        <v>7.0870000000000184</v>
      </c>
      <c r="P103" s="1">
        <v>47.145999999999972</v>
      </c>
      <c r="Q103" s="20"/>
      <c r="R103" s="1">
        <f t="shared" si="13"/>
        <v>14.1732</v>
      </c>
      <c r="S103" s="5">
        <f t="shared" si="20"/>
        <v>45.138999999999982</v>
      </c>
      <c r="T103" s="5">
        <f t="shared" si="15"/>
        <v>45.138999999999982</v>
      </c>
      <c r="U103" s="1">
        <f t="shared" si="16"/>
        <v>12.5</v>
      </c>
      <c r="V103" s="1">
        <f t="shared" si="17"/>
        <v>9.3151864081505948</v>
      </c>
      <c r="W103" s="1">
        <v>15.641999999999999</v>
      </c>
      <c r="X103" s="1">
        <v>12.287000000000001</v>
      </c>
      <c r="Y103" s="1">
        <v>4.1159999999999997</v>
      </c>
      <c r="Z103" s="1">
        <v>7.7904</v>
      </c>
      <c r="AA103" s="1">
        <v>13.495799999999999</v>
      </c>
      <c r="AB103" s="1">
        <v>18.490400000000001</v>
      </c>
      <c r="AC103" s="1">
        <v>21.981000000000002</v>
      </c>
      <c r="AD103" s="1">
        <v>8.9923999999999999</v>
      </c>
      <c r="AE103" s="1">
        <v>14.0106</v>
      </c>
      <c r="AF103" s="1">
        <v>17.496600000000001</v>
      </c>
      <c r="AG103" s="1"/>
      <c r="AH103" s="1">
        <f t="shared" si="18"/>
        <v>45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232</v>
      </c>
      <c r="B104" s="1" t="s">
        <v>35</v>
      </c>
      <c r="C104" s="1">
        <v>108.14</v>
      </c>
      <c r="D104" s="1">
        <v>1.3959999999999999</v>
      </c>
      <c r="E104" s="1">
        <v>84.99</v>
      </c>
      <c r="F104" s="1">
        <v>4.3620000000000001</v>
      </c>
      <c r="G104" s="7">
        <v>1</v>
      </c>
      <c r="H104" s="1">
        <v>60</v>
      </c>
      <c r="I104" s="1"/>
      <c r="J104" s="1"/>
      <c r="K104" s="1">
        <v>74.7</v>
      </c>
      <c r="L104" s="1">
        <f t="shared" si="22"/>
        <v>10.289999999999992</v>
      </c>
      <c r="M104" s="1"/>
      <c r="N104" s="1"/>
      <c r="O104" s="1">
        <v>15.557999999999989</v>
      </c>
      <c r="P104" s="1">
        <v>151.18600000000001</v>
      </c>
      <c r="Q104" s="20"/>
      <c r="R104" s="1">
        <f t="shared" si="13"/>
        <v>16.997999999999998</v>
      </c>
      <c r="S104" s="5">
        <f t="shared" si="20"/>
        <v>41.368999999999964</v>
      </c>
      <c r="T104" s="5">
        <f t="shared" si="15"/>
        <v>41.368999999999964</v>
      </c>
      <c r="U104" s="1">
        <f t="shared" si="16"/>
        <v>12.5</v>
      </c>
      <c r="V104" s="1">
        <f t="shared" si="17"/>
        <v>10.06624308742205</v>
      </c>
      <c r="W104" s="1">
        <v>21.1784</v>
      </c>
      <c r="X104" s="1">
        <v>9.8439999999999994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12.7134</v>
      </c>
      <c r="AE104" s="1">
        <v>23.990600000000001</v>
      </c>
      <c r="AF104" s="1">
        <v>11.8384</v>
      </c>
      <c r="AG104" s="1"/>
      <c r="AH104" s="1">
        <f t="shared" si="18"/>
        <v>41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233</v>
      </c>
      <c r="B105" s="1" t="s">
        <v>35</v>
      </c>
      <c r="C105" s="1">
        <v>238</v>
      </c>
      <c r="D105" s="1">
        <v>125.02800000000001</v>
      </c>
      <c r="E105" s="1">
        <v>152.70699999999999</v>
      </c>
      <c r="F105" s="1">
        <v>177.989</v>
      </c>
      <c r="G105" s="7">
        <v>1</v>
      </c>
      <c r="H105" s="1">
        <v>60</v>
      </c>
      <c r="I105" s="1" t="s">
        <v>234</v>
      </c>
      <c r="J105" s="1"/>
      <c r="K105" s="1">
        <v>140.1</v>
      </c>
      <c r="L105" s="1">
        <f t="shared" si="22"/>
        <v>12.606999999999999</v>
      </c>
      <c r="M105" s="1"/>
      <c r="N105" s="1"/>
      <c r="O105" s="1">
        <v>101.50279999999999</v>
      </c>
      <c r="P105" s="1">
        <v>53.68960000000007</v>
      </c>
      <c r="Q105" s="20"/>
      <c r="R105" s="1">
        <f t="shared" si="13"/>
        <v>30.541399999999999</v>
      </c>
      <c r="S105" s="5">
        <f t="shared" si="20"/>
        <v>48.586099999999902</v>
      </c>
      <c r="T105" s="5">
        <f t="shared" si="15"/>
        <v>48.586099999999902</v>
      </c>
      <c r="U105" s="1">
        <f t="shared" si="16"/>
        <v>12.499999999999998</v>
      </c>
      <c r="V105" s="1">
        <f t="shared" si="17"/>
        <v>10.909172467535871</v>
      </c>
      <c r="W105" s="1">
        <v>38.330199999999998</v>
      </c>
      <c r="X105" s="1">
        <v>36.979799999999997</v>
      </c>
      <c r="Y105" s="1">
        <v>37.952800000000003</v>
      </c>
      <c r="Z105" s="1">
        <v>20.715</v>
      </c>
      <c r="AA105" s="1">
        <v>10.0794</v>
      </c>
      <c r="AB105" s="1">
        <v>31.320399999999999</v>
      </c>
      <c r="AC105" s="1">
        <v>42.749200000000002</v>
      </c>
      <c r="AD105" s="1">
        <v>29.668399999999998</v>
      </c>
      <c r="AE105" s="1">
        <v>23.665400000000002</v>
      </c>
      <c r="AF105" s="1">
        <v>8.9771999999999998</v>
      </c>
      <c r="AG105" s="1"/>
      <c r="AH105" s="1">
        <f t="shared" si="18"/>
        <v>49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235</v>
      </c>
      <c r="B106" s="1" t="s">
        <v>35</v>
      </c>
      <c r="C106" s="1">
        <v>16.259</v>
      </c>
      <c r="D106" s="1">
        <v>156.167</v>
      </c>
      <c r="E106" s="1">
        <v>47.558999999999997</v>
      </c>
      <c r="F106" s="1">
        <v>95.700999999999993</v>
      </c>
      <c r="G106" s="7">
        <v>1</v>
      </c>
      <c r="H106" s="1">
        <v>60</v>
      </c>
      <c r="I106" s="1" t="s">
        <v>236</v>
      </c>
      <c r="J106" s="1"/>
      <c r="K106" s="1">
        <v>61.912999999999997</v>
      </c>
      <c r="L106" s="1">
        <f t="shared" si="22"/>
        <v>-14.353999999999999</v>
      </c>
      <c r="M106" s="1"/>
      <c r="N106" s="1"/>
      <c r="O106" s="1"/>
      <c r="P106" s="1">
        <v>0</v>
      </c>
      <c r="Q106" s="20"/>
      <c r="R106" s="1">
        <f t="shared" si="13"/>
        <v>9.5117999999999991</v>
      </c>
      <c r="S106" s="5">
        <f t="shared" si="20"/>
        <v>23.1965</v>
      </c>
      <c r="T106" s="5">
        <f t="shared" si="15"/>
        <v>23.1965</v>
      </c>
      <c r="U106" s="1">
        <f t="shared" si="16"/>
        <v>12.5</v>
      </c>
      <c r="V106" s="1">
        <f t="shared" si="17"/>
        <v>10.061292289577157</v>
      </c>
      <c r="W106" s="1">
        <v>9.5025999999999993</v>
      </c>
      <c r="X106" s="1">
        <v>9.9976000000000003</v>
      </c>
      <c r="Y106" s="1">
        <v>8.3857999999999997</v>
      </c>
      <c r="Z106" s="1">
        <v>12.8756</v>
      </c>
      <c r="AA106" s="1">
        <v>14.671799999999999</v>
      </c>
      <c r="AB106" s="1">
        <v>8.1275999999999993</v>
      </c>
      <c r="AC106" s="1">
        <v>5.9496000000000002</v>
      </c>
      <c r="AD106" s="1">
        <v>7.8940000000000001</v>
      </c>
      <c r="AE106" s="1">
        <v>7.8569999999999993</v>
      </c>
      <c r="AF106" s="1">
        <v>4.05</v>
      </c>
      <c r="AG106" s="1"/>
      <c r="AH106" s="1">
        <f t="shared" si="18"/>
        <v>23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9" t="s">
        <v>237</v>
      </c>
      <c r="B107" s="1" t="s">
        <v>35</v>
      </c>
      <c r="C107" s="1">
        <v>2111.2649999999999</v>
      </c>
      <c r="D107" s="1">
        <v>37.628</v>
      </c>
      <c r="E107" s="1">
        <v>886.34199999999998</v>
      </c>
      <c r="F107" s="1">
        <v>1076.2629999999999</v>
      </c>
      <c r="G107" s="7">
        <v>1</v>
      </c>
      <c r="H107" s="1">
        <v>60</v>
      </c>
      <c r="I107" s="1"/>
      <c r="J107" s="1"/>
      <c r="K107" s="1">
        <v>972.02800000000002</v>
      </c>
      <c r="L107" s="1">
        <f t="shared" si="22"/>
        <v>-85.686000000000035</v>
      </c>
      <c r="M107" s="1"/>
      <c r="N107" s="1"/>
      <c r="O107" s="1"/>
      <c r="P107" s="1">
        <v>0</v>
      </c>
      <c r="Q107" s="20">
        <v>200</v>
      </c>
      <c r="R107" s="1">
        <f t="shared" si="13"/>
        <v>177.26839999999999</v>
      </c>
      <c r="S107" s="5">
        <f t="shared" si="20"/>
        <v>1139.5920000000001</v>
      </c>
      <c r="T107" s="5">
        <f>S107+$T$1*R107</f>
        <v>891.41624000000013</v>
      </c>
      <c r="U107" s="1">
        <f t="shared" si="16"/>
        <v>12.228232668653861</v>
      </c>
      <c r="V107" s="1">
        <f t="shared" si="17"/>
        <v>7.1996080519709098</v>
      </c>
      <c r="W107" s="1">
        <v>143.54259999999999</v>
      </c>
      <c r="X107" s="1">
        <v>73.318599999999989</v>
      </c>
      <c r="Y107" s="1">
        <v>37.800199999999997</v>
      </c>
      <c r="Z107" s="1">
        <v>16.512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 t="s">
        <v>238</v>
      </c>
      <c r="AH107" s="1">
        <f t="shared" si="18"/>
        <v>891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239</v>
      </c>
      <c r="B108" s="1" t="s">
        <v>42</v>
      </c>
      <c r="C108" s="1">
        <v>80</v>
      </c>
      <c r="D108" s="1">
        <v>438</v>
      </c>
      <c r="E108" s="1">
        <v>182</v>
      </c>
      <c r="F108" s="1">
        <v>261</v>
      </c>
      <c r="G108" s="7">
        <v>0.3</v>
      </c>
      <c r="H108" s="1">
        <v>40</v>
      </c>
      <c r="I108" s="1" t="s">
        <v>240</v>
      </c>
      <c r="J108" s="1"/>
      <c r="K108" s="1">
        <v>185</v>
      </c>
      <c r="L108" s="1">
        <f t="shared" si="22"/>
        <v>-3</v>
      </c>
      <c r="M108" s="1"/>
      <c r="N108" s="1"/>
      <c r="O108" s="1">
        <v>15.00000000000006</v>
      </c>
      <c r="P108" s="1">
        <v>103.39999999999991</v>
      </c>
      <c r="Q108" s="20"/>
      <c r="R108" s="1">
        <f t="shared" si="13"/>
        <v>36.4</v>
      </c>
      <c r="S108" s="5">
        <f t="shared" si="20"/>
        <v>75.600000000000023</v>
      </c>
      <c r="T108" s="5">
        <f t="shared" si="15"/>
        <v>75.600000000000023</v>
      </c>
      <c r="U108" s="1">
        <f t="shared" si="16"/>
        <v>12.5</v>
      </c>
      <c r="V108" s="1">
        <f t="shared" si="17"/>
        <v>10.423076923076923</v>
      </c>
      <c r="W108" s="1">
        <v>44.4</v>
      </c>
      <c r="X108" s="1">
        <v>39</v>
      </c>
      <c r="Y108" s="1">
        <v>37.200000000000003</v>
      </c>
      <c r="Z108" s="1">
        <v>48.4</v>
      </c>
      <c r="AA108" s="1">
        <v>47.6</v>
      </c>
      <c r="AB108" s="1">
        <v>37.4</v>
      </c>
      <c r="AC108" s="1">
        <v>29</v>
      </c>
      <c r="AD108" s="1">
        <v>50.2</v>
      </c>
      <c r="AE108" s="1">
        <v>31.6</v>
      </c>
      <c r="AF108" s="1">
        <v>36.200000000000003</v>
      </c>
      <c r="AG108" s="1"/>
      <c r="AH108" s="1">
        <f t="shared" si="18"/>
        <v>23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241</v>
      </c>
      <c r="B109" s="1" t="s">
        <v>42</v>
      </c>
      <c r="C109" s="1"/>
      <c r="D109" s="1">
        <v>89</v>
      </c>
      <c r="E109" s="1">
        <v>-6</v>
      </c>
      <c r="F109" s="1">
        <v>78</v>
      </c>
      <c r="G109" s="7">
        <v>0.3</v>
      </c>
      <c r="H109" s="1">
        <v>40</v>
      </c>
      <c r="I109" s="1" t="s">
        <v>242</v>
      </c>
      <c r="J109" s="1"/>
      <c r="K109" s="1">
        <v>34</v>
      </c>
      <c r="L109" s="1">
        <f t="shared" si="22"/>
        <v>-40</v>
      </c>
      <c r="M109" s="1"/>
      <c r="N109" s="1"/>
      <c r="O109" s="1"/>
      <c r="P109" s="1">
        <v>0</v>
      </c>
      <c r="Q109" s="20"/>
      <c r="R109" s="1">
        <f t="shared" si="13"/>
        <v>-1.2</v>
      </c>
      <c r="S109" s="5"/>
      <c r="T109" s="5">
        <f t="shared" si="15"/>
        <v>0</v>
      </c>
      <c r="U109" s="1">
        <f t="shared" si="16"/>
        <v>-65</v>
      </c>
      <c r="V109" s="1">
        <f t="shared" si="17"/>
        <v>-65</v>
      </c>
      <c r="W109" s="1">
        <v>-0.6</v>
      </c>
      <c r="X109" s="1">
        <v>-1.2</v>
      </c>
      <c r="Y109" s="1">
        <v>-3.6</v>
      </c>
      <c r="Z109" s="1">
        <v>-6.6</v>
      </c>
      <c r="AA109" s="1">
        <v>4.4000000000000004</v>
      </c>
      <c r="AB109" s="1">
        <v>6.8</v>
      </c>
      <c r="AC109" s="1">
        <v>2.8</v>
      </c>
      <c r="AD109" s="1">
        <v>20.399999999999999</v>
      </c>
      <c r="AE109" s="1">
        <v>27.2</v>
      </c>
      <c r="AF109" s="1">
        <v>29</v>
      </c>
      <c r="AG109" s="1" t="s">
        <v>243</v>
      </c>
      <c r="AH109" s="1">
        <f t="shared" si="18"/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244</v>
      </c>
      <c r="B110" s="1" t="s">
        <v>35</v>
      </c>
      <c r="C110" s="1">
        <v>13.558</v>
      </c>
      <c r="D110" s="1">
        <v>10.885</v>
      </c>
      <c r="E110" s="1">
        <v>5.4320000000000004</v>
      </c>
      <c r="F110" s="1">
        <v>17.646000000000001</v>
      </c>
      <c r="G110" s="7">
        <v>1</v>
      </c>
      <c r="H110" s="1">
        <v>50</v>
      </c>
      <c r="I110" s="1" t="s">
        <v>245</v>
      </c>
      <c r="J110" s="1"/>
      <c r="K110" s="1">
        <v>5.3</v>
      </c>
      <c r="L110" s="1">
        <f t="shared" si="22"/>
        <v>0.13200000000000056</v>
      </c>
      <c r="M110" s="1"/>
      <c r="N110" s="1"/>
      <c r="O110" s="1"/>
      <c r="P110" s="1">
        <v>6.3732000000000042</v>
      </c>
      <c r="Q110" s="20"/>
      <c r="R110" s="1">
        <f t="shared" si="13"/>
        <v>1.0864</v>
      </c>
      <c r="S110" s="5"/>
      <c r="T110" s="5">
        <f t="shared" si="15"/>
        <v>0</v>
      </c>
      <c r="U110" s="1">
        <f t="shared" si="16"/>
        <v>22.108983799705452</v>
      </c>
      <c r="V110" s="1">
        <f t="shared" si="17"/>
        <v>22.108983799705452</v>
      </c>
      <c r="W110" s="1">
        <v>2.4331999999999998</v>
      </c>
      <c r="X110" s="1">
        <v>1.623</v>
      </c>
      <c r="Y110" s="1">
        <v>0</v>
      </c>
      <c r="Z110" s="1">
        <v>0</v>
      </c>
      <c r="AA110" s="1">
        <v>-4.7E-2</v>
      </c>
      <c r="AB110" s="1">
        <v>2.073</v>
      </c>
      <c r="AC110" s="1">
        <v>2.12</v>
      </c>
      <c r="AD110" s="1">
        <v>3.0232000000000001</v>
      </c>
      <c r="AE110" s="1">
        <v>2.4927999999999999</v>
      </c>
      <c r="AF110" s="1">
        <v>1.1104000000000001</v>
      </c>
      <c r="AG110" s="16" t="s">
        <v>250</v>
      </c>
      <c r="AH110" s="1">
        <f t="shared" si="18"/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246</v>
      </c>
      <c r="B111" s="1" t="s">
        <v>42</v>
      </c>
      <c r="C111" s="1">
        <v>112</v>
      </c>
      <c r="D111" s="1">
        <v>100</v>
      </c>
      <c r="E111" s="1">
        <v>150</v>
      </c>
      <c r="F111" s="1">
        <v>8</v>
      </c>
      <c r="G111" s="7">
        <v>0.3</v>
      </c>
      <c r="H111" s="1">
        <v>40</v>
      </c>
      <c r="I111" s="1" t="s">
        <v>247</v>
      </c>
      <c r="J111" s="1"/>
      <c r="K111" s="1">
        <v>156</v>
      </c>
      <c r="L111" s="1">
        <f t="shared" si="22"/>
        <v>-6</v>
      </c>
      <c r="M111" s="1"/>
      <c r="N111" s="1"/>
      <c r="O111" s="1">
        <v>132.32000000000011</v>
      </c>
      <c r="P111" s="1">
        <v>276.27999999999992</v>
      </c>
      <c r="Q111" s="20"/>
      <c r="R111" s="1">
        <f t="shared" si="13"/>
        <v>30</v>
      </c>
      <c r="S111" s="5"/>
      <c r="T111" s="5">
        <f t="shared" si="15"/>
        <v>0</v>
      </c>
      <c r="U111" s="1">
        <f t="shared" si="16"/>
        <v>13.886666666666667</v>
      </c>
      <c r="V111" s="1">
        <f t="shared" si="17"/>
        <v>13.886666666666667</v>
      </c>
      <c r="W111" s="1">
        <v>42.6</v>
      </c>
      <c r="X111" s="1">
        <v>23.8</v>
      </c>
      <c r="Y111" s="1">
        <v>8</v>
      </c>
      <c r="Z111" s="1">
        <v>18.8</v>
      </c>
      <c r="AA111" s="1">
        <v>20.399999999999999</v>
      </c>
      <c r="AB111" s="1">
        <v>20.399999999999999</v>
      </c>
      <c r="AC111" s="1">
        <v>16.600000000000001</v>
      </c>
      <c r="AD111" s="1">
        <v>16</v>
      </c>
      <c r="AE111" s="1">
        <v>15.4</v>
      </c>
      <c r="AF111" s="1">
        <v>18.399999999999999</v>
      </c>
      <c r="AG111" s="1"/>
      <c r="AH111" s="1">
        <f t="shared" si="18"/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248</v>
      </c>
      <c r="B112" s="1" t="s">
        <v>42</v>
      </c>
      <c r="C112" s="1"/>
      <c r="D112" s="1">
        <v>165</v>
      </c>
      <c r="E112" s="1">
        <v>37</v>
      </c>
      <c r="F112" s="1">
        <v>113</v>
      </c>
      <c r="G112" s="7">
        <v>0.12</v>
      </c>
      <c r="H112" s="1">
        <v>45</v>
      </c>
      <c r="I112" s="1" t="s">
        <v>249</v>
      </c>
      <c r="J112" s="1"/>
      <c r="K112" s="1">
        <v>42</v>
      </c>
      <c r="L112" s="1">
        <f t="shared" si="22"/>
        <v>-5</v>
      </c>
      <c r="M112" s="1"/>
      <c r="N112" s="1"/>
      <c r="O112" s="1"/>
      <c r="P112" s="1">
        <v>0</v>
      </c>
      <c r="Q112" s="20"/>
      <c r="R112" s="1">
        <f t="shared" si="13"/>
        <v>7.4</v>
      </c>
      <c r="S112" s="5"/>
      <c r="T112" s="5">
        <f t="shared" si="15"/>
        <v>0</v>
      </c>
      <c r="U112" s="1">
        <f t="shared" si="16"/>
        <v>15.27027027027027</v>
      </c>
      <c r="V112" s="1">
        <f t="shared" si="17"/>
        <v>15.27027027027027</v>
      </c>
      <c r="W112" s="1">
        <v>3.6</v>
      </c>
      <c r="X112" s="1">
        <v>3.2</v>
      </c>
      <c r="Y112" s="1">
        <v>6.2</v>
      </c>
      <c r="Z112" s="1">
        <v>12.2</v>
      </c>
      <c r="AA112" s="1">
        <v>7.6</v>
      </c>
      <c r="AB112" s="1">
        <v>0.4</v>
      </c>
      <c r="AC112" s="1">
        <v>1.8</v>
      </c>
      <c r="AD112" s="1">
        <v>7.6</v>
      </c>
      <c r="AE112" s="1">
        <v>2.8</v>
      </c>
      <c r="AF112" s="1">
        <v>5</v>
      </c>
      <c r="AG112" s="1"/>
      <c r="AH112" s="1">
        <f t="shared" si="18"/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20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20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20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20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20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20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20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20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20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20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20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20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20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20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20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20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20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20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20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20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20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20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20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20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20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20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20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20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20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20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20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20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20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20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20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20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20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20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20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20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20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20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20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20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20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20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20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20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20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20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20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20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20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20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20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20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20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20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20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20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20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20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20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20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20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20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20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20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20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20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20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20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20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20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20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20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20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20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20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20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20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20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20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20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20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20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20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20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20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20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20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20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20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20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20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20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20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20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20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20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20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20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20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20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20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20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20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20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20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20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20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20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20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20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20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20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20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20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20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20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20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20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20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20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20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20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20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20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20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20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20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20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20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20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20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20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20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20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20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20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20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20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20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20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20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20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20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20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20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20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20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20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20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20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20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20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20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20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20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20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20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20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20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20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20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20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20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20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20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20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20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20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20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20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20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20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20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20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20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20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20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20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20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20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20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20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20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20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20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20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20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20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20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20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20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20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20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20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20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20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20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20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20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20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20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20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20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20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20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20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20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20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20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20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20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20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20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20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20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20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20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20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20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20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20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20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20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20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20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20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20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20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20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20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20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20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20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20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20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20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20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20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20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20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20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20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20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20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20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20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20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20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20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20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20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20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20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20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20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20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20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20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20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20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20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20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20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20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20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20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20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20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20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20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20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20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20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20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20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20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20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20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20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20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20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20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20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20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20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20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20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20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20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20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20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20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20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20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20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20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20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20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20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20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20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20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20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20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20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20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20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20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20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20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20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20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20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20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20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20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20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20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20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20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20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20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20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20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20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20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20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20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20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20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20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20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20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20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20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20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20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20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20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20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20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20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20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20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20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20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20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20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20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20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20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20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20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20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20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20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20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20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20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20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20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20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20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20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20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20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20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20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20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20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20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20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20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20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20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20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20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20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20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20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20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20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20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20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H112" xr:uid="{CE9B913B-D624-4FEC-8965-615FC1E08A6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2026-07-16T12:42:45Z</dcterms:created>
  <dcterms:modified xsi:type="dcterms:W3CDTF">2026-07-18T01:53:47Z</dcterms:modified>
</cp:coreProperties>
</file>