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F389BAE5-9CFA-41EF-8A58-AA9DAD5496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AB551" i="1" s="1"/>
  <c r="P538" i="1"/>
  <c r="X535" i="1"/>
  <c r="X534" i="1"/>
  <c r="BO533" i="1"/>
  <c r="BM533" i="1"/>
  <c r="Y533" i="1"/>
  <c r="BP533" i="1" s="1"/>
  <c r="P533" i="1"/>
  <c r="BO532" i="1"/>
  <c r="BM532" i="1"/>
  <c r="Y532" i="1"/>
  <c r="Y534" i="1" s="1"/>
  <c r="P532" i="1"/>
  <c r="X530" i="1"/>
  <c r="X529" i="1"/>
  <c r="BO528" i="1"/>
  <c r="BM528" i="1"/>
  <c r="Y528" i="1"/>
  <c r="Y530" i="1" s="1"/>
  <c r="P528" i="1"/>
  <c r="X526" i="1"/>
  <c r="X525" i="1"/>
  <c r="BO524" i="1"/>
  <c r="BM524" i="1"/>
  <c r="Y524" i="1"/>
  <c r="BP524" i="1" s="1"/>
  <c r="P524" i="1"/>
  <c r="BO523" i="1"/>
  <c r="BM523" i="1"/>
  <c r="Y523" i="1"/>
  <c r="Y526" i="1" s="1"/>
  <c r="P523" i="1"/>
  <c r="X521" i="1"/>
  <c r="X520" i="1"/>
  <c r="BO519" i="1"/>
  <c r="BM519" i="1"/>
  <c r="Y519" i="1"/>
  <c r="Y520" i="1" s="1"/>
  <c r="P519" i="1"/>
  <c r="X517" i="1"/>
  <c r="X516" i="1"/>
  <c r="BO515" i="1"/>
  <c r="BM515" i="1"/>
  <c r="Y515" i="1"/>
  <c r="Y516" i="1" s="1"/>
  <c r="P515" i="1"/>
  <c r="X511" i="1"/>
  <c r="X510" i="1"/>
  <c r="BO509" i="1"/>
  <c r="BM509" i="1"/>
  <c r="Y509" i="1"/>
  <c r="BP509" i="1" s="1"/>
  <c r="P509" i="1"/>
  <c r="BP508" i="1"/>
  <c r="BO508" i="1"/>
  <c r="BN508" i="1"/>
  <c r="BM508" i="1"/>
  <c r="Z508" i="1"/>
  <c r="Y508" i="1"/>
  <c r="P508" i="1"/>
  <c r="BO507" i="1"/>
  <c r="BM507" i="1"/>
  <c r="Y507" i="1"/>
  <c r="BP507" i="1" s="1"/>
  <c r="P507" i="1"/>
  <c r="BP506" i="1"/>
  <c r="BO506" i="1"/>
  <c r="BN506" i="1"/>
  <c r="BM506" i="1"/>
  <c r="Z506" i="1"/>
  <c r="Y506" i="1"/>
  <c r="P506" i="1"/>
  <c r="BO505" i="1"/>
  <c r="BM505" i="1"/>
  <c r="Y505" i="1"/>
  <c r="BP505" i="1" s="1"/>
  <c r="P505" i="1"/>
  <c r="BP504" i="1"/>
  <c r="BO504" i="1"/>
  <c r="BN504" i="1"/>
  <c r="BM504" i="1"/>
  <c r="Z504" i="1"/>
  <c r="Y504" i="1"/>
  <c r="P504" i="1"/>
  <c r="BO503" i="1"/>
  <c r="BM503" i="1"/>
  <c r="Y503" i="1"/>
  <c r="Y510" i="1" s="1"/>
  <c r="P503" i="1"/>
  <c r="X501" i="1"/>
  <c r="X500" i="1"/>
  <c r="BO499" i="1"/>
  <c r="BM499" i="1"/>
  <c r="Y499" i="1"/>
  <c r="BP499" i="1" s="1"/>
  <c r="P499" i="1"/>
  <c r="BP498" i="1"/>
  <c r="BO498" i="1"/>
  <c r="BN498" i="1"/>
  <c r="BM498" i="1"/>
  <c r="Z498" i="1"/>
  <c r="Y498" i="1"/>
  <c r="P498" i="1"/>
  <c r="BO497" i="1"/>
  <c r="BM497" i="1"/>
  <c r="Y497" i="1"/>
  <c r="Y500" i="1" s="1"/>
  <c r="P497" i="1"/>
  <c r="X495" i="1"/>
  <c r="X494" i="1"/>
  <c r="BO493" i="1"/>
  <c r="BM493" i="1"/>
  <c r="Y493" i="1"/>
  <c r="BP493" i="1" s="1"/>
  <c r="P493" i="1"/>
  <c r="BP492" i="1"/>
  <c r="BO492" i="1"/>
  <c r="BN492" i="1"/>
  <c r="BM492" i="1"/>
  <c r="Z492" i="1"/>
  <c r="Y492" i="1"/>
  <c r="P492" i="1"/>
  <c r="BO491" i="1"/>
  <c r="BM491" i="1"/>
  <c r="Y491" i="1"/>
  <c r="BP491" i="1" s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Y469" i="1" s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Y369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3" i="1"/>
  <c r="Y342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N263" i="1"/>
  <c r="BM263" i="1"/>
  <c r="Z263" i="1"/>
  <c r="Y263" i="1"/>
  <c r="BP263" i="1" s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Y254" i="1"/>
  <c r="Y257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8" i="1" s="1"/>
  <c r="P213" i="1"/>
  <c r="X211" i="1"/>
  <c r="X210" i="1"/>
  <c r="BO209" i="1"/>
  <c r="BM209" i="1"/>
  <c r="Y209" i="1"/>
  <c r="L551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51" i="1" s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79" i="1" s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J551" i="1" s="1"/>
  <c r="P156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H551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5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51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41" i="1" s="1"/>
  <c r="X24" i="1"/>
  <c r="BP23" i="1"/>
  <c r="BO23" i="1"/>
  <c r="BN23" i="1"/>
  <c r="BM23" i="1"/>
  <c r="Z23" i="1"/>
  <c r="Y23" i="1"/>
  <c r="P23" i="1"/>
  <c r="BO22" i="1"/>
  <c r="X543" i="1" s="1"/>
  <c r="BM22" i="1"/>
  <c r="X542" i="1" s="1"/>
  <c r="X544" i="1" s="1"/>
  <c r="Y22" i="1"/>
  <c r="B551" i="1" s="1"/>
  <c r="P22" i="1"/>
  <c r="H10" i="1"/>
  <c r="A9" i="1"/>
  <c r="F10" i="1" s="1"/>
  <c r="D7" i="1"/>
  <c r="Q6" i="1"/>
  <c r="P2" i="1"/>
  <c r="H9" i="1" l="1"/>
  <c r="A10" i="1"/>
  <c r="Y67" i="1"/>
  <c r="Y24" i="1"/>
  <c r="Y32" i="1"/>
  <c r="Y46" i="1"/>
  <c r="Y56" i="1"/>
  <c r="Y75" i="1"/>
  <c r="Y79" i="1"/>
  <c r="Y85" i="1"/>
  <c r="Y92" i="1"/>
  <c r="Y100" i="1"/>
  <c r="Y109" i="1"/>
  <c r="Y117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41" i="1"/>
  <c r="Y252" i="1"/>
  <c r="Y256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2" i="1" s="1"/>
  <c r="BP356" i="1"/>
  <c r="BN356" i="1"/>
  <c r="Z356" i="1"/>
  <c r="BP405" i="1"/>
  <c r="BN405" i="1"/>
  <c r="Z405" i="1"/>
  <c r="Z407" i="1" s="1"/>
  <c r="Y407" i="1"/>
  <c r="BP452" i="1"/>
  <c r="BN452" i="1"/>
  <c r="Z452" i="1"/>
  <c r="Y454" i="1"/>
  <c r="X551" i="1"/>
  <c r="Y465" i="1"/>
  <c r="BP458" i="1"/>
  <c r="BN458" i="1"/>
  <c r="Z458" i="1"/>
  <c r="Y464" i="1"/>
  <c r="BP462" i="1"/>
  <c r="BN462" i="1"/>
  <c r="Z462" i="1"/>
  <c r="F9" i="1"/>
  <c r="J9" i="1"/>
  <c r="Z22" i="1"/>
  <c r="Z24" i="1" s="1"/>
  <c r="BN22" i="1"/>
  <c r="BP22" i="1"/>
  <c r="X545" i="1"/>
  <c r="Y25" i="1"/>
  <c r="Z28" i="1"/>
  <c r="Z32" i="1" s="1"/>
  <c r="BN28" i="1"/>
  <c r="Z30" i="1"/>
  <c r="BN30" i="1"/>
  <c r="C551" i="1"/>
  <c r="Z42" i="1"/>
  <c r="Z46" i="1" s="1"/>
  <c r="BN42" i="1"/>
  <c r="Z44" i="1"/>
  <c r="BN44" i="1"/>
  <c r="Y47" i="1"/>
  <c r="D551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Z144" i="1" s="1"/>
  <c r="BN142" i="1"/>
  <c r="BP142" i="1"/>
  <c r="I551" i="1"/>
  <c r="Z149" i="1"/>
  <c r="Z152" i="1" s="1"/>
  <c r="BN149" i="1"/>
  <c r="Z151" i="1"/>
  <c r="BN151" i="1"/>
  <c r="Y152" i="1"/>
  <c r="Z156" i="1"/>
  <c r="Z159" i="1" s="1"/>
  <c r="BN156" i="1"/>
  <c r="BP156" i="1"/>
  <c r="Z158" i="1"/>
  <c r="BN158" i="1"/>
  <c r="Y159" i="1"/>
  <c r="Z162" i="1"/>
  <c r="Z163" i="1" s="1"/>
  <c r="BN162" i="1"/>
  <c r="BP162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Z233" i="1"/>
  <c r="BN233" i="1"/>
  <c r="Z239" i="1"/>
  <c r="Z241" i="1" s="1"/>
  <c r="BN239" i="1"/>
  <c r="M551" i="1"/>
  <c r="Z250" i="1"/>
  <c r="Z251" i="1" s="1"/>
  <c r="BN250" i="1"/>
  <c r="Y251" i="1"/>
  <c r="Z254" i="1"/>
  <c r="Z256" i="1" s="1"/>
  <c r="BN254" i="1"/>
  <c r="BP254" i="1"/>
  <c r="Y268" i="1"/>
  <c r="Z260" i="1"/>
  <c r="Z267" i="1" s="1"/>
  <c r="BN260" i="1"/>
  <c r="Z262" i="1"/>
  <c r="BN262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Z298" i="1" s="1"/>
  <c r="BP296" i="1"/>
  <c r="BN296" i="1"/>
  <c r="Z296" i="1"/>
  <c r="Y313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Y329" i="1"/>
  <c r="BP334" i="1"/>
  <c r="BN334" i="1"/>
  <c r="Z334" i="1"/>
  <c r="BP347" i="1"/>
  <c r="BN347" i="1"/>
  <c r="Z347" i="1"/>
  <c r="Z349" i="1" s="1"/>
  <c r="Y349" i="1"/>
  <c r="BP364" i="1"/>
  <c r="BN364" i="1"/>
  <c r="Z364" i="1"/>
  <c r="Y368" i="1"/>
  <c r="BP372" i="1"/>
  <c r="BN372" i="1"/>
  <c r="Z372" i="1"/>
  <c r="Y376" i="1"/>
  <c r="BP380" i="1"/>
  <c r="BN380" i="1"/>
  <c r="Z380" i="1"/>
  <c r="Y382" i="1"/>
  <c r="Y389" i="1"/>
  <c r="BP384" i="1"/>
  <c r="BN384" i="1"/>
  <c r="Z384" i="1"/>
  <c r="Y388" i="1"/>
  <c r="Z394" i="1"/>
  <c r="BP392" i="1"/>
  <c r="BN392" i="1"/>
  <c r="Z392" i="1"/>
  <c r="Y394" i="1"/>
  <c r="BP415" i="1"/>
  <c r="BN415" i="1"/>
  <c r="Z415" i="1"/>
  <c r="BP419" i="1"/>
  <c r="BN419" i="1"/>
  <c r="Z419" i="1"/>
  <c r="Y421" i="1"/>
  <c r="Y426" i="1"/>
  <c r="BP423" i="1"/>
  <c r="BN423" i="1"/>
  <c r="Z423" i="1"/>
  <c r="Y427" i="1"/>
  <c r="BP431" i="1"/>
  <c r="BN431" i="1"/>
  <c r="Z431" i="1"/>
  <c r="Y433" i="1"/>
  <c r="Y438" i="1"/>
  <c r="BP435" i="1"/>
  <c r="BN435" i="1"/>
  <c r="Z435" i="1"/>
  <c r="Z437" i="1" s="1"/>
  <c r="Y437" i="1"/>
  <c r="O551" i="1"/>
  <c r="Y299" i="1"/>
  <c r="Y312" i="1"/>
  <c r="BP311" i="1"/>
  <c r="BN311" i="1"/>
  <c r="BP318" i="1"/>
  <c r="BN318" i="1"/>
  <c r="Z318" i="1"/>
  <c r="BP327" i="1"/>
  <c r="BN327" i="1"/>
  <c r="Z327" i="1"/>
  <c r="R551" i="1"/>
  <c r="Y337" i="1"/>
  <c r="BP332" i="1"/>
  <c r="BN332" i="1"/>
  <c r="Z332" i="1"/>
  <c r="Z337" i="1" s="1"/>
  <c r="BP336" i="1"/>
  <c r="BN336" i="1"/>
  <c r="Z336" i="1"/>
  <c r="Y338" i="1"/>
  <c r="Y343" i="1"/>
  <c r="BP340" i="1"/>
  <c r="BN340" i="1"/>
  <c r="Z340" i="1"/>
  <c r="Z342" i="1" s="1"/>
  <c r="BP354" i="1"/>
  <c r="BN354" i="1"/>
  <c r="Z354" i="1"/>
  <c r="Z358" i="1" s="1"/>
  <c r="Y358" i="1"/>
  <c r="BP362" i="1"/>
  <c r="BN362" i="1"/>
  <c r="Z362" i="1"/>
  <c r="BP366" i="1"/>
  <c r="BN366" i="1"/>
  <c r="Z366" i="1"/>
  <c r="Z368" i="1" s="1"/>
  <c r="Y375" i="1"/>
  <c r="BP374" i="1"/>
  <c r="BN374" i="1"/>
  <c r="Z374" i="1"/>
  <c r="Z375" i="1" s="1"/>
  <c r="Y381" i="1"/>
  <c r="BP378" i="1"/>
  <c r="BN378" i="1"/>
  <c r="Z378" i="1"/>
  <c r="Z381" i="1" s="1"/>
  <c r="BP386" i="1"/>
  <c r="BN386" i="1"/>
  <c r="Z386" i="1"/>
  <c r="Y395" i="1"/>
  <c r="BP398" i="1"/>
  <c r="BN398" i="1"/>
  <c r="Z398" i="1"/>
  <c r="Z400" i="1" s="1"/>
  <c r="BP413" i="1"/>
  <c r="BN413" i="1"/>
  <c r="Z413" i="1"/>
  <c r="BP417" i="1"/>
  <c r="BN417" i="1"/>
  <c r="Z417" i="1"/>
  <c r="BP425" i="1"/>
  <c r="BN425" i="1"/>
  <c r="Z425" i="1"/>
  <c r="Y432" i="1"/>
  <c r="BP429" i="1"/>
  <c r="BN429" i="1"/>
  <c r="Z429" i="1"/>
  <c r="Z432" i="1" s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Z453" i="1" s="1"/>
  <c r="BP460" i="1"/>
  <c r="BN460" i="1"/>
  <c r="Z460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S551" i="1"/>
  <c r="Y350" i="1"/>
  <c r="T551" i="1"/>
  <c r="Y359" i="1"/>
  <c r="U551" i="1"/>
  <c r="Y408" i="1"/>
  <c r="V551" i="1"/>
  <c r="Y420" i="1"/>
  <c r="W551" i="1"/>
  <c r="Y443" i="1"/>
  <c r="BP479" i="1"/>
  <c r="BN479" i="1"/>
  <c r="Z479" i="1"/>
  <c r="Z551" i="1"/>
  <c r="Y494" i="1"/>
  <c r="BP485" i="1"/>
  <c r="BN485" i="1"/>
  <c r="Z485" i="1"/>
  <c r="Y495" i="1"/>
  <c r="BP489" i="1"/>
  <c r="BN489" i="1"/>
  <c r="Z489" i="1"/>
  <c r="Y501" i="1"/>
  <c r="Y511" i="1"/>
  <c r="Y517" i="1"/>
  <c r="Y521" i="1"/>
  <c r="Z524" i="1"/>
  <c r="BN524" i="1"/>
  <c r="Y525" i="1"/>
  <c r="Z528" i="1"/>
  <c r="Z529" i="1" s="1"/>
  <c r="BN528" i="1"/>
  <c r="BP528" i="1"/>
  <c r="Y529" i="1"/>
  <c r="Z532" i="1"/>
  <c r="BN532" i="1"/>
  <c r="BP532" i="1"/>
  <c r="Y535" i="1"/>
  <c r="Y540" i="1"/>
  <c r="AA551" i="1"/>
  <c r="Z491" i="1"/>
  <c r="BN491" i="1"/>
  <c r="Z493" i="1"/>
  <c r="BN493" i="1"/>
  <c r="Z497" i="1"/>
  <c r="BN497" i="1"/>
  <c r="BP497" i="1"/>
  <c r="Z499" i="1"/>
  <c r="BN499" i="1"/>
  <c r="Z503" i="1"/>
  <c r="Z510" i="1" s="1"/>
  <c r="BN503" i="1"/>
  <c r="BP503" i="1"/>
  <c r="Z505" i="1"/>
  <c r="BN505" i="1"/>
  <c r="Z507" i="1"/>
  <c r="BN507" i="1"/>
  <c r="Z509" i="1"/>
  <c r="BN509" i="1"/>
  <c r="Z515" i="1"/>
  <c r="Z516" i="1" s="1"/>
  <c r="BN515" i="1"/>
  <c r="BP515" i="1"/>
  <c r="Z519" i="1"/>
  <c r="Z520" i="1" s="1"/>
  <c r="BN519" i="1"/>
  <c r="BP519" i="1"/>
  <c r="Z523" i="1"/>
  <c r="BN523" i="1"/>
  <c r="BP523" i="1"/>
  <c r="Z533" i="1"/>
  <c r="BN533" i="1"/>
  <c r="Z538" i="1"/>
  <c r="Z539" i="1" s="1"/>
  <c r="BN538" i="1"/>
  <c r="BP538" i="1"/>
  <c r="Y539" i="1"/>
  <c r="Z525" i="1" l="1"/>
  <c r="Z500" i="1"/>
  <c r="Z534" i="1"/>
  <c r="Z494" i="1"/>
  <c r="Z480" i="1"/>
  <c r="Z420" i="1"/>
  <c r="Z426" i="1"/>
  <c r="Z321" i="1"/>
  <c r="Z282" i="1"/>
  <c r="Z227" i="1"/>
  <c r="Z205" i="1"/>
  <c r="Z178" i="1"/>
  <c r="Z67" i="1"/>
  <c r="Y542" i="1"/>
  <c r="Y545" i="1"/>
  <c r="Z388" i="1"/>
  <c r="Z328" i="1"/>
  <c r="Y541" i="1"/>
  <c r="Y543" i="1"/>
  <c r="Z546" i="1"/>
  <c r="Z464" i="1"/>
  <c r="Y544" i="1" l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<sst xmlns="http://schemas.openxmlformats.org/spreadsheetml/2006/main" count="2448" uniqueCount="889">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</sst>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topLeftCell="A524" zoomScaleNormal="100" zoomScaleSheetLayoutView="100" workbookViewId="0">
      <selection activeCell="AA547" sqref="AA547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450</v>
      </c>
      <c r="Y97" s="616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166.66666666666666</v>
      </c>
      <c r="Y99" s="617">
        <f>IFERROR(Y95/H95,"0")+IFERROR(Y96/H96,"0")+IFERROR(Y97/H97,"0")+IFERROR(Y98/H98,"0")</f>
        <v>167</v>
      </c>
      <c r="Z99" s="617">
        <f>IFERROR(IF(Z95="",0,Z95),"0")+IFERROR(IF(Z96="",0,Z96),"0")+IFERROR(IF(Z97="",0,Z97),"0")+IFERROR(IF(Z98="",0,Z98),"0")</f>
        <v>1.08717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450</v>
      </c>
      <c r="Y100" s="617">
        <f>IFERROR(SUM(Y95:Y98),"0")</f>
        <v>450.90000000000003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500</v>
      </c>
      <c r="Y120" s="616">
        <f>IFERROR(IF(X120="",0,CEILING((X120/$H120),1)*$H120),"")</f>
        <v>502.2</v>
      </c>
      <c r="Z120" s="36">
        <f>IFERROR(IF(Y120=0,"",ROUNDUP(Y120/H120,0)*0.01898),"")</f>
        <v>1.17676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530.12345679012344</v>
      </c>
      <c r="BN120" s="64">
        <f>IFERROR(Y120*I120/H120,"0")</f>
        <v>532.4559999999999</v>
      </c>
      <c r="BO120" s="64">
        <f>IFERROR(1/J120*(X120/H120),"0")</f>
        <v>0.96450617283950624</v>
      </c>
      <c r="BP120" s="64">
        <f>IFERROR(1/J120*(Y120/H120),"0")</f>
        <v>0.96875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61.728395061728399</v>
      </c>
      <c r="Y124" s="617">
        <f>IFERROR(Y120/H120,"0")+IFERROR(Y121/H121,"0")+IFERROR(Y122/H122,"0")+IFERROR(Y123/H123,"0")</f>
        <v>62</v>
      </c>
      <c r="Z124" s="617">
        <f>IFERROR(IF(Z120="",0,Z120),"0")+IFERROR(IF(Z121="",0,Z121),"0")+IFERROR(IF(Z122="",0,Z122),"0")+IFERROR(IF(Z123="",0,Z123),"0")</f>
        <v>1.17676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500</v>
      </c>
      <c r="Y125" s="617">
        <f>IFERROR(SUM(Y120:Y123),"0")</f>
        <v>502.2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200</v>
      </c>
      <c r="Y276" s="616">
        <f t="shared" si="32"/>
        <v>201.6</v>
      </c>
      <c r="Z276" s="36">
        <f>IFERROR(IF(Y276=0,"",ROUNDUP(Y276/H276,0)*0.00651),"")</f>
        <v>0.54683999999999999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221</v>
      </c>
      <c r="BN276" s="64">
        <f t="shared" si="34"/>
        <v>222.768</v>
      </c>
      <c r="BO276" s="64">
        <f t="shared" si="35"/>
        <v>0.45787545787545797</v>
      </c>
      <c r="BP276" s="64">
        <f t="shared" si="36"/>
        <v>0.46153846153846156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83.333333333333343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84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0.54683999999999999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200</v>
      </c>
      <c r="Y283" s="617">
        <f>IFERROR(SUM(Y270:Y281),"0")</f>
        <v>201.6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0</v>
      </c>
      <c r="Y413" s="616">
        <f t="shared" si="47"/>
        <v>0</v>
      </c>
      <c r="Z413" s="36" t="str">
        <f>IFERROR(IF(Y413=0,"",ROUNDUP(Y413/H413,0)*0.02175),"")</f>
        <v/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0</v>
      </c>
      <c r="BN413" s="64">
        <f t="shared" si="49"/>
        <v>0</v>
      </c>
      <c r="BO413" s="64">
        <f t="shared" si="50"/>
        <v>0</v>
      </c>
      <c r="BP413" s="64">
        <f t="shared" si="51"/>
        <v>0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0</v>
      </c>
      <c r="Y415" s="616">
        <f t="shared" si="47"/>
        <v>0</v>
      </c>
      <c r="Z415" s="36" t="str">
        <f>IFERROR(IF(Y415=0,"",ROUNDUP(Y415/H415,0)*0.02175),"")</f>
        <v/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0</v>
      </c>
      <c r="BN415" s="64">
        <f t="shared" si="49"/>
        <v>0</v>
      </c>
      <c r="BO415" s="64">
        <f t="shared" si="50"/>
        <v>0</v>
      </c>
      <c r="BP415" s="64">
        <f t="shared" si="51"/>
        <v>0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500</v>
      </c>
      <c r="Y416" s="616">
        <f t="shared" si="47"/>
        <v>510</v>
      </c>
      <c r="Z416" s="36">
        <f>IFERROR(IF(Y416=0,"",ROUNDUP(Y416/H416,0)*0.02175),"")</f>
        <v>0.73949999999999994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515.66666666666663</v>
      </c>
      <c r="BN416" s="64">
        <f t="shared" si="49"/>
        <v>525.98</v>
      </c>
      <c r="BO416" s="64">
        <f t="shared" si="50"/>
        <v>0.69444444444444442</v>
      </c>
      <c r="BP416" s="64">
        <f t="shared" si="51"/>
        <v>0.70833333333333326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33.333333333333336</v>
      </c>
      <c r="Y420" s="617">
        <f>IFERROR(Y412/H412,"0")+IFERROR(Y413/H413,"0")+IFERROR(Y414/H414,"0")+IFERROR(Y415/H415,"0")+IFERROR(Y416/H416,"0")+IFERROR(Y417/H417,"0")+IFERROR(Y418/H418,"0")+IFERROR(Y419/H419,"0")</f>
        <v>34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0.73949999999999994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500</v>
      </c>
      <c r="Y421" s="617">
        <f>IFERROR(SUM(Y412:Y419),"0")</f>
        <v>510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500</v>
      </c>
      <c r="Y488" s="616">
        <f t="shared" si="57"/>
        <v>501.6</v>
      </c>
      <c r="Z488" s="36">
        <f t="shared" si="58"/>
        <v>1.1362000000000001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533.14393939393938</v>
      </c>
      <c r="BN488" s="64">
        <f t="shared" si="60"/>
        <v>534.85</v>
      </c>
      <c r="BO488" s="64">
        <f t="shared" si="61"/>
        <v>0.91054778554778548</v>
      </c>
      <c r="BP488" s="64">
        <f t="shared" si="62"/>
        <v>0.91346153846153855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500</v>
      </c>
      <c r="Y490" s="616">
        <f t="shared" si="57"/>
        <v>501.6</v>
      </c>
      <c r="Z490" s="36">
        <f t="shared" si="58"/>
        <v>1.1362000000000001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533.14393939393938</v>
      </c>
      <c r="BN490" s="64">
        <f t="shared" si="60"/>
        <v>534.85</v>
      </c>
      <c r="BO490" s="64">
        <f t="shared" si="61"/>
        <v>0.91054778554778548</v>
      </c>
      <c r="BP490" s="64">
        <f t="shared" si="62"/>
        <v>0.91346153846153855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189.39393939393938</v>
      </c>
      <c r="Y494" s="617">
        <f>IFERROR(Y485/H485,"0")+IFERROR(Y486/H486,"0")+IFERROR(Y487/H487,"0")+IFERROR(Y488/H488,"0")+IFERROR(Y489/H489,"0")+IFERROR(Y490/H490,"0")+IFERROR(Y491/H491,"0")+IFERROR(Y492/H492,"0")+IFERROR(Y493/H493,"0")</f>
        <v>190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2.2724000000000002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1000</v>
      </c>
      <c r="Y495" s="617">
        <f>IFERROR(SUM(Y485:Y493),"0")</f>
        <v>1003.2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500</v>
      </c>
      <c r="Y497" s="616">
        <f>IFERROR(IF(X497="",0,CEILING((X497/$H497),1)*$H497),"")</f>
        <v>501.6</v>
      </c>
      <c r="Z497" s="36">
        <f>IFERROR(IF(Y497=0,"",ROUNDUP(Y497/H497,0)*0.01196),"")</f>
        <v>1.1362000000000001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533.14393939393938</v>
      </c>
      <c r="BN497" s="64">
        <f>IFERROR(Y497*I497/H497,"0")</f>
        <v>534.85</v>
      </c>
      <c r="BO497" s="64">
        <f>IFERROR(1/J497*(X497/H497),"0")</f>
        <v>0.91054778554778548</v>
      </c>
      <c r="BP497" s="64">
        <f>IFERROR(1/J497*(Y497/H497),"0")</f>
        <v>0.91346153846153855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94.696969696969688</v>
      </c>
      <c r="Y500" s="617">
        <f>IFERROR(Y497/H497,"0")+IFERROR(Y498/H498,"0")+IFERROR(Y499/H499,"0")</f>
        <v>95</v>
      </c>
      <c r="Z500" s="617">
        <f>IFERROR(IF(Z497="",0,Z497),"0")+IFERROR(IF(Z498="",0,Z498),"0")+IFERROR(IF(Z499="",0,Z499),"0")</f>
        <v>1.1362000000000001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500</v>
      </c>
      <c r="Y501" s="617">
        <f>IFERROR(SUM(Y497:Y499),"0")</f>
        <v>501.6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230</v>
      </c>
      <c r="Y505" s="616">
        <f t="shared" si="63"/>
        <v>232.32000000000002</v>
      </c>
      <c r="Z505" s="36">
        <f>IFERROR(IF(Y505=0,"",ROUNDUP(Y505/H505,0)*0.01196),"")</f>
        <v>0.52624000000000004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245.2462121212121</v>
      </c>
      <c r="BN505" s="64">
        <f t="shared" si="65"/>
        <v>247.72</v>
      </c>
      <c r="BO505" s="64">
        <f t="shared" si="66"/>
        <v>0.41885198135198132</v>
      </c>
      <c r="BP505" s="64">
        <f t="shared" si="67"/>
        <v>0.42307692307692313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43.560606060606055</v>
      </c>
      <c r="Y510" s="617">
        <f>IFERROR(Y503/H503,"0")+IFERROR(Y504/H504,"0")+IFERROR(Y505/H505,"0")+IFERROR(Y506/H506,"0")+IFERROR(Y507/H507,"0")+IFERROR(Y508/H508,"0")+IFERROR(Y509/H509,"0")</f>
        <v>44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0.52624000000000004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230</v>
      </c>
      <c r="Y511" s="617">
        <f>IFERROR(SUM(Y503:Y509),"0")</f>
        <v>232.32000000000002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3380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3401.82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3603.4681537598203</v>
      </c>
      <c r="Y542" s="617">
        <f>IFERROR(SUM(BN22:BN538),"0")</f>
        <v>3626.4579999999996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7</v>
      </c>
      <c r="Y543" s="38">
        <f>ROUNDUP(SUM(BP22:BP538),0)</f>
        <v>7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3778.4681537598203</v>
      </c>
      <c r="Y544" s="617">
        <f>GrossWeightTotalR+PalletQtyTotalR*25</f>
        <v>3801.4579999999996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672.7132435465769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676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7.4851100000000006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450.90000000000003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502.2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201.6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510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1737.1200000000001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2026-07-17T10:15:46Z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