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1726CCDB-CDB2-4B3E-AD29-D51B5DE223D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Z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P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BP244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P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Y100" i="2" l="1"/>
  <c r="Y383" i="2"/>
  <c r="Y79" i="2"/>
  <c r="Z225" i="2"/>
  <c r="BN225" i="2"/>
  <c r="Z231" i="2"/>
  <c r="Z401" i="2"/>
  <c r="Z98" i="2"/>
  <c r="Y343" i="2"/>
  <c r="Z176" i="2"/>
  <c r="Z221" i="2"/>
  <c r="Z280" i="2"/>
  <c r="BN280" i="2"/>
  <c r="Z367" i="2"/>
  <c r="Z419" i="2"/>
  <c r="Y130" i="2"/>
  <c r="Y210" i="2"/>
  <c r="Y302" i="2"/>
  <c r="Y161" i="2"/>
  <c r="Z187" i="2"/>
  <c r="BN187" i="2"/>
  <c r="Y190" i="2"/>
  <c r="Z224" i="2"/>
  <c r="Z278" i="2"/>
  <c r="Y306" i="2"/>
  <c r="Z355" i="2"/>
  <c r="Z410" i="2"/>
  <c r="Z497" i="2"/>
  <c r="BN497" i="2"/>
  <c r="BP516" i="2"/>
  <c r="BP70" i="2"/>
  <c r="Y74" i="2"/>
  <c r="BN73" i="2"/>
  <c r="BN122" i="2"/>
  <c r="BN204" i="2"/>
  <c r="BN217" i="2"/>
  <c r="BN223" i="2"/>
  <c r="Z223" i="2"/>
  <c r="BP264" i="2"/>
  <c r="Z264" i="2"/>
  <c r="BN320" i="2"/>
  <c r="BN358" i="2"/>
  <c r="Z358" i="2"/>
  <c r="X536" i="2"/>
  <c r="BP29" i="2"/>
  <c r="BN29" i="2"/>
  <c r="Z29" i="2"/>
  <c r="BP44" i="2"/>
  <c r="BN44" i="2"/>
  <c r="Z44" i="2"/>
  <c r="BN52" i="2"/>
  <c r="BN78" i="2"/>
  <c r="Y80" i="2"/>
  <c r="BN96" i="2"/>
  <c r="BN103" i="2"/>
  <c r="Z103" i="2"/>
  <c r="BN107" i="2"/>
  <c r="Y126" i="2"/>
  <c r="BN159" i="2"/>
  <c r="Z159" i="2"/>
  <c r="Z160" i="2" s="1"/>
  <c r="BN170" i="2"/>
  <c r="BN174" i="2"/>
  <c r="BN182" i="2"/>
  <c r="BN203" i="2"/>
  <c r="Z203" i="2"/>
  <c r="Y246" i="2"/>
  <c r="BP249" i="2"/>
  <c r="Y251" i="2"/>
  <c r="BN250" i="2"/>
  <c r="BP295" i="2"/>
  <c r="Z295" i="2"/>
  <c r="BN311" i="2"/>
  <c r="Z311" i="2"/>
  <c r="BP334" i="2"/>
  <c r="BN334" i="2"/>
  <c r="Z334" i="2"/>
  <c r="BP358" i="2"/>
  <c r="BN365" i="2"/>
  <c r="Z365" i="2"/>
  <c r="BN372" i="2"/>
  <c r="BP434" i="2"/>
  <c r="BN435" i="2"/>
  <c r="BN454" i="2"/>
  <c r="BN470" i="2"/>
  <c r="BN479" i="2"/>
  <c r="BN31" i="2"/>
  <c r="BN45" i="2"/>
  <c r="E544" i="2"/>
  <c r="BN61" i="2"/>
  <c r="BN90" i="2"/>
  <c r="BN112" i="2"/>
  <c r="BN117" i="2"/>
  <c r="BN125" i="2"/>
  <c r="BN129" i="2"/>
  <c r="Y155" i="2"/>
  <c r="Y189" i="2"/>
  <c r="BN209" i="2"/>
  <c r="BN214" i="2"/>
  <c r="BP224" i="2"/>
  <c r="BN262" i="2"/>
  <c r="BN272" i="2"/>
  <c r="BP278" i="2"/>
  <c r="BN293" i="2"/>
  <c r="BN301" i="2"/>
  <c r="BN305" i="2"/>
  <c r="BN325" i="2"/>
  <c r="BN340" i="2"/>
  <c r="BP367" i="2"/>
  <c r="BN368" i="2"/>
  <c r="BN387" i="2"/>
  <c r="BP401" i="2"/>
  <c r="Z412" i="2"/>
  <c r="Z413" i="2"/>
  <c r="BN413" i="2"/>
  <c r="Z434" i="2"/>
  <c r="Y436" i="2"/>
  <c r="Z443" i="2"/>
  <c r="Y446" i="2"/>
  <c r="Y447" i="2"/>
  <c r="BN452" i="2"/>
  <c r="Y474" i="2"/>
  <c r="BN482" i="2"/>
  <c r="BN485" i="2"/>
  <c r="Z490" i="2"/>
  <c r="Y493" i="2"/>
  <c r="Y494" i="2"/>
  <c r="BN499" i="2"/>
  <c r="BP502" i="2"/>
  <c r="BP412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376" i="2" l="1"/>
  <c r="Z473" i="2"/>
  <c r="Z436" i="2"/>
  <c r="Z421" i="2"/>
  <c r="Z527" i="2"/>
  <c r="Z24" i="2"/>
  <c r="Z146" i="2"/>
  <c r="Z189" i="2"/>
  <c r="Z359" i="2"/>
  <c r="Z395" i="2"/>
  <c r="Z382" i="2"/>
  <c r="Z126" i="2"/>
  <c r="Z457" i="2"/>
  <c r="X537" i="2"/>
  <c r="Z119" i="2"/>
  <c r="Z46" i="2"/>
  <c r="Z415" i="2"/>
  <c r="Z321" i="2"/>
  <c r="Z205" i="2"/>
  <c r="Z74" i="2"/>
  <c r="Z84" i="2"/>
  <c r="Z493" i="2"/>
  <c r="Z446" i="2"/>
  <c r="Z312" i="2"/>
  <c r="Z402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<sst xmlns="http://schemas.openxmlformats.org/spreadsheetml/2006/main" count="4047" uniqueCount="860">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</sst>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1" zoomScaleNormal="100" zoomScaleSheetLayoutView="100" workbookViewId="0">
      <selection activeCell="X437" sqref="X43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400</v>
      </c>
      <c r="Y51" s="55">
        <f>IFERROR(IF(X51="",0,CEILING((X51/$H51),1)*$H51),"")</f>
        <v>410.40000000000003</v>
      </c>
      <c r="Z51" s="41">
        <f>IFERROR(IF(Y51=0,"",ROUNDUP(Y51/H51,0)*0.01898),"")</f>
        <v>0.72123999999999999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415.18518518518516</v>
      </c>
      <c r="BN51" s="78">
        <f>IFERROR(Y51*I51/H51,"0")</f>
        <v>425.98</v>
      </c>
      <c r="BO51" s="78">
        <f>IFERROR(1/J51*(X51/H51),"0")</f>
        <v>0.57870370370370372</v>
      </c>
      <c r="BP51" s="78">
        <f>IFERROR(1/J51*(Y51/H51),"0")</f>
        <v>0.59375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37.037037037037038</v>
      </c>
      <c r="Y55" s="43">
        <f>IFERROR(Y51/H51,"0")+IFERROR(Y52/H52,"0")+IFERROR(Y53/H53,"0")+IFERROR(Y54/H54,"0")</f>
        <v>38</v>
      </c>
      <c r="Z55" s="43">
        <f>IFERROR(IF(Z51="",0,Z51),"0")+IFERROR(IF(Z52="",0,Z52),"0")+IFERROR(IF(Z53="",0,Z53),"0")+IFERROR(IF(Z54="",0,Z54),"0")</f>
        <v>0.72123999999999999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400</v>
      </c>
      <c r="Y56" s="43">
        <f>IFERROR(SUM(Y51:Y54),"0")</f>
        <v>410.40000000000003</v>
      </c>
      <c r="Z56" s="42"/>
      <c r="AA56" s="67"/>
      <c r="AB56" s="67"/>
      <c r="AC56" s="67"/>
    </row>
    <row r="57" spans="1:68" ht="16.5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45</v>
      </c>
      <c r="Y66" s="55">
        <f t="shared" si="0"/>
        <v>45</v>
      </c>
      <c r="Z66" s="41">
        <f>IFERROR(IF(Y66=0,"",ROUNDUP(Y66/H66,0)*0.00902),"")</f>
        <v>9.0200000000000002E-2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46.900000000000006</v>
      </c>
      <c r="BN66" s="78">
        <f t="shared" si="2"/>
        <v>46.900000000000006</v>
      </c>
      <c r="BO66" s="78">
        <f t="shared" si="3"/>
        <v>7.575757575757576E-2</v>
      </c>
      <c r="BP66" s="78">
        <f t="shared" si="4"/>
        <v>7.575757575757576E-2</v>
      </c>
    </row>
    <row r="67" spans="1:68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10</v>
      </c>
      <c r="Y67" s="43">
        <f>IFERROR(Y59/H59,"0")+IFERROR(Y60/H60,"0")+IFERROR(Y61/H61,"0")+IFERROR(Y62/H62,"0")+IFERROR(Y63/H63,"0")+IFERROR(Y64/H64,"0")+IFERROR(Y65/H65,"0")+IFERROR(Y66/H66,"0")</f>
        <v>10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9.0200000000000002E-2</v>
      </c>
      <c r="AA67" s="67"/>
      <c r="AB67" s="67"/>
      <c r="AC67" s="67"/>
    </row>
    <row r="68" spans="1:68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45</v>
      </c>
      <c r="Y68" s="43">
        <f>IFERROR(SUM(Y59:Y66),"0")</f>
        <v>45</v>
      </c>
      <c r="Z68" s="42"/>
      <c r="AA68" s="67"/>
      <c r="AB68" s="67"/>
      <c r="AC68" s="67"/>
    </row>
    <row r="69" spans="1:68" ht="14.25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200</v>
      </c>
      <c r="Y88" s="55">
        <f>IFERROR(IF(X88="",0,CEILING((X88/$H88),1)*$H88),"")</f>
        <v>205.20000000000002</v>
      </c>
      <c r="Z88" s="41">
        <f>IFERROR(IF(Y88=0,"",ROUNDUP(Y88/H88,0)*0.01898),"")</f>
        <v>0.36062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207.59259259259258</v>
      </c>
      <c r="BN88" s="78">
        <f>IFERROR(Y88*I88/H88,"0")</f>
        <v>212.99</v>
      </c>
      <c r="BO88" s="78">
        <f>IFERROR(1/J88*(X88/H88),"0")</f>
        <v>0.28935185185185186</v>
      </c>
      <c r="BP88" s="78">
        <f>IFERROR(1/J88*(Y88/H88),"0")</f>
        <v>0.296875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18.518518518518519</v>
      </c>
      <c r="Y92" s="43">
        <f>IFERROR(Y88/H88,"0")+IFERROR(Y89/H89,"0")+IFERROR(Y90/H90,"0")+IFERROR(Y91/H91,"0")</f>
        <v>19</v>
      </c>
      <c r="Z92" s="43">
        <f>IFERROR(IF(Z88="",0,Z88),"0")+IFERROR(IF(Z89="",0,Z89),"0")+IFERROR(IF(Z90="",0,Z90),"0")+IFERROR(IF(Z91="",0,Z91),"0")</f>
        <v>0.36062</v>
      </c>
      <c r="AA92" s="67"/>
      <c r="AB92" s="67"/>
      <c r="AC92" s="67"/>
    </row>
    <row r="93" spans="1:68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200</v>
      </c>
      <c r="Y93" s="43">
        <f>IFERROR(SUM(Y88:Y91),"0")</f>
        <v>205.20000000000002</v>
      </c>
      <c r="Z93" s="42"/>
      <c r="AA93" s="67"/>
      <c r="AB93" s="67"/>
      <c r="AC93" s="67"/>
    </row>
    <row r="94" spans="1:68" ht="14.25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50</v>
      </c>
      <c r="Y95" s="55">
        <f>IFERROR(IF(X95="",0,CEILING((X95/$H95),1)*$H95),"")</f>
        <v>56.699999999999996</v>
      </c>
      <c r="Z95" s="41">
        <f>IFERROR(IF(Y95=0,"",ROUNDUP(Y95/H95,0)*0.01898),"")</f>
        <v>0.13286000000000001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53.049382716049386</v>
      </c>
      <c r="BN95" s="78">
        <f>IFERROR(Y95*I95/H95,"0")</f>
        <v>60.157999999999994</v>
      </c>
      <c r="BO95" s="78">
        <f>IFERROR(1/J95*(X95/H95),"0")</f>
        <v>9.6450617283950615E-2</v>
      </c>
      <c r="BP95" s="78">
        <f>IFERROR(1/J95*(Y95/H95),"0")</f>
        <v>0.109375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67.5</v>
      </c>
      <c r="Y97" s="55">
        <f>IFERROR(IF(X97="",0,CEILING((X97/$H97),1)*$H97),"")</f>
        <v>67.5</v>
      </c>
      <c r="Z97" s="41">
        <f>IFERROR(IF(Y97=0,"",ROUNDUP(Y97/H97,0)*0.00651),"")</f>
        <v>0.16275000000000001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73.8</v>
      </c>
      <c r="BN97" s="78">
        <f>IFERROR(Y97*I97/H97,"0")</f>
        <v>73.8</v>
      </c>
      <c r="BO97" s="78">
        <f>IFERROR(1/J97*(X97/H97),"0")</f>
        <v>0.13736263736263737</v>
      </c>
      <c r="BP97" s="78">
        <f>IFERROR(1/J97*(Y97/H97),"0")</f>
        <v>0.13736263736263737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31.172839506172838</v>
      </c>
      <c r="Y99" s="43">
        <f>IFERROR(Y95/H95,"0")+IFERROR(Y96/H96,"0")+IFERROR(Y97/H97,"0")+IFERROR(Y98/H98,"0")</f>
        <v>32</v>
      </c>
      <c r="Z99" s="43">
        <f>IFERROR(IF(Z95="",0,Z95),"0")+IFERROR(IF(Z96="",0,Z96),"0")+IFERROR(IF(Z97="",0,Z97),"0")+IFERROR(IF(Z98="",0,Z98),"0")</f>
        <v>0.29561000000000004</v>
      </c>
      <c r="AA99" s="67"/>
      <c r="AB99" s="67"/>
      <c r="AC99" s="67"/>
    </row>
    <row r="100" spans="1:68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117.5</v>
      </c>
      <c r="Y100" s="43">
        <f>IFERROR(SUM(Y95:Y98),"0")</f>
        <v>124.19999999999999</v>
      </c>
      <c r="Z100" s="42"/>
      <c r="AA100" s="67"/>
      <c r="AB100" s="67"/>
      <c r="AC100" s="67"/>
    </row>
    <row r="101" spans="1:68" ht="16.5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80</v>
      </c>
      <c r="Y112" s="55">
        <f t="shared" ref="Y112:Y118" si="10">IFERROR(IF(X112="",0,CEILING((X112/$H112),1)*$H112),"")</f>
        <v>86.4</v>
      </c>
      <c r="Z112" s="41">
        <f>IFERROR(IF(Y112=0,"",ROUNDUP(Y112/H112,0)*0.01898),"")</f>
        <v>0.15184</v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83.037037037037038</v>
      </c>
      <c r="BN112" s="78">
        <f t="shared" ref="BN112:BN118" si="12">IFERROR(Y112*I112/H112,"0")</f>
        <v>89.68</v>
      </c>
      <c r="BO112" s="78">
        <f t="shared" ref="BO112:BO118" si="13">IFERROR(1/J112*(X112/H112),"0")</f>
        <v>0.11574074074074073</v>
      </c>
      <c r="BP112" s="78">
        <f t="shared" ref="BP112:BP118" si="14">IFERROR(1/J112*(Y112/H112),"0")</f>
        <v>0.125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7.4074074074074066</v>
      </c>
      <c r="Y119" s="43">
        <f>IFERROR(Y112/H112,"0")+IFERROR(Y113/H113,"0")+IFERROR(Y114/H114,"0")+IFERROR(Y115/H115,"0")+IFERROR(Y116/H116,"0")+IFERROR(Y117/H117,"0")+IFERROR(Y118/H118,"0")</f>
        <v>8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0.15184</v>
      </c>
      <c r="AA119" s="67"/>
      <c r="AB119" s="67"/>
      <c r="AC119" s="67"/>
    </row>
    <row r="120" spans="1:68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80</v>
      </c>
      <c r="Y120" s="43">
        <f>IFERROR(SUM(Y112:Y118),"0")</f>
        <v>86.4</v>
      </c>
      <c r="Z120" s="42"/>
      <c r="AA120" s="67"/>
      <c r="AB120" s="67"/>
      <c r="AC120" s="67"/>
    </row>
    <row r="121" spans="1:68" ht="14.25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300</v>
      </c>
      <c r="Y122" s="55">
        <f>IFERROR(IF(X122="",0,CEILING((X122/$H122),1)*$H122),"")</f>
        <v>307.8</v>
      </c>
      <c r="Z122" s="41">
        <f>IFERROR(IF(Y122=0,"",ROUNDUP(Y122/H122,0)*0.01898),"")</f>
        <v>0.72123999999999999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318.07407407407402</v>
      </c>
      <c r="BN122" s="78">
        <f>IFERROR(Y122*I122/H122,"0")</f>
        <v>326.34399999999999</v>
      </c>
      <c r="BO122" s="78">
        <f>IFERROR(1/J122*(X122/H122),"0")</f>
        <v>0.57870370370370372</v>
      </c>
      <c r="BP122" s="78">
        <f>IFERROR(1/J122*(Y122/H122),"0")</f>
        <v>0.59375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108</v>
      </c>
      <c r="Y124" s="55">
        <f>IFERROR(IF(X124="",0,CEILING((X124/$H124),1)*$H124),"")</f>
        <v>108</v>
      </c>
      <c r="Z124" s="41">
        <f>IFERROR(IF(Y124=0,"",ROUNDUP(Y124/H124,0)*0.00651),"")</f>
        <v>0.26040000000000002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118.07999999999998</v>
      </c>
      <c r="BN124" s="78">
        <f>IFERROR(Y124*I124/H124,"0")</f>
        <v>118.07999999999998</v>
      </c>
      <c r="BO124" s="78">
        <f>IFERROR(1/J124*(X124/H124),"0")</f>
        <v>0.2197802197802198</v>
      </c>
      <c r="BP124" s="78">
        <f>IFERROR(1/J124*(Y124/H124),"0")</f>
        <v>0.2197802197802198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77.037037037037038</v>
      </c>
      <c r="Y126" s="43">
        <f>IFERROR(Y122/H122,"0")+IFERROR(Y123/H123,"0")+IFERROR(Y124/H124,"0")+IFERROR(Y125/H125,"0")</f>
        <v>78</v>
      </c>
      <c r="Z126" s="43">
        <f>IFERROR(IF(Z122="",0,Z122),"0")+IFERROR(IF(Z123="",0,Z123),"0")+IFERROR(IF(Z124="",0,Z124),"0")+IFERROR(IF(Z125="",0,Z125),"0")</f>
        <v>0.98164000000000007</v>
      </c>
      <c r="AA126" s="67"/>
      <c r="AB126" s="67"/>
      <c r="AC126" s="67"/>
    </row>
    <row r="127" spans="1:68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408</v>
      </c>
      <c r="Y127" s="43">
        <f>IFERROR(SUM(Y122:Y125),"0")</f>
        <v>415.8</v>
      </c>
      <c r="Z127" s="42"/>
      <c r="AA127" s="67"/>
      <c r="AB127" s="67"/>
      <c r="AC127" s="67"/>
    </row>
    <row r="128" spans="1:68" ht="14.25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40</v>
      </c>
      <c r="Y213" s="55">
        <f t="shared" ref="Y213:Y226" si="26">IFERROR(IF(X213="",0,CEILING((X213/$H213),1)*$H213),"")</f>
        <v>42</v>
      </c>
      <c r="Z213" s="41">
        <f>IFERROR(IF(Y213=0,"",ROUNDUP(Y213/H213,0)*0.00902),"")</f>
        <v>9.0200000000000002E-2</v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42.38095238095238</v>
      </c>
      <c r="BN213" s="78">
        <f t="shared" ref="BN213:BN226" si="28">IFERROR(Y213*I213/H213,"0")</f>
        <v>44.5</v>
      </c>
      <c r="BO213" s="78">
        <f t="shared" ref="BO213:BO226" si="29">IFERROR(1/J213*(X213/H213),"0")</f>
        <v>7.2150072150072145E-2</v>
      </c>
      <c r="BP213" s="78">
        <f t="shared" ref="BP213:BP226" si="30">IFERROR(1/J213*(Y213/H213),"0")</f>
        <v>7.575757575757576E-2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31.5</v>
      </c>
      <c r="Y224" s="55">
        <f t="shared" si="26"/>
        <v>31.5</v>
      </c>
      <c r="Z224" s="41">
        <f>IFERROR(IF(Y224=0,"",ROUNDUP(Y224/H224,0)*0.00502),"")</f>
        <v>7.5300000000000006E-2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33.000000000000007</v>
      </c>
      <c r="BN224" s="78">
        <f t="shared" si="28"/>
        <v>33.000000000000007</v>
      </c>
      <c r="BO224" s="78">
        <f t="shared" si="29"/>
        <v>6.4102564102564111E-2</v>
      </c>
      <c r="BP224" s="78">
        <f t="shared" si="30"/>
        <v>6.4102564102564111E-2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24.523809523809526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25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0.16550000000000001</v>
      </c>
      <c r="AA227" s="67"/>
      <c r="AB227" s="67"/>
      <c r="AC227" s="67"/>
    </row>
    <row r="228" spans="1:68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71.5</v>
      </c>
      <c r="Y228" s="43">
        <f>IFERROR(SUM(Y213:Y226),"0")</f>
        <v>73.5</v>
      </c>
      <c r="Z228" s="42"/>
      <c r="AA228" s="67"/>
      <c r="AB228" s="67"/>
      <c r="AC228" s="67"/>
    </row>
    <row r="229" spans="1:68" ht="14.25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60</v>
      </c>
      <c r="Y259" s="55">
        <f t="shared" ref="Y259:Y266" si="32">IFERROR(IF(X259="",0,CEILING((X259/$H259),1)*$H259),"")</f>
        <v>64.800000000000011</v>
      </c>
      <c r="Z259" s="41">
        <f>IFERROR(IF(Y259=0,"",ROUNDUP(Y259/H259,0)*0.00902),"")</f>
        <v>0.10824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62.1111111111111</v>
      </c>
      <c r="BN259" s="78">
        <f t="shared" ref="BN259:BN266" si="34">IFERROR(Y259*I259/H259,"0")</f>
        <v>67.08</v>
      </c>
      <c r="BO259" s="78">
        <f t="shared" ref="BO259:BO266" si="35">IFERROR(1/J259*(X259/H259),"0")</f>
        <v>8.4175084175084181E-2</v>
      </c>
      <c r="BP259" s="78">
        <f t="shared" ref="BP259:BP266" si="36">IFERROR(1/J259*(Y259/H259),"0")</f>
        <v>9.0909090909090925E-2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30</v>
      </c>
      <c r="Y260" s="55">
        <f t="shared" si="32"/>
        <v>32.400000000000006</v>
      </c>
      <c r="Z260" s="41">
        <f>IFERROR(IF(Y260=0,"",ROUNDUP(Y260/H260,0)*0.00902),"")</f>
        <v>5.4120000000000001E-2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31.05555555555555</v>
      </c>
      <c r="BN260" s="78">
        <f t="shared" si="34"/>
        <v>33.54</v>
      </c>
      <c r="BO260" s="78">
        <f t="shared" si="35"/>
        <v>4.208754208754209E-2</v>
      </c>
      <c r="BP260" s="78">
        <f t="shared" si="36"/>
        <v>4.5454545454545463E-2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30</v>
      </c>
      <c r="Y262" s="55">
        <f t="shared" si="32"/>
        <v>32.400000000000006</v>
      </c>
      <c r="Z262" s="41">
        <f>IFERROR(IF(Y262=0,"",ROUNDUP(Y262/H262,0)*0.00902),"")</f>
        <v>5.4120000000000001E-2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31.05555555555555</v>
      </c>
      <c r="BN262" s="78">
        <f t="shared" si="34"/>
        <v>33.54</v>
      </c>
      <c r="BO262" s="78">
        <f t="shared" si="35"/>
        <v>4.208754208754209E-2</v>
      </c>
      <c r="BP262" s="78">
        <f t="shared" si="36"/>
        <v>4.5454545454545463E-2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22.222222222222221</v>
      </c>
      <c r="Y267" s="43">
        <f>IFERROR(Y259/H259,"0")+IFERROR(Y260/H260,"0")+IFERROR(Y261/H261,"0")+IFERROR(Y262/H262,"0")+IFERROR(Y263/H263,"0")+IFERROR(Y264/H264,"0")+IFERROR(Y265/H265,"0")+IFERROR(Y266/H266,"0")</f>
        <v>24.000000000000004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0.21648000000000001</v>
      </c>
      <c r="AA267" s="67"/>
      <c r="AB267" s="67"/>
      <c r="AC267" s="67"/>
    </row>
    <row r="268" spans="1:68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120</v>
      </c>
      <c r="Y268" s="43">
        <f>IFERROR(SUM(Y259:Y266),"0")</f>
        <v>129.60000000000002</v>
      </c>
      <c r="Z268" s="42"/>
      <c r="AA268" s="67"/>
      <c r="AB268" s="67"/>
      <c r="AC268" s="67"/>
    </row>
    <row r="269" spans="1:68" ht="14.25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168</v>
      </c>
      <c r="Y276" s="55">
        <f t="shared" si="37"/>
        <v>168</v>
      </c>
      <c r="Z276" s="41">
        <f>IFERROR(IF(Y276=0,"",ROUNDUP(Y276/H276,0)*0.00651),"")</f>
        <v>0.45569999999999999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185.64000000000001</v>
      </c>
      <c r="BN276" s="78">
        <f t="shared" si="39"/>
        <v>185.64000000000001</v>
      </c>
      <c r="BO276" s="78">
        <f t="shared" si="40"/>
        <v>0.38461538461538464</v>
      </c>
      <c r="BP276" s="78">
        <f t="shared" si="41"/>
        <v>0.38461538461538464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70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70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0.45569999999999999</v>
      </c>
      <c r="AA282" s="67"/>
      <c r="AB282" s="67"/>
      <c r="AC282" s="67"/>
    </row>
    <row r="283" spans="1:68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168</v>
      </c>
      <c r="Y283" s="43">
        <f>IFERROR(SUM(Y270:Y281),"0")</f>
        <v>168</v>
      </c>
      <c r="Z283" s="42"/>
      <c r="AA283" s="67"/>
      <c r="AB283" s="67"/>
      <c r="AC283" s="67"/>
    </row>
    <row r="284" spans="1:68" ht="14.25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100</v>
      </c>
      <c r="Y380" s="55">
        <f>IFERROR(IF(X380="",0,CEILING((X380/$H380),1)*$H380),"")</f>
        <v>101.39999999999999</v>
      </c>
      <c r="Z380" s="41">
        <f>IFERROR(IF(Y380=0,"",ROUNDUP(Y380/H380,0)*0.01898),"")</f>
        <v>0.24674000000000001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106.33333333333334</v>
      </c>
      <c r="BN380" s="78">
        <f>IFERROR(Y380*I380/H380,"0")</f>
        <v>107.82199999999999</v>
      </c>
      <c r="BO380" s="78">
        <f>IFERROR(1/J380*(X380/H380),"0")</f>
        <v>0.20032051282051283</v>
      </c>
      <c r="BP380" s="78">
        <f>IFERROR(1/J380*(Y380/H380),"0")</f>
        <v>0.203125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12.820512820512821</v>
      </c>
      <c r="Y382" s="43">
        <f>IFERROR(Y379/H379,"0")+IFERROR(Y380/H380,"0")+IFERROR(Y381/H381,"0")</f>
        <v>13</v>
      </c>
      <c r="Z382" s="43">
        <f>IFERROR(IF(Z379="",0,Z379),"0")+IFERROR(IF(Z380="",0,Z380),"0")+IFERROR(IF(Z381="",0,Z381),"0")</f>
        <v>0.24674000000000001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100</v>
      </c>
      <c r="Y383" s="43">
        <f>IFERROR(SUM(Y379:Y381),"0")</f>
        <v>101.39999999999999</v>
      </c>
      <c r="Z383" s="42"/>
      <c r="AA383" s="67"/>
      <c r="AB383" s="67"/>
      <c r="AC383" s="67"/>
    </row>
    <row r="384" spans="1:68" ht="14.25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73.5</v>
      </c>
      <c r="Y400" s="55">
        <f>IFERROR(IF(X400="",0,CEILING((X400/$H400),1)*$H400),"")</f>
        <v>73.5</v>
      </c>
      <c r="Z400" s="41">
        <f>IFERROR(IF(Y400=0,"",ROUNDUP(Y400/H400,0)*0.00651),"")</f>
        <v>0.22785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82.32</v>
      </c>
      <c r="BN400" s="78">
        <f>IFERROR(Y400*I400/H400,"0")</f>
        <v>82.32</v>
      </c>
      <c r="BO400" s="78">
        <f>IFERROR(1/J400*(X400/H400),"0")</f>
        <v>0.19230769230769232</v>
      </c>
      <c r="BP400" s="78">
        <f>IFERROR(1/J400*(Y400/H400),"0")</f>
        <v>0.19230769230769232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52.5</v>
      </c>
      <c r="Y401" s="55">
        <f>IFERROR(IF(X401="",0,CEILING((X401/$H401),1)*$H401),"")</f>
        <v>52.5</v>
      </c>
      <c r="Z401" s="41">
        <f>IFERROR(IF(Y401=0,"",ROUNDUP(Y401/H401,0)*0.00651),"")</f>
        <v>0.16275000000000001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58.499999999999993</v>
      </c>
      <c r="BN401" s="78">
        <f>IFERROR(Y401*I401/H401,"0")</f>
        <v>58.499999999999993</v>
      </c>
      <c r="BO401" s="78">
        <f>IFERROR(1/J401*(X401/H401),"0")</f>
        <v>0.13736263736263737</v>
      </c>
      <c r="BP401" s="78">
        <f>IFERROR(1/J401*(Y401/H401),"0")</f>
        <v>0.13736263736263737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60</v>
      </c>
      <c r="Y402" s="43">
        <f>IFERROR(Y399/H399,"0")+IFERROR(Y400/H400,"0")+IFERROR(Y401/H401,"0")</f>
        <v>60</v>
      </c>
      <c r="Z402" s="43">
        <f>IFERROR(IF(Z399="",0,Z399),"0")+IFERROR(IF(Z400="",0,Z400),"0")+IFERROR(IF(Z401="",0,Z401),"0")</f>
        <v>0.3906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126</v>
      </c>
      <c r="Y403" s="43">
        <f>IFERROR(SUM(Y399:Y401),"0")</f>
        <v>126</v>
      </c>
      <c r="Z403" s="42"/>
      <c r="AA403" s="67"/>
      <c r="AB403" s="67"/>
      <c r="AC403" s="67"/>
    </row>
    <row r="404" spans="1:68" ht="27.75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1500</v>
      </c>
      <c r="Y408" s="55">
        <f t="shared" si="57"/>
        <v>1500</v>
      </c>
      <c r="Z408" s="41">
        <f>IFERROR(IF(Y408=0,"",ROUNDUP(Y408/H408,0)*0.02175),"")</f>
        <v>2.1749999999999998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1547</v>
      </c>
      <c r="BN408" s="78">
        <f t="shared" si="59"/>
        <v>1547</v>
      </c>
      <c r="BO408" s="78">
        <f t="shared" si="60"/>
        <v>2.083333333333333</v>
      </c>
      <c r="BP408" s="78">
        <f t="shared" si="61"/>
        <v>2.083333333333333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1500</v>
      </c>
      <c r="Y409" s="55">
        <f t="shared" si="57"/>
        <v>1500</v>
      </c>
      <c r="Z409" s="41">
        <f>IFERROR(IF(Y409=0,"",ROUNDUP(Y409/H409,0)*0.02175),"")</f>
        <v>2.1749999999999998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1547</v>
      </c>
      <c r="BN409" s="78">
        <f t="shared" si="59"/>
        <v>1547</v>
      </c>
      <c r="BO409" s="78">
        <f t="shared" si="60"/>
        <v>2.083333333333333</v>
      </c>
      <c r="BP409" s="78">
        <f t="shared" si="61"/>
        <v>2.083333333333333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2250</v>
      </c>
      <c r="Y410" s="55">
        <f t="shared" si="57"/>
        <v>2250</v>
      </c>
      <c r="Z410" s="41">
        <f>IFERROR(IF(Y410=0,"",ROUNDUP(Y410/H410,0)*0.02175),"")</f>
        <v>3.2624999999999997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2320.5</v>
      </c>
      <c r="BN410" s="78">
        <f t="shared" si="59"/>
        <v>2320.5</v>
      </c>
      <c r="BO410" s="78">
        <f t="shared" si="60"/>
        <v>3.125</v>
      </c>
      <c r="BP410" s="78">
        <f t="shared" si="61"/>
        <v>3.125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350</v>
      </c>
      <c r="Y415" s="43">
        <f>IFERROR(Y407/H407,"0")+IFERROR(Y408/H408,"0")+IFERROR(Y409/H409,"0")+IFERROR(Y410/H410,"0")+IFERROR(Y411/H411,"0")+IFERROR(Y412/H412,"0")+IFERROR(Y413/H413,"0")+IFERROR(Y414/H414,"0")</f>
        <v>350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7.6124999999999989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5250</v>
      </c>
      <c r="Y416" s="43">
        <f>IFERROR(SUM(Y407:Y414),"0")</f>
        <v>5250</v>
      </c>
      <c r="Z416" s="42"/>
      <c r="AA416" s="67"/>
      <c r="AB416" s="67"/>
      <c r="AC416" s="67"/>
    </row>
    <row r="417" spans="1:68" ht="14.25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1500</v>
      </c>
      <c r="Y418" s="55">
        <f>IFERROR(IF(X418="",0,CEILING((X418/$H418),1)*$H418),"")</f>
        <v>1500</v>
      </c>
      <c r="Z418" s="41">
        <f>IFERROR(IF(Y418=0,"",ROUNDUP(Y418/H418,0)*0.02175),"")</f>
        <v>2.1749999999999998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1547</v>
      </c>
      <c r="BN418" s="78">
        <f>IFERROR(Y418*I418/H418,"0")</f>
        <v>1547</v>
      </c>
      <c r="BO418" s="78">
        <f>IFERROR(1/J418*(X418/H418),"0")</f>
        <v>2.083333333333333</v>
      </c>
      <c r="BP418" s="78">
        <f>IFERROR(1/J418*(Y418/H418),"0")</f>
        <v>2.083333333333333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100</v>
      </c>
      <c r="Y421" s="43">
        <f>IFERROR(Y418/H418,"0")+IFERROR(Y419/H419,"0")+IFERROR(Y420/H420,"0")</f>
        <v>100</v>
      </c>
      <c r="Z421" s="43">
        <f>IFERROR(IF(Z418="",0,Z418),"0")+IFERROR(IF(Z419="",0,Z419),"0")+IFERROR(IF(Z420="",0,Z420),"0")</f>
        <v>2.1749999999999998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1500</v>
      </c>
      <c r="Y422" s="43">
        <f>IFERROR(SUM(Y418:Y420),"0")</f>
        <v>1500</v>
      </c>
      <c r="Z422" s="42"/>
      <c r="AA422" s="67"/>
      <c r="AB422" s="67"/>
      <c r="AC422" s="67"/>
    </row>
    <row r="423" spans="1:68" ht="14.25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60</v>
      </c>
      <c r="Y429" s="55">
        <f>IFERROR(IF(X429="",0,CEILING((X429/$H429),1)*$H429),"")</f>
        <v>63</v>
      </c>
      <c r="Z429" s="41">
        <f>IFERROR(IF(Y429=0,"",ROUNDUP(Y429/H429,0)*0.01898),"")</f>
        <v>0.13286000000000001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63.293333333333329</v>
      </c>
      <c r="BN429" s="78">
        <f>IFERROR(Y429*I429/H429,"0")</f>
        <v>66.457999999999998</v>
      </c>
      <c r="BO429" s="78">
        <f>IFERROR(1/J429*(X429/H429),"0")</f>
        <v>0.10416666666666667</v>
      </c>
      <c r="BP429" s="78">
        <f>IFERROR(1/J429*(Y429/H429),"0")</f>
        <v>0.109375</v>
      </c>
    </row>
    <row r="430" spans="1:68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6.666666666666667</v>
      </c>
      <c r="Y430" s="43">
        <f>IFERROR(Y429/H429,"0")</f>
        <v>7</v>
      </c>
      <c r="Z430" s="43">
        <f>IFERROR(IF(Z429="",0,Z429),"0")</f>
        <v>0.13286000000000001</v>
      </c>
      <c r="AA430" s="67"/>
      <c r="AB430" s="67"/>
      <c r="AC430" s="67"/>
    </row>
    <row r="431" spans="1:68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60</v>
      </c>
      <c r="Y431" s="43">
        <f>IFERROR(SUM(Y429:Y429),"0")</f>
        <v>63</v>
      </c>
      <c r="Z431" s="42"/>
      <c r="AA431" s="67"/>
      <c r="AB431" s="67"/>
      <c r="AC431" s="67"/>
    </row>
    <row r="432" spans="1:68" ht="16.5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40</v>
      </c>
      <c r="Y434" s="55">
        <f>IFERROR(IF(X434="",0,CEILING((X434/$H434),1)*$H434),"")</f>
        <v>48</v>
      </c>
      <c r="Z434" s="41">
        <f>IFERROR(IF(Y434=0,"",ROUNDUP(Y434/H434,0)*0.01898),"")</f>
        <v>7.5920000000000001E-2</v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41.366666666666667</v>
      </c>
      <c r="BN434" s="78">
        <f>IFERROR(Y434*I434/H434,"0")</f>
        <v>49.640000000000008</v>
      </c>
      <c r="BO434" s="78">
        <f>IFERROR(1/J434*(X434/H434),"0")</f>
        <v>5.2083333333333336E-2</v>
      </c>
      <c r="BP434" s="78">
        <f>IFERROR(1/J434*(Y434/H434),"0")</f>
        <v>6.25E-2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3.3333333333333335</v>
      </c>
      <c r="Y436" s="43">
        <f>IFERROR(Y434/H434,"0")+IFERROR(Y435/H435,"0")</f>
        <v>4</v>
      </c>
      <c r="Z436" s="43">
        <f>IFERROR(IF(Z434="",0,Z434),"0")+IFERROR(IF(Z435="",0,Z435),"0")</f>
        <v>7.5920000000000001E-2</v>
      </c>
      <c r="AA436" s="67"/>
      <c r="AB436" s="67"/>
      <c r="AC436" s="67"/>
    </row>
    <row r="437" spans="1:68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40</v>
      </c>
      <c r="Y437" s="43">
        <f>IFERROR(SUM(Y434:Y435),"0")</f>
        <v>48</v>
      </c>
      <c r="Z437" s="42"/>
      <c r="AA437" s="67"/>
      <c r="AB437" s="67"/>
      <c r="AC437" s="67"/>
    </row>
    <row r="438" spans="1:68" ht="14.25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2500</v>
      </c>
      <c r="Y443" s="55">
        <f>IFERROR(IF(X443="",0,CEILING((X443/$H443),1)*$H443),"")</f>
        <v>2502</v>
      </c>
      <c r="Z443" s="41">
        <f>IFERROR(IF(Y443=0,"",ROUNDUP(Y443/H443,0)*0.01898),"")</f>
        <v>5.27644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2637.2222222222222</v>
      </c>
      <c r="BN443" s="78">
        <f>IFERROR(Y443*I443/H443,"0")</f>
        <v>2639.3320000000003</v>
      </c>
      <c r="BO443" s="78">
        <f>IFERROR(1/J443*(X443/H443),"0")</f>
        <v>4.3402777777777777</v>
      </c>
      <c r="BP443" s="78">
        <f>IFERROR(1/J443*(Y443/H443),"0")</f>
        <v>4.34375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60</v>
      </c>
      <c r="Y444" s="55">
        <f>IFERROR(IF(X444="",0,CEILING((X444/$H444),1)*$H444),"")</f>
        <v>60</v>
      </c>
      <c r="Z444" s="41">
        <f>IFERROR(IF(Y444=0,"",ROUNDUP(Y444/H444,0)*0.00651),"")</f>
        <v>0.16275000000000001</v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66.600000000000009</v>
      </c>
      <c r="BN444" s="78">
        <f>IFERROR(Y444*I444/H444,"0")</f>
        <v>66.600000000000009</v>
      </c>
      <c r="BO444" s="78">
        <f>IFERROR(1/J444*(X444/H444),"0")</f>
        <v>0.13736263736263737</v>
      </c>
      <c r="BP444" s="78">
        <f>IFERROR(1/J444*(Y444/H444),"0")</f>
        <v>0.13736263736263737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302.77777777777777</v>
      </c>
      <c r="Y446" s="43">
        <f>IFERROR(Y443/H443,"0")+IFERROR(Y444/H444,"0")+IFERROR(Y445/H445,"0")</f>
        <v>303</v>
      </c>
      <c r="Z446" s="43">
        <f>IFERROR(IF(Z443="",0,Z443),"0")+IFERROR(IF(Z444="",0,Z444),"0")+IFERROR(IF(Z445="",0,Z445),"0")</f>
        <v>5.43919</v>
      </c>
      <c r="AA446" s="67"/>
      <c r="AB446" s="67"/>
      <c r="AC446" s="67"/>
    </row>
    <row r="447" spans="1:68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2560</v>
      </c>
      <c r="Y447" s="43">
        <f>IFERROR(SUM(Y443:Y445),"0")</f>
        <v>2562</v>
      </c>
      <c r="Z447" s="42"/>
      <c r="AA447" s="67"/>
      <c r="AB447" s="67"/>
      <c r="AC447" s="67"/>
    </row>
    <row r="448" spans="1:68" ht="27.75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80</v>
      </c>
      <c r="Y478" s="55">
        <f t="shared" ref="Y478:Y486" si="67">IFERROR(IF(X478="",0,CEILING((X478/$H478),1)*$H478),"")</f>
        <v>84.48</v>
      </c>
      <c r="Z478" s="41">
        <f t="shared" ref="Z478:Z483" si="68">IFERROR(IF(Y478=0,"",ROUNDUP(Y478/H478,0)*0.01196),"")</f>
        <v>0.19136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85.303030303030297</v>
      </c>
      <c r="BN478" s="78">
        <f t="shared" ref="BN478:BN486" si="70">IFERROR(Y478*I478/H478,"0")</f>
        <v>90.08</v>
      </c>
      <c r="BO478" s="78">
        <f t="shared" ref="BO478:BO486" si="71">IFERROR(1/J478*(X478/H478),"0")</f>
        <v>0.14568764568764569</v>
      </c>
      <c r="BP478" s="78">
        <f t="shared" ref="BP478:BP486" si="72">IFERROR(1/J478*(Y478/H478),"0")</f>
        <v>0.15384615384615385</v>
      </c>
    </row>
    <row r="479" spans="1:68" ht="16.5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1000</v>
      </c>
      <c r="Y481" s="55">
        <f t="shared" si="67"/>
        <v>1003.2</v>
      </c>
      <c r="Z481" s="41">
        <f t="shared" si="68"/>
        <v>2.2724000000000002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1066.2878787878788</v>
      </c>
      <c r="BN481" s="78">
        <f t="shared" si="70"/>
        <v>1069.7</v>
      </c>
      <c r="BO481" s="78">
        <f t="shared" si="71"/>
        <v>1.821095571095571</v>
      </c>
      <c r="BP481" s="78">
        <f t="shared" si="72"/>
        <v>1.8269230769230771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204.54545454545453</v>
      </c>
      <c r="Y487" s="43">
        <f>IFERROR(Y478/H478,"0")+IFERROR(Y479/H479,"0")+IFERROR(Y480/H480,"0")+IFERROR(Y481/H481,"0")+IFERROR(Y482/H482,"0")+IFERROR(Y483/H483,"0")+IFERROR(Y484/H484,"0")+IFERROR(Y485/H485,"0")+IFERROR(Y486/H486,"0")</f>
        <v>206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2.4637600000000002</v>
      </c>
      <c r="AA487" s="67"/>
      <c r="AB487" s="67"/>
      <c r="AC487" s="67"/>
    </row>
    <row r="488" spans="1:68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1080</v>
      </c>
      <c r="Y488" s="43">
        <f>IFERROR(SUM(Y478:Y486),"0")</f>
        <v>1087.68</v>
      </c>
      <c r="Z488" s="42"/>
      <c r="AA488" s="67"/>
      <c r="AB488" s="67"/>
      <c r="AC488" s="67"/>
    </row>
    <row r="489" spans="1:68" ht="14.25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1000</v>
      </c>
      <c r="Y490" s="55">
        <f>IFERROR(IF(X490="",0,CEILING((X490/$H490),1)*$H490),"")</f>
        <v>1003.2</v>
      </c>
      <c r="Z490" s="41">
        <f>IFERROR(IF(Y490=0,"",ROUNDUP(Y490/H490,0)*0.01196),"")</f>
        <v>2.2724000000000002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1066.2878787878788</v>
      </c>
      <c r="BN490" s="78">
        <f>IFERROR(Y490*I490/H490,"0")</f>
        <v>1069.7</v>
      </c>
      <c r="BO490" s="78">
        <f>IFERROR(1/J490*(X490/H490),"0")</f>
        <v>1.821095571095571</v>
      </c>
      <c r="BP490" s="78">
        <f>IFERROR(1/J490*(Y490/H490),"0")</f>
        <v>1.8269230769230771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189.39393939393938</v>
      </c>
      <c r="Y493" s="43">
        <f>IFERROR(Y490/H490,"0")+IFERROR(Y491/H491,"0")+IFERROR(Y492/H492,"0")</f>
        <v>190</v>
      </c>
      <c r="Z493" s="43">
        <f>IFERROR(IF(Z490="",0,Z490),"0")+IFERROR(IF(Z491="",0,Z491),"0")+IFERROR(IF(Z492="",0,Z492),"0")</f>
        <v>2.2724000000000002</v>
      </c>
      <c r="AA493" s="67"/>
      <c r="AB493" s="67"/>
      <c r="AC493" s="67"/>
    </row>
    <row r="494" spans="1:68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1000</v>
      </c>
      <c r="Y494" s="43">
        <f>IFERROR(SUM(Y490:Y492),"0")</f>
        <v>1003.2</v>
      </c>
      <c r="Z494" s="42"/>
      <c r="AA494" s="67"/>
      <c r="AB494" s="67"/>
      <c r="AC494" s="67"/>
    </row>
    <row r="495" spans="1:68" ht="14.25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200</v>
      </c>
      <c r="Y496" s="55">
        <f t="shared" ref="Y496:Y502" si="73">IFERROR(IF(X496="",0,CEILING((X496/$H496),1)*$H496),"")</f>
        <v>200.64000000000001</v>
      </c>
      <c r="Z496" s="41">
        <f>IFERROR(IF(Y496=0,"",ROUNDUP(Y496/H496,0)*0.01196),"")</f>
        <v>0.45448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213.25757575757575</v>
      </c>
      <c r="BN496" s="78">
        <f t="shared" ref="BN496:BN502" si="75">IFERROR(Y496*I496/H496,"0")</f>
        <v>213.94</v>
      </c>
      <c r="BO496" s="78">
        <f t="shared" ref="BO496:BO502" si="76">IFERROR(1/J496*(X496/H496),"0")</f>
        <v>0.36421911421911418</v>
      </c>
      <c r="BP496" s="78">
        <f t="shared" ref="BP496:BP502" si="77">IFERROR(1/J496*(Y496/H496),"0")</f>
        <v>0.36538461538461542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200</v>
      </c>
      <c r="Y497" s="55">
        <f t="shared" si="73"/>
        <v>200.64000000000001</v>
      </c>
      <c r="Z497" s="41">
        <f>IFERROR(IF(Y497=0,"",ROUNDUP(Y497/H497,0)*0.01196),"")</f>
        <v>0.45448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213.25757575757575</v>
      </c>
      <c r="BN497" s="78">
        <f t="shared" si="75"/>
        <v>213.94</v>
      </c>
      <c r="BO497" s="78">
        <f t="shared" si="76"/>
        <v>0.36421911421911418</v>
      </c>
      <c r="BP497" s="78">
        <f t="shared" si="77"/>
        <v>0.36538461538461542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75.757575757575751</v>
      </c>
      <c r="Y503" s="43">
        <f>IFERROR(Y496/H496,"0")+IFERROR(Y497/H497,"0")+IFERROR(Y498/H498,"0")+IFERROR(Y499/H499,"0")+IFERROR(Y500/H500,"0")+IFERROR(Y501/H501,"0")+IFERROR(Y502/H502,"0")</f>
        <v>76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0.90895999999999999</v>
      </c>
      <c r="AA503" s="67"/>
      <c r="AB503" s="67"/>
      <c r="AC503" s="67"/>
    </row>
    <row r="504" spans="1:68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400</v>
      </c>
      <c r="Y504" s="43">
        <f>IFERROR(SUM(Y496:Y502),"0")</f>
        <v>401.28000000000003</v>
      </c>
      <c r="Z504" s="42"/>
      <c r="AA504" s="67"/>
      <c r="AB504" s="67"/>
      <c r="AC504" s="67"/>
    </row>
    <row r="505" spans="1:68" ht="27.75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100</v>
      </c>
      <c r="Y508" s="55">
        <f>IFERROR(IF(X508="",0,CEILING((X508/$H508),1)*$H508),"")</f>
        <v>108</v>
      </c>
      <c r="Z508" s="41">
        <f>IFERROR(IF(Y508=0,"",ROUNDUP(Y508/H508,0)*0.01898),"")</f>
        <v>0.17082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103.41666666666667</v>
      </c>
      <c r="BN508" s="78">
        <f>IFERROR(Y508*I508/H508,"0")</f>
        <v>111.69</v>
      </c>
      <c r="BO508" s="78">
        <f>IFERROR(1/J508*(X508/H508),"0")</f>
        <v>0.13020833333333334</v>
      </c>
      <c r="BP508" s="78">
        <f>IFERROR(1/J508*(Y508/H508),"0")</f>
        <v>0.140625</v>
      </c>
    </row>
    <row r="509" spans="1:68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8.3333333333333339</v>
      </c>
      <c r="Y509" s="43">
        <f>IFERROR(Y508/H508,"0")</f>
        <v>9</v>
      </c>
      <c r="Z509" s="43">
        <f>IFERROR(IF(Z508="",0,Z508),"0")</f>
        <v>0.17082</v>
      </c>
      <c r="AA509" s="67"/>
      <c r="AB509" s="67"/>
      <c r="AC509" s="67"/>
    </row>
    <row r="510" spans="1:68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100</v>
      </c>
      <c r="Y510" s="43">
        <f>IFERROR(SUM(Y508:Y508),"0")</f>
        <v>108</v>
      </c>
      <c r="Z510" s="42"/>
      <c r="AA510" s="67"/>
      <c r="AB510" s="67"/>
      <c r="AC510" s="67"/>
    </row>
    <row r="511" spans="1:68" ht="14.25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13826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13908.660000000002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14465.907607824274</v>
      </c>
      <c r="Y535" s="43">
        <f>IFERROR(SUM(BN22:BN531),"0")</f>
        <v>14552.454000000003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22</v>
      </c>
      <c r="Y536" s="44">
        <f>ROUNDUP(SUM(BP22:BP531),0)</f>
        <v>23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15015.907607824274</v>
      </c>
      <c r="Y537" s="43">
        <f>GrossWeightTotalR+PalletQtyTotalR*25</f>
        <v>15127.454000000003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1611.5474648807981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1622</v>
      </c>
      <c r="Z538" s="42"/>
      <c r="AA538" s="67"/>
      <c r="AB538" s="67"/>
      <c r="AC538" s="67"/>
    </row>
    <row r="539" spans="1:68" ht="14.25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25.327580000000001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410.40000000000003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45</v>
      </c>
      <c r="F544" s="52">
        <f>IFERROR(Y88*1,"0")+IFERROR(Y89*1,"0")+IFERROR(Y90*1,"0")+IFERROR(Y91*1,"0")+IFERROR(Y95*1,"0")+IFERROR(Y96*1,"0")+IFERROR(Y97*1,"0")+IFERROR(Y98*1,"0")</f>
        <v>329.40000000000003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502.20000000000005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73.5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297.60000000000002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101.39999999999999</v>
      </c>
      <c r="U544" s="52">
        <f>IFERROR(Y399*1,"0")+IFERROR(Y400*1,"0")+IFERROR(Y401*1,"0")</f>
        <v>126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6813</v>
      </c>
      <c r="W544" s="52">
        <f>IFERROR(Y434*1,"0")+IFERROR(Y435*1,"0")+IFERROR(Y439*1,"0")+IFERROR(Y443*1,"0")+IFERROR(Y444*1,"0")+IFERROR(Y445*1,"0")</f>
        <v>2610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2492.16</v>
      </c>
      <c r="AA544" s="52">
        <f>IFERROR(Y508*1,"0")+IFERROR(Y512*1,"0")+IFERROR(Y516*1,"0")+IFERROR(Y517*1,"0")+IFERROR(Y521*1,"0")+IFERROR(Y525*1,"0")+IFERROR(Y526*1,"0")</f>
        <v>108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2026-07-16T06:35:57Z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