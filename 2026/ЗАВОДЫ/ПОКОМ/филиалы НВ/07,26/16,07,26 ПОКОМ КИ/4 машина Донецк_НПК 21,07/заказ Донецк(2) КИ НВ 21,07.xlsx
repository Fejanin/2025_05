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3E9B4F9D-8E99-4A0C-9163-9FEBC599F4C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P532" i="1"/>
  <c r="BO532" i="1"/>
  <c r="BN532" i="1"/>
  <c r="BM532" i="1"/>
  <c r="Z532" i="1"/>
  <c r="Y532" i="1"/>
  <c r="P532" i="1"/>
  <c r="X530" i="1"/>
  <c r="Y529" i="1"/>
  <c r="X529" i="1"/>
  <c r="BP528" i="1"/>
  <c r="BO528" i="1"/>
  <c r="BN528" i="1"/>
  <c r="BM528" i="1"/>
  <c r="Z528" i="1"/>
  <c r="Z529" i="1" s="1"/>
  <c r="Y528" i="1"/>
  <c r="Y530" i="1" s="1"/>
  <c r="P528" i="1"/>
  <c r="X526" i="1"/>
  <c r="Y525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Y511" i="1" s="1"/>
  <c r="P503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Y481" i="1" s="1"/>
  <c r="P477" i="1"/>
  <c r="X475" i="1"/>
  <c r="X474" i="1"/>
  <c r="BO473" i="1"/>
  <c r="BM473" i="1"/>
  <c r="Y473" i="1"/>
  <c r="Y475" i="1" s="1"/>
  <c r="P473" i="1"/>
  <c r="X470" i="1"/>
  <c r="X469" i="1"/>
  <c r="BO468" i="1"/>
  <c r="BM468" i="1"/>
  <c r="Y468" i="1"/>
  <c r="BP468" i="1" s="1"/>
  <c r="P468" i="1"/>
  <c r="BO467" i="1"/>
  <c r="BM467" i="1"/>
  <c r="Y467" i="1"/>
  <c r="Y470" i="1" s="1"/>
  <c r="P467" i="1"/>
  <c r="X465" i="1"/>
  <c r="X464" i="1"/>
  <c r="BO463" i="1"/>
  <c r="BM463" i="1"/>
  <c r="Y463" i="1"/>
  <c r="BP463" i="1" s="1"/>
  <c r="P463" i="1"/>
  <c r="BO462" i="1"/>
  <c r="BM462" i="1"/>
  <c r="Y462" i="1"/>
  <c r="BP462" i="1" s="1"/>
  <c r="P462" i="1"/>
  <c r="BO461" i="1"/>
  <c r="BM461" i="1"/>
  <c r="Y461" i="1"/>
  <c r="BP461" i="1" s="1"/>
  <c r="P461" i="1"/>
  <c r="BO460" i="1"/>
  <c r="BM460" i="1"/>
  <c r="Y460" i="1"/>
  <c r="BP460" i="1" s="1"/>
  <c r="P460" i="1"/>
  <c r="BO459" i="1"/>
  <c r="BM459" i="1"/>
  <c r="Z459" i="1"/>
  <c r="Y459" i="1"/>
  <c r="BP459" i="1" s="1"/>
  <c r="P459" i="1"/>
  <c r="BO458" i="1"/>
  <c r="BM458" i="1"/>
  <c r="Y458" i="1"/>
  <c r="X551" i="1" s="1"/>
  <c r="P458" i="1"/>
  <c r="X454" i="1"/>
  <c r="X453" i="1"/>
  <c r="BO452" i="1"/>
  <c r="BM452" i="1"/>
  <c r="Y452" i="1"/>
  <c r="BP452" i="1" s="1"/>
  <c r="P452" i="1"/>
  <c r="BP451" i="1"/>
  <c r="BO451" i="1"/>
  <c r="BN451" i="1"/>
  <c r="BM451" i="1"/>
  <c r="Z451" i="1"/>
  <c r="Y451" i="1"/>
  <c r="P451" i="1"/>
  <c r="BO450" i="1"/>
  <c r="BM450" i="1"/>
  <c r="Y450" i="1"/>
  <c r="Y454" i="1" s="1"/>
  <c r="P450" i="1"/>
  <c r="X448" i="1"/>
  <c r="X447" i="1"/>
  <c r="BO446" i="1"/>
  <c r="BM446" i="1"/>
  <c r="Y446" i="1"/>
  <c r="Y448" i="1" s="1"/>
  <c r="P446" i="1"/>
  <c r="X444" i="1"/>
  <c r="X443" i="1"/>
  <c r="BO442" i="1"/>
  <c r="BM442" i="1"/>
  <c r="Y442" i="1"/>
  <c r="Y444" i="1" s="1"/>
  <c r="P442" i="1"/>
  <c r="BP441" i="1"/>
  <c r="BO441" i="1"/>
  <c r="BN441" i="1"/>
  <c r="BM441" i="1"/>
  <c r="Z441" i="1"/>
  <c r="Y441" i="1"/>
  <c r="W551" i="1" s="1"/>
  <c r="P441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Y437" i="1" s="1"/>
  <c r="P435" i="1"/>
  <c r="X433" i="1"/>
  <c r="X432" i="1"/>
  <c r="BO431" i="1"/>
  <c r="BM431" i="1"/>
  <c r="Y431" i="1"/>
  <c r="BP431" i="1" s="1"/>
  <c r="P431" i="1"/>
  <c r="BP430" i="1"/>
  <c r="BO430" i="1"/>
  <c r="BN430" i="1"/>
  <c r="BM430" i="1"/>
  <c r="Z430" i="1"/>
  <c r="Y430" i="1"/>
  <c r="P430" i="1"/>
  <c r="BO429" i="1"/>
  <c r="BM429" i="1"/>
  <c r="Y429" i="1"/>
  <c r="Y433" i="1" s="1"/>
  <c r="P429" i="1"/>
  <c r="X427" i="1"/>
  <c r="X426" i="1"/>
  <c r="BO425" i="1"/>
  <c r="BM425" i="1"/>
  <c r="Y425" i="1"/>
  <c r="BP425" i="1" s="1"/>
  <c r="P425" i="1"/>
  <c r="BP424" i="1"/>
  <c r="BO424" i="1"/>
  <c r="BN424" i="1"/>
  <c r="BM424" i="1"/>
  <c r="Z424" i="1"/>
  <c r="Y424" i="1"/>
  <c r="P424" i="1"/>
  <c r="BO423" i="1"/>
  <c r="BM423" i="1"/>
  <c r="Y423" i="1"/>
  <c r="Y427" i="1" s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Z415" i="1"/>
  <c r="Y415" i="1"/>
  <c r="P415" i="1"/>
  <c r="BO414" i="1"/>
  <c r="BM414" i="1"/>
  <c r="Y414" i="1"/>
  <c r="BP414" i="1" s="1"/>
  <c r="P414" i="1"/>
  <c r="BP413" i="1"/>
  <c r="BO413" i="1"/>
  <c r="BN413" i="1"/>
  <c r="BM413" i="1"/>
  <c r="Z413" i="1"/>
  <c r="Y413" i="1"/>
  <c r="P413" i="1"/>
  <c r="BO412" i="1"/>
  <c r="BM412" i="1"/>
  <c r="Y412" i="1"/>
  <c r="BP412" i="1" s="1"/>
  <c r="P412" i="1"/>
  <c r="X408" i="1"/>
  <c r="X407" i="1"/>
  <c r="BO406" i="1"/>
  <c r="BM406" i="1"/>
  <c r="Y406" i="1"/>
  <c r="BP406" i="1" s="1"/>
  <c r="P406" i="1"/>
  <c r="BP405" i="1"/>
  <c r="BO405" i="1"/>
  <c r="BN405" i="1"/>
  <c r="BM405" i="1"/>
  <c r="Z405" i="1"/>
  <c r="Y405" i="1"/>
  <c r="P405" i="1"/>
  <c r="BO404" i="1"/>
  <c r="BM404" i="1"/>
  <c r="Y404" i="1"/>
  <c r="U551" i="1" s="1"/>
  <c r="P404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Y401" i="1" s="1"/>
  <c r="P397" i="1"/>
  <c r="X395" i="1"/>
  <c r="X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Y395" i="1" s="1"/>
  <c r="P391" i="1"/>
  <c r="X389" i="1"/>
  <c r="X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Y389" i="1" s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Y381" i="1" s="1"/>
  <c r="P379" i="1"/>
  <c r="BP378" i="1"/>
  <c r="BO378" i="1"/>
  <c r="BN378" i="1"/>
  <c r="BM378" i="1"/>
  <c r="Z378" i="1"/>
  <c r="Y378" i="1"/>
  <c r="Y382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P372" i="1"/>
  <c r="BO372" i="1"/>
  <c r="BN372" i="1"/>
  <c r="BM372" i="1"/>
  <c r="Z372" i="1"/>
  <c r="Y372" i="1"/>
  <c r="P372" i="1"/>
  <c r="BO371" i="1"/>
  <c r="BM371" i="1"/>
  <c r="Y371" i="1"/>
  <c r="Y375" i="1" s="1"/>
  <c r="P371" i="1"/>
  <c r="X369" i="1"/>
  <c r="X368" i="1"/>
  <c r="BO367" i="1"/>
  <c r="BM367" i="1"/>
  <c r="Y367" i="1"/>
  <c r="BP367" i="1" s="1"/>
  <c r="P367" i="1"/>
  <c r="BP366" i="1"/>
  <c r="BO366" i="1"/>
  <c r="BN366" i="1"/>
  <c r="BM366" i="1"/>
  <c r="Z366" i="1"/>
  <c r="Y366" i="1"/>
  <c r="P366" i="1"/>
  <c r="BO365" i="1"/>
  <c r="BM365" i="1"/>
  <c r="Y365" i="1"/>
  <c r="BP365" i="1" s="1"/>
  <c r="P365" i="1"/>
  <c r="BP364" i="1"/>
  <c r="BO364" i="1"/>
  <c r="BN364" i="1"/>
  <c r="BM364" i="1"/>
  <c r="Z364" i="1"/>
  <c r="Y364" i="1"/>
  <c r="P364" i="1"/>
  <c r="BO363" i="1"/>
  <c r="BM363" i="1"/>
  <c r="Y363" i="1"/>
  <c r="BP363" i="1" s="1"/>
  <c r="P363" i="1"/>
  <c r="BP362" i="1"/>
  <c r="BO362" i="1"/>
  <c r="BN362" i="1"/>
  <c r="BM362" i="1"/>
  <c r="Z362" i="1"/>
  <c r="Y362" i="1"/>
  <c r="P362" i="1"/>
  <c r="BO361" i="1"/>
  <c r="BM361" i="1"/>
  <c r="Y361" i="1"/>
  <c r="Y369" i="1" s="1"/>
  <c r="P361" i="1"/>
  <c r="X359" i="1"/>
  <c r="X358" i="1"/>
  <c r="BO357" i="1"/>
  <c r="BM357" i="1"/>
  <c r="Y357" i="1"/>
  <c r="BP357" i="1" s="1"/>
  <c r="P357" i="1"/>
  <c r="BP356" i="1"/>
  <c r="BO356" i="1"/>
  <c r="BN356" i="1"/>
  <c r="BM356" i="1"/>
  <c r="Z356" i="1"/>
  <c r="Y356" i="1"/>
  <c r="P356" i="1"/>
  <c r="BO355" i="1"/>
  <c r="BM355" i="1"/>
  <c r="Y355" i="1"/>
  <c r="BP355" i="1" s="1"/>
  <c r="P355" i="1"/>
  <c r="BP354" i="1"/>
  <c r="BO354" i="1"/>
  <c r="BN354" i="1"/>
  <c r="BM354" i="1"/>
  <c r="Z354" i="1"/>
  <c r="Y354" i="1"/>
  <c r="P354" i="1"/>
  <c r="BO353" i="1"/>
  <c r="BM353" i="1"/>
  <c r="Y353" i="1"/>
  <c r="T551" i="1" s="1"/>
  <c r="P353" i="1"/>
  <c r="X350" i="1"/>
  <c r="X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S551" i="1" s="1"/>
  <c r="P346" i="1"/>
  <c r="X343" i="1"/>
  <c r="X342" i="1"/>
  <c r="BO341" i="1"/>
  <c r="BM341" i="1"/>
  <c r="Y341" i="1"/>
  <c r="Y343" i="1" s="1"/>
  <c r="P341" i="1"/>
  <c r="BP340" i="1"/>
  <c r="BO340" i="1"/>
  <c r="BN340" i="1"/>
  <c r="BM340" i="1"/>
  <c r="Z340" i="1"/>
  <c r="Y340" i="1"/>
  <c r="Y342" i="1" s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BO333" i="1"/>
  <c r="BM333" i="1"/>
  <c r="Y333" i="1"/>
  <c r="Y337" i="1" s="1"/>
  <c r="P333" i="1"/>
  <c r="BP332" i="1"/>
  <c r="BO332" i="1"/>
  <c r="BN332" i="1"/>
  <c r="BM332" i="1"/>
  <c r="Z332" i="1"/>
  <c r="Y332" i="1"/>
  <c r="P332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Y328" i="1" s="1"/>
  <c r="P326" i="1"/>
  <c r="BP325" i="1"/>
  <c r="BO325" i="1"/>
  <c r="BN325" i="1"/>
  <c r="BM325" i="1"/>
  <c r="Z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BP319" i="1" s="1"/>
  <c r="P319" i="1"/>
  <c r="BP318" i="1"/>
  <c r="BO318" i="1"/>
  <c r="BN318" i="1"/>
  <c r="BM318" i="1"/>
  <c r="Z318" i="1"/>
  <c r="Y318" i="1"/>
  <c r="P318" i="1"/>
  <c r="BO317" i="1"/>
  <c r="BM317" i="1"/>
  <c r="Y317" i="1"/>
  <c r="Y321" i="1" s="1"/>
  <c r="P317" i="1"/>
  <c r="BP316" i="1"/>
  <c r="BO316" i="1"/>
  <c r="BN316" i="1"/>
  <c r="BM316" i="1"/>
  <c r="Z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Y312" i="1" s="1"/>
  <c r="P310" i="1"/>
  <c r="BP309" i="1"/>
  <c r="BO309" i="1"/>
  <c r="BN309" i="1"/>
  <c r="BM309" i="1"/>
  <c r="Z309" i="1"/>
  <c r="Y309" i="1"/>
  <c r="Y313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BP296" i="1" s="1"/>
  <c r="P296" i="1"/>
  <c r="BP295" i="1"/>
  <c r="BO295" i="1"/>
  <c r="BN295" i="1"/>
  <c r="BM295" i="1"/>
  <c r="Z295" i="1"/>
  <c r="Y295" i="1"/>
  <c r="P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Y298" i="1" s="1"/>
  <c r="P292" i="1"/>
  <c r="BP291" i="1"/>
  <c r="BO291" i="1"/>
  <c r="BN291" i="1"/>
  <c r="BM291" i="1"/>
  <c r="Z291" i="1"/>
  <c r="Y291" i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Y287" i="1" s="1"/>
  <c r="P285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BP277" i="1" s="1"/>
  <c r="P277" i="1"/>
  <c r="BP276" i="1"/>
  <c r="BO276" i="1"/>
  <c r="BN276" i="1"/>
  <c r="BM276" i="1"/>
  <c r="Z276" i="1"/>
  <c r="Y276" i="1"/>
  <c r="P276" i="1"/>
  <c r="BO275" i="1"/>
  <c r="BM275" i="1"/>
  <c r="Y275" i="1"/>
  <c r="BP275" i="1" s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Y282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Y256" i="1" s="1"/>
  <c r="P254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Y242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Y236" i="1" s="1"/>
  <c r="P230" i="1"/>
  <c r="X228" i="1"/>
  <c r="X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Y228" i="1" s="1"/>
  <c r="P213" i="1"/>
  <c r="X211" i="1"/>
  <c r="X210" i="1"/>
  <c r="BO209" i="1"/>
  <c r="BM209" i="1"/>
  <c r="Y209" i="1"/>
  <c r="L551" i="1" s="1"/>
  <c r="P209" i="1"/>
  <c r="X206" i="1"/>
  <c r="X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K551" i="1" s="1"/>
  <c r="P198" i="1"/>
  <c r="X194" i="1"/>
  <c r="X193" i="1"/>
  <c r="BO192" i="1"/>
  <c r="BM192" i="1"/>
  <c r="Y192" i="1"/>
  <c r="Y193" i="1" s="1"/>
  <c r="P192" i="1"/>
  <c r="X190" i="1"/>
  <c r="X189" i="1"/>
  <c r="BO188" i="1"/>
  <c r="BM188" i="1"/>
  <c r="Y188" i="1"/>
  <c r="BP188" i="1" s="1"/>
  <c r="P188" i="1"/>
  <c r="BP187" i="1"/>
  <c r="BO187" i="1"/>
  <c r="BN187" i="1"/>
  <c r="BM187" i="1"/>
  <c r="Z187" i="1"/>
  <c r="Y187" i="1"/>
  <c r="Y189" i="1" s="1"/>
  <c r="P187" i="1"/>
  <c r="X185" i="1"/>
  <c r="X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Y185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Y179" i="1" s="1"/>
  <c r="P166" i="1"/>
  <c r="X164" i="1"/>
  <c r="X163" i="1"/>
  <c r="BO162" i="1"/>
  <c r="BM162" i="1"/>
  <c r="Y162" i="1"/>
  <c r="Y163" i="1" s="1"/>
  <c r="P162" i="1"/>
  <c r="X160" i="1"/>
  <c r="X159" i="1"/>
  <c r="BO158" i="1"/>
  <c r="BM158" i="1"/>
  <c r="Y158" i="1"/>
  <c r="BP158" i="1" s="1"/>
  <c r="P158" i="1"/>
  <c r="BP157" i="1"/>
  <c r="BO157" i="1"/>
  <c r="BN157" i="1"/>
  <c r="BM157" i="1"/>
  <c r="Z157" i="1"/>
  <c r="Y157" i="1"/>
  <c r="P157" i="1"/>
  <c r="BO156" i="1"/>
  <c r="BM156" i="1"/>
  <c r="Y156" i="1"/>
  <c r="J551" i="1" s="1"/>
  <c r="P156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H551" i="1" s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Y124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Y109" i="1" s="1"/>
  <c r="P103" i="1"/>
  <c r="X100" i="1"/>
  <c r="X99" i="1"/>
  <c r="BO98" i="1"/>
  <c r="BM98" i="1"/>
  <c r="Y98" i="1"/>
  <c r="P98" i="1"/>
  <c r="BP97" i="1"/>
  <c r="BO97" i="1"/>
  <c r="BN97" i="1"/>
  <c r="BM97" i="1"/>
  <c r="Z97" i="1"/>
  <c r="Y97" i="1"/>
  <c r="P97" i="1"/>
  <c r="BO96" i="1"/>
  <c r="BM96" i="1"/>
  <c r="Y96" i="1"/>
  <c r="Z96" i="1" s="1"/>
  <c r="P96" i="1"/>
  <c r="BP95" i="1"/>
  <c r="BO95" i="1"/>
  <c r="BN95" i="1"/>
  <c r="BM95" i="1"/>
  <c r="Z95" i="1"/>
  <c r="Y95" i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51" i="1" s="1"/>
  <c r="P88" i="1"/>
  <c r="X85" i="1"/>
  <c r="X84" i="1"/>
  <c r="BO83" i="1"/>
  <c r="BM83" i="1"/>
  <c r="Y83" i="1"/>
  <c r="Y85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Y75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51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6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541" i="1" s="1"/>
  <c r="X24" i="1"/>
  <c r="X545" i="1" s="1"/>
  <c r="BP23" i="1"/>
  <c r="BO23" i="1"/>
  <c r="BN23" i="1"/>
  <c r="BM23" i="1"/>
  <c r="Z23" i="1"/>
  <c r="Y23" i="1"/>
  <c r="P23" i="1"/>
  <c r="BO22" i="1"/>
  <c r="X543" i="1" s="1"/>
  <c r="BM22" i="1"/>
  <c r="X542" i="1" s="1"/>
  <c r="X544" i="1" s="1"/>
  <c r="Y22" i="1"/>
  <c r="B551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Y25" i="1"/>
  <c r="Z28" i="1"/>
  <c r="Z32" i="1" s="1"/>
  <c r="BN28" i="1"/>
  <c r="BP28" i="1"/>
  <c r="Z30" i="1"/>
  <c r="BN30" i="1"/>
  <c r="C551" i="1"/>
  <c r="Z42" i="1"/>
  <c r="Z46" i="1" s="1"/>
  <c r="BN42" i="1"/>
  <c r="Z44" i="1"/>
  <c r="BN44" i="1"/>
  <c r="Y47" i="1"/>
  <c r="D551" i="1"/>
  <c r="Z52" i="1"/>
  <c r="Z55" i="1" s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Z73" i="1"/>
  <c r="BN73" i="1"/>
  <c r="Y74" i="1"/>
  <c r="Z77" i="1"/>
  <c r="Z79" i="1" s="1"/>
  <c r="BN77" i="1"/>
  <c r="BP77" i="1"/>
  <c r="Y80" i="1"/>
  <c r="Z83" i="1"/>
  <c r="Z84" i="1" s="1"/>
  <c r="BN83" i="1"/>
  <c r="BP83" i="1"/>
  <c r="Z88" i="1"/>
  <c r="BN88" i="1"/>
  <c r="BP88" i="1"/>
  <c r="Z90" i="1"/>
  <c r="BN90" i="1"/>
  <c r="Y93" i="1"/>
  <c r="Y99" i="1"/>
  <c r="BP105" i="1"/>
  <c r="BN105" i="1"/>
  <c r="Z105" i="1"/>
  <c r="BP113" i="1"/>
  <c r="BN113" i="1"/>
  <c r="Z113" i="1"/>
  <c r="Z117" i="1" s="1"/>
  <c r="Y117" i="1"/>
  <c r="H9" i="1"/>
  <c r="Y24" i="1"/>
  <c r="Y46" i="1"/>
  <c r="Y67" i="1"/>
  <c r="Y92" i="1"/>
  <c r="BP96" i="1"/>
  <c r="BN96" i="1"/>
  <c r="BP98" i="1"/>
  <c r="BN98" i="1"/>
  <c r="Z98" i="1"/>
  <c r="Z99" i="1" s="1"/>
  <c r="Y100" i="1"/>
  <c r="G551" i="1"/>
  <c r="Y110" i="1"/>
  <c r="BP103" i="1"/>
  <c r="BN103" i="1"/>
  <c r="Z103" i="1"/>
  <c r="Z109" i="1" s="1"/>
  <c r="BP107" i="1"/>
  <c r="BN107" i="1"/>
  <c r="Z107" i="1"/>
  <c r="BP115" i="1"/>
  <c r="BN115" i="1"/>
  <c r="Z115" i="1"/>
  <c r="Y125" i="1"/>
  <c r="Y129" i="1"/>
  <c r="Y134" i="1"/>
  <c r="Y140" i="1"/>
  <c r="Y144" i="1"/>
  <c r="Y153" i="1"/>
  <c r="Y160" i="1"/>
  <c r="Y164" i="1"/>
  <c r="Y178" i="1"/>
  <c r="Y184" i="1"/>
  <c r="Y190" i="1"/>
  <c r="Y194" i="1"/>
  <c r="Y206" i="1"/>
  <c r="Y211" i="1"/>
  <c r="Y227" i="1"/>
  <c r="Y235" i="1"/>
  <c r="Y241" i="1"/>
  <c r="BP261" i="1"/>
  <c r="BN261" i="1"/>
  <c r="Z261" i="1"/>
  <c r="BP265" i="1"/>
  <c r="BN265" i="1"/>
  <c r="Z265" i="1"/>
  <c r="BP273" i="1"/>
  <c r="BN273" i="1"/>
  <c r="Z273" i="1"/>
  <c r="Z121" i="1"/>
  <c r="Z124" i="1" s="1"/>
  <c r="BN121" i="1"/>
  <c r="Z123" i="1"/>
  <c r="BN123" i="1"/>
  <c r="Z127" i="1"/>
  <c r="Z128" i="1" s="1"/>
  <c r="BN127" i="1"/>
  <c r="BP127" i="1"/>
  <c r="Z132" i="1"/>
  <c r="Z134" i="1" s="1"/>
  <c r="BN132" i="1"/>
  <c r="BP132" i="1"/>
  <c r="Y135" i="1"/>
  <c r="Z138" i="1"/>
  <c r="Z139" i="1" s="1"/>
  <c r="BN138" i="1"/>
  <c r="Z142" i="1"/>
  <c r="Z144" i="1" s="1"/>
  <c r="BN142" i="1"/>
  <c r="BP142" i="1"/>
  <c r="I551" i="1"/>
  <c r="Z149" i="1"/>
  <c r="Z152" i="1" s="1"/>
  <c r="BN149" i="1"/>
  <c r="Z151" i="1"/>
  <c r="BN151" i="1"/>
  <c r="Y152" i="1"/>
  <c r="Z156" i="1"/>
  <c r="BN156" i="1"/>
  <c r="BP156" i="1"/>
  <c r="Z158" i="1"/>
  <c r="BN158" i="1"/>
  <c r="Y159" i="1"/>
  <c r="Z162" i="1"/>
  <c r="Z163" i="1" s="1"/>
  <c r="BN162" i="1"/>
  <c r="BP162" i="1"/>
  <c r="Z166" i="1"/>
  <c r="Z178" i="1" s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82" i="1"/>
  <c r="Z184" i="1" s="1"/>
  <c r="BN182" i="1"/>
  <c r="Z188" i="1"/>
  <c r="Z189" i="1" s="1"/>
  <c r="BN188" i="1"/>
  <c r="Z192" i="1"/>
  <c r="Z193" i="1" s="1"/>
  <c r="BN192" i="1"/>
  <c r="BP192" i="1"/>
  <c r="Z198" i="1"/>
  <c r="Z205" i="1" s="1"/>
  <c r="BN198" i="1"/>
  <c r="BP198" i="1"/>
  <c r="Z200" i="1"/>
  <c r="BN200" i="1"/>
  <c r="Z202" i="1"/>
  <c r="BN202" i="1"/>
  <c r="Z204" i="1"/>
  <c r="BN204" i="1"/>
  <c r="Y205" i="1"/>
  <c r="Z209" i="1"/>
  <c r="Z210" i="1" s="1"/>
  <c r="BN209" i="1"/>
  <c r="BP209" i="1"/>
  <c r="Y210" i="1"/>
  <c r="Z213" i="1"/>
  <c r="Z227" i="1" s="1"/>
  <c r="BN213" i="1"/>
  <c r="BP213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Z231" i="1"/>
  <c r="Z235" i="1" s="1"/>
  <c r="BN231" i="1"/>
  <c r="Z233" i="1"/>
  <c r="BN233" i="1"/>
  <c r="Z239" i="1"/>
  <c r="Z241" i="1" s="1"/>
  <c r="BN239" i="1"/>
  <c r="M551" i="1"/>
  <c r="Y252" i="1"/>
  <c r="Z250" i="1"/>
  <c r="Z251" i="1" s="1"/>
  <c r="BN250" i="1"/>
  <c r="Y251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Y283" i="1"/>
  <c r="BP271" i="1"/>
  <c r="BN271" i="1"/>
  <c r="Z271" i="1"/>
  <c r="Z282" i="1" s="1"/>
  <c r="Z275" i="1"/>
  <c r="BN275" i="1"/>
  <c r="Z277" i="1"/>
  <c r="BN277" i="1"/>
  <c r="Z279" i="1"/>
  <c r="BN279" i="1"/>
  <c r="Z281" i="1"/>
  <c r="BN281" i="1"/>
  <c r="Z285" i="1"/>
  <c r="Z287" i="1" s="1"/>
  <c r="BN285" i="1"/>
  <c r="BP285" i="1"/>
  <c r="Y288" i="1"/>
  <c r="O551" i="1"/>
  <c r="Z292" i="1"/>
  <c r="Z298" i="1" s="1"/>
  <c r="BN292" i="1"/>
  <c r="BP292" i="1"/>
  <c r="Z294" i="1"/>
  <c r="BN294" i="1"/>
  <c r="Z296" i="1"/>
  <c r="BN296" i="1"/>
  <c r="Y299" i="1"/>
  <c r="Z310" i="1"/>
  <c r="Z312" i="1" s="1"/>
  <c r="BN310" i="1"/>
  <c r="BP310" i="1"/>
  <c r="P551" i="1"/>
  <c r="Z317" i="1"/>
  <c r="Z321" i="1" s="1"/>
  <c r="BN317" i="1"/>
  <c r="BP317" i="1"/>
  <c r="Z319" i="1"/>
  <c r="BN319" i="1"/>
  <c r="Y322" i="1"/>
  <c r="Q551" i="1"/>
  <c r="Z326" i="1"/>
  <c r="Z328" i="1" s="1"/>
  <c r="BN326" i="1"/>
  <c r="BP326" i="1"/>
  <c r="Y329" i="1"/>
  <c r="R551" i="1"/>
  <c r="Z333" i="1"/>
  <c r="Z337" i="1" s="1"/>
  <c r="BN333" i="1"/>
  <c r="BP333" i="1"/>
  <c r="Z335" i="1"/>
  <c r="BN335" i="1"/>
  <c r="Y338" i="1"/>
  <c r="Z341" i="1"/>
  <c r="Z342" i="1" s="1"/>
  <c r="BN341" i="1"/>
  <c r="BP341" i="1"/>
  <c r="Z346" i="1"/>
  <c r="BN346" i="1"/>
  <c r="BP346" i="1"/>
  <c r="Z348" i="1"/>
  <c r="BN348" i="1"/>
  <c r="Y349" i="1"/>
  <c r="Z353" i="1"/>
  <c r="BN353" i="1"/>
  <c r="BP353" i="1"/>
  <c r="Z355" i="1"/>
  <c r="BN355" i="1"/>
  <c r="Z357" i="1"/>
  <c r="BN357" i="1"/>
  <c r="Y358" i="1"/>
  <c r="Z361" i="1"/>
  <c r="BN361" i="1"/>
  <c r="BP361" i="1"/>
  <c r="Z363" i="1"/>
  <c r="BN363" i="1"/>
  <c r="Z365" i="1"/>
  <c r="BN365" i="1"/>
  <c r="Z367" i="1"/>
  <c r="BN367" i="1"/>
  <c r="Y368" i="1"/>
  <c r="Z371" i="1"/>
  <c r="BN371" i="1"/>
  <c r="BP371" i="1"/>
  <c r="Z373" i="1"/>
  <c r="BN373" i="1"/>
  <c r="Y376" i="1"/>
  <c r="Z379" i="1"/>
  <c r="Z381" i="1" s="1"/>
  <c r="BN379" i="1"/>
  <c r="BP379" i="1"/>
  <c r="Z385" i="1"/>
  <c r="Z388" i="1" s="1"/>
  <c r="BN385" i="1"/>
  <c r="BP385" i="1"/>
  <c r="Z387" i="1"/>
  <c r="BN387" i="1"/>
  <c r="Z391" i="1"/>
  <c r="Z394" i="1" s="1"/>
  <c r="BN391" i="1"/>
  <c r="BP391" i="1"/>
  <c r="Z393" i="1"/>
  <c r="BN393" i="1"/>
  <c r="Y394" i="1"/>
  <c r="Z397" i="1"/>
  <c r="Z400" i="1" s="1"/>
  <c r="BN397" i="1"/>
  <c r="BP397" i="1"/>
  <c r="Z399" i="1"/>
  <c r="BN399" i="1"/>
  <c r="Y400" i="1"/>
  <c r="Z404" i="1"/>
  <c r="Z407" i="1" s="1"/>
  <c r="BN404" i="1"/>
  <c r="BP404" i="1"/>
  <c r="Z406" i="1"/>
  <c r="BN406" i="1"/>
  <c r="Y407" i="1"/>
  <c r="Z412" i="1"/>
  <c r="BN412" i="1"/>
  <c r="Z414" i="1"/>
  <c r="BN414" i="1"/>
  <c r="BP415" i="1"/>
  <c r="BN415" i="1"/>
  <c r="BP417" i="1"/>
  <c r="BN417" i="1"/>
  <c r="Z417" i="1"/>
  <c r="Y350" i="1"/>
  <c r="Y359" i="1"/>
  <c r="Y408" i="1"/>
  <c r="V551" i="1"/>
  <c r="Y421" i="1"/>
  <c r="Y420" i="1"/>
  <c r="BP419" i="1"/>
  <c r="BN419" i="1"/>
  <c r="Z419" i="1"/>
  <c r="Z423" i="1"/>
  <c r="Z426" i="1" s="1"/>
  <c r="BN423" i="1"/>
  <c r="BP423" i="1"/>
  <c r="Z425" i="1"/>
  <c r="BN425" i="1"/>
  <c r="Y426" i="1"/>
  <c r="Z429" i="1"/>
  <c r="Z432" i="1" s="1"/>
  <c r="BN429" i="1"/>
  <c r="BP429" i="1"/>
  <c r="Z431" i="1"/>
  <c r="BN431" i="1"/>
  <c r="Y432" i="1"/>
  <c r="Z435" i="1"/>
  <c r="Z437" i="1" s="1"/>
  <c r="BN435" i="1"/>
  <c r="BP435" i="1"/>
  <c r="Y438" i="1"/>
  <c r="Z442" i="1"/>
  <c r="Z443" i="1" s="1"/>
  <c r="BN442" i="1"/>
  <c r="BP442" i="1"/>
  <c r="Y443" i="1"/>
  <c r="Z446" i="1"/>
  <c r="Z447" i="1" s="1"/>
  <c r="BN446" i="1"/>
  <c r="BP446" i="1"/>
  <c r="Y447" i="1"/>
  <c r="Z450" i="1"/>
  <c r="Z453" i="1" s="1"/>
  <c r="BN450" i="1"/>
  <c r="BP450" i="1"/>
  <c r="Z452" i="1"/>
  <c r="BN452" i="1"/>
  <c r="Y453" i="1"/>
  <c r="Z458" i="1"/>
  <c r="BN458" i="1"/>
  <c r="BP458" i="1"/>
  <c r="Z460" i="1"/>
  <c r="BN460" i="1"/>
  <c r="Z462" i="1"/>
  <c r="BN462" i="1"/>
  <c r="Y465" i="1"/>
  <c r="Z468" i="1"/>
  <c r="BN468" i="1"/>
  <c r="Y469" i="1"/>
  <c r="Z473" i="1"/>
  <c r="Z474" i="1" s="1"/>
  <c r="BN473" i="1"/>
  <c r="BP473" i="1"/>
  <c r="Y474" i="1"/>
  <c r="BP479" i="1"/>
  <c r="BN479" i="1"/>
  <c r="Z479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BP505" i="1"/>
  <c r="BN505" i="1"/>
  <c r="Z505" i="1"/>
  <c r="BP509" i="1"/>
  <c r="BN509" i="1"/>
  <c r="Z509" i="1"/>
  <c r="Y516" i="1"/>
  <c r="BP515" i="1"/>
  <c r="BN515" i="1"/>
  <c r="Z515" i="1"/>
  <c r="Z516" i="1" s="1"/>
  <c r="Y517" i="1"/>
  <c r="Y520" i="1"/>
  <c r="BP519" i="1"/>
  <c r="BN519" i="1"/>
  <c r="Z519" i="1"/>
  <c r="Z520" i="1" s="1"/>
  <c r="Y521" i="1"/>
  <c r="Y526" i="1"/>
  <c r="BP523" i="1"/>
  <c r="BN523" i="1"/>
  <c r="Z523" i="1"/>
  <c r="Z525" i="1" s="1"/>
  <c r="Y534" i="1"/>
  <c r="Y551" i="1"/>
  <c r="BN459" i="1"/>
  <c r="Z461" i="1"/>
  <c r="BN461" i="1"/>
  <c r="Z463" i="1"/>
  <c r="BN463" i="1"/>
  <c r="Y464" i="1"/>
  <c r="Z467" i="1"/>
  <c r="Z469" i="1" s="1"/>
  <c r="BN467" i="1"/>
  <c r="BP467" i="1"/>
  <c r="Y480" i="1"/>
  <c r="BP477" i="1"/>
  <c r="BN477" i="1"/>
  <c r="Z477" i="1"/>
  <c r="Z480" i="1" s="1"/>
  <c r="BP487" i="1"/>
  <c r="BN487" i="1"/>
  <c r="Z487" i="1"/>
  <c r="BP491" i="1"/>
  <c r="BN491" i="1"/>
  <c r="Z491" i="1"/>
  <c r="BP499" i="1"/>
  <c r="BN499" i="1"/>
  <c r="Z499" i="1"/>
  <c r="Y501" i="1"/>
  <c r="Y510" i="1"/>
  <c r="BP503" i="1"/>
  <c r="BN503" i="1"/>
  <c r="Z503" i="1"/>
  <c r="Z510" i="1" s="1"/>
  <c r="BP507" i="1"/>
  <c r="BN507" i="1"/>
  <c r="Z507" i="1"/>
  <c r="BP533" i="1"/>
  <c r="BN533" i="1"/>
  <c r="Z533" i="1"/>
  <c r="Z534" i="1" s="1"/>
  <c r="Y535" i="1"/>
  <c r="AB551" i="1"/>
  <c r="Y539" i="1"/>
  <c r="BP538" i="1"/>
  <c r="BN538" i="1"/>
  <c r="Z538" i="1"/>
  <c r="Z539" i="1" s="1"/>
  <c r="Y540" i="1"/>
  <c r="AA551" i="1"/>
  <c r="Z494" i="1" l="1"/>
  <c r="Z464" i="1"/>
  <c r="Z420" i="1"/>
  <c r="Z375" i="1"/>
  <c r="Z368" i="1"/>
  <c r="Z358" i="1"/>
  <c r="Z349" i="1"/>
  <c r="Z267" i="1"/>
  <c r="Z159" i="1"/>
  <c r="Y545" i="1"/>
  <c r="Z92" i="1"/>
  <c r="Z67" i="1"/>
  <c r="Y543" i="1"/>
  <c r="Z500" i="1"/>
  <c r="Z546" i="1" s="1"/>
  <c r="Y541" i="1"/>
  <c r="Y542" i="1"/>
  <c r="Y544" i="1" s="1"/>
</calcChain>
</file>

<file path=xl/sharedStrings.xml><?xml version="1.0" encoding="utf-8"?>
<sst xmlns="http://schemas.openxmlformats.org/spreadsheetml/2006/main" count="2448" uniqueCount="889">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</sst>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90" t="s">
        <v>0</v>
      </c>
      <c r="E1" s="647"/>
      <c r="F1" s="647"/>
      <c r="G1" s="12" t="s">
        <v>1</v>
      </c>
      <c r="H1" s="690" t="s">
        <v>2</v>
      </c>
      <c r="I1" s="647"/>
      <c r="J1" s="647"/>
      <c r="K1" s="647"/>
      <c r="L1" s="647"/>
      <c r="M1" s="647"/>
      <c r="N1" s="647"/>
      <c r="O1" s="647"/>
      <c r="P1" s="647"/>
      <c r="Q1" s="647"/>
      <c r="R1" s="646" t="s">
        <v>3</v>
      </c>
      <c r="S1" s="647"/>
      <c r="T1" s="64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7"/>
      <c r="R2" s="627"/>
      <c r="S2" s="627"/>
      <c r="T2" s="627"/>
      <c r="U2" s="627"/>
      <c r="V2" s="627"/>
      <c r="W2" s="627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7"/>
      <c r="Q3" s="627"/>
      <c r="R3" s="627"/>
      <c r="S3" s="627"/>
      <c r="T3" s="627"/>
      <c r="U3" s="627"/>
      <c r="V3" s="627"/>
      <c r="W3" s="627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1" t="s">
        <v>8</v>
      </c>
      <c r="B5" s="634"/>
      <c r="C5" s="635"/>
      <c r="D5" s="695"/>
      <c r="E5" s="696"/>
      <c r="F5" s="931" t="s">
        <v>9</v>
      </c>
      <c r="G5" s="635"/>
      <c r="H5" s="695"/>
      <c r="I5" s="864"/>
      <c r="J5" s="864"/>
      <c r="K5" s="864"/>
      <c r="L5" s="864"/>
      <c r="M5" s="696"/>
      <c r="N5" s="58"/>
      <c r="P5" s="24" t="s">
        <v>10</v>
      </c>
      <c r="Q5" s="944">
        <v>46223</v>
      </c>
      <c r="R5" s="740"/>
      <c r="T5" s="789" t="s">
        <v>11</v>
      </c>
      <c r="U5" s="704"/>
      <c r="V5" s="790" t="s">
        <v>12</v>
      </c>
      <c r="W5" s="740"/>
      <c r="AB5" s="51"/>
      <c r="AC5" s="51"/>
      <c r="AD5" s="51"/>
      <c r="AE5" s="51"/>
    </row>
    <row r="6" spans="1:32" s="609" customFormat="1" ht="24" customHeight="1" x14ac:dyDescent="0.2">
      <c r="A6" s="741" t="s">
        <v>13</v>
      </c>
      <c r="B6" s="634"/>
      <c r="C6" s="635"/>
      <c r="D6" s="868"/>
      <c r="E6" s="869"/>
      <c r="F6" s="869"/>
      <c r="G6" s="869"/>
      <c r="H6" s="869"/>
      <c r="I6" s="869"/>
      <c r="J6" s="869"/>
      <c r="K6" s="869"/>
      <c r="L6" s="869"/>
      <c r="M6" s="740"/>
      <c r="N6" s="59"/>
      <c r="P6" s="24" t="s">
        <v>14</v>
      </c>
      <c r="Q6" s="956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796" t="s">
        <v>15</v>
      </c>
      <c r="U6" s="704"/>
      <c r="V6" s="853" t="s">
        <v>16</v>
      </c>
      <c r="W6" s="665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2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60"/>
      <c r="P7" s="24"/>
      <c r="Q7" s="42"/>
      <c r="R7" s="42"/>
      <c r="T7" s="627"/>
      <c r="U7" s="704"/>
      <c r="V7" s="854"/>
      <c r="W7" s="855"/>
      <c r="AB7" s="51"/>
      <c r="AC7" s="51"/>
      <c r="AD7" s="51"/>
      <c r="AE7" s="51"/>
    </row>
    <row r="8" spans="1:32" s="609" customFormat="1" ht="25.5" customHeight="1" x14ac:dyDescent="0.2">
      <c r="A8" s="971" t="s">
        <v>17</v>
      </c>
      <c r="B8" s="631"/>
      <c r="C8" s="632"/>
      <c r="D8" s="681"/>
      <c r="E8" s="682"/>
      <c r="F8" s="682"/>
      <c r="G8" s="682"/>
      <c r="H8" s="682"/>
      <c r="I8" s="682"/>
      <c r="J8" s="682"/>
      <c r="K8" s="682"/>
      <c r="L8" s="682"/>
      <c r="M8" s="683"/>
      <c r="N8" s="61"/>
      <c r="P8" s="24" t="s">
        <v>18</v>
      </c>
      <c r="Q8" s="748">
        <v>0.41666666666666669</v>
      </c>
      <c r="R8" s="674"/>
      <c r="T8" s="627"/>
      <c r="U8" s="704"/>
      <c r="V8" s="854"/>
      <c r="W8" s="855"/>
      <c r="AB8" s="51"/>
      <c r="AC8" s="51"/>
      <c r="AD8" s="51"/>
      <c r="AE8" s="51"/>
    </row>
    <row r="9" spans="1:32" s="609" customFormat="1" ht="39.950000000000003" customHeight="1" x14ac:dyDescent="0.2">
      <c r="A9" s="7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7"/>
      <c r="C9" s="627"/>
      <c r="D9" s="760"/>
      <c r="E9" s="637"/>
      <c r="F9" s="7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7"/>
      <c r="H9" s="636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6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607"/>
      <c r="P9" s="26" t="s">
        <v>19</v>
      </c>
      <c r="Q9" s="735"/>
      <c r="R9" s="736"/>
      <c r="T9" s="627"/>
      <c r="U9" s="704"/>
      <c r="V9" s="856"/>
      <c r="W9" s="857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7"/>
      <c r="C10" s="627"/>
      <c r="D10" s="760"/>
      <c r="E10" s="637"/>
      <c r="F10" s="7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7"/>
      <c r="H10" s="846" t="str">
        <f>IFERROR(VLOOKUP($D$10,Proxy,2,FALSE),"")</f>
        <v/>
      </c>
      <c r="I10" s="627"/>
      <c r="J10" s="627"/>
      <c r="K10" s="627"/>
      <c r="L10" s="627"/>
      <c r="M10" s="627"/>
      <c r="N10" s="608"/>
      <c r="P10" s="26" t="s">
        <v>20</v>
      </c>
      <c r="Q10" s="797"/>
      <c r="R10" s="798"/>
      <c r="U10" s="24" t="s">
        <v>21</v>
      </c>
      <c r="V10" s="664" t="s">
        <v>22</v>
      </c>
      <c r="W10" s="665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9"/>
      <c r="R11" s="740"/>
      <c r="U11" s="24" t="s">
        <v>25</v>
      </c>
      <c r="V11" s="891" t="s">
        <v>26</v>
      </c>
      <c r="W11" s="736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3" t="s">
        <v>27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28</v>
      </c>
      <c r="Q12" s="748"/>
      <c r="R12" s="674"/>
      <c r="S12" s="23"/>
      <c r="U12" s="24"/>
      <c r="V12" s="647"/>
      <c r="W12" s="627"/>
      <c r="AB12" s="51"/>
      <c r="AC12" s="51"/>
      <c r="AD12" s="51"/>
      <c r="AE12" s="51"/>
    </row>
    <row r="13" spans="1:32" s="609" customFormat="1" ht="23.25" customHeight="1" x14ac:dyDescent="0.2">
      <c r="A13" s="783" t="s">
        <v>29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30</v>
      </c>
      <c r="Q13" s="891"/>
      <c r="R13" s="73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3" t="s">
        <v>31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769" t="s">
        <v>33</v>
      </c>
      <c r="Q15" s="647"/>
      <c r="R15" s="647"/>
      <c r="S15" s="647"/>
      <c r="T15" s="64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34</v>
      </c>
      <c r="B17" s="660" t="s">
        <v>35</v>
      </c>
      <c r="C17" s="757" t="s">
        <v>36</v>
      </c>
      <c r="D17" s="660" t="s">
        <v>37</v>
      </c>
      <c r="E17" s="717"/>
      <c r="F17" s="660" t="s">
        <v>38</v>
      </c>
      <c r="G17" s="660" t="s">
        <v>39</v>
      </c>
      <c r="H17" s="660" t="s">
        <v>40</v>
      </c>
      <c r="I17" s="660" t="s">
        <v>41</v>
      </c>
      <c r="J17" s="660" t="s">
        <v>42</v>
      </c>
      <c r="K17" s="660" t="s">
        <v>43</v>
      </c>
      <c r="L17" s="660" t="s">
        <v>44</v>
      </c>
      <c r="M17" s="660" t="s">
        <v>45</v>
      </c>
      <c r="N17" s="660" t="s">
        <v>46</v>
      </c>
      <c r="O17" s="660" t="s">
        <v>47</v>
      </c>
      <c r="P17" s="660" t="s">
        <v>48</v>
      </c>
      <c r="Q17" s="716"/>
      <c r="R17" s="716"/>
      <c r="S17" s="716"/>
      <c r="T17" s="717"/>
      <c r="U17" s="970" t="s">
        <v>49</v>
      </c>
      <c r="V17" s="635"/>
      <c r="W17" s="660" t="s">
        <v>50</v>
      </c>
      <c r="X17" s="660" t="s">
        <v>51</v>
      </c>
      <c r="Y17" s="968" t="s">
        <v>52</v>
      </c>
      <c r="Z17" s="862" t="s">
        <v>53</v>
      </c>
      <c r="AA17" s="843" t="s">
        <v>54</v>
      </c>
      <c r="AB17" s="843" t="s">
        <v>55</v>
      </c>
      <c r="AC17" s="843" t="s">
        <v>56</v>
      </c>
      <c r="AD17" s="843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61"/>
      <c r="B18" s="661"/>
      <c r="C18" s="661"/>
      <c r="D18" s="718"/>
      <c r="E18" s="720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18"/>
      <c r="Q18" s="719"/>
      <c r="R18" s="719"/>
      <c r="S18" s="719"/>
      <c r="T18" s="720"/>
      <c r="U18" s="67" t="s">
        <v>59</v>
      </c>
      <c r="V18" s="67" t="s">
        <v>60</v>
      </c>
      <c r="W18" s="661"/>
      <c r="X18" s="661"/>
      <c r="Y18" s="969"/>
      <c r="Z18" s="863"/>
      <c r="AA18" s="844"/>
      <c r="AB18" s="844"/>
      <c r="AC18" s="844"/>
      <c r="AD18" s="928"/>
      <c r="AE18" s="929"/>
      <c r="AF18" s="930"/>
      <c r="AG18" s="66"/>
      <c r="BD18" s="65"/>
    </row>
    <row r="19" spans="1:68" ht="27.75" customHeight="1" x14ac:dyDescent="0.2">
      <c r="A19" s="778" t="s">
        <v>61</v>
      </c>
      <c r="B19" s="779"/>
      <c r="C19" s="779"/>
      <c r="D19" s="779"/>
      <c r="E19" s="779"/>
      <c r="F19" s="779"/>
      <c r="G19" s="779"/>
      <c r="H19" s="779"/>
      <c r="I19" s="779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79"/>
      <c r="U19" s="779"/>
      <c r="V19" s="779"/>
      <c r="W19" s="779"/>
      <c r="X19" s="779"/>
      <c r="Y19" s="779"/>
      <c r="Z19" s="779"/>
      <c r="AA19" s="48"/>
      <c r="AB19" s="48"/>
      <c r="AC19" s="48"/>
    </row>
    <row r="20" spans="1:68" ht="16.5" customHeight="1" x14ac:dyDescent="0.25">
      <c r="A20" s="638" t="s">
        <v>61</v>
      </c>
      <c r="B20" s="627"/>
      <c r="C20" s="627"/>
      <c r="D20" s="627"/>
      <c r="E20" s="627"/>
      <c r="F20" s="627"/>
      <c r="G20" s="627"/>
      <c r="H20" s="627"/>
      <c r="I20" s="627"/>
      <c r="J20" s="627"/>
      <c r="K20" s="627"/>
      <c r="L20" s="627"/>
      <c r="M20" s="627"/>
      <c r="N20" s="627"/>
      <c r="O20" s="627"/>
      <c r="P20" s="627"/>
      <c r="Q20" s="627"/>
      <c r="R20" s="627"/>
      <c r="S20" s="627"/>
      <c r="T20" s="627"/>
      <c r="U20" s="627"/>
      <c r="V20" s="627"/>
      <c r="W20" s="627"/>
      <c r="X20" s="627"/>
      <c r="Y20" s="627"/>
      <c r="Z20" s="627"/>
      <c r="AA20" s="610"/>
      <c r="AB20" s="610"/>
      <c r="AC20" s="610"/>
    </row>
    <row r="21" spans="1:68" ht="14.25" customHeight="1" x14ac:dyDescent="0.25">
      <c r="A21" s="629" t="s">
        <v>62</v>
      </c>
      <c r="B21" s="627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Q21" s="627"/>
      <c r="R21" s="627"/>
      <c r="S21" s="627"/>
      <c r="T21" s="627"/>
      <c r="U21" s="627"/>
      <c r="V21" s="627"/>
      <c r="W21" s="627"/>
      <c r="X21" s="627"/>
      <c r="Y21" s="627"/>
      <c r="Z21" s="627"/>
      <c r="AA21" s="611"/>
      <c r="AB21" s="611"/>
      <c r="AC21" s="611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2"/>
      <c r="R23" s="622"/>
      <c r="S23" s="622"/>
      <c r="T23" s="623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6"/>
      <c r="B24" s="627"/>
      <c r="C24" s="627"/>
      <c r="D24" s="627"/>
      <c r="E24" s="627"/>
      <c r="F24" s="627"/>
      <c r="G24" s="627"/>
      <c r="H24" s="627"/>
      <c r="I24" s="627"/>
      <c r="J24" s="627"/>
      <c r="K24" s="627"/>
      <c r="L24" s="627"/>
      <c r="M24" s="627"/>
      <c r="N24" s="627"/>
      <c r="O24" s="628"/>
      <c r="P24" s="630" t="s">
        <v>72</v>
      </c>
      <c r="Q24" s="631"/>
      <c r="R24" s="631"/>
      <c r="S24" s="631"/>
      <c r="T24" s="631"/>
      <c r="U24" s="631"/>
      <c r="V24" s="632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x14ac:dyDescent="0.2">
      <c r="A25" s="627"/>
      <c r="B25" s="627"/>
      <c r="C25" s="627"/>
      <c r="D25" s="627"/>
      <c r="E25" s="627"/>
      <c r="F25" s="627"/>
      <c r="G25" s="627"/>
      <c r="H25" s="627"/>
      <c r="I25" s="627"/>
      <c r="J25" s="627"/>
      <c r="K25" s="627"/>
      <c r="L25" s="627"/>
      <c r="M25" s="627"/>
      <c r="N25" s="627"/>
      <c r="O25" s="628"/>
      <c r="P25" s="630" t="s">
        <v>72</v>
      </c>
      <c r="Q25" s="631"/>
      <c r="R25" s="631"/>
      <c r="S25" s="631"/>
      <c r="T25" s="631"/>
      <c r="U25" s="631"/>
      <c r="V25" s="632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customHeight="1" x14ac:dyDescent="0.25">
      <c r="A26" s="629" t="s">
        <v>74</v>
      </c>
      <c r="B26" s="627"/>
      <c r="C26" s="627"/>
      <c r="D26" s="627"/>
      <c r="E26" s="627"/>
      <c r="F26" s="627"/>
      <c r="G26" s="627"/>
      <c r="H26" s="627"/>
      <c r="I26" s="627"/>
      <c r="J26" s="627"/>
      <c r="K26" s="627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11"/>
      <c r="AB26" s="611"/>
      <c r="AC26" s="611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2"/>
      <c r="R31" s="622"/>
      <c r="S31" s="622"/>
      <c r="T31" s="623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6"/>
      <c r="B32" s="627"/>
      <c r="C32" s="627"/>
      <c r="D32" s="627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8"/>
      <c r="P32" s="630" t="s">
        <v>72</v>
      </c>
      <c r="Q32" s="631"/>
      <c r="R32" s="631"/>
      <c r="S32" s="631"/>
      <c r="T32" s="631"/>
      <c r="U32" s="631"/>
      <c r="V32" s="632"/>
      <c r="W32" s="37" t="s">
        <v>73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x14ac:dyDescent="0.2">
      <c r="A33" s="627"/>
      <c r="B33" s="627"/>
      <c r="C33" s="627"/>
      <c r="D33" s="627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8"/>
      <c r="P33" s="630" t="s">
        <v>72</v>
      </c>
      <c r="Q33" s="631"/>
      <c r="R33" s="631"/>
      <c r="S33" s="631"/>
      <c r="T33" s="631"/>
      <c r="U33" s="631"/>
      <c r="V33" s="632"/>
      <c r="W33" s="37" t="s">
        <v>67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customHeight="1" x14ac:dyDescent="0.25">
      <c r="A34" s="629" t="s">
        <v>92</v>
      </c>
      <c r="B34" s="627"/>
      <c r="C34" s="627"/>
      <c r="D34" s="627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R34" s="627"/>
      <c r="S34" s="627"/>
      <c r="T34" s="627"/>
      <c r="U34" s="627"/>
      <c r="V34" s="627"/>
      <c r="W34" s="627"/>
      <c r="X34" s="627"/>
      <c r="Y34" s="627"/>
      <c r="Z34" s="627"/>
      <c r="AA34" s="611"/>
      <c r="AB34" s="611"/>
      <c r="AC34" s="611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7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2"/>
      <c r="R35" s="622"/>
      <c r="S35" s="622"/>
      <c r="T35" s="623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6"/>
      <c r="B36" s="627"/>
      <c r="C36" s="627"/>
      <c r="D36" s="627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8"/>
      <c r="P36" s="630" t="s">
        <v>72</v>
      </c>
      <c r="Q36" s="631"/>
      <c r="R36" s="631"/>
      <c r="S36" s="631"/>
      <c r="T36" s="631"/>
      <c r="U36" s="631"/>
      <c r="V36" s="632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x14ac:dyDescent="0.2">
      <c r="A37" s="627"/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8"/>
      <c r="P37" s="630" t="s">
        <v>72</v>
      </c>
      <c r="Q37" s="631"/>
      <c r="R37" s="631"/>
      <c r="S37" s="631"/>
      <c r="T37" s="631"/>
      <c r="U37" s="631"/>
      <c r="V37" s="632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customHeight="1" x14ac:dyDescent="0.2">
      <c r="A38" s="778" t="s">
        <v>98</v>
      </c>
      <c r="B38" s="779"/>
      <c r="C38" s="779"/>
      <c r="D38" s="779"/>
      <c r="E38" s="779"/>
      <c r="F38" s="779"/>
      <c r="G38" s="779"/>
      <c r="H38" s="779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79"/>
      <c r="U38" s="779"/>
      <c r="V38" s="779"/>
      <c r="W38" s="779"/>
      <c r="X38" s="779"/>
      <c r="Y38" s="779"/>
      <c r="Z38" s="779"/>
      <c r="AA38" s="48"/>
      <c r="AB38" s="48"/>
      <c r="AC38" s="48"/>
    </row>
    <row r="39" spans="1:68" ht="16.5" customHeight="1" x14ac:dyDescent="0.25">
      <c r="A39" s="638" t="s">
        <v>99</v>
      </c>
      <c r="B39" s="627"/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610"/>
      <c r="AB39" s="610"/>
      <c r="AC39" s="610"/>
    </row>
    <row r="40" spans="1:68" ht="14.25" customHeight="1" x14ac:dyDescent="0.25">
      <c r="A40" s="629" t="s">
        <v>74</v>
      </c>
      <c r="B40" s="627"/>
      <c r="C40" s="627"/>
      <c r="D40" s="627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R40" s="627"/>
      <c r="S40" s="627"/>
      <c r="T40" s="627"/>
      <c r="U40" s="627"/>
      <c r="V40" s="627"/>
      <c r="W40" s="627"/>
      <c r="X40" s="627"/>
      <c r="Y40" s="627"/>
      <c r="Z40" s="627"/>
      <c r="AA40" s="611"/>
      <c r="AB40" s="611"/>
      <c r="AC40" s="611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2"/>
      <c r="R41" s="622"/>
      <c r="S41" s="622"/>
      <c r="T41" s="623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2"/>
      <c r="R42" s="622"/>
      <c r="S42" s="622"/>
      <c r="T42" s="623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2"/>
      <c r="R43" s="622"/>
      <c r="S43" s="622"/>
      <c r="T43" s="623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2"/>
      <c r="R44" s="622"/>
      <c r="S44" s="622"/>
      <c r="T44" s="623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2"/>
      <c r="R45" s="622"/>
      <c r="S45" s="622"/>
      <c r="T45" s="623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6"/>
      <c r="B46" s="627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8"/>
      <c r="P46" s="630" t="s">
        <v>72</v>
      </c>
      <c r="Q46" s="631"/>
      <c r="R46" s="631"/>
      <c r="S46" s="631"/>
      <c r="T46" s="631"/>
      <c r="U46" s="631"/>
      <c r="V46" s="632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x14ac:dyDescent="0.2">
      <c r="A47" s="627"/>
      <c r="B47" s="627"/>
      <c r="C47" s="627"/>
      <c r="D47" s="627"/>
      <c r="E47" s="627"/>
      <c r="F47" s="627"/>
      <c r="G47" s="627"/>
      <c r="H47" s="627"/>
      <c r="I47" s="627"/>
      <c r="J47" s="627"/>
      <c r="K47" s="627"/>
      <c r="L47" s="627"/>
      <c r="M47" s="627"/>
      <c r="N47" s="627"/>
      <c r="O47" s="628"/>
      <c r="P47" s="630" t="s">
        <v>72</v>
      </c>
      <c r="Q47" s="631"/>
      <c r="R47" s="631"/>
      <c r="S47" s="631"/>
      <c r="T47" s="631"/>
      <c r="U47" s="631"/>
      <c r="V47" s="632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customHeight="1" x14ac:dyDescent="0.2">
      <c r="A48" s="778" t="s">
        <v>115</v>
      </c>
      <c r="B48" s="779"/>
      <c r="C48" s="779"/>
      <c r="D48" s="779"/>
      <c r="E48" s="779"/>
      <c r="F48" s="779"/>
      <c r="G48" s="779"/>
      <c r="H48" s="779"/>
      <c r="I48" s="779"/>
      <c r="J48" s="779"/>
      <c r="K48" s="779"/>
      <c r="L48" s="779"/>
      <c r="M48" s="779"/>
      <c r="N48" s="779"/>
      <c r="O48" s="779"/>
      <c r="P48" s="779"/>
      <c r="Q48" s="779"/>
      <c r="R48" s="779"/>
      <c r="S48" s="779"/>
      <c r="T48" s="779"/>
      <c r="U48" s="779"/>
      <c r="V48" s="779"/>
      <c r="W48" s="779"/>
      <c r="X48" s="779"/>
      <c r="Y48" s="779"/>
      <c r="Z48" s="779"/>
      <c r="AA48" s="48"/>
      <c r="AB48" s="48"/>
      <c r="AC48" s="48"/>
    </row>
    <row r="49" spans="1:68" ht="16.5" customHeight="1" x14ac:dyDescent="0.25">
      <c r="A49" s="638" t="s">
        <v>116</v>
      </c>
      <c r="B49" s="627"/>
      <c r="C49" s="627"/>
      <c r="D49" s="627"/>
      <c r="E49" s="627"/>
      <c r="F49" s="627"/>
      <c r="G49" s="627"/>
      <c r="H49" s="627"/>
      <c r="I49" s="627"/>
      <c r="J49" s="627"/>
      <c r="K49" s="627"/>
      <c r="L49" s="627"/>
      <c r="M49" s="627"/>
      <c r="N49" s="627"/>
      <c r="O49" s="627"/>
      <c r="P49" s="627"/>
      <c r="Q49" s="627"/>
      <c r="R49" s="627"/>
      <c r="S49" s="627"/>
      <c r="T49" s="627"/>
      <c r="U49" s="627"/>
      <c r="V49" s="627"/>
      <c r="W49" s="627"/>
      <c r="X49" s="627"/>
      <c r="Y49" s="627"/>
      <c r="Z49" s="627"/>
      <c r="AA49" s="610"/>
      <c r="AB49" s="610"/>
      <c r="AC49" s="610"/>
    </row>
    <row r="50" spans="1:68" ht="14.25" customHeight="1" x14ac:dyDescent="0.25">
      <c r="A50" s="629" t="s">
        <v>117</v>
      </c>
      <c r="B50" s="627"/>
      <c r="C50" s="627"/>
      <c r="D50" s="627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T50" s="627"/>
      <c r="U50" s="627"/>
      <c r="V50" s="627"/>
      <c r="W50" s="627"/>
      <c r="X50" s="627"/>
      <c r="Y50" s="627"/>
      <c r="Z50" s="627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2"/>
      <c r="R51" s="622"/>
      <c r="S51" s="622"/>
      <c r="T51" s="623"/>
      <c r="U51" s="34"/>
      <c r="V51" s="34"/>
      <c r="W51" s="35" t="s">
        <v>67</v>
      </c>
      <c r="X51" s="615">
        <v>0</v>
      </c>
      <c r="Y51" s="61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2"/>
      <c r="R52" s="622"/>
      <c r="S52" s="622"/>
      <c r="T52" s="623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6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2"/>
      <c r="R53" s="622"/>
      <c r="S53" s="622"/>
      <c r="T53" s="623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26"/>
      <c r="B55" s="627"/>
      <c r="C55" s="627"/>
      <c r="D55" s="627"/>
      <c r="E55" s="627"/>
      <c r="F55" s="627"/>
      <c r="G55" s="627"/>
      <c r="H55" s="627"/>
      <c r="I55" s="627"/>
      <c r="J55" s="627"/>
      <c r="K55" s="627"/>
      <c r="L55" s="627"/>
      <c r="M55" s="627"/>
      <c r="N55" s="627"/>
      <c r="O55" s="628"/>
      <c r="P55" s="630" t="s">
        <v>72</v>
      </c>
      <c r="Q55" s="631"/>
      <c r="R55" s="631"/>
      <c r="S55" s="631"/>
      <c r="T55" s="631"/>
      <c r="U55" s="631"/>
      <c r="V55" s="632"/>
      <c r="W55" s="37" t="s">
        <v>73</v>
      </c>
      <c r="X55" s="617">
        <f>IFERROR(X51/H51,"0")+IFERROR(X52/H52,"0")+IFERROR(X53/H53,"0")+IFERROR(X54/H54,"0")</f>
        <v>0</v>
      </c>
      <c r="Y55" s="617">
        <f>IFERROR(Y51/H51,"0")+IFERROR(Y52/H52,"0")+IFERROR(Y53/H53,"0")+IFERROR(Y54/H54,"0")</f>
        <v>0</v>
      </c>
      <c r="Z55" s="617">
        <f>IFERROR(IF(Z51="",0,Z51),"0")+IFERROR(IF(Z52="",0,Z52),"0")+IFERROR(IF(Z53="",0,Z53),"0")+IFERROR(IF(Z54="",0,Z54),"0")</f>
        <v>0</v>
      </c>
      <c r="AA55" s="618"/>
      <c r="AB55" s="618"/>
      <c r="AC55" s="618"/>
    </row>
    <row r="56" spans="1:68" x14ac:dyDescent="0.2">
      <c r="A56" s="627"/>
      <c r="B56" s="627"/>
      <c r="C56" s="627"/>
      <c r="D56" s="627"/>
      <c r="E56" s="627"/>
      <c r="F56" s="627"/>
      <c r="G56" s="627"/>
      <c r="H56" s="627"/>
      <c r="I56" s="627"/>
      <c r="J56" s="627"/>
      <c r="K56" s="627"/>
      <c r="L56" s="627"/>
      <c r="M56" s="627"/>
      <c r="N56" s="627"/>
      <c r="O56" s="628"/>
      <c r="P56" s="630" t="s">
        <v>72</v>
      </c>
      <c r="Q56" s="631"/>
      <c r="R56" s="631"/>
      <c r="S56" s="631"/>
      <c r="T56" s="631"/>
      <c r="U56" s="631"/>
      <c r="V56" s="632"/>
      <c r="W56" s="37" t="s">
        <v>67</v>
      </c>
      <c r="X56" s="617">
        <f>IFERROR(SUM(X51:X54),"0")</f>
        <v>0</v>
      </c>
      <c r="Y56" s="617">
        <f>IFERROR(SUM(Y51:Y54),"0")</f>
        <v>0</v>
      </c>
      <c r="Z56" s="37"/>
      <c r="AA56" s="618"/>
      <c r="AB56" s="618"/>
      <c r="AC56" s="618"/>
    </row>
    <row r="57" spans="1:68" ht="16.5" customHeight="1" x14ac:dyDescent="0.25">
      <c r="A57" s="638" t="s">
        <v>132</v>
      </c>
      <c r="B57" s="627"/>
      <c r="C57" s="627"/>
      <c r="D57" s="627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T57" s="627"/>
      <c r="U57" s="627"/>
      <c r="V57" s="627"/>
      <c r="W57" s="627"/>
      <c r="X57" s="627"/>
      <c r="Y57" s="627"/>
      <c r="Z57" s="627"/>
      <c r="AA57" s="610"/>
      <c r="AB57" s="610"/>
      <c r="AC57" s="610"/>
    </row>
    <row r="58" spans="1:68" ht="14.25" customHeight="1" x14ac:dyDescent="0.25">
      <c r="A58" s="629" t="s">
        <v>117</v>
      </c>
      <c r="B58" s="627"/>
      <c r="C58" s="627"/>
      <c r="D58" s="627"/>
      <c r="E58" s="627"/>
      <c r="F58" s="627"/>
      <c r="G58" s="627"/>
      <c r="H58" s="627"/>
      <c r="I58" s="627"/>
      <c r="J58" s="627"/>
      <c r="K58" s="627"/>
      <c r="L58" s="627"/>
      <c r="M58" s="627"/>
      <c r="N58" s="627"/>
      <c r="O58" s="627"/>
      <c r="P58" s="627"/>
      <c r="Q58" s="627"/>
      <c r="R58" s="627"/>
      <c r="S58" s="627"/>
      <c r="T58" s="627"/>
      <c r="U58" s="627"/>
      <c r="V58" s="627"/>
      <c r="W58" s="627"/>
      <c r="X58" s="627"/>
      <c r="Y58" s="627"/>
      <c r="Z58" s="627"/>
      <c r="AA58" s="611"/>
      <c r="AB58" s="611"/>
      <c r="AC58" s="611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5">
        <v>0</v>
      </c>
      <c r="Y59" s="61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1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2"/>
      <c r="R62" s="622"/>
      <c r="S62" s="622"/>
      <c r="T62" s="623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2"/>
      <c r="R63" s="622"/>
      <c r="S63" s="622"/>
      <c r="T63" s="623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2"/>
      <c r="R64" s="622"/>
      <c r="S64" s="622"/>
      <c r="T64" s="623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5">
        <v>0</v>
      </c>
      <c r="Y66" s="61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26"/>
      <c r="B67" s="627"/>
      <c r="C67" s="627"/>
      <c r="D67" s="627"/>
      <c r="E67" s="627"/>
      <c r="F67" s="627"/>
      <c r="G67" s="627"/>
      <c r="H67" s="627"/>
      <c r="I67" s="627"/>
      <c r="J67" s="627"/>
      <c r="K67" s="627"/>
      <c r="L67" s="627"/>
      <c r="M67" s="627"/>
      <c r="N67" s="627"/>
      <c r="O67" s="628"/>
      <c r="P67" s="630" t="s">
        <v>72</v>
      </c>
      <c r="Q67" s="631"/>
      <c r="R67" s="631"/>
      <c r="S67" s="631"/>
      <c r="T67" s="631"/>
      <c r="U67" s="631"/>
      <c r="V67" s="632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0</v>
      </c>
      <c r="Y67" s="617">
        <f>IFERROR(Y59/H59,"0")+IFERROR(Y60/H60,"0")+IFERROR(Y61/H61,"0")+IFERROR(Y62/H62,"0")+IFERROR(Y63/H63,"0")+IFERROR(Y64/H64,"0")+IFERROR(Y65/H65,"0")+IFERROR(Y66/H66,"0")</f>
        <v>0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18"/>
      <c r="AB67" s="618"/>
      <c r="AC67" s="618"/>
    </row>
    <row r="68" spans="1:68" x14ac:dyDescent="0.2">
      <c r="A68" s="627"/>
      <c r="B68" s="627"/>
      <c r="C68" s="627"/>
      <c r="D68" s="627"/>
      <c r="E68" s="627"/>
      <c r="F68" s="627"/>
      <c r="G68" s="627"/>
      <c r="H68" s="627"/>
      <c r="I68" s="627"/>
      <c r="J68" s="627"/>
      <c r="K68" s="627"/>
      <c r="L68" s="627"/>
      <c r="M68" s="627"/>
      <c r="N68" s="627"/>
      <c r="O68" s="628"/>
      <c r="P68" s="630" t="s">
        <v>72</v>
      </c>
      <c r="Q68" s="631"/>
      <c r="R68" s="631"/>
      <c r="S68" s="631"/>
      <c r="T68" s="631"/>
      <c r="U68" s="631"/>
      <c r="V68" s="632"/>
      <c r="W68" s="37" t="s">
        <v>67</v>
      </c>
      <c r="X68" s="617">
        <f>IFERROR(SUM(X59:X66),"0")</f>
        <v>0</v>
      </c>
      <c r="Y68" s="617">
        <f>IFERROR(SUM(Y59:Y66),"0")</f>
        <v>0</v>
      </c>
      <c r="Z68" s="37"/>
      <c r="AA68" s="618"/>
      <c r="AB68" s="618"/>
      <c r="AC68" s="618"/>
    </row>
    <row r="69" spans="1:68" ht="14.25" customHeight="1" x14ac:dyDescent="0.25">
      <c r="A69" s="629" t="s">
        <v>153</v>
      </c>
      <c r="B69" s="627"/>
      <c r="C69" s="627"/>
      <c r="D69" s="627"/>
      <c r="E69" s="627"/>
      <c r="F69" s="627"/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T69" s="627"/>
      <c r="U69" s="627"/>
      <c r="V69" s="627"/>
      <c r="W69" s="627"/>
      <c r="X69" s="627"/>
      <c r="Y69" s="627"/>
      <c r="Z69" s="627"/>
      <c r="AA69" s="611"/>
      <c r="AB69" s="611"/>
      <c r="AC69" s="611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2"/>
      <c r="R70" s="622"/>
      <c r="S70" s="622"/>
      <c r="T70" s="623"/>
      <c r="U70" s="34"/>
      <c r="V70" s="34"/>
      <c r="W70" s="35" t="s">
        <v>67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2"/>
      <c r="R71" s="622"/>
      <c r="S71" s="622"/>
      <c r="T71" s="623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4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6"/>
      <c r="B74" s="627"/>
      <c r="C74" s="627"/>
      <c r="D74" s="627"/>
      <c r="E74" s="627"/>
      <c r="F74" s="627"/>
      <c r="G74" s="627"/>
      <c r="H74" s="627"/>
      <c r="I74" s="627"/>
      <c r="J74" s="627"/>
      <c r="K74" s="627"/>
      <c r="L74" s="627"/>
      <c r="M74" s="627"/>
      <c r="N74" s="627"/>
      <c r="O74" s="628"/>
      <c r="P74" s="630" t="s">
        <v>72</v>
      </c>
      <c r="Q74" s="631"/>
      <c r="R74" s="631"/>
      <c r="S74" s="631"/>
      <c r="T74" s="631"/>
      <c r="U74" s="631"/>
      <c r="V74" s="632"/>
      <c r="W74" s="37" t="s">
        <v>73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x14ac:dyDescent="0.2">
      <c r="A75" s="627"/>
      <c r="B75" s="627"/>
      <c r="C75" s="627"/>
      <c r="D75" s="627"/>
      <c r="E75" s="627"/>
      <c r="F75" s="627"/>
      <c r="G75" s="627"/>
      <c r="H75" s="627"/>
      <c r="I75" s="627"/>
      <c r="J75" s="627"/>
      <c r="K75" s="627"/>
      <c r="L75" s="627"/>
      <c r="M75" s="627"/>
      <c r="N75" s="627"/>
      <c r="O75" s="628"/>
      <c r="P75" s="630" t="s">
        <v>72</v>
      </c>
      <c r="Q75" s="631"/>
      <c r="R75" s="631"/>
      <c r="S75" s="631"/>
      <c r="T75" s="631"/>
      <c r="U75" s="631"/>
      <c r="V75" s="632"/>
      <c r="W75" s="37" t="s">
        <v>67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customHeight="1" x14ac:dyDescent="0.25">
      <c r="A76" s="629" t="s">
        <v>74</v>
      </c>
      <c r="B76" s="627"/>
      <c r="C76" s="627"/>
      <c r="D76" s="627"/>
      <c r="E76" s="627"/>
      <c r="F76" s="627"/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S76" s="627"/>
      <c r="T76" s="627"/>
      <c r="U76" s="627"/>
      <c r="V76" s="627"/>
      <c r="W76" s="627"/>
      <c r="X76" s="627"/>
      <c r="Y76" s="627"/>
      <c r="Z76" s="627"/>
      <c r="AA76" s="611"/>
      <c r="AB76" s="611"/>
      <c r="AC76" s="611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6"/>
      <c r="B79" s="627"/>
      <c r="C79" s="627"/>
      <c r="D79" s="627"/>
      <c r="E79" s="627"/>
      <c r="F79" s="627"/>
      <c r="G79" s="627"/>
      <c r="H79" s="627"/>
      <c r="I79" s="627"/>
      <c r="J79" s="627"/>
      <c r="K79" s="627"/>
      <c r="L79" s="627"/>
      <c r="M79" s="627"/>
      <c r="N79" s="627"/>
      <c r="O79" s="628"/>
      <c r="P79" s="630" t="s">
        <v>72</v>
      </c>
      <c r="Q79" s="631"/>
      <c r="R79" s="631"/>
      <c r="S79" s="631"/>
      <c r="T79" s="631"/>
      <c r="U79" s="631"/>
      <c r="V79" s="632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x14ac:dyDescent="0.2">
      <c r="A80" s="627"/>
      <c r="B80" s="627"/>
      <c r="C80" s="627"/>
      <c r="D80" s="627"/>
      <c r="E80" s="627"/>
      <c r="F80" s="627"/>
      <c r="G80" s="627"/>
      <c r="H80" s="627"/>
      <c r="I80" s="627"/>
      <c r="J80" s="627"/>
      <c r="K80" s="627"/>
      <c r="L80" s="627"/>
      <c r="M80" s="627"/>
      <c r="N80" s="627"/>
      <c r="O80" s="628"/>
      <c r="P80" s="630" t="s">
        <v>72</v>
      </c>
      <c r="Q80" s="631"/>
      <c r="R80" s="631"/>
      <c r="S80" s="631"/>
      <c r="T80" s="631"/>
      <c r="U80" s="631"/>
      <c r="V80" s="632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customHeight="1" x14ac:dyDescent="0.25">
      <c r="A81" s="629" t="s">
        <v>170</v>
      </c>
      <c r="B81" s="627"/>
      <c r="C81" s="627"/>
      <c r="D81" s="627"/>
      <c r="E81" s="627"/>
      <c r="F81" s="627"/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S81" s="627"/>
      <c r="T81" s="627"/>
      <c r="U81" s="627"/>
      <c r="V81" s="627"/>
      <c r="W81" s="627"/>
      <c r="X81" s="627"/>
      <c r="Y81" s="627"/>
      <c r="Z81" s="627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2"/>
      <c r="R82" s="622"/>
      <c r="S82" s="622"/>
      <c r="T82" s="623"/>
      <c r="U82" s="34"/>
      <c r="V82" s="34"/>
      <c r="W82" s="35" t="s">
        <v>67</v>
      </c>
      <c r="X82" s="615">
        <v>0</v>
      </c>
      <c r="Y82" s="61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2"/>
      <c r="R83" s="622"/>
      <c r="S83" s="622"/>
      <c r="T83" s="623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6"/>
      <c r="B84" s="627"/>
      <c r="C84" s="627"/>
      <c r="D84" s="627"/>
      <c r="E84" s="627"/>
      <c r="F84" s="627"/>
      <c r="G84" s="627"/>
      <c r="H84" s="627"/>
      <c r="I84" s="627"/>
      <c r="J84" s="627"/>
      <c r="K84" s="627"/>
      <c r="L84" s="627"/>
      <c r="M84" s="627"/>
      <c r="N84" s="627"/>
      <c r="O84" s="628"/>
      <c r="P84" s="630" t="s">
        <v>72</v>
      </c>
      <c r="Q84" s="631"/>
      <c r="R84" s="631"/>
      <c r="S84" s="631"/>
      <c r="T84" s="631"/>
      <c r="U84" s="631"/>
      <c r="V84" s="632"/>
      <c r="W84" s="37" t="s">
        <v>73</v>
      </c>
      <c r="X84" s="617">
        <f>IFERROR(X82/H82,"0")+IFERROR(X83/H83,"0")</f>
        <v>0</v>
      </c>
      <c r="Y84" s="617">
        <f>IFERROR(Y82/H82,"0")+IFERROR(Y83/H83,"0")</f>
        <v>0</v>
      </c>
      <c r="Z84" s="617">
        <f>IFERROR(IF(Z82="",0,Z82),"0")+IFERROR(IF(Z83="",0,Z83),"0")</f>
        <v>0</v>
      </c>
      <c r="AA84" s="618"/>
      <c r="AB84" s="618"/>
      <c r="AC84" s="618"/>
    </row>
    <row r="85" spans="1:68" x14ac:dyDescent="0.2">
      <c r="A85" s="627"/>
      <c r="B85" s="627"/>
      <c r="C85" s="627"/>
      <c r="D85" s="627"/>
      <c r="E85" s="627"/>
      <c r="F85" s="627"/>
      <c r="G85" s="627"/>
      <c r="H85" s="627"/>
      <c r="I85" s="627"/>
      <c r="J85" s="627"/>
      <c r="K85" s="627"/>
      <c r="L85" s="627"/>
      <c r="M85" s="627"/>
      <c r="N85" s="627"/>
      <c r="O85" s="628"/>
      <c r="P85" s="630" t="s">
        <v>72</v>
      </c>
      <c r="Q85" s="631"/>
      <c r="R85" s="631"/>
      <c r="S85" s="631"/>
      <c r="T85" s="631"/>
      <c r="U85" s="631"/>
      <c r="V85" s="632"/>
      <c r="W85" s="37" t="s">
        <v>67</v>
      </c>
      <c r="X85" s="617">
        <f>IFERROR(SUM(X82:X83),"0")</f>
        <v>0</v>
      </c>
      <c r="Y85" s="617">
        <f>IFERROR(SUM(Y82:Y83),"0")</f>
        <v>0</v>
      </c>
      <c r="Z85" s="37"/>
      <c r="AA85" s="618"/>
      <c r="AB85" s="618"/>
      <c r="AC85" s="618"/>
    </row>
    <row r="86" spans="1:68" ht="16.5" customHeight="1" x14ac:dyDescent="0.25">
      <c r="A86" s="638" t="s">
        <v>177</v>
      </c>
      <c r="B86" s="627"/>
      <c r="C86" s="627"/>
      <c r="D86" s="627"/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S86" s="627"/>
      <c r="T86" s="627"/>
      <c r="U86" s="627"/>
      <c r="V86" s="627"/>
      <c r="W86" s="627"/>
      <c r="X86" s="627"/>
      <c r="Y86" s="627"/>
      <c r="Z86" s="627"/>
      <c r="AA86" s="610"/>
      <c r="AB86" s="610"/>
      <c r="AC86" s="610"/>
    </row>
    <row r="87" spans="1:68" ht="14.25" customHeight="1" x14ac:dyDescent="0.25">
      <c r="A87" s="629" t="s">
        <v>117</v>
      </c>
      <c r="B87" s="627"/>
      <c r="C87" s="627"/>
      <c r="D87" s="627"/>
      <c r="E87" s="627"/>
      <c r="F87" s="627"/>
      <c r="G87" s="627"/>
      <c r="H87" s="627"/>
      <c r="I87" s="627"/>
      <c r="J87" s="627"/>
      <c r="K87" s="627"/>
      <c r="L87" s="627"/>
      <c r="M87" s="627"/>
      <c r="N87" s="627"/>
      <c r="O87" s="627"/>
      <c r="P87" s="627"/>
      <c r="Q87" s="627"/>
      <c r="R87" s="627"/>
      <c r="S87" s="627"/>
      <c r="T87" s="627"/>
      <c r="U87" s="627"/>
      <c r="V87" s="627"/>
      <c r="W87" s="627"/>
      <c r="X87" s="627"/>
      <c r="Y87" s="627"/>
      <c r="Z87" s="627"/>
      <c r="AA87" s="611"/>
      <c r="AB87" s="611"/>
      <c r="AC87" s="611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2"/>
      <c r="R88" s="622"/>
      <c r="S88" s="622"/>
      <c r="T88" s="623"/>
      <c r="U88" s="34"/>
      <c r="V88" s="34"/>
      <c r="W88" s="35" t="s">
        <v>67</v>
      </c>
      <c r="X88" s="615">
        <v>0</v>
      </c>
      <c r="Y88" s="61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2"/>
      <c r="R90" s="622"/>
      <c r="S90" s="622"/>
      <c r="T90" s="623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2"/>
      <c r="R91" s="622"/>
      <c r="S91" s="622"/>
      <c r="T91" s="623"/>
      <c r="U91" s="34"/>
      <c r="V91" s="34"/>
      <c r="W91" s="35" t="s">
        <v>67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26"/>
      <c r="B92" s="627"/>
      <c r="C92" s="627"/>
      <c r="D92" s="627"/>
      <c r="E92" s="627"/>
      <c r="F92" s="627"/>
      <c r="G92" s="627"/>
      <c r="H92" s="627"/>
      <c r="I92" s="627"/>
      <c r="J92" s="627"/>
      <c r="K92" s="627"/>
      <c r="L92" s="627"/>
      <c r="M92" s="627"/>
      <c r="N92" s="627"/>
      <c r="O92" s="628"/>
      <c r="P92" s="630" t="s">
        <v>72</v>
      </c>
      <c r="Q92" s="631"/>
      <c r="R92" s="631"/>
      <c r="S92" s="631"/>
      <c r="T92" s="631"/>
      <c r="U92" s="631"/>
      <c r="V92" s="632"/>
      <c r="W92" s="37" t="s">
        <v>73</v>
      </c>
      <c r="X92" s="617">
        <f>IFERROR(X88/H88,"0")+IFERROR(X89/H89,"0")+IFERROR(X90/H90,"0")+IFERROR(X91/H91,"0")</f>
        <v>0</v>
      </c>
      <c r="Y92" s="617">
        <f>IFERROR(Y88/H88,"0")+IFERROR(Y89/H89,"0")+IFERROR(Y90/H90,"0")+IFERROR(Y91/H91,"0")</f>
        <v>0</v>
      </c>
      <c r="Z92" s="617">
        <f>IFERROR(IF(Z88="",0,Z88),"0")+IFERROR(IF(Z89="",0,Z89),"0")+IFERROR(IF(Z90="",0,Z90),"0")+IFERROR(IF(Z91="",0,Z91),"0")</f>
        <v>0</v>
      </c>
      <c r="AA92" s="618"/>
      <c r="AB92" s="618"/>
      <c r="AC92" s="618"/>
    </row>
    <row r="93" spans="1:68" x14ac:dyDescent="0.2">
      <c r="A93" s="627"/>
      <c r="B93" s="627"/>
      <c r="C93" s="627"/>
      <c r="D93" s="627"/>
      <c r="E93" s="627"/>
      <c r="F93" s="627"/>
      <c r="G93" s="627"/>
      <c r="H93" s="627"/>
      <c r="I93" s="627"/>
      <c r="J93" s="627"/>
      <c r="K93" s="627"/>
      <c r="L93" s="627"/>
      <c r="M93" s="627"/>
      <c r="N93" s="627"/>
      <c r="O93" s="628"/>
      <c r="P93" s="630" t="s">
        <v>72</v>
      </c>
      <c r="Q93" s="631"/>
      <c r="R93" s="631"/>
      <c r="S93" s="631"/>
      <c r="T93" s="631"/>
      <c r="U93" s="631"/>
      <c r="V93" s="632"/>
      <c r="W93" s="37" t="s">
        <v>67</v>
      </c>
      <c r="X93" s="617">
        <f>IFERROR(SUM(X88:X91),"0")</f>
        <v>0</v>
      </c>
      <c r="Y93" s="617">
        <f>IFERROR(SUM(Y88:Y91),"0")</f>
        <v>0</v>
      </c>
      <c r="Z93" s="37"/>
      <c r="AA93" s="618"/>
      <c r="AB93" s="618"/>
      <c r="AC93" s="618"/>
    </row>
    <row r="94" spans="1:68" ht="14.25" customHeight="1" x14ac:dyDescent="0.25">
      <c r="A94" s="629" t="s">
        <v>74</v>
      </c>
      <c r="B94" s="627"/>
      <c r="C94" s="627"/>
      <c r="D94" s="627"/>
      <c r="E94" s="627"/>
      <c r="F94" s="627"/>
      <c r="G94" s="627"/>
      <c r="H94" s="627"/>
      <c r="I94" s="627"/>
      <c r="J94" s="627"/>
      <c r="K94" s="627"/>
      <c r="L94" s="627"/>
      <c r="M94" s="627"/>
      <c r="N94" s="627"/>
      <c r="O94" s="627"/>
      <c r="P94" s="627"/>
      <c r="Q94" s="627"/>
      <c r="R94" s="627"/>
      <c r="S94" s="627"/>
      <c r="T94" s="627"/>
      <c r="U94" s="627"/>
      <c r="V94" s="627"/>
      <c r="W94" s="627"/>
      <c r="X94" s="627"/>
      <c r="Y94" s="627"/>
      <c r="Z94" s="627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5">
        <v>0</v>
      </c>
      <c r="Y95" s="61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2"/>
      <c r="R97" s="622"/>
      <c r="S97" s="622"/>
      <c r="T97" s="623"/>
      <c r="U97" s="34"/>
      <c r="V97" s="34"/>
      <c r="W97" s="35" t="s">
        <v>67</v>
      </c>
      <c r="X97" s="615">
        <v>225</v>
      </c>
      <c r="Y97" s="616">
        <f>IFERROR(IF(X97="",0,CEILING((X97/$H97),1)*$H97),"")</f>
        <v>226.8</v>
      </c>
      <c r="Z97" s="36">
        <f>IFERROR(IF(Y97=0,"",ROUNDUP(Y97/H97,0)*0.00651),"")</f>
        <v>0.54683999999999999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246</v>
      </c>
      <c r="BN97" s="64">
        <f>IFERROR(Y97*I97/H97,"0")</f>
        <v>247.96799999999999</v>
      </c>
      <c r="BO97" s="64">
        <f>IFERROR(1/J97*(X97/H97),"0")</f>
        <v>0.45787545787545786</v>
      </c>
      <c r="BP97" s="64">
        <f>IFERROR(1/J97*(Y97/H97),"0")</f>
        <v>0.46153846153846156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2"/>
      <c r="R98" s="622"/>
      <c r="S98" s="622"/>
      <c r="T98" s="623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6"/>
      <c r="B99" s="627"/>
      <c r="C99" s="627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27"/>
      <c r="O99" s="628"/>
      <c r="P99" s="630" t="s">
        <v>72</v>
      </c>
      <c r="Q99" s="631"/>
      <c r="R99" s="631"/>
      <c r="S99" s="631"/>
      <c r="T99" s="631"/>
      <c r="U99" s="631"/>
      <c r="V99" s="632"/>
      <c r="W99" s="37" t="s">
        <v>73</v>
      </c>
      <c r="X99" s="617">
        <f>IFERROR(X95/H95,"0")+IFERROR(X96/H96,"0")+IFERROR(X97/H97,"0")+IFERROR(X98/H98,"0")</f>
        <v>83.333333333333329</v>
      </c>
      <c r="Y99" s="617">
        <f>IFERROR(Y95/H95,"0")+IFERROR(Y96/H96,"0")+IFERROR(Y97/H97,"0")+IFERROR(Y98/H98,"0")</f>
        <v>84</v>
      </c>
      <c r="Z99" s="617">
        <f>IFERROR(IF(Z95="",0,Z95),"0")+IFERROR(IF(Z96="",0,Z96),"0")+IFERROR(IF(Z97="",0,Z97),"0")+IFERROR(IF(Z98="",0,Z98),"0")</f>
        <v>0.54683999999999999</v>
      </c>
      <c r="AA99" s="618"/>
      <c r="AB99" s="618"/>
      <c r="AC99" s="618"/>
    </row>
    <row r="100" spans="1:68" x14ac:dyDescent="0.2">
      <c r="A100" s="627"/>
      <c r="B100" s="627"/>
      <c r="C100" s="627"/>
      <c r="D100" s="627"/>
      <c r="E100" s="627"/>
      <c r="F100" s="627"/>
      <c r="G100" s="627"/>
      <c r="H100" s="627"/>
      <c r="I100" s="627"/>
      <c r="J100" s="627"/>
      <c r="K100" s="627"/>
      <c r="L100" s="627"/>
      <c r="M100" s="627"/>
      <c r="N100" s="627"/>
      <c r="O100" s="628"/>
      <c r="P100" s="630" t="s">
        <v>72</v>
      </c>
      <c r="Q100" s="631"/>
      <c r="R100" s="631"/>
      <c r="S100" s="631"/>
      <c r="T100" s="631"/>
      <c r="U100" s="631"/>
      <c r="V100" s="632"/>
      <c r="W100" s="37" t="s">
        <v>67</v>
      </c>
      <c r="X100" s="617">
        <f>IFERROR(SUM(X95:X98),"0")</f>
        <v>225</v>
      </c>
      <c r="Y100" s="617">
        <f>IFERROR(SUM(Y95:Y98),"0")</f>
        <v>226.8</v>
      </c>
      <c r="Z100" s="37"/>
      <c r="AA100" s="618"/>
      <c r="AB100" s="618"/>
      <c r="AC100" s="618"/>
    </row>
    <row r="101" spans="1:68" ht="16.5" customHeight="1" x14ac:dyDescent="0.25">
      <c r="A101" s="638" t="s">
        <v>198</v>
      </c>
      <c r="B101" s="627"/>
      <c r="C101" s="627"/>
      <c r="D101" s="627"/>
      <c r="E101" s="627"/>
      <c r="F101" s="627"/>
      <c r="G101" s="627"/>
      <c r="H101" s="627"/>
      <c r="I101" s="627"/>
      <c r="J101" s="627"/>
      <c r="K101" s="627"/>
      <c r="L101" s="627"/>
      <c r="M101" s="627"/>
      <c r="N101" s="627"/>
      <c r="O101" s="627"/>
      <c r="P101" s="627"/>
      <c r="Q101" s="627"/>
      <c r="R101" s="627"/>
      <c r="S101" s="627"/>
      <c r="T101" s="627"/>
      <c r="U101" s="627"/>
      <c r="V101" s="627"/>
      <c r="W101" s="627"/>
      <c r="X101" s="627"/>
      <c r="Y101" s="627"/>
      <c r="Z101" s="627"/>
      <c r="AA101" s="610"/>
      <c r="AB101" s="610"/>
      <c r="AC101" s="610"/>
    </row>
    <row r="102" spans="1:68" ht="14.25" customHeight="1" x14ac:dyDescent="0.25">
      <c r="A102" s="629" t="s">
        <v>117</v>
      </c>
      <c r="B102" s="627"/>
      <c r="C102" s="627"/>
      <c r="D102" s="627"/>
      <c r="E102" s="627"/>
      <c r="F102" s="627"/>
      <c r="G102" s="627"/>
      <c r="H102" s="627"/>
      <c r="I102" s="627"/>
      <c r="J102" s="627"/>
      <c r="K102" s="627"/>
      <c r="L102" s="627"/>
      <c r="M102" s="627"/>
      <c r="N102" s="627"/>
      <c r="O102" s="627"/>
      <c r="P102" s="627"/>
      <c r="Q102" s="627"/>
      <c r="R102" s="627"/>
      <c r="S102" s="627"/>
      <c r="T102" s="627"/>
      <c r="U102" s="627"/>
      <c r="V102" s="627"/>
      <c r="W102" s="627"/>
      <c r="X102" s="627"/>
      <c r="Y102" s="627"/>
      <c r="Z102" s="627"/>
      <c r="AA102" s="611"/>
      <c r="AB102" s="611"/>
      <c r="AC102" s="611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5">
        <v>0</v>
      </c>
      <c r="Y103" s="61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8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2"/>
      <c r="R106" s="622"/>
      <c r="S106" s="622"/>
      <c r="T106" s="623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2"/>
      <c r="R107" s="622"/>
      <c r="S107" s="622"/>
      <c r="T107" s="623"/>
      <c r="U107" s="34"/>
      <c r="V107" s="34"/>
      <c r="W107" s="35" t="s">
        <v>67</v>
      </c>
      <c r="X107" s="615">
        <v>0</v>
      </c>
      <c r="Y107" s="61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2"/>
      <c r="R108" s="622"/>
      <c r="S108" s="622"/>
      <c r="T108" s="623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6"/>
      <c r="B109" s="627"/>
      <c r="C109" s="627"/>
      <c r="D109" s="627"/>
      <c r="E109" s="627"/>
      <c r="F109" s="627"/>
      <c r="G109" s="627"/>
      <c r="H109" s="627"/>
      <c r="I109" s="627"/>
      <c r="J109" s="627"/>
      <c r="K109" s="627"/>
      <c r="L109" s="627"/>
      <c r="M109" s="627"/>
      <c r="N109" s="627"/>
      <c r="O109" s="628"/>
      <c r="P109" s="630" t="s">
        <v>72</v>
      </c>
      <c r="Q109" s="631"/>
      <c r="R109" s="631"/>
      <c r="S109" s="631"/>
      <c r="T109" s="631"/>
      <c r="U109" s="631"/>
      <c r="V109" s="632"/>
      <c r="W109" s="37" t="s">
        <v>73</v>
      </c>
      <c r="X109" s="617">
        <f>IFERROR(X103/H103,"0")+IFERROR(X104/H104,"0")+IFERROR(X105/H105,"0")+IFERROR(X106/H106,"0")+IFERROR(X107/H107,"0")+IFERROR(X108/H108,"0")</f>
        <v>0</v>
      </c>
      <c r="Y109" s="617">
        <f>IFERROR(Y103/H103,"0")+IFERROR(Y104/H104,"0")+IFERROR(Y105/H105,"0")+IFERROR(Y106/H106,"0")+IFERROR(Y107/H107,"0")+IFERROR(Y108/H108,"0")</f>
        <v>0</v>
      </c>
      <c r="Z109" s="617">
        <f>IFERROR(IF(Z103="",0,Z103),"0")+IFERROR(IF(Z104="",0,Z104),"0")+IFERROR(IF(Z105="",0,Z105),"0")+IFERROR(IF(Z106="",0,Z106),"0")+IFERROR(IF(Z107="",0,Z107),"0")+IFERROR(IF(Z108="",0,Z108),"0")</f>
        <v>0</v>
      </c>
      <c r="AA109" s="618"/>
      <c r="AB109" s="618"/>
      <c r="AC109" s="618"/>
    </row>
    <row r="110" spans="1:68" x14ac:dyDescent="0.2">
      <c r="A110" s="627"/>
      <c r="B110" s="627"/>
      <c r="C110" s="627"/>
      <c r="D110" s="627"/>
      <c r="E110" s="627"/>
      <c r="F110" s="627"/>
      <c r="G110" s="627"/>
      <c r="H110" s="627"/>
      <c r="I110" s="627"/>
      <c r="J110" s="627"/>
      <c r="K110" s="627"/>
      <c r="L110" s="627"/>
      <c r="M110" s="627"/>
      <c r="N110" s="627"/>
      <c r="O110" s="628"/>
      <c r="P110" s="630" t="s">
        <v>72</v>
      </c>
      <c r="Q110" s="631"/>
      <c r="R110" s="631"/>
      <c r="S110" s="631"/>
      <c r="T110" s="631"/>
      <c r="U110" s="631"/>
      <c r="V110" s="632"/>
      <c r="W110" s="37" t="s">
        <v>67</v>
      </c>
      <c r="X110" s="617">
        <f>IFERROR(SUM(X103:X108),"0")</f>
        <v>0</v>
      </c>
      <c r="Y110" s="617">
        <f>IFERROR(SUM(Y103:Y108),"0")</f>
        <v>0</v>
      </c>
      <c r="Z110" s="37"/>
      <c r="AA110" s="618"/>
      <c r="AB110" s="618"/>
      <c r="AC110" s="618"/>
    </row>
    <row r="111" spans="1:68" ht="14.25" customHeight="1" x14ac:dyDescent="0.25">
      <c r="A111" s="629" t="s">
        <v>153</v>
      </c>
      <c r="B111" s="627"/>
      <c r="C111" s="627"/>
      <c r="D111" s="627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T111" s="627"/>
      <c r="U111" s="627"/>
      <c r="V111" s="627"/>
      <c r="W111" s="627"/>
      <c r="X111" s="627"/>
      <c r="Y111" s="627"/>
      <c r="Z111" s="627"/>
      <c r="AA111" s="611"/>
      <c r="AB111" s="611"/>
      <c r="AC111" s="611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2"/>
      <c r="R112" s="622"/>
      <c r="S112" s="622"/>
      <c r="T112" s="623"/>
      <c r="U112" s="34"/>
      <c r="V112" s="34"/>
      <c r="W112" s="35" t="s">
        <v>67</v>
      </c>
      <c r="X112" s="615">
        <v>0</v>
      </c>
      <c r="Y112" s="61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2"/>
      <c r="R116" s="622"/>
      <c r="S116" s="622"/>
      <c r="T116" s="623"/>
      <c r="U116" s="34"/>
      <c r="V116" s="34"/>
      <c r="W116" s="35" t="s">
        <v>67</v>
      </c>
      <c r="X116" s="615">
        <v>0</v>
      </c>
      <c r="Y116" s="61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26"/>
      <c r="B117" s="627"/>
      <c r="C117" s="627"/>
      <c r="D117" s="627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8"/>
      <c r="P117" s="630" t="s">
        <v>72</v>
      </c>
      <c r="Q117" s="631"/>
      <c r="R117" s="631"/>
      <c r="S117" s="631"/>
      <c r="T117" s="631"/>
      <c r="U117" s="631"/>
      <c r="V117" s="632"/>
      <c r="W117" s="37" t="s">
        <v>73</v>
      </c>
      <c r="X117" s="617">
        <f>IFERROR(X112/H112,"0")+IFERROR(X113/H113,"0")+IFERROR(X114/H114,"0")+IFERROR(X115/H115,"0")+IFERROR(X116/H116,"0")</f>
        <v>0</v>
      </c>
      <c r="Y117" s="617">
        <f>IFERROR(Y112/H112,"0")+IFERROR(Y113/H113,"0")+IFERROR(Y114/H114,"0")+IFERROR(Y115/H115,"0")+IFERROR(Y116/H116,"0")</f>
        <v>0</v>
      </c>
      <c r="Z117" s="617">
        <f>IFERROR(IF(Z112="",0,Z112),"0")+IFERROR(IF(Z113="",0,Z113),"0")+IFERROR(IF(Z114="",0,Z114),"0")+IFERROR(IF(Z115="",0,Z115),"0")+IFERROR(IF(Z116="",0,Z116),"0")</f>
        <v>0</v>
      </c>
      <c r="AA117" s="618"/>
      <c r="AB117" s="618"/>
      <c r="AC117" s="618"/>
    </row>
    <row r="118" spans="1:68" x14ac:dyDescent="0.2">
      <c r="A118" s="627"/>
      <c r="B118" s="627"/>
      <c r="C118" s="627"/>
      <c r="D118" s="627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8"/>
      <c r="P118" s="630" t="s">
        <v>72</v>
      </c>
      <c r="Q118" s="631"/>
      <c r="R118" s="631"/>
      <c r="S118" s="631"/>
      <c r="T118" s="631"/>
      <c r="U118" s="631"/>
      <c r="V118" s="632"/>
      <c r="W118" s="37" t="s">
        <v>67</v>
      </c>
      <c r="X118" s="617">
        <f>IFERROR(SUM(X112:X116),"0")</f>
        <v>0</v>
      </c>
      <c r="Y118" s="617">
        <f>IFERROR(SUM(Y112:Y116),"0")</f>
        <v>0</v>
      </c>
      <c r="Z118" s="37"/>
      <c r="AA118" s="618"/>
      <c r="AB118" s="618"/>
      <c r="AC118" s="618"/>
    </row>
    <row r="119" spans="1:68" ht="14.25" customHeight="1" x14ac:dyDescent="0.25">
      <c r="A119" s="629" t="s">
        <v>74</v>
      </c>
      <c r="B119" s="627"/>
      <c r="C119" s="627"/>
      <c r="D119" s="627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T119" s="627"/>
      <c r="U119" s="627"/>
      <c r="V119" s="627"/>
      <c r="W119" s="627"/>
      <c r="X119" s="627"/>
      <c r="Y119" s="627"/>
      <c r="Z119" s="627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5">
        <v>0</v>
      </c>
      <c r="Y120" s="616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5">
        <v>225</v>
      </c>
      <c r="Y122" s="616">
        <f>IFERROR(IF(X122="",0,CEILING((X122/$H122),1)*$H122),"")</f>
        <v>226.8</v>
      </c>
      <c r="Z122" s="36">
        <f>IFERROR(IF(Y122=0,"",ROUNDUP(Y122/H122,0)*0.00651),"")</f>
        <v>0.54683999999999999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246</v>
      </c>
      <c r="BN122" s="64">
        <f>IFERROR(Y122*I122/H122,"0")</f>
        <v>247.96799999999999</v>
      </c>
      <c r="BO122" s="64">
        <f>IFERROR(1/J122*(X122/H122),"0")</f>
        <v>0.45787545787545786</v>
      </c>
      <c r="BP122" s="64">
        <f>IFERROR(1/J122*(Y122/H122),"0")</f>
        <v>0.46153846153846156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2"/>
      <c r="R123" s="622"/>
      <c r="S123" s="622"/>
      <c r="T123" s="623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6"/>
      <c r="B124" s="627"/>
      <c r="C124" s="627"/>
      <c r="D124" s="627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8"/>
      <c r="P124" s="630" t="s">
        <v>72</v>
      </c>
      <c r="Q124" s="631"/>
      <c r="R124" s="631"/>
      <c r="S124" s="631"/>
      <c r="T124" s="631"/>
      <c r="U124" s="631"/>
      <c r="V124" s="632"/>
      <c r="W124" s="37" t="s">
        <v>73</v>
      </c>
      <c r="X124" s="617">
        <f>IFERROR(X120/H120,"0")+IFERROR(X121/H121,"0")+IFERROR(X122/H122,"0")+IFERROR(X123/H123,"0")</f>
        <v>83.333333333333329</v>
      </c>
      <c r="Y124" s="617">
        <f>IFERROR(Y120/H120,"0")+IFERROR(Y121/H121,"0")+IFERROR(Y122/H122,"0")+IFERROR(Y123/H123,"0")</f>
        <v>84</v>
      </c>
      <c r="Z124" s="617">
        <f>IFERROR(IF(Z120="",0,Z120),"0")+IFERROR(IF(Z121="",0,Z121),"0")+IFERROR(IF(Z122="",0,Z122),"0")+IFERROR(IF(Z123="",0,Z123),"0")</f>
        <v>0.54683999999999999</v>
      </c>
      <c r="AA124" s="618"/>
      <c r="AB124" s="618"/>
      <c r="AC124" s="618"/>
    </row>
    <row r="125" spans="1:68" x14ac:dyDescent="0.2">
      <c r="A125" s="627"/>
      <c r="B125" s="627"/>
      <c r="C125" s="627"/>
      <c r="D125" s="627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8"/>
      <c r="P125" s="630" t="s">
        <v>72</v>
      </c>
      <c r="Q125" s="631"/>
      <c r="R125" s="631"/>
      <c r="S125" s="631"/>
      <c r="T125" s="631"/>
      <c r="U125" s="631"/>
      <c r="V125" s="632"/>
      <c r="W125" s="37" t="s">
        <v>67</v>
      </c>
      <c r="X125" s="617">
        <f>IFERROR(SUM(X120:X123),"0")</f>
        <v>225</v>
      </c>
      <c r="Y125" s="617">
        <f>IFERROR(SUM(Y120:Y123),"0")</f>
        <v>226.8</v>
      </c>
      <c r="Z125" s="37"/>
      <c r="AA125" s="618"/>
      <c r="AB125" s="618"/>
      <c r="AC125" s="618"/>
    </row>
    <row r="126" spans="1:68" ht="14.25" customHeight="1" x14ac:dyDescent="0.25">
      <c r="A126" s="629" t="s">
        <v>170</v>
      </c>
      <c r="B126" s="627"/>
      <c r="C126" s="627"/>
      <c r="D126" s="627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T126" s="627"/>
      <c r="U126" s="627"/>
      <c r="V126" s="627"/>
      <c r="W126" s="627"/>
      <c r="X126" s="627"/>
      <c r="Y126" s="627"/>
      <c r="Z126" s="627"/>
      <c r="AA126" s="611"/>
      <c r="AB126" s="611"/>
      <c r="AC126" s="611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2"/>
      <c r="R127" s="622"/>
      <c r="S127" s="622"/>
      <c r="T127" s="623"/>
      <c r="U127" s="34"/>
      <c r="V127" s="34"/>
      <c r="W127" s="35" t="s">
        <v>67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26"/>
      <c r="B128" s="627"/>
      <c r="C128" s="627"/>
      <c r="D128" s="627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8"/>
      <c r="P128" s="630" t="s">
        <v>72</v>
      </c>
      <c r="Q128" s="631"/>
      <c r="R128" s="631"/>
      <c r="S128" s="631"/>
      <c r="T128" s="631"/>
      <c r="U128" s="631"/>
      <c r="V128" s="632"/>
      <c r="W128" s="37" t="s">
        <v>73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x14ac:dyDescent="0.2">
      <c r="A129" s="627"/>
      <c r="B129" s="627"/>
      <c r="C129" s="627"/>
      <c r="D129" s="627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8"/>
      <c r="P129" s="630" t="s">
        <v>72</v>
      </c>
      <c r="Q129" s="631"/>
      <c r="R129" s="631"/>
      <c r="S129" s="631"/>
      <c r="T129" s="631"/>
      <c r="U129" s="631"/>
      <c r="V129" s="632"/>
      <c r="W129" s="37" t="s">
        <v>67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customHeight="1" x14ac:dyDescent="0.25">
      <c r="A130" s="638" t="s">
        <v>237</v>
      </c>
      <c r="B130" s="627"/>
      <c r="C130" s="627"/>
      <c r="D130" s="627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T130" s="627"/>
      <c r="U130" s="627"/>
      <c r="V130" s="627"/>
      <c r="W130" s="627"/>
      <c r="X130" s="627"/>
      <c r="Y130" s="627"/>
      <c r="Z130" s="627"/>
      <c r="AA130" s="610"/>
      <c r="AB130" s="610"/>
      <c r="AC130" s="610"/>
    </row>
    <row r="131" spans="1:68" ht="14.25" customHeight="1" x14ac:dyDescent="0.25">
      <c r="A131" s="629" t="s">
        <v>117</v>
      </c>
      <c r="B131" s="627"/>
      <c r="C131" s="627"/>
      <c r="D131" s="627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T131" s="627"/>
      <c r="U131" s="627"/>
      <c r="V131" s="627"/>
      <c r="W131" s="627"/>
      <c r="X131" s="627"/>
      <c r="Y131" s="627"/>
      <c r="Z131" s="627"/>
      <c r="AA131" s="611"/>
      <c r="AB131" s="611"/>
      <c r="AC131" s="611"/>
    </row>
    <row r="132" spans="1:68" ht="27" customHeight="1" x14ac:dyDescent="0.25">
      <c r="A132" s="54" t="s">
        <v>238</v>
      </c>
      <c r="B132" s="54" t="s">
        <v>239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6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2"/>
      <c r="R132" s="622"/>
      <c r="S132" s="622"/>
      <c r="T132" s="623"/>
      <c r="U132" s="34"/>
      <c r="V132" s="34"/>
      <c r="W132" s="35" t="s">
        <v>67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238</v>
      </c>
      <c r="B133" s="54" t="s">
        <v>241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2"/>
      <c r="R133" s="622"/>
      <c r="S133" s="622"/>
      <c r="T133" s="623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26"/>
      <c r="B134" s="627"/>
      <c r="C134" s="627"/>
      <c r="D134" s="627"/>
      <c r="E134" s="627"/>
      <c r="F134" s="627"/>
      <c r="G134" s="627"/>
      <c r="H134" s="627"/>
      <c r="I134" s="627"/>
      <c r="J134" s="627"/>
      <c r="K134" s="627"/>
      <c r="L134" s="627"/>
      <c r="M134" s="627"/>
      <c r="N134" s="627"/>
      <c r="O134" s="628"/>
      <c r="P134" s="630" t="s">
        <v>72</v>
      </c>
      <c r="Q134" s="631"/>
      <c r="R134" s="631"/>
      <c r="S134" s="631"/>
      <c r="T134" s="631"/>
      <c r="U134" s="631"/>
      <c r="V134" s="632"/>
      <c r="W134" s="37" t="s">
        <v>73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x14ac:dyDescent="0.2">
      <c r="A135" s="627"/>
      <c r="B135" s="627"/>
      <c r="C135" s="627"/>
      <c r="D135" s="627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8"/>
      <c r="P135" s="630" t="s">
        <v>72</v>
      </c>
      <c r="Q135" s="631"/>
      <c r="R135" s="631"/>
      <c r="S135" s="631"/>
      <c r="T135" s="631"/>
      <c r="U135" s="631"/>
      <c r="V135" s="632"/>
      <c r="W135" s="37" t="s">
        <v>67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customHeight="1" x14ac:dyDescent="0.25">
      <c r="A136" s="629" t="s">
        <v>62</v>
      </c>
      <c r="B136" s="627"/>
      <c r="C136" s="627"/>
      <c r="D136" s="627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T136" s="627"/>
      <c r="U136" s="627"/>
      <c r="V136" s="627"/>
      <c r="W136" s="627"/>
      <c r="X136" s="627"/>
      <c r="Y136" s="627"/>
      <c r="Z136" s="627"/>
      <c r="AA136" s="611"/>
      <c r="AB136" s="611"/>
      <c r="AC136" s="611"/>
    </row>
    <row r="137" spans="1:68" ht="27" customHeight="1" x14ac:dyDescent="0.25">
      <c r="A137" s="54" t="s">
        <v>242</v>
      </c>
      <c r="B137" s="54" t="s">
        <v>243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242</v>
      </c>
      <c r="B138" s="54" t="s">
        <v>245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2"/>
      <c r="R138" s="622"/>
      <c r="S138" s="622"/>
      <c r="T138" s="623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26"/>
      <c r="B139" s="627"/>
      <c r="C139" s="627"/>
      <c r="D139" s="627"/>
      <c r="E139" s="627"/>
      <c r="F139" s="627"/>
      <c r="G139" s="627"/>
      <c r="H139" s="627"/>
      <c r="I139" s="627"/>
      <c r="J139" s="627"/>
      <c r="K139" s="627"/>
      <c r="L139" s="627"/>
      <c r="M139" s="627"/>
      <c r="N139" s="627"/>
      <c r="O139" s="628"/>
      <c r="P139" s="630" t="s">
        <v>72</v>
      </c>
      <c r="Q139" s="631"/>
      <c r="R139" s="631"/>
      <c r="S139" s="631"/>
      <c r="T139" s="631"/>
      <c r="U139" s="631"/>
      <c r="V139" s="632"/>
      <c r="W139" s="37" t="s">
        <v>73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x14ac:dyDescent="0.2">
      <c r="A140" s="627"/>
      <c r="B140" s="627"/>
      <c r="C140" s="627"/>
      <c r="D140" s="627"/>
      <c r="E140" s="627"/>
      <c r="F140" s="627"/>
      <c r="G140" s="627"/>
      <c r="H140" s="627"/>
      <c r="I140" s="627"/>
      <c r="J140" s="627"/>
      <c r="K140" s="627"/>
      <c r="L140" s="627"/>
      <c r="M140" s="627"/>
      <c r="N140" s="627"/>
      <c r="O140" s="628"/>
      <c r="P140" s="630" t="s">
        <v>72</v>
      </c>
      <c r="Q140" s="631"/>
      <c r="R140" s="631"/>
      <c r="S140" s="631"/>
      <c r="T140" s="631"/>
      <c r="U140" s="631"/>
      <c r="V140" s="632"/>
      <c r="W140" s="37" t="s">
        <v>67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customHeight="1" x14ac:dyDescent="0.25">
      <c r="A141" s="629" t="s">
        <v>74</v>
      </c>
      <c r="B141" s="627"/>
      <c r="C141" s="627"/>
      <c r="D141" s="627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  <c r="Y141" s="627"/>
      <c r="Z141" s="627"/>
      <c r="AA141" s="611"/>
      <c r="AB141" s="611"/>
      <c r="AC141" s="611"/>
    </row>
    <row r="142" spans="1:68" ht="16.5" customHeight="1" x14ac:dyDescent="0.25">
      <c r="A142" s="54" t="s">
        <v>246</v>
      </c>
      <c r="B142" s="54" t="s">
        <v>247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4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2"/>
      <c r="R142" s="622"/>
      <c r="S142" s="622"/>
      <c r="T142" s="623"/>
      <c r="U142" s="34"/>
      <c r="V142" s="34"/>
      <c r="W142" s="35" t="s">
        <v>67</v>
      </c>
      <c r="X142" s="615">
        <v>0</v>
      </c>
      <c r="Y142" s="61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246</v>
      </c>
      <c r="B143" s="54" t="s">
        <v>248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2"/>
      <c r="R143" s="622"/>
      <c r="S143" s="622"/>
      <c r="T143" s="623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26"/>
      <c r="B144" s="627"/>
      <c r="C144" s="627"/>
      <c r="D144" s="627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8"/>
      <c r="P144" s="630" t="s">
        <v>72</v>
      </c>
      <c r="Q144" s="631"/>
      <c r="R144" s="631"/>
      <c r="S144" s="631"/>
      <c r="T144" s="631"/>
      <c r="U144" s="631"/>
      <c r="V144" s="632"/>
      <c r="W144" s="37" t="s">
        <v>73</v>
      </c>
      <c r="X144" s="617">
        <f>IFERROR(X142/H142,"0")+IFERROR(X143/H143,"0")</f>
        <v>0</v>
      </c>
      <c r="Y144" s="617">
        <f>IFERROR(Y142/H142,"0")+IFERROR(Y143/H143,"0")</f>
        <v>0</v>
      </c>
      <c r="Z144" s="617">
        <f>IFERROR(IF(Z142="",0,Z142),"0")+IFERROR(IF(Z143="",0,Z143),"0")</f>
        <v>0</v>
      </c>
      <c r="AA144" s="618"/>
      <c r="AB144" s="618"/>
      <c r="AC144" s="618"/>
    </row>
    <row r="145" spans="1:68" x14ac:dyDescent="0.2">
      <c r="A145" s="627"/>
      <c r="B145" s="627"/>
      <c r="C145" s="627"/>
      <c r="D145" s="627"/>
      <c r="E145" s="627"/>
      <c r="F145" s="627"/>
      <c r="G145" s="627"/>
      <c r="H145" s="627"/>
      <c r="I145" s="627"/>
      <c r="J145" s="627"/>
      <c r="K145" s="627"/>
      <c r="L145" s="627"/>
      <c r="M145" s="627"/>
      <c r="N145" s="627"/>
      <c r="O145" s="628"/>
      <c r="P145" s="630" t="s">
        <v>72</v>
      </c>
      <c r="Q145" s="631"/>
      <c r="R145" s="631"/>
      <c r="S145" s="631"/>
      <c r="T145" s="631"/>
      <c r="U145" s="631"/>
      <c r="V145" s="632"/>
      <c r="W145" s="37" t="s">
        <v>67</v>
      </c>
      <c r="X145" s="617">
        <f>IFERROR(SUM(X142:X143),"0")</f>
        <v>0</v>
      </c>
      <c r="Y145" s="617">
        <f>IFERROR(SUM(Y142:Y143),"0")</f>
        <v>0</v>
      </c>
      <c r="Z145" s="37"/>
      <c r="AA145" s="618"/>
      <c r="AB145" s="618"/>
      <c r="AC145" s="618"/>
    </row>
    <row r="146" spans="1:68" ht="16.5" customHeight="1" x14ac:dyDescent="0.25">
      <c r="A146" s="638" t="s">
        <v>249</v>
      </c>
      <c r="B146" s="627"/>
      <c r="C146" s="627"/>
      <c r="D146" s="627"/>
      <c r="E146" s="627"/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S146" s="627"/>
      <c r="T146" s="627"/>
      <c r="U146" s="627"/>
      <c r="V146" s="627"/>
      <c r="W146" s="627"/>
      <c r="X146" s="627"/>
      <c r="Y146" s="627"/>
      <c r="Z146" s="627"/>
      <c r="AA146" s="610"/>
      <c r="AB146" s="610"/>
      <c r="AC146" s="610"/>
    </row>
    <row r="147" spans="1:68" ht="14.25" customHeight="1" x14ac:dyDescent="0.25">
      <c r="A147" s="629" t="s">
        <v>74</v>
      </c>
      <c r="B147" s="627"/>
      <c r="C147" s="627"/>
      <c r="D147" s="627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S147" s="627"/>
      <c r="T147" s="627"/>
      <c r="U147" s="627"/>
      <c r="V147" s="627"/>
      <c r="W147" s="627"/>
      <c r="X147" s="627"/>
      <c r="Y147" s="627"/>
      <c r="Z147" s="627"/>
      <c r="AA147" s="611"/>
      <c r="AB147" s="611"/>
      <c r="AC147" s="611"/>
    </row>
    <row r="148" spans="1:68" ht="27" customHeight="1" x14ac:dyDescent="0.25">
      <c r="A148" s="54" t="s">
        <v>250</v>
      </c>
      <c r="B148" s="54" t="s">
        <v>251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0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256</v>
      </c>
      <c r="B150" s="54" t="s">
        <v>257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259</v>
      </c>
      <c r="B151" s="54" t="s">
        <v>260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7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2"/>
      <c r="R151" s="622"/>
      <c r="S151" s="622"/>
      <c r="T151" s="623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26"/>
      <c r="B152" s="627"/>
      <c r="C152" s="627"/>
      <c r="D152" s="627"/>
      <c r="E152" s="627"/>
      <c r="F152" s="627"/>
      <c r="G152" s="627"/>
      <c r="H152" s="627"/>
      <c r="I152" s="627"/>
      <c r="J152" s="627"/>
      <c r="K152" s="627"/>
      <c r="L152" s="627"/>
      <c r="M152" s="627"/>
      <c r="N152" s="627"/>
      <c r="O152" s="628"/>
      <c r="P152" s="630" t="s">
        <v>72</v>
      </c>
      <c r="Q152" s="631"/>
      <c r="R152" s="631"/>
      <c r="S152" s="631"/>
      <c r="T152" s="631"/>
      <c r="U152" s="631"/>
      <c r="V152" s="632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x14ac:dyDescent="0.2">
      <c r="A153" s="627"/>
      <c r="B153" s="627"/>
      <c r="C153" s="627"/>
      <c r="D153" s="627"/>
      <c r="E153" s="627"/>
      <c r="F153" s="627"/>
      <c r="G153" s="627"/>
      <c r="H153" s="627"/>
      <c r="I153" s="627"/>
      <c r="J153" s="627"/>
      <c r="K153" s="627"/>
      <c r="L153" s="627"/>
      <c r="M153" s="627"/>
      <c r="N153" s="627"/>
      <c r="O153" s="628"/>
      <c r="P153" s="630" t="s">
        <v>72</v>
      </c>
      <c r="Q153" s="631"/>
      <c r="R153" s="631"/>
      <c r="S153" s="631"/>
      <c r="T153" s="631"/>
      <c r="U153" s="631"/>
      <c r="V153" s="632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customHeight="1" x14ac:dyDescent="0.25">
      <c r="A154" s="638" t="s">
        <v>115</v>
      </c>
      <c r="B154" s="627"/>
      <c r="C154" s="627"/>
      <c r="D154" s="627"/>
      <c r="E154" s="627"/>
      <c r="F154" s="627"/>
      <c r="G154" s="627"/>
      <c r="H154" s="627"/>
      <c r="I154" s="627"/>
      <c r="J154" s="627"/>
      <c r="K154" s="627"/>
      <c r="L154" s="627"/>
      <c r="M154" s="627"/>
      <c r="N154" s="627"/>
      <c r="O154" s="627"/>
      <c r="P154" s="627"/>
      <c r="Q154" s="627"/>
      <c r="R154" s="627"/>
      <c r="S154" s="627"/>
      <c r="T154" s="627"/>
      <c r="U154" s="627"/>
      <c r="V154" s="627"/>
      <c r="W154" s="627"/>
      <c r="X154" s="627"/>
      <c r="Y154" s="627"/>
      <c r="Z154" s="627"/>
      <c r="AA154" s="610"/>
      <c r="AB154" s="610"/>
      <c r="AC154" s="610"/>
    </row>
    <row r="155" spans="1:68" ht="14.25" customHeight="1" x14ac:dyDescent="0.25">
      <c r="A155" s="629" t="s">
        <v>117</v>
      </c>
      <c r="B155" s="627"/>
      <c r="C155" s="627"/>
      <c r="D155" s="627"/>
      <c r="E155" s="627"/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S155" s="627"/>
      <c r="T155" s="627"/>
      <c r="U155" s="627"/>
      <c r="V155" s="627"/>
      <c r="W155" s="627"/>
      <c r="X155" s="627"/>
      <c r="Y155" s="627"/>
      <c r="Z155" s="627"/>
      <c r="AA155" s="611"/>
      <c r="AB155" s="611"/>
      <c r="AC155" s="611"/>
    </row>
    <row r="156" spans="1:68" ht="16.5" customHeight="1" x14ac:dyDescent="0.25">
      <c r="A156" s="54" t="s">
        <v>262</v>
      </c>
      <c r="B156" s="54" t="s">
        <v>263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2"/>
      <c r="R156" s="622"/>
      <c r="S156" s="622"/>
      <c r="T156" s="623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266</v>
      </c>
      <c r="B157" s="54" t="s">
        <v>267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2"/>
      <c r="R157" s="622"/>
      <c r="S157" s="622"/>
      <c r="T157" s="623"/>
      <c r="U157" s="34"/>
      <c r="V157" s="34"/>
      <c r="W157" s="35" t="s">
        <v>67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269</v>
      </c>
      <c r="B158" s="54" t="s">
        <v>270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2"/>
      <c r="R158" s="622"/>
      <c r="S158" s="622"/>
      <c r="T158" s="623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26"/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8"/>
      <c r="P159" s="630" t="s">
        <v>72</v>
      </c>
      <c r="Q159" s="631"/>
      <c r="R159" s="631"/>
      <c r="S159" s="631"/>
      <c r="T159" s="631"/>
      <c r="U159" s="631"/>
      <c r="V159" s="632"/>
      <c r="W159" s="37" t="s">
        <v>73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x14ac:dyDescent="0.2">
      <c r="A160" s="627"/>
      <c r="B160" s="627"/>
      <c r="C160" s="627"/>
      <c r="D160" s="627"/>
      <c r="E160" s="627"/>
      <c r="F160" s="627"/>
      <c r="G160" s="627"/>
      <c r="H160" s="627"/>
      <c r="I160" s="627"/>
      <c r="J160" s="627"/>
      <c r="K160" s="627"/>
      <c r="L160" s="627"/>
      <c r="M160" s="627"/>
      <c r="N160" s="627"/>
      <c r="O160" s="628"/>
      <c r="P160" s="630" t="s">
        <v>72</v>
      </c>
      <c r="Q160" s="631"/>
      <c r="R160" s="631"/>
      <c r="S160" s="631"/>
      <c r="T160" s="631"/>
      <c r="U160" s="631"/>
      <c r="V160" s="632"/>
      <c r="W160" s="37" t="s">
        <v>67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customHeight="1" x14ac:dyDescent="0.25">
      <c r="A161" s="629" t="s">
        <v>153</v>
      </c>
      <c r="B161" s="627"/>
      <c r="C161" s="627"/>
      <c r="D161" s="627"/>
      <c r="E161" s="627"/>
      <c r="F161" s="627"/>
      <c r="G161" s="627"/>
      <c r="H161" s="627"/>
      <c r="I161" s="627"/>
      <c r="J161" s="627"/>
      <c r="K161" s="627"/>
      <c r="L161" s="627"/>
      <c r="M161" s="627"/>
      <c r="N161" s="627"/>
      <c r="O161" s="627"/>
      <c r="P161" s="627"/>
      <c r="Q161" s="627"/>
      <c r="R161" s="627"/>
      <c r="S161" s="627"/>
      <c r="T161" s="627"/>
      <c r="U161" s="627"/>
      <c r="V161" s="627"/>
      <c r="W161" s="627"/>
      <c r="X161" s="627"/>
      <c r="Y161" s="627"/>
      <c r="Z161" s="627"/>
      <c r="AA161" s="611"/>
      <c r="AB161" s="611"/>
      <c r="AC161" s="611"/>
    </row>
    <row r="162" spans="1:68" ht="16.5" customHeight="1" x14ac:dyDescent="0.25">
      <c r="A162" s="54" t="s">
        <v>272</v>
      </c>
      <c r="B162" s="54" t="s">
        <v>273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626"/>
      <c r="B163" s="627"/>
      <c r="C163" s="627"/>
      <c r="D163" s="627"/>
      <c r="E163" s="627"/>
      <c r="F163" s="627"/>
      <c r="G163" s="627"/>
      <c r="H163" s="627"/>
      <c r="I163" s="627"/>
      <c r="J163" s="627"/>
      <c r="K163" s="627"/>
      <c r="L163" s="627"/>
      <c r="M163" s="627"/>
      <c r="N163" s="627"/>
      <c r="O163" s="628"/>
      <c r="P163" s="630" t="s">
        <v>72</v>
      </c>
      <c r="Q163" s="631"/>
      <c r="R163" s="631"/>
      <c r="S163" s="631"/>
      <c r="T163" s="631"/>
      <c r="U163" s="631"/>
      <c r="V163" s="632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x14ac:dyDescent="0.2">
      <c r="A164" s="627"/>
      <c r="B164" s="627"/>
      <c r="C164" s="627"/>
      <c r="D164" s="627"/>
      <c r="E164" s="627"/>
      <c r="F164" s="627"/>
      <c r="G164" s="627"/>
      <c r="H164" s="627"/>
      <c r="I164" s="627"/>
      <c r="J164" s="627"/>
      <c r="K164" s="627"/>
      <c r="L164" s="627"/>
      <c r="M164" s="627"/>
      <c r="N164" s="627"/>
      <c r="O164" s="628"/>
      <c r="P164" s="630" t="s">
        <v>72</v>
      </c>
      <c r="Q164" s="631"/>
      <c r="R164" s="631"/>
      <c r="S164" s="631"/>
      <c r="T164" s="631"/>
      <c r="U164" s="631"/>
      <c r="V164" s="632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customHeight="1" x14ac:dyDescent="0.25">
      <c r="A165" s="629" t="s">
        <v>62</v>
      </c>
      <c r="B165" s="627"/>
      <c r="C165" s="627"/>
      <c r="D165" s="627"/>
      <c r="E165" s="627"/>
      <c r="F165" s="627"/>
      <c r="G165" s="627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T165" s="627"/>
      <c r="U165" s="627"/>
      <c r="V165" s="627"/>
      <c r="W165" s="627"/>
      <c r="X165" s="627"/>
      <c r="Y165" s="627"/>
      <c r="Z165" s="627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7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5">
        <v>0</v>
      </c>
      <c r="Y166" s="616">
        <f t="shared" ref="Y166:Y177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0</v>
      </c>
      <c r="BN166" s="64">
        <f t="shared" ref="BN166:BN177" si="12">IFERROR(Y166*I166/H166,"0")</f>
        <v>0</v>
      </c>
      <c r="BO166" s="64">
        <f t="shared" ref="BO166:BO177" si="13">IFERROR(1/J166*(X166/H166),"0")</f>
        <v>0</v>
      </c>
      <c r="BP166" s="64">
        <f t="shared" ref="BP166:BP177" si="14">IFERROR(1/J166*(Y166/H166),"0")</f>
        <v>0</v>
      </c>
    </row>
    <row r="167" spans="1:68" ht="27" customHeight="1" x14ac:dyDescent="0.25">
      <c r="A167" s="54" t="s">
        <v>278</v>
      </c>
      <c r="B167" s="54" t="s">
        <v>279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2"/>
      <c r="R167" s="622"/>
      <c r="S167" s="622"/>
      <c r="T167" s="623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1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2"/>
      <c r="R168" s="622"/>
      <c r="S168" s="622"/>
      <c r="T168" s="623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2"/>
      <c r="R169" s="622"/>
      <c r="S169" s="622"/>
      <c r="T169" s="623"/>
      <c r="U169" s="34"/>
      <c r="V169" s="34"/>
      <c r="W169" s="35" t="s">
        <v>67</v>
      </c>
      <c r="X169" s="615">
        <v>0</v>
      </c>
      <c r="Y169" s="616">
        <f t="shared" si="10"/>
        <v>0</v>
      </c>
      <c r="Z169" s="36" t="str">
        <f>IFERROR(IF(Y169=0,"",ROUNDUP(Y169/H169,0)*0.00902),"")</f>
        <v/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287</v>
      </c>
      <c r="B170" s="54" t="s">
        <v>288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6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2"/>
      <c r="R170" s="622"/>
      <c r="S170" s="622"/>
      <c r="T170" s="623"/>
      <c r="U170" s="34"/>
      <c r="V170" s="34"/>
      <c r="W170" s="35" t="s">
        <v>67</v>
      </c>
      <c r="X170" s="615">
        <v>0</v>
      </c>
      <c r="Y170" s="616">
        <f t="shared" si="10"/>
        <v>0</v>
      </c>
      <c r="Z170" s="36" t="str">
        <f>IFERROR(IF(Y170=0,"",ROUNDUP(Y170/H170,0)*0.00902),"")</f>
        <v/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16.5" customHeight="1" x14ac:dyDescent="0.25">
      <c r="A171" s="54" t="s">
        <v>290</v>
      </c>
      <c r="B171" s="54" t="s">
        <v>291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5">
        <v>0</v>
      </c>
      <c r="Y172" s="616">
        <f t="shared" si="10"/>
        <v>0</v>
      </c>
      <c r="Z172" s="36" t="str">
        <f>IFERROR(IF(Y172=0,"",ROUNDUP(Y172/H172,0)*0.00502),"")</f>
        <v/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295</v>
      </c>
      <c r="B173" s="54" t="s">
        <v>296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298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299</v>
      </c>
      <c r="B175" s="54" t="s">
        <v>300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7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304</v>
      </c>
      <c r="B177" s="54" t="s">
        <v>305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7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5">
        <v>0</v>
      </c>
      <c r="Y177" s="616">
        <f t="shared" si="10"/>
        <v>0</v>
      </c>
      <c r="Z177" s="36" t="str">
        <f>IFERROR(IF(Y177=0,"",ROUNDUP(Y177/H177,0)*0.00502),"")</f>
        <v/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x14ac:dyDescent="0.2">
      <c r="A178" s="626"/>
      <c r="B178" s="627"/>
      <c r="C178" s="627"/>
      <c r="D178" s="627"/>
      <c r="E178" s="627"/>
      <c r="F178" s="627"/>
      <c r="G178" s="627"/>
      <c r="H178" s="627"/>
      <c r="I178" s="627"/>
      <c r="J178" s="627"/>
      <c r="K178" s="627"/>
      <c r="L178" s="627"/>
      <c r="M178" s="627"/>
      <c r="N178" s="627"/>
      <c r="O178" s="628"/>
      <c r="P178" s="630" t="s">
        <v>72</v>
      </c>
      <c r="Q178" s="631"/>
      <c r="R178" s="631"/>
      <c r="S178" s="631"/>
      <c r="T178" s="631"/>
      <c r="U178" s="631"/>
      <c r="V178" s="632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18"/>
      <c r="AB178" s="618"/>
      <c r="AC178" s="618"/>
    </row>
    <row r="179" spans="1:68" x14ac:dyDescent="0.2">
      <c r="A179" s="627"/>
      <c r="B179" s="627"/>
      <c r="C179" s="627"/>
      <c r="D179" s="627"/>
      <c r="E179" s="627"/>
      <c r="F179" s="627"/>
      <c r="G179" s="627"/>
      <c r="H179" s="627"/>
      <c r="I179" s="627"/>
      <c r="J179" s="627"/>
      <c r="K179" s="627"/>
      <c r="L179" s="627"/>
      <c r="M179" s="627"/>
      <c r="N179" s="627"/>
      <c r="O179" s="628"/>
      <c r="P179" s="630" t="s">
        <v>72</v>
      </c>
      <c r="Q179" s="631"/>
      <c r="R179" s="631"/>
      <c r="S179" s="631"/>
      <c r="T179" s="631"/>
      <c r="U179" s="631"/>
      <c r="V179" s="632"/>
      <c r="W179" s="37" t="s">
        <v>67</v>
      </c>
      <c r="X179" s="617">
        <f>IFERROR(SUM(X166:X177),"0")</f>
        <v>0</v>
      </c>
      <c r="Y179" s="617">
        <f>IFERROR(SUM(Y166:Y177),"0")</f>
        <v>0</v>
      </c>
      <c r="Z179" s="37"/>
      <c r="AA179" s="618"/>
      <c r="AB179" s="618"/>
      <c r="AC179" s="618"/>
    </row>
    <row r="180" spans="1:68" ht="14.25" customHeight="1" x14ac:dyDescent="0.25">
      <c r="A180" s="629" t="s">
        <v>74</v>
      </c>
      <c r="B180" s="627"/>
      <c r="C180" s="627"/>
      <c r="D180" s="627"/>
      <c r="E180" s="627"/>
      <c r="F180" s="627"/>
      <c r="G180" s="627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T180" s="627"/>
      <c r="U180" s="627"/>
      <c r="V180" s="627"/>
      <c r="W180" s="627"/>
      <c r="X180" s="627"/>
      <c r="Y180" s="627"/>
      <c r="Z180" s="627"/>
      <c r="AA180" s="611"/>
      <c r="AB180" s="611"/>
      <c r="AC180" s="611"/>
    </row>
    <row r="181" spans="1:68" ht="16.5" customHeight="1" x14ac:dyDescent="0.25">
      <c r="A181" s="54" t="s">
        <v>306</v>
      </c>
      <c r="B181" s="54" t="s">
        <v>307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2"/>
      <c r="R181" s="622"/>
      <c r="S181" s="622"/>
      <c r="T181" s="623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309</v>
      </c>
      <c r="B182" s="54" t="s">
        <v>310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2"/>
      <c r="R182" s="622"/>
      <c r="S182" s="622"/>
      <c r="T182" s="623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312</v>
      </c>
      <c r="B183" s="54" t="s">
        <v>313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2"/>
      <c r="R183" s="622"/>
      <c r="S183" s="622"/>
      <c r="T183" s="623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6"/>
      <c r="B184" s="627"/>
      <c r="C184" s="627"/>
      <c r="D184" s="627"/>
      <c r="E184" s="627"/>
      <c r="F184" s="627"/>
      <c r="G184" s="627"/>
      <c r="H184" s="627"/>
      <c r="I184" s="627"/>
      <c r="J184" s="627"/>
      <c r="K184" s="627"/>
      <c r="L184" s="627"/>
      <c r="M184" s="627"/>
      <c r="N184" s="627"/>
      <c r="O184" s="628"/>
      <c r="P184" s="630" t="s">
        <v>72</v>
      </c>
      <c r="Q184" s="631"/>
      <c r="R184" s="631"/>
      <c r="S184" s="631"/>
      <c r="T184" s="631"/>
      <c r="U184" s="631"/>
      <c r="V184" s="632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x14ac:dyDescent="0.2">
      <c r="A185" s="627"/>
      <c r="B185" s="627"/>
      <c r="C185" s="627"/>
      <c r="D185" s="627"/>
      <c r="E185" s="627"/>
      <c r="F185" s="627"/>
      <c r="G185" s="627"/>
      <c r="H185" s="627"/>
      <c r="I185" s="627"/>
      <c r="J185" s="627"/>
      <c r="K185" s="627"/>
      <c r="L185" s="627"/>
      <c r="M185" s="627"/>
      <c r="N185" s="627"/>
      <c r="O185" s="628"/>
      <c r="P185" s="630" t="s">
        <v>72</v>
      </c>
      <c r="Q185" s="631"/>
      <c r="R185" s="631"/>
      <c r="S185" s="631"/>
      <c r="T185" s="631"/>
      <c r="U185" s="631"/>
      <c r="V185" s="632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customHeight="1" x14ac:dyDescent="0.25">
      <c r="A186" s="629" t="s">
        <v>92</v>
      </c>
      <c r="B186" s="627"/>
      <c r="C186" s="627"/>
      <c r="D186" s="627"/>
      <c r="E186" s="627"/>
      <c r="F186" s="627"/>
      <c r="G186" s="627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T186" s="627"/>
      <c r="U186" s="627"/>
      <c r="V186" s="627"/>
      <c r="W186" s="627"/>
      <c r="X186" s="627"/>
      <c r="Y186" s="627"/>
      <c r="Z186" s="627"/>
      <c r="AA186" s="611"/>
      <c r="AB186" s="611"/>
      <c r="AC186" s="611"/>
    </row>
    <row r="187" spans="1:68" ht="16.5" customHeight="1" x14ac:dyDescent="0.25">
      <c r="A187" s="54" t="s">
        <v>315</v>
      </c>
      <c r="B187" s="54" t="s">
        <v>316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2"/>
      <c r="R187" s="622"/>
      <c r="S187" s="622"/>
      <c r="T187" s="623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320</v>
      </c>
      <c r="B188" s="54" t="s">
        <v>321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8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2"/>
      <c r="R188" s="622"/>
      <c r="S188" s="622"/>
      <c r="T188" s="623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6"/>
      <c r="B189" s="627"/>
      <c r="C189" s="627"/>
      <c r="D189" s="627"/>
      <c r="E189" s="627"/>
      <c r="F189" s="627"/>
      <c r="G189" s="627"/>
      <c r="H189" s="627"/>
      <c r="I189" s="627"/>
      <c r="J189" s="627"/>
      <c r="K189" s="627"/>
      <c r="L189" s="627"/>
      <c r="M189" s="627"/>
      <c r="N189" s="627"/>
      <c r="O189" s="628"/>
      <c r="P189" s="630" t="s">
        <v>72</v>
      </c>
      <c r="Q189" s="631"/>
      <c r="R189" s="631"/>
      <c r="S189" s="631"/>
      <c r="T189" s="631"/>
      <c r="U189" s="631"/>
      <c r="V189" s="632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x14ac:dyDescent="0.2">
      <c r="A190" s="627"/>
      <c r="B190" s="627"/>
      <c r="C190" s="627"/>
      <c r="D190" s="627"/>
      <c r="E190" s="627"/>
      <c r="F190" s="627"/>
      <c r="G190" s="627"/>
      <c r="H190" s="627"/>
      <c r="I190" s="627"/>
      <c r="J190" s="627"/>
      <c r="K190" s="627"/>
      <c r="L190" s="627"/>
      <c r="M190" s="627"/>
      <c r="N190" s="627"/>
      <c r="O190" s="628"/>
      <c r="P190" s="630" t="s">
        <v>72</v>
      </c>
      <c r="Q190" s="631"/>
      <c r="R190" s="631"/>
      <c r="S190" s="631"/>
      <c r="T190" s="631"/>
      <c r="U190" s="631"/>
      <c r="V190" s="632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customHeight="1" x14ac:dyDescent="0.25">
      <c r="A191" s="629" t="s">
        <v>323</v>
      </c>
      <c r="B191" s="627"/>
      <c r="C191" s="627"/>
      <c r="D191" s="627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T191" s="627"/>
      <c r="U191" s="627"/>
      <c r="V191" s="627"/>
      <c r="W191" s="627"/>
      <c r="X191" s="627"/>
      <c r="Y191" s="627"/>
      <c r="Z191" s="627"/>
      <c r="AA191" s="611"/>
      <c r="AB191" s="611"/>
      <c r="AC191" s="611"/>
    </row>
    <row r="192" spans="1:68" ht="27" customHeight="1" x14ac:dyDescent="0.25">
      <c r="A192" s="54" t="s">
        <v>324</v>
      </c>
      <c r="B192" s="54" t="s">
        <v>325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2"/>
      <c r="R192" s="622"/>
      <c r="S192" s="622"/>
      <c r="T192" s="623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6"/>
      <c r="B193" s="627"/>
      <c r="C193" s="627"/>
      <c r="D193" s="627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8"/>
      <c r="P193" s="630" t="s">
        <v>72</v>
      </c>
      <c r="Q193" s="631"/>
      <c r="R193" s="631"/>
      <c r="S193" s="631"/>
      <c r="T193" s="631"/>
      <c r="U193" s="631"/>
      <c r="V193" s="632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x14ac:dyDescent="0.2">
      <c r="A194" s="627"/>
      <c r="B194" s="627"/>
      <c r="C194" s="627"/>
      <c r="D194" s="627"/>
      <c r="E194" s="627"/>
      <c r="F194" s="627"/>
      <c r="G194" s="627"/>
      <c r="H194" s="627"/>
      <c r="I194" s="627"/>
      <c r="J194" s="627"/>
      <c r="K194" s="627"/>
      <c r="L194" s="627"/>
      <c r="M194" s="627"/>
      <c r="N194" s="627"/>
      <c r="O194" s="628"/>
      <c r="P194" s="630" t="s">
        <v>72</v>
      </c>
      <c r="Q194" s="631"/>
      <c r="R194" s="631"/>
      <c r="S194" s="631"/>
      <c r="T194" s="631"/>
      <c r="U194" s="631"/>
      <c r="V194" s="632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customHeight="1" x14ac:dyDescent="0.2">
      <c r="A195" s="778" t="s">
        <v>327</v>
      </c>
      <c r="B195" s="779"/>
      <c r="C195" s="779"/>
      <c r="D195" s="779"/>
      <c r="E195" s="779"/>
      <c r="F195" s="779"/>
      <c r="G195" s="779"/>
      <c r="H195" s="779"/>
      <c r="I195" s="779"/>
      <c r="J195" s="779"/>
      <c r="K195" s="779"/>
      <c r="L195" s="779"/>
      <c r="M195" s="779"/>
      <c r="N195" s="779"/>
      <c r="O195" s="779"/>
      <c r="P195" s="779"/>
      <c r="Q195" s="779"/>
      <c r="R195" s="779"/>
      <c r="S195" s="779"/>
      <c r="T195" s="779"/>
      <c r="U195" s="779"/>
      <c r="V195" s="779"/>
      <c r="W195" s="779"/>
      <c r="X195" s="779"/>
      <c r="Y195" s="779"/>
      <c r="Z195" s="779"/>
      <c r="AA195" s="48"/>
      <c r="AB195" s="48"/>
      <c r="AC195" s="48"/>
    </row>
    <row r="196" spans="1:68" ht="16.5" customHeight="1" x14ac:dyDescent="0.25">
      <c r="A196" s="638" t="s">
        <v>328</v>
      </c>
      <c r="B196" s="627"/>
      <c r="C196" s="627"/>
      <c r="D196" s="627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T196" s="627"/>
      <c r="U196" s="627"/>
      <c r="V196" s="627"/>
      <c r="W196" s="627"/>
      <c r="X196" s="627"/>
      <c r="Y196" s="627"/>
      <c r="Z196" s="627"/>
      <c r="AA196" s="610"/>
      <c r="AB196" s="610"/>
      <c r="AC196" s="610"/>
    </row>
    <row r="197" spans="1:68" ht="14.25" customHeight="1" x14ac:dyDescent="0.25">
      <c r="A197" s="629" t="s">
        <v>117</v>
      </c>
      <c r="B197" s="627"/>
      <c r="C197" s="627"/>
      <c r="D197" s="627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T197" s="627"/>
      <c r="U197" s="627"/>
      <c r="V197" s="627"/>
      <c r="W197" s="627"/>
      <c r="X197" s="627"/>
      <c r="Y197" s="627"/>
      <c r="Z197" s="627"/>
      <c r="AA197" s="611"/>
      <c r="AB197" s="611"/>
      <c r="AC197" s="611"/>
    </row>
    <row r="198" spans="1:68" ht="27" customHeight="1" x14ac:dyDescent="0.25">
      <c r="A198" s="54" t="s">
        <v>329</v>
      </c>
      <c r="B198" s="54" t="s">
        <v>330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2"/>
      <c r="R198" s="622"/>
      <c r="S198" s="622"/>
      <c r="T198" s="623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customHeight="1" x14ac:dyDescent="0.25">
      <c r="A199" s="54" t="s">
        <v>331</v>
      </c>
      <c r="B199" s="54" t="s">
        <v>332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2"/>
      <c r="R199" s="622"/>
      <c r="S199" s="622"/>
      <c r="T199" s="623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customHeight="1" x14ac:dyDescent="0.25">
      <c r="A200" s="54" t="s">
        <v>334</v>
      </c>
      <c r="B200" s="54" t="s">
        <v>335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customHeight="1" x14ac:dyDescent="0.25">
      <c r="A201" s="54" t="s">
        <v>337</v>
      </c>
      <c r="B201" s="54" t="s">
        <v>338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customHeight="1" x14ac:dyDescent="0.25">
      <c r="A202" s="54" t="s">
        <v>340</v>
      </c>
      <c r="B202" s="54" t="s">
        <v>341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customHeight="1" x14ac:dyDescent="0.25">
      <c r="A203" s="54" t="s">
        <v>343</v>
      </c>
      <c r="B203" s="54" t="s">
        <v>344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79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customHeight="1" x14ac:dyDescent="0.25">
      <c r="A204" s="54" t="s">
        <v>346</v>
      </c>
      <c r="B204" s="54" t="s">
        <v>347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x14ac:dyDescent="0.2">
      <c r="A205" s="626"/>
      <c r="B205" s="627"/>
      <c r="C205" s="627"/>
      <c r="D205" s="627"/>
      <c r="E205" s="627"/>
      <c r="F205" s="627"/>
      <c r="G205" s="627"/>
      <c r="H205" s="627"/>
      <c r="I205" s="627"/>
      <c r="J205" s="627"/>
      <c r="K205" s="627"/>
      <c r="L205" s="627"/>
      <c r="M205" s="627"/>
      <c r="N205" s="627"/>
      <c r="O205" s="628"/>
      <c r="P205" s="630" t="s">
        <v>72</v>
      </c>
      <c r="Q205" s="631"/>
      <c r="R205" s="631"/>
      <c r="S205" s="631"/>
      <c r="T205" s="631"/>
      <c r="U205" s="631"/>
      <c r="V205" s="632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x14ac:dyDescent="0.2">
      <c r="A206" s="627"/>
      <c r="B206" s="627"/>
      <c r="C206" s="627"/>
      <c r="D206" s="627"/>
      <c r="E206" s="627"/>
      <c r="F206" s="627"/>
      <c r="G206" s="627"/>
      <c r="H206" s="627"/>
      <c r="I206" s="627"/>
      <c r="J206" s="627"/>
      <c r="K206" s="627"/>
      <c r="L206" s="627"/>
      <c r="M206" s="627"/>
      <c r="N206" s="627"/>
      <c r="O206" s="628"/>
      <c r="P206" s="630" t="s">
        <v>72</v>
      </c>
      <c r="Q206" s="631"/>
      <c r="R206" s="631"/>
      <c r="S206" s="631"/>
      <c r="T206" s="631"/>
      <c r="U206" s="631"/>
      <c r="V206" s="632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customHeight="1" x14ac:dyDescent="0.25">
      <c r="A207" s="638" t="s">
        <v>349</v>
      </c>
      <c r="B207" s="627"/>
      <c r="C207" s="627"/>
      <c r="D207" s="627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T207" s="627"/>
      <c r="U207" s="627"/>
      <c r="V207" s="627"/>
      <c r="W207" s="627"/>
      <c r="X207" s="627"/>
      <c r="Y207" s="627"/>
      <c r="Z207" s="627"/>
      <c r="AA207" s="610"/>
      <c r="AB207" s="610"/>
      <c r="AC207" s="610"/>
    </row>
    <row r="208" spans="1:68" ht="14.25" customHeight="1" x14ac:dyDescent="0.25">
      <c r="A208" s="629" t="s">
        <v>153</v>
      </c>
      <c r="B208" s="627"/>
      <c r="C208" s="627"/>
      <c r="D208" s="627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R208" s="627"/>
      <c r="S208" s="627"/>
      <c r="T208" s="627"/>
      <c r="U208" s="627"/>
      <c r="V208" s="627"/>
      <c r="W208" s="627"/>
      <c r="X208" s="627"/>
      <c r="Y208" s="627"/>
      <c r="Z208" s="627"/>
      <c r="AA208" s="611"/>
      <c r="AB208" s="611"/>
      <c r="AC208" s="611"/>
    </row>
    <row r="209" spans="1:68" ht="27" customHeight="1" x14ac:dyDescent="0.25">
      <c r="A209" s="54" t="s">
        <v>350</v>
      </c>
      <c r="B209" s="54" t="s">
        <v>351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2"/>
      <c r="R209" s="622"/>
      <c r="S209" s="622"/>
      <c r="T209" s="623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6"/>
      <c r="B210" s="627"/>
      <c r="C210" s="627"/>
      <c r="D210" s="627"/>
      <c r="E210" s="627"/>
      <c r="F210" s="627"/>
      <c r="G210" s="627"/>
      <c r="H210" s="627"/>
      <c r="I210" s="627"/>
      <c r="J210" s="627"/>
      <c r="K210" s="627"/>
      <c r="L210" s="627"/>
      <c r="M210" s="627"/>
      <c r="N210" s="627"/>
      <c r="O210" s="628"/>
      <c r="P210" s="630" t="s">
        <v>72</v>
      </c>
      <c r="Q210" s="631"/>
      <c r="R210" s="631"/>
      <c r="S210" s="631"/>
      <c r="T210" s="631"/>
      <c r="U210" s="631"/>
      <c r="V210" s="632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x14ac:dyDescent="0.2">
      <c r="A211" s="627"/>
      <c r="B211" s="627"/>
      <c r="C211" s="627"/>
      <c r="D211" s="627"/>
      <c r="E211" s="627"/>
      <c r="F211" s="627"/>
      <c r="G211" s="627"/>
      <c r="H211" s="627"/>
      <c r="I211" s="627"/>
      <c r="J211" s="627"/>
      <c r="K211" s="627"/>
      <c r="L211" s="627"/>
      <c r="M211" s="627"/>
      <c r="N211" s="627"/>
      <c r="O211" s="628"/>
      <c r="P211" s="630" t="s">
        <v>72</v>
      </c>
      <c r="Q211" s="631"/>
      <c r="R211" s="631"/>
      <c r="S211" s="631"/>
      <c r="T211" s="631"/>
      <c r="U211" s="631"/>
      <c r="V211" s="632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customHeight="1" x14ac:dyDescent="0.25">
      <c r="A212" s="629" t="s">
        <v>62</v>
      </c>
      <c r="B212" s="627"/>
      <c r="C212" s="627"/>
      <c r="D212" s="627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T212" s="627"/>
      <c r="U212" s="627"/>
      <c r="V212" s="627"/>
      <c r="W212" s="627"/>
      <c r="X212" s="627"/>
      <c r="Y212" s="627"/>
      <c r="Z212" s="627"/>
      <c r="AA212" s="611"/>
      <c r="AB212" s="611"/>
      <c r="AC212" s="611"/>
    </row>
    <row r="213" spans="1:68" ht="27" customHeight="1" x14ac:dyDescent="0.25">
      <c r="A213" s="54" t="s">
        <v>353</v>
      </c>
      <c r="B213" s="54" t="s">
        <v>354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2"/>
      <c r="R213" s="622"/>
      <c r="S213" s="622"/>
      <c r="T213" s="623"/>
      <c r="U213" s="34"/>
      <c r="V213" s="34"/>
      <c r="W213" s="35" t="s">
        <v>67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customHeight="1" x14ac:dyDescent="0.25">
      <c r="A214" s="54" t="s">
        <v>356</v>
      </c>
      <c r="B214" s="54" t="s">
        <v>357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9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2"/>
      <c r="R214" s="622"/>
      <c r="S214" s="622"/>
      <c r="T214" s="623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5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5">
        <v>0</v>
      </c>
      <c r="Y215" s="616">
        <f t="shared" si="21"/>
        <v>0</v>
      </c>
      <c r="Z215" s="36" t="str">
        <f>IFERROR(IF(Y215=0,"",ROUNDUP(Y215/H215,0)*0.00902),"")</f>
        <v/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0</v>
      </c>
      <c r="BN215" s="64">
        <f t="shared" si="23"/>
        <v>0</v>
      </c>
      <c r="BO215" s="64">
        <f t="shared" si="24"/>
        <v>0</v>
      </c>
      <c r="BP215" s="64">
        <f t="shared" si="25"/>
        <v>0</v>
      </c>
    </row>
    <row r="216" spans="1:68" ht="37.5" customHeight="1" x14ac:dyDescent="0.25">
      <c r="A216" s="54" t="s">
        <v>362</v>
      </c>
      <c r="B216" s="54" t="s">
        <v>363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8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2"/>
      <c r="R216" s="622"/>
      <c r="S216" s="622"/>
      <c r="T216" s="623"/>
      <c r="U216" s="34"/>
      <c r="V216" s="34"/>
      <c r="W216" s="35" t="s">
        <v>67</v>
      </c>
      <c r="X216" s="615">
        <v>0</v>
      </c>
      <c r="Y216" s="616">
        <f t="shared" si="21"/>
        <v>0</v>
      </c>
      <c r="Z216" s="36" t="str">
        <f>IFERROR(IF(Y216=0,"",ROUNDUP(Y216/H216,0)*0.00556),"")</f>
        <v/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2"/>
      <c r="R217" s="622"/>
      <c r="S217" s="622"/>
      <c r="T217" s="623"/>
      <c r="U217" s="34"/>
      <c r="V217" s="34"/>
      <c r="W217" s="35" t="s">
        <v>67</v>
      </c>
      <c r="X217" s="615">
        <v>0</v>
      </c>
      <c r="Y217" s="616">
        <f t="shared" si="21"/>
        <v>0</v>
      </c>
      <c r="Z217" s="36" t="str">
        <f t="shared" ref="Z217:Z222" si="26">IFERROR(IF(Y217=0,"",ROUNDUP(Y217/H217,0)*0.00502),"")</f>
        <v/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2"/>
      <c r="R218" s="622"/>
      <c r="S218" s="622"/>
      <c r="T218" s="623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370</v>
      </c>
      <c r="B219" s="54" t="s">
        <v>371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2"/>
      <c r="R219" s="622"/>
      <c r="S219" s="622"/>
      <c r="T219" s="623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2"/>
      <c r="R220" s="622"/>
      <c r="S220" s="622"/>
      <c r="T220" s="623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customHeight="1" x14ac:dyDescent="0.25">
      <c r="A221" s="54" t="s">
        <v>375</v>
      </c>
      <c r="B221" s="54" t="s">
        <v>376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customHeight="1" x14ac:dyDescent="0.25">
      <c r="A223" s="54" t="s">
        <v>381</v>
      </c>
      <c r="B223" s="54" t="s">
        <v>382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5">
        <v>0</v>
      </c>
      <c r="Y223" s="616">
        <f t="shared" si="21"/>
        <v>0</v>
      </c>
      <c r="Z223" s="36" t="str">
        <f>IFERROR(IF(Y223=0,"",ROUNDUP(Y223/H223,0)*0.00417),"")</f>
        <v/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2"/>
      <c r="R224" s="622"/>
      <c r="S224" s="622"/>
      <c r="T224" s="623"/>
      <c r="U224" s="34"/>
      <c r="V224" s="34"/>
      <c r="W224" s="35" t="s">
        <v>67</v>
      </c>
      <c r="X224" s="615">
        <v>0</v>
      </c>
      <c r="Y224" s="616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386</v>
      </c>
      <c r="B225" s="54" t="s">
        <v>387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2"/>
      <c r="R225" s="622"/>
      <c r="S225" s="622"/>
      <c r="T225" s="623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388</v>
      </c>
      <c r="B226" s="54" t="s">
        <v>389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26"/>
      <c r="B227" s="627"/>
      <c r="C227" s="627"/>
      <c r="D227" s="627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8"/>
      <c r="P227" s="630" t="s">
        <v>72</v>
      </c>
      <c r="Q227" s="631"/>
      <c r="R227" s="631"/>
      <c r="S227" s="631"/>
      <c r="T227" s="631"/>
      <c r="U227" s="631"/>
      <c r="V227" s="632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18"/>
      <c r="AB227" s="618"/>
      <c r="AC227" s="618"/>
    </row>
    <row r="228" spans="1:68" x14ac:dyDescent="0.2">
      <c r="A228" s="627"/>
      <c r="B228" s="627"/>
      <c r="C228" s="627"/>
      <c r="D228" s="627"/>
      <c r="E228" s="627"/>
      <c r="F228" s="627"/>
      <c r="G228" s="627"/>
      <c r="H228" s="627"/>
      <c r="I228" s="627"/>
      <c r="J228" s="627"/>
      <c r="K228" s="627"/>
      <c r="L228" s="627"/>
      <c r="M228" s="627"/>
      <c r="N228" s="627"/>
      <c r="O228" s="628"/>
      <c r="P228" s="630" t="s">
        <v>72</v>
      </c>
      <c r="Q228" s="631"/>
      <c r="R228" s="631"/>
      <c r="S228" s="631"/>
      <c r="T228" s="631"/>
      <c r="U228" s="631"/>
      <c r="V228" s="632"/>
      <c r="W228" s="37" t="s">
        <v>67</v>
      </c>
      <c r="X228" s="617">
        <f>IFERROR(SUM(X213:X226),"0")</f>
        <v>0</v>
      </c>
      <c r="Y228" s="617">
        <f>IFERROR(SUM(Y213:Y226),"0")</f>
        <v>0</v>
      </c>
      <c r="Z228" s="37"/>
      <c r="AA228" s="618"/>
      <c r="AB228" s="618"/>
      <c r="AC228" s="618"/>
    </row>
    <row r="229" spans="1:68" ht="14.25" customHeight="1" x14ac:dyDescent="0.25">
      <c r="A229" s="629" t="s">
        <v>74</v>
      </c>
      <c r="B229" s="627"/>
      <c r="C229" s="627"/>
      <c r="D229" s="627"/>
      <c r="E229" s="627"/>
      <c r="F229" s="627"/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S229" s="627"/>
      <c r="T229" s="627"/>
      <c r="U229" s="627"/>
      <c r="V229" s="627"/>
      <c r="W229" s="627"/>
      <c r="X229" s="627"/>
      <c r="Y229" s="627"/>
      <c r="Z229" s="627"/>
      <c r="AA229" s="611"/>
      <c r="AB229" s="611"/>
      <c r="AC229" s="611"/>
    </row>
    <row r="230" spans="1:68" ht="27" customHeight="1" x14ac:dyDescent="0.25">
      <c r="A230" s="54" t="s">
        <v>391</v>
      </c>
      <c r="B230" s="54" t="s">
        <v>392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1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394</v>
      </c>
      <c r="B231" s="54" t="s">
        <v>395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6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397</v>
      </c>
      <c r="B232" s="54" t="s">
        <v>398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400</v>
      </c>
      <c r="B233" s="54" t="s">
        <v>401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7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6"/>
      <c r="B235" s="627"/>
      <c r="C235" s="627"/>
      <c r="D235" s="627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8"/>
      <c r="P235" s="630" t="s">
        <v>72</v>
      </c>
      <c r="Q235" s="631"/>
      <c r="R235" s="631"/>
      <c r="S235" s="631"/>
      <c r="T235" s="631"/>
      <c r="U235" s="631"/>
      <c r="V235" s="632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x14ac:dyDescent="0.2">
      <c r="A236" s="627"/>
      <c r="B236" s="627"/>
      <c r="C236" s="627"/>
      <c r="D236" s="627"/>
      <c r="E236" s="627"/>
      <c r="F236" s="627"/>
      <c r="G236" s="627"/>
      <c r="H236" s="627"/>
      <c r="I236" s="627"/>
      <c r="J236" s="627"/>
      <c r="K236" s="627"/>
      <c r="L236" s="627"/>
      <c r="M236" s="627"/>
      <c r="N236" s="627"/>
      <c r="O236" s="628"/>
      <c r="P236" s="630" t="s">
        <v>72</v>
      </c>
      <c r="Q236" s="631"/>
      <c r="R236" s="631"/>
      <c r="S236" s="631"/>
      <c r="T236" s="631"/>
      <c r="U236" s="631"/>
      <c r="V236" s="632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customHeight="1" x14ac:dyDescent="0.25">
      <c r="A237" s="629" t="s">
        <v>92</v>
      </c>
      <c r="B237" s="627"/>
      <c r="C237" s="627"/>
      <c r="D237" s="627"/>
      <c r="E237" s="627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S237" s="627"/>
      <c r="T237" s="627"/>
      <c r="U237" s="627"/>
      <c r="V237" s="627"/>
      <c r="W237" s="627"/>
      <c r="X237" s="627"/>
      <c r="Y237" s="627"/>
      <c r="Z237" s="627"/>
      <c r="AA237" s="611"/>
      <c r="AB237" s="611"/>
      <c r="AC237" s="611"/>
    </row>
    <row r="238" spans="1:68" ht="27" customHeight="1" x14ac:dyDescent="0.25">
      <c r="A238" s="54" t="s">
        <v>405</v>
      </c>
      <c r="B238" s="54" t="s">
        <v>406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411</v>
      </c>
      <c r="B240" s="54" t="s">
        <v>412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26"/>
      <c r="B241" s="627"/>
      <c r="C241" s="627"/>
      <c r="D241" s="627"/>
      <c r="E241" s="627"/>
      <c r="F241" s="627"/>
      <c r="G241" s="627"/>
      <c r="H241" s="627"/>
      <c r="I241" s="627"/>
      <c r="J241" s="627"/>
      <c r="K241" s="627"/>
      <c r="L241" s="627"/>
      <c r="M241" s="627"/>
      <c r="N241" s="627"/>
      <c r="O241" s="628"/>
      <c r="P241" s="630" t="s">
        <v>72</v>
      </c>
      <c r="Q241" s="631"/>
      <c r="R241" s="631"/>
      <c r="S241" s="631"/>
      <c r="T241" s="631"/>
      <c r="U241" s="631"/>
      <c r="V241" s="632"/>
      <c r="W241" s="37" t="s">
        <v>73</v>
      </c>
      <c r="X241" s="617">
        <f>IFERROR(X238/H238,"0")+IFERROR(X239/H239,"0")+IFERROR(X240/H240,"0")</f>
        <v>0</v>
      </c>
      <c r="Y241" s="617">
        <f>IFERROR(Y238/H238,"0")+IFERROR(Y239/H239,"0")+IFERROR(Y240/H240,"0")</f>
        <v>0</v>
      </c>
      <c r="Z241" s="617">
        <f>IFERROR(IF(Z238="",0,Z238),"0")+IFERROR(IF(Z239="",0,Z239),"0")+IFERROR(IF(Z240="",0,Z240),"0")</f>
        <v>0</v>
      </c>
      <c r="AA241" s="618"/>
      <c r="AB241" s="618"/>
      <c r="AC241" s="618"/>
    </row>
    <row r="242" spans="1:68" x14ac:dyDescent="0.2">
      <c r="A242" s="627"/>
      <c r="B242" s="627"/>
      <c r="C242" s="627"/>
      <c r="D242" s="627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8"/>
      <c r="P242" s="630" t="s">
        <v>72</v>
      </c>
      <c r="Q242" s="631"/>
      <c r="R242" s="631"/>
      <c r="S242" s="631"/>
      <c r="T242" s="631"/>
      <c r="U242" s="631"/>
      <c r="V242" s="632"/>
      <c r="W242" s="37" t="s">
        <v>67</v>
      </c>
      <c r="X242" s="617">
        <f>IFERROR(SUM(X238:X240),"0")</f>
        <v>0</v>
      </c>
      <c r="Y242" s="617">
        <f>IFERROR(SUM(Y238:Y240),"0")</f>
        <v>0</v>
      </c>
      <c r="Z242" s="37"/>
      <c r="AA242" s="618"/>
      <c r="AB242" s="618"/>
      <c r="AC242" s="618"/>
    </row>
    <row r="243" spans="1:68" ht="14.25" customHeight="1" x14ac:dyDescent="0.25">
      <c r="A243" s="629" t="s">
        <v>413</v>
      </c>
      <c r="B243" s="627"/>
      <c r="C243" s="627"/>
      <c r="D243" s="627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  <c r="Y243" s="627"/>
      <c r="Z243" s="627"/>
      <c r="AA243" s="611"/>
      <c r="AB243" s="611"/>
      <c r="AC243" s="611"/>
    </row>
    <row r="244" spans="1:68" ht="27" customHeight="1" x14ac:dyDescent="0.25">
      <c r="A244" s="54" t="s">
        <v>414</v>
      </c>
      <c r="B244" s="54" t="s">
        <v>415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5">
        <v>0</v>
      </c>
      <c r="Y244" s="61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26"/>
      <c r="B245" s="627"/>
      <c r="C245" s="627"/>
      <c r="D245" s="627"/>
      <c r="E245" s="627"/>
      <c r="F245" s="627"/>
      <c r="G245" s="627"/>
      <c r="H245" s="627"/>
      <c r="I245" s="627"/>
      <c r="J245" s="627"/>
      <c r="K245" s="627"/>
      <c r="L245" s="627"/>
      <c r="M245" s="627"/>
      <c r="N245" s="627"/>
      <c r="O245" s="628"/>
      <c r="P245" s="630" t="s">
        <v>72</v>
      </c>
      <c r="Q245" s="631"/>
      <c r="R245" s="631"/>
      <c r="S245" s="631"/>
      <c r="T245" s="631"/>
      <c r="U245" s="631"/>
      <c r="V245" s="632"/>
      <c r="W245" s="37" t="s">
        <v>73</v>
      </c>
      <c r="X245" s="617">
        <f>IFERROR(X244/H244,"0")</f>
        <v>0</v>
      </c>
      <c r="Y245" s="617">
        <f>IFERROR(Y244/H244,"0")</f>
        <v>0</v>
      </c>
      <c r="Z245" s="617">
        <f>IFERROR(IF(Z244="",0,Z244),"0")</f>
        <v>0</v>
      </c>
      <c r="AA245" s="618"/>
      <c r="AB245" s="618"/>
      <c r="AC245" s="618"/>
    </row>
    <row r="246" spans="1:68" x14ac:dyDescent="0.2">
      <c r="A246" s="627"/>
      <c r="B246" s="627"/>
      <c r="C246" s="627"/>
      <c r="D246" s="627"/>
      <c r="E246" s="627"/>
      <c r="F246" s="627"/>
      <c r="G246" s="627"/>
      <c r="H246" s="627"/>
      <c r="I246" s="627"/>
      <c r="J246" s="627"/>
      <c r="K246" s="627"/>
      <c r="L246" s="627"/>
      <c r="M246" s="627"/>
      <c r="N246" s="627"/>
      <c r="O246" s="628"/>
      <c r="P246" s="630" t="s">
        <v>72</v>
      </c>
      <c r="Q246" s="631"/>
      <c r="R246" s="631"/>
      <c r="S246" s="631"/>
      <c r="T246" s="631"/>
      <c r="U246" s="631"/>
      <c r="V246" s="632"/>
      <c r="W246" s="37" t="s">
        <v>67</v>
      </c>
      <c r="X246" s="617">
        <f>IFERROR(SUM(X244:X244),"0")</f>
        <v>0</v>
      </c>
      <c r="Y246" s="617">
        <f>IFERROR(SUM(Y244:Y244),"0")</f>
        <v>0</v>
      </c>
      <c r="Z246" s="37"/>
      <c r="AA246" s="618"/>
      <c r="AB246" s="618"/>
      <c r="AC246" s="618"/>
    </row>
    <row r="247" spans="1:68" ht="16.5" customHeight="1" x14ac:dyDescent="0.25">
      <c r="A247" s="638" t="s">
        <v>416</v>
      </c>
      <c r="B247" s="627"/>
      <c r="C247" s="627"/>
      <c r="D247" s="627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R247" s="627"/>
      <c r="S247" s="627"/>
      <c r="T247" s="627"/>
      <c r="U247" s="627"/>
      <c r="V247" s="627"/>
      <c r="W247" s="627"/>
      <c r="X247" s="627"/>
      <c r="Y247" s="627"/>
      <c r="Z247" s="627"/>
      <c r="AA247" s="610"/>
      <c r="AB247" s="610"/>
      <c r="AC247" s="610"/>
    </row>
    <row r="248" spans="1:68" ht="14.25" customHeight="1" x14ac:dyDescent="0.25">
      <c r="A248" s="629" t="s">
        <v>117</v>
      </c>
      <c r="B248" s="627"/>
      <c r="C248" s="627"/>
      <c r="D248" s="627"/>
      <c r="E248" s="627"/>
      <c r="F248" s="627"/>
      <c r="G248" s="627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R248" s="627"/>
      <c r="S248" s="627"/>
      <c r="T248" s="627"/>
      <c r="U248" s="627"/>
      <c r="V248" s="627"/>
      <c r="W248" s="627"/>
      <c r="X248" s="627"/>
      <c r="Y248" s="627"/>
      <c r="Z248" s="627"/>
      <c r="AA248" s="611"/>
      <c r="AB248" s="611"/>
      <c r="AC248" s="611"/>
    </row>
    <row r="249" spans="1:68" ht="27" customHeight="1" x14ac:dyDescent="0.25">
      <c r="A249" s="54" t="s">
        <v>417</v>
      </c>
      <c r="B249" s="54" t="s">
        <v>418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420</v>
      </c>
      <c r="B250" s="54" t="s">
        <v>421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6"/>
      <c r="B251" s="627"/>
      <c r="C251" s="627"/>
      <c r="D251" s="627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8"/>
      <c r="P251" s="630" t="s">
        <v>72</v>
      </c>
      <c r="Q251" s="631"/>
      <c r="R251" s="631"/>
      <c r="S251" s="631"/>
      <c r="T251" s="631"/>
      <c r="U251" s="631"/>
      <c r="V251" s="632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x14ac:dyDescent="0.2">
      <c r="A252" s="627"/>
      <c r="B252" s="627"/>
      <c r="C252" s="627"/>
      <c r="D252" s="627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8"/>
      <c r="P252" s="630" t="s">
        <v>72</v>
      </c>
      <c r="Q252" s="631"/>
      <c r="R252" s="631"/>
      <c r="S252" s="631"/>
      <c r="T252" s="631"/>
      <c r="U252" s="631"/>
      <c r="V252" s="632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customHeight="1" x14ac:dyDescent="0.25">
      <c r="A253" s="629" t="s">
        <v>153</v>
      </c>
      <c r="B253" s="627"/>
      <c r="C253" s="627"/>
      <c r="D253" s="627"/>
      <c r="E253" s="627"/>
      <c r="F253" s="627"/>
      <c r="G253" s="627"/>
      <c r="H253" s="627"/>
      <c r="I253" s="627"/>
      <c r="J253" s="627"/>
      <c r="K253" s="627"/>
      <c r="L253" s="627"/>
      <c r="M253" s="627"/>
      <c r="N253" s="627"/>
      <c r="O253" s="627"/>
      <c r="P253" s="627"/>
      <c r="Q253" s="627"/>
      <c r="R253" s="627"/>
      <c r="S253" s="627"/>
      <c r="T253" s="627"/>
      <c r="U253" s="627"/>
      <c r="V253" s="627"/>
      <c r="W253" s="627"/>
      <c r="X253" s="627"/>
      <c r="Y253" s="627"/>
      <c r="Z253" s="627"/>
      <c r="AA253" s="611"/>
      <c r="AB253" s="611"/>
      <c r="AC253" s="611"/>
    </row>
    <row r="254" spans="1:68" ht="16.5" customHeight="1" x14ac:dyDescent="0.25">
      <c r="A254" s="54" t="s">
        <v>422</v>
      </c>
      <c r="B254" s="54" t="s">
        <v>423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425</v>
      </c>
      <c r="B255" s="54" t="s">
        <v>426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6"/>
      <c r="B256" s="627"/>
      <c r="C256" s="627"/>
      <c r="D256" s="627"/>
      <c r="E256" s="627"/>
      <c r="F256" s="627"/>
      <c r="G256" s="627"/>
      <c r="H256" s="627"/>
      <c r="I256" s="627"/>
      <c r="J256" s="627"/>
      <c r="K256" s="627"/>
      <c r="L256" s="627"/>
      <c r="M256" s="627"/>
      <c r="N256" s="627"/>
      <c r="O256" s="628"/>
      <c r="P256" s="630" t="s">
        <v>72</v>
      </c>
      <c r="Q256" s="631"/>
      <c r="R256" s="631"/>
      <c r="S256" s="631"/>
      <c r="T256" s="631"/>
      <c r="U256" s="631"/>
      <c r="V256" s="632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x14ac:dyDescent="0.2">
      <c r="A257" s="627"/>
      <c r="B257" s="627"/>
      <c r="C257" s="627"/>
      <c r="D257" s="627"/>
      <c r="E257" s="627"/>
      <c r="F257" s="627"/>
      <c r="G257" s="627"/>
      <c r="H257" s="627"/>
      <c r="I257" s="627"/>
      <c r="J257" s="627"/>
      <c r="K257" s="627"/>
      <c r="L257" s="627"/>
      <c r="M257" s="627"/>
      <c r="N257" s="627"/>
      <c r="O257" s="628"/>
      <c r="P257" s="630" t="s">
        <v>72</v>
      </c>
      <c r="Q257" s="631"/>
      <c r="R257" s="631"/>
      <c r="S257" s="631"/>
      <c r="T257" s="631"/>
      <c r="U257" s="631"/>
      <c r="V257" s="632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customHeight="1" x14ac:dyDescent="0.25">
      <c r="A258" s="629" t="s">
        <v>62</v>
      </c>
      <c r="B258" s="627"/>
      <c r="C258" s="627"/>
      <c r="D258" s="627"/>
      <c r="E258" s="627"/>
      <c r="F258" s="627"/>
      <c r="G258" s="627"/>
      <c r="H258" s="627"/>
      <c r="I258" s="627"/>
      <c r="J258" s="627"/>
      <c r="K258" s="627"/>
      <c r="L258" s="627"/>
      <c r="M258" s="627"/>
      <c r="N258" s="627"/>
      <c r="O258" s="627"/>
      <c r="P258" s="627"/>
      <c r="Q258" s="627"/>
      <c r="R258" s="627"/>
      <c r="S258" s="627"/>
      <c r="T258" s="627"/>
      <c r="U258" s="627"/>
      <c r="V258" s="627"/>
      <c r="W258" s="627"/>
      <c r="X258" s="627"/>
      <c r="Y258" s="627"/>
      <c r="Z258" s="627"/>
      <c r="AA258" s="611"/>
      <c r="AB258" s="611"/>
      <c r="AC258" s="611"/>
    </row>
    <row r="259" spans="1:68" ht="27" customHeight="1" x14ac:dyDescent="0.25">
      <c r="A259" s="54" t="s">
        <v>427</v>
      </c>
      <c r="B259" s="54" t="s">
        <v>428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6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5">
        <v>0</v>
      </c>
      <c r="Y260" s="616">
        <f t="shared" si="27"/>
        <v>0</v>
      </c>
      <c r="Z260" s="36" t="str">
        <f>IFERROR(IF(Y260=0,"",ROUNDUP(Y260/H260,0)*0.00902),"")</f>
        <v/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0</v>
      </c>
      <c r="BN260" s="64">
        <f t="shared" si="29"/>
        <v>0</v>
      </c>
      <c r="BO260" s="64">
        <f t="shared" si="30"/>
        <v>0</v>
      </c>
      <c r="BP260" s="64">
        <f t="shared" si="31"/>
        <v>0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5">
        <v>63</v>
      </c>
      <c r="Y261" s="616">
        <f t="shared" si="27"/>
        <v>64.800000000000011</v>
      </c>
      <c r="Z261" s="36">
        <f>IFERROR(IF(Y261=0,"",ROUNDUP(Y261/H261,0)*0.00902),"")</f>
        <v>0.10824</v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65.216666666666669</v>
      </c>
      <c r="BN261" s="64">
        <f t="shared" si="29"/>
        <v>67.08</v>
      </c>
      <c r="BO261" s="64">
        <f t="shared" si="30"/>
        <v>8.8383838383838384E-2</v>
      </c>
      <c r="BP261" s="64">
        <f t="shared" si="31"/>
        <v>9.0909090909090925E-2</v>
      </c>
    </row>
    <row r="262" spans="1:68" ht="27" customHeight="1" x14ac:dyDescent="0.25">
      <c r="A262" s="54" t="s">
        <v>436</v>
      </c>
      <c r="B262" s="54" t="s">
        <v>437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5">
        <v>0</v>
      </c>
      <c r="Y262" s="616">
        <f t="shared" si="27"/>
        <v>0</v>
      </c>
      <c r="Z262" s="36" t="str">
        <f>IFERROR(IF(Y262=0,"",ROUNDUP(Y262/H262,0)*0.00902),"")</f>
        <v/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0</v>
      </c>
      <c r="BN262" s="64">
        <f t="shared" si="29"/>
        <v>0</v>
      </c>
      <c r="BO262" s="64">
        <f t="shared" si="30"/>
        <v>0</v>
      </c>
      <c r="BP262" s="64">
        <f t="shared" si="31"/>
        <v>0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5">
        <v>0</v>
      </c>
      <c r="Y263" s="616">
        <f t="shared" si="27"/>
        <v>0</v>
      </c>
      <c r="Z263" s="36" t="str">
        <f>IFERROR(IF(Y263=0,"",ROUNDUP(Y263/H263,0)*0.00502),"")</f>
        <v/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0</v>
      </c>
      <c r="BN263" s="64">
        <f t="shared" si="29"/>
        <v>0</v>
      </c>
      <c r="BO263" s="64">
        <f t="shared" si="30"/>
        <v>0</v>
      </c>
      <c r="BP263" s="64">
        <f t="shared" si="31"/>
        <v>0</v>
      </c>
    </row>
    <row r="264" spans="1:68" ht="27" customHeight="1" x14ac:dyDescent="0.25">
      <c r="A264" s="54" t="s">
        <v>441</v>
      </c>
      <c r="B264" s="54" t="s">
        <v>442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5">
        <v>0</v>
      </c>
      <c r="Y264" s="616">
        <f t="shared" si="27"/>
        <v>0</v>
      </c>
      <c r="Z264" s="36" t="str">
        <f>IFERROR(IF(Y264=0,"",ROUNDUP(Y264/H264,0)*0.00502),"")</f>
        <v/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0</v>
      </c>
      <c r="BN264" s="64">
        <f t="shared" si="29"/>
        <v>0</v>
      </c>
      <c r="BO264" s="64">
        <f t="shared" si="30"/>
        <v>0</v>
      </c>
      <c r="BP264" s="64">
        <f t="shared" si="31"/>
        <v>0</v>
      </c>
    </row>
    <row r="265" spans="1:68" ht="27" customHeight="1" x14ac:dyDescent="0.25">
      <c r="A265" s="54" t="s">
        <v>443</v>
      </c>
      <c r="B265" s="54" t="s">
        <v>444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customHeight="1" x14ac:dyDescent="0.25">
      <c r="A266" s="54" t="s">
        <v>445</v>
      </c>
      <c r="B266" s="54" t="s">
        <v>446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x14ac:dyDescent="0.2">
      <c r="A267" s="626"/>
      <c r="B267" s="627"/>
      <c r="C267" s="627"/>
      <c r="D267" s="627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8"/>
      <c r="P267" s="630" t="s">
        <v>72</v>
      </c>
      <c r="Q267" s="631"/>
      <c r="R267" s="631"/>
      <c r="S267" s="631"/>
      <c r="T267" s="631"/>
      <c r="U267" s="631"/>
      <c r="V267" s="632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11.666666666666666</v>
      </c>
      <c r="Y267" s="617">
        <f>IFERROR(Y259/H259,"0")+IFERROR(Y260/H260,"0")+IFERROR(Y261/H261,"0")+IFERROR(Y262/H262,"0")+IFERROR(Y263/H263,"0")+IFERROR(Y264/H264,"0")+IFERROR(Y265/H265,"0")+IFERROR(Y266/H266,"0")</f>
        <v>12.000000000000002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0.10824</v>
      </c>
      <c r="AA267" s="618"/>
      <c r="AB267" s="618"/>
      <c r="AC267" s="618"/>
    </row>
    <row r="268" spans="1:68" x14ac:dyDescent="0.2">
      <c r="A268" s="627"/>
      <c r="B268" s="627"/>
      <c r="C268" s="627"/>
      <c r="D268" s="627"/>
      <c r="E268" s="627"/>
      <c r="F268" s="627"/>
      <c r="G268" s="627"/>
      <c r="H268" s="627"/>
      <c r="I268" s="627"/>
      <c r="J268" s="627"/>
      <c r="K268" s="627"/>
      <c r="L268" s="627"/>
      <c r="M268" s="627"/>
      <c r="N268" s="627"/>
      <c r="O268" s="628"/>
      <c r="P268" s="630" t="s">
        <v>72</v>
      </c>
      <c r="Q268" s="631"/>
      <c r="R268" s="631"/>
      <c r="S268" s="631"/>
      <c r="T268" s="631"/>
      <c r="U268" s="631"/>
      <c r="V268" s="632"/>
      <c r="W268" s="37" t="s">
        <v>67</v>
      </c>
      <c r="X268" s="617">
        <f>IFERROR(SUM(X259:X266),"0")</f>
        <v>63</v>
      </c>
      <c r="Y268" s="617">
        <f>IFERROR(SUM(Y259:Y266),"0")</f>
        <v>64.800000000000011</v>
      </c>
      <c r="Z268" s="37"/>
      <c r="AA268" s="618"/>
      <c r="AB268" s="618"/>
      <c r="AC268" s="618"/>
    </row>
    <row r="269" spans="1:68" ht="14.25" customHeight="1" x14ac:dyDescent="0.25">
      <c r="A269" s="629" t="s">
        <v>74</v>
      </c>
      <c r="B269" s="627"/>
      <c r="C269" s="627"/>
      <c r="D269" s="627"/>
      <c r="E269" s="627"/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S269" s="627"/>
      <c r="T269" s="627"/>
      <c r="U269" s="627"/>
      <c r="V269" s="627"/>
      <c r="W269" s="627"/>
      <c r="X269" s="627"/>
      <c r="Y269" s="627"/>
      <c r="Z269" s="627"/>
      <c r="AA269" s="611"/>
      <c r="AB269" s="611"/>
      <c r="AC269" s="611"/>
    </row>
    <row r="270" spans="1:68" ht="27" customHeight="1" x14ac:dyDescent="0.25">
      <c r="A270" s="54" t="s">
        <v>447</v>
      </c>
      <c r="B270" s="54" t="s">
        <v>448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customHeight="1" x14ac:dyDescent="0.25">
      <c r="A271" s="54" t="s">
        <v>450</v>
      </c>
      <c r="B271" s="54" t="s">
        <v>451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7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customHeight="1" x14ac:dyDescent="0.25">
      <c r="A272" s="54" t="s">
        <v>453</v>
      </c>
      <c r="B272" s="54" t="s">
        <v>454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customHeight="1" x14ac:dyDescent="0.25">
      <c r="A273" s="54" t="s">
        <v>456</v>
      </c>
      <c r="B273" s="54" t="s">
        <v>457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5">
        <v>0</v>
      </c>
      <c r="Y273" s="616">
        <f t="shared" si="32"/>
        <v>0</v>
      </c>
      <c r="Z273" s="36" t="str">
        <f>IFERROR(IF(Y273=0,"",ROUNDUP(Y273/H273,0)*0.00651),"")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0</v>
      </c>
      <c r="BN273" s="64">
        <f t="shared" si="34"/>
        <v>0</v>
      </c>
      <c r="BO273" s="64">
        <f t="shared" si="35"/>
        <v>0</v>
      </c>
      <c r="BP273" s="64">
        <f t="shared" si="36"/>
        <v>0</v>
      </c>
    </row>
    <row r="274" spans="1:68" ht="27" customHeight="1" x14ac:dyDescent="0.25">
      <c r="A274" s="54" t="s">
        <v>458</v>
      </c>
      <c r="B274" s="54" t="s">
        <v>459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customHeight="1" x14ac:dyDescent="0.25">
      <c r="A275" s="54" t="s">
        <v>460</v>
      </c>
      <c r="B275" s="54" t="s">
        <v>461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5">
        <v>0</v>
      </c>
      <c r="Y276" s="616">
        <f t="shared" si="32"/>
        <v>0</v>
      </c>
      <c r="Z276" s="36" t="str">
        <f>IFERROR(IF(Y276=0,"",ROUNDUP(Y276/H276,0)*0.00651),"")</f>
        <v/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0</v>
      </c>
      <c r="BN276" s="64">
        <f t="shared" si="34"/>
        <v>0</v>
      </c>
      <c r="BO276" s="64">
        <f t="shared" si="35"/>
        <v>0</v>
      </c>
      <c r="BP276" s="64">
        <f t="shared" si="36"/>
        <v>0</v>
      </c>
    </row>
    <row r="277" spans="1:68" ht="27" customHeight="1" x14ac:dyDescent="0.25">
      <c r="A277" s="54" t="s">
        <v>465</v>
      </c>
      <c r="B277" s="54" t="s">
        <v>466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9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5">
        <v>0</v>
      </c>
      <c r="Y278" s="616">
        <f t="shared" si="32"/>
        <v>0</v>
      </c>
      <c r="Z278" s="36" t="str">
        <f>IFERROR(IF(Y278=0,"",ROUNDUP(Y278/H278,0)*0.00651),"")</f>
        <v/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0</v>
      </c>
      <c r="BN278" s="64">
        <f t="shared" si="34"/>
        <v>0</v>
      </c>
      <c r="BO278" s="64">
        <f t="shared" si="35"/>
        <v>0</v>
      </c>
      <c r="BP278" s="64">
        <f t="shared" si="36"/>
        <v>0</v>
      </c>
    </row>
    <row r="279" spans="1:68" ht="27" customHeight="1" x14ac:dyDescent="0.25">
      <c r="A279" s="54" t="s">
        <v>469</v>
      </c>
      <c r="B279" s="54" t="s">
        <v>470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5">
        <v>0</v>
      </c>
      <c r="Y280" s="616">
        <f t="shared" si="32"/>
        <v>0</v>
      </c>
      <c r="Z280" s="36" t="str">
        <f>IFERROR(IF(Y280=0,"",ROUNDUP(Y280/H280,0)*0.00651),"")</f>
        <v/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0</v>
      </c>
      <c r="BN280" s="64">
        <f t="shared" si="34"/>
        <v>0</v>
      </c>
      <c r="BO280" s="64">
        <f t="shared" si="35"/>
        <v>0</v>
      </c>
      <c r="BP280" s="64">
        <f t="shared" si="36"/>
        <v>0</v>
      </c>
    </row>
    <row r="281" spans="1:68" ht="27" customHeight="1" x14ac:dyDescent="0.25">
      <c r="A281" s="54" t="s">
        <v>475</v>
      </c>
      <c r="B281" s="54" t="s">
        <v>476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26"/>
      <c r="B282" s="627"/>
      <c r="C282" s="627"/>
      <c r="D282" s="627"/>
      <c r="E282" s="627"/>
      <c r="F282" s="627"/>
      <c r="G282" s="627"/>
      <c r="H282" s="627"/>
      <c r="I282" s="627"/>
      <c r="J282" s="627"/>
      <c r="K282" s="627"/>
      <c r="L282" s="627"/>
      <c r="M282" s="627"/>
      <c r="N282" s="627"/>
      <c r="O282" s="628"/>
      <c r="P282" s="630" t="s">
        <v>72</v>
      </c>
      <c r="Q282" s="631"/>
      <c r="R282" s="631"/>
      <c r="S282" s="631"/>
      <c r="T282" s="631"/>
      <c r="U282" s="631"/>
      <c r="V282" s="632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18"/>
      <c r="AB282" s="618"/>
      <c r="AC282" s="618"/>
    </row>
    <row r="283" spans="1:68" x14ac:dyDescent="0.2">
      <c r="A283" s="627"/>
      <c r="B283" s="627"/>
      <c r="C283" s="627"/>
      <c r="D283" s="627"/>
      <c r="E283" s="627"/>
      <c r="F283" s="627"/>
      <c r="G283" s="627"/>
      <c r="H283" s="627"/>
      <c r="I283" s="627"/>
      <c r="J283" s="627"/>
      <c r="K283" s="627"/>
      <c r="L283" s="627"/>
      <c r="M283" s="627"/>
      <c r="N283" s="627"/>
      <c r="O283" s="628"/>
      <c r="P283" s="630" t="s">
        <v>72</v>
      </c>
      <c r="Q283" s="631"/>
      <c r="R283" s="631"/>
      <c r="S283" s="631"/>
      <c r="T283" s="631"/>
      <c r="U283" s="631"/>
      <c r="V283" s="632"/>
      <c r="W283" s="37" t="s">
        <v>67</v>
      </c>
      <c r="X283" s="617">
        <f>IFERROR(SUM(X270:X281),"0")</f>
        <v>0</v>
      </c>
      <c r="Y283" s="617">
        <f>IFERROR(SUM(Y270:Y281),"0")</f>
        <v>0</v>
      </c>
      <c r="Z283" s="37"/>
      <c r="AA283" s="618"/>
      <c r="AB283" s="618"/>
      <c r="AC283" s="618"/>
    </row>
    <row r="284" spans="1:68" ht="14.25" customHeight="1" x14ac:dyDescent="0.25">
      <c r="A284" s="629" t="s">
        <v>170</v>
      </c>
      <c r="B284" s="627"/>
      <c r="C284" s="627"/>
      <c r="D284" s="627"/>
      <c r="E284" s="627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T284" s="627"/>
      <c r="U284" s="627"/>
      <c r="V284" s="627"/>
      <c r="W284" s="627"/>
      <c r="X284" s="627"/>
      <c r="Y284" s="627"/>
      <c r="Z284" s="627"/>
      <c r="AA284" s="611"/>
      <c r="AB284" s="611"/>
      <c r="AC284" s="611"/>
    </row>
    <row r="285" spans="1:68" ht="27" customHeight="1" x14ac:dyDescent="0.25">
      <c r="A285" s="54" t="s">
        <v>478</v>
      </c>
      <c r="B285" s="54" t="s">
        <v>479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481</v>
      </c>
      <c r="B286" s="54" t="s">
        <v>482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5">
        <v>0</v>
      </c>
      <c r="Y286" s="61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26"/>
      <c r="B287" s="627"/>
      <c r="C287" s="627"/>
      <c r="D287" s="627"/>
      <c r="E287" s="627"/>
      <c r="F287" s="627"/>
      <c r="G287" s="627"/>
      <c r="H287" s="627"/>
      <c r="I287" s="627"/>
      <c r="J287" s="627"/>
      <c r="K287" s="627"/>
      <c r="L287" s="627"/>
      <c r="M287" s="627"/>
      <c r="N287" s="627"/>
      <c r="O287" s="628"/>
      <c r="P287" s="630" t="s">
        <v>72</v>
      </c>
      <c r="Q287" s="631"/>
      <c r="R287" s="631"/>
      <c r="S287" s="631"/>
      <c r="T287" s="631"/>
      <c r="U287" s="631"/>
      <c r="V287" s="632"/>
      <c r="W287" s="37" t="s">
        <v>73</v>
      </c>
      <c r="X287" s="617">
        <f>IFERROR(X285/H285,"0")+IFERROR(X286/H286,"0")</f>
        <v>0</v>
      </c>
      <c r="Y287" s="617">
        <f>IFERROR(Y285/H285,"0")+IFERROR(Y286/H286,"0")</f>
        <v>0</v>
      </c>
      <c r="Z287" s="617">
        <f>IFERROR(IF(Z285="",0,Z285),"0")+IFERROR(IF(Z286="",0,Z286),"0")</f>
        <v>0</v>
      </c>
      <c r="AA287" s="618"/>
      <c r="AB287" s="618"/>
      <c r="AC287" s="618"/>
    </row>
    <row r="288" spans="1:68" x14ac:dyDescent="0.2">
      <c r="A288" s="627"/>
      <c r="B288" s="627"/>
      <c r="C288" s="627"/>
      <c r="D288" s="627"/>
      <c r="E288" s="627"/>
      <c r="F288" s="627"/>
      <c r="G288" s="627"/>
      <c r="H288" s="627"/>
      <c r="I288" s="627"/>
      <c r="J288" s="627"/>
      <c r="K288" s="627"/>
      <c r="L288" s="627"/>
      <c r="M288" s="627"/>
      <c r="N288" s="627"/>
      <c r="O288" s="628"/>
      <c r="P288" s="630" t="s">
        <v>72</v>
      </c>
      <c r="Q288" s="631"/>
      <c r="R288" s="631"/>
      <c r="S288" s="631"/>
      <c r="T288" s="631"/>
      <c r="U288" s="631"/>
      <c r="V288" s="632"/>
      <c r="W288" s="37" t="s">
        <v>67</v>
      </c>
      <c r="X288" s="617">
        <f>IFERROR(SUM(X285:X286),"0")</f>
        <v>0</v>
      </c>
      <c r="Y288" s="617">
        <f>IFERROR(SUM(Y285:Y286),"0")</f>
        <v>0</v>
      </c>
      <c r="Z288" s="37"/>
      <c r="AA288" s="618"/>
      <c r="AB288" s="618"/>
      <c r="AC288" s="618"/>
    </row>
    <row r="289" spans="1:68" ht="16.5" customHeight="1" x14ac:dyDescent="0.25">
      <c r="A289" s="638" t="s">
        <v>484</v>
      </c>
      <c r="B289" s="627"/>
      <c r="C289" s="627"/>
      <c r="D289" s="627"/>
      <c r="E289" s="627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T289" s="627"/>
      <c r="U289" s="627"/>
      <c r="V289" s="627"/>
      <c r="W289" s="627"/>
      <c r="X289" s="627"/>
      <c r="Y289" s="627"/>
      <c r="Z289" s="627"/>
      <c r="AA289" s="610"/>
      <c r="AB289" s="610"/>
      <c r="AC289" s="610"/>
    </row>
    <row r="290" spans="1:68" ht="14.25" customHeight="1" x14ac:dyDescent="0.25">
      <c r="A290" s="629" t="s">
        <v>117</v>
      </c>
      <c r="B290" s="627"/>
      <c r="C290" s="627"/>
      <c r="D290" s="627"/>
      <c r="E290" s="627"/>
      <c r="F290" s="627"/>
      <c r="G290" s="627"/>
      <c r="H290" s="627"/>
      <c r="I290" s="627"/>
      <c r="J290" s="627"/>
      <c r="K290" s="627"/>
      <c r="L290" s="627"/>
      <c r="M290" s="627"/>
      <c r="N290" s="627"/>
      <c r="O290" s="627"/>
      <c r="P290" s="627"/>
      <c r="Q290" s="627"/>
      <c r="R290" s="627"/>
      <c r="S290" s="627"/>
      <c r="T290" s="627"/>
      <c r="U290" s="627"/>
      <c r="V290" s="627"/>
      <c r="W290" s="627"/>
      <c r="X290" s="627"/>
      <c r="Y290" s="627"/>
      <c r="Z290" s="627"/>
      <c r="AA290" s="611"/>
      <c r="AB290" s="611"/>
      <c r="AC290" s="611"/>
    </row>
    <row r="291" spans="1:68" ht="27" customHeight="1" x14ac:dyDescent="0.25">
      <c r="A291" s="54" t="s">
        <v>485</v>
      </c>
      <c r="B291" s="54" t="s">
        <v>486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customHeight="1" x14ac:dyDescent="0.25">
      <c r="A292" s="54" t="s">
        <v>488</v>
      </c>
      <c r="B292" s="54" t="s">
        <v>489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customHeight="1" x14ac:dyDescent="0.25">
      <c r="A293" s="54" t="s">
        <v>491</v>
      </c>
      <c r="B293" s="54" t="s">
        <v>492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customHeight="1" x14ac:dyDescent="0.25">
      <c r="A294" s="54" t="s">
        <v>493</v>
      </c>
      <c r="B294" s="54" t="s">
        <v>494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customHeight="1" x14ac:dyDescent="0.25">
      <c r="A295" s="54" t="s">
        <v>495</v>
      </c>
      <c r="B295" s="54" t="s">
        <v>496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customHeight="1" x14ac:dyDescent="0.25">
      <c r="A296" s="54" t="s">
        <v>498</v>
      </c>
      <c r="B296" s="54" t="s">
        <v>499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7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customHeight="1" x14ac:dyDescent="0.25">
      <c r="A297" s="54" t="s">
        <v>501</v>
      </c>
      <c r="B297" s="54" t="s">
        <v>502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x14ac:dyDescent="0.2">
      <c r="A298" s="626"/>
      <c r="B298" s="627"/>
      <c r="C298" s="627"/>
      <c r="D298" s="627"/>
      <c r="E298" s="627"/>
      <c r="F298" s="627"/>
      <c r="G298" s="627"/>
      <c r="H298" s="627"/>
      <c r="I298" s="627"/>
      <c r="J298" s="627"/>
      <c r="K298" s="627"/>
      <c r="L298" s="627"/>
      <c r="M298" s="627"/>
      <c r="N298" s="627"/>
      <c r="O298" s="628"/>
      <c r="P298" s="630" t="s">
        <v>72</v>
      </c>
      <c r="Q298" s="631"/>
      <c r="R298" s="631"/>
      <c r="S298" s="631"/>
      <c r="T298" s="631"/>
      <c r="U298" s="631"/>
      <c r="V298" s="632"/>
      <c r="W298" s="37" t="s">
        <v>73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x14ac:dyDescent="0.2">
      <c r="A299" s="627"/>
      <c r="B299" s="627"/>
      <c r="C299" s="627"/>
      <c r="D299" s="627"/>
      <c r="E299" s="627"/>
      <c r="F299" s="627"/>
      <c r="G299" s="627"/>
      <c r="H299" s="627"/>
      <c r="I299" s="627"/>
      <c r="J299" s="627"/>
      <c r="K299" s="627"/>
      <c r="L299" s="627"/>
      <c r="M299" s="627"/>
      <c r="N299" s="627"/>
      <c r="O299" s="628"/>
      <c r="P299" s="630" t="s">
        <v>72</v>
      </c>
      <c r="Q299" s="631"/>
      <c r="R299" s="631"/>
      <c r="S299" s="631"/>
      <c r="T299" s="631"/>
      <c r="U299" s="631"/>
      <c r="V299" s="632"/>
      <c r="W299" s="37" t="s">
        <v>67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customHeight="1" x14ac:dyDescent="0.25">
      <c r="A300" s="629" t="s">
        <v>153</v>
      </c>
      <c r="B300" s="627"/>
      <c r="C300" s="627"/>
      <c r="D300" s="627"/>
      <c r="E300" s="627"/>
      <c r="F300" s="627"/>
      <c r="G300" s="627"/>
      <c r="H300" s="627"/>
      <c r="I300" s="627"/>
      <c r="J300" s="627"/>
      <c r="K300" s="627"/>
      <c r="L300" s="627"/>
      <c r="M300" s="627"/>
      <c r="N300" s="627"/>
      <c r="O300" s="627"/>
      <c r="P300" s="627"/>
      <c r="Q300" s="627"/>
      <c r="R300" s="627"/>
      <c r="S300" s="627"/>
      <c r="T300" s="627"/>
      <c r="U300" s="627"/>
      <c r="V300" s="627"/>
      <c r="W300" s="627"/>
      <c r="X300" s="627"/>
      <c r="Y300" s="627"/>
      <c r="Z300" s="627"/>
      <c r="AA300" s="611"/>
      <c r="AB300" s="611"/>
      <c r="AC300" s="611"/>
    </row>
    <row r="301" spans="1:68" ht="27" customHeight="1" x14ac:dyDescent="0.25">
      <c r="A301" s="54" t="s">
        <v>503</v>
      </c>
      <c r="B301" s="54" t="s">
        <v>504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6"/>
      <c r="B302" s="627"/>
      <c r="C302" s="627"/>
      <c r="D302" s="627"/>
      <c r="E302" s="627"/>
      <c r="F302" s="627"/>
      <c r="G302" s="627"/>
      <c r="H302" s="627"/>
      <c r="I302" s="627"/>
      <c r="J302" s="627"/>
      <c r="K302" s="627"/>
      <c r="L302" s="627"/>
      <c r="M302" s="627"/>
      <c r="N302" s="627"/>
      <c r="O302" s="628"/>
      <c r="P302" s="630" t="s">
        <v>72</v>
      </c>
      <c r="Q302" s="631"/>
      <c r="R302" s="631"/>
      <c r="S302" s="631"/>
      <c r="T302" s="631"/>
      <c r="U302" s="631"/>
      <c r="V302" s="632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x14ac:dyDescent="0.2">
      <c r="A303" s="627"/>
      <c r="B303" s="627"/>
      <c r="C303" s="627"/>
      <c r="D303" s="627"/>
      <c r="E303" s="627"/>
      <c r="F303" s="627"/>
      <c r="G303" s="627"/>
      <c r="H303" s="627"/>
      <c r="I303" s="627"/>
      <c r="J303" s="627"/>
      <c r="K303" s="627"/>
      <c r="L303" s="627"/>
      <c r="M303" s="627"/>
      <c r="N303" s="627"/>
      <c r="O303" s="628"/>
      <c r="P303" s="630" t="s">
        <v>72</v>
      </c>
      <c r="Q303" s="631"/>
      <c r="R303" s="631"/>
      <c r="S303" s="631"/>
      <c r="T303" s="631"/>
      <c r="U303" s="631"/>
      <c r="V303" s="632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customHeight="1" x14ac:dyDescent="0.25">
      <c r="A304" s="629" t="s">
        <v>506</v>
      </c>
      <c r="B304" s="627"/>
      <c r="C304" s="627"/>
      <c r="D304" s="627"/>
      <c r="E304" s="627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T304" s="627"/>
      <c r="U304" s="627"/>
      <c r="V304" s="627"/>
      <c r="W304" s="627"/>
      <c r="X304" s="627"/>
      <c r="Y304" s="627"/>
      <c r="Z304" s="627"/>
      <c r="AA304" s="611"/>
      <c r="AB304" s="611"/>
      <c r="AC304" s="611"/>
    </row>
    <row r="305" spans="1:68" ht="27" customHeight="1" x14ac:dyDescent="0.25">
      <c r="A305" s="54" t="s">
        <v>507</v>
      </c>
      <c r="B305" s="54" t="s">
        <v>508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26"/>
      <c r="B306" s="627"/>
      <c r="C306" s="627"/>
      <c r="D306" s="627"/>
      <c r="E306" s="627"/>
      <c r="F306" s="627"/>
      <c r="G306" s="627"/>
      <c r="H306" s="627"/>
      <c r="I306" s="627"/>
      <c r="J306" s="627"/>
      <c r="K306" s="627"/>
      <c r="L306" s="627"/>
      <c r="M306" s="627"/>
      <c r="N306" s="627"/>
      <c r="O306" s="628"/>
      <c r="P306" s="630" t="s">
        <v>72</v>
      </c>
      <c r="Q306" s="631"/>
      <c r="R306" s="631"/>
      <c r="S306" s="631"/>
      <c r="T306" s="631"/>
      <c r="U306" s="631"/>
      <c r="V306" s="632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x14ac:dyDescent="0.2">
      <c r="A307" s="627"/>
      <c r="B307" s="627"/>
      <c r="C307" s="627"/>
      <c r="D307" s="627"/>
      <c r="E307" s="627"/>
      <c r="F307" s="627"/>
      <c r="G307" s="627"/>
      <c r="H307" s="627"/>
      <c r="I307" s="627"/>
      <c r="J307" s="627"/>
      <c r="K307" s="627"/>
      <c r="L307" s="627"/>
      <c r="M307" s="627"/>
      <c r="N307" s="627"/>
      <c r="O307" s="628"/>
      <c r="P307" s="630" t="s">
        <v>72</v>
      </c>
      <c r="Q307" s="631"/>
      <c r="R307" s="631"/>
      <c r="S307" s="631"/>
      <c r="T307" s="631"/>
      <c r="U307" s="631"/>
      <c r="V307" s="632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customHeight="1" x14ac:dyDescent="0.25">
      <c r="A308" s="629" t="s">
        <v>323</v>
      </c>
      <c r="B308" s="627"/>
      <c r="C308" s="627"/>
      <c r="D308" s="627"/>
      <c r="E308" s="627"/>
      <c r="F308" s="627"/>
      <c r="G308" s="627"/>
      <c r="H308" s="627"/>
      <c r="I308" s="627"/>
      <c r="J308" s="627"/>
      <c r="K308" s="627"/>
      <c r="L308" s="627"/>
      <c r="M308" s="627"/>
      <c r="N308" s="627"/>
      <c r="O308" s="627"/>
      <c r="P308" s="627"/>
      <c r="Q308" s="627"/>
      <c r="R308" s="627"/>
      <c r="S308" s="627"/>
      <c r="T308" s="627"/>
      <c r="U308" s="627"/>
      <c r="V308" s="627"/>
      <c r="W308" s="627"/>
      <c r="X308" s="627"/>
      <c r="Y308" s="627"/>
      <c r="Z308" s="627"/>
      <c r="AA308" s="611"/>
      <c r="AB308" s="611"/>
      <c r="AC308" s="611"/>
    </row>
    <row r="309" spans="1:68" ht="27" customHeight="1" x14ac:dyDescent="0.25">
      <c r="A309" s="54" t="s">
        <v>510</v>
      </c>
      <c r="B309" s="54" t="s">
        <v>511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513</v>
      </c>
      <c r="B310" s="54" t="s">
        <v>514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515</v>
      </c>
      <c r="B311" s="54" t="s">
        <v>516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79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2"/>
      <c r="R311" s="622"/>
      <c r="S311" s="622"/>
      <c r="T311" s="623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26"/>
      <c r="B312" s="627"/>
      <c r="C312" s="627"/>
      <c r="D312" s="627"/>
      <c r="E312" s="627"/>
      <c r="F312" s="627"/>
      <c r="G312" s="627"/>
      <c r="H312" s="627"/>
      <c r="I312" s="627"/>
      <c r="J312" s="627"/>
      <c r="K312" s="627"/>
      <c r="L312" s="627"/>
      <c r="M312" s="627"/>
      <c r="N312" s="627"/>
      <c r="O312" s="628"/>
      <c r="P312" s="630" t="s">
        <v>72</v>
      </c>
      <c r="Q312" s="631"/>
      <c r="R312" s="631"/>
      <c r="S312" s="631"/>
      <c r="T312" s="631"/>
      <c r="U312" s="631"/>
      <c r="V312" s="632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x14ac:dyDescent="0.2">
      <c r="A313" s="627"/>
      <c r="B313" s="627"/>
      <c r="C313" s="627"/>
      <c r="D313" s="627"/>
      <c r="E313" s="627"/>
      <c r="F313" s="627"/>
      <c r="G313" s="627"/>
      <c r="H313" s="627"/>
      <c r="I313" s="627"/>
      <c r="J313" s="627"/>
      <c r="K313" s="627"/>
      <c r="L313" s="627"/>
      <c r="M313" s="627"/>
      <c r="N313" s="627"/>
      <c r="O313" s="628"/>
      <c r="P313" s="630" t="s">
        <v>72</v>
      </c>
      <c r="Q313" s="631"/>
      <c r="R313" s="631"/>
      <c r="S313" s="631"/>
      <c r="T313" s="631"/>
      <c r="U313" s="631"/>
      <c r="V313" s="632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customHeight="1" x14ac:dyDescent="0.25">
      <c r="A314" s="638" t="s">
        <v>517</v>
      </c>
      <c r="B314" s="627"/>
      <c r="C314" s="627"/>
      <c r="D314" s="627"/>
      <c r="E314" s="627"/>
      <c r="F314" s="627"/>
      <c r="G314" s="627"/>
      <c r="H314" s="627"/>
      <c r="I314" s="627"/>
      <c r="J314" s="627"/>
      <c r="K314" s="627"/>
      <c r="L314" s="627"/>
      <c r="M314" s="627"/>
      <c r="N314" s="627"/>
      <c r="O314" s="627"/>
      <c r="P314" s="627"/>
      <c r="Q314" s="627"/>
      <c r="R314" s="627"/>
      <c r="S314" s="627"/>
      <c r="T314" s="627"/>
      <c r="U314" s="627"/>
      <c r="V314" s="627"/>
      <c r="W314" s="627"/>
      <c r="X314" s="627"/>
      <c r="Y314" s="627"/>
      <c r="Z314" s="627"/>
      <c r="AA314" s="610"/>
      <c r="AB314" s="610"/>
      <c r="AC314" s="610"/>
    </row>
    <row r="315" spans="1:68" ht="14.25" customHeight="1" x14ac:dyDescent="0.25">
      <c r="A315" s="629" t="s">
        <v>117</v>
      </c>
      <c r="B315" s="627"/>
      <c r="C315" s="627"/>
      <c r="D315" s="627"/>
      <c r="E315" s="627"/>
      <c r="F315" s="627"/>
      <c r="G315" s="627"/>
      <c r="H315" s="627"/>
      <c r="I315" s="627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27"/>
      <c r="U315" s="627"/>
      <c r="V315" s="627"/>
      <c r="W315" s="627"/>
      <c r="X315" s="627"/>
      <c r="Y315" s="627"/>
      <c r="Z315" s="627"/>
      <c r="AA315" s="611"/>
      <c r="AB315" s="611"/>
      <c r="AC315" s="611"/>
    </row>
    <row r="316" spans="1:68" ht="27" customHeight="1" x14ac:dyDescent="0.25">
      <c r="A316" s="54" t="s">
        <v>518</v>
      </c>
      <c r="B316" s="54" t="s">
        <v>519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521</v>
      </c>
      <c r="B317" s="54" t="s">
        <v>522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524</v>
      </c>
      <c r="B318" s="54" t="s">
        <v>525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527</v>
      </c>
      <c r="B319" s="54" t="s">
        <v>528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530</v>
      </c>
      <c r="B320" s="54" t="s">
        <v>531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6"/>
      <c r="B321" s="627"/>
      <c r="C321" s="627"/>
      <c r="D321" s="627"/>
      <c r="E321" s="627"/>
      <c r="F321" s="627"/>
      <c r="G321" s="627"/>
      <c r="H321" s="627"/>
      <c r="I321" s="627"/>
      <c r="J321" s="627"/>
      <c r="K321" s="627"/>
      <c r="L321" s="627"/>
      <c r="M321" s="627"/>
      <c r="N321" s="627"/>
      <c r="O321" s="628"/>
      <c r="P321" s="630" t="s">
        <v>72</v>
      </c>
      <c r="Q321" s="631"/>
      <c r="R321" s="631"/>
      <c r="S321" s="631"/>
      <c r="T321" s="631"/>
      <c r="U321" s="631"/>
      <c r="V321" s="632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x14ac:dyDescent="0.2">
      <c r="A322" s="627"/>
      <c r="B322" s="627"/>
      <c r="C322" s="627"/>
      <c r="D322" s="627"/>
      <c r="E322" s="627"/>
      <c r="F322" s="627"/>
      <c r="G322" s="627"/>
      <c r="H322" s="627"/>
      <c r="I322" s="627"/>
      <c r="J322" s="627"/>
      <c r="K322" s="627"/>
      <c r="L322" s="627"/>
      <c r="M322" s="627"/>
      <c r="N322" s="627"/>
      <c r="O322" s="628"/>
      <c r="P322" s="630" t="s">
        <v>72</v>
      </c>
      <c r="Q322" s="631"/>
      <c r="R322" s="631"/>
      <c r="S322" s="631"/>
      <c r="T322" s="631"/>
      <c r="U322" s="631"/>
      <c r="V322" s="632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customHeight="1" x14ac:dyDescent="0.25">
      <c r="A323" s="638" t="s">
        <v>533</v>
      </c>
      <c r="B323" s="627"/>
      <c r="C323" s="627"/>
      <c r="D323" s="627"/>
      <c r="E323" s="627"/>
      <c r="F323" s="627"/>
      <c r="G323" s="627"/>
      <c r="H323" s="627"/>
      <c r="I323" s="627"/>
      <c r="J323" s="627"/>
      <c r="K323" s="627"/>
      <c r="L323" s="627"/>
      <c r="M323" s="627"/>
      <c r="N323" s="627"/>
      <c r="O323" s="627"/>
      <c r="P323" s="627"/>
      <c r="Q323" s="627"/>
      <c r="R323" s="627"/>
      <c r="S323" s="627"/>
      <c r="T323" s="627"/>
      <c r="U323" s="627"/>
      <c r="V323" s="627"/>
      <c r="W323" s="627"/>
      <c r="X323" s="627"/>
      <c r="Y323" s="627"/>
      <c r="Z323" s="627"/>
      <c r="AA323" s="610"/>
      <c r="AB323" s="610"/>
      <c r="AC323" s="610"/>
    </row>
    <row r="324" spans="1:68" ht="14.25" customHeight="1" x14ac:dyDescent="0.25">
      <c r="A324" s="629" t="s">
        <v>74</v>
      </c>
      <c r="B324" s="627"/>
      <c r="C324" s="627"/>
      <c r="D324" s="627"/>
      <c r="E324" s="627"/>
      <c r="F324" s="627"/>
      <c r="G324" s="627"/>
      <c r="H324" s="627"/>
      <c r="I324" s="627"/>
      <c r="J324" s="627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7"/>
      <c r="W324" s="627"/>
      <c r="X324" s="627"/>
      <c r="Y324" s="627"/>
      <c r="Z324" s="627"/>
      <c r="AA324" s="611"/>
      <c r="AB324" s="611"/>
      <c r="AC324" s="611"/>
    </row>
    <row r="325" spans="1:68" ht="27" customHeight="1" x14ac:dyDescent="0.25">
      <c r="A325" s="54" t="s">
        <v>534</v>
      </c>
      <c r="B325" s="54" t="s">
        <v>535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537</v>
      </c>
      <c r="B326" s="54" t="s">
        <v>538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5">
        <v>0</v>
      </c>
      <c r="Y326" s="61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4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5">
        <v>0</v>
      </c>
      <c r="Y327" s="61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26"/>
      <c r="B328" s="627"/>
      <c r="C328" s="627"/>
      <c r="D328" s="627"/>
      <c r="E328" s="627"/>
      <c r="F328" s="627"/>
      <c r="G328" s="627"/>
      <c r="H328" s="627"/>
      <c r="I328" s="627"/>
      <c r="J328" s="627"/>
      <c r="K328" s="627"/>
      <c r="L328" s="627"/>
      <c r="M328" s="627"/>
      <c r="N328" s="627"/>
      <c r="O328" s="628"/>
      <c r="P328" s="630" t="s">
        <v>72</v>
      </c>
      <c r="Q328" s="631"/>
      <c r="R328" s="631"/>
      <c r="S328" s="631"/>
      <c r="T328" s="631"/>
      <c r="U328" s="631"/>
      <c r="V328" s="632"/>
      <c r="W328" s="37" t="s">
        <v>73</v>
      </c>
      <c r="X328" s="617">
        <f>IFERROR(X325/H325,"0")+IFERROR(X326/H326,"0")+IFERROR(X327/H327,"0")</f>
        <v>0</v>
      </c>
      <c r="Y328" s="617">
        <f>IFERROR(Y325/H325,"0")+IFERROR(Y326/H326,"0")+IFERROR(Y327/H327,"0")</f>
        <v>0</v>
      </c>
      <c r="Z328" s="617">
        <f>IFERROR(IF(Z325="",0,Z325),"0")+IFERROR(IF(Z326="",0,Z326),"0")+IFERROR(IF(Z327="",0,Z327),"0")</f>
        <v>0</v>
      </c>
      <c r="AA328" s="618"/>
      <c r="AB328" s="618"/>
      <c r="AC328" s="618"/>
    </row>
    <row r="329" spans="1:68" x14ac:dyDescent="0.2">
      <c r="A329" s="627"/>
      <c r="B329" s="627"/>
      <c r="C329" s="627"/>
      <c r="D329" s="627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8"/>
      <c r="P329" s="630" t="s">
        <v>72</v>
      </c>
      <c r="Q329" s="631"/>
      <c r="R329" s="631"/>
      <c r="S329" s="631"/>
      <c r="T329" s="631"/>
      <c r="U329" s="631"/>
      <c r="V329" s="632"/>
      <c r="W329" s="37" t="s">
        <v>67</v>
      </c>
      <c r="X329" s="617">
        <f>IFERROR(SUM(X325:X327),"0")</f>
        <v>0</v>
      </c>
      <c r="Y329" s="617">
        <f>IFERROR(SUM(Y325:Y327),"0")</f>
        <v>0</v>
      </c>
      <c r="Z329" s="37"/>
      <c r="AA329" s="618"/>
      <c r="AB329" s="618"/>
      <c r="AC329" s="618"/>
    </row>
    <row r="330" spans="1:68" ht="16.5" customHeight="1" x14ac:dyDescent="0.25">
      <c r="A330" s="638" t="s">
        <v>542</v>
      </c>
      <c r="B330" s="627"/>
      <c r="C330" s="627"/>
      <c r="D330" s="627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7"/>
      <c r="V330" s="627"/>
      <c r="W330" s="627"/>
      <c r="X330" s="627"/>
      <c r="Y330" s="627"/>
      <c r="Z330" s="627"/>
      <c r="AA330" s="610"/>
      <c r="AB330" s="610"/>
      <c r="AC330" s="610"/>
    </row>
    <row r="331" spans="1:68" ht="14.25" customHeight="1" x14ac:dyDescent="0.25">
      <c r="A331" s="629" t="s">
        <v>62</v>
      </c>
      <c r="B331" s="627"/>
      <c r="C331" s="627"/>
      <c r="D331" s="627"/>
      <c r="E331" s="627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7"/>
      <c r="V331" s="627"/>
      <c r="W331" s="627"/>
      <c r="X331" s="627"/>
      <c r="Y331" s="627"/>
      <c r="Z331" s="627"/>
      <c r="AA331" s="611"/>
      <c r="AB331" s="611"/>
      <c r="AC331" s="611"/>
    </row>
    <row r="332" spans="1:68" ht="27" customHeight="1" x14ac:dyDescent="0.25">
      <c r="A332" s="54" t="s">
        <v>543</v>
      </c>
      <c r="B332" s="54" t="s">
        <v>544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551</v>
      </c>
      <c r="B335" s="54" t="s">
        <v>552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554</v>
      </c>
      <c r="B336" s="54" t="s">
        <v>555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2"/>
      <c r="R336" s="622"/>
      <c r="S336" s="622"/>
      <c r="T336" s="623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6"/>
      <c r="B337" s="627"/>
      <c r="C337" s="627"/>
      <c r="D337" s="627"/>
      <c r="E337" s="627"/>
      <c r="F337" s="627"/>
      <c r="G337" s="627"/>
      <c r="H337" s="627"/>
      <c r="I337" s="627"/>
      <c r="J337" s="627"/>
      <c r="K337" s="627"/>
      <c r="L337" s="627"/>
      <c r="M337" s="627"/>
      <c r="N337" s="627"/>
      <c r="O337" s="628"/>
      <c r="P337" s="630" t="s">
        <v>72</v>
      </c>
      <c r="Q337" s="631"/>
      <c r="R337" s="631"/>
      <c r="S337" s="631"/>
      <c r="T337" s="631"/>
      <c r="U337" s="631"/>
      <c r="V337" s="632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x14ac:dyDescent="0.2">
      <c r="A338" s="627"/>
      <c r="B338" s="627"/>
      <c r="C338" s="627"/>
      <c r="D338" s="627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8"/>
      <c r="P338" s="630" t="s">
        <v>72</v>
      </c>
      <c r="Q338" s="631"/>
      <c r="R338" s="631"/>
      <c r="S338" s="631"/>
      <c r="T338" s="631"/>
      <c r="U338" s="631"/>
      <c r="V338" s="632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customHeight="1" x14ac:dyDescent="0.25">
      <c r="A339" s="629" t="s">
        <v>74</v>
      </c>
      <c r="B339" s="627"/>
      <c r="C339" s="627"/>
      <c r="D339" s="627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27"/>
      <c r="U339" s="627"/>
      <c r="V339" s="627"/>
      <c r="W339" s="627"/>
      <c r="X339" s="627"/>
      <c r="Y339" s="627"/>
      <c r="Z339" s="627"/>
      <c r="AA339" s="611"/>
      <c r="AB339" s="611"/>
      <c r="AC339" s="611"/>
    </row>
    <row r="340" spans="1:68" ht="27" customHeight="1" x14ac:dyDescent="0.25">
      <c r="A340" s="54" t="s">
        <v>557</v>
      </c>
      <c r="B340" s="54" t="s">
        <v>558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90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6"/>
      <c r="B342" s="627"/>
      <c r="C342" s="627"/>
      <c r="D342" s="627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8"/>
      <c r="P342" s="630" t="s">
        <v>72</v>
      </c>
      <c r="Q342" s="631"/>
      <c r="R342" s="631"/>
      <c r="S342" s="631"/>
      <c r="T342" s="631"/>
      <c r="U342" s="631"/>
      <c r="V342" s="632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x14ac:dyDescent="0.2">
      <c r="A343" s="627"/>
      <c r="B343" s="627"/>
      <c r="C343" s="627"/>
      <c r="D343" s="627"/>
      <c r="E343" s="627"/>
      <c r="F343" s="627"/>
      <c r="G343" s="627"/>
      <c r="H343" s="627"/>
      <c r="I343" s="627"/>
      <c r="J343" s="627"/>
      <c r="K343" s="627"/>
      <c r="L343" s="627"/>
      <c r="M343" s="627"/>
      <c r="N343" s="627"/>
      <c r="O343" s="628"/>
      <c r="P343" s="630" t="s">
        <v>72</v>
      </c>
      <c r="Q343" s="631"/>
      <c r="R343" s="631"/>
      <c r="S343" s="631"/>
      <c r="T343" s="631"/>
      <c r="U343" s="631"/>
      <c r="V343" s="632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customHeight="1" x14ac:dyDescent="0.25">
      <c r="A344" s="638" t="s">
        <v>563</v>
      </c>
      <c r="B344" s="627"/>
      <c r="C344" s="627"/>
      <c r="D344" s="627"/>
      <c r="E344" s="627"/>
      <c r="F344" s="627"/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R344" s="627"/>
      <c r="S344" s="627"/>
      <c r="T344" s="627"/>
      <c r="U344" s="627"/>
      <c r="V344" s="627"/>
      <c r="W344" s="627"/>
      <c r="X344" s="627"/>
      <c r="Y344" s="627"/>
      <c r="Z344" s="627"/>
      <c r="AA344" s="610"/>
      <c r="AB344" s="610"/>
      <c r="AC344" s="610"/>
    </row>
    <row r="345" spans="1:68" ht="14.25" customHeight="1" x14ac:dyDescent="0.25">
      <c r="A345" s="629" t="s">
        <v>117</v>
      </c>
      <c r="B345" s="627"/>
      <c r="C345" s="627"/>
      <c r="D345" s="627"/>
      <c r="E345" s="627"/>
      <c r="F345" s="627"/>
      <c r="G345" s="627"/>
      <c r="H345" s="627"/>
      <c r="I345" s="627"/>
      <c r="J345" s="627"/>
      <c r="K345" s="627"/>
      <c r="L345" s="627"/>
      <c r="M345" s="627"/>
      <c r="N345" s="627"/>
      <c r="O345" s="627"/>
      <c r="P345" s="627"/>
      <c r="Q345" s="627"/>
      <c r="R345" s="627"/>
      <c r="S345" s="627"/>
      <c r="T345" s="627"/>
      <c r="U345" s="627"/>
      <c r="V345" s="627"/>
      <c r="W345" s="627"/>
      <c r="X345" s="627"/>
      <c r="Y345" s="627"/>
      <c r="Z345" s="627"/>
      <c r="AA345" s="611"/>
      <c r="AB345" s="611"/>
      <c r="AC345" s="611"/>
    </row>
    <row r="346" spans="1:68" ht="27" customHeight="1" x14ac:dyDescent="0.25">
      <c r="A346" s="54" t="s">
        <v>564</v>
      </c>
      <c r="B346" s="54" t="s">
        <v>565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5">
        <v>0</v>
      </c>
      <c r="Y346" s="61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5">
        <v>0</v>
      </c>
      <c r="Y347" s="61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569</v>
      </c>
      <c r="B348" s="54" t="s">
        <v>570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6"/>
      <c r="B349" s="627"/>
      <c r="C349" s="627"/>
      <c r="D349" s="627"/>
      <c r="E349" s="627"/>
      <c r="F349" s="627"/>
      <c r="G349" s="627"/>
      <c r="H349" s="627"/>
      <c r="I349" s="627"/>
      <c r="J349" s="627"/>
      <c r="K349" s="627"/>
      <c r="L349" s="627"/>
      <c r="M349" s="627"/>
      <c r="N349" s="627"/>
      <c r="O349" s="628"/>
      <c r="P349" s="630" t="s">
        <v>72</v>
      </c>
      <c r="Q349" s="631"/>
      <c r="R349" s="631"/>
      <c r="S349" s="631"/>
      <c r="T349" s="631"/>
      <c r="U349" s="631"/>
      <c r="V349" s="632"/>
      <c r="W349" s="37" t="s">
        <v>73</v>
      </c>
      <c r="X349" s="617">
        <f>IFERROR(X346/H346,"0")+IFERROR(X347/H347,"0")+IFERROR(X348/H348,"0")</f>
        <v>0</v>
      </c>
      <c r="Y349" s="617">
        <f>IFERROR(Y346/H346,"0")+IFERROR(Y347/H347,"0")+IFERROR(Y348/H348,"0")</f>
        <v>0</v>
      </c>
      <c r="Z349" s="617">
        <f>IFERROR(IF(Z346="",0,Z346),"0")+IFERROR(IF(Z347="",0,Z347),"0")+IFERROR(IF(Z348="",0,Z348),"0")</f>
        <v>0</v>
      </c>
      <c r="AA349" s="618"/>
      <c r="AB349" s="618"/>
      <c r="AC349" s="618"/>
    </row>
    <row r="350" spans="1:68" x14ac:dyDescent="0.2">
      <c r="A350" s="627"/>
      <c r="B350" s="627"/>
      <c r="C350" s="627"/>
      <c r="D350" s="627"/>
      <c r="E350" s="627"/>
      <c r="F350" s="627"/>
      <c r="G350" s="627"/>
      <c r="H350" s="627"/>
      <c r="I350" s="627"/>
      <c r="J350" s="627"/>
      <c r="K350" s="627"/>
      <c r="L350" s="627"/>
      <c r="M350" s="627"/>
      <c r="N350" s="627"/>
      <c r="O350" s="628"/>
      <c r="P350" s="630" t="s">
        <v>72</v>
      </c>
      <c r="Q350" s="631"/>
      <c r="R350" s="631"/>
      <c r="S350" s="631"/>
      <c r="T350" s="631"/>
      <c r="U350" s="631"/>
      <c r="V350" s="632"/>
      <c r="W350" s="37" t="s">
        <v>67</v>
      </c>
      <c r="X350" s="617">
        <f>IFERROR(SUM(X346:X348),"0")</f>
        <v>0</v>
      </c>
      <c r="Y350" s="617">
        <f>IFERROR(SUM(Y346:Y348),"0")</f>
        <v>0</v>
      </c>
      <c r="Z350" s="37"/>
      <c r="AA350" s="618"/>
      <c r="AB350" s="618"/>
      <c r="AC350" s="618"/>
    </row>
    <row r="351" spans="1:68" ht="16.5" customHeight="1" x14ac:dyDescent="0.25">
      <c r="A351" s="638" t="s">
        <v>572</v>
      </c>
      <c r="B351" s="627"/>
      <c r="C351" s="627"/>
      <c r="D351" s="627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S351" s="627"/>
      <c r="T351" s="627"/>
      <c r="U351" s="627"/>
      <c r="V351" s="627"/>
      <c r="W351" s="627"/>
      <c r="X351" s="627"/>
      <c r="Y351" s="627"/>
      <c r="Z351" s="627"/>
      <c r="AA351" s="610"/>
      <c r="AB351" s="610"/>
      <c r="AC351" s="610"/>
    </row>
    <row r="352" spans="1:68" ht="14.25" customHeight="1" x14ac:dyDescent="0.25">
      <c r="A352" s="629" t="s">
        <v>117</v>
      </c>
      <c r="B352" s="627"/>
      <c r="C352" s="627"/>
      <c r="D352" s="627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7"/>
      <c r="V352" s="627"/>
      <c r="W352" s="627"/>
      <c r="X352" s="627"/>
      <c r="Y352" s="627"/>
      <c r="Z352" s="627"/>
      <c r="AA352" s="611"/>
      <c r="AB352" s="611"/>
      <c r="AC352" s="611"/>
    </row>
    <row r="353" spans="1:68" ht="27" customHeight="1" x14ac:dyDescent="0.25">
      <c r="A353" s="54" t="s">
        <v>573</v>
      </c>
      <c r="B353" s="54" t="s">
        <v>574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576</v>
      </c>
      <c r="B354" s="54" t="s">
        <v>577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579</v>
      </c>
      <c r="B355" s="54" t="s">
        <v>580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582</v>
      </c>
      <c r="B356" s="54" t="s">
        <v>583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80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584</v>
      </c>
      <c r="B357" s="54" t="s">
        <v>585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6"/>
      <c r="B358" s="627"/>
      <c r="C358" s="627"/>
      <c r="D358" s="627"/>
      <c r="E358" s="627"/>
      <c r="F358" s="627"/>
      <c r="G358" s="627"/>
      <c r="H358" s="627"/>
      <c r="I358" s="627"/>
      <c r="J358" s="627"/>
      <c r="K358" s="627"/>
      <c r="L358" s="627"/>
      <c r="M358" s="627"/>
      <c r="N358" s="627"/>
      <c r="O358" s="628"/>
      <c r="P358" s="630" t="s">
        <v>72</v>
      </c>
      <c r="Q358" s="631"/>
      <c r="R358" s="631"/>
      <c r="S358" s="631"/>
      <c r="T358" s="631"/>
      <c r="U358" s="631"/>
      <c r="V358" s="632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x14ac:dyDescent="0.2">
      <c r="A359" s="627"/>
      <c r="B359" s="627"/>
      <c r="C359" s="627"/>
      <c r="D359" s="627"/>
      <c r="E359" s="627"/>
      <c r="F359" s="627"/>
      <c r="G359" s="627"/>
      <c r="H359" s="627"/>
      <c r="I359" s="627"/>
      <c r="J359" s="627"/>
      <c r="K359" s="627"/>
      <c r="L359" s="627"/>
      <c r="M359" s="627"/>
      <c r="N359" s="627"/>
      <c r="O359" s="628"/>
      <c r="P359" s="630" t="s">
        <v>72</v>
      </c>
      <c r="Q359" s="631"/>
      <c r="R359" s="631"/>
      <c r="S359" s="631"/>
      <c r="T359" s="631"/>
      <c r="U359" s="631"/>
      <c r="V359" s="632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customHeight="1" x14ac:dyDescent="0.25">
      <c r="A360" s="629" t="s">
        <v>62</v>
      </c>
      <c r="B360" s="627"/>
      <c r="C360" s="627"/>
      <c r="D360" s="627"/>
      <c r="E360" s="627"/>
      <c r="F360" s="627"/>
      <c r="G360" s="627"/>
      <c r="H360" s="627"/>
      <c r="I360" s="627"/>
      <c r="J360" s="627"/>
      <c r="K360" s="627"/>
      <c r="L360" s="627"/>
      <c r="M360" s="627"/>
      <c r="N360" s="627"/>
      <c r="O360" s="627"/>
      <c r="P360" s="627"/>
      <c r="Q360" s="627"/>
      <c r="R360" s="627"/>
      <c r="S360" s="627"/>
      <c r="T360" s="627"/>
      <c r="U360" s="627"/>
      <c r="V360" s="627"/>
      <c r="W360" s="627"/>
      <c r="X360" s="627"/>
      <c r="Y360" s="627"/>
      <c r="Z360" s="627"/>
      <c r="AA360" s="611"/>
      <c r="AB360" s="611"/>
      <c r="AC360" s="611"/>
    </row>
    <row r="361" spans="1:68" ht="27" customHeight="1" x14ac:dyDescent="0.25">
      <c r="A361" s="54" t="s">
        <v>587</v>
      </c>
      <c r="B361" s="54" t="s">
        <v>588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7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2"/>
      <c r="R361" s="622"/>
      <c r="S361" s="622"/>
      <c r="T361" s="623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2"/>
      <c r="R362" s="622"/>
      <c r="S362" s="622"/>
      <c r="T362" s="623"/>
      <c r="U362" s="34"/>
      <c r="V362" s="34"/>
      <c r="W362" s="35" t="s">
        <v>67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customHeight="1" x14ac:dyDescent="0.25">
      <c r="A363" s="54" t="s">
        <v>593</v>
      </c>
      <c r="B363" s="54" t="s">
        <v>594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596</v>
      </c>
      <c r="B364" s="54" t="s">
        <v>597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2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customHeight="1" x14ac:dyDescent="0.25">
      <c r="A365" s="54" t="s">
        <v>598</v>
      </c>
      <c r="B365" s="54" t="s">
        <v>599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customHeight="1" x14ac:dyDescent="0.25">
      <c r="A366" s="54" t="s">
        <v>601</v>
      </c>
      <c r="B366" s="54" t="s">
        <v>602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2"/>
      <c r="R366" s="622"/>
      <c r="S366" s="622"/>
      <c r="T366" s="623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customHeight="1" x14ac:dyDescent="0.25">
      <c r="A367" s="54" t="s">
        <v>603</v>
      </c>
      <c r="B367" s="54" t="s">
        <v>604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x14ac:dyDescent="0.2">
      <c r="A368" s="626"/>
      <c r="B368" s="627"/>
      <c r="C368" s="627"/>
      <c r="D368" s="627"/>
      <c r="E368" s="627"/>
      <c r="F368" s="627"/>
      <c r="G368" s="627"/>
      <c r="H368" s="627"/>
      <c r="I368" s="627"/>
      <c r="J368" s="627"/>
      <c r="K368" s="627"/>
      <c r="L368" s="627"/>
      <c r="M368" s="627"/>
      <c r="N368" s="627"/>
      <c r="O368" s="628"/>
      <c r="P368" s="630" t="s">
        <v>72</v>
      </c>
      <c r="Q368" s="631"/>
      <c r="R368" s="631"/>
      <c r="S368" s="631"/>
      <c r="T368" s="631"/>
      <c r="U368" s="631"/>
      <c r="V368" s="632"/>
      <c r="W368" s="37" t="s">
        <v>73</v>
      </c>
      <c r="X368" s="617">
        <f>IFERROR(X361/H361,"0")+IFERROR(X362/H362,"0")+IFERROR(X363/H363,"0")+IFERROR(X364/H364,"0")+IFERROR(X365/H365,"0")+IFERROR(X366/H366,"0")+IFERROR(X367/H367,"0")</f>
        <v>0</v>
      </c>
      <c r="Y368" s="617">
        <f>IFERROR(Y361/H361,"0")+IFERROR(Y362/H362,"0")+IFERROR(Y363/H363,"0")+IFERROR(Y364/H364,"0")+IFERROR(Y365/H365,"0")+IFERROR(Y366/H366,"0")+IFERROR(Y367/H367,"0")</f>
        <v>0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18"/>
      <c r="AB368" s="618"/>
      <c r="AC368" s="618"/>
    </row>
    <row r="369" spans="1:68" x14ac:dyDescent="0.2">
      <c r="A369" s="627"/>
      <c r="B369" s="627"/>
      <c r="C369" s="627"/>
      <c r="D369" s="627"/>
      <c r="E369" s="627"/>
      <c r="F369" s="627"/>
      <c r="G369" s="627"/>
      <c r="H369" s="627"/>
      <c r="I369" s="627"/>
      <c r="J369" s="627"/>
      <c r="K369" s="627"/>
      <c r="L369" s="627"/>
      <c r="M369" s="627"/>
      <c r="N369" s="627"/>
      <c r="O369" s="628"/>
      <c r="P369" s="630" t="s">
        <v>72</v>
      </c>
      <c r="Q369" s="631"/>
      <c r="R369" s="631"/>
      <c r="S369" s="631"/>
      <c r="T369" s="631"/>
      <c r="U369" s="631"/>
      <c r="V369" s="632"/>
      <c r="W369" s="37" t="s">
        <v>67</v>
      </c>
      <c r="X369" s="617">
        <f>IFERROR(SUM(X361:X367),"0")</f>
        <v>0</v>
      </c>
      <c r="Y369" s="617">
        <f>IFERROR(SUM(Y361:Y367),"0")</f>
        <v>0</v>
      </c>
      <c r="Z369" s="37"/>
      <c r="AA369" s="618"/>
      <c r="AB369" s="618"/>
      <c r="AC369" s="618"/>
    </row>
    <row r="370" spans="1:68" ht="14.25" customHeight="1" x14ac:dyDescent="0.25">
      <c r="A370" s="629" t="s">
        <v>74</v>
      </c>
      <c r="B370" s="627"/>
      <c r="C370" s="627"/>
      <c r="D370" s="627"/>
      <c r="E370" s="627"/>
      <c r="F370" s="627"/>
      <c r="G370" s="627"/>
      <c r="H370" s="627"/>
      <c r="I370" s="627"/>
      <c r="J370" s="627"/>
      <c r="K370" s="627"/>
      <c r="L370" s="627"/>
      <c r="M370" s="627"/>
      <c r="N370" s="627"/>
      <c r="O370" s="627"/>
      <c r="P370" s="627"/>
      <c r="Q370" s="627"/>
      <c r="R370" s="627"/>
      <c r="S370" s="627"/>
      <c r="T370" s="627"/>
      <c r="U370" s="627"/>
      <c r="V370" s="627"/>
      <c r="W370" s="627"/>
      <c r="X370" s="627"/>
      <c r="Y370" s="627"/>
      <c r="Z370" s="627"/>
      <c r="AA370" s="611"/>
      <c r="AB370" s="611"/>
      <c r="AC370" s="611"/>
    </row>
    <row r="371" spans="1:68" ht="27" customHeight="1" x14ac:dyDescent="0.25">
      <c r="A371" s="54" t="s">
        <v>606</v>
      </c>
      <c r="B371" s="54" t="s">
        <v>607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2"/>
      <c r="R371" s="622"/>
      <c r="S371" s="622"/>
      <c r="T371" s="623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609</v>
      </c>
      <c r="B372" s="54" t="s">
        <v>610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2"/>
      <c r="R372" s="622"/>
      <c r="S372" s="622"/>
      <c r="T372" s="623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612</v>
      </c>
      <c r="B373" s="54" t="s">
        <v>613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2"/>
      <c r="R373" s="622"/>
      <c r="S373" s="622"/>
      <c r="T373" s="623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615</v>
      </c>
      <c r="B374" s="54" t="s">
        <v>616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2"/>
      <c r="R374" s="622"/>
      <c r="S374" s="622"/>
      <c r="T374" s="623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6"/>
      <c r="B375" s="627"/>
      <c r="C375" s="627"/>
      <c r="D375" s="627"/>
      <c r="E375" s="627"/>
      <c r="F375" s="627"/>
      <c r="G375" s="627"/>
      <c r="H375" s="627"/>
      <c r="I375" s="627"/>
      <c r="J375" s="627"/>
      <c r="K375" s="627"/>
      <c r="L375" s="627"/>
      <c r="M375" s="627"/>
      <c r="N375" s="627"/>
      <c r="O375" s="628"/>
      <c r="P375" s="630" t="s">
        <v>72</v>
      </c>
      <c r="Q375" s="631"/>
      <c r="R375" s="631"/>
      <c r="S375" s="631"/>
      <c r="T375" s="631"/>
      <c r="U375" s="631"/>
      <c r="V375" s="632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x14ac:dyDescent="0.2">
      <c r="A376" s="627"/>
      <c r="B376" s="627"/>
      <c r="C376" s="627"/>
      <c r="D376" s="627"/>
      <c r="E376" s="627"/>
      <c r="F376" s="627"/>
      <c r="G376" s="627"/>
      <c r="H376" s="627"/>
      <c r="I376" s="627"/>
      <c r="J376" s="627"/>
      <c r="K376" s="627"/>
      <c r="L376" s="627"/>
      <c r="M376" s="627"/>
      <c r="N376" s="627"/>
      <c r="O376" s="628"/>
      <c r="P376" s="630" t="s">
        <v>72</v>
      </c>
      <c r="Q376" s="631"/>
      <c r="R376" s="631"/>
      <c r="S376" s="631"/>
      <c r="T376" s="631"/>
      <c r="U376" s="631"/>
      <c r="V376" s="632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customHeight="1" x14ac:dyDescent="0.25">
      <c r="A377" s="629" t="s">
        <v>170</v>
      </c>
      <c r="B377" s="627"/>
      <c r="C377" s="627"/>
      <c r="D377" s="627"/>
      <c r="E377" s="627"/>
      <c r="F377" s="627"/>
      <c r="G377" s="627"/>
      <c r="H377" s="627"/>
      <c r="I377" s="627"/>
      <c r="J377" s="627"/>
      <c r="K377" s="627"/>
      <c r="L377" s="627"/>
      <c r="M377" s="627"/>
      <c r="N377" s="627"/>
      <c r="O377" s="627"/>
      <c r="P377" s="627"/>
      <c r="Q377" s="627"/>
      <c r="R377" s="627"/>
      <c r="S377" s="627"/>
      <c r="T377" s="627"/>
      <c r="U377" s="627"/>
      <c r="V377" s="627"/>
      <c r="W377" s="627"/>
      <c r="X377" s="627"/>
      <c r="Y377" s="627"/>
      <c r="Z377" s="627"/>
      <c r="AA377" s="611"/>
      <c r="AB377" s="611"/>
      <c r="AC377" s="611"/>
    </row>
    <row r="378" spans="1:68" ht="27" customHeight="1" x14ac:dyDescent="0.25">
      <c r="A378" s="54" t="s">
        <v>617</v>
      </c>
      <c r="B378" s="54" t="s">
        <v>618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2"/>
      <c r="R378" s="622"/>
      <c r="S378" s="622"/>
      <c r="T378" s="623"/>
      <c r="U378" s="34"/>
      <c r="V378" s="34"/>
      <c r="W378" s="35" t="s">
        <v>67</v>
      </c>
      <c r="X378" s="615">
        <v>0</v>
      </c>
      <c r="Y378" s="61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2"/>
      <c r="R379" s="622"/>
      <c r="S379" s="622"/>
      <c r="T379" s="623"/>
      <c r="U379" s="34"/>
      <c r="V379" s="34"/>
      <c r="W379" s="35" t="s">
        <v>67</v>
      </c>
      <c r="X379" s="615">
        <v>300</v>
      </c>
      <c r="Y379" s="616">
        <f>IFERROR(IF(X379="",0,CEILING((X379/$H379),1)*$H379),"")</f>
        <v>304.2</v>
      </c>
      <c r="Z379" s="36">
        <f>IFERROR(IF(Y379=0,"",ROUNDUP(Y379/H379,0)*0.01898),"")</f>
        <v>0.74021999999999999</v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319.00000000000006</v>
      </c>
      <c r="BN379" s="64">
        <f>IFERROR(Y379*I379/H379,"0")</f>
        <v>323.46600000000001</v>
      </c>
      <c r="BO379" s="64">
        <f>IFERROR(1/J379*(X379/H379),"0")</f>
        <v>0.60096153846153844</v>
      </c>
      <c r="BP379" s="64">
        <f>IFERROR(1/J379*(Y379/H379),"0")</f>
        <v>0.609375</v>
      </c>
    </row>
    <row r="380" spans="1:68" ht="16.5" customHeight="1" x14ac:dyDescent="0.25">
      <c r="A380" s="54" t="s">
        <v>623</v>
      </c>
      <c r="B380" s="54" t="s">
        <v>624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26"/>
      <c r="B381" s="627"/>
      <c r="C381" s="627"/>
      <c r="D381" s="627"/>
      <c r="E381" s="627"/>
      <c r="F381" s="627"/>
      <c r="G381" s="627"/>
      <c r="H381" s="627"/>
      <c r="I381" s="627"/>
      <c r="J381" s="627"/>
      <c r="K381" s="627"/>
      <c r="L381" s="627"/>
      <c r="M381" s="627"/>
      <c r="N381" s="627"/>
      <c r="O381" s="628"/>
      <c r="P381" s="630" t="s">
        <v>72</v>
      </c>
      <c r="Q381" s="631"/>
      <c r="R381" s="631"/>
      <c r="S381" s="631"/>
      <c r="T381" s="631"/>
      <c r="U381" s="631"/>
      <c r="V381" s="632"/>
      <c r="W381" s="37" t="s">
        <v>73</v>
      </c>
      <c r="X381" s="617">
        <f>IFERROR(X378/H378,"0")+IFERROR(X379/H379,"0")+IFERROR(X380/H380,"0")</f>
        <v>38.46153846153846</v>
      </c>
      <c r="Y381" s="617">
        <f>IFERROR(Y378/H378,"0")+IFERROR(Y379/H379,"0")+IFERROR(Y380/H380,"0")</f>
        <v>39</v>
      </c>
      <c r="Z381" s="617">
        <f>IFERROR(IF(Z378="",0,Z378),"0")+IFERROR(IF(Z379="",0,Z379),"0")+IFERROR(IF(Z380="",0,Z380),"0")</f>
        <v>0.74021999999999999</v>
      </c>
      <c r="AA381" s="618"/>
      <c r="AB381" s="618"/>
      <c r="AC381" s="618"/>
    </row>
    <row r="382" spans="1:68" x14ac:dyDescent="0.2">
      <c r="A382" s="627"/>
      <c r="B382" s="627"/>
      <c r="C382" s="627"/>
      <c r="D382" s="627"/>
      <c r="E382" s="627"/>
      <c r="F382" s="627"/>
      <c r="G382" s="627"/>
      <c r="H382" s="627"/>
      <c r="I382" s="627"/>
      <c r="J382" s="627"/>
      <c r="K382" s="627"/>
      <c r="L382" s="627"/>
      <c r="M382" s="627"/>
      <c r="N382" s="627"/>
      <c r="O382" s="628"/>
      <c r="P382" s="630" t="s">
        <v>72</v>
      </c>
      <c r="Q382" s="631"/>
      <c r="R382" s="631"/>
      <c r="S382" s="631"/>
      <c r="T382" s="631"/>
      <c r="U382" s="631"/>
      <c r="V382" s="632"/>
      <c r="W382" s="37" t="s">
        <v>67</v>
      </c>
      <c r="X382" s="617">
        <f>IFERROR(SUM(X378:X380),"0")</f>
        <v>300</v>
      </c>
      <c r="Y382" s="617">
        <f>IFERROR(SUM(Y378:Y380),"0")</f>
        <v>304.2</v>
      </c>
      <c r="Z382" s="37"/>
      <c r="AA382" s="618"/>
      <c r="AB382" s="618"/>
      <c r="AC382" s="618"/>
    </row>
    <row r="383" spans="1:68" ht="14.25" customHeight="1" x14ac:dyDescent="0.25">
      <c r="A383" s="629" t="s">
        <v>92</v>
      </c>
      <c r="B383" s="627"/>
      <c r="C383" s="627"/>
      <c r="D383" s="627"/>
      <c r="E383" s="627"/>
      <c r="F383" s="627"/>
      <c r="G383" s="627"/>
      <c r="H383" s="627"/>
      <c r="I383" s="627"/>
      <c r="J383" s="627"/>
      <c r="K383" s="627"/>
      <c r="L383" s="627"/>
      <c r="M383" s="627"/>
      <c r="N383" s="627"/>
      <c r="O383" s="627"/>
      <c r="P383" s="627"/>
      <c r="Q383" s="627"/>
      <c r="R383" s="627"/>
      <c r="S383" s="627"/>
      <c r="T383" s="627"/>
      <c r="U383" s="627"/>
      <c r="V383" s="627"/>
      <c r="W383" s="627"/>
      <c r="X383" s="627"/>
      <c r="Y383" s="627"/>
      <c r="Z383" s="627"/>
      <c r="AA383" s="611"/>
      <c r="AB383" s="611"/>
      <c r="AC383" s="611"/>
    </row>
    <row r="384" spans="1:68" ht="27" customHeight="1" x14ac:dyDescent="0.25">
      <c r="A384" s="54" t="s">
        <v>626</v>
      </c>
      <c r="B384" s="54" t="s">
        <v>627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2"/>
      <c r="R384" s="622"/>
      <c r="S384" s="622"/>
      <c r="T384" s="623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629</v>
      </c>
      <c r="B385" s="54" t="s">
        <v>630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2"/>
      <c r="R385" s="622"/>
      <c r="S385" s="622"/>
      <c r="T385" s="623"/>
      <c r="U385" s="34"/>
      <c r="V385" s="34"/>
      <c r="W385" s="35" t="s">
        <v>67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631</v>
      </c>
      <c r="B386" s="54" t="s">
        <v>632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633</v>
      </c>
      <c r="B387" s="54" t="s">
        <v>634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26"/>
      <c r="B388" s="627"/>
      <c r="C388" s="627"/>
      <c r="D388" s="627"/>
      <c r="E388" s="627"/>
      <c r="F388" s="627"/>
      <c r="G388" s="627"/>
      <c r="H388" s="627"/>
      <c r="I388" s="627"/>
      <c r="J388" s="627"/>
      <c r="K388" s="627"/>
      <c r="L388" s="627"/>
      <c r="M388" s="627"/>
      <c r="N388" s="627"/>
      <c r="O388" s="628"/>
      <c r="P388" s="630" t="s">
        <v>72</v>
      </c>
      <c r="Q388" s="631"/>
      <c r="R388" s="631"/>
      <c r="S388" s="631"/>
      <c r="T388" s="631"/>
      <c r="U388" s="631"/>
      <c r="V388" s="632"/>
      <c r="W388" s="37" t="s">
        <v>73</v>
      </c>
      <c r="X388" s="617">
        <f>IFERROR(X384/H384,"0")+IFERROR(X385/H385,"0")+IFERROR(X386/H386,"0")+IFERROR(X387/H387,"0")</f>
        <v>0</v>
      </c>
      <c r="Y388" s="617">
        <f>IFERROR(Y384/H384,"0")+IFERROR(Y385/H385,"0")+IFERROR(Y386/H386,"0")+IFERROR(Y387/H387,"0")</f>
        <v>0</v>
      </c>
      <c r="Z388" s="617">
        <f>IFERROR(IF(Z384="",0,Z384),"0")+IFERROR(IF(Z385="",0,Z385),"0")+IFERROR(IF(Z386="",0,Z386),"0")+IFERROR(IF(Z387="",0,Z387),"0")</f>
        <v>0</v>
      </c>
      <c r="AA388" s="618"/>
      <c r="AB388" s="618"/>
      <c r="AC388" s="618"/>
    </row>
    <row r="389" spans="1:68" x14ac:dyDescent="0.2">
      <c r="A389" s="627"/>
      <c r="B389" s="627"/>
      <c r="C389" s="627"/>
      <c r="D389" s="627"/>
      <c r="E389" s="627"/>
      <c r="F389" s="627"/>
      <c r="G389" s="627"/>
      <c r="H389" s="627"/>
      <c r="I389" s="627"/>
      <c r="J389" s="627"/>
      <c r="K389" s="627"/>
      <c r="L389" s="627"/>
      <c r="M389" s="627"/>
      <c r="N389" s="627"/>
      <c r="O389" s="628"/>
      <c r="P389" s="630" t="s">
        <v>72</v>
      </c>
      <c r="Q389" s="631"/>
      <c r="R389" s="631"/>
      <c r="S389" s="631"/>
      <c r="T389" s="631"/>
      <c r="U389" s="631"/>
      <c r="V389" s="632"/>
      <c r="W389" s="37" t="s">
        <v>67</v>
      </c>
      <c r="X389" s="617">
        <f>IFERROR(SUM(X384:X387),"0")</f>
        <v>0</v>
      </c>
      <c r="Y389" s="617">
        <f>IFERROR(SUM(Y384:Y387),"0")</f>
        <v>0</v>
      </c>
      <c r="Z389" s="37"/>
      <c r="AA389" s="618"/>
      <c r="AB389" s="618"/>
      <c r="AC389" s="618"/>
    </row>
    <row r="390" spans="1:68" ht="14.25" customHeight="1" x14ac:dyDescent="0.25">
      <c r="A390" s="629" t="s">
        <v>635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611"/>
      <c r="AB390" s="611"/>
      <c r="AC390" s="611"/>
    </row>
    <row r="391" spans="1:68" ht="16.5" customHeight="1" x14ac:dyDescent="0.25">
      <c r="A391" s="54" t="s">
        <v>636</v>
      </c>
      <c r="B391" s="54" t="s">
        <v>637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2"/>
      <c r="R391" s="622"/>
      <c r="S391" s="622"/>
      <c r="T391" s="623"/>
      <c r="U391" s="34"/>
      <c r="V391" s="34"/>
      <c r="W391" s="35" t="s">
        <v>67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640</v>
      </c>
      <c r="B392" s="54" t="s">
        <v>641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4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2"/>
      <c r="R392" s="622"/>
      <c r="S392" s="622"/>
      <c r="T392" s="623"/>
      <c r="U392" s="34"/>
      <c r="V392" s="34"/>
      <c r="W392" s="35" t="s">
        <v>67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642</v>
      </c>
      <c r="B393" s="54" t="s">
        <v>643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2"/>
      <c r="R393" s="622"/>
      <c r="S393" s="622"/>
      <c r="T393" s="623"/>
      <c r="U393" s="34"/>
      <c r="V393" s="34"/>
      <c r="W393" s="35" t="s">
        <v>67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26"/>
      <c r="B394" s="627"/>
      <c r="C394" s="627"/>
      <c r="D394" s="627"/>
      <c r="E394" s="627"/>
      <c r="F394" s="627"/>
      <c r="G394" s="627"/>
      <c r="H394" s="627"/>
      <c r="I394" s="627"/>
      <c r="J394" s="627"/>
      <c r="K394" s="627"/>
      <c r="L394" s="627"/>
      <c r="M394" s="627"/>
      <c r="N394" s="627"/>
      <c r="O394" s="628"/>
      <c r="P394" s="630" t="s">
        <v>72</v>
      </c>
      <c r="Q394" s="631"/>
      <c r="R394" s="631"/>
      <c r="S394" s="631"/>
      <c r="T394" s="631"/>
      <c r="U394" s="631"/>
      <c r="V394" s="632"/>
      <c r="W394" s="37" t="s">
        <v>73</v>
      </c>
      <c r="X394" s="617">
        <f>IFERROR(X391/H391,"0")+IFERROR(X392/H392,"0")+IFERROR(X393/H393,"0")</f>
        <v>0</v>
      </c>
      <c r="Y394" s="617">
        <f>IFERROR(Y391/H391,"0")+IFERROR(Y392/H392,"0")+IFERROR(Y393/H393,"0")</f>
        <v>0</v>
      </c>
      <c r="Z394" s="617">
        <f>IFERROR(IF(Z391="",0,Z391),"0")+IFERROR(IF(Z392="",0,Z392),"0")+IFERROR(IF(Z393="",0,Z393),"0")</f>
        <v>0</v>
      </c>
      <c r="AA394" s="618"/>
      <c r="AB394" s="618"/>
      <c r="AC394" s="618"/>
    </row>
    <row r="395" spans="1:68" x14ac:dyDescent="0.2">
      <c r="A395" s="627"/>
      <c r="B395" s="627"/>
      <c r="C395" s="627"/>
      <c r="D395" s="627"/>
      <c r="E395" s="627"/>
      <c r="F395" s="627"/>
      <c r="G395" s="627"/>
      <c r="H395" s="627"/>
      <c r="I395" s="627"/>
      <c r="J395" s="627"/>
      <c r="K395" s="627"/>
      <c r="L395" s="627"/>
      <c r="M395" s="627"/>
      <c r="N395" s="627"/>
      <c r="O395" s="628"/>
      <c r="P395" s="630" t="s">
        <v>72</v>
      </c>
      <c r="Q395" s="631"/>
      <c r="R395" s="631"/>
      <c r="S395" s="631"/>
      <c r="T395" s="631"/>
      <c r="U395" s="631"/>
      <c r="V395" s="632"/>
      <c r="W395" s="37" t="s">
        <v>67</v>
      </c>
      <c r="X395" s="617">
        <f>IFERROR(SUM(X391:X393),"0")</f>
        <v>0</v>
      </c>
      <c r="Y395" s="617">
        <f>IFERROR(SUM(Y391:Y393),"0")</f>
        <v>0</v>
      </c>
      <c r="Z395" s="37"/>
      <c r="AA395" s="618"/>
      <c r="AB395" s="618"/>
      <c r="AC395" s="618"/>
    </row>
    <row r="396" spans="1:68" ht="14.25" customHeight="1" x14ac:dyDescent="0.25">
      <c r="A396" s="629" t="s">
        <v>644</v>
      </c>
      <c r="B396" s="627"/>
      <c r="C396" s="627"/>
      <c r="D396" s="627"/>
      <c r="E396" s="627"/>
      <c r="F396" s="627"/>
      <c r="G396" s="627"/>
      <c r="H396" s="627"/>
      <c r="I396" s="627"/>
      <c r="J396" s="627"/>
      <c r="K396" s="627"/>
      <c r="L396" s="627"/>
      <c r="M396" s="627"/>
      <c r="N396" s="627"/>
      <c r="O396" s="627"/>
      <c r="P396" s="627"/>
      <c r="Q396" s="627"/>
      <c r="R396" s="627"/>
      <c r="S396" s="627"/>
      <c r="T396" s="627"/>
      <c r="U396" s="627"/>
      <c r="V396" s="627"/>
      <c r="W396" s="627"/>
      <c r="X396" s="627"/>
      <c r="Y396" s="627"/>
      <c r="Z396" s="627"/>
      <c r="AA396" s="611"/>
      <c r="AB396" s="611"/>
      <c r="AC396" s="611"/>
    </row>
    <row r="397" spans="1:68" ht="27" customHeight="1" x14ac:dyDescent="0.25">
      <c r="A397" s="54" t="s">
        <v>645</v>
      </c>
      <c r="B397" s="54" t="s">
        <v>646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2"/>
      <c r="R397" s="622"/>
      <c r="S397" s="622"/>
      <c r="T397" s="623"/>
      <c r="U397" s="34"/>
      <c r="V397" s="34"/>
      <c r="W397" s="35" t="s">
        <v>67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648</v>
      </c>
      <c r="B398" s="54" t="s">
        <v>649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7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2"/>
      <c r="R398" s="622"/>
      <c r="S398" s="622"/>
      <c r="T398" s="623"/>
      <c r="U398" s="34"/>
      <c r="V398" s="34"/>
      <c r="W398" s="35" t="s">
        <v>67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651</v>
      </c>
      <c r="B399" s="54" t="s">
        <v>652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8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626"/>
      <c r="B400" s="627"/>
      <c r="C400" s="627"/>
      <c r="D400" s="627"/>
      <c r="E400" s="627"/>
      <c r="F400" s="627"/>
      <c r="G400" s="627"/>
      <c r="H400" s="627"/>
      <c r="I400" s="627"/>
      <c r="J400" s="627"/>
      <c r="K400" s="627"/>
      <c r="L400" s="627"/>
      <c r="M400" s="627"/>
      <c r="N400" s="627"/>
      <c r="O400" s="628"/>
      <c r="P400" s="630" t="s">
        <v>72</v>
      </c>
      <c r="Q400" s="631"/>
      <c r="R400" s="631"/>
      <c r="S400" s="631"/>
      <c r="T400" s="631"/>
      <c r="U400" s="631"/>
      <c r="V400" s="632"/>
      <c r="W400" s="37" t="s">
        <v>73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x14ac:dyDescent="0.2">
      <c r="A401" s="627"/>
      <c r="B401" s="627"/>
      <c r="C401" s="627"/>
      <c r="D401" s="627"/>
      <c r="E401" s="627"/>
      <c r="F401" s="627"/>
      <c r="G401" s="627"/>
      <c r="H401" s="627"/>
      <c r="I401" s="627"/>
      <c r="J401" s="627"/>
      <c r="K401" s="627"/>
      <c r="L401" s="627"/>
      <c r="M401" s="627"/>
      <c r="N401" s="627"/>
      <c r="O401" s="628"/>
      <c r="P401" s="630" t="s">
        <v>72</v>
      </c>
      <c r="Q401" s="631"/>
      <c r="R401" s="631"/>
      <c r="S401" s="631"/>
      <c r="T401" s="631"/>
      <c r="U401" s="631"/>
      <c r="V401" s="632"/>
      <c r="W401" s="37" t="s">
        <v>67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customHeight="1" x14ac:dyDescent="0.25">
      <c r="A402" s="638" t="s">
        <v>653</v>
      </c>
      <c r="B402" s="627"/>
      <c r="C402" s="627"/>
      <c r="D402" s="627"/>
      <c r="E402" s="627"/>
      <c r="F402" s="627"/>
      <c r="G402" s="627"/>
      <c r="H402" s="627"/>
      <c r="I402" s="627"/>
      <c r="J402" s="627"/>
      <c r="K402" s="627"/>
      <c r="L402" s="627"/>
      <c r="M402" s="627"/>
      <c r="N402" s="627"/>
      <c r="O402" s="627"/>
      <c r="P402" s="627"/>
      <c r="Q402" s="627"/>
      <c r="R402" s="627"/>
      <c r="S402" s="627"/>
      <c r="T402" s="627"/>
      <c r="U402" s="627"/>
      <c r="V402" s="627"/>
      <c r="W402" s="627"/>
      <c r="X402" s="627"/>
      <c r="Y402" s="627"/>
      <c r="Z402" s="627"/>
      <c r="AA402" s="610"/>
      <c r="AB402" s="610"/>
      <c r="AC402" s="610"/>
    </row>
    <row r="403" spans="1:68" ht="14.25" customHeight="1" x14ac:dyDescent="0.25">
      <c r="A403" s="629" t="s">
        <v>74</v>
      </c>
      <c r="B403" s="627"/>
      <c r="C403" s="627"/>
      <c r="D403" s="627"/>
      <c r="E403" s="627"/>
      <c r="F403" s="627"/>
      <c r="G403" s="627"/>
      <c r="H403" s="627"/>
      <c r="I403" s="627"/>
      <c r="J403" s="627"/>
      <c r="K403" s="627"/>
      <c r="L403" s="627"/>
      <c r="M403" s="627"/>
      <c r="N403" s="627"/>
      <c r="O403" s="627"/>
      <c r="P403" s="627"/>
      <c r="Q403" s="627"/>
      <c r="R403" s="627"/>
      <c r="S403" s="627"/>
      <c r="T403" s="627"/>
      <c r="U403" s="627"/>
      <c r="V403" s="627"/>
      <c r="W403" s="627"/>
      <c r="X403" s="627"/>
      <c r="Y403" s="627"/>
      <c r="Z403" s="627"/>
      <c r="AA403" s="611"/>
      <c r="AB403" s="611"/>
      <c r="AC403" s="611"/>
    </row>
    <row r="404" spans="1:68" ht="27" customHeight="1" x14ac:dyDescent="0.25">
      <c r="A404" s="54" t="s">
        <v>654</v>
      </c>
      <c r="B404" s="54" t="s">
        <v>655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6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2"/>
      <c r="R404" s="622"/>
      <c r="S404" s="622"/>
      <c r="T404" s="623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2"/>
      <c r="R405" s="622"/>
      <c r="S405" s="622"/>
      <c r="T405" s="623"/>
      <c r="U405" s="34"/>
      <c r="V405" s="34"/>
      <c r="W405" s="35" t="s">
        <v>67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660</v>
      </c>
      <c r="B406" s="54" t="s">
        <v>661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26"/>
      <c r="B407" s="627"/>
      <c r="C407" s="627"/>
      <c r="D407" s="627"/>
      <c r="E407" s="627"/>
      <c r="F407" s="627"/>
      <c r="G407" s="627"/>
      <c r="H407" s="627"/>
      <c r="I407" s="627"/>
      <c r="J407" s="627"/>
      <c r="K407" s="627"/>
      <c r="L407" s="627"/>
      <c r="M407" s="627"/>
      <c r="N407" s="627"/>
      <c r="O407" s="628"/>
      <c r="P407" s="630" t="s">
        <v>72</v>
      </c>
      <c r="Q407" s="631"/>
      <c r="R407" s="631"/>
      <c r="S407" s="631"/>
      <c r="T407" s="631"/>
      <c r="U407" s="631"/>
      <c r="V407" s="632"/>
      <c r="W407" s="37" t="s">
        <v>73</v>
      </c>
      <c r="X407" s="617">
        <f>IFERROR(X404/H404,"0")+IFERROR(X405/H405,"0")+IFERROR(X406/H406,"0")</f>
        <v>0</v>
      </c>
      <c r="Y407" s="617">
        <f>IFERROR(Y404/H404,"0")+IFERROR(Y405/H405,"0")+IFERROR(Y406/H406,"0")</f>
        <v>0</v>
      </c>
      <c r="Z407" s="617">
        <f>IFERROR(IF(Z404="",0,Z404),"0")+IFERROR(IF(Z405="",0,Z405),"0")+IFERROR(IF(Z406="",0,Z406),"0")</f>
        <v>0</v>
      </c>
      <c r="AA407" s="618"/>
      <c r="AB407" s="618"/>
      <c r="AC407" s="618"/>
    </row>
    <row r="408" spans="1:68" x14ac:dyDescent="0.2">
      <c r="A408" s="627"/>
      <c r="B408" s="627"/>
      <c r="C408" s="627"/>
      <c r="D408" s="627"/>
      <c r="E408" s="627"/>
      <c r="F408" s="627"/>
      <c r="G408" s="627"/>
      <c r="H408" s="627"/>
      <c r="I408" s="627"/>
      <c r="J408" s="627"/>
      <c r="K408" s="627"/>
      <c r="L408" s="627"/>
      <c r="M408" s="627"/>
      <c r="N408" s="627"/>
      <c r="O408" s="628"/>
      <c r="P408" s="630" t="s">
        <v>72</v>
      </c>
      <c r="Q408" s="631"/>
      <c r="R408" s="631"/>
      <c r="S408" s="631"/>
      <c r="T408" s="631"/>
      <c r="U408" s="631"/>
      <c r="V408" s="632"/>
      <c r="W408" s="37" t="s">
        <v>67</v>
      </c>
      <c r="X408" s="617">
        <f>IFERROR(SUM(X404:X406),"0")</f>
        <v>0</v>
      </c>
      <c r="Y408" s="617">
        <f>IFERROR(SUM(Y404:Y406),"0")</f>
        <v>0</v>
      </c>
      <c r="Z408" s="37"/>
      <c r="AA408" s="618"/>
      <c r="AB408" s="618"/>
      <c r="AC408" s="618"/>
    </row>
    <row r="409" spans="1:68" ht="27.75" customHeight="1" x14ac:dyDescent="0.2">
      <c r="A409" s="778" t="s">
        <v>663</v>
      </c>
      <c r="B409" s="779"/>
      <c r="C409" s="779"/>
      <c r="D409" s="779"/>
      <c r="E409" s="779"/>
      <c r="F409" s="779"/>
      <c r="G409" s="779"/>
      <c r="H409" s="779"/>
      <c r="I409" s="779"/>
      <c r="J409" s="779"/>
      <c r="K409" s="779"/>
      <c r="L409" s="779"/>
      <c r="M409" s="779"/>
      <c r="N409" s="779"/>
      <c r="O409" s="779"/>
      <c r="P409" s="779"/>
      <c r="Q409" s="779"/>
      <c r="R409" s="779"/>
      <c r="S409" s="779"/>
      <c r="T409" s="779"/>
      <c r="U409" s="779"/>
      <c r="V409" s="779"/>
      <c r="W409" s="779"/>
      <c r="X409" s="779"/>
      <c r="Y409" s="779"/>
      <c r="Z409" s="779"/>
      <c r="AA409" s="48"/>
      <c r="AB409" s="48"/>
      <c r="AC409" s="48"/>
    </row>
    <row r="410" spans="1:68" ht="16.5" customHeight="1" x14ac:dyDescent="0.25">
      <c r="A410" s="638" t="s">
        <v>664</v>
      </c>
      <c r="B410" s="627"/>
      <c r="C410" s="627"/>
      <c r="D410" s="627"/>
      <c r="E410" s="627"/>
      <c r="F410" s="627"/>
      <c r="G410" s="627"/>
      <c r="H410" s="627"/>
      <c r="I410" s="627"/>
      <c r="J410" s="627"/>
      <c r="K410" s="627"/>
      <c r="L410" s="627"/>
      <c r="M410" s="627"/>
      <c r="N410" s="627"/>
      <c r="O410" s="627"/>
      <c r="P410" s="627"/>
      <c r="Q410" s="627"/>
      <c r="R410" s="627"/>
      <c r="S410" s="627"/>
      <c r="T410" s="627"/>
      <c r="U410" s="627"/>
      <c r="V410" s="627"/>
      <c r="W410" s="627"/>
      <c r="X410" s="627"/>
      <c r="Y410" s="627"/>
      <c r="Z410" s="627"/>
      <c r="AA410" s="610"/>
      <c r="AB410" s="610"/>
      <c r="AC410" s="610"/>
    </row>
    <row r="411" spans="1:68" ht="14.25" customHeight="1" x14ac:dyDescent="0.25">
      <c r="A411" s="629" t="s">
        <v>117</v>
      </c>
      <c r="B411" s="627"/>
      <c r="C411" s="627"/>
      <c r="D411" s="627"/>
      <c r="E411" s="627"/>
      <c r="F411" s="627"/>
      <c r="G411" s="627"/>
      <c r="H411" s="627"/>
      <c r="I411" s="627"/>
      <c r="J411" s="627"/>
      <c r="K411" s="627"/>
      <c r="L411" s="627"/>
      <c r="M411" s="627"/>
      <c r="N411" s="627"/>
      <c r="O411" s="627"/>
      <c r="P411" s="627"/>
      <c r="Q411" s="627"/>
      <c r="R411" s="627"/>
      <c r="S411" s="627"/>
      <c r="T411" s="627"/>
      <c r="U411" s="627"/>
      <c r="V411" s="627"/>
      <c r="W411" s="627"/>
      <c r="X411" s="627"/>
      <c r="Y411" s="627"/>
      <c r="Z411" s="627"/>
      <c r="AA411" s="611"/>
      <c r="AB411" s="611"/>
      <c r="AC411" s="611"/>
    </row>
    <row r="412" spans="1:68" ht="27" customHeight="1" x14ac:dyDescent="0.25">
      <c r="A412" s="54" t="s">
        <v>665</v>
      </c>
      <c r="B412" s="54" t="s">
        <v>666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2"/>
      <c r="R412" s="622"/>
      <c r="S412" s="622"/>
      <c r="T412" s="623"/>
      <c r="U412" s="34"/>
      <c r="V412" s="34"/>
      <c r="W412" s="35" t="s">
        <v>67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6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2"/>
      <c r="R413" s="622"/>
      <c r="S413" s="622"/>
      <c r="T413" s="623"/>
      <c r="U413" s="34"/>
      <c r="V413" s="34"/>
      <c r="W413" s="35" t="s">
        <v>67</v>
      </c>
      <c r="X413" s="615">
        <v>0</v>
      </c>
      <c r="Y413" s="616">
        <f t="shared" si="47"/>
        <v>0</v>
      </c>
      <c r="Z413" s="36" t="str">
        <f>IFERROR(IF(Y413=0,"",ROUNDUP(Y413/H413,0)*0.02175),"")</f>
        <v/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0</v>
      </c>
      <c r="BN413" s="64">
        <f t="shared" si="49"/>
        <v>0</v>
      </c>
      <c r="BO413" s="64">
        <f t="shared" si="50"/>
        <v>0</v>
      </c>
      <c r="BP413" s="64">
        <f t="shared" si="51"/>
        <v>0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2"/>
      <c r="R414" s="622"/>
      <c r="S414" s="622"/>
      <c r="T414" s="623"/>
      <c r="U414" s="34"/>
      <c r="V414" s="34"/>
      <c r="W414" s="35" t="s">
        <v>67</v>
      </c>
      <c r="X414" s="615">
        <v>0</v>
      </c>
      <c r="Y414" s="616">
        <f t="shared" si="47"/>
        <v>0</v>
      </c>
      <c r="Z414" s="36" t="str">
        <f>IFERROR(IF(Y414=0,"",ROUNDUP(Y414/H414,0)*0.02175),"")</f>
        <v/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0</v>
      </c>
      <c r="BN414" s="64">
        <f t="shared" si="49"/>
        <v>0</v>
      </c>
      <c r="BO414" s="64">
        <f t="shared" si="50"/>
        <v>0</v>
      </c>
      <c r="BP414" s="64">
        <f t="shared" si="51"/>
        <v>0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2"/>
      <c r="R415" s="622"/>
      <c r="S415" s="622"/>
      <c r="T415" s="623"/>
      <c r="U415" s="34"/>
      <c r="V415" s="34"/>
      <c r="W415" s="35" t="s">
        <v>67</v>
      </c>
      <c r="X415" s="615">
        <v>0</v>
      </c>
      <c r="Y415" s="616">
        <f t="shared" si="47"/>
        <v>0</v>
      </c>
      <c r="Z415" s="36" t="str">
        <f>IFERROR(IF(Y415=0,"",ROUNDUP(Y415/H415,0)*0.02175),"")</f>
        <v/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0</v>
      </c>
      <c r="BN415" s="64">
        <f t="shared" si="49"/>
        <v>0</v>
      </c>
      <c r="BO415" s="64">
        <f t="shared" si="50"/>
        <v>0</v>
      </c>
      <c r="BP415" s="64">
        <f t="shared" si="51"/>
        <v>0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4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2"/>
      <c r="R416" s="622"/>
      <c r="S416" s="622"/>
      <c r="T416" s="623"/>
      <c r="U416" s="34"/>
      <c r="V416" s="34"/>
      <c r="W416" s="35" t="s">
        <v>67</v>
      </c>
      <c r="X416" s="615">
        <v>0</v>
      </c>
      <c r="Y416" s="616">
        <f t="shared" si="47"/>
        <v>0</v>
      </c>
      <c r="Z416" s="36" t="str">
        <f>IFERROR(IF(Y416=0,"",ROUNDUP(Y416/H416,0)*0.02175),"")</f>
        <v/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0</v>
      </c>
      <c r="BN416" s="64">
        <f t="shared" si="49"/>
        <v>0</v>
      </c>
      <c r="BO416" s="64">
        <f t="shared" si="50"/>
        <v>0</v>
      </c>
      <c r="BP416" s="64">
        <f t="shared" si="51"/>
        <v>0</v>
      </c>
    </row>
    <row r="417" spans="1:68" ht="27" customHeight="1" x14ac:dyDescent="0.25">
      <c r="A417" s="54" t="s">
        <v>680</v>
      </c>
      <c r="B417" s="54" t="s">
        <v>681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2"/>
      <c r="R417" s="622"/>
      <c r="S417" s="622"/>
      <c r="T417" s="623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customHeight="1" x14ac:dyDescent="0.25">
      <c r="A418" s="54" t="s">
        <v>683</v>
      </c>
      <c r="B418" s="54" t="s">
        <v>684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2"/>
      <c r="R418" s="622"/>
      <c r="S418" s="622"/>
      <c r="T418" s="623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customHeight="1" x14ac:dyDescent="0.25">
      <c r="A419" s="54" t="s">
        <v>686</v>
      </c>
      <c r="B419" s="54" t="s">
        <v>687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77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2"/>
      <c r="R419" s="622"/>
      <c r="S419" s="622"/>
      <c r="T419" s="623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6"/>
      <c r="B420" s="627"/>
      <c r="C420" s="627"/>
      <c r="D420" s="627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8"/>
      <c r="P420" s="630" t="s">
        <v>72</v>
      </c>
      <c r="Q420" s="631"/>
      <c r="R420" s="631"/>
      <c r="S420" s="631"/>
      <c r="T420" s="631"/>
      <c r="U420" s="631"/>
      <c r="V420" s="632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0</v>
      </c>
      <c r="Y420" s="617">
        <f>IFERROR(Y412/H412,"0")+IFERROR(Y413/H413,"0")+IFERROR(Y414/H414,"0")+IFERROR(Y415/H415,"0")+IFERROR(Y416/H416,"0")+IFERROR(Y417/H417,"0")+IFERROR(Y418/H418,"0")+IFERROR(Y419/H419,"0")</f>
        <v>0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618"/>
      <c r="AB420" s="618"/>
      <c r="AC420" s="618"/>
    </row>
    <row r="421" spans="1:68" x14ac:dyDescent="0.2">
      <c r="A421" s="627"/>
      <c r="B421" s="627"/>
      <c r="C421" s="627"/>
      <c r="D421" s="627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8"/>
      <c r="P421" s="630" t="s">
        <v>72</v>
      </c>
      <c r="Q421" s="631"/>
      <c r="R421" s="631"/>
      <c r="S421" s="631"/>
      <c r="T421" s="631"/>
      <c r="U421" s="631"/>
      <c r="V421" s="632"/>
      <c r="W421" s="37" t="s">
        <v>67</v>
      </c>
      <c r="X421" s="617">
        <f>IFERROR(SUM(X412:X419),"0")</f>
        <v>0</v>
      </c>
      <c r="Y421" s="617">
        <f>IFERROR(SUM(Y412:Y419),"0")</f>
        <v>0</v>
      </c>
      <c r="Z421" s="37"/>
      <c r="AA421" s="618"/>
      <c r="AB421" s="618"/>
      <c r="AC421" s="618"/>
    </row>
    <row r="422" spans="1:68" ht="14.25" customHeight="1" x14ac:dyDescent="0.25">
      <c r="A422" s="629" t="s">
        <v>153</v>
      </c>
      <c r="B422" s="627"/>
      <c r="C422" s="627"/>
      <c r="D422" s="627"/>
      <c r="E422" s="627"/>
      <c r="F422" s="627"/>
      <c r="G422" s="627"/>
      <c r="H422" s="627"/>
      <c r="I422" s="627"/>
      <c r="J422" s="627"/>
      <c r="K422" s="627"/>
      <c r="L422" s="627"/>
      <c r="M422" s="627"/>
      <c r="N422" s="627"/>
      <c r="O422" s="627"/>
      <c r="P422" s="627"/>
      <c r="Q422" s="627"/>
      <c r="R422" s="627"/>
      <c r="S422" s="627"/>
      <c r="T422" s="627"/>
      <c r="U422" s="627"/>
      <c r="V422" s="627"/>
      <c r="W422" s="627"/>
      <c r="X422" s="627"/>
      <c r="Y422" s="627"/>
      <c r="Z422" s="627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5">
        <v>500</v>
      </c>
      <c r="Y423" s="616">
        <f>IFERROR(IF(X423="",0,CEILING((X423/$H423),1)*$H423),"")</f>
        <v>510</v>
      </c>
      <c r="Z423" s="36">
        <f>IFERROR(IF(Y423=0,"",ROUNDUP(Y423/H423,0)*0.02175),"")</f>
        <v>0.73949999999999994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515.66666666666663</v>
      </c>
      <c r="BN423" s="64">
        <f>IFERROR(Y423*I423/H423,"0")</f>
        <v>525.98</v>
      </c>
      <c r="BO423" s="64">
        <f>IFERROR(1/J423*(X423/H423),"0")</f>
        <v>0.69444444444444442</v>
      </c>
      <c r="BP423" s="64">
        <f>IFERROR(1/J423*(Y423/H423),"0")</f>
        <v>0.70833333333333326</v>
      </c>
    </row>
    <row r="424" spans="1:68" ht="27" customHeight="1" x14ac:dyDescent="0.25">
      <c r="A424" s="54" t="s">
        <v>692</v>
      </c>
      <c r="B424" s="54" t="s">
        <v>693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8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695</v>
      </c>
      <c r="B425" s="54" t="s">
        <v>696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2"/>
      <c r="R425" s="622"/>
      <c r="S425" s="622"/>
      <c r="T425" s="623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26"/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8"/>
      <c r="P426" s="630" t="s">
        <v>72</v>
      </c>
      <c r="Q426" s="631"/>
      <c r="R426" s="631"/>
      <c r="S426" s="631"/>
      <c r="T426" s="631"/>
      <c r="U426" s="631"/>
      <c r="V426" s="632"/>
      <c r="W426" s="37" t="s">
        <v>73</v>
      </c>
      <c r="X426" s="617">
        <f>IFERROR(X423/H423,"0")+IFERROR(X424/H424,"0")+IFERROR(X425/H425,"0")</f>
        <v>33.333333333333336</v>
      </c>
      <c r="Y426" s="617">
        <f>IFERROR(Y423/H423,"0")+IFERROR(Y424/H424,"0")+IFERROR(Y425/H425,"0")</f>
        <v>34</v>
      </c>
      <c r="Z426" s="617">
        <f>IFERROR(IF(Z423="",0,Z423),"0")+IFERROR(IF(Z424="",0,Z424),"0")+IFERROR(IF(Z425="",0,Z425),"0")</f>
        <v>0.73949999999999994</v>
      </c>
      <c r="AA426" s="618"/>
      <c r="AB426" s="618"/>
      <c r="AC426" s="618"/>
    </row>
    <row r="427" spans="1:68" x14ac:dyDescent="0.2">
      <c r="A427" s="627"/>
      <c r="B427" s="627"/>
      <c r="C427" s="627"/>
      <c r="D427" s="627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8"/>
      <c r="P427" s="630" t="s">
        <v>72</v>
      </c>
      <c r="Q427" s="631"/>
      <c r="R427" s="631"/>
      <c r="S427" s="631"/>
      <c r="T427" s="631"/>
      <c r="U427" s="631"/>
      <c r="V427" s="632"/>
      <c r="W427" s="37" t="s">
        <v>67</v>
      </c>
      <c r="X427" s="617">
        <f>IFERROR(SUM(X423:X425),"0")</f>
        <v>500</v>
      </c>
      <c r="Y427" s="617">
        <f>IFERROR(SUM(Y423:Y425),"0")</f>
        <v>510</v>
      </c>
      <c r="Z427" s="37"/>
      <c r="AA427" s="618"/>
      <c r="AB427" s="618"/>
      <c r="AC427" s="618"/>
    </row>
    <row r="428" spans="1:68" ht="14.25" customHeight="1" x14ac:dyDescent="0.25">
      <c r="A428" s="629" t="s">
        <v>74</v>
      </c>
      <c r="B428" s="627"/>
      <c r="C428" s="627"/>
      <c r="D428" s="627"/>
      <c r="E428" s="627"/>
      <c r="F428" s="627"/>
      <c r="G428" s="627"/>
      <c r="H428" s="627"/>
      <c r="I428" s="627"/>
      <c r="J428" s="627"/>
      <c r="K428" s="627"/>
      <c r="L428" s="627"/>
      <c r="M428" s="627"/>
      <c r="N428" s="627"/>
      <c r="O428" s="627"/>
      <c r="P428" s="627"/>
      <c r="Q428" s="627"/>
      <c r="R428" s="627"/>
      <c r="S428" s="627"/>
      <c r="T428" s="627"/>
      <c r="U428" s="627"/>
      <c r="V428" s="627"/>
      <c r="W428" s="627"/>
      <c r="X428" s="627"/>
      <c r="Y428" s="627"/>
      <c r="Z428" s="627"/>
      <c r="AA428" s="611"/>
      <c r="AB428" s="611"/>
      <c r="AC428" s="611"/>
    </row>
    <row r="429" spans="1:68" ht="16.5" customHeight="1" x14ac:dyDescent="0.25">
      <c r="A429" s="54" t="s">
        <v>698</v>
      </c>
      <c r="B429" s="54" t="s">
        <v>699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2"/>
      <c r="R429" s="622"/>
      <c r="S429" s="622"/>
      <c r="T429" s="623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2"/>
      <c r="R430" s="622"/>
      <c r="S430" s="622"/>
      <c r="T430" s="623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704</v>
      </c>
      <c r="B431" s="54" t="s">
        <v>705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2"/>
      <c r="R431" s="622"/>
      <c r="S431" s="622"/>
      <c r="T431" s="623"/>
      <c r="U431" s="34"/>
      <c r="V431" s="34"/>
      <c r="W431" s="35" t="s">
        <v>67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26"/>
      <c r="B432" s="627"/>
      <c r="C432" s="627"/>
      <c r="D432" s="627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8"/>
      <c r="P432" s="630" t="s">
        <v>72</v>
      </c>
      <c r="Q432" s="631"/>
      <c r="R432" s="631"/>
      <c r="S432" s="631"/>
      <c r="T432" s="631"/>
      <c r="U432" s="631"/>
      <c r="V432" s="632"/>
      <c r="W432" s="37" t="s">
        <v>73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x14ac:dyDescent="0.2">
      <c r="A433" s="627"/>
      <c r="B433" s="627"/>
      <c r="C433" s="627"/>
      <c r="D433" s="627"/>
      <c r="E433" s="627"/>
      <c r="F433" s="627"/>
      <c r="G433" s="627"/>
      <c r="H433" s="627"/>
      <c r="I433" s="627"/>
      <c r="J433" s="627"/>
      <c r="K433" s="627"/>
      <c r="L433" s="627"/>
      <c r="M433" s="627"/>
      <c r="N433" s="627"/>
      <c r="O433" s="628"/>
      <c r="P433" s="630" t="s">
        <v>72</v>
      </c>
      <c r="Q433" s="631"/>
      <c r="R433" s="631"/>
      <c r="S433" s="631"/>
      <c r="T433" s="631"/>
      <c r="U433" s="631"/>
      <c r="V433" s="632"/>
      <c r="W433" s="37" t="s">
        <v>67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customHeight="1" x14ac:dyDescent="0.25">
      <c r="A434" s="629" t="s">
        <v>170</v>
      </c>
      <c r="B434" s="627"/>
      <c r="C434" s="627"/>
      <c r="D434" s="627"/>
      <c r="E434" s="627"/>
      <c r="F434" s="627"/>
      <c r="G434" s="627"/>
      <c r="H434" s="627"/>
      <c r="I434" s="627"/>
      <c r="J434" s="627"/>
      <c r="K434" s="627"/>
      <c r="L434" s="627"/>
      <c r="M434" s="627"/>
      <c r="N434" s="627"/>
      <c r="O434" s="627"/>
      <c r="P434" s="627"/>
      <c r="Q434" s="627"/>
      <c r="R434" s="627"/>
      <c r="S434" s="627"/>
      <c r="T434" s="627"/>
      <c r="U434" s="627"/>
      <c r="V434" s="627"/>
      <c r="W434" s="627"/>
      <c r="X434" s="627"/>
      <c r="Y434" s="627"/>
      <c r="Z434" s="627"/>
      <c r="AA434" s="611"/>
      <c r="AB434" s="611"/>
      <c r="AC434" s="611"/>
    </row>
    <row r="435" spans="1:68" ht="27" customHeight="1" x14ac:dyDescent="0.25">
      <c r="A435" s="54" t="s">
        <v>707</v>
      </c>
      <c r="B435" s="54" t="s">
        <v>708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2"/>
      <c r="R435" s="622"/>
      <c r="S435" s="622"/>
      <c r="T435" s="623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710</v>
      </c>
      <c r="B436" s="54" t="s">
        <v>711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2"/>
      <c r="R436" s="622"/>
      <c r="S436" s="622"/>
      <c r="T436" s="623"/>
      <c r="U436" s="34"/>
      <c r="V436" s="34"/>
      <c r="W436" s="35" t="s">
        <v>67</v>
      </c>
      <c r="X436" s="615">
        <v>0</v>
      </c>
      <c r="Y436" s="616">
        <f>IFERROR(IF(X436="",0,CEILING((X436/$H436),1)*$H436),"")</f>
        <v>0</v>
      </c>
      <c r="Z436" s="36" t="str">
        <f>IFERROR(IF(Y436=0,"",ROUNDUP(Y436/H436,0)*0.01898),"")</f>
        <v/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626"/>
      <c r="B437" s="627"/>
      <c r="C437" s="627"/>
      <c r="D437" s="627"/>
      <c r="E437" s="627"/>
      <c r="F437" s="627"/>
      <c r="G437" s="627"/>
      <c r="H437" s="627"/>
      <c r="I437" s="627"/>
      <c r="J437" s="627"/>
      <c r="K437" s="627"/>
      <c r="L437" s="627"/>
      <c r="M437" s="627"/>
      <c r="N437" s="627"/>
      <c r="O437" s="628"/>
      <c r="P437" s="630" t="s">
        <v>72</v>
      </c>
      <c r="Q437" s="631"/>
      <c r="R437" s="631"/>
      <c r="S437" s="631"/>
      <c r="T437" s="631"/>
      <c r="U437" s="631"/>
      <c r="V437" s="632"/>
      <c r="W437" s="37" t="s">
        <v>73</v>
      </c>
      <c r="X437" s="617">
        <f>IFERROR(X435/H435,"0")+IFERROR(X436/H436,"0")</f>
        <v>0</v>
      </c>
      <c r="Y437" s="617">
        <f>IFERROR(Y435/H435,"0")+IFERROR(Y436/H436,"0")</f>
        <v>0</v>
      </c>
      <c r="Z437" s="617">
        <f>IFERROR(IF(Z435="",0,Z435),"0")+IFERROR(IF(Z436="",0,Z436),"0")</f>
        <v>0</v>
      </c>
      <c r="AA437" s="618"/>
      <c r="AB437" s="618"/>
      <c r="AC437" s="618"/>
    </row>
    <row r="438" spans="1:68" x14ac:dyDescent="0.2">
      <c r="A438" s="627"/>
      <c r="B438" s="627"/>
      <c r="C438" s="627"/>
      <c r="D438" s="627"/>
      <c r="E438" s="627"/>
      <c r="F438" s="627"/>
      <c r="G438" s="627"/>
      <c r="H438" s="627"/>
      <c r="I438" s="627"/>
      <c r="J438" s="627"/>
      <c r="K438" s="627"/>
      <c r="L438" s="627"/>
      <c r="M438" s="627"/>
      <c r="N438" s="627"/>
      <c r="O438" s="628"/>
      <c r="P438" s="630" t="s">
        <v>72</v>
      </c>
      <c r="Q438" s="631"/>
      <c r="R438" s="631"/>
      <c r="S438" s="631"/>
      <c r="T438" s="631"/>
      <c r="U438" s="631"/>
      <c r="V438" s="632"/>
      <c r="W438" s="37" t="s">
        <v>67</v>
      </c>
      <c r="X438" s="617">
        <f>IFERROR(SUM(X435:X436),"0")</f>
        <v>0</v>
      </c>
      <c r="Y438" s="617">
        <f>IFERROR(SUM(Y435:Y436),"0")</f>
        <v>0</v>
      </c>
      <c r="Z438" s="37"/>
      <c r="AA438" s="618"/>
      <c r="AB438" s="618"/>
      <c r="AC438" s="618"/>
    </row>
    <row r="439" spans="1:68" ht="16.5" customHeight="1" x14ac:dyDescent="0.25">
      <c r="A439" s="638" t="s">
        <v>713</v>
      </c>
      <c r="B439" s="627"/>
      <c r="C439" s="627"/>
      <c r="D439" s="627"/>
      <c r="E439" s="627"/>
      <c r="F439" s="627"/>
      <c r="G439" s="627"/>
      <c r="H439" s="627"/>
      <c r="I439" s="627"/>
      <c r="J439" s="627"/>
      <c r="K439" s="627"/>
      <c r="L439" s="627"/>
      <c r="M439" s="627"/>
      <c r="N439" s="627"/>
      <c r="O439" s="627"/>
      <c r="P439" s="627"/>
      <c r="Q439" s="627"/>
      <c r="R439" s="627"/>
      <c r="S439" s="627"/>
      <c r="T439" s="627"/>
      <c r="U439" s="627"/>
      <c r="V439" s="627"/>
      <c r="W439" s="627"/>
      <c r="X439" s="627"/>
      <c r="Y439" s="627"/>
      <c r="Z439" s="627"/>
      <c r="AA439" s="610"/>
      <c r="AB439" s="610"/>
      <c r="AC439" s="610"/>
    </row>
    <row r="440" spans="1:68" ht="14.25" customHeight="1" x14ac:dyDescent="0.25">
      <c r="A440" s="629" t="s">
        <v>117</v>
      </c>
      <c r="B440" s="627"/>
      <c r="C440" s="627"/>
      <c r="D440" s="627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S440" s="627"/>
      <c r="T440" s="627"/>
      <c r="U440" s="627"/>
      <c r="V440" s="627"/>
      <c r="W440" s="627"/>
      <c r="X440" s="627"/>
      <c r="Y440" s="627"/>
      <c r="Z440" s="627"/>
      <c r="AA440" s="611"/>
      <c r="AB440" s="611"/>
      <c r="AC440" s="611"/>
    </row>
    <row r="441" spans="1:68" ht="27" customHeight="1" x14ac:dyDescent="0.25">
      <c r="A441" s="54" t="s">
        <v>714</v>
      </c>
      <c r="B441" s="54" t="s">
        <v>715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2"/>
      <c r="R441" s="622"/>
      <c r="S441" s="622"/>
      <c r="T441" s="623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customHeight="1" x14ac:dyDescent="0.25">
      <c r="A442" s="54" t="s">
        <v>717</v>
      </c>
      <c r="B442" s="54" t="s">
        <v>718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2"/>
      <c r="R442" s="622"/>
      <c r="S442" s="622"/>
      <c r="T442" s="623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26"/>
      <c r="B443" s="627"/>
      <c r="C443" s="627"/>
      <c r="D443" s="627"/>
      <c r="E443" s="627"/>
      <c r="F443" s="627"/>
      <c r="G443" s="627"/>
      <c r="H443" s="627"/>
      <c r="I443" s="627"/>
      <c r="J443" s="627"/>
      <c r="K443" s="627"/>
      <c r="L443" s="627"/>
      <c r="M443" s="627"/>
      <c r="N443" s="627"/>
      <c r="O443" s="628"/>
      <c r="P443" s="630" t="s">
        <v>72</v>
      </c>
      <c r="Q443" s="631"/>
      <c r="R443" s="631"/>
      <c r="S443" s="631"/>
      <c r="T443" s="631"/>
      <c r="U443" s="631"/>
      <c r="V443" s="632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x14ac:dyDescent="0.2">
      <c r="A444" s="627"/>
      <c r="B444" s="627"/>
      <c r="C444" s="627"/>
      <c r="D444" s="627"/>
      <c r="E444" s="627"/>
      <c r="F444" s="627"/>
      <c r="G444" s="627"/>
      <c r="H444" s="627"/>
      <c r="I444" s="627"/>
      <c r="J444" s="627"/>
      <c r="K444" s="627"/>
      <c r="L444" s="627"/>
      <c r="M444" s="627"/>
      <c r="N444" s="627"/>
      <c r="O444" s="628"/>
      <c r="P444" s="630" t="s">
        <v>72</v>
      </c>
      <c r="Q444" s="631"/>
      <c r="R444" s="631"/>
      <c r="S444" s="631"/>
      <c r="T444" s="631"/>
      <c r="U444" s="631"/>
      <c r="V444" s="632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customHeight="1" x14ac:dyDescent="0.25">
      <c r="A445" s="629" t="s">
        <v>62</v>
      </c>
      <c r="B445" s="627"/>
      <c r="C445" s="627"/>
      <c r="D445" s="627"/>
      <c r="E445" s="627"/>
      <c r="F445" s="627"/>
      <c r="G445" s="627"/>
      <c r="H445" s="627"/>
      <c r="I445" s="627"/>
      <c r="J445" s="627"/>
      <c r="K445" s="627"/>
      <c r="L445" s="627"/>
      <c r="M445" s="627"/>
      <c r="N445" s="627"/>
      <c r="O445" s="627"/>
      <c r="P445" s="627"/>
      <c r="Q445" s="627"/>
      <c r="R445" s="627"/>
      <c r="S445" s="627"/>
      <c r="T445" s="627"/>
      <c r="U445" s="627"/>
      <c r="V445" s="627"/>
      <c r="W445" s="627"/>
      <c r="X445" s="627"/>
      <c r="Y445" s="627"/>
      <c r="Z445" s="627"/>
      <c r="AA445" s="611"/>
      <c r="AB445" s="611"/>
      <c r="AC445" s="611"/>
    </row>
    <row r="446" spans="1:68" ht="27" customHeight="1" x14ac:dyDescent="0.25">
      <c r="A446" s="54" t="s">
        <v>719</v>
      </c>
      <c r="B446" s="54" t="s">
        <v>720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2"/>
      <c r="R446" s="622"/>
      <c r="S446" s="622"/>
      <c r="T446" s="623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26"/>
      <c r="B447" s="627"/>
      <c r="C447" s="627"/>
      <c r="D447" s="627"/>
      <c r="E447" s="627"/>
      <c r="F447" s="627"/>
      <c r="G447" s="627"/>
      <c r="H447" s="627"/>
      <c r="I447" s="627"/>
      <c r="J447" s="627"/>
      <c r="K447" s="627"/>
      <c r="L447" s="627"/>
      <c r="M447" s="627"/>
      <c r="N447" s="627"/>
      <c r="O447" s="628"/>
      <c r="P447" s="630" t="s">
        <v>72</v>
      </c>
      <c r="Q447" s="631"/>
      <c r="R447" s="631"/>
      <c r="S447" s="631"/>
      <c r="T447" s="631"/>
      <c r="U447" s="631"/>
      <c r="V447" s="632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x14ac:dyDescent="0.2">
      <c r="A448" s="627"/>
      <c r="B448" s="627"/>
      <c r="C448" s="627"/>
      <c r="D448" s="627"/>
      <c r="E448" s="627"/>
      <c r="F448" s="627"/>
      <c r="G448" s="627"/>
      <c r="H448" s="627"/>
      <c r="I448" s="627"/>
      <c r="J448" s="627"/>
      <c r="K448" s="627"/>
      <c r="L448" s="627"/>
      <c r="M448" s="627"/>
      <c r="N448" s="627"/>
      <c r="O448" s="628"/>
      <c r="P448" s="630" t="s">
        <v>72</v>
      </c>
      <c r="Q448" s="631"/>
      <c r="R448" s="631"/>
      <c r="S448" s="631"/>
      <c r="T448" s="631"/>
      <c r="U448" s="631"/>
      <c r="V448" s="632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customHeight="1" x14ac:dyDescent="0.25">
      <c r="A449" s="629" t="s">
        <v>74</v>
      </c>
      <c r="B449" s="627"/>
      <c r="C449" s="627"/>
      <c r="D449" s="627"/>
      <c r="E449" s="627"/>
      <c r="F449" s="627"/>
      <c r="G449" s="627"/>
      <c r="H449" s="627"/>
      <c r="I449" s="627"/>
      <c r="J449" s="627"/>
      <c r="K449" s="627"/>
      <c r="L449" s="627"/>
      <c r="M449" s="627"/>
      <c r="N449" s="627"/>
      <c r="O449" s="627"/>
      <c r="P449" s="627"/>
      <c r="Q449" s="627"/>
      <c r="R449" s="627"/>
      <c r="S449" s="627"/>
      <c r="T449" s="627"/>
      <c r="U449" s="627"/>
      <c r="V449" s="627"/>
      <c r="W449" s="627"/>
      <c r="X449" s="627"/>
      <c r="Y449" s="627"/>
      <c r="Z449" s="627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5">
        <v>500</v>
      </c>
      <c r="Y450" s="616">
        <f>IFERROR(IF(X450="",0,CEILING((X450/$H450),1)*$H450),"")</f>
        <v>504</v>
      </c>
      <c r="Z450" s="36">
        <f>IFERROR(IF(Y450=0,"",ROUNDUP(Y450/H450,0)*0.01898),"")</f>
        <v>1.06288</v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527.44444444444446</v>
      </c>
      <c r="BN450" s="64">
        <f>IFERROR(Y450*I450/H450,"0")</f>
        <v>531.66399999999999</v>
      </c>
      <c r="BO450" s="64">
        <f>IFERROR(1/J450*(X450/H450),"0")</f>
        <v>0.86805555555555558</v>
      </c>
      <c r="BP450" s="64">
        <f>IFERROR(1/J450*(Y450/H450),"0")</f>
        <v>0.875</v>
      </c>
    </row>
    <row r="451" spans="1:68" ht="27" customHeight="1" x14ac:dyDescent="0.25">
      <c r="A451" s="54" t="s">
        <v>725</v>
      </c>
      <c r="B451" s="54" t="s">
        <v>726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2"/>
      <c r="R451" s="622"/>
      <c r="S451" s="622"/>
      <c r="T451" s="623"/>
      <c r="U451" s="34"/>
      <c r="V451" s="34"/>
      <c r="W451" s="35" t="s">
        <v>67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725</v>
      </c>
      <c r="B452" s="54" t="s">
        <v>727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2"/>
      <c r="R452" s="622"/>
      <c r="S452" s="622"/>
      <c r="T452" s="623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26"/>
      <c r="B453" s="627"/>
      <c r="C453" s="627"/>
      <c r="D453" s="627"/>
      <c r="E453" s="627"/>
      <c r="F453" s="627"/>
      <c r="G453" s="627"/>
      <c r="H453" s="627"/>
      <c r="I453" s="627"/>
      <c r="J453" s="627"/>
      <c r="K453" s="627"/>
      <c r="L453" s="627"/>
      <c r="M453" s="627"/>
      <c r="N453" s="627"/>
      <c r="O453" s="628"/>
      <c r="P453" s="630" t="s">
        <v>72</v>
      </c>
      <c r="Q453" s="631"/>
      <c r="R453" s="631"/>
      <c r="S453" s="631"/>
      <c r="T453" s="631"/>
      <c r="U453" s="631"/>
      <c r="V453" s="632"/>
      <c r="W453" s="37" t="s">
        <v>73</v>
      </c>
      <c r="X453" s="617">
        <f>IFERROR(X450/H450,"0")+IFERROR(X451/H451,"0")+IFERROR(X452/H452,"0")</f>
        <v>55.555555555555557</v>
      </c>
      <c r="Y453" s="617">
        <f>IFERROR(Y450/H450,"0")+IFERROR(Y451/H451,"0")+IFERROR(Y452/H452,"0")</f>
        <v>56</v>
      </c>
      <c r="Z453" s="617">
        <f>IFERROR(IF(Z450="",0,Z450),"0")+IFERROR(IF(Z451="",0,Z451),"0")+IFERROR(IF(Z452="",0,Z452),"0")</f>
        <v>1.06288</v>
      </c>
      <c r="AA453" s="618"/>
      <c r="AB453" s="618"/>
      <c r="AC453" s="618"/>
    </row>
    <row r="454" spans="1:68" x14ac:dyDescent="0.2">
      <c r="A454" s="627"/>
      <c r="B454" s="627"/>
      <c r="C454" s="627"/>
      <c r="D454" s="627"/>
      <c r="E454" s="627"/>
      <c r="F454" s="627"/>
      <c r="G454" s="627"/>
      <c r="H454" s="627"/>
      <c r="I454" s="627"/>
      <c r="J454" s="627"/>
      <c r="K454" s="627"/>
      <c r="L454" s="627"/>
      <c r="M454" s="627"/>
      <c r="N454" s="627"/>
      <c r="O454" s="628"/>
      <c r="P454" s="630" t="s">
        <v>72</v>
      </c>
      <c r="Q454" s="631"/>
      <c r="R454" s="631"/>
      <c r="S454" s="631"/>
      <c r="T454" s="631"/>
      <c r="U454" s="631"/>
      <c r="V454" s="632"/>
      <c r="W454" s="37" t="s">
        <v>67</v>
      </c>
      <c r="X454" s="617">
        <f>IFERROR(SUM(X450:X452),"0")</f>
        <v>500</v>
      </c>
      <c r="Y454" s="617">
        <f>IFERROR(SUM(Y450:Y452),"0")</f>
        <v>504</v>
      </c>
      <c r="Z454" s="37"/>
      <c r="AA454" s="618"/>
      <c r="AB454" s="618"/>
      <c r="AC454" s="618"/>
    </row>
    <row r="455" spans="1:68" ht="27.75" customHeight="1" x14ac:dyDescent="0.2">
      <c r="A455" s="778" t="s">
        <v>729</v>
      </c>
      <c r="B455" s="779"/>
      <c r="C455" s="779"/>
      <c r="D455" s="779"/>
      <c r="E455" s="779"/>
      <c r="F455" s="779"/>
      <c r="G455" s="779"/>
      <c r="H455" s="779"/>
      <c r="I455" s="779"/>
      <c r="J455" s="779"/>
      <c r="K455" s="779"/>
      <c r="L455" s="779"/>
      <c r="M455" s="779"/>
      <c r="N455" s="779"/>
      <c r="O455" s="779"/>
      <c r="P455" s="779"/>
      <c r="Q455" s="779"/>
      <c r="R455" s="779"/>
      <c r="S455" s="779"/>
      <c r="T455" s="779"/>
      <c r="U455" s="779"/>
      <c r="V455" s="779"/>
      <c r="W455" s="779"/>
      <c r="X455" s="779"/>
      <c r="Y455" s="779"/>
      <c r="Z455" s="779"/>
      <c r="AA455" s="48"/>
      <c r="AB455" s="48"/>
      <c r="AC455" s="48"/>
    </row>
    <row r="456" spans="1:68" ht="16.5" customHeight="1" x14ac:dyDescent="0.25">
      <c r="A456" s="638" t="s">
        <v>730</v>
      </c>
      <c r="B456" s="627"/>
      <c r="C456" s="627"/>
      <c r="D456" s="627"/>
      <c r="E456" s="627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T456" s="627"/>
      <c r="U456" s="627"/>
      <c r="V456" s="627"/>
      <c r="W456" s="627"/>
      <c r="X456" s="627"/>
      <c r="Y456" s="627"/>
      <c r="Z456" s="627"/>
      <c r="AA456" s="610"/>
      <c r="AB456" s="610"/>
      <c r="AC456" s="610"/>
    </row>
    <row r="457" spans="1:68" ht="14.25" customHeight="1" x14ac:dyDescent="0.25">
      <c r="A457" s="629" t="s">
        <v>62</v>
      </c>
      <c r="B457" s="627"/>
      <c r="C457" s="627"/>
      <c r="D457" s="627"/>
      <c r="E457" s="627"/>
      <c r="F457" s="627"/>
      <c r="G457" s="627"/>
      <c r="H457" s="627"/>
      <c r="I457" s="627"/>
      <c r="J457" s="627"/>
      <c r="K457" s="627"/>
      <c r="L457" s="627"/>
      <c r="M457" s="627"/>
      <c r="N457" s="627"/>
      <c r="O457" s="627"/>
      <c r="P457" s="627"/>
      <c r="Q457" s="627"/>
      <c r="R457" s="627"/>
      <c r="S457" s="627"/>
      <c r="T457" s="627"/>
      <c r="U457" s="627"/>
      <c r="V457" s="627"/>
      <c r="W457" s="627"/>
      <c r="X457" s="627"/>
      <c r="Y457" s="627"/>
      <c r="Z457" s="627"/>
      <c r="AA457" s="611"/>
      <c r="AB457" s="611"/>
      <c r="AC457" s="611"/>
    </row>
    <row r="458" spans="1:68" ht="27" customHeight="1" x14ac:dyDescent="0.25">
      <c r="A458" s="54" t="s">
        <v>731</v>
      </c>
      <c r="B458" s="54" t="s">
        <v>732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2"/>
      <c r="R458" s="622"/>
      <c r="S458" s="622"/>
      <c r="T458" s="623"/>
      <c r="U458" s="34"/>
      <c r="V458" s="34"/>
      <c r="W458" s="35" t="s">
        <v>67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customHeight="1" x14ac:dyDescent="0.25">
      <c r="A459" s="54" t="s">
        <v>734</v>
      </c>
      <c r="B459" s="54" t="s">
        <v>735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8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2"/>
      <c r="R459" s="622"/>
      <c r="S459" s="622"/>
      <c r="T459" s="623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customHeight="1" x14ac:dyDescent="0.25">
      <c r="A460" s="54" t="s">
        <v>737</v>
      </c>
      <c r="B460" s="54" t="s">
        <v>738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2"/>
      <c r="R460" s="622"/>
      <c r="S460" s="622"/>
      <c r="T460" s="623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customHeight="1" x14ac:dyDescent="0.25">
      <c r="A461" s="54" t="s">
        <v>739</v>
      </c>
      <c r="B461" s="54" t="s">
        <v>740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2"/>
      <c r="R461" s="622"/>
      <c r="S461" s="622"/>
      <c r="T461" s="623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customHeight="1" x14ac:dyDescent="0.25">
      <c r="A462" s="54" t="s">
        <v>742</v>
      </c>
      <c r="B462" s="54" t="s">
        <v>743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2"/>
      <c r="R462" s="622"/>
      <c r="S462" s="622"/>
      <c r="T462" s="623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customHeight="1" x14ac:dyDescent="0.25">
      <c r="A463" s="54" t="s">
        <v>745</v>
      </c>
      <c r="B463" s="54" t="s">
        <v>746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9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2"/>
      <c r="R463" s="622"/>
      <c r="S463" s="622"/>
      <c r="T463" s="623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x14ac:dyDescent="0.2">
      <c r="A464" s="626"/>
      <c r="B464" s="627"/>
      <c r="C464" s="627"/>
      <c r="D464" s="627"/>
      <c r="E464" s="627"/>
      <c r="F464" s="627"/>
      <c r="G464" s="627"/>
      <c r="H464" s="627"/>
      <c r="I464" s="627"/>
      <c r="J464" s="627"/>
      <c r="K464" s="627"/>
      <c r="L464" s="627"/>
      <c r="M464" s="627"/>
      <c r="N464" s="627"/>
      <c r="O464" s="628"/>
      <c r="P464" s="630" t="s">
        <v>72</v>
      </c>
      <c r="Q464" s="631"/>
      <c r="R464" s="631"/>
      <c r="S464" s="631"/>
      <c r="T464" s="631"/>
      <c r="U464" s="631"/>
      <c r="V464" s="632"/>
      <c r="W464" s="37" t="s">
        <v>73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x14ac:dyDescent="0.2">
      <c r="A465" s="627"/>
      <c r="B465" s="627"/>
      <c r="C465" s="627"/>
      <c r="D465" s="627"/>
      <c r="E465" s="627"/>
      <c r="F465" s="627"/>
      <c r="G465" s="627"/>
      <c r="H465" s="627"/>
      <c r="I465" s="627"/>
      <c r="J465" s="627"/>
      <c r="K465" s="627"/>
      <c r="L465" s="627"/>
      <c r="M465" s="627"/>
      <c r="N465" s="627"/>
      <c r="O465" s="628"/>
      <c r="P465" s="630" t="s">
        <v>72</v>
      </c>
      <c r="Q465" s="631"/>
      <c r="R465" s="631"/>
      <c r="S465" s="631"/>
      <c r="T465" s="631"/>
      <c r="U465" s="631"/>
      <c r="V465" s="632"/>
      <c r="W465" s="37" t="s">
        <v>67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customHeight="1" x14ac:dyDescent="0.25">
      <c r="A466" s="629" t="s">
        <v>74</v>
      </c>
      <c r="B466" s="627"/>
      <c r="C466" s="627"/>
      <c r="D466" s="627"/>
      <c r="E466" s="627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T466" s="627"/>
      <c r="U466" s="627"/>
      <c r="V466" s="627"/>
      <c r="W466" s="627"/>
      <c r="X466" s="627"/>
      <c r="Y466" s="627"/>
      <c r="Z466" s="627"/>
      <c r="AA466" s="611"/>
      <c r="AB466" s="611"/>
      <c r="AC466" s="611"/>
    </row>
    <row r="467" spans="1:68" ht="27" customHeight="1" x14ac:dyDescent="0.25">
      <c r="A467" s="54" t="s">
        <v>747</v>
      </c>
      <c r="B467" s="54" t="s">
        <v>748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2"/>
      <c r="R467" s="622"/>
      <c r="S467" s="622"/>
      <c r="T467" s="623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750</v>
      </c>
      <c r="B468" s="54" t="s">
        <v>751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626"/>
      <c r="B469" s="627"/>
      <c r="C469" s="627"/>
      <c r="D469" s="627"/>
      <c r="E469" s="627"/>
      <c r="F469" s="627"/>
      <c r="G469" s="627"/>
      <c r="H469" s="627"/>
      <c r="I469" s="627"/>
      <c r="J469" s="627"/>
      <c r="K469" s="627"/>
      <c r="L469" s="627"/>
      <c r="M469" s="627"/>
      <c r="N469" s="627"/>
      <c r="O469" s="628"/>
      <c r="P469" s="630" t="s">
        <v>72</v>
      </c>
      <c r="Q469" s="631"/>
      <c r="R469" s="631"/>
      <c r="S469" s="631"/>
      <c r="T469" s="631"/>
      <c r="U469" s="631"/>
      <c r="V469" s="632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x14ac:dyDescent="0.2">
      <c r="A470" s="627"/>
      <c r="B470" s="627"/>
      <c r="C470" s="627"/>
      <c r="D470" s="627"/>
      <c r="E470" s="627"/>
      <c r="F470" s="627"/>
      <c r="G470" s="627"/>
      <c r="H470" s="627"/>
      <c r="I470" s="627"/>
      <c r="J470" s="627"/>
      <c r="K470" s="627"/>
      <c r="L470" s="627"/>
      <c r="M470" s="627"/>
      <c r="N470" s="627"/>
      <c r="O470" s="628"/>
      <c r="P470" s="630" t="s">
        <v>72</v>
      </c>
      <c r="Q470" s="631"/>
      <c r="R470" s="631"/>
      <c r="S470" s="631"/>
      <c r="T470" s="631"/>
      <c r="U470" s="631"/>
      <c r="V470" s="632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customHeight="1" x14ac:dyDescent="0.25">
      <c r="A471" s="638" t="s">
        <v>753</v>
      </c>
      <c r="B471" s="627"/>
      <c r="C471" s="627"/>
      <c r="D471" s="627"/>
      <c r="E471" s="627"/>
      <c r="F471" s="627"/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S471" s="627"/>
      <c r="T471" s="627"/>
      <c r="U471" s="627"/>
      <c r="V471" s="627"/>
      <c r="W471" s="627"/>
      <c r="X471" s="627"/>
      <c r="Y471" s="627"/>
      <c r="Z471" s="627"/>
      <c r="AA471" s="610"/>
      <c r="AB471" s="610"/>
      <c r="AC471" s="610"/>
    </row>
    <row r="472" spans="1:68" ht="14.25" customHeight="1" x14ac:dyDescent="0.25">
      <c r="A472" s="629" t="s">
        <v>153</v>
      </c>
      <c r="B472" s="627"/>
      <c r="C472" s="627"/>
      <c r="D472" s="627"/>
      <c r="E472" s="627"/>
      <c r="F472" s="627"/>
      <c r="G472" s="627"/>
      <c r="H472" s="627"/>
      <c r="I472" s="627"/>
      <c r="J472" s="627"/>
      <c r="K472" s="627"/>
      <c r="L472" s="627"/>
      <c r="M472" s="627"/>
      <c r="N472" s="627"/>
      <c r="O472" s="627"/>
      <c r="P472" s="627"/>
      <c r="Q472" s="627"/>
      <c r="R472" s="627"/>
      <c r="S472" s="627"/>
      <c r="T472" s="627"/>
      <c r="U472" s="627"/>
      <c r="V472" s="627"/>
      <c r="W472" s="627"/>
      <c r="X472" s="627"/>
      <c r="Y472" s="627"/>
      <c r="Z472" s="627"/>
      <c r="AA472" s="611"/>
      <c r="AB472" s="611"/>
      <c r="AC472" s="611"/>
    </row>
    <row r="473" spans="1:68" ht="27" customHeight="1" x14ac:dyDescent="0.25">
      <c r="A473" s="54" t="s">
        <v>754</v>
      </c>
      <c r="B473" s="54" t="s">
        <v>755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2"/>
      <c r="R473" s="622"/>
      <c r="S473" s="622"/>
      <c r="T473" s="623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26"/>
      <c r="B474" s="627"/>
      <c r="C474" s="627"/>
      <c r="D474" s="627"/>
      <c r="E474" s="627"/>
      <c r="F474" s="627"/>
      <c r="G474" s="627"/>
      <c r="H474" s="627"/>
      <c r="I474" s="627"/>
      <c r="J474" s="627"/>
      <c r="K474" s="627"/>
      <c r="L474" s="627"/>
      <c r="M474" s="627"/>
      <c r="N474" s="627"/>
      <c r="O474" s="628"/>
      <c r="P474" s="630" t="s">
        <v>72</v>
      </c>
      <c r="Q474" s="631"/>
      <c r="R474" s="631"/>
      <c r="S474" s="631"/>
      <c r="T474" s="631"/>
      <c r="U474" s="631"/>
      <c r="V474" s="632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x14ac:dyDescent="0.2">
      <c r="A475" s="627"/>
      <c r="B475" s="627"/>
      <c r="C475" s="627"/>
      <c r="D475" s="627"/>
      <c r="E475" s="627"/>
      <c r="F475" s="627"/>
      <c r="G475" s="627"/>
      <c r="H475" s="627"/>
      <c r="I475" s="627"/>
      <c r="J475" s="627"/>
      <c r="K475" s="627"/>
      <c r="L475" s="627"/>
      <c r="M475" s="627"/>
      <c r="N475" s="627"/>
      <c r="O475" s="628"/>
      <c r="P475" s="630" t="s">
        <v>72</v>
      </c>
      <c r="Q475" s="631"/>
      <c r="R475" s="631"/>
      <c r="S475" s="631"/>
      <c r="T475" s="631"/>
      <c r="U475" s="631"/>
      <c r="V475" s="632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customHeight="1" x14ac:dyDescent="0.25">
      <c r="A476" s="629" t="s">
        <v>62</v>
      </c>
      <c r="B476" s="627"/>
      <c r="C476" s="627"/>
      <c r="D476" s="627"/>
      <c r="E476" s="627"/>
      <c r="F476" s="627"/>
      <c r="G476" s="627"/>
      <c r="H476" s="627"/>
      <c r="I476" s="627"/>
      <c r="J476" s="627"/>
      <c r="K476" s="627"/>
      <c r="L476" s="627"/>
      <c r="M476" s="627"/>
      <c r="N476" s="627"/>
      <c r="O476" s="627"/>
      <c r="P476" s="627"/>
      <c r="Q476" s="627"/>
      <c r="R476" s="627"/>
      <c r="S476" s="627"/>
      <c r="T476" s="627"/>
      <c r="U476" s="627"/>
      <c r="V476" s="627"/>
      <c r="W476" s="627"/>
      <c r="X476" s="627"/>
      <c r="Y476" s="627"/>
      <c r="Z476" s="627"/>
      <c r="AA476" s="611"/>
      <c r="AB476" s="611"/>
      <c r="AC476" s="611"/>
    </row>
    <row r="477" spans="1:68" ht="27" customHeight="1" x14ac:dyDescent="0.25">
      <c r="A477" s="54" t="s">
        <v>757</v>
      </c>
      <c r="B477" s="54" t="s">
        <v>758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2"/>
      <c r="R477" s="622"/>
      <c r="S477" s="622"/>
      <c r="T477" s="623"/>
      <c r="U477" s="34"/>
      <c r="V477" s="34"/>
      <c r="W477" s="35" t="s">
        <v>67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760</v>
      </c>
      <c r="B478" s="54" t="s">
        <v>761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2"/>
      <c r="R478" s="622"/>
      <c r="S478" s="622"/>
      <c r="T478" s="623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763</v>
      </c>
      <c r="B479" s="54" t="s">
        <v>764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2"/>
      <c r="R479" s="622"/>
      <c r="S479" s="622"/>
      <c r="T479" s="623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26"/>
      <c r="B480" s="627"/>
      <c r="C480" s="627"/>
      <c r="D480" s="627"/>
      <c r="E480" s="627"/>
      <c r="F480" s="627"/>
      <c r="G480" s="627"/>
      <c r="H480" s="627"/>
      <c r="I480" s="627"/>
      <c r="J480" s="627"/>
      <c r="K480" s="627"/>
      <c r="L480" s="627"/>
      <c r="M480" s="627"/>
      <c r="N480" s="627"/>
      <c r="O480" s="628"/>
      <c r="P480" s="630" t="s">
        <v>72</v>
      </c>
      <c r="Q480" s="631"/>
      <c r="R480" s="631"/>
      <c r="S480" s="631"/>
      <c r="T480" s="631"/>
      <c r="U480" s="631"/>
      <c r="V480" s="632"/>
      <c r="W480" s="37" t="s">
        <v>73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x14ac:dyDescent="0.2">
      <c r="A481" s="627"/>
      <c r="B481" s="627"/>
      <c r="C481" s="627"/>
      <c r="D481" s="627"/>
      <c r="E481" s="627"/>
      <c r="F481" s="627"/>
      <c r="G481" s="627"/>
      <c r="H481" s="627"/>
      <c r="I481" s="627"/>
      <c r="J481" s="627"/>
      <c r="K481" s="627"/>
      <c r="L481" s="627"/>
      <c r="M481" s="627"/>
      <c r="N481" s="627"/>
      <c r="O481" s="628"/>
      <c r="P481" s="630" t="s">
        <v>72</v>
      </c>
      <c r="Q481" s="631"/>
      <c r="R481" s="631"/>
      <c r="S481" s="631"/>
      <c r="T481" s="631"/>
      <c r="U481" s="631"/>
      <c r="V481" s="632"/>
      <c r="W481" s="37" t="s">
        <v>67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customHeight="1" x14ac:dyDescent="0.2">
      <c r="A482" s="778" t="s">
        <v>765</v>
      </c>
      <c r="B482" s="779"/>
      <c r="C482" s="779"/>
      <c r="D482" s="779"/>
      <c r="E482" s="779"/>
      <c r="F482" s="779"/>
      <c r="G482" s="779"/>
      <c r="H482" s="779"/>
      <c r="I482" s="779"/>
      <c r="J482" s="779"/>
      <c r="K482" s="779"/>
      <c r="L482" s="779"/>
      <c r="M482" s="779"/>
      <c r="N482" s="779"/>
      <c r="O482" s="779"/>
      <c r="P482" s="779"/>
      <c r="Q482" s="779"/>
      <c r="R482" s="779"/>
      <c r="S482" s="779"/>
      <c r="T482" s="779"/>
      <c r="U482" s="779"/>
      <c r="V482" s="779"/>
      <c r="W482" s="779"/>
      <c r="X482" s="779"/>
      <c r="Y482" s="779"/>
      <c r="Z482" s="779"/>
      <c r="AA482" s="48"/>
      <c r="AB482" s="48"/>
      <c r="AC482" s="48"/>
    </row>
    <row r="483" spans="1:68" ht="16.5" customHeight="1" x14ac:dyDescent="0.25">
      <c r="A483" s="638" t="s">
        <v>765</v>
      </c>
      <c r="B483" s="627"/>
      <c r="C483" s="627"/>
      <c r="D483" s="627"/>
      <c r="E483" s="627"/>
      <c r="F483" s="627"/>
      <c r="G483" s="627"/>
      <c r="H483" s="627"/>
      <c r="I483" s="627"/>
      <c r="J483" s="627"/>
      <c r="K483" s="627"/>
      <c r="L483" s="627"/>
      <c r="M483" s="627"/>
      <c r="N483" s="627"/>
      <c r="O483" s="627"/>
      <c r="P483" s="627"/>
      <c r="Q483" s="627"/>
      <c r="R483" s="627"/>
      <c r="S483" s="627"/>
      <c r="T483" s="627"/>
      <c r="U483" s="627"/>
      <c r="V483" s="627"/>
      <c r="W483" s="627"/>
      <c r="X483" s="627"/>
      <c r="Y483" s="627"/>
      <c r="Z483" s="627"/>
      <c r="AA483" s="610"/>
      <c r="AB483" s="610"/>
      <c r="AC483" s="610"/>
    </row>
    <row r="484" spans="1:68" ht="14.25" customHeight="1" x14ac:dyDescent="0.25">
      <c r="A484" s="629" t="s">
        <v>117</v>
      </c>
      <c r="B484" s="627"/>
      <c r="C484" s="627"/>
      <c r="D484" s="627"/>
      <c r="E484" s="627"/>
      <c r="F484" s="627"/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T484" s="627"/>
      <c r="U484" s="627"/>
      <c r="V484" s="627"/>
      <c r="W484" s="627"/>
      <c r="X484" s="627"/>
      <c r="Y484" s="627"/>
      <c r="Z484" s="627"/>
      <c r="AA484" s="611"/>
      <c r="AB484" s="611"/>
      <c r="AC484" s="611"/>
    </row>
    <row r="485" spans="1:68" ht="27" customHeight="1" x14ac:dyDescent="0.25">
      <c r="A485" s="54" t="s">
        <v>766</v>
      </c>
      <c r="B485" s="54" t="s">
        <v>767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2"/>
      <c r="R485" s="622"/>
      <c r="S485" s="622"/>
      <c r="T485" s="623"/>
      <c r="U485" s="34"/>
      <c r="V485" s="34"/>
      <c r="W485" s="35" t="s">
        <v>67</v>
      </c>
      <c r="X485" s="615">
        <v>0</v>
      </c>
      <c r="Y485" s="616">
        <f t="shared" ref="Y485:Y493" si="57">IFERROR(IF(X485="",0,CEILING((X485/$H485),1)*$H485),"")</f>
        <v>0</v>
      </c>
      <c r="Z485" s="36" t="str">
        <f t="shared" ref="Z485:Z490" si="58">IFERROR(IF(Y485=0,"",ROUNDUP(Y485/H485,0)*0.01196),"")</f>
        <v/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0</v>
      </c>
      <c r="BN485" s="64">
        <f t="shared" ref="BN485:BN493" si="60">IFERROR(Y485*I485/H485,"0")</f>
        <v>0</v>
      </c>
      <c r="BO485" s="64">
        <f t="shared" ref="BO485:BO493" si="61">IFERROR(1/J485*(X485/H485),"0")</f>
        <v>0</v>
      </c>
      <c r="BP485" s="64">
        <f t="shared" ref="BP485:BP493" si="62">IFERROR(1/J485*(Y485/H485),"0")</f>
        <v>0</v>
      </c>
    </row>
    <row r="486" spans="1:68" ht="16.5" customHeight="1" x14ac:dyDescent="0.25">
      <c r="A486" s="54" t="s">
        <v>768</v>
      </c>
      <c r="B486" s="54" t="s">
        <v>769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2"/>
      <c r="R486" s="622"/>
      <c r="S486" s="622"/>
      <c r="T486" s="623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customHeight="1" x14ac:dyDescent="0.25">
      <c r="A487" s="54" t="s">
        <v>771</v>
      </c>
      <c r="B487" s="54" t="s">
        <v>772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2"/>
      <c r="R487" s="622"/>
      <c r="S487" s="622"/>
      <c r="T487" s="623"/>
      <c r="U487" s="34"/>
      <c r="V487" s="34"/>
      <c r="W487" s="35" t="s">
        <v>67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customHeight="1" x14ac:dyDescent="0.25">
      <c r="A488" s="54" t="s">
        <v>774</v>
      </c>
      <c r="B488" s="54" t="s">
        <v>775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2"/>
      <c r="R488" s="622"/>
      <c r="S488" s="622"/>
      <c r="T488" s="623"/>
      <c r="U488" s="34"/>
      <c r="V488" s="34"/>
      <c r="W488" s="35" t="s">
        <v>67</v>
      </c>
      <c r="X488" s="615">
        <v>0</v>
      </c>
      <c r="Y488" s="616">
        <f t="shared" si="57"/>
        <v>0</v>
      </c>
      <c r="Z488" s="36" t="str">
        <f t="shared" si="58"/>
        <v/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0</v>
      </c>
      <c r="BN488" s="64">
        <f t="shared" si="60"/>
        <v>0</v>
      </c>
      <c r="BO488" s="64">
        <f t="shared" si="61"/>
        <v>0</v>
      </c>
      <c r="BP488" s="64">
        <f t="shared" si="62"/>
        <v>0</v>
      </c>
    </row>
    <row r="489" spans="1:68" ht="16.5" customHeight="1" x14ac:dyDescent="0.25">
      <c r="A489" s="54" t="s">
        <v>777</v>
      </c>
      <c r="B489" s="54" t="s">
        <v>778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8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2"/>
      <c r="R489" s="622"/>
      <c r="S489" s="622"/>
      <c r="T489" s="623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2"/>
      <c r="R490" s="622"/>
      <c r="S490" s="622"/>
      <c r="T490" s="623"/>
      <c r="U490" s="34"/>
      <c r="V490" s="34"/>
      <c r="W490" s="35" t="s">
        <v>67</v>
      </c>
      <c r="X490" s="615">
        <v>900</v>
      </c>
      <c r="Y490" s="616">
        <f t="shared" si="57"/>
        <v>902.88</v>
      </c>
      <c r="Z490" s="36">
        <f t="shared" si="58"/>
        <v>2.0451600000000001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959.65909090909088</v>
      </c>
      <c r="BN490" s="64">
        <f t="shared" si="60"/>
        <v>962.7299999999999</v>
      </c>
      <c r="BO490" s="64">
        <f t="shared" si="61"/>
        <v>1.638986013986014</v>
      </c>
      <c r="BP490" s="64">
        <f t="shared" si="62"/>
        <v>1.6442307692307694</v>
      </c>
    </row>
    <row r="491" spans="1:68" ht="27" customHeight="1" x14ac:dyDescent="0.25">
      <c r="A491" s="54" t="s">
        <v>783</v>
      </c>
      <c r="B491" s="54" t="s">
        <v>784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8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2"/>
      <c r="R491" s="622"/>
      <c r="S491" s="622"/>
      <c r="T491" s="623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2"/>
      <c r="R492" s="622"/>
      <c r="S492" s="622"/>
      <c r="T492" s="623"/>
      <c r="U492" s="34"/>
      <c r="V492" s="34"/>
      <c r="W492" s="35" t="s">
        <v>67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customHeight="1" x14ac:dyDescent="0.25">
      <c r="A493" s="54" t="s">
        <v>787</v>
      </c>
      <c r="B493" s="54" t="s">
        <v>788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2"/>
      <c r="R493" s="622"/>
      <c r="S493" s="622"/>
      <c r="T493" s="623"/>
      <c r="U493" s="34"/>
      <c r="V493" s="34"/>
      <c r="W493" s="35" t="s">
        <v>67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x14ac:dyDescent="0.2">
      <c r="A494" s="626"/>
      <c r="B494" s="627"/>
      <c r="C494" s="627"/>
      <c r="D494" s="627"/>
      <c r="E494" s="627"/>
      <c r="F494" s="627"/>
      <c r="G494" s="627"/>
      <c r="H494" s="627"/>
      <c r="I494" s="627"/>
      <c r="J494" s="627"/>
      <c r="K494" s="627"/>
      <c r="L494" s="627"/>
      <c r="M494" s="627"/>
      <c r="N494" s="627"/>
      <c r="O494" s="628"/>
      <c r="P494" s="630" t="s">
        <v>72</v>
      </c>
      <c r="Q494" s="631"/>
      <c r="R494" s="631"/>
      <c r="S494" s="631"/>
      <c r="T494" s="631"/>
      <c r="U494" s="631"/>
      <c r="V494" s="632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170.45454545454544</v>
      </c>
      <c r="Y494" s="617">
        <f>IFERROR(Y485/H485,"0")+IFERROR(Y486/H486,"0")+IFERROR(Y487/H487,"0")+IFERROR(Y488/H488,"0")+IFERROR(Y489/H489,"0")+IFERROR(Y490/H490,"0")+IFERROR(Y491/H491,"0")+IFERROR(Y492/H492,"0")+IFERROR(Y493/H493,"0")</f>
        <v>171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2.0451600000000001</v>
      </c>
      <c r="AA494" s="618"/>
      <c r="AB494" s="618"/>
      <c r="AC494" s="618"/>
    </row>
    <row r="495" spans="1:68" x14ac:dyDescent="0.2">
      <c r="A495" s="627"/>
      <c r="B495" s="627"/>
      <c r="C495" s="627"/>
      <c r="D495" s="627"/>
      <c r="E495" s="627"/>
      <c r="F495" s="627"/>
      <c r="G495" s="627"/>
      <c r="H495" s="627"/>
      <c r="I495" s="627"/>
      <c r="J495" s="627"/>
      <c r="K495" s="627"/>
      <c r="L495" s="627"/>
      <c r="M495" s="627"/>
      <c r="N495" s="627"/>
      <c r="O495" s="628"/>
      <c r="P495" s="630" t="s">
        <v>72</v>
      </c>
      <c r="Q495" s="631"/>
      <c r="R495" s="631"/>
      <c r="S495" s="631"/>
      <c r="T495" s="631"/>
      <c r="U495" s="631"/>
      <c r="V495" s="632"/>
      <c r="W495" s="37" t="s">
        <v>67</v>
      </c>
      <c r="X495" s="617">
        <f>IFERROR(SUM(X485:X493),"0")</f>
        <v>900</v>
      </c>
      <c r="Y495" s="617">
        <f>IFERROR(SUM(Y485:Y493),"0")</f>
        <v>902.88</v>
      </c>
      <c r="Z495" s="37"/>
      <c r="AA495" s="618"/>
      <c r="AB495" s="618"/>
      <c r="AC495" s="618"/>
    </row>
    <row r="496" spans="1:68" ht="14.25" customHeight="1" x14ac:dyDescent="0.25">
      <c r="A496" s="629" t="s">
        <v>153</v>
      </c>
      <c r="B496" s="627"/>
      <c r="C496" s="627"/>
      <c r="D496" s="627"/>
      <c r="E496" s="627"/>
      <c r="F496" s="627"/>
      <c r="G496" s="627"/>
      <c r="H496" s="627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S496" s="627"/>
      <c r="T496" s="627"/>
      <c r="U496" s="627"/>
      <c r="V496" s="627"/>
      <c r="W496" s="627"/>
      <c r="X496" s="627"/>
      <c r="Y496" s="627"/>
      <c r="Z496" s="627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2"/>
      <c r="R497" s="622"/>
      <c r="S497" s="622"/>
      <c r="T497" s="623"/>
      <c r="U497" s="34"/>
      <c r="V497" s="34"/>
      <c r="W497" s="35" t="s">
        <v>67</v>
      </c>
      <c r="X497" s="615">
        <v>500</v>
      </c>
      <c r="Y497" s="616">
        <f>IFERROR(IF(X497="",0,CEILING((X497/$H497),1)*$H497),"")</f>
        <v>501.6</v>
      </c>
      <c r="Z497" s="36">
        <f>IFERROR(IF(Y497=0,"",ROUNDUP(Y497/H497,0)*0.01196),"")</f>
        <v>1.1362000000000001</v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533.14393939393938</v>
      </c>
      <c r="BN497" s="64">
        <f>IFERROR(Y497*I497/H497,"0")</f>
        <v>534.85</v>
      </c>
      <c r="BO497" s="64">
        <f>IFERROR(1/J497*(X497/H497),"0")</f>
        <v>0.91054778554778548</v>
      </c>
      <c r="BP497" s="64">
        <f>IFERROR(1/J497*(Y497/H497),"0")</f>
        <v>0.91346153846153855</v>
      </c>
    </row>
    <row r="498" spans="1:68" ht="16.5" customHeight="1" x14ac:dyDescent="0.25">
      <c r="A498" s="54" t="s">
        <v>792</v>
      </c>
      <c r="B498" s="54" t="s">
        <v>793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2"/>
      <c r="R498" s="622"/>
      <c r="S498" s="622"/>
      <c r="T498" s="623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794</v>
      </c>
      <c r="B499" s="54" t="s">
        <v>795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5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x14ac:dyDescent="0.2">
      <c r="A500" s="626"/>
      <c r="B500" s="627"/>
      <c r="C500" s="627"/>
      <c r="D500" s="627"/>
      <c r="E500" s="627"/>
      <c r="F500" s="627"/>
      <c r="G500" s="627"/>
      <c r="H500" s="627"/>
      <c r="I500" s="627"/>
      <c r="J500" s="627"/>
      <c r="K500" s="627"/>
      <c r="L500" s="627"/>
      <c r="M500" s="627"/>
      <c r="N500" s="627"/>
      <c r="O500" s="628"/>
      <c r="P500" s="630" t="s">
        <v>72</v>
      </c>
      <c r="Q500" s="631"/>
      <c r="R500" s="631"/>
      <c r="S500" s="631"/>
      <c r="T500" s="631"/>
      <c r="U500" s="631"/>
      <c r="V500" s="632"/>
      <c r="W500" s="37" t="s">
        <v>73</v>
      </c>
      <c r="X500" s="617">
        <f>IFERROR(X497/H497,"0")+IFERROR(X498/H498,"0")+IFERROR(X499/H499,"0")</f>
        <v>94.696969696969688</v>
      </c>
      <c r="Y500" s="617">
        <f>IFERROR(Y497/H497,"0")+IFERROR(Y498/H498,"0")+IFERROR(Y499/H499,"0")</f>
        <v>95</v>
      </c>
      <c r="Z500" s="617">
        <f>IFERROR(IF(Z497="",0,Z497),"0")+IFERROR(IF(Z498="",0,Z498),"0")+IFERROR(IF(Z499="",0,Z499),"0")</f>
        <v>1.1362000000000001</v>
      </c>
      <c r="AA500" s="618"/>
      <c r="AB500" s="618"/>
      <c r="AC500" s="618"/>
    </row>
    <row r="501" spans="1:68" x14ac:dyDescent="0.2">
      <c r="A501" s="627"/>
      <c r="B501" s="627"/>
      <c r="C501" s="627"/>
      <c r="D501" s="627"/>
      <c r="E501" s="627"/>
      <c r="F501" s="627"/>
      <c r="G501" s="627"/>
      <c r="H501" s="627"/>
      <c r="I501" s="627"/>
      <c r="J501" s="627"/>
      <c r="K501" s="627"/>
      <c r="L501" s="627"/>
      <c r="M501" s="627"/>
      <c r="N501" s="627"/>
      <c r="O501" s="628"/>
      <c r="P501" s="630" t="s">
        <v>72</v>
      </c>
      <c r="Q501" s="631"/>
      <c r="R501" s="631"/>
      <c r="S501" s="631"/>
      <c r="T501" s="631"/>
      <c r="U501" s="631"/>
      <c r="V501" s="632"/>
      <c r="W501" s="37" t="s">
        <v>67</v>
      </c>
      <c r="X501" s="617">
        <f>IFERROR(SUM(X497:X499),"0")</f>
        <v>500</v>
      </c>
      <c r="Y501" s="617">
        <f>IFERROR(SUM(Y497:Y499),"0")</f>
        <v>501.6</v>
      </c>
      <c r="Z501" s="37"/>
      <c r="AA501" s="618"/>
      <c r="AB501" s="618"/>
      <c r="AC501" s="618"/>
    </row>
    <row r="502" spans="1:68" ht="14.25" customHeight="1" x14ac:dyDescent="0.25">
      <c r="A502" s="629" t="s">
        <v>62</v>
      </c>
      <c r="B502" s="627"/>
      <c r="C502" s="627"/>
      <c r="D502" s="627"/>
      <c r="E502" s="627"/>
      <c r="F502" s="627"/>
      <c r="G502" s="627"/>
      <c r="H502" s="627"/>
      <c r="I502" s="627"/>
      <c r="J502" s="627"/>
      <c r="K502" s="627"/>
      <c r="L502" s="627"/>
      <c r="M502" s="627"/>
      <c r="N502" s="627"/>
      <c r="O502" s="627"/>
      <c r="P502" s="627"/>
      <c r="Q502" s="627"/>
      <c r="R502" s="627"/>
      <c r="S502" s="627"/>
      <c r="T502" s="627"/>
      <c r="U502" s="627"/>
      <c r="V502" s="627"/>
      <c r="W502" s="627"/>
      <c r="X502" s="627"/>
      <c r="Y502" s="627"/>
      <c r="Z502" s="627"/>
      <c r="AA502" s="611"/>
      <c r="AB502" s="611"/>
      <c r="AC502" s="611"/>
    </row>
    <row r="503" spans="1:68" ht="27" customHeight="1" x14ac:dyDescent="0.25">
      <c r="A503" s="54" t="s">
        <v>796</v>
      </c>
      <c r="B503" s="54" t="s">
        <v>797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2"/>
      <c r="R503" s="622"/>
      <c r="S503" s="622"/>
      <c r="T503" s="623"/>
      <c r="U503" s="34"/>
      <c r="V503" s="34"/>
      <c r="W503" s="35" t="s">
        <v>67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2"/>
      <c r="R504" s="622"/>
      <c r="S504" s="622"/>
      <c r="T504" s="623"/>
      <c r="U504" s="34"/>
      <c r="V504" s="34"/>
      <c r="W504" s="35" t="s">
        <v>67</v>
      </c>
      <c r="X504" s="615">
        <v>400</v>
      </c>
      <c r="Y504" s="616">
        <f t="shared" si="63"/>
        <v>401.28000000000003</v>
      </c>
      <c r="Z504" s="36">
        <f>IFERROR(IF(Y504=0,"",ROUNDUP(Y504/H504,0)*0.01196),"")</f>
        <v>0.90895999999999999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426.5151515151515</v>
      </c>
      <c r="BN504" s="64">
        <f t="shared" si="65"/>
        <v>427.88</v>
      </c>
      <c r="BO504" s="64">
        <f t="shared" si="66"/>
        <v>0.72843822843822836</v>
      </c>
      <c r="BP504" s="64">
        <f t="shared" si="67"/>
        <v>0.73076923076923084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5">
        <v>400</v>
      </c>
      <c r="Y505" s="616">
        <f t="shared" si="63"/>
        <v>401.28000000000003</v>
      </c>
      <c r="Z505" s="36">
        <f>IFERROR(IF(Y505=0,"",ROUNDUP(Y505/H505,0)*0.01196),"")</f>
        <v>0.90895999999999999</v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426.5151515151515</v>
      </c>
      <c r="BN505" s="64">
        <f t="shared" si="65"/>
        <v>427.88</v>
      </c>
      <c r="BO505" s="64">
        <f t="shared" si="66"/>
        <v>0.72843822843822836</v>
      </c>
      <c r="BP505" s="64">
        <f t="shared" si="67"/>
        <v>0.73076923076923084</v>
      </c>
    </row>
    <row r="506" spans="1:68" ht="27" customHeight="1" x14ac:dyDescent="0.25">
      <c r="A506" s="54" t="s">
        <v>805</v>
      </c>
      <c r="B506" s="54" t="s">
        <v>806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8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2"/>
      <c r="R506" s="622"/>
      <c r="S506" s="622"/>
      <c r="T506" s="623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customHeight="1" x14ac:dyDescent="0.25">
      <c r="A507" s="54" t="s">
        <v>807</v>
      </c>
      <c r="B507" s="54" t="s">
        <v>808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2"/>
      <c r="R507" s="622"/>
      <c r="S507" s="622"/>
      <c r="T507" s="623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customHeight="1" x14ac:dyDescent="0.25">
      <c r="A508" s="54" t="s">
        <v>807</v>
      </c>
      <c r="B508" s="54" t="s">
        <v>809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2"/>
      <c r="R508" s="622"/>
      <c r="S508" s="622"/>
      <c r="T508" s="623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customHeight="1" x14ac:dyDescent="0.25">
      <c r="A509" s="54" t="s">
        <v>810</v>
      </c>
      <c r="B509" s="54" t="s">
        <v>811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2"/>
      <c r="R509" s="622"/>
      <c r="S509" s="622"/>
      <c r="T509" s="623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26"/>
      <c r="B510" s="627"/>
      <c r="C510" s="627"/>
      <c r="D510" s="627"/>
      <c r="E510" s="627"/>
      <c r="F510" s="627"/>
      <c r="G510" s="627"/>
      <c r="H510" s="627"/>
      <c r="I510" s="627"/>
      <c r="J510" s="627"/>
      <c r="K510" s="627"/>
      <c r="L510" s="627"/>
      <c r="M510" s="627"/>
      <c r="N510" s="627"/>
      <c r="O510" s="628"/>
      <c r="P510" s="630" t="s">
        <v>72</v>
      </c>
      <c r="Q510" s="631"/>
      <c r="R510" s="631"/>
      <c r="S510" s="631"/>
      <c r="T510" s="631"/>
      <c r="U510" s="631"/>
      <c r="V510" s="632"/>
      <c r="W510" s="37" t="s">
        <v>73</v>
      </c>
      <c r="X510" s="617">
        <f>IFERROR(X503/H503,"0")+IFERROR(X504/H504,"0")+IFERROR(X505/H505,"0")+IFERROR(X506/H506,"0")+IFERROR(X507/H507,"0")+IFERROR(X508/H508,"0")+IFERROR(X509/H509,"0")</f>
        <v>151.5151515151515</v>
      </c>
      <c r="Y510" s="617">
        <f>IFERROR(Y503/H503,"0")+IFERROR(Y504/H504,"0")+IFERROR(Y505/H505,"0")+IFERROR(Y506/H506,"0")+IFERROR(Y507/H507,"0")+IFERROR(Y508/H508,"0")+IFERROR(Y509/H509,"0")</f>
        <v>152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1.81792</v>
      </c>
      <c r="AA510" s="618"/>
      <c r="AB510" s="618"/>
      <c r="AC510" s="618"/>
    </row>
    <row r="511" spans="1:68" x14ac:dyDescent="0.2">
      <c r="A511" s="627"/>
      <c r="B511" s="627"/>
      <c r="C511" s="627"/>
      <c r="D511" s="627"/>
      <c r="E511" s="627"/>
      <c r="F511" s="627"/>
      <c r="G511" s="627"/>
      <c r="H511" s="627"/>
      <c r="I511" s="627"/>
      <c r="J511" s="627"/>
      <c r="K511" s="627"/>
      <c r="L511" s="627"/>
      <c r="M511" s="627"/>
      <c r="N511" s="627"/>
      <c r="O511" s="628"/>
      <c r="P511" s="630" t="s">
        <v>72</v>
      </c>
      <c r="Q511" s="631"/>
      <c r="R511" s="631"/>
      <c r="S511" s="631"/>
      <c r="T511" s="631"/>
      <c r="U511" s="631"/>
      <c r="V511" s="632"/>
      <c r="W511" s="37" t="s">
        <v>67</v>
      </c>
      <c r="X511" s="617">
        <f>IFERROR(SUM(X503:X509),"0")</f>
        <v>800</v>
      </c>
      <c r="Y511" s="617">
        <f>IFERROR(SUM(Y503:Y509),"0")</f>
        <v>802.56000000000006</v>
      </c>
      <c r="Z511" s="37"/>
      <c r="AA511" s="618"/>
      <c r="AB511" s="618"/>
      <c r="AC511" s="618"/>
    </row>
    <row r="512" spans="1:68" ht="27.75" customHeight="1" x14ac:dyDescent="0.2">
      <c r="A512" s="778" t="s">
        <v>812</v>
      </c>
      <c r="B512" s="779"/>
      <c r="C512" s="779"/>
      <c r="D512" s="779"/>
      <c r="E512" s="779"/>
      <c r="F512" s="779"/>
      <c r="G512" s="779"/>
      <c r="H512" s="779"/>
      <c r="I512" s="779"/>
      <c r="J512" s="779"/>
      <c r="K512" s="779"/>
      <c r="L512" s="779"/>
      <c r="M512" s="779"/>
      <c r="N512" s="779"/>
      <c r="O512" s="779"/>
      <c r="P512" s="779"/>
      <c r="Q512" s="779"/>
      <c r="R512" s="779"/>
      <c r="S512" s="779"/>
      <c r="T512" s="779"/>
      <c r="U512" s="779"/>
      <c r="V512" s="779"/>
      <c r="W512" s="779"/>
      <c r="X512" s="779"/>
      <c r="Y512" s="779"/>
      <c r="Z512" s="779"/>
      <c r="AA512" s="48"/>
      <c r="AB512" s="48"/>
      <c r="AC512" s="48"/>
    </row>
    <row r="513" spans="1:68" ht="16.5" customHeight="1" x14ac:dyDescent="0.25">
      <c r="A513" s="638" t="s">
        <v>812</v>
      </c>
      <c r="B513" s="627"/>
      <c r="C513" s="627"/>
      <c r="D513" s="627"/>
      <c r="E513" s="627"/>
      <c r="F513" s="627"/>
      <c r="G513" s="627"/>
      <c r="H513" s="627"/>
      <c r="I513" s="627"/>
      <c r="J513" s="627"/>
      <c r="K513" s="627"/>
      <c r="L513" s="627"/>
      <c r="M513" s="627"/>
      <c r="N513" s="627"/>
      <c r="O513" s="627"/>
      <c r="P513" s="627"/>
      <c r="Q513" s="627"/>
      <c r="R513" s="627"/>
      <c r="S513" s="627"/>
      <c r="T513" s="627"/>
      <c r="U513" s="627"/>
      <c r="V513" s="627"/>
      <c r="W513" s="627"/>
      <c r="X513" s="627"/>
      <c r="Y513" s="627"/>
      <c r="Z513" s="627"/>
      <c r="AA513" s="610"/>
      <c r="AB513" s="610"/>
      <c r="AC513" s="610"/>
    </row>
    <row r="514" spans="1:68" ht="14.25" customHeight="1" x14ac:dyDescent="0.25">
      <c r="A514" s="629" t="s">
        <v>117</v>
      </c>
      <c r="B514" s="627"/>
      <c r="C514" s="627"/>
      <c r="D514" s="627"/>
      <c r="E514" s="627"/>
      <c r="F514" s="627"/>
      <c r="G514" s="627"/>
      <c r="H514" s="627"/>
      <c r="I514" s="627"/>
      <c r="J514" s="627"/>
      <c r="K514" s="627"/>
      <c r="L514" s="627"/>
      <c r="M514" s="627"/>
      <c r="N514" s="627"/>
      <c r="O514" s="627"/>
      <c r="P514" s="627"/>
      <c r="Q514" s="627"/>
      <c r="R514" s="627"/>
      <c r="S514" s="627"/>
      <c r="T514" s="627"/>
      <c r="U514" s="627"/>
      <c r="V514" s="627"/>
      <c r="W514" s="627"/>
      <c r="X514" s="627"/>
      <c r="Y514" s="627"/>
      <c r="Z514" s="627"/>
      <c r="AA514" s="611"/>
      <c r="AB514" s="611"/>
      <c r="AC514" s="611"/>
    </row>
    <row r="515" spans="1:68" ht="27" customHeight="1" x14ac:dyDescent="0.25">
      <c r="A515" s="54" t="s">
        <v>813</v>
      </c>
      <c r="B515" s="54" t="s">
        <v>814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2"/>
      <c r="R515" s="622"/>
      <c r="S515" s="622"/>
      <c r="T515" s="623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x14ac:dyDescent="0.2">
      <c r="A516" s="626"/>
      <c r="B516" s="627"/>
      <c r="C516" s="627"/>
      <c r="D516" s="627"/>
      <c r="E516" s="627"/>
      <c r="F516" s="627"/>
      <c r="G516" s="627"/>
      <c r="H516" s="627"/>
      <c r="I516" s="627"/>
      <c r="J516" s="627"/>
      <c r="K516" s="627"/>
      <c r="L516" s="627"/>
      <c r="M516" s="627"/>
      <c r="N516" s="627"/>
      <c r="O516" s="628"/>
      <c r="P516" s="630" t="s">
        <v>72</v>
      </c>
      <c r="Q516" s="631"/>
      <c r="R516" s="631"/>
      <c r="S516" s="631"/>
      <c r="T516" s="631"/>
      <c r="U516" s="631"/>
      <c r="V516" s="632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x14ac:dyDescent="0.2">
      <c r="A517" s="627"/>
      <c r="B517" s="627"/>
      <c r="C517" s="627"/>
      <c r="D517" s="627"/>
      <c r="E517" s="627"/>
      <c r="F517" s="627"/>
      <c r="G517" s="627"/>
      <c r="H517" s="627"/>
      <c r="I517" s="627"/>
      <c r="J517" s="627"/>
      <c r="K517" s="627"/>
      <c r="L517" s="627"/>
      <c r="M517" s="627"/>
      <c r="N517" s="627"/>
      <c r="O517" s="628"/>
      <c r="P517" s="630" t="s">
        <v>72</v>
      </c>
      <c r="Q517" s="631"/>
      <c r="R517" s="631"/>
      <c r="S517" s="631"/>
      <c r="T517" s="631"/>
      <c r="U517" s="631"/>
      <c r="V517" s="632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customHeight="1" x14ac:dyDescent="0.25">
      <c r="A518" s="629" t="s">
        <v>153</v>
      </c>
      <c r="B518" s="627"/>
      <c r="C518" s="627"/>
      <c r="D518" s="627"/>
      <c r="E518" s="627"/>
      <c r="F518" s="627"/>
      <c r="G518" s="627"/>
      <c r="H518" s="627"/>
      <c r="I518" s="627"/>
      <c r="J518" s="627"/>
      <c r="K518" s="627"/>
      <c r="L518" s="627"/>
      <c r="M518" s="627"/>
      <c r="N518" s="627"/>
      <c r="O518" s="627"/>
      <c r="P518" s="627"/>
      <c r="Q518" s="627"/>
      <c r="R518" s="627"/>
      <c r="S518" s="627"/>
      <c r="T518" s="627"/>
      <c r="U518" s="627"/>
      <c r="V518" s="627"/>
      <c r="W518" s="627"/>
      <c r="X518" s="627"/>
      <c r="Y518" s="627"/>
      <c r="Z518" s="627"/>
      <c r="AA518" s="611"/>
      <c r="AB518" s="611"/>
      <c r="AC518" s="611"/>
    </row>
    <row r="519" spans="1:68" ht="27" customHeight="1" x14ac:dyDescent="0.25">
      <c r="A519" s="54" t="s">
        <v>816</v>
      </c>
      <c r="B519" s="54" t="s">
        <v>817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2"/>
      <c r="R519" s="622"/>
      <c r="S519" s="622"/>
      <c r="T519" s="623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26"/>
      <c r="B520" s="627"/>
      <c r="C520" s="627"/>
      <c r="D520" s="627"/>
      <c r="E520" s="627"/>
      <c r="F520" s="627"/>
      <c r="G520" s="627"/>
      <c r="H520" s="627"/>
      <c r="I520" s="627"/>
      <c r="J520" s="627"/>
      <c r="K520" s="627"/>
      <c r="L520" s="627"/>
      <c r="M520" s="627"/>
      <c r="N520" s="627"/>
      <c r="O520" s="628"/>
      <c r="P520" s="630" t="s">
        <v>72</v>
      </c>
      <c r="Q520" s="631"/>
      <c r="R520" s="631"/>
      <c r="S520" s="631"/>
      <c r="T520" s="631"/>
      <c r="U520" s="631"/>
      <c r="V520" s="632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x14ac:dyDescent="0.2">
      <c r="A521" s="627"/>
      <c r="B521" s="627"/>
      <c r="C521" s="627"/>
      <c r="D521" s="627"/>
      <c r="E521" s="627"/>
      <c r="F521" s="627"/>
      <c r="G521" s="627"/>
      <c r="H521" s="627"/>
      <c r="I521" s="627"/>
      <c r="J521" s="627"/>
      <c r="K521" s="627"/>
      <c r="L521" s="627"/>
      <c r="M521" s="627"/>
      <c r="N521" s="627"/>
      <c r="O521" s="628"/>
      <c r="P521" s="630" t="s">
        <v>72</v>
      </c>
      <c r="Q521" s="631"/>
      <c r="R521" s="631"/>
      <c r="S521" s="631"/>
      <c r="T521" s="631"/>
      <c r="U521" s="631"/>
      <c r="V521" s="632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customHeight="1" x14ac:dyDescent="0.25">
      <c r="A522" s="629" t="s">
        <v>62</v>
      </c>
      <c r="B522" s="627"/>
      <c r="C522" s="627"/>
      <c r="D522" s="627"/>
      <c r="E522" s="627"/>
      <c r="F522" s="627"/>
      <c r="G522" s="627"/>
      <c r="H522" s="627"/>
      <c r="I522" s="627"/>
      <c r="J522" s="627"/>
      <c r="K522" s="627"/>
      <c r="L522" s="627"/>
      <c r="M522" s="627"/>
      <c r="N522" s="627"/>
      <c r="O522" s="627"/>
      <c r="P522" s="627"/>
      <c r="Q522" s="627"/>
      <c r="R522" s="627"/>
      <c r="S522" s="627"/>
      <c r="T522" s="627"/>
      <c r="U522" s="627"/>
      <c r="V522" s="627"/>
      <c r="W522" s="627"/>
      <c r="X522" s="627"/>
      <c r="Y522" s="627"/>
      <c r="Z522" s="627"/>
      <c r="AA522" s="611"/>
      <c r="AB522" s="611"/>
      <c r="AC522" s="611"/>
    </row>
    <row r="523" spans="1:68" ht="27" customHeight="1" x14ac:dyDescent="0.25">
      <c r="A523" s="54" t="s">
        <v>819</v>
      </c>
      <c r="B523" s="54" t="s">
        <v>820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2"/>
      <c r="R523" s="622"/>
      <c r="S523" s="622"/>
      <c r="T523" s="623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customHeight="1" x14ac:dyDescent="0.25">
      <c r="A524" s="54" t="s">
        <v>819</v>
      </c>
      <c r="B524" s="54" t="s">
        <v>822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2"/>
      <c r="R524" s="622"/>
      <c r="S524" s="622"/>
      <c r="T524" s="623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26"/>
      <c r="B525" s="627"/>
      <c r="C525" s="627"/>
      <c r="D525" s="627"/>
      <c r="E525" s="627"/>
      <c r="F525" s="627"/>
      <c r="G525" s="627"/>
      <c r="H525" s="627"/>
      <c r="I525" s="627"/>
      <c r="J525" s="627"/>
      <c r="K525" s="627"/>
      <c r="L525" s="627"/>
      <c r="M525" s="627"/>
      <c r="N525" s="627"/>
      <c r="O525" s="628"/>
      <c r="P525" s="630" t="s">
        <v>72</v>
      </c>
      <c r="Q525" s="631"/>
      <c r="R525" s="631"/>
      <c r="S525" s="631"/>
      <c r="T525" s="631"/>
      <c r="U525" s="631"/>
      <c r="V525" s="632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x14ac:dyDescent="0.2">
      <c r="A526" s="627"/>
      <c r="B526" s="627"/>
      <c r="C526" s="627"/>
      <c r="D526" s="627"/>
      <c r="E526" s="627"/>
      <c r="F526" s="627"/>
      <c r="G526" s="627"/>
      <c r="H526" s="627"/>
      <c r="I526" s="627"/>
      <c r="J526" s="627"/>
      <c r="K526" s="627"/>
      <c r="L526" s="627"/>
      <c r="M526" s="627"/>
      <c r="N526" s="627"/>
      <c r="O526" s="628"/>
      <c r="P526" s="630" t="s">
        <v>72</v>
      </c>
      <c r="Q526" s="631"/>
      <c r="R526" s="631"/>
      <c r="S526" s="631"/>
      <c r="T526" s="631"/>
      <c r="U526" s="631"/>
      <c r="V526" s="632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customHeight="1" x14ac:dyDescent="0.25">
      <c r="A527" s="629" t="s">
        <v>74</v>
      </c>
      <c r="B527" s="627"/>
      <c r="C527" s="627"/>
      <c r="D527" s="627"/>
      <c r="E527" s="627"/>
      <c r="F527" s="627"/>
      <c r="G527" s="627"/>
      <c r="H527" s="627"/>
      <c r="I527" s="627"/>
      <c r="J527" s="627"/>
      <c r="K527" s="627"/>
      <c r="L527" s="627"/>
      <c r="M527" s="627"/>
      <c r="N527" s="627"/>
      <c r="O527" s="627"/>
      <c r="P527" s="627"/>
      <c r="Q527" s="627"/>
      <c r="R527" s="627"/>
      <c r="S527" s="627"/>
      <c r="T527" s="627"/>
      <c r="U527" s="627"/>
      <c r="V527" s="627"/>
      <c r="W527" s="627"/>
      <c r="X527" s="627"/>
      <c r="Y527" s="627"/>
      <c r="Z527" s="627"/>
      <c r="AA527" s="611"/>
      <c r="AB527" s="611"/>
      <c r="AC527" s="611"/>
    </row>
    <row r="528" spans="1:68" ht="27" customHeight="1" x14ac:dyDescent="0.25">
      <c r="A528" s="54" t="s">
        <v>824</v>
      </c>
      <c r="B528" s="54" t="s">
        <v>825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2"/>
      <c r="R528" s="622"/>
      <c r="S528" s="622"/>
      <c r="T528" s="623"/>
      <c r="U528" s="34"/>
      <c r="V528" s="34"/>
      <c r="W528" s="35" t="s">
        <v>67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26"/>
      <c r="B529" s="627"/>
      <c r="C529" s="627"/>
      <c r="D529" s="627"/>
      <c r="E529" s="627"/>
      <c r="F529" s="627"/>
      <c r="G529" s="627"/>
      <c r="H529" s="627"/>
      <c r="I529" s="627"/>
      <c r="J529" s="627"/>
      <c r="K529" s="627"/>
      <c r="L529" s="627"/>
      <c r="M529" s="627"/>
      <c r="N529" s="627"/>
      <c r="O529" s="628"/>
      <c r="P529" s="630" t="s">
        <v>72</v>
      </c>
      <c r="Q529" s="631"/>
      <c r="R529" s="631"/>
      <c r="S529" s="631"/>
      <c r="T529" s="631"/>
      <c r="U529" s="631"/>
      <c r="V529" s="632"/>
      <c r="W529" s="37" t="s">
        <v>73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x14ac:dyDescent="0.2">
      <c r="A530" s="627"/>
      <c r="B530" s="627"/>
      <c r="C530" s="627"/>
      <c r="D530" s="627"/>
      <c r="E530" s="627"/>
      <c r="F530" s="627"/>
      <c r="G530" s="627"/>
      <c r="H530" s="627"/>
      <c r="I530" s="627"/>
      <c r="J530" s="627"/>
      <c r="K530" s="627"/>
      <c r="L530" s="627"/>
      <c r="M530" s="627"/>
      <c r="N530" s="627"/>
      <c r="O530" s="628"/>
      <c r="P530" s="630" t="s">
        <v>72</v>
      </c>
      <c r="Q530" s="631"/>
      <c r="R530" s="631"/>
      <c r="S530" s="631"/>
      <c r="T530" s="631"/>
      <c r="U530" s="631"/>
      <c r="V530" s="632"/>
      <c r="W530" s="37" t="s">
        <v>67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customHeight="1" x14ac:dyDescent="0.25">
      <c r="A531" s="629" t="s">
        <v>170</v>
      </c>
      <c r="B531" s="627"/>
      <c r="C531" s="627"/>
      <c r="D531" s="627"/>
      <c r="E531" s="627"/>
      <c r="F531" s="627"/>
      <c r="G531" s="627"/>
      <c r="H531" s="627"/>
      <c r="I531" s="627"/>
      <c r="J531" s="627"/>
      <c r="K531" s="627"/>
      <c r="L531" s="627"/>
      <c r="M531" s="627"/>
      <c r="N531" s="627"/>
      <c r="O531" s="627"/>
      <c r="P531" s="627"/>
      <c r="Q531" s="627"/>
      <c r="R531" s="627"/>
      <c r="S531" s="627"/>
      <c r="T531" s="627"/>
      <c r="U531" s="627"/>
      <c r="V531" s="627"/>
      <c r="W531" s="627"/>
      <c r="X531" s="627"/>
      <c r="Y531" s="627"/>
      <c r="Z531" s="627"/>
      <c r="AA531" s="611"/>
      <c r="AB531" s="611"/>
      <c r="AC531" s="611"/>
    </row>
    <row r="532" spans="1:68" ht="27" customHeight="1" x14ac:dyDescent="0.25">
      <c r="A532" s="54" t="s">
        <v>827</v>
      </c>
      <c r="B532" s="54" t="s">
        <v>828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2"/>
      <c r="R532" s="622"/>
      <c r="S532" s="622"/>
      <c r="T532" s="623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customHeight="1" x14ac:dyDescent="0.25">
      <c r="A533" s="54" t="s">
        <v>830</v>
      </c>
      <c r="B533" s="54" t="s">
        <v>831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26"/>
      <c r="B534" s="627"/>
      <c r="C534" s="627"/>
      <c r="D534" s="627"/>
      <c r="E534" s="627"/>
      <c r="F534" s="627"/>
      <c r="G534" s="627"/>
      <c r="H534" s="627"/>
      <c r="I534" s="627"/>
      <c r="J534" s="627"/>
      <c r="K534" s="627"/>
      <c r="L534" s="627"/>
      <c r="M534" s="627"/>
      <c r="N534" s="627"/>
      <c r="O534" s="628"/>
      <c r="P534" s="630" t="s">
        <v>72</v>
      </c>
      <c r="Q534" s="631"/>
      <c r="R534" s="631"/>
      <c r="S534" s="631"/>
      <c r="T534" s="631"/>
      <c r="U534" s="631"/>
      <c r="V534" s="632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x14ac:dyDescent="0.2">
      <c r="A535" s="627"/>
      <c r="B535" s="627"/>
      <c r="C535" s="627"/>
      <c r="D535" s="627"/>
      <c r="E535" s="627"/>
      <c r="F535" s="627"/>
      <c r="G535" s="627"/>
      <c r="H535" s="627"/>
      <c r="I535" s="627"/>
      <c r="J535" s="627"/>
      <c r="K535" s="627"/>
      <c r="L535" s="627"/>
      <c r="M535" s="627"/>
      <c r="N535" s="627"/>
      <c r="O535" s="628"/>
      <c r="P535" s="630" t="s">
        <v>72</v>
      </c>
      <c r="Q535" s="631"/>
      <c r="R535" s="631"/>
      <c r="S535" s="631"/>
      <c r="T535" s="631"/>
      <c r="U535" s="631"/>
      <c r="V535" s="632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customHeight="1" x14ac:dyDescent="0.25">
      <c r="A536" s="638" t="s">
        <v>833</v>
      </c>
      <c r="B536" s="627"/>
      <c r="C536" s="627"/>
      <c r="D536" s="627"/>
      <c r="E536" s="627"/>
      <c r="F536" s="627"/>
      <c r="G536" s="627"/>
      <c r="H536" s="627"/>
      <c r="I536" s="627"/>
      <c r="J536" s="627"/>
      <c r="K536" s="627"/>
      <c r="L536" s="627"/>
      <c r="M536" s="627"/>
      <c r="N536" s="627"/>
      <c r="O536" s="627"/>
      <c r="P536" s="627"/>
      <c r="Q536" s="627"/>
      <c r="R536" s="627"/>
      <c r="S536" s="627"/>
      <c r="T536" s="627"/>
      <c r="U536" s="627"/>
      <c r="V536" s="627"/>
      <c r="W536" s="627"/>
      <c r="X536" s="627"/>
      <c r="Y536" s="627"/>
      <c r="Z536" s="627"/>
      <c r="AA536" s="610"/>
      <c r="AB536" s="610"/>
      <c r="AC536" s="610"/>
    </row>
    <row r="537" spans="1:68" ht="14.25" customHeight="1" x14ac:dyDescent="0.25">
      <c r="A537" s="629" t="s">
        <v>153</v>
      </c>
      <c r="B537" s="627"/>
      <c r="C537" s="627"/>
      <c r="D537" s="627"/>
      <c r="E537" s="627"/>
      <c r="F537" s="627"/>
      <c r="G537" s="627"/>
      <c r="H537" s="627"/>
      <c r="I537" s="627"/>
      <c r="J537" s="627"/>
      <c r="K537" s="627"/>
      <c r="L537" s="627"/>
      <c r="M537" s="627"/>
      <c r="N537" s="627"/>
      <c r="O537" s="627"/>
      <c r="P537" s="627"/>
      <c r="Q537" s="627"/>
      <c r="R537" s="627"/>
      <c r="S537" s="627"/>
      <c r="T537" s="627"/>
      <c r="U537" s="627"/>
      <c r="V537" s="627"/>
      <c r="W537" s="627"/>
      <c r="X537" s="627"/>
      <c r="Y537" s="627"/>
      <c r="Z537" s="627"/>
      <c r="AA537" s="611"/>
      <c r="AB537" s="611"/>
      <c r="AC537" s="611"/>
    </row>
    <row r="538" spans="1:68" ht="27" customHeight="1" x14ac:dyDescent="0.25">
      <c r="A538" s="54" t="s">
        <v>834</v>
      </c>
      <c r="B538" s="54" t="s">
        <v>835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2"/>
      <c r="R538" s="622"/>
      <c r="S538" s="622"/>
      <c r="T538" s="623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26"/>
      <c r="B539" s="627"/>
      <c r="C539" s="627"/>
      <c r="D539" s="627"/>
      <c r="E539" s="627"/>
      <c r="F539" s="627"/>
      <c r="G539" s="627"/>
      <c r="H539" s="627"/>
      <c r="I539" s="627"/>
      <c r="J539" s="627"/>
      <c r="K539" s="627"/>
      <c r="L539" s="627"/>
      <c r="M539" s="627"/>
      <c r="N539" s="627"/>
      <c r="O539" s="628"/>
      <c r="P539" s="630" t="s">
        <v>72</v>
      </c>
      <c r="Q539" s="631"/>
      <c r="R539" s="631"/>
      <c r="S539" s="631"/>
      <c r="T539" s="631"/>
      <c r="U539" s="631"/>
      <c r="V539" s="632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x14ac:dyDescent="0.2">
      <c r="A540" s="627"/>
      <c r="B540" s="627"/>
      <c r="C540" s="627"/>
      <c r="D540" s="627"/>
      <c r="E540" s="627"/>
      <c r="F540" s="627"/>
      <c r="G540" s="627"/>
      <c r="H540" s="627"/>
      <c r="I540" s="627"/>
      <c r="J540" s="627"/>
      <c r="K540" s="627"/>
      <c r="L540" s="627"/>
      <c r="M540" s="627"/>
      <c r="N540" s="627"/>
      <c r="O540" s="628"/>
      <c r="P540" s="630" t="s">
        <v>72</v>
      </c>
      <c r="Q540" s="631"/>
      <c r="R540" s="631"/>
      <c r="S540" s="631"/>
      <c r="T540" s="631"/>
      <c r="U540" s="631"/>
      <c r="V540" s="632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3"/>
      <c r="B541" s="627"/>
      <c r="C541" s="627"/>
      <c r="D541" s="627"/>
      <c r="E541" s="627"/>
      <c r="F541" s="627"/>
      <c r="G541" s="627"/>
      <c r="H541" s="627"/>
      <c r="I541" s="627"/>
      <c r="J541" s="627"/>
      <c r="K541" s="627"/>
      <c r="L541" s="627"/>
      <c r="M541" s="627"/>
      <c r="N541" s="627"/>
      <c r="O541" s="704"/>
      <c r="P541" s="633" t="s">
        <v>837</v>
      </c>
      <c r="Q541" s="634"/>
      <c r="R541" s="634"/>
      <c r="S541" s="634"/>
      <c r="T541" s="634"/>
      <c r="U541" s="634"/>
      <c r="V541" s="635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4013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4043.64</v>
      </c>
      <c r="Z541" s="37"/>
      <c r="AA541" s="618"/>
      <c r="AB541" s="618"/>
      <c r="AC541" s="618"/>
    </row>
    <row r="542" spans="1:68" x14ac:dyDescent="0.2">
      <c r="A542" s="627"/>
      <c r="B542" s="627"/>
      <c r="C542" s="627"/>
      <c r="D542" s="627"/>
      <c r="E542" s="627"/>
      <c r="F542" s="627"/>
      <c r="G542" s="627"/>
      <c r="H542" s="627"/>
      <c r="I542" s="627"/>
      <c r="J542" s="627"/>
      <c r="K542" s="627"/>
      <c r="L542" s="627"/>
      <c r="M542" s="627"/>
      <c r="N542" s="627"/>
      <c r="O542" s="704"/>
      <c r="P542" s="633" t="s">
        <v>838</v>
      </c>
      <c r="Q542" s="634"/>
      <c r="R542" s="634"/>
      <c r="S542" s="634"/>
      <c r="T542" s="634"/>
      <c r="U542" s="634"/>
      <c r="V542" s="635"/>
      <c r="W542" s="37" t="s">
        <v>67</v>
      </c>
      <c r="X542" s="617">
        <f>IFERROR(SUM(BM22:BM538),"0")</f>
        <v>4265.1611111111106</v>
      </c>
      <c r="Y542" s="617">
        <f>IFERROR(SUM(BN22:BN538),"0")</f>
        <v>4297.4659999999994</v>
      </c>
      <c r="Z542" s="37"/>
      <c r="AA542" s="618"/>
      <c r="AB542" s="618"/>
      <c r="AC542" s="618"/>
    </row>
    <row r="543" spans="1:68" x14ac:dyDescent="0.2">
      <c r="A543" s="627"/>
      <c r="B543" s="627"/>
      <c r="C543" s="627"/>
      <c r="D543" s="627"/>
      <c r="E543" s="627"/>
      <c r="F543" s="627"/>
      <c r="G543" s="627"/>
      <c r="H543" s="627"/>
      <c r="I543" s="627"/>
      <c r="J543" s="627"/>
      <c r="K543" s="627"/>
      <c r="L543" s="627"/>
      <c r="M543" s="627"/>
      <c r="N543" s="627"/>
      <c r="O543" s="704"/>
      <c r="P543" s="633" t="s">
        <v>839</v>
      </c>
      <c r="Q543" s="634"/>
      <c r="R543" s="634"/>
      <c r="S543" s="634"/>
      <c r="T543" s="634"/>
      <c r="U543" s="634"/>
      <c r="V543" s="635"/>
      <c r="W543" s="37" t="s">
        <v>840</v>
      </c>
      <c r="X543" s="38">
        <f>ROUNDUP(SUM(BO22:BO538),0)</f>
        <v>8</v>
      </c>
      <c r="Y543" s="38">
        <f>ROUNDUP(SUM(BP22:BP538),0)</f>
        <v>8</v>
      </c>
      <c r="Z543" s="37"/>
      <c r="AA543" s="618"/>
      <c r="AB543" s="618"/>
      <c r="AC543" s="618"/>
    </row>
    <row r="544" spans="1:68" x14ac:dyDescent="0.2">
      <c r="A544" s="627"/>
      <c r="B544" s="627"/>
      <c r="C544" s="627"/>
      <c r="D544" s="627"/>
      <c r="E544" s="627"/>
      <c r="F544" s="627"/>
      <c r="G544" s="627"/>
      <c r="H544" s="627"/>
      <c r="I544" s="627"/>
      <c r="J544" s="627"/>
      <c r="K544" s="627"/>
      <c r="L544" s="627"/>
      <c r="M544" s="627"/>
      <c r="N544" s="627"/>
      <c r="O544" s="704"/>
      <c r="P544" s="633" t="s">
        <v>841</v>
      </c>
      <c r="Q544" s="634"/>
      <c r="R544" s="634"/>
      <c r="S544" s="634"/>
      <c r="T544" s="634"/>
      <c r="U544" s="634"/>
      <c r="V544" s="635"/>
      <c r="W544" s="37" t="s">
        <v>67</v>
      </c>
      <c r="X544" s="617">
        <f>GrossWeightTotal+PalletQtyTotal*25</f>
        <v>4465.1611111111106</v>
      </c>
      <c r="Y544" s="617">
        <f>GrossWeightTotalR+PalletQtyTotalR*25</f>
        <v>4497.4659999999994</v>
      </c>
      <c r="Z544" s="37"/>
      <c r="AA544" s="618"/>
      <c r="AB544" s="618"/>
      <c r="AC544" s="618"/>
    </row>
    <row r="545" spans="1:32" x14ac:dyDescent="0.2">
      <c r="A545" s="627"/>
      <c r="B545" s="627"/>
      <c r="C545" s="627"/>
      <c r="D545" s="627"/>
      <c r="E545" s="627"/>
      <c r="F545" s="627"/>
      <c r="G545" s="627"/>
      <c r="H545" s="627"/>
      <c r="I545" s="627"/>
      <c r="J545" s="627"/>
      <c r="K545" s="627"/>
      <c r="L545" s="627"/>
      <c r="M545" s="627"/>
      <c r="N545" s="627"/>
      <c r="O545" s="704"/>
      <c r="P545" s="633" t="s">
        <v>842</v>
      </c>
      <c r="Q545" s="634"/>
      <c r="R545" s="634"/>
      <c r="S545" s="634"/>
      <c r="T545" s="634"/>
      <c r="U545" s="634"/>
      <c r="V545" s="635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722.35042735042725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727</v>
      </c>
      <c r="Z545" s="37"/>
      <c r="AA545" s="618"/>
      <c r="AB545" s="618"/>
      <c r="AC545" s="618"/>
    </row>
    <row r="546" spans="1:32" ht="14.25" customHeight="1" x14ac:dyDescent="0.2">
      <c r="A546" s="627"/>
      <c r="B546" s="627"/>
      <c r="C546" s="627"/>
      <c r="D546" s="627"/>
      <c r="E546" s="627"/>
      <c r="F546" s="627"/>
      <c r="G546" s="627"/>
      <c r="H546" s="627"/>
      <c r="I546" s="627"/>
      <c r="J546" s="627"/>
      <c r="K546" s="627"/>
      <c r="L546" s="627"/>
      <c r="M546" s="627"/>
      <c r="N546" s="627"/>
      <c r="O546" s="704"/>
      <c r="P546" s="633" t="s">
        <v>843</v>
      </c>
      <c r="Q546" s="634"/>
      <c r="R546" s="634"/>
      <c r="S546" s="634"/>
      <c r="T546" s="634"/>
      <c r="U546" s="634"/>
      <c r="V546" s="635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8.7438000000000002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51" t="s">
        <v>115</v>
      </c>
      <c r="E548" s="737"/>
      <c r="F548" s="737"/>
      <c r="G548" s="737"/>
      <c r="H548" s="737"/>
      <c r="I548" s="737"/>
      <c r="J548" s="702"/>
      <c r="K548" s="651" t="s">
        <v>327</v>
      </c>
      <c r="L548" s="737"/>
      <c r="M548" s="737"/>
      <c r="N548" s="737"/>
      <c r="O548" s="737"/>
      <c r="P548" s="737"/>
      <c r="Q548" s="737"/>
      <c r="R548" s="737"/>
      <c r="S548" s="737"/>
      <c r="T548" s="737"/>
      <c r="U548" s="702"/>
      <c r="V548" s="651" t="s">
        <v>663</v>
      </c>
      <c r="W548" s="702"/>
      <c r="X548" s="651" t="s">
        <v>729</v>
      </c>
      <c r="Y548" s="702"/>
      <c r="Z548" s="612" t="s">
        <v>765</v>
      </c>
      <c r="AA548" s="651" t="s">
        <v>812</v>
      </c>
      <c r="AB548" s="702"/>
      <c r="AC548" s="52"/>
      <c r="AF548" s="613"/>
    </row>
    <row r="549" spans="1:32" ht="14.25" customHeight="1" thickTop="1" x14ac:dyDescent="0.2">
      <c r="A549" s="807" t="s">
        <v>846</v>
      </c>
      <c r="B549" s="651" t="s">
        <v>61</v>
      </c>
      <c r="C549" s="651" t="s">
        <v>99</v>
      </c>
      <c r="D549" s="651" t="s">
        <v>116</v>
      </c>
      <c r="E549" s="651" t="s">
        <v>132</v>
      </c>
      <c r="F549" s="651" t="s">
        <v>177</v>
      </c>
      <c r="G549" s="651" t="s">
        <v>198</v>
      </c>
      <c r="H549" s="651" t="s">
        <v>237</v>
      </c>
      <c r="I549" s="651" t="s">
        <v>249</v>
      </c>
      <c r="J549" s="651" t="s">
        <v>115</v>
      </c>
      <c r="K549" s="651" t="s">
        <v>328</v>
      </c>
      <c r="L549" s="651" t="s">
        <v>349</v>
      </c>
      <c r="M549" s="651" t="s">
        <v>416</v>
      </c>
      <c r="N549" s="613"/>
      <c r="O549" s="651" t="s">
        <v>484</v>
      </c>
      <c r="P549" s="651" t="s">
        <v>517</v>
      </c>
      <c r="Q549" s="651" t="s">
        <v>533</v>
      </c>
      <c r="R549" s="651" t="s">
        <v>542</v>
      </c>
      <c r="S549" s="651" t="s">
        <v>563</v>
      </c>
      <c r="T549" s="651" t="s">
        <v>572</v>
      </c>
      <c r="U549" s="651" t="s">
        <v>653</v>
      </c>
      <c r="V549" s="651" t="s">
        <v>664</v>
      </c>
      <c r="W549" s="651" t="s">
        <v>713</v>
      </c>
      <c r="X549" s="651" t="s">
        <v>730</v>
      </c>
      <c r="Y549" s="651" t="s">
        <v>753</v>
      </c>
      <c r="Z549" s="651" t="s">
        <v>765</v>
      </c>
      <c r="AA549" s="651" t="s">
        <v>812</v>
      </c>
      <c r="AB549" s="651" t="s">
        <v>833</v>
      </c>
      <c r="AC549" s="52"/>
      <c r="AF549" s="613"/>
    </row>
    <row r="550" spans="1:32" ht="13.5" customHeight="1" thickBot="1" x14ac:dyDescent="0.25">
      <c r="A550" s="808"/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13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52"/>
      <c r="AB550" s="652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0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1" s="46">
        <f>IFERROR(Y88*1,"0")+IFERROR(Y89*1,"0")+IFERROR(Y90*1,"0")+IFERROR(Y91*1,"0")+IFERROR(Y95*1,"0")+IFERROR(Y96*1,"0")+IFERROR(Y97*1,"0")+IFERROR(Y98*1,"0")</f>
        <v>226.8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226.8</v>
      </c>
      <c r="H551" s="46">
        <f>IFERROR(Y132*1,"0")+IFERROR(Y133*1,"0")+IFERROR(Y137*1,"0")+IFERROR(Y138*1,"0")+IFERROR(Y142*1,"0")+IFERROR(Y143*1,"0")</f>
        <v>0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64.800000000000011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0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0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304.2</v>
      </c>
      <c r="U551" s="46">
        <f>IFERROR(Y404*1,"0")+IFERROR(Y405*1,"0")+IFERROR(Y406*1,"0")</f>
        <v>0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510</v>
      </c>
      <c r="W551" s="46">
        <f>IFERROR(Y441*1,"0")+IFERROR(Y442*1,"0")+IFERROR(Y446*1,"0")+IFERROR(Y450*1,"0")+IFERROR(Y451*1,"0")+IFERROR(Y452*1,"0")</f>
        <v>504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2207.04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184:V184"/>
    <mergeCell ref="A152:O153"/>
    <mergeCell ref="P242:V242"/>
    <mergeCell ref="P407:V407"/>
    <mergeCell ref="A403:Z403"/>
    <mergeCell ref="P382:V382"/>
    <mergeCell ref="A207:Z207"/>
    <mergeCell ref="P188:T188"/>
    <mergeCell ref="P474:V474"/>
    <mergeCell ref="A400:O401"/>
    <mergeCell ref="P270:T270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P235:V235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P107:T107"/>
    <mergeCell ref="A128:O129"/>
    <mergeCell ref="D386:E3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2026-07-17T10:13:55Z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