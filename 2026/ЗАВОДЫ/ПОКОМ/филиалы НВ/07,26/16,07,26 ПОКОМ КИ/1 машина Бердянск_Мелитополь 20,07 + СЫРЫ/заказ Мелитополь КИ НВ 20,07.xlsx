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9FE3B4B-E457-4236-8A91-BE8FFCAD57F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Y534" i="1" s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Y470" i="1" s="1"/>
  <c r="P467" i="1"/>
  <c r="X465" i="1"/>
  <c r="X464" i="1"/>
  <c r="BO463" i="1"/>
  <c r="BM463" i="1"/>
  <c r="Y463" i="1"/>
  <c r="BP463" i="1" s="1"/>
  <c r="P463" i="1"/>
  <c r="BP462" i="1"/>
  <c r="BO462" i="1"/>
  <c r="BN462" i="1"/>
  <c r="BM462" i="1"/>
  <c r="Z462" i="1"/>
  <c r="Y462" i="1"/>
  <c r="P462" i="1"/>
  <c r="BO461" i="1"/>
  <c r="BM461" i="1"/>
  <c r="Y461" i="1"/>
  <c r="BP461" i="1" s="1"/>
  <c r="P461" i="1"/>
  <c r="BP460" i="1"/>
  <c r="BO460" i="1"/>
  <c r="BN460" i="1"/>
  <c r="BM460" i="1"/>
  <c r="Z460" i="1"/>
  <c r="Y460" i="1"/>
  <c r="P460" i="1"/>
  <c r="BO459" i="1"/>
  <c r="BM459" i="1"/>
  <c r="Y459" i="1"/>
  <c r="BP459" i="1" s="1"/>
  <c r="P459" i="1"/>
  <c r="BP458" i="1"/>
  <c r="BO458" i="1"/>
  <c r="BN458" i="1"/>
  <c r="BM458" i="1"/>
  <c r="Z458" i="1"/>
  <c r="Y458" i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Y454" i="1" s="1"/>
  <c r="P450" i="1"/>
  <c r="X448" i="1"/>
  <c r="Y447" i="1"/>
  <c r="X447" i="1"/>
  <c r="BP446" i="1"/>
  <c r="BO446" i="1"/>
  <c r="BN446" i="1"/>
  <c r="BM446" i="1"/>
  <c r="Z446" i="1"/>
  <c r="Z447" i="1" s="1"/>
  <c r="Y446" i="1"/>
  <c r="Y448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W551" i="1" s="1"/>
  <c r="P441" i="1"/>
  <c r="X438" i="1"/>
  <c r="X437" i="1"/>
  <c r="BO436" i="1"/>
  <c r="BM436" i="1"/>
  <c r="Y436" i="1"/>
  <c r="BP436" i="1" s="1"/>
  <c r="P436" i="1"/>
  <c r="BP435" i="1"/>
  <c r="BO435" i="1"/>
  <c r="BN435" i="1"/>
  <c r="BM435" i="1"/>
  <c r="Z435" i="1"/>
  <c r="Y435" i="1"/>
  <c r="Y437" i="1" s="1"/>
  <c r="P435" i="1"/>
  <c r="X433" i="1"/>
  <c r="X432" i="1"/>
  <c r="BP431" i="1"/>
  <c r="BO431" i="1"/>
  <c r="BN431" i="1"/>
  <c r="BM431" i="1"/>
  <c r="Z431" i="1"/>
  <c r="Y431" i="1"/>
  <c r="P431" i="1"/>
  <c r="BO430" i="1"/>
  <c r="BM430" i="1"/>
  <c r="Y430" i="1"/>
  <c r="BP430" i="1" s="1"/>
  <c r="P430" i="1"/>
  <c r="BP429" i="1"/>
  <c r="BO429" i="1"/>
  <c r="BN429" i="1"/>
  <c r="BM429" i="1"/>
  <c r="Z429" i="1"/>
  <c r="Y429" i="1"/>
  <c r="Y433" i="1" s="1"/>
  <c r="P429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BP424" i="1" s="1"/>
  <c r="P424" i="1"/>
  <c r="BP423" i="1"/>
  <c r="BO423" i="1"/>
  <c r="BN423" i="1"/>
  <c r="BM423" i="1"/>
  <c r="Z423" i="1"/>
  <c r="Y423" i="1"/>
  <c r="Y427" i="1" s="1"/>
  <c r="P423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P417" i="1"/>
  <c r="BO416" i="1"/>
  <c r="BM416" i="1"/>
  <c r="Y416" i="1"/>
  <c r="BP416" i="1" s="1"/>
  <c r="P416" i="1"/>
  <c r="BP415" i="1"/>
  <c r="BO415" i="1"/>
  <c r="BN415" i="1"/>
  <c r="BM415" i="1"/>
  <c r="Z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BO412" i="1"/>
  <c r="BM412" i="1"/>
  <c r="Y412" i="1"/>
  <c r="V551" i="1" s="1"/>
  <c r="P412" i="1"/>
  <c r="X408" i="1"/>
  <c r="X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Y407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Y400" i="1" s="1"/>
  <c r="P397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Y394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Y368" i="1" s="1"/>
  <c r="P361" i="1"/>
  <c r="X359" i="1"/>
  <c r="X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T551" i="1" s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Y329" i="1" s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Y312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Y283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Y267" i="1" s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36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8" i="1" s="1"/>
  <c r="P213" i="1"/>
  <c r="X211" i="1"/>
  <c r="X210" i="1"/>
  <c r="BO209" i="1"/>
  <c r="BM209" i="1"/>
  <c r="Y209" i="1"/>
  <c r="L551" i="1" s="1"/>
  <c r="P209" i="1"/>
  <c r="X206" i="1"/>
  <c r="X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K551" i="1" s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P187" i="1"/>
  <c r="BO187" i="1"/>
  <c r="BN187" i="1"/>
  <c r="BM187" i="1"/>
  <c r="Z187" i="1"/>
  <c r="Y187" i="1"/>
  <c r="Y189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79" i="1" s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J551" i="1" s="1"/>
  <c r="P156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H551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51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51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51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41" i="1" s="1"/>
  <c r="X24" i="1"/>
  <c r="X545" i="1" s="1"/>
  <c r="BP23" i="1"/>
  <c r="BO23" i="1"/>
  <c r="BN23" i="1"/>
  <c r="BM23" i="1"/>
  <c r="Z23" i="1"/>
  <c r="Y23" i="1"/>
  <c r="P23" i="1"/>
  <c r="BO22" i="1"/>
  <c r="X543" i="1" s="1"/>
  <c r="BM22" i="1"/>
  <c r="X542" i="1" s="1"/>
  <c r="X544" i="1" s="1"/>
  <c r="Y22" i="1"/>
  <c r="B551" i="1" s="1"/>
  <c r="P22" i="1"/>
  <c r="H10" i="1"/>
  <c r="A9" i="1"/>
  <c r="F10" i="1" s="1"/>
  <c r="D7" i="1"/>
  <c r="Q6" i="1"/>
  <c r="P2" i="1"/>
  <c r="H9" i="1" l="1"/>
  <c r="A10" i="1"/>
  <c r="Y24" i="1"/>
  <c r="Y32" i="1"/>
  <c r="Y46" i="1"/>
  <c r="Y56" i="1"/>
  <c r="Y67" i="1"/>
  <c r="Y75" i="1"/>
  <c r="Y79" i="1"/>
  <c r="Y85" i="1"/>
  <c r="Y92" i="1"/>
  <c r="Y100" i="1"/>
  <c r="Y109" i="1"/>
  <c r="Y117" i="1"/>
  <c r="Y125" i="1"/>
  <c r="Y129" i="1"/>
  <c r="Y134" i="1"/>
  <c r="Y140" i="1"/>
  <c r="Y144" i="1"/>
  <c r="Y153" i="1"/>
  <c r="Y160" i="1"/>
  <c r="Y164" i="1"/>
  <c r="Y178" i="1"/>
  <c r="Y184" i="1"/>
  <c r="Y190" i="1"/>
  <c r="Y194" i="1"/>
  <c r="Y206" i="1"/>
  <c r="Y211" i="1"/>
  <c r="Y227" i="1"/>
  <c r="Y235" i="1"/>
  <c r="Y257" i="1"/>
  <c r="BP255" i="1"/>
  <c r="BN255" i="1"/>
  <c r="Z255" i="1"/>
  <c r="Z256" i="1" s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51" i="1"/>
  <c r="Z42" i="1"/>
  <c r="Z46" i="1" s="1"/>
  <c r="BN42" i="1"/>
  <c r="Z44" i="1"/>
  <c r="BN44" i="1"/>
  <c r="Y47" i="1"/>
  <c r="D551" i="1"/>
  <c r="Z52" i="1"/>
  <c r="Z55" i="1" s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Z92" i="1" s="1"/>
  <c r="BN88" i="1"/>
  <c r="BP88" i="1"/>
  <c r="Z90" i="1"/>
  <c r="BN90" i="1"/>
  <c r="Y93" i="1"/>
  <c r="Z96" i="1"/>
  <c r="Z99" i="1" s="1"/>
  <c r="BN96" i="1"/>
  <c r="Z98" i="1"/>
  <c r="BN98" i="1"/>
  <c r="Z103" i="1"/>
  <c r="Z109" i="1" s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Z124" i="1" s="1"/>
  <c r="BN121" i="1"/>
  <c r="Z123" i="1"/>
  <c r="BN123" i="1"/>
  <c r="Z127" i="1"/>
  <c r="Z128" i="1" s="1"/>
  <c r="BN127" i="1"/>
  <c r="BP127" i="1"/>
  <c r="Z132" i="1"/>
  <c r="Z134" i="1" s="1"/>
  <c r="BN132" i="1"/>
  <c r="BP132" i="1"/>
  <c r="Y135" i="1"/>
  <c r="Z138" i="1"/>
  <c r="Z139" i="1" s="1"/>
  <c r="BN138" i="1"/>
  <c r="Z142" i="1"/>
  <c r="Z144" i="1" s="1"/>
  <c r="BN142" i="1"/>
  <c r="BP142" i="1"/>
  <c r="I551" i="1"/>
  <c r="Z149" i="1"/>
  <c r="Z152" i="1" s="1"/>
  <c r="BN149" i="1"/>
  <c r="Z151" i="1"/>
  <c r="BN151" i="1"/>
  <c r="Y152" i="1"/>
  <c r="Z156" i="1"/>
  <c r="Z159" i="1" s="1"/>
  <c r="BN156" i="1"/>
  <c r="BP156" i="1"/>
  <c r="Z158" i="1"/>
  <c r="BN158" i="1"/>
  <c r="Y159" i="1"/>
  <c r="Z162" i="1"/>
  <c r="Z163" i="1" s="1"/>
  <c r="BN162" i="1"/>
  <c r="BP162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82" i="1"/>
  <c r="Z184" i="1" s="1"/>
  <c r="BN182" i="1"/>
  <c r="Z188" i="1"/>
  <c r="Z189" i="1" s="1"/>
  <c r="BN188" i="1"/>
  <c r="Z192" i="1"/>
  <c r="Z193" i="1" s="1"/>
  <c r="BN192" i="1"/>
  <c r="BP192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Z235" i="1" s="1"/>
  <c r="BN231" i="1"/>
  <c r="Z233" i="1"/>
  <c r="BN233" i="1"/>
  <c r="Y241" i="1"/>
  <c r="Z239" i="1"/>
  <c r="Z241" i="1" s="1"/>
  <c r="BN239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Y256" i="1"/>
  <c r="Z259" i="1"/>
  <c r="Z267" i="1" s="1"/>
  <c r="BN259" i="1"/>
  <c r="BP259" i="1"/>
  <c r="Z261" i="1"/>
  <c r="BN261" i="1"/>
  <c r="Z263" i="1"/>
  <c r="BN263" i="1"/>
  <c r="Z265" i="1"/>
  <c r="BN265" i="1"/>
  <c r="Y268" i="1"/>
  <c r="Z271" i="1"/>
  <c r="Z282" i="1" s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51" i="1"/>
  <c r="Z292" i="1"/>
  <c r="Z298" i="1" s="1"/>
  <c r="BN292" i="1"/>
  <c r="Z294" i="1"/>
  <c r="BN294" i="1"/>
  <c r="Z296" i="1"/>
  <c r="BN296" i="1"/>
  <c r="Y299" i="1"/>
  <c r="Z310" i="1"/>
  <c r="Z312" i="1" s="1"/>
  <c r="BN310" i="1"/>
  <c r="Y313" i="1"/>
  <c r="P551" i="1"/>
  <c r="Y322" i="1"/>
  <c r="Z317" i="1"/>
  <c r="Z321" i="1" s="1"/>
  <c r="BN317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Y298" i="1"/>
  <c r="BP319" i="1"/>
  <c r="BN319" i="1"/>
  <c r="Z319" i="1"/>
  <c r="BP333" i="1"/>
  <c r="BN333" i="1"/>
  <c r="Z333" i="1"/>
  <c r="Z337" i="1" s="1"/>
  <c r="Y337" i="1"/>
  <c r="BP341" i="1"/>
  <c r="BN341" i="1"/>
  <c r="Z341" i="1"/>
  <c r="Z342" i="1" s="1"/>
  <c r="Y343" i="1"/>
  <c r="S551" i="1"/>
  <c r="Y349" i="1"/>
  <c r="BP346" i="1"/>
  <c r="BN346" i="1"/>
  <c r="Z346" i="1"/>
  <c r="Z349" i="1" s="1"/>
  <c r="Y350" i="1"/>
  <c r="Y359" i="1"/>
  <c r="Y369" i="1"/>
  <c r="Y375" i="1"/>
  <c r="Y381" i="1"/>
  <c r="Y389" i="1"/>
  <c r="Y395" i="1"/>
  <c r="Y401" i="1"/>
  <c r="Y408" i="1"/>
  <c r="Y420" i="1"/>
  <c r="Y426" i="1"/>
  <c r="Y432" i="1"/>
  <c r="Y438" i="1"/>
  <c r="Y443" i="1"/>
  <c r="Y453" i="1"/>
  <c r="Y465" i="1"/>
  <c r="Y469" i="1"/>
  <c r="BP479" i="1"/>
  <c r="BN479" i="1"/>
  <c r="Z479" i="1"/>
  <c r="Y481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BP505" i="1"/>
  <c r="BN505" i="1"/>
  <c r="Z505" i="1"/>
  <c r="BP509" i="1"/>
  <c r="BN509" i="1"/>
  <c r="Z509" i="1"/>
  <c r="Y511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Q551" i="1"/>
  <c r="U551" i="1"/>
  <c r="Y551" i="1"/>
  <c r="R551" i="1"/>
  <c r="Y338" i="1"/>
  <c r="Z353" i="1"/>
  <c r="Z358" i="1" s="1"/>
  <c r="BN353" i="1"/>
  <c r="BP353" i="1"/>
  <c r="Z355" i="1"/>
  <c r="BN355" i="1"/>
  <c r="Z357" i="1"/>
  <c r="BN357" i="1"/>
  <c r="Y358" i="1"/>
  <c r="Z361" i="1"/>
  <c r="Z368" i="1" s="1"/>
  <c r="BN361" i="1"/>
  <c r="BP361" i="1"/>
  <c r="Z363" i="1"/>
  <c r="BN363" i="1"/>
  <c r="Z365" i="1"/>
  <c r="BN365" i="1"/>
  <c r="Z367" i="1"/>
  <c r="BN367" i="1"/>
  <c r="Z371" i="1"/>
  <c r="BN371" i="1"/>
  <c r="BP371" i="1"/>
  <c r="Z373" i="1"/>
  <c r="BN373" i="1"/>
  <c r="Z379" i="1"/>
  <c r="Z381" i="1" s="1"/>
  <c r="BN379" i="1"/>
  <c r="Z385" i="1"/>
  <c r="Z388" i="1" s="1"/>
  <c r="BN385" i="1"/>
  <c r="Z387" i="1"/>
  <c r="BN387" i="1"/>
  <c r="Z391" i="1"/>
  <c r="Z394" i="1" s="1"/>
  <c r="BN391" i="1"/>
  <c r="BP391" i="1"/>
  <c r="Z393" i="1"/>
  <c r="BN393" i="1"/>
  <c r="Z397" i="1"/>
  <c r="BN397" i="1"/>
  <c r="BP397" i="1"/>
  <c r="Z399" i="1"/>
  <c r="BN399" i="1"/>
  <c r="Z404" i="1"/>
  <c r="Z407" i="1" s="1"/>
  <c r="BN404" i="1"/>
  <c r="BP404" i="1"/>
  <c r="Z406" i="1"/>
  <c r="BN406" i="1"/>
  <c r="Z412" i="1"/>
  <c r="BN412" i="1"/>
  <c r="BP412" i="1"/>
  <c r="Z414" i="1"/>
  <c r="BN414" i="1"/>
  <c r="Z416" i="1"/>
  <c r="BN416" i="1"/>
  <c r="Z418" i="1"/>
  <c r="BN418" i="1"/>
  <c r="Y421" i="1"/>
  <c r="Z424" i="1"/>
  <c r="Z426" i="1" s="1"/>
  <c r="BN424" i="1"/>
  <c r="Z430" i="1"/>
  <c r="Z432" i="1" s="1"/>
  <c r="BN430" i="1"/>
  <c r="Z436" i="1"/>
  <c r="Z437" i="1" s="1"/>
  <c r="BN436" i="1"/>
  <c r="Z441" i="1"/>
  <c r="Z443" i="1" s="1"/>
  <c r="BN441" i="1"/>
  <c r="BP441" i="1"/>
  <c r="Y444" i="1"/>
  <c r="Z451" i="1"/>
  <c r="Z453" i="1" s="1"/>
  <c r="BN451" i="1"/>
  <c r="X551" i="1"/>
  <c r="Z459" i="1"/>
  <c r="Z464" i="1" s="1"/>
  <c r="BN459" i="1"/>
  <c r="Z461" i="1"/>
  <c r="BN461" i="1"/>
  <c r="Z463" i="1"/>
  <c r="BN463" i="1"/>
  <c r="Y464" i="1"/>
  <c r="Z467" i="1"/>
  <c r="Z469" i="1" s="1"/>
  <c r="BN467" i="1"/>
  <c r="BP467" i="1"/>
  <c r="Y480" i="1"/>
  <c r="BP477" i="1"/>
  <c r="BN477" i="1"/>
  <c r="Z477" i="1"/>
  <c r="Z480" i="1" s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BP507" i="1"/>
  <c r="BN507" i="1"/>
  <c r="Z507" i="1"/>
  <c r="Y525" i="1"/>
  <c r="BP533" i="1"/>
  <c r="BN533" i="1"/>
  <c r="Z533" i="1"/>
  <c r="Z534" i="1" s="1"/>
  <c r="Y535" i="1"/>
  <c r="AB551" i="1"/>
  <c r="Y539" i="1"/>
  <c r="BP538" i="1"/>
  <c r="BN538" i="1"/>
  <c r="Z538" i="1"/>
  <c r="Z539" i="1" s="1"/>
  <c r="Y540" i="1"/>
  <c r="AA551" i="1"/>
  <c r="Z510" i="1" l="1"/>
  <c r="Z420" i="1"/>
  <c r="Z400" i="1"/>
  <c r="Z375" i="1"/>
  <c r="Z500" i="1"/>
  <c r="Z227" i="1"/>
  <c r="Z205" i="1"/>
  <c r="Z178" i="1"/>
  <c r="Z546" i="1" s="1"/>
  <c r="Z67" i="1"/>
  <c r="Y543" i="1"/>
  <c r="Z494" i="1"/>
  <c r="Y541" i="1"/>
  <c r="Y542" i="1"/>
  <c r="Y544" i="1" s="1"/>
  <c r="Y545" i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<sst xmlns="http://schemas.openxmlformats.org/spreadsheetml/2006/main" count="2448" uniqueCount="889">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</sst>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90</v>
      </c>
      <c r="Y51" s="616">
        <f>IFERROR(IF(X51="",0,CEILING((X51/$H51),1)*$H51),"")</f>
        <v>97.2</v>
      </c>
      <c r="Z51" s="36">
        <f>IFERROR(IF(Y51=0,"",ROUNDUP(Y51/H51,0)*0.01898),"")</f>
        <v>0.17082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93.416666666666671</v>
      </c>
      <c r="BN51" s="64">
        <f>IFERROR(Y51*I51/H51,"0")</f>
        <v>100.89</v>
      </c>
      <c r="BO51" s="64">
        <f>IFERROR(1/J51*(X51/H51),"0")</f>
        <v>0.13020833333333331</v>
      </c>
      <c r="BP51" s="64">
        <f>IFERROR(1/J51*(Y51/H51),"0")</f>
        <v>0.140625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8.3333333333333321</v>
      </c>
      <c r="Y55" s="617">
        <f>IFERROR(Y51/H51,"0")+IFERROR(Y52/H52,"0")+IFERROR(Y53/H53,"0")+IFERROR(Y54/H54,"0")</f>
        <v>9</v>
      </c>
      <c r="Z55" s="617">
        <f>IFERROR(IF(Z51="",0,Z51),"0")+IFERROR(IF(Z52="",0,Z52),"0")+IFERROR(IF(Z53="",0,Z53),"0")+IFERROR(IF(Z54="",0,Z54),"0")</f>
        <v>0.17082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90</v>
      </c>
      <c r="Y56" s="617">
        <f>IFERROR(SUM(Y51:Y54),"0")</f>
        <v>97.2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33</v>
      </c>
      <c r="Y66" s="616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34.393333333333338</v>
      </c>
      <c r="BN66" s="64">
        <f t="shared" si="2"/>
        <v>37.520000000000003</v>
      </c>
      <c r="BO66" s="64">
        <f t="shared" si="3"/>
        <v>5.5555555555555552E-2</v>
      </c>
      <c r="BP66" s="64">
        <f t="shared" si="4"/>
        <v>6.0606060606060608E-2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7.333333333333333</v>
      </c>
      <c r="Y67" s="617">
        <f>IFERROR(Y59/H59,"0")+IFERROR(Y60/H60,"0")+IFERROR(Y61/H61,"0")+IFERROR(Y62/H62,"0")+IFERROR(Y63/H63,"0")+IFERROR(Y64/H64,"0")+IFERROR(Y65/H65,"0")+IFERROR(Y66/H66,"0")</f>
        <v>8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7.2160000000000002E-2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33</v>
      </c>
      <c r="Y68" s="617">
        <f>IFERROR(SUM(Y59:Y66),"0")</f>
        <v>36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90</v>
      </c>
      <c r="Y88" s="616">
        <f>IFERROR(IF(X88="",0,CEILING((X88/$H88),1)*$H88),"")</f>
        <v>97.2</v>
      </c>
      <c r="Z88" s="36">
        <f>IFERROR(IF(Y88=0,"",ROUNDUP(Y88/H88,0)*0.01898),"")</f>
        <v>0.17082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93.416666666666671</v>
      </c>
      <c r="BN88" s="64">
        <f>IFERROR(Y88*I88/H88,"0")</f>
        <v>100.89</v>
      </c>
      <c r="BO88" s="64">
        <f>IFERROR(1/J88*(X88/H88),"0")</f>
        <v>0.13020833333333331</v>
      </c>
      <c r="BP88" s="64">
        <f>IFERROR(1/J88*(Y88/H88),"0")</f>
        <v>0.140625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8.3333333333333321</v>
      </c>
      <c r="Y92" s="617">
        <f>IFERROR(Y88/H88,"0")+IFERROR(Y89/H89,"0")+IFERROR(Y90/H90,"0")+IFERROR(Y91/H91,"0")</f>
        <v>9</v>
      </c>
      <c r="Z92" s="617">
        <f>IFERROR(IF(Z88="",0,Z88),"0")+IFERROR(IF(Z89="",0,Z89),"0")+IFERROR(IF(Z90="",0,Z90),"0")+IFERROR(IF(Z91="",0,Z91),"0")</f>
        <v>0.17082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90</v>
      </c>
      <c r="Y93" s="617">
        <f>IFERROR(SUM(Y88:Y91),"0")</f>
        <v>97.2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277</v>
      </c>
      <c r="Y95" s="616">
        <f>IFERROR(IF(X95="",0,CEILING((X95/$H95),1)*$H95),"")</f>
        <v>283.5</v>
      </c>
      <c r="Z95" s="36">
        <f>IFERROR(IF(Y95=0,"",ROUNDUP(Y95/H95,0)*0.01898),"")</f>
        <v>0.6643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293.89358024691359</v>
      </c>
      <c r="BN95" s="64">
        <f>IFERROR(Y95*I95/H95,"0")</f>
        <v>300.79000000000002</v>
      </c>
      <c r="BO95" s="64">
        <f>IFERROR(1/J95*(X95/H95),"0")</f>
        <v>0.53433641975308643</v>
      </c>
      <c r="BP95" s="64">
        <f>IFERROR(1/J95*(Y95/H95),"0")</f>
        <v>0.546875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28</v>
      </c>
      <c r="Y97" s="616">
        <f>IFERROR(IF(X97="",0,CEILING((X97/$H97),1)*$H97),"")</f>
        <v>29.700000000000003</v>
      </c>
      <c r="Z97" s="36">
        <f>IFERROR(IF(Y97=0,"",ROUNDUP(Y97/H97,0)*0.00651),"")</f>
        <v>7.1610000000000007E-2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30.613333333333333</v>
      </c>
      <c r="BN97" s="64">
        <f>IFERROR(Y97*I97/H97,"0")</f>
        <v>32.472000000000001</v>
      </c>
      <c r="BO97" s="64">
        <f>IFERROR(1/J97*(X97/H97),"0")</f>
        <v>5.6980056980056981E-2</v>
      </c>
      <c r="BP97" s="64">
        <f>IFERROR(1/J97*(Y97/H97),"0")</f>
        <v>6.0439560439560447E-2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44.567901234567898</v>
      </c>
      <c r="Y99" s="617">
        <f>IFERROR(Y95/H95,"0")+IFERROR(Y96/H96,"0")+IFERROR(Y97/H97,"0")+IFERROR(Y98/H98,"0")</f>
        <v>46</v>
      </c>
      <c r="Z99" s="617">
        <f>IFERROR(IF(Z95="",0,Z95),"0")+IFERROR(IF(Z96="",0,Z96),"0")+IFERROR(IF(Z97="",0,Z97),"0")+IFERROR(IF(Z98="",0,Z98),"0")</f>
        <v>0.73591000000000006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305</v>
      </c>
      <c r="Y100" s="617">
        <f>IFERROR(SUM(Y95:Y98),"0")</f>
        <v>313.2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43</v>
      </c>
      <c r="Y103" s="616">
        <f t="shared" ref="Y103:Y108" si="5">IFERROR(IF(X103="",0,CEILING((X103/$H103),1)*$H103),"")</f>
        <v>43.2</v>
      </c>
      <c r="Z103" s="36">
        <f>IFERROR(IF(Y103=0,"",ROUNDUP(Y103/H103,0)*0.01898),"")</f>
        <v>7.5920000000000001E-2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44.632407407407406</v>
      </c>
      <c r="BN103" s="64">
        <f t="shared" ref="BN103:BN108" si="7">IFERROR(Y103*I103/H103,"0")</f>
        <v>44.84</v>
      </c>
      <c r="BO103" s="64">
        <f t="shared" ref="BO103:BO108" si="8">IFERROR(1/J103*(X103/H103),"0")</f>
        <v>6.2210648148148147E-2</v>
      </c>
      <c r="BP103" s="64">
        <f t="shared" ref="BP103:BP108" si="9">IFERROR(1/J103*(Y103/H103),"0")</f>
        <v>6.25E-2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3.9814814814814814</v>
      </c>
      <c r="Y109" s="617">
        <f>IFERROR(Y103/H103,"0")+IFERROR(Y104/H104,"0")+IFERROR(Y105/H105,"0")+IFERROR(Y106/H106,"0")+IFERROR(Y107/H107,"0")+IFERROR(Y108/H108,"0")</f>
        <v>4</v>
      </c>
      <c r="Z109" s="617">
        <f>IFERROR(IF(Z103="",0,Z103),"0")+IFERROR(IF(Z104="",0,Z104),"0")+IFERROR(IF(Z105="",0,Z105),"0")+IFERROR(IF(Z106="",0,Z106),"0")+IFERROR(IF(Z107="",0,Z107),"0")+IFERROR(IF(Z108="",0,Z108),"0")</f>
        <v>7.5920000000000001E-2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43</v>
      </c>
      <c r="Y110" s="617">
        <f>IFERROR(SUM(Y103:Y108),"0")</f>
        <v>43.2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18</v>
      </c>
      <c r="Y112" s="616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18.683333333333334</v>
      </c>
      <c r="BN112" s="64">
        <f>IFERROR(Y112*I112/H112,"0")</f>
        <v>22.42</v>
      </c>
      <c r="BO112" s="64">
        <f>IFERROR(1/J112*(X112/H112),"0")</f>
        <v>2.6041666666666664E-2</v>
      </c>
      <c r="BP112" s="64">
        <f>IFERROR(1/J112*(Y112/H112),"0")</f>
        <v>3.125E-2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1.6666666666666665</v>
      </c>
      <c r="Y117" s="617">
        <f>IFERROR(Y112/H112,"0")+IFERROR(Y113/H113,"0")+IFERROR(Y114/H114,"0")+IFERROR(Y115/H115,"0")+IFERROR(Y116/H116,"0")</f>
        <v>2</v>
      </c>
      <c r="Z117" s="617">
        <f>IFERROR(IF(Z112="",0,Z112),"0")+IFERROR(IF(Z113="",0,Z113),"0")+IFERROR(IF(Z114="",0,Z114),"0")+IFERROR(IF(Z115="",0,Z115),"0")+IFERROR(IF(Z116="",0,Z116),"0")</f>
        <v>3.7960000000000001E-2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18</v>
      </c>
      <c r="Y118" s="617">
        <f>IFERROR(SUM(Y112:Y116),"0")</f>
        <v>21.6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186</v>
      </c>
      <c r="Y120" s="616">
        <f>IFERROR(IF(X120="",0,CEILING((X120/$H120),1)*$H120),"")</f>
        <v>186.29999999999998</v>
      </c>
      <c r="Z120" s="36">
        <f>IFERROR(IF(Y120=0,"",ROUNDUP(Y120/H120,0)*0.01898),"")</f>
        <v>0.43653999999999998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197.20592592592592</v>
      </c>
      <c r="BN120" s="64">
        <f>IFERROR(Y120*I120/H120,"0")</f>
        <v>197.52399999999997</v>
      </c>
      <c r="BO120" s="64">
        <f>IFERROR(1/J120*(X120/H120),"0")</f>
        <v>0.35879629629629634</v>
      </c>
      <c r="BP120" s="64">
        <f>IFERROR(1/J120*(Y120/H120),"0")</f>
        <v>0.359375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101</v>
      </c>
      <c r="Y122" s="616">
        <f>IFERROR(IF(X122="",0,CEILING((X122/$H122),1)*$H122),"")</f>
        <v>102.60000000000001</v>
      </c>
      <c r="Z122" s="36">
        <f>IFERROR(IF(Y122=0,"",ROUNDUP(Y122/H122,0)*0.00651),"")</f>
        <v>0.24738000000000002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110.42666666666665</v>
      </c>
      <c r="BN122" s="64">
        <f>IFERROR(Y122*I122/H122,"0")</f>
        <v>112.176</v>
      </c>
      <c r="BO122" s="64">
        <f>IFERROR(1/J122*(X122/H122),"0")</f>
        <v>0.20553520553520555</v>
      </c>
      <c r="BP122" s="64">
        <f>IFERROR(1/J122*(Y122/H122),"0")</f>
        <v>0.2087912087912088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60.370370370370367</v>
      </c>
      <c r="Y124" s="617">
        <f>IFERROR(Y120/H120,"0")+IFERROR(Y121/H121,"0")+IFERROR(Y122/H122,"0")+IFERROR(Y123/H123,"0")</f>
        <v>61</v>
      </c>
      <c r="Z124" s="617">
        <f>IFERROR(IF(Z120="",0,Z120),"0")+IFERROR(IF(Z121="",0,Z121),"0")+IFERROR(IF(Z122="",0,Z122),"0")+IFERROR(IF(Z123="",0,Z123),"0")</f>
        <v>0.68391999999999997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287</v>
      </c>
      <c r="Y125" s="617">
        <f>IFERROR(SUM(Y120:Y123),"0")</f>
        <v>288.89999999999998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3</v>
      </c>
      <c r="Y127" s="616">
        <f>IFERROR(IF(X127="",0,CEILING((X127/$H127),1)*$H127),"")</f>
        <v>3.96</v>
      </c>
      <c r="Z127" s="36">
        <f>IFERROR(IF(Y127=0,"",ROUNDUP(Y127/H127,0)*0.00651),"")</f>
        <v>1.302E-2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3.3909090909090911</v>
      </c>
      <c r="BN127" s="64">
        <f>IFERROR(Y127*I127/H127,"0")</f>
        <v>4.476</v>
      </c>
      <c r="BO127" s="64">
        <f>IFERROR(1/J127*(X127/H127),"0")</f>
        <v>8.3250083250083259E-3</v>
      </c>
      <c r="BP127" s="64">
        <f>IFERROR(1/J127*(Y127/H127),"0")</f>
        <v>1.098901098901099E-2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1.5151515151515151</v>
      </c>
      <c r="Y128" s="617">
        <f>IFERROR(Y127/H127,"0")</f>
        <v>2</v>
      </c>
      <c r="Z128" s="617">
        <f>IFERROR(IF(Z127="",0,Z127),"0")</f>
        <v>1.302E-2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3</v>
      </c>
      <c r="Y129" s="617">
        <f>IFERROR(SUM(Y127:Y127),"0")</f>
        <v>3.96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11</v>
      </c>
      <c r="Y132" s="616">
        <f>IFERROR(IF(X132="",0,CEILING((X132/$H132),1)*$H132),"")</f>
        <v>12.8</v>
      </c>
      <c r="Z132" s="36">
        <f>IFERROR(IF(Y132=0,"",ROUNDUP(Y132/H132,0)*0.00651),"")</f>
        <v>2.6040000000000001E-2</v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11.618749999999999</v>
      </c>
      <c r="BN132" s="64">
        <f>IFERROR(Y132*I132/H132,"0")</f>
        <v>13.52</v>
      </c>
      <c r="BO132" s="64">
        <f>IFERROR(1/J132*(X132/H132),"0")</f>
        <v>1.888736263736264E-2</v>
      </c>
      <c r="BP132" s="64">
        <f>IFERROR(1/J132*(Y132/H132),"0")</f>
        <v>2.197802197802198E-2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3.4375</v>
      </c>
      <c r="Y134" s="617">
        <f>IFERROR(Y132/H132,"0")+IFERROR(Y133/H133,"0")</f>
        <v>4</v>
      </c>
      <c r="Z134" s="617">
        <f>IFERROR(IF(Z132="",0,Z132),"0")+IFERROR(IF(Z133="",0,Z133),"0")</f>
        <v>2.6040000000000001E-2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11</v>
      </c>
      <c r="Y135" s="617">
        <f>IFERROR(SUM(Y132:Y133),"0")</f>
        <v>12.8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21</v>
      </c>
      <c r="Y142" s="616">
        <f>IFERROR(IF(X142="",0,CEILING((X142/$H142),1)*$H142),"")</f>
        <v>21.12</v>
      </c>
      <c r="Z142" s="36">
        <f>IFERROR(IF(Y142=0,"",ROUNDUP(Y142/H142,0)*0.00651),"")</f>
        <v>5.2080000000000001E-2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23.131818181818179</v>
      </c>
      <c r="BN142" s="64">
        <f>IFERROR(Y142*I142/H142,"0")</f>
        <v>23.263999999999999</v>
      </c>
      <c r="BO142" s="64">
        <f>IFERROR(1/J142*(X142/H142),"0")</f>
        <v>4.3706293706293704E-2</v>
      </c>
      <c r="BP142" s="64">
        <f>IFERROR(1/J142*(Y142/H142),"0")</f>
        <v>4.3956043956043959E-2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7.9545454545454541</v>
      </c>
      <c r="Y144" s="617">
        <f>IFERROR(Y142/H142,"0")+IFERROR(Y143/H143,"0")</f>
        <v>8</v>
      </c>
      <c r="Z144" s="617">
        <f>IFERROR(IF(Z142="",0,Z142),"0")+IFERROR(IF(Z143="",0,Z143),"0")</f>
        <v>5.2080000000000001E-2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21</v>
      </c>
      <c r="Y145" s="617">
        <f>IFERROR(SUM(Y142:Y143),"0")</f>
        <v>21.12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87</v>
      </c>
      <c r="Y166" s="616">
        <f t="shared" ref="Y166:Y177" si="10">IFERROR(IF(X166="",0,CEILING((X166/$H166),1)*$H166),"")</f>
        <v>87.5</v>
      </c>
      <c r="Z166" s="36">
        <f>IFERROR(IF(Y166=0,"",ROUNDUP(Y166/H166,0)*0.00902),"")</f>
        <v>0.22550000000000001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91.722857142857137</v>
      </c>
      <c r="BN166" s="64">
        <f t="shared" ref="BN166:BN177" si="12">IFERROR(Y166*I166/H166,"0")</f>
        <v>92.25</v>
      </c>
      <c r="BO166" s="64">
        <f t="shared" ref="BO166:BO177" si="13">IFERROR(1/J166*(X166/H166),"0")</f>
        <v>0.18831168831168832</v>
      </c>
      <c r="BP166" s="64">
        <f t="shared" ref="BP166:BP177" si="14">IFERROR(1/J166*(Y166/H166),"0")</f>
        <v>0.18939393939393939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64</v>
      </c>
      <c r="Y169" s="616">
        <f t="shared" si="10"/>
        <v>66.5</v>
      </c>
      <c r="Z169" s="36">
        <f>IFERROR(IF(Y169=0,"",ROUNDUP(Y169/H169,0)*0.00902),"")</f>
        <v>0.17138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67.474285714285713</v>
      </c>
      <c r="BN169" s="64">
        <f t="shared" si="12"/>
        <v>70.11</v>
      </c>
      <c r="BO169" s="64">
        <f t="shared" si="13"/>
        <v>0.13852813852813853</v>
      </c>
      <c r="BP169" s="64">
        <f t="shared" si="14"/>
        <v>0.14393939393939395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48</v>
      </c>
      <c r="Y170" s="616">
        <f t="shared" si="10"/>
        <v>49</v>
      </c>
      <c r="Z170" s="36">
        <f>IFERROR(IF(Y170=0,"",ROUNDUP(Y170/H170,0)*0.00902),"")</f>
        <v>0.12628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50.605714285714285</v>
      </c>
      <c r="BN170" s="64">
        <f t="shared" si="12"/>
        <v>51.660000000000004</v>
      </c>
      <c r="BO170" s="64">
        <f t="shared" si="13"/>
        <v>0.10389610389610389</v>
      </c>
      <c r="BP170" s="64">
        <f t="shared" si="14"/>
        <v>0.10606060606060606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46</v>
      </c>
      <c r="Y172" s="616">
        <f t="shared" si="10"/>
        <v>47.04</v>
      </c>
      <c r="Z172" s="36">
        <f>IFERROR(IF(Y172=0,"",ROUNDUP(Y172/H172,0)*0.00502),"")</f>
        <v>0.14056000000000002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48.738095238095234</v>
      </c>
      <c r="BN172" s="64">
        <f t="shared" si="12"/>
        <v>49.84</v>
      </c>
      <c r="BO172" s="64">
        <f t="shared" si="13"/>
        <v>0.11701261701261703</v>
      </c>
      <c r="BP172" s="64">
        <f t="shared" si="14"/>
        <v>0.11965811965811968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20</v>
      </c>
      <c r="Y177" s="616">
        <f t="shared" si="10"/>
        <v>20.16</v>
      </c>
      <c r="Z177" s="36">
        <f>IFERROR(IF(Y177=0,"",ROUNDUP(Y177/H177,0)*0.00502),"")</f>
        <v>6.0240000000000002E-2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21.190476190476193</v>
      </c>
      <c r="BN177" s="64">
        <f t="shared" si="12"/>
        <v>21.36</v>
      </c>
      <c r="BO177" s="64">
        <f t="shared" si="13"/>
        <v>5.0875050875050884E-2</v>
      </c>
      <c r="BP177" s="64">
        <f t="shared" si="14"/>
        <v>5.1282051282051287E-2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96.142857142857139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98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0.72396000000000005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265</v>
      </c>
      <c r="Y179" s="617">
        <f>IFERROR(SUM(Y166:Y177),"0")</f>
        <v>270.2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7</v>
      </c>
      <c r="Y216" s="616">
        <f t="shared" si="21"/>
        <v>7.2</v>
      </c>
      <c r="Z216" s="36">
        <f>IFERROR(IF(Y216=0,"",ROUNDUP(Y216/H216,0)*0.00556),"")</f>
        <v>5.0040000000000001E-2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8.1375000000000011</v>
      </c>
      <c r="BN216" s="64">
        <f t="shared" si="23"/>
        <v>8.370000000000001</v>
      </c>
      <c r="BO216" s="64">
        <f t="shared" si="24"/>
        <v>3.4722222222222224E-2</v>
      </c>
      <c r="BP216" s="64">
        <f t="shared" si="25"/>
        <v>3.5714285714285712E-2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28</v>
      </c>
      <c r="Y217" s="616">
        <f t="shared" si="21"/>
        <v>29.400000000000002</v>
      </c>
      <c r="Z217" s="36">
        <f t="shared" ref="Z217:Z222" si="26">IFERROR(IF(Y217=0,"",ROUNDUP(Y217/H217,0)*0.00502),"")</f>
        <v>7.0280000000000009E-2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29.733333333333331</v>
      </c>
      <c r="BN217" s="64">
        <f t="shared" si="23"/>
        <v>31.22</v>
      </c>
      <c r="BO217" s="64">
        <f t="shared" si="24"/>
        <v>5.6980056980056981E-2</v>
      </c>
      <c r="BP217" s="64">
        <f t="shared" si="25"/>
        <v>5.9829059829059839E-2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8</v>
      </c>
      <c r="Y223" s="616">
        <f t="shared" si="21"/>
        <v>8</v>
      </c>
      <c r="Z223" s="36">
        <f>IFERROR(IF(Y223=0,"",ROUNDUP(Y223/H223,0)*0.00417),"")</f>
        <v>4.1700000000000001E-2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10.1</v>
      </c>
      <c r="BN223" s="64">
        <f t="shared" si="23"/>
        <v>10.1</v>
      </c>
      <c r="BO223" s="64">
        <f t="shared" si="24"/>
        <v>2.976190476190476E-2</v>
      </c>
      <c r="BP223" s="64">
        <f t="shared" si="25"/>
        <v>2.976190476190476E-2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1</v>
      </c>
      <c r="Y224" s="616">
        <f t="shared" si="21"/>
        <v>2.1</v>
      </c>
      <c r="Z224" s="36">
        <f>IFERROR(IF(Y224=0,"",ROUNDUP(Y224/H224,0)*0.00502),"")</f>
        <v>5.0200000000000002E-3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1.0476190476190477</v>
      </c>
      <c r="BN224" s="64">
        <f t="shared" si="23"/>
        <v>2.2000000000000002</v>
      </c>
      <c r="BO224" s="64">
        <f t="shared" si="24"/>
        <v>2.0350020350020353E-3</v>
      </c>
      <c r="BP224" s="64">
        <f t="shared" si="25"/>
        <v>4.2735042735042739E-3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32.559523809523803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34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0.16703999999999999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44</v>
      </c>
      <c r="Y228" s="617">
        <f>IFERROR(SUM(Y213:Y226),"0")</f>
        <v>46.7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4</v>
      </c>
      <c r="Y239" s="61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3.1746031746031744</v>
      </c>
      <c r="Y241" s="617">
        <f>IFERROR(Y238/H238,"0")+IFERROR(Y239/H239,"0")+IFERROR(Y240/H240,"0")</f>
        <v>4</v>
      </c>
      <c r="Z241" s="617">
        <f>IFERROR(IF(Z238="",0,Z238),"0")+IFERROR(IF(Z239="",0,Z239),"0")+IFERROR(IF(Z240="",0,Z240),"0")</f>
        <v>2.3599999999999999E-2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4</v>
      </c>
      <c r="Y242" s="617">
        <f>IFERROR(SUM(Y238:Y240),"0")</f>
        <v>5.04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3</v>
      </c>
      <c r="Y244" s="616">
        <f>IFERROR(IF(X244="",0,CEILING((X244/$H244),1)*$H244),"")</f>
        <v>3.7800000000000002</v>
      </c>
      <c r="Z244" s="36">
        <f>IFERROR(IF(Y244=0,"",ROUNDUP(Y244/H244,0)*0.0059),"")</f>
        <v>1.77E-2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3.4523809523809521</v>
      </c>
      <c r="BN244" s="64">
        <f>IFERROR(Y244*I244/H244,"0")</f>
        <v>4.3499999999999996</v>
      </c>
      <c r="BO244" s="64">
        <f>IFERROR(1/J244*(X244/H244),"0")</f>
        <v>1.1022927689594356E-2</v>
      </c>
      <c r="BP244" s="64">
        <f>IFERROR(1/J244*(Y244/H244),"0")</f>
        <v>1.3888888888888888E-2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2.3809523809523809</v>
      </c>
      <c r="Y245" s="617">
        <f>IFERROR(Y244/H244,"0")</f>
        <v>3</v>
      </c>
      <c r="Z245" s="617">
        <f>IFERROR(IF(Z244="",0,Z244),"0")</f>
        <v>1.77E-2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3</v>
      </c>
      <c r="Y246" s="617">
        <f>IFERROR(SUM(Y244:Y244),"0")</f>
        <v>3.7800000000000002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64</v>
      </c>
      <c r="Y260" s="616">
        <f t="shared" si="27"/>
        <v>64.800000000000011</v>
      </c>
      <c r="Z260" s="36">
        <f>IFERROR(IF(Y260=0,"",ROUNDUP(Y260/H260,0)*0.00902),"")</f>
        <v>0.10824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66.251851851851839</v>
      </c>
      <c r="BN260" s="64">
        <f t="shared" si="29"/>
        <v>67.08</v>
      </c>
      <c r="BO260" s="64">
        <f t="shared" si="30"/>
        <v>8.9786756453423114E-2</v>
      </c>
      <c r="BP260" s="64">
        <f t="shared" si="31"/>
        <v>9.0909090909090925E-2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6</v>
      </c>
      <c r="Y261" s="616">
        <f t="shared" si="27"/>
        <v>10.8</v>
      </c>
      <c r="Z261" s="36">
        <f>IFERROR(IF(Y261=0,"",ROUNDUP(Y261/H261,0)*0.00902),"")</f>
        <v>1.804E-2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6.2111111111111104</v>
      </c>
      <c r="BN261" s="64">
        <f t="shared" si="29"/>
        <v>11.18</v>
      </c>
      <c r="BO261" s="64">
        <f t="shared" si="30"/>
        <v>8.4175084175084156E-3</v>
      </c>
      <c r="BP261" s="64">
        <f t="shared" si="31"/>
        <v>1.5151515151515152E-2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50</v>
      </c>
      <c r="Y262" s="616">
        <f t="shared" si="27"/>
        <v>54</v>
      </c>
      <c r="Z262" s="36">
        <f>IFERROR(IF(Y262=0,"",ROUNDUP(Y262/H262,0)*0.00902),"")</f>
        <v>9.0200000000000002E-2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51.759259259259252</v>
      </c>
      <c r="BN262" s="64">
        <f t="shared" si="29"/>
        <v>55.9</v>
      </c>
      <c r="BO262" s="64">
        <f t="shared" si="30"/>
        <v>7.0145903479236812E-2</v>
      </c>
      <c r="BP262" s="64">
        <f t="shared" si="31"/>
        <v>7.575757575757576E-2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23</v>
      </c>
      <c r="Y263" s="616">
        <f t="shared" si="27"/>
        <v>23.400000000000002</v>
      </c>
      <c r="Z263" s="36">
        <f>IFERROR(IF(Y263=0,"",ROUNDUP(Y263/H263,0)*0.00502),"")</f>
        <v>6.5259999999999999E-2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24.661111111111111</v>
      </c>
      <c r="BN263" s="64">
        <f t="shared" si="29"/>
        <v>25.090000000000003</v>
      </c>
      <c r="BO263" s="64">
        <f t="shared" si="30"/>
        <v>5.4605887939221276E-2</v>
      </c>
      <c r="BP263" s="64">
        <f t="shared" si="31"/>
        <v>5.5555555555555559E-2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2</v>
      </c>
      <c r="Y266" s="616">
        <f t="shared" si="27"/>
        <v>3.6</v>
      </c>
      <c r="Z266" s="36">
        <f>IFERROR(IF(Y266=0,"",ROUNDUP(Y266/H266,0)*0.00502),"")</f>
        <v>1.004E-2</v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2.1111111111111112</v>
      </c>
      <c r="BN266" s="64">
        <f t="shared" si="29"/>
        <v>3.8</v>
      </c>
      <c r="BO266" s="64">
        <f t="shared" si="30"/>
        <v>4.7483380816714157E-3</v>
      </c>
      <c r="BP266" s="64">
        <f t="shared" si="31"/>
        <v>8.5470085470085479E-3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36.111111111111114</v>
      </c>
      <c r="Y267" s="617">
        <f>IFERROR(Y259/H259,"0")+IFERROR(Y260/H260,"0")+IFERROR(Y261/H261,"0")+IFERROR(Y262/H262,"0")+IFERROR(Y263/H263,"0")+IFERROR(Y264/H264,"0")+IFERROR(Y265/H265,"0")+IFERROR(Y266/H266,"0")</f>
        <v>39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0.29177999999999998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145</v>
      </c>
      <c r="Y268" s="617">
        <f>IFERROR(SUM(Y259:Y266),"0")</f>
        <v>156.60000000000002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12</v>
      </c>
      <c r="Y270" s="616">
        <f t="shared" ref="Y270:Y281" si="32">IFERROR(IF(X270="",0,CEILING((X270/$H270),1)*$H270),"")</f>
        <v>16.2</v>
      </c>
      <c r="Z270" s="36">
        <f>IFERROR(IF(Y270=0,"",ROUNDUP(Y270/H270,0)*0.01898),"")</f>
        <v>3.7960000000000001E-2</v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12.73185185185185</v>
      </c>
      <c r="BN270" s="64">
        <f t="shared" ref="BN270:BN281" si="34">IFERROR(Y270*I270/H270,"0")</f>
        <v>17.187999999999999</v>
      </c>
      <c r="BO270" s="64">
        <f t="shared" ref="BO270:BO281" si="35">IFERROR(1/J270*(X270/H270),"0")</f>
        <v>2.314814814814815E-2</v>
      </c>
      <c r="BP270" s="64">
        <f t="shared" ref="BP270:BP281" si="36">IFERROR(1/J270*(Y270/H270),"0")</f>
        <v>3.125E-2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8</v>
      </c>
      <c r="Y273" s="616">
        <f t="shared" si="32"/>
        <v>9.6</v>
      </c>
      <c r="Z273" s="36">
        <f>IFERROR(IF(Y273=0,"",ROUNDUP(Y273/H273,0)*0.00651),"")</f>
        <v>2.6040000000000001E-2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8.9</v>
      </c>
      <c r="BN273" s="64">
        <f t="shared" si="34"/>
        <v>10.68</v>
      </c>
      <c r="BO273" s="64">
        <f t="shared" si="35"/>
        <v>1.8315018315018316E-2</v>
      </c>
      <c r="BP273" s="64">
        <f t="shared" si="36"/>
        <v>2.197802197802198E-2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141</v>
      </c>
      <c r="Y276" s="616">
        <f t="shared" si="32"/>
        <v>141.6</v>
      </c>
      <c r="Z276" s="36">
        <f>IFERROR(IF(Y276=0,"",ROUNDUP(Y276/H276,0)*0.00651),"")</f>
        <v>0.38408999999999999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155.80500000000001</v>
      </c>
      <c r="BN276" s="64">
        <f t="shared" si="34"/>
        <v>156.46800000000002</v>
      </c>
      <c r="BO276" s="64">
        <f t="shared" si="35"/>
        <v>0.32280219780219782</v>
      </c>
      <c r="BP276" s="64">
        <f t="shared" si="36"/>
        <v>0.32417582417582419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27</v>
      </c>
      <c r="Y278" s="616">
        <f t="shared" si="32"/>
        <v>28.799999999999997</v>
      </c>
      <c r="Z278" s="36">
        <f>IFERROR(IF(Y278=0,"",ROUNDUP(Y278/H278,0)*0.00651),"")</f>
        <v>7.8119999999999995E-2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29.835000000000001</v>
      </c>
      <c r="BN278" s="64">
        <f t="shared" si="34"/>
        <v>31.824000000000002</v>
      </c>
      <c r="BO278" s="64">
        <f t="shared" si="35"/>
        <v>6.1813186813186816E-2</v>
      </c>
      <c r="BP278" s="64">
        <f t="shared" si="36"/>
        <v>6.5934065934065936E-2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30</v>
      </c>
      <c r="Y280" s="616">
        <f t="shared" si="32"/>
        <v>31.2</v>
      </c>
      <c r="Z280" s="36">
        <f>IFERROR(IF(Y280=0,"",ROUNDUP(Y280/H280,0)*0.00651),"")</f>
        <v>8.4629999999999997E-2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33.225000000000001</v>
      </c>
      <c r="BN280" s="64">
        <f t="shared" si="34"/>
        <v>34.554000000000002</v>
      </c>
      <c r="BO280" s="64">
        <f t="shared" si="35"/>
        <v>6.8681318681318687E-2</v>
      </c>
      <c r="BP280" s="64">
        <f t="shared" si="36"/>
        <v>7.1428571428571438E-2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87.31481481481481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90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0.61083999999999994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218</v>
      </c>
      <c r="Y283" s="617">
        <f>IFERROR(SUM(Y270:Y281),"0")</f>
        <v>227.39999999999998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25</v>
      </c>
      <c r="Y286" s="616">
        <f>IFERROR(IF(X286="",0,CEILING((X286/$H286),1)*$H286),"")</f>
        <v>26.4</v>
      </c>
      <c r="Z286" s="36">
        <f>IFERROR(IF(Y286=0,"",ROUNDUP(Y286/H286,0)*0.00651),"")</f>
        <v>7.1610000000000007E-2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27.625</v>
      </c>
      <c r="BN286" s="64">
        <f>IFERROR(Y286*I286/H286,"0")</f>
        <v>29.172000000000001</v>
      </c>
      <c r="BO286" s="64">
        <f>IFERROR(1/J286*(X286/H286),"0")</f>
        <v>5.7234432234432246E-2</v>
      </c>
      <c r="BP286" s="64">
        <f>IFERROR(1/J286*(Y286/H286),"0")</f>
        <v>6.0439560439560447E-2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10.416666666666668</v>
      </c>
      <c r="Y287" s="617">
        <f>IFERROR(Y285/H285,"0")+IFERROR(Y286/H286,"0")</f>
        <v>11</v>
      </c>
      <c r="Z287" s="617">
        <f>IFERROR(IF(Z285="",0,Z285),"0")+IFERROR(IF(Z286="",0,Z286),"0")</f>
        <v>7.1610000000000007E-2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25</v>
      </c>
      <c r="Y288" s="617">
        <f>IFERROR(SUM(Y285:Y286),"0")</f>
        <v>26.4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48</v>
      </c>
      <c r="Y326" s="616">
        <f>IFERROR(IF(X326="",0,CEILING((X326/$H326),1)*$H326),"")</f>
        <v>48</v>
      </c>
      <c r="Z326" s="36">
        <f>IFERROR(IF(Y326=0,"",ROUNDUP(Y326/H326,0)*0.00651),"")</f>
        <v>0.13020000000000001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53.040000000000006</v>
      </c>
      <c r="BN326" s="64">
        <f>IFERROR(Y326*I326/H326,"0")</f>
        <v>53.040000000000006</v>
      </c>
      <c r="BO326" s="64">
        <f>IFERROR(1/J326*(X326/H326),"0")</f>
        <v>0.1098901098901099</v>
      </c>
      <c r="BP326" s="64">
        <f>IFERROR(1/J326*(Y326/H326),"0")</f>
        <v>0.1098901098901099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33</v>
      </c>
      <c r="Y327" s="616">
        <f>IFERROR(IF(X327="",0,CEILING((X327/$H327),1)*$H327),"")</f>
        <v>33.6</v>
      </c>
      <c r="Z327" s="36">
        <f>IFERROR(IF(Y327=0,"",ROUNDUP(Y327/H327,0)*0.00651),"")</f>
        <v>9.1139999999999999E-2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35.475000000000001</v>
      </c>
      <c r="BN327" s="64">
        <f>IFERROR(Y327*I327/H327,"0")</f>
        <v>36.120000000000005</v>
      </c>
      <c r="BO327" s="64">
        <f>IFERROR(1/J327*(X327/H327),"0")</f>
        <v>7.5549450549450559E-2</v>
      </c>
      <c r="BP327" s="64">
        <f>IFERROR(1/J327*(Y327/H327),"0")</f>
        <v>7.6923076923076941E-2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33.75</v>
      </c>
      <c r="Y328" s="617">
        <f>IFERROR(Y325/H325,"0")+IFERROR(Y326/H326,"0")+IFERROR(Y327/H327,"0")</f>
        <v>34</v>
      </c>
      <c r="Z328" s="617">
        <f>IFERROR(IF(Z325="",0,Z325),"0")+IFERROR(IF(Z326="",0,Z326),"0")+IFERROR(IF(Z327="",0,Z327),"0")</f>
        <v>0.22134000000000001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81</v>
      </c>
      <c r="Y329" s="617">
        <f>IFERROR(SUM(Y325:Y327),"0")</f>
        <v>81.599999999999994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41</v>
      </c>
      <c r="Y346" s="616">
        <f>IFERROR(IF(X346="",0,CEILING((X346/$H346),1)*$H346),"")</f>
        <v>46.8</v>
      </c>
      <c r="Z346" s="36">
        <f>IFERROR(IF(Y346=0,"",ROUNDUP(Y346/H346,0)*0.01898),"")</f>
        <v>0.11388000000000001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43.155128205128207</v>
      </c>
      <c r="BN346" s="64">
        <f>IFERROR(Y346*I346/H346,"0")</f>
        <v>49.260000000000005</v>
      </c>
      <c r="BO346" s="64">
        <f>IFERROR(1/J346*(X346/H346),"0")</f>
        <v>8.2131410256410256E-2</v>
      </c>
      <c r="BP346" s="64">
        <f>IFERROR(1/J346*(Y346/H346),"0")</f>
        <v>9.375E-2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49</v>
      </c>
      <c r="Y347" s="616">
        <f>IFERROR(IF(X347="",0,CEILING((X347/$H347),1)*$H347),"")</f>
        <v>54.6</v>
      </c>
      <c r="Z347" s="36">
        <f>IFERROR(IF(Y347=0,"",ROUNDUP(Y347/H347,0)*0.01898),"")</f>
        <v>0.13286000000000001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51.575641025641026</v>
      </c>
      <c r="BN347" s="64">
        <f>IFERROR(Y347*I347/H347,"0")</f>
        <v>57.470000000000013</v>
      </c>
      <c r="BO347" s="64">
        <f>IFERROR(1/J347*(X347/H347),"0")</f>
        <v>9.815705128205128E-2</v>
      </c>
      <c r="BP347" s="64">
        <f>IFERROR(1/J347*(Y347/H347),"0")</f>
        <v>0.109375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23</v>
      </c>
      <c r="Y348" s="616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24.208974358974363</v>
      </c>
      <c r="BN348" s="64">
        <f>IFERROR(Y348*I348/H348,"0")</f>
        <v>24.630000000000003</v>
      </c>
      <c r="BO348" s="64">
        <f>IFERROR(1/J348*(X348/H348),"0")</f>
        <v>4.6073717948717952E-2</v>
      </c>
      <c r="BP348" s="64">
        <f>IFERROR(1/J348*(Y348/H348),"0")</f>
        <v>4.6875E-2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14.487179487179487</v>
      </c>
      <c r="Y349" s="617">
        <f>IFERROR(Y346/H346,"0")+IFERROR(Y347/H347,"0")+IFERROR(Y348/H348,"0")</f>
        <v>16</v>
      </c>
      <c r="Z349" s="617">
        <f>IFERROR(IF(Z346="",0,Z346),"0")+IFERROR(IF(Z347="",0,Z347),"0")+IFERROR(IF(Z348="",0,Z348),"0")</f>
        <v>0.30368000000000001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113</v>
      </c>
      <c r="Y350" s="617">
        <f>IFERROR(SUM(Y346:Y348),"0")</f>
        <v>124.80000000000001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59</v>
      </c>
      <c r="Y378" s="616">
        <f>IFERROR(IF(X378="",0,CEILING((X378/$H378),1)*$H378),"")</f>
        <v>67.2</v>
      </c>
      <c r="Z378" s="36">
        <f>IFERROR(IF(Y378=0,"",ROUNDUP(Y378/H378,0)*0.01898),"")</f>
        <v>0.15184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62.469761904761903</v>
      </c>
      <c r="BN378" s="64">
        <f>IFERROR(Y378*I378/H378,"0")</f>
        <v>71.152000000000001</v>
      </c>
      <c r="BO378" s="64">
        <f>IFERROR(1/J378*(X378/H378),"0")</f>
        <v>0.10974702380952381</v>
      </c>
      <c r="BP378" s="64">
        <f>IFERROR(1/J378*(Y378/H378),"0")</f>
        <v>0.125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477</v>
      </c>
      <c r="Y379" s="616">
        <f>IFERROR(IF(X379="",0,CEILING((X379/$H379),1)*$H379),"")</f>
        <v>483.59999999999997</v>
      </c>
      <c r="Z379" s="36">
        <f>IFERROR(IF(Y379=0,"",ROUNDUP(Y379/H379,0)*0.01898),"")</f>
        <v>1.17676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507.21000000000004</v>
      </c>
      <c r="BN379" s="64">
        <f>IFERROR(Y379*I379/H379,"0")</f>
        <v>514.22799999999995</v>
      </c>
      <c r="BO379" s="64">
        <f>IFERROR(1/J379*(X379/H379),"0")</f>
        <v>0.95552884615384615</v>
      </c>
      <c r="BP379" s="64">
        <f>IFERROR(1/J379*(Y379/H379),"0")</f>
        <v>0.96875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68.177655677655679</v>
      </c>
      <c r="Y381" s="617">
        <f>IFERROR(Y378/H378,"0")+IFERROR(Y379/H379,"0")+IFERROR(Y380/H380,"0")</f>
        <v>70</v>
      </c>
      <c r="Z381" s="617">
        <f>IFERROR(IF(Z378="",0,Z378),"0")+IFERROR(IF(Z379="",0,Z379),"0")+IFERROR(IF(Z380="",0,Z380),"0")</f>
        <v>1.3286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536</v>
      </c>
      <c r="Y382" s="617">
        <f>IFERROR(SUM(Y378:Y380),"0")</f>
        <v>550.79999999999995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7</v>
      </c>
      <c r="Y385" s="616">
        <f>IFERROR(IF(X385="",0,CEILING((X385/$H385),1)*$H385),"")</f>
        <v>9.120000000000001</v>
      </c>
      <c r="Z385" s="36">
        <f>IFERROR(IF(Y385=0,"",ROUNDUP(Y385/H385,0)*0.00902),"")</f>
        <v>2.7060000000000001E-2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7.5296052631578947</v>
      </c>
      <c r="BN385" s="64">
        <f>IFERROR(Y385*I385/H385,"0")</f>
        <v>9.81</v>
      </c>
      <c r="BO385" s="64">
        <f>IFERROR(1/J385*(X385/H385),"0")</f>
        <v>1.7444178628389158E-2</v>
      </c>
      <c r="BP385" s="64">
        <f>IFERROR(1/J385*(Y385/H385),"0")</f>
        <v>2.2727272727272731E-2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2.3026315789473686</v>
      </c>
      <c r="Y388" s="617">
        <f>IFERROR(Y384/H384,"0")+IFERROR(Y385/H385,"0")+IFERROR(Y386/H386,"0")+IFERROR(Y387/H387,"0")</f>
        <v>3.0000000000000004</v>
      </c>
      <c r="Z388" s="617">
        <f>IFERROR(IF(Z384="",0,Z384),"0")+IFERROR(IF(Z385="",0,Z385),"0")+IFERROR(IF(Z386="",0,Z386),"0")+IFERROR(IF(Z387="",0,Z387),"0")</f>
        <v>2.7060000000000001E-2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7</v>
      </c>
      <c r="Y389" s="617">
        <f>IFERROR(SUM(Y384:Y387),"0")</f>
        <v>9.120000000000001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14</v>
      </c>
      <c r="Y391" s="616">
        <f>IFERROR(IF(X391="",0,CEILING((X391/$H391),1)*$H391),"")</f>
        <v>14</v>
      </c>
      <c r="Z391" s="36">
        <f>IFERROR(IF(Y391=0,"",ROUNDUP(Y391/H391,0)*0.00474),"")</f>
        <v>3.3180000000000001E-2</v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15.680000000000001</v>
      </c>
      <c r="BN391" s="64">
        <f>IFERROR(Y391*I391/H391,"0")</f>
        <v>15.680000000000001</v>
      </c>
      <c r="BO391" s="64">
        <f>IFERROR(1/J391*(X391/H391),"0")</f>
        <v>2.9411764705882353E-2</v>
      </c>
      <c r="BP391" s="64">
        <f>IFERROR(1/J391*(Y391/H391),"0")</f>
        <v>2.9411764705882353E-2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16</v>
      </c>
      <c r="Y392" s="616">
        <f>IFERROR(IF(X392="",0,CEILING((X392/$H392),1)*$H392),"")</f>
        <v>16</v>
      </c>
      <c r="Z392" s="36">
        <f>IFERROR(IF(Y392=0,"",ROUNDUP(Y392/H392,0)*0.00474),"")</f>
        <v>3.7920000000000002E-2</v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17.920000000000002</v>
      </c>
      <c r="BN392" s="64">
        <f>IFERROR(Y392*I392/H392,"0")</f>
        <v>17.920000000000002</v>
      </c>
      <c r="BO392" s="64">
        <f>IFERROR(1/J392*(X392/H392),"0")</f>
        <v>3.3613445378151259E-2</v>
      </c>
      <c r="BP392" s="64">
        <f>IFERROR(1/J392*(Y392/H392),"0")</f>
        <v>3.3613445378151259E-2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15</v>
      </c>
      <c r="Y394" s="617">
        <f>IFERROR(Y391/H391,"0")+IFERROR(Y392/H392,"0")+IFERROR(Y393/H393,"0")</f>
        <v>15</v>
      </c>
      <c r="Z394" s="617">
        <f>IFERROR(IF(Z391="",0,Z391),"0")+IFERROR(IF(Z392="",0,Z392),"0")+IFERROR(IF(Z393="",0,Z393),"0")</f>
        <v>7.1099999999999997E-2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30</v>
      </c>
      <c r="Y395" s="617">
        <f>IFERROR(SUM(Y391:Y393),"0")</f>
        <v>30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1336</v>
      </c>
      <c r="Y413" s="616">
        <f t="shared" si="47"/>
        <v>1350</v>
      </c>
      <c r="Z413" s="36">
        <f>IFERROR(IF(Y413=0,"",ROUNDUP(Y413/H413,0)*0.02175),"")</f>
        <v>1.9574999999999998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1377.8613333333335</v>
      </c>
      <c r="BN413" s="64">
        <f t="shared" si="49"/>
        <v>1392.3</v>
      </c>
      <c r="BO413" s="64">
        <f t="shared" si="50"/>
        <v>1.8555555555555554</v>
      </c>
      <c r="BP413" s="64">
        <f t="shared" si="51"/>
        <v>1.875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962</v>
      </c>
      <c r="Y414" s="616">
        <f t="shared" si="47"/>
        <v>975</v>
      </c>
      <c r="Z414" s="36">
        <f>IFERROR(IF(Y414=0,"",ROUNDUP(Y414/H414,0)*0.02175),"")</f>
        <v>1.4137499999999998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992.14266666666674</v>
      </c>
      <c r="BN414" s="64">
        <f t="shared" si="49"/>
        <v>1005.55</v>
      </c>
      <c r="BO414" s="64">
        <f t="shared" si="50"/>
        <v>1.3361111111111112</v>
      </c>
      <c r="BP414" s="64">
        <f t="shared" si="51"/>
        <v>1.3541666666666665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111</v>
      </c>
      <c r="Y415" s="616">
        <f t="shared" si="47"/>
        <v>120</v>
      </c>
      <c r="Z415" s="36">
        <f>IFERROR(IF(Y415=0,"",ROUNDUP(Y415/H415,0)*0.02175),"")</f>
        <v>0.17399999999999999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114.47800000000001</v>
      </c>
      <c r="BN415" s="64">
        <f t="shared" si="49"/>
        <v>123.76</v>
      </c>
      <c r="BO415" s="64">
        <f t="shared" si="50"/>
        <v>0.15416666666666667</v>
      </c>
      <c r="BP415" s="64">
        <f t="shared" si="51"/>
        <v>0.16666666666666666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891</v>
      </c>
      <c r="Y416" s="616">
        <f t="shared" si="47"/>
        <v>900</v>
      </c>
      <c r="Z416" s="36">
        <f>IFERROR(IF(Y416=0,"",ROUNDUP(Y416/H416,0)*0.02175),"")</f>
        <v>1.3049999999999999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918.91800000000001</v>
      </c>
      <c r="BN416" s="64">
        <f t="shared" si="49"/>
        <v>928.2</v>
      </c>
      <c r="BO416" s="64">
        <f t="shared" si="50"/>
        <v>1.2374999999999998</v>
      </c>
      <c r="BP416" s="64">
        <f t="shared" si="51"/>
        <v>1.25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220</v>
      </c>
      <c r="Y420" s="617">
        <f>IFERROR(Y412/H412,"0")+IFERROR(Y413/H413,"0")+IFERROR(Y414/H414,"0")+IFERROR(Y415/H415,"0")+IFERROR(Y416/H416,"0")+IFERROR(Y417/H417,"0")+IFERROR(Y418/H418,"0")+IFERROR(Y419/H419,"0")</f>
        <v>223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4.85025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3300</v>
      </c>
      <c r="Y421" s="617">
        <f>IFERROR(SUM(Y412:Y419),"0")</f>
        <v>3345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576</v>
      </c>
      <c r="Y423" s="616">
        <f>IFERROR(IF(X423="",0,CEILING((X423/$H423),1)*$H423),"")</f>
        <v>585</v>
      </c>
      <c r="Z423" s="36">
        <f>IFERROR(IF(Y423=0,"",ROUNDUP(Y423/H423,0)*0.02175),"")</f>
        <v>0.84824999999999995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594.04800000000012</v>
      </c>
      <c r="BN423" s="64">
        <f>IFERROR(Y423*I423/H423,"0")</f>
        <v>603.33000000000004</v>
      </c>
      <c r="BO423" s="64">
        <f>IFERROR(1/J423*(X423/H423),"0")</f>
        <v>0.79999999999999993</v>
      </c>
      <c r="BP423" s="64">
        <f>IFERROR(1/J423*(Y423/H423),"0")</f>
        <v>0.8125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45</v>
      </c>
      <c r="Y424" s="616">
        <f>IFERROR(IF(X424="",0,CEILING((X424/$H424),1)*$H424),"")</f>
        <v>45</v>
      </c>
      <c r="Z424" s="36">
        <f>IFERROR(IF(Y424=0,"",ROUNDUP(Y424/H424,0)*0.02175),"")</f>
        <v>6.5250000000000002E-2</v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46.41</v>
      </c>
      <c r="BN424" s="64">
        <f>IFERROR(Y424*I424/H424,"0")</f>
        <v>46.41</v>
      </c>
      <c r="BO424" s="64">
        <f>IFERROR(1/J424*(X424/H424),"0")</f>
        <v>6.25E-2</v>
      </c>
      <c r="BP424" s="64">
        <f>IFERROR(1/J424*(Y424/H424),"0")</f>
        <v>6.25E-2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41.4</v>
      </c>
      <c r="Y426" s="617">
        <f>IFERROR(Y423/H423,"0")+IFERROR(Y424/H424,"0")+IFERROR(Y425/H425,"0")</f>
        <v>42</v>
      </c>
      <c r="Z426" s="617">
        <f>IFERROR(IF(Z423="",0,Z423),"0")+IFERROR(IF(Z424="",0,Z424),"0")+IFERROR(IF(Z425="",0,Z425),"0")</f>
        <v>0.91349999999999998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621</v>
      </c>
      <c r="Y427" s="617">
        <f>IFERROR(SUM(Y423:Y425),"0")</f>
        <v>630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80</v>
      </c>
      <c r="Y431" s="616">
        <f>IFERROR(IF(X431="",0,CEILING((X431/$H431),1)*$H431),"")</f>
        <v>81</v>
      </c>
      <c r="Z431" s="36">
        <f>IFERROR(IF(Y431=0,"",ROUNDUP(Y431/H431,0)*0.01898),"")</f>
        <v>0.17082</v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84.391111111111115</v>
      </c>
      <c r="BN431" s="64">
        <f>IFERROR(Y431*I431/H431,"0")</f>
        <v>85.445999999999998</v>
      </c>
      <c r="BO431" s="64">
        <f>IFERROR(1/J431*(X431/H431),"0")</f>
        <v>0.1388888888888889</v>
      </c>
      <c r="BP431" s="64">
        <f>IFERROR(1/J431*(Y431/H431),"0")</f>
        <v>0.140625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8.8888888888888893</v>
      </c>
      <c r="Y432" s="617">
        <f>IFERROR(Y429/H429,"0")+IFERROR(Y430/H430,"0")+IFERROR(Y431/H431,"0")</f>
        <v>9</v>
      </c>
      <c r="Z432" s="617">
        <f>IFERROR(IF(Z429="",0,Z429),"0")+IFERROR(IF(Z430="",0,Z430),"0")+IFERROR(IF(Z431="",0,Z431),"0")</f>
        <v>0.17082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80</v>
      </c>
      <c r="Y433" s="617">
        <f>IFERROR(SUM(Y429:Y431),"0")</f>
        <v>81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85</v>
      </c>
      <c r="Y436" s="616">
        <f>IFERROR(IF(X436="",0,CEILING((X436/$H436),1)*$H436),"")</f>
        <v>90</v>
      </c>
      <c r="Z436" s="36">
        <f>IFERROR(IF(Y436=0,"",ROUNDUP(Y436/H436,0)*0.01898),"")</f>
        <v>0.1898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89.665555555555557</v>
      </c>
      <c r="BN436" s="64">
        <f>IFERROR(Y436*I436/H436,"0")</f>
        <v>94.94</v>
      </c>
      <c r="BO436" s="64">
        <f>IFERROR(1/J436*(X436/H436),"0")</f>
        <v>0.14756944444444445</v>
      </c>
      <c r="BP436" s="64">
        <f>IFERROR(1/J436*(Y436/H436),"0")</f>
        <v>0.15625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9.4444444444444446</v>
      </c>
      <c r="Y437" s="617">
        <f>IFERROR(Y435/H435,"0")+IFERROR(Y436/H436,"0")</f>
        <v>10</v>
      </c>
      <c r="Z437" s="617">
        <f>IFERROR(IF(Z435="",0,Z435),"0")+IFERROR(IF(Z436="",0,Z436),"0")</f>
        <v>0.1898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85</v>
      </c>
      <c r="Y438" s="617">
        <f>IFERROR(SUM(Y435:Y436),"0")</f>
        <v>90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784</v>
      </c>
      <c r="Y450" s="616">
        <f>IFERROR(IF(X450="",0,CEILING((X450/$H450),1)*$H450),"")</f>
        <v>792</v>
      </c>
      <c r="Z450" s="36">
        <f>IFERROR(IF(Y450=0,"",ROUNDUP(Y450/H450,0)*0.01898),"")</f>
        <v>1.6702399999999999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827.03288888888892</v>
      </c>
      <c r="BN450" s="64">
        <f>IFERROR(Y450*I450/H450,"0")</f>
        <v>835.47199999999998</v>
      </c>
      <c r="BO450" s="64">
        <f>IFERROR(1/J450*(X450/H450),"0")</f>
        <v>1.3611111111111112</v>
      </c>
      <c r="BP450" s="64">
        <f>IFERROR(1/J450*(Y450/H450),"0")</f>
        <v>1.375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2</v>
      </c>
      <c r="Y451" s="616">
        <f>IFERROR(IF(X451="",0,CEILING((X451/$H451),1)*$H451),"")</f>
        <v>2.4</v>
      </c>
      <c r="Z451" s="36">
        <f>IFERROR(IF(Y451=0,"",ROUNDUP(Y451/H451,0)*0.00651),"")</f>
        <v>6.5100000000000002E-3</v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2.2200000000000002</v>
      </c>
      <c r="BN451" s="64">
        <f>IFERROR(Y451*I451/H451,"0")</f>
        <v>2.6640000000000001</v>
      </c>
      <c r="BO451" s="64">
        <f>IFERROR(1/J451*(X451/H451),"0")</f>
        <v>4.578754578754579E-3</v>
      </c>
      <c r="BP451" s="64">
        <f>IFERROR(1/J451*(Y451/H451),"0")</f>
        <v>5.4945054945054949E-3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87.944444444444443</v>
      </c>
      <c r="Y453" s="617">
        <f>IFERROR(Y450/H450,"0")+IFERROR(Y451/H451,"0")+IFERROR(Y452/H452,"0")</f>
        <v>89</v>
      </c>
      <c r="Z453" s="617">
        <f>IFERROR(IF(Z450="",0,Z450),"0")+IFERROR(IF(Z451="",0,Z451),"0")+IFERROR(IF(Z452="",0,Z452),"0")</f>
        <v>1.67675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786</v>
      </c>
      <c r="Y454" s="617">
        <f>IFERROR(SUM(Y450:Y452),"0")</f>
        <v>794.4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62</v>
      </c>
      <c r="Y485" s="616">
        <f t="shared" ref="Y485:Y493" si="57">IFERROR(IF(X485="",0,CEILING((X485/$H485),1)*$H485),"")</f>
        <v>63.36</v>
      </c>
      <c r="Z485" s="36">
        <f t="shared" ref="Z485:Z490" si="58">IFERROR(IF(Y485=0,"",ROUNDUP(Y485/H485,0)*0.01196),"")</f>
        <v>0.14352000000000001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66.109848484848484</v>
      </c>
      <c r="BN485" s="64">
        <f t="shared" ref="BN485:BN493" si="60">IFERROR(Y485*I485/H485,"0")</f>
        <v>67.559999999999988</v>
      </c>
      <c r="BO485" s="64">
        <f t="shared" ref="BO485:BO493" si="61">IFERROR(1/J485*(X485/H485),"0")</f>
        <v>0.11290792540792541</v>
      </c>
      <c r="BP485" s="64">
        <f t="shared" ref="BP485:BP493" si="62">IFERROR(1/J485*(Y485/H485),"0")</f>
        <v>0.11538461538461539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27</v>
      </c>
      <c r="Y487" s="616">
        <f t="shared" si="57"/>
        <v>31.68</v>
      </c>
      <c r="Z487" s="36">
        <f t="shared" si="58"/>
        <v>7.1760000000000004E-2</v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28.789772727272723</v>
      </c>
      <c r="BN487" s="64">
        <f t="shared" si="60"/>
        <v>33.779999999999994</v>
      </c>
      <c r="BO487" s="64">
        <f t="shared" si="61"/>
        <v>4.9169580419580416E-2</v>
      </c>
      <c r="BP487" s="64">
        <f t="shared" si="62"/>
        <v>5.7692307692307696E-2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136</v>
      </c>
      <c r="Y490" s="616">
        <f t="shared" si="57"/>
        <v>137.28</v>
      </c>
      <c r="Z490" s="36">
        <f t="shared" si="58"/>
        <v>0.31096000000000001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145.0151515151515</v>
      </c>
      <c r="BN490" s="64">
        <f t="shared" si="60"/>
        <v>146.38</v>
      </c>
      <c r="BO490" s="64">
        <f t="shared" si="61"/>
        <v>0.24766899766899769</v>
      </c>
      <c r="BP490" s="64">
        <f t="shared" si="62"/>
        <v>0.25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18</v>
      </c>
      <c r="Y493" s="616">
        <f t="shared" si="57"/>
        <v>19.2</v>
      </c>
      <c r="Z493" s="36">
        <f>IFERROR(IF(Y493=0,"",ROUNDUP(Y493/H493,0)*0.00902),"")</f>
        <v>3.6080000000000001E-2</v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25.912500000000001</v>
      </c>
      <c r="BN493" s="64">
        <f t="shared" si="60"/>
        <v>27.64</v>
      </c>
      <c r="BO493" s="64">
        <f t="shared" si="61"/>
        <v>2.8409090909090912E-2</v>
      </c>
      <c r="BP493" s="64">
        <f t="shared" si="62"/>
        <v>3.0303030303030304E-2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46.36363636363636</v>
      </c>
      <c r="Y494" s="617">
        <f>IFERROR(Y485/H485,"0")+IFERROR(Y486/H486,"0")+IFERROR(Y487/H487,"0")+IFERROR(Y488/H488,"0")+IFERROR(Y489/H489,"0")+IFERROR(Y490/H490,"0")+IFERROR(Y491/H491,"0")+IFERROR(Y492/H492,"0")+IFERROR(Y493/H493,"0")</f>
        <v>48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0.56232000000000004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243</v>
      </c>
      <c r="Y495" s="617">
        <f>IFERROR(SUM(Y485:Y493),"0")</f>
        <v>251.51999999999998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34</v>
      </c>
      <c r="Y503" s="616">
        <f t="shared" ref="Y503:Y509" si="63">IFERROR(IF(X503="",0,CEILING((X503/$H503),1)*$H503),"")</f>
        <v>36.96</v>
      </c>
      <c r="Z503" s="36">
        <f>IFERROR(IF(Y503=0,"",ROUNDUP(Y503/H503,0)*0.01196),"")</f>
        <v>8.3720000000000003E-2</v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36.253787878787875</v>
      </c>
      <c r="BN503" s="64">
        <f t="shared" ref="BN503:BN509" si="65">IFERROR(Y503*I503/H503,"0")</f>
        <v>39.409999999999997</v>
      </c>
      <c r="BO503" s="64">
        <f t="shared" ref="BO503:BO509" si="66">IFERROR(1/J503*(X503/H503),"0")</f>
        <v>6.1917249417249423E-2</v>
      </c>
      <c r="BP503" s="64">
        <f t="shared" ref="BP503:BP509" si="67">IFERROR(1/J503*(Y503/H503),"0")</f>
        <v>6.7307692307692318E-2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165</v>
      </c>
      <c r="Y504" s="616">
        <f t="shared" si="63"/>
        <v>168.96</v>
      </c>
      <c r="Z504" s="36">
        <f>IFERROR(IF(Y504=0,"",ROUNDUP(Y504/H504,0)*0.01196),"")</f>
        <v>0.38272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175.93749999999997</v>
      </c>
      <c r="BN504" s="64">
        <f t="shared" si="65"/>
        <v>180.16</v>
      </c>
      <c r="BO504" s="64">
        <f t="shared" si="66"/>
        <v>0.30048076923076927</v>
      </c>
      <c r="BP504" s="64">
        <f t="shared" si="67"/>
        <v>0.30769230769230771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42</v>
      </c>
      <c r="Y505" s="616">
        <f t="shared" si="63"/>
        <v>42.24</v>
      </c>
      <c r="Z505" s="36">
        <f>IFERROR(IF(Y505=0,"",ROUNDUP(Y505/H505,0)*0.01196),"")</f>
        <v>9.5680000000000001E-2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44.784090909090907</v>
      </c>
      <c r="BN505" s="64">
        <f t="shared" si="65"/>
        <v>45.04</v>
      </c>
      <c r="BO505" s="64">
        <f t="shared" si="66"/>
        <v>7.6486013986013984E-2</v>
      </c>
      <c r="BP505" s="64">
        <f t="shared" si="67"/>
        <v>7.6923076923076927E-2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7</v>
      </c>
      <c r="Y509" s="616">
        <f t="shared" si="63"/>
        <v>9.6</v>
      </c>
      <c r="Z509" s="36">
        <f>IFERROR(IF(Y509=0,"",ROUNDUP(Y509/H509,0)*0.00902),"")</f>
        <v>1.804E-2</v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9.7270833333333329</v>
      </c>
      <c r="BN509" s="64">
        <f t="shared" si="65"/>
        <v>13.34</v>
      </c>
      <c r="BO509" s="64">
        <f t="shared" si="66"/>
        <v>1.10479797979798E-2</v>
      </c>
      <c r="BP509" s="64">
        <f t="shared" si="67"/>
        <v>1.5151515151515152E-2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47.102272727272727</v>
      </c>
      <c r="Y510" s="617">
        <f>IFERROR(Y503/H503,"0")+IFERROR(Y504/H504,"0")+IFERROR(Y505/H505,"0")+IFERROR(Y506/H506,"0")+IFERROR(Y507/H507,"0")+IFERROR(Y508/H508,"0")+IFERROR(Y509/H509,"0")</f>
        <v>49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0.58016000000000001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248</v>
      </c>
      <c r="Y511" s="617">
        <f>IFERROR(SUM(Y503:Y509),"0")</f>
        <v>257.76000000000005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7735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7917.2999999999993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8108.706524818911</v>
      </c>
      <c r="Y542" s="617">
        <f>IFERROR(SUM(BN22:BN538),"0")</f>
        <v>8301.67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13</v>
      </c>
      <c r="Y543" s="38">
        <f>ROUNDUP(SUM(BP22:BP538),0)</f>
        <v>14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8433.7065248189101</v>
      </c>
      <c r="Y544" s="617">
        <f>GrossWeightTotalR+PalletQtyTotalR*25</f>
        <v>8651.67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1010.4552994357821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1040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14.840559999999998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97.2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36</v>
      </c>
      <c r="F551" s="46">
        <f>IFERROR(Y88*1,"0")+IFERROR(Y89*1,"0")+IFERROR(Y90*1,"0")+IFERROR(Y91*1,"0")+IFERROR(Y95*1,"0")+IFERROR(Y96*1,"0")+IFERROR(Y97*1,"0")+IFERROR(Y98*1,"0")</f>
        <v>410.4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357.65999999999997</v>
      </c>
      <c r="H551" s="46">
        <f>IFERROR(Y132*1,"0")+IFERROR(Y133*1,"0")+IFERROR(Y137*1,"0")+IFERROR(Y138*1,"0")+IFERROR(Y142*1,"0")+IFERROR(Y143*1,"0")</f>
        <v>33.92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270.2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55.52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410.4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81.599999999999994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124.80000000000001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589.91999999999996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4146</v>
      </c>
      <c r="W551" s="46">
        <f>IFERROR(Y441*1,"0")+IFERROR(Y442*1,"0")+IFERROR(Y446*1,"0")+IFERROR(Y450*1,"0")+IFERROR(Y451*1,"0")+IFERROR(Y452*1,"0")</f>
        <v>794.4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509.28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2026-07-17T12:53:26Z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