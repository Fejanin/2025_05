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  <definedName name="_xlnm._FilterDatabase" localSheetId="0" hidden="1">'Бланк заказа'!$A$18:$AF$546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8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311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833" fillId="0" borderId="11" applyAlignment="1" applyProtection="1" pivotButton="0" quotePrefix="0" xfId="0">
      <alignment wrapText="1"/>
      <protection locked="1" hidden="1"/>
    </xf>
    <xf numFmtId="0" fontId="834" fillId="0" borderId="0" pivotButton="0" quotePrefix="0" xfId="0"/>
    <xf numFmtId="0" fontId="836" fillId="0" borderId="11" applyAlignment="1" applyProtection="1" pivotButton="0" quotePrefix="0" xfId="0">
      <alignment wrapText="1"/>
      <protection locked="1" hidden="1"/>
    </xf>
    <xf numFmtId="0" fontId="837" fillId="0" borderId="0" pivotButton="0" quotePrefix="0" xfId="0"/>
    <xf numFmtId="0" fontId="839" fillId="0" borderId="11" applyAlignment="1" applyProtection="1" pivotButton="0" quotePrefix="0" xfId="0">
      <alignment wrapText="1"/>
      <protection locked="1" hidden="1"/>
    </xf>
    <xf numFmtId="0" fontId="840" fillId="0" borderId="0" pivotButton="0" quotePrefix="0" xfId="0"/>
    <xf numFmtId="0" fontId="842" fillId="0" borderId="11" applyAlignment="1" applyProtection="1" pivotButton="0" quotePrefix="0" xfId="0">
      <alignment wrapText="1"/>
      <protection locked="1" hidden="1"/>
    </xf>
    <xf numFmtId="0" fontId="843" fillId="0" borderId="0" pivotButton="0" quotePrefix="0" xfId="0"/>
    <xf numFmtId="0" fontId="845" fillId="0" borderId="11" applyAlignment="1" applyProtection="1" pivotButton="0" quotePrefix="0" xfId="0">
      <alignment wrapText="1"/>
      <protection locked="1" hidden="1"/>
    </xf>
    <xf numFmtId="0" fontId="846" fillId="0" borderId="0" pivotButton="0" quotePrefix="0" xfId="0"/>
    <xf numFmtId="0" fontId="848" fillId="0" borderId="11" applyAlignment="1" applyProtection="1" pivotButton="0" quotePrefix="0" xfId="0">
      <alignment wrapText="1"/>
      <protection locked="1" hidden="1"/>
    </xf>
    <xf numFmtId="0" fontId="849" fillId="0" borderId="0" pivotButton="0" quotePrefix="0" xfId="0"/>
    <xf numFmtId="0" fontId="851" fillId="0" borderId="11" applyAlignment="1" applyProtection="1" pivotButton="0" quotePrefix="0" xfId="0">
      <alignment wrapText="1"/>
      <protection locked="1" hidden="1"/>
    </xf>
    <xf numFmtId="0" fontId="852" fillId="0" borderId="0" pivotButton="0" quotePrefix="0" xfId="0"/>
    <xf numFmtId="0" fontId="854" fillId="0" borderId="11" applyAlignment="1" applyProtection="1" pivotButton="0" quotePrefix="0" xfId="0">
      <alignment wrapText="1"/>
      <protection locked="1" hidden="1"/>
    </xf>
    <xf numFmtId="0" fontId="855" fillId="0" borderId="0" pivotButton="0" quotePrefix="0" xfId="0"/>
    <xf numFmtId="0" fontId="857" fillId="0" borderId="11" applyAlignment="1" applyProtection="1" pivotButton="0" quotePrefix="0" xfId="0">
      <alignment wrapText="1"/>
      <protection locked="1" hidden="1"/>
    </xf>
    <xf numFmtId="0" fontId="858" fillId="0" borderId="0" pivotButton="0" quotePrefix="0" xfId="0"/>
    <xf numFmtId="0" fontId="860" fillId="0" borderId="11" applyAlignment="1" applyProtection="1" pivotButton="0" quotePrefix="0" xfId="0">
      <alignment wrapText="1"/>
      <protection locked="1" hidden="1"/>
    </xf>
    <xf numFmtId="0" fontId="861" fillId="0" borderId="0" pivotButton="0" quotePrefix="0" xfId="0"/>
    <xf numFmtId="0" fontId="863" fillId="0" borderId="11" applyAlignment="1" applyProtection="1" pivotButton="0" quotePrefix="0" xfId="0">
      <alignment wrapText="1"/>
      <protection locked="1" hidden="1"/>
    </xf>
    <xf numFmtId="0" fontId="864" fillId="0" borderId="0" pivotButton="0" quotePrefix="0" xfId="0"/>
    <xf numFmtId="0" fontId="866" fillId="0" borderId="11" applyAlignment="1" applyProtection="1" pivotButton="0" quotePrefix="0" xfId="0">
      <alignment wrapText="1"/>
      <protection locked="1" hidden="1"/>
    </xf>
    <xf numFmtId="0" fontId="867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832" fillId="0" borderId="45" applyAlignment="1" pivotButton="0" quotePrefix="0" xfId="0">
      <alignment horizontal="left" vertical="center" wrapText="1"/>
    </xf>
    <xf numFmtId="0" fontId="835" fillId="0" borderId="45" applyAlignment="1" pivotButton="0" quotePrefix="0" xfId="0">
      <alignment horizontal="left" vertical="center" wrapText="1"/>
    </xf>
    <xf numFmtId="0" fontId="838" fillId="0" borderId="45" applyAlignment="1" pivotButton="0" quotePrefix="0" xfId="0">
      <alignment horizontal="left" vertical="center" wrapText="1"/>
    </xf>
    <xf numFmtId="0" fontId="841" fillId="0" borderId="45" applyAlignment="1" pivotButton="0" quotePrefix="0" xfId="0">
      <alignment horizontal="left" vertical="center" wrapText="1"/>
    </xf>
    <xf numFmtId="0" fontId="844" fillId="0" borderId="45" applyAlignment="1" pivotButton="0" quotePrefix="0" xfId="0">
      <alignment horizontal="left" vertical="center" wrapText="1"/>
    </xf>
    <xf numFmtId="0" fontId="847" fillId="0" borderId="45" applyAlignment="1" pivotButton="0" quotePrefix="0" xfId="0">
      <alignment horizontal="left" vertical="center" wrapText="1"/>
    </xf>
    <xf numFmtId="0" fontId="850" fillId="0" borderId="45" applyAlignment="1" pivotButton="0" quotePrefix="0" xfId="0">
      <alignment horizontal="left" vertical="center" wrapText="1"/>
    </xf>
    <xf numFmtId="0" fontId="853" fillId="0" borderId="45" applyAlignment="1" pivotButton="0" quotePrefix="0" xfId="0">
      <alignment horizontal="left" vertical="center" wrapText="1"/>
    </xf>
    <xf numFmtId="0" fontId="856" fillId="0" borderId="45" applyAlignment="1" pivotButton="0" quotePrefix="0" xfId="0">
      <alignment horizontal="left" vertical="center" wrapText="1"/>
    </xf>
    <xf numFmtId="0" fontId="859" fillId="0" borderId="45" applyAlignment="1" pivotButton="0" quotePrefix="0" xfId="0">
      <alignment horizontal="left" vertical="center" wrapText="1"/>
    </xf>
    <xf numFmtId="0" fontId="862" fillId="0" borderId="45" applyAlignment="1" pivotButton="0" quotePrefix="0" xfId="0">
      <alignment horizontal="left" vertical="center" wrapText="1"/>
    </xf>
    <xf numFmtId="0" fontId="865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832" fillId="0" borderId="53" applyAlignment="1" pivotButton="0" quotePrefix="0" xfId="0">
      <alignment horizontal="left" vertical="center" wrapText="1"/>
    </xf>
    <xf numFmtId="0" fontId="835" fillId="0" borderId="53" applyAlignment="1" pivotButton="0" quotePrefix="0" xfId="0">
      <alignment horizontal="left" vertical="center" wrapText="1"/>
    </xf>
    <xf numFmtId="0" fontId="838" fillId="0" borderId="53" applyAlignment="1" pivotButton="0" quotePrefix="0" xfId="0">
      <alignment horizontal="left" vertical="center" wrapText="1"/>
    </xf>
    <xf numFmtId="0" fontId="841" fillId="0" borderId="53" applyAlignment="1" pivotButton="0" quotePrefix="0" xfId="0">
      <alignment horizontal="left" vertical="center" wrapText="1"/>
    </xf>
    <xf numFmtId="0" fontId="844" fillId="0" borderId="53" applyAlignment="1" pivotButton="0" quotePrefix="0" xfId="0">
      <alignment horizontal="left" vertical="center" wrapText="1"/>
    </xf>
    <xf numFmtId="0" fontId="847" fillId="0" borderId="53" applyAlignment="1" pivotButton="0" quotePrefix="0" xfId="0">
      <alignment horizontal="left" vertical="center" wrapText="1"/>
    </xf>
    <xf numFmtId="0" fontId="850" fillId="0" borderId="53" applyAlignment="1" pivotButton="0" quotePrefix="0" xfId="0">
      <alignment horizontal="left" vertical="center" wrapText="1"/>
    </xf>
    <xf numFmtId="0" fontId="853" fillId="0" borderId="53" applyAlignment="1" pivotButton="0" quotePrefix="0" xfId="0">
      <alignment horizontal="left" vertical="center" wrapText="1"/>
    </xf>
    <xf numFmtId="0" fontId="856" fillId="0" borderId="53" applyAlignment="1" pivotButton="0" quotePrefix="0" xfId="0">
      <alignment horizontal="left" vertical="center" wrapText="1"/>
    </xf>
    <xf numFmtId="0" fontId="859" fillId="0" borderId="53" applyAlignment="1" pivotButton="0" quotePrefix="0" xfId="0">
      <alignment horizontal="left" vertical="center" wrapText="1"/>
    </xf>
    <xf numFmtId="0" fontId="862" fillId="0" borderId="53" applyAlignment="1" pivotButton="0" quotePrefix="0" xfId="0">
      <alignment horizontal="left" vertical="center" wrapText="1"/>
    </xf>
    <xf numFmtId="0" fontId="865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52"/>
  <sheetViews>
    <sheetView showGridLines="0" tabSelected="1" zoomScaleNormal="100" zoomScaleSheetLayoutView="100" workbookViewId="0">
      <selection activeCell="Z22" sqref="Z22"/>
    </sheetView>
  </sheetViews>
  <sheetFormatPr baseColWidth="8" defaultColWidth="9.140625" defaultRowHeight="12.75"/>
  <cols>
    <col width="9.140625" customWidth="1" style="979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979" min="18" max="18"/>
    <col width="6.140625" customWidth="1" style="979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979" min="24" max="24"/>
    <col width="11" customWidth="1" style="979" min="25" max="25"/>
    <col width="10" customWidth="1" style="979" min="26" max="26"/>
    <col width="11.5703125" customWidth="1" style="979" min="27" max="27"/>
    <col width="10.42578125" customWidth="1" style="979" min="28" max="28"/>
    <col width="30" customWidth="1" style="979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979" min="33" max="33"/>
    <col width="9.140625" customWidth="1" style="979" min="34" max="16384"/>
  </cols>
  <sheetData>
    <row r="1" ht="45" customFormat="1" customHeight="1" s="664">
      <c r="A1" s="47" t="n"/>
      <c r="B1" s="47" t="n"/>
      <c r="C1" s="47" t="n"/>
      <c r="D1" s="624" t="inlineStr">
        <is>
          <t xml:space="preserve">  БЛАНК ЗАКАЗА </t>
        </is>
      </c>
      <c r="G1" s="14" t="inlineStr">
        <is>
          <t>КИ</t>
        </is>
      </c>
      <c r="H1" s="624" t="inlineStr">
        <is>
          <t>на отгрузку продукции с ООО Трейд-Сервис с</t>
        </is>
      </c>
      <c r="R1" s="625" t="inlineStr">
        <is>
          <t>20.07.2026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664">
      <c r="A2" s="34" t="inlineStr">
        <is>
          <t>бланк создан</t>
        </is>
      </c>
      <c r="B2" s="35" t="inlineStr">
        <is>
          <t>16.07.2026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627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9" t="n"/>
      <c r="R2" s="979" t="n"/>
      <c r="S2" s="979" t="n"/>
      <c r="T2" s="979" t="n"/>
      <c r="U2" s="979" t="n"/>
      <c r="V2" s="979" t="n"/>
      <c r="W2" s="979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664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979" t="n"/>
      <c r="Q3" s="979" t="n"/>
      <c r="R3" s="979" t="n"/>
      <c r="S3" s="979" t="n"/>
      <c r="T3" s="979" t="n"/>
      <c r="U3" s="979" t="n"/>
      <c r="V3" s="979" t="n"/>
      <c r="W3" s="979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66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664">
      <c r="A5" s="628" t="inlineStr">
        <is>
          <t xml:space="preserve">Ваш контактный телефон и имя: </t>
        </is>
      </c>
      <c r="B5" s="980" t="n"/>
      <c r="C5" s="981" t="n"/>
      <c r="D5" s="629" t="n"/>
      <c r="E5" s="982" t="n"/>
      <c r="F5" s="630" t="inlineStr">
        <is>
          <t>Комментарий к заказу:</t>
        </is>
      </c>
      <c r="G5" s="981" t="n"/>
      <c r="H5" s="629" t="n"/>
      <c r="I5" s="983" t="n"/>
      <c r="J5" s="983" t="n"/>
      <c r="K5" s="983" t="n"/>
      <c r="L5" s="983" t="n"/>
      <c r="M5" s="982" t="n"/>
      <c r="N5" s="72" t="n"/>
      <c r="P5" s="29" t="inlineStr">
        <is>
          <t>Дата загрузки</t>
        </is>
      </c>
      <c r="Q5" s="984" t="n">
        <v>46223</v>
      </c>
      <c r="R5" s="985" t="n"/>
      <c r="T5" s="633" t="inlineStr">
        <is>
          <t>Способ доставки (доставка/самовывоз)</t>
        </is>
      </c>
      <c r="U5" s="986" t="n"/>
      <c r="V5" s="987" t="inlineStr">
        <is>
          <t>Самовывоз</t>
        </is>
      </c>
      <c r="W5" s="985" t="n"/>
      <c r="AB5" s="59" t="n"/>
      <c r="AC5" s="59" t="n"/>
      <c r="AD5" s="59" t="n"/>
      <c r="AE5" s="59" t="n"/>
    </row>
    <row r="6" ht="24" customFormat="1" customHeight="1" s="664">
      <c r="A6" s="628" t="inlineStr">
        <is>
          <t>Адрес доставки:</t>
        </is>
      </c>
      <c r="B6" s="980" t="n"/>
      <c r="C6" s="981" t="n"/>
      <c r="D6" s="636" t="n"/>
      <c r="E6" s="988" t="n"/>
      <c r="F6" s="988" t="n"/>
      <c r="G6" s="988" t="n"/>
      <c r="H6" s="988" t="n"/>
      <c r="I6" s="988" t="n"/>
      <c r="J6" s="988" t="n"/>
      <c r="K6" s="988" t="n"/>
      <c r="L6" s="988" t="n"/>
      <c r="M6" s="985" t="n"/>
      <c r="N6" s="73" t="n"/>
      <c r="P6" s="29" t="inlineStr">
        <is>
          <t>День недели</t>
        </is>
      </c>
      <c r="Q6" s="637">
        <f>IF(Q5=0," ",CHOOSE(WEEKDAY(Q5,2),"Понедельник","Вторник","Среда","Четверг","Пятница","Суббота","Воскресенье"))</f>
        <v/>
      </c>
      <c r="R6" s="989" t="n"/>
      <c r="T6" s="639" t="inlineStr">
        <is>
          <t>Наименование клиента</t>
        </is>
      </c>
      <c r="U6" s="986" t="n"/>
      <c r="V6" s="990" t="inlineStr">
        <is>
          <t>ОБЩЕСТВО С ОГРАНИЧЕННОЙ ОТВЕТСТВЕННОСТЬЮ "НОВОЕ ВРЕМЯ"</t>
        </is>
      </c>
      <c r="W6" s="991" t="n"/>
      <c r="AB6" s="59" t="n"/>
      <c r="AC6" s="59" t="n"/>
      <c r="AD6" s="59" t="n"/>
      <c r="AE6" s="59" t="n"/>
    </row>
    <row r="7" hidden="1" ht="21.75" customFormat="1" customHeight="1" s="664">
      <c r="A7" s="64" t="n"/>
      <c r="B7" s="64" t="n"/>
      <c r="C7" s="64" t="n"/>
      <c r="D7" s="992">
        <f>IFERROR(VLOOKUP(DeliveryAddress,Table,3,0),1)</f>
        <v/>
      </c>
      <c r="E7" s="993" t="n"/>
      <c r="F7" s="993" t="n"/>
      <c r="G7" s="993" t="n"/>
      <c r="H7" s="993" t="n"/>
      <c r="I7" s="993" t="n"/>
      <c r="J7" s="993" t="n"/>
      <c r="K7" s="993" t="n"/>
      <c r="L7" s="993" t="n"/>
      <c r="M7" s="994" t="n"/>
      <c r="N7" s="74" t="n"/>
      <c r="P7" s="29" t="n"/>
      <c r="Q7" s="48" t="n"/>
      <c r="R7" s="48" t="n"/>
      <c r="T7" s="979" t="n"/>
      <c r="U7" s="986" t="n"/>
      <c r="V7" s="995" t="n"/>
      <c r="W7" s="996" t="n"/>
      <c r="AB7" s="59" t="n"/>
      <c r="AC7" s="59" t="n"/>
      <c r="AD7" s="59" t="n"/>
      <c r="AE7" s="59" t="n"/>
    </row>
    <row r="8" ht="25.5" customFormat="1" customHeight="1" s="664">
      <c r="A8" s="649" t="inlineStr">
        <is>
          <t>Адрес сдачи груза:</t>
        </is>
      </c>
      <c r="B8" s="997" t="n"/>
      <c r="C8" s="998" t="n"/>
      <c r="D8" s="650" t="n"/>
      <c r="E8" s="999" t="n"/>
      <c r="F8" s="999" t="n"/>
      <c r="G8" s="999" t="n"/>
      <c r="H8" s="999" t="n"/>
      <c r="I8" s="999" t="n"/>
      <c r="J8" s="999" t="n"/>
      <c r="K8" s="999" t="n"/>
      <c r="L8" s="999" t="n"/>
      <c r="M8" s="1000" t="n"/>
      <c r="N8" s="75" t="n"/>
      <c r="P8" s="29" t="inlineStr">
        <is>
          <t>Время загрузки</t>
        </is>
      </c>
      <c r="Q8" s="651" t="n">
        <v>0.4166666666666667</v>
      </c>
      <c r="R8" s="994" t="n"/>
      <c r="T8" s="979" t="n"/>
      <c r="U8" s="986" t="n"/>
      <c r="V8" s="995" t="n"/>
      <c r="W8" s="996" t="n"/>
      <c r="AB8" s="59" t="n"/>
      <c r="AC8" s="59" t="n"/>
      <c r="AD8" s="59" t="n"/>
      <c r="AE8" s="59" t="n"/>
    </row>
    <row r="9" ht="39.95" customFormat="1" customHeight="1" s="664">
      <c r="A9" s="652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9" t="n"/>
      <c r="C9" s="979" t="n"/>
      <c r="D9" s="653" t="inlineStr"/>
      <c r="E9" s="3" t="n"/>
      <c r="F9" s="652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9" t="n"/>
      <c r="H9" s="655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655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655" t="n"/>
      <c r="P9" s="31" t="inlineStr">
        <is>
          <t>Дата доставки</t>
        </is>
      </c>
      <c r="Q9" s="1001" t="n"/>
      <c r="R9" s="1002" t="n"/>
      <c r="T9" s="979" t="n"/>
      <c r="U9" s="986" t="n"/>
      <c r="V9" s="1003" t="n"/>
      <c r="W9" s="1004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664">
      <c r="A10" s="652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9" t="n"/>
      <c r="C10" s="979" t="n"/>
      <c r="D10" s="653" t="n"/>
      <c r="E10" s="3" t="n"/>
      <c r="F10" s="652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9" t="n"/>
      <c r="H10" s="657">
        <f>IFERROR(VLOOKUP($D$10,Proxy,2,FALSE),"")</f>
        <v/>
      </c>
      <c r="I10" s="979" t="n"/>
      <c r="J10" s="979" t="n"/>
      <c r="K10" s="979" t="n"/>
      <c r="L10" s="979" t="n"/>
      <c r="M10" s="979" t="n"/>
      <c r="N10" s="657" t="n"/>
      <c r="P10" s="31" t="inlineStr">
        <is>
          <t>Время доставки</t>
        </is>
      </c>
      <c r="Q10" s="658" t="n"/>
      <c r="R10" s="1005" t="n"/>
      <c r="U10" s="29" t="inlineStr">
        <is>
          <t>КОД Аксапты Клиента</t>
        </is>
      </c>
      <c r="V10" s="1006" t="inlineStr">
        <is>
          <t>596383</t>
        </is>
      </c>
      <c r="W10" s="991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664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661" t="n"/>
      <c r="R11" s="985" t="n"/>
      <c r="U11" s="29" t="inlineStr">
        <is>
          <t>Тип заказа</t>
        </is>
      </c>
      <c r="V11" s="662" t="inlineStr">
        <is>
          <t>Основной заказ</t>
        </is>
      </c>
      <c r="W11" s="1002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664">
      <c r="A12" s="663" t="inlineStr">
        <is>
          <t>Телефоны для заказов: 8(919)002-63-01  E-mail: kolbasa@abi.ru
Телефон сотрудников склада: 8 (910) 775-52-91</t>
        </is>
      </c>
      <c r="B12" s="980" t="n"/>
      <c r="C12" s="980" t="n"/>
      <c r="D12" s="980" t="n"/>
      <c r="E12" s="980" t="n"/>
      <c r="F12" s="980" t="n"/>
      <c r="G12" s="980" t="n"/>
      <c r="H12" s="980" t="n"/>
      <c r="I12" s="980" t="n"/>
      <c r="J12" s="980" t="n"/>
      <c r="K12" s="980" t="n"/>
      <c r="L12" s="980" t="n"/>
      <c r="M12" s="981" t="n"/>
      <c r="N12" s="76" t="n"/>
      <c r="P12" s="29" t="inlineStr">
        <is>
          <t>Время доставки 3 машины</t>
        </is>
      </c>
      <c r="Q12" s="651" t="n"/>
      <c r="R12" s="994" t="n"/>
      <c r="S12" s="28" t="n"/>
      <c r="U12" s="29" t="inlineStr"/>
      <c r="V12" s="664" t="n"/>
      <c r="W12" s="979" t="n"/>
      <c r="AB12" s="59" t="n"/>
      <c r="AC12" s="59" t="n"/>
      <c r="AD12" s="59" t="n"/>
      <c r="AE12" s="59" t="n"/>
    </row>
    <row r="13" ht="23.25" customFormat="1" customHeight="1" s="664">
      <c r="A13" s="663" t="inlineStr">
        <is>
          <t>График приема заказов: Заказы принимаются за ДВА дня до отгрузки Пн-Пт: с 9:00 до 14:00, Суб., Вс. - до 12:00</t>
        </is>
      </c>
      <c r="B13" s="980" t="n"/>
      <c r="C13" s="980" t="n"/>
      <c r="D13" s="980" t="n"/>
      <c r="E13" s="980" t="n"/>
      <c r="F13" s="980" t="n"/>
      <c r="G13" s="980" t="n"/>
      <c r="H13" s="980" t="n"/>
      <c r="I13" s="980" t="n"/>
      <c r="J13" s="980" t="n"/>
      <c r="K13" s="980" t="n"/>
      <c r="L13" s="980" t="n"/>
      <c r="M13" s="981" t="n"/>
      <c r="N13" s="76" t="n"/>
      <c r="O13" s="31" t="n"/>
      <c r="P13" s="31" t="inlineStr">
        <is>
          <t>Время доставки 4 машины</t>
        </is>
      </c>
      <c r="Q13" s="662" t="n"/>
      <c r="R13" s="1002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664">
      <c r="A14" s="663" t="inlineStr">
        <is>
          <t>Телефон менеджера по логистике: 8 (919) 012-30-55 - по вопросам доставки продукции</t>
        </is>
      </c>
      <c r="B14" s="980" t="n"/>
      <c r="C14" s="980" t="n"/>
      <c r="D14" s="980" t="n"/>
      <c r="E14" s="980" t="n"/>
      <c r="F14" s="980" t="n"/>
      <c r="G14" s="980" t="n"/>
      <c r="H14" s="980" t="n"/>
      <c r="I14" s="980" t="n"/>
      <c r="J14" s="980" t="n"/>
      <c r="K14" s="980" t="n"/>
      <c r="L14" s="980" t="n"/>
      <c r="M14" s="981" t="n"/>
      <c r="N14" s="76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664">
      <c r="A15" s="665" t="inlineStr">
        <is>
          <t>Телефон по работе с претензиями/жалобами (WhatSapp): 8 (980) 757-69-93       E-mail: Claims@abiproduct.ru</t>
        </is>
      </c>
      <c r="B15" s="980" t="n"/>
      <c r="C15" s="980" t="n"/>
      <c r="D15" s="980" t="n"/>
      <c r="E15" s="980" t="n"/>
      <c r="F15" s="980" t="n"/>
      <c r="G15" s="980" t="n"/>
      <c r="H15" s="980" t="n"/>
      <c r="I15" s="980" t="n"/>
      <c r="J15" s="980" t="n"/>
      <c r="K15" s="980" t="n"/>
      <c r="L15" s="980" t="n"/>
      <c r="M15" s="981" t="n"/>
      <c r="N15" s="77" t="n"/>
      <c r="P15" s="667" t="inlineStr">
        <is>
          <t>Кликните на продукт, чтобы просмотреть изображение</t>
        </is>
      </c>
      <c r="X15" s="664" t="n"/>
      <c r="Y15" s="664" t="n"/>
      <c r="Z15" s="664" t="n"/>
      <c r="AA15" s="664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1007" t="n"/>
      <c r="Q16" s="1007" t="n"/>
      <c r="R16" s="1007" t="n"/>
      <c r="S16" s="1007" t="n"/>
      <c r="T16" s="1007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1008" t="inlineStr">
        <is>
          <t>Код единицы продаж</t>
        </is>
      </c>
      <c r="B17" s="1008" t="inlineStr">
        <is>
          <t>Код продукта</t>
        </is>
      </c>
      <c r="C17" s="1009" t="inlineStr">
        <is>
          <t>Номер варианта</t>
        </is>
      </c>
      <c r="D17" s="1008" t="inlineStr">
        <is>
          <t xml:space="preserve">Штрих-код </t>
        </is>
      </c>
      <c r="E17" s="1010" t="n"/>
      <c r="F17" s="1008" t="inlineStr">
        <is>
          <t>Вес нетто штуки, кг</t>
        </is>
      </c>
      <c r="G17" s="1008" t="inlineStr">
        <is>
          <t>Кол-во штук в коробе, шт</t>
        </is>
      </c>
      <c r="H17" s="1008" t="inlineStr">
        <is>
          <t>Вес нетто короба, кг</t>
        </is>
      </c>
      <c r="I17" s="1008" t="inlineStr">
        <is>
          <t>Вес брутто короба, кг</t>
        </is>
      </c>
      <c r="J17" s="1008" t="inlineStr">
        <is>
          <t>Кол-во кор. на паллте, шт</t>
        </is>
      </c>
      <c r="K17" s="1008" t="inlineStr">
        <is>
          <t>Коробов в слое</t>
        </is>
      </c>
      <c r="L17" s="1008" t="inlineStr">
        <is>
          <t>Квант заказа</t>
        </is>
      </c>
      <c r="M17" s="1008" t="inlineStr">
        <is>
          <t>Завод</t>
        </is>
      </c>
      <c r="N17" s="1008" t="inlineStr">
        <is>
          <t>Внешний код номенклатуры</t>
        </is>
      </c>
      <c r="O17" s="1008" t="inlineStr">
        <is>
          <t>Срок годности, сут.</t>
        </is>
      </c>
      <c r="P17" s="1008" t="inlineStr">
        <is>
          <t>Наименование</t>
        </is>
      </c>
      <c r="Q17" s="1011" t="n"/>
      <c r="R17" s="1011" t="n"/>
      <c r="S17" s="1011" t="n"/>
      <c r="T17" s="1010" t="n"/>
      <c r="U17" s="83" t="inlineStr">
        <is>
          <t>Доступно к отгрузке</t>
        </is>
      </c>
      <c r="V17" s="981" t="n"/>
      <c r="W17" s="1008" t="inlineStr">
        <is>
          <t>Ед. изм.</t>
        </is>
      </c>
      <c r="X17" s="1008" t="inlineStr">
        <is>
          <t>Заказ</t>
        </is>
      </c>
      <c r="Y17" s="1012" t="inlineStr">
        <is>
          <t>Заказ с округлением до короба</t>
        </is>
      </c>
      <c r="Z17" s="1013" t="inlineStr">
        <is>
          <t>Объём заказа, м3</t>
        </is>
      </c>
      <c r="AA17" s="1014" t="inlineStr">
        <is>
          <t>Примечание по продуктку</t>
        </is>
      </c>
      <c r="AB17" s="1014" t="inlineStr">
        <is>
          <t>Признак "НОВИНКА"</t>
        </is>
      </c>
      <c r="AC17" s="1014" t="inlineStr">
        <is>
          <t>Декларация/Сертификат</t>
        </is>
      </c>
      <c r="AD17" s="1014" t="inlineStr">
        <is>
          <t>Для формул</t>
        </is>
      </c>
      <c r="AE17" s="1015" t="n"/>
      <c r="AF17" s="1016" t="n"/>
      <c r="AG17" s="82" t="n"/>
      <c r="BD17" s="81" t="inlineStr">
        <is>
          <t>Вид продукции</t>
        </is>
      </c>
    </row>
    <row r="18" ht="14.25" customHeight="1">
      <c r="A18" s="1017" t="n"/>
      <c r="B18" s="1017" t="n"/>
      <c r="C18" s="1017" t="n"/>
      <c r="D18" s="1018" t="n"/>
      <c r="E18" s="1019" t="n"/>
      <c r="F18" s="1017" t="n"/>
      <c r="G18" s="1017" t="n"/>
      <c r="H18" s="1017" t="n"/>
      <c r="I18" s="1017" t="n"/>
      <c r="J18" s="1017" t="n"/>
      <c r="K18" s="1017" t="n"/>
      <c r="L18" s="1017" t="n"/>
      <c r="M18" s="1017" t="n"/>
      <c r="N18" s="1017" t="n"/>
      <c r="O18" s="1017" t="n"/>
      <c r="P18" s="1018" t="n"/>
      <c r="Q18" s="1020" t="n"/>
      <c r="R18" s="1020" t="n"/>
      <c r="S18" s="1020" t="n"/>
      <c r="T18" s="1019" t="n"/>
      <c r="U18" s="83" t="inlineStr">
        <is>
          <t>начиная с</t>
        </is>
      </c>
      <c r="V18" s="83" t="inlineStr">
        <is>
          <t>до</t>
        </is>
      </c>
      <c r="W18" s="1017" t="n"/>
      <c r="X18" s="1017" t="n"/>
      <c r="Y18" s="1021" t="n"/>
      <c r="Z18" s="1022" t="n"/>
      <c r="AA18" s="1023" t="n"/>
      <c r="AB18" s="1023" t="n"/>
      <c r="AC18" s="1023" t="n"/>
      <c r="AD18" s="1024" t="n"/>
      <c r="AE18" s="1025" t="n"/>
      <c r="AF18" s="1026" t="n"/>
      <c r="AG18" s="82" t="n"/>
      <c r="BD18" s="81" t="n"/>
    </row>
    <row r="19" ht="27.75" customHeight="1">
      <c r="A19" s="692" t="inlineStr">
        <is>
          <t>Ядрена копоть</t>
        </is>
      </c>
      <c r="B19" s="1027" t="n"/>
      <c r="C19" s="1027" t="n"/>
      <c r="D19" s="1027" t="n"/>
      <c r="E19" s="1027" t="n"/>
      <c r="F19" s="1027" t="n"/>
      <c r="G19" s="1027" t="n"/>
      <c r="H19" s="1027" t="n"/>
      <c r="I19" s="1027" t="n"/>
      <c r="J19" s="1027" t="n"/>
      <c r="K19" s="1027" t="n"/>
      <c r="L19" s="1027" t="n"/>
      <c r="M19" s="1027" t="n"/>
      <c r="N19" s="1027" t="n"/>
      <c r="O19" s="1027" t="n"/>
      <c r="P19" s="1027" t="n"/>
      <c r="Q19" s="1027" t="n"/>
      <c r="R19" s="1027" t="n"/>
      <c r="S19" s="1027" t="n"/>
      <c r="T19" s="1027" t="n"/>
      <c r="U19" s="1027" t="n"/>
      <c r="V19" s="1027" t="n"/>
      <c r="W19" s="1027" t="n"/>
      <c r="X19" s="1027" t="n"/>
      <c r="Y19" s="1027" t="n"/>
      <c r="Z19" s="1027" t="n"/>
      <c r="AA19" s="54" t="n"/>
      <c r="AB19" s="54" t="n"/>
      <c r="AC19" s="54" t="n"/>
    </row>
    <row r="20" ht="16.5" customHeight="1">
      <c r="A20" s="693" t="inlineStr">
        <is>
          <t>Ядрена копоть</t>
        </is>
      </c>
      <c r="B20" s="979" t="n"/>
      <c r="C20" s="979" t="n"/>
      <c r="D20" s="979" t="n"/>
      <c r="E20" s="979" t="n"/>
      <c r="F20" s="979" t="n"/>
      <c r="G20" s="979" t="n"/>
      <c r="H20" s="979" t="n"/>
      <c r="I20" s="979" t="n"/>
      <c r="J20" s="979" t="n"/>
      <c r="K20" s="979" t="n"/>
      <c r="L20" s="979" t="n"/>
      <c r="M20" s="979" t="n"/>
      <c r="N20" s="979" t="n"/>
      <c r="O20" s="979" t="n"/>
      <c r="P20" s="979" t="n"/>
      <c r="Q20" s="979" t="n"/>
      <c r="R20" s="979" t="n"/>
      <c r="S20" s="979" t="n"/>
      <c r="T20" s="979" t="n"/>
      <c r="U20" s="979" t="n"/>
      <c r="V20" s="979" t="n"/>
      <c r="W20" s="979" t="n"/>
      <c r="X20" s="979" t="n"/>
      <c r="Y20" s="979" t="n"/>
      <c r="Z20" s="979" t="n"/>
      <c r="AA20" s="693" t="n"/>
      <c r="AB20" s="693" t="n"/>
      <c r="AC20" s="693" t="n"/>
    </row>
    <row r="21" ht="14.25" customHeight="1">
      <c r="A21" s="694" t="inlineStr">
        <is>
          <t>Копченые колбасы</t>
        </is>
      </c>
      <c r="B21" s="979" t="n"/>
      <c r="C21" s="979" t="n"/>
      <c r="D21" s="979" t="n"/>
      <c r="E21" s="979" t="n"/>
      <c r="F21" s="979" t="n"/>
      <c r="G21" s="979" t="n"/>
      <c r="H21" s="979" t="n"/>
      <c r="I21" s="979" t="n"/>
      <c r="J21" s="979" t="n"/>
      <c r="K21" s="979" t="n"/>
      <c r="L21" s="979" t="n"/>
      <c r="M21" s="979" t="n"/>
      <c r="N21" s="979" t="n"/>
      <c r="O21" s="979" t="n"/>
      <c r="P21" s="979" t="n"/>
      <c r="Q21" s="979" t="n"/>
      <c r="R21" s="979" t="n"/>
      <c r="S21" s="979" t="n"/>
      <c r="T21" s="979" t="n"/>
      <c r="U21" s="979" t="n"/>
      <c r="V21" s="979" t="n"/>
      <c r="W21" s="979" t="n"/>
      <c r="X21" s="979" t="n"/>
      <c r="Y21" s="979" t="n"/>
      <c r="Z21" s="979" t="n"/>
      <c r="AA21" s="694" t="n"/>
      <c r="AB21" s="694" t="n"/>
      <c r="AC21" s="694" t="n"/>
    </row>
    <row r="22" ht="27" customHeight="1">
      <c r="A22" s="63" t="inlineStr">
        <is>
          <t>SU003188</t>
        </is>
      </c>
      <c r="B22" s="63" t="inlineStr">
        <is>
          <t>P003827</t>
        </is>
      </c>
      <c r="C22" s="36" t="n">
        <v>4301031278</v>
      </c>
      <c r="D22" s="695" t="n">
        <v>4680115886643</v>
      </c>
      <c r="E22" s="989" t="n"/>
      <c r="F22" s="1028" t="n">
        <v>0.19</v>
      </c>
      <c r="G22" s="37" t="n">
        <v>10</v>
      </c>
      <c r="H22" s="1028" t="n">
        <v>1.9</v>
      </c>
      <c r="I22" s="1028" t="n">
        <v>2</v>
      </c>
      <c r="J22" s="37" t="n">
        <v>234</v>
      </c>
      <c r="K22" s="37" t="inlineStr">
        <is>
          <t>18</t>
        </is>
      </c>
      <c r="L22" s="37" t="inlineStr"/>
      <c r="M22" s="38" t="inlineStr">
        <is>
          <t>СК2</t>
        </is>
      </c>
      <c r="N22" s="38" t="n"/>
      <c r="O22" s="37" t="n">
        <v>40</v>
      </c>
      <c r="P22" s="1029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/>
      </c>
      <c r="Q22" s="1030" t="n"/>
      <c r="R22" s="1030" t="n"/>
      <c r="S22" s="1030" t="n"/>
      <c r="T22" s="1031" t="n"/>
      <c r="U22" s="39" t="inlineStr"/>
      <c r="V22" s="39" t="inlineStr"/>
      <c r="W22" s="40" t="inlineStr">
        <is>
          <t>кг</t>
        </is>
      </c>
      <c r="X22" s="1032" t="n">
        <v>0</v>
      </c>
      <c r="Y22" s="1033">
        <f>IFERROR(IF(X22="",0,CEILING((X22/$H22),1)*$H22),"")</f>
        <v/>
      </c>
      <c r="Z22" s="41">
        <f>IFERROR(IF(Y22=0,"",ROUNDUP(Y22/H22,0)*0.00502),"")</f>
        <v/>
      </c>
      <c r="AA22" s="68" t="inlineStr"/>
      <c r="AB22" s="69" t="inlineStr"/>
      <c r="AC22" s="86" t="inlineStr">
        <is>
          <t>ЕАЭС N RU Д-RU.РА03.В.12177/26</t>
        </is>
      </c>
      <c r="AG22" s="78" t="n"/>
      <c r="AJ22" s="84" t="inlineStr"/>
      <c r="AK22" s="84" t="n">
        <v>0</v>
      </c>
      <c r="BB22" s="87" t="inlineStr">
        <is>
          <t>КИ</t>
        </is>
      </c>
      <c r="BM22" s="78">
        <f>IFERROR(X22*I22/H22,"0")</f>
        <v/>
      </c>
      <c r="BN22" s="78">
        <f>IFERROR(Y22*I22/H22,"0")</f>
        <v/>
      </c>
      <c r="BO22" s="78">
        <f>IFERROR(1/J22*(X22/H22),"0")</f>
        <v/>
      </c>
      <c r="BP22" s="78">
        <f>IFERROR(1/J22*(Y22/H22),"0")</f>
        <v/>
      </c>
    </row>
    <row r="23" ht="27" customHeight="1">
      <c r="A23" s="63" t="inlineStr">
        <is>
          <t>SU004185</t>
        </is>
      </c>
      <c r="B23" s="63" t="inlineStr">
        <is>
          <t>P005459</t>
        </is>
      </c>
      <c r="C23" s="36" t="n">
        <v>4301031508</v>
      </c>
      <c r="D23" s="695" t="n">
        <v>4680115889071</v>
      </c>
      <c r="E23" s="989" t="n"/>
      <c r="F23" s="1028" t="n">
        <v>0.3</v>
      </c>
      <c r="G23" s="37" t="n">
        <v>6</v>
      </c>
      <c r="H23" s="1028" t="n">
        <v>1.8</v>
      </c>
      <c r="I23" s="1028" t="n">
        <v>1.93</v>
      </c>
      <c r="J23" s="37" t="n">
        <v>234</v>
      </c>
      <c r="K23" s="37" t="inlineStr">
        <is>
          <t>18</t>
        </is>
      </c>
      <c r="L23" s="37" t="inlineStr"/>
      <c r="M23" s="38" t="inlineStr">
        <is>
          <t>СК2</t>
        </is>
      </c>
      <c r="N23" s="38" t="n"/>
      <c r="O23" s="37" t="n">
        <v>40</v>
      </c>
      <c r="P23" s="1034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/>
      </c>
      <c r="Q23" s="1030" t="n"/>
      <c r="R23" s="1030" t="n"/>
      <c r="S23" s="1030" t="n"/>
      <c r="T23" s="1031" t="n"/>
      <c r="U23" s="39" t="inlineStr"/>
      <c r="V23" s="39" t="inlineStr"/>
      <c r="W23" s="40" t="inlineStr">
        <is>
          <t>кг</t>
        </is>
      </c>
      <c r="X23" s="1032" t="n">
        <v>0</v>
      </c>
      <c r="Y23" s="1033">
        <f>IFERROR(IF(X23="",0,CEILING((X23/$H23),1)*$H23),"")</f>
        <v/>
      </c>
      <c r="Z23" s="41">
        <f>IFERROR(IF(Y23=0,"",ROUNDUP(Y23/H23,0)*0.00502),"")</f>
        <v/>
      </c>
      <c r="AA23" s="68" t="inlineStr"/>
      <c r="AB23" s="69" t="inlineStr"/>
      <c r="AC23" s="88" t="inlineStr">
        <is>
          <t>ЕАЭС N RU Д-RU.РА03.В.24532/26</t>
        </is>
      </c>
      <c r="AG23" s="78" t="n"/>
      <c r="AJ23" s="84" t="inlineStr"/>
      <c r="AK23" s="84" t="n">
        <v>0</v>
      </c>
      <c r="BB23" s="89" t="inlineStr">
        <is>
          <t>КИ</t>
        </is>
      </c>
      <c r="BM23" s="78">
        <f>IFERROR(X23*I23/H23,"0")</f>
        <v/>
      </c>
      <c r="BN23" s="78">
        <f>IFERROR(Y23*I23/H23,"0")</f>
        <v/>
      </c>
      <c r="BO23" s="78">
        <f>IFERROR(1/J23*(X23/H23),"0")</f>
        <v/>
      </c>
      <c r="BP23" s="78">
        <f>IFERROR(1/J23*(Y23/H23),"0")</f>
        <v/>
      </c>
    </row>
    <row r="24">
      <c r="A24" s="704" t="n"/>
      <c r="B24" s="979" t="n"/>
      <c r="C24" s="979" t="n"/>
      <c r="D24" s="979" t="n"/>
      <c r="E24" s="979" t="n"/>
      <c r="F24" s="979" t="n"/>
      <c r="G24" s="979" t="n"/>
      <c r="H24" s="979" t="n"/>
      <c r="I24" s="979" t="n"/>
      <c r="J24" s="979" t="n"/>
      <c r="K24" s="979" t="n"/>
      <c r="L24" s="979" t="n"/>
      <c r="M24" s="979" t="n"/>
      <c r="N24" s="979" t="n"/>
      <c r="O24" s="1035" t="n"/>
      <c r="P24" s="1036" t="inlineStr">
        <is>
          <t>Итого</t>
        </is>
      </c>
      <c r="Q24" s="997" t="n"/>
      <c r="R24" s="997" t="n"/>
      <c r="S24" s="997" t="n"/>
      <c r="T24" s="997" t="n"/>
      <c r="U24" s="997" t="n"/>
      <c r="V24" s="998" t="n"/>
      <c r="W24" s="42" t="inlineStr">
        <is>
          <t>кор</t>
        </is>
      </c>
      <c r="X24" s="1037">
        <f>IFERROR(X22/H22,"0")+IFERROR(X23/H23,"0")</f>
        <v/>
      </c>
      <c r="Y24" s="1037">
        <f>IFERROR(Y22/H22,"0")+IFERROR(Y23/H23,"0")</f>
        <v/>
      </c>
      <c r="Z24" s="1037">
        <f>IFERROR(IF(Z22="",0,Z22),"0")+IFERROR(IF(Z23="",0,Z23),"0")</f>
        <v/>
      </c>
      <c r="AA24" s="1038" t="n"/>
      <c r="AB24" s="1038" t="n"/>
      <c r="AC24" s="1038" t="n"/>
    </row>
    <row r="25">
      <c r="A25" s="979" t="n"/>
      <c r="B25" s="979" t="n"/>
      <c r="C25" s="979" t="n"/>
      <c r="D25" s="979" t="n"/>
      <c r="E25" s="979" t="n"/>
      <c r="F25" s="979" t="n"/>
      <c r="G25" s="979" t="n"/>
      <c r="H25" s="979" t="n"/>
      <c r="I25" s="979" t="n"/>
      <c r="J25" s="979" t="n"/>
      <c r="K25" s="979" t="n"/>
      <c r="L25" s="979" t="n"/>
      <c r="M25" s="979" t="n"/>
      <c r="N25" s="979" t="n"/>
      <c r="O25" s="1035" t="n"/>
      <c r="P25" s="1036" t="inlineStr">
        <is>
          <t>Итого</t>
        </is>
      </c>
      <c r="Q25" s="997" t="n"/>
      <c r="R25" s="997" t="n"/>
      <c r="S25" s="997" t="n"/>
      <c r="T25" s="997" t="n"/>
      <c r="U25" s="997" t="n"/>
      <c r="V25" s="998" t="n"/>
      <c r="W25" s="42" t="inlineStr">
        <is>
          <t>кг</t>
        </is>
      </c>
      <c r="X25" s="1037">
        <f>IFERROR(SUM(X22:X23),"0")</f>
        <v/>
      </c>
      <c r="Y25" s="1037">
        <f>IFERROR(SUM(Y22:Y23),"0")</f>
        <v/>
      </c>
      <c r="Z25" s="42" t="n"/>
      <c r="AA25" s="1038" t="n"/>
      <c r="AB25" s="1038" t="n"/>
      <c r="AC25" s="1038" t="n"/>
    </row>
    <row r="26" ht="14.25" customHeight="1">
      <c r="A26" s="694" t="inlineStr">
        <is>
          <t>Сосиски</t>
        </is>
      </c>
      <c r="B26" s="979" t="n"/>
      <c r="C26" s="979" t="n"/>
      <c r="D26" s="979" t="n"/>
      <c r="E26" s="979" t="n"/>
      <c r="F26" s="979" t="n"/>
      <c r="G26" s="979" t="n"/>
      <c r="H26" s="979" t="n"/>
      <c r="I26" s="979" t="n"/>
      <c r="J26" s="979" t="n"/>
      <c r="K26" s="979" t="n"/>
      <c r="L26" s="979" t="n"/>
      <c r="M26" s="979" t="n"/>
      <c r="N26" s="979" t="n"/>
      <c r="O26" s="979" t="n"/>
      <c r="P26" s="979" t="n"/>
      <c r="Q26" s="979" t="n"/>
      <c r="R26" s="979" t="n"/>
      <c r="S26" s="979" t="n"/>
      <c r="T26" s="979" t="n"/>
      <c r="U26" s="979" t="n"/>
      <c r="V26" s="979" t="n"/>
      <c r="W26" s="979" t="n"/>
      <c r="X26" s="979" t="n"/>
      <c r="Y26" s="979" t="n"/>
      <c r="Z26" s="979" t="n"/>
      <c r="AA26" s="694" t="n"/>
      <c r="AB26" s="694" t="n"/>
      <c r="AC26" s="694" t="n"/>
    </row>
    <row r="27" ht="27" customHeight="1">
      <c r="A27" s="63" t="inlineStr">
        <is>
          <t>SU003664</t>
        </is>
      </c>
      <c r="B27" s="63" t="inlineStr">
        <is>
          <t>P004653</t>
        </is>
      </c>
      <c r="C27" s="36" t="n">
        <v>4301051866</v>
      </c>
      <c r="D27" s="695" t="n">
        <v>4680115885912</v>
      </c>
      <c r="E27" s="989" t="n"/>
      <c r="F27" s="1028" t="n">
        <v>0.3</v>
      </c>
      <c r="G27" s="37" t="n">
        <v>6</v>
      </c>
      <c r="H27" s="1028" t="n">
        <v>1.8</v>
      </c>
      <c r="I27" s="1028" t="n">
        <v>3.18</v>
      </c>
      <c r="J27" s="37" t="n">
        <v>182</v>
      </c>
      <c r="K27" s="37" t="inlineStr">
        <is>
          <t>14</t>
        </is>
      </c>
      <c r="L27" s="37" t="inlineStr"/>
      <c r="M27" s="38" t="inlineStr">
        <is>
          <t>СК3</t>
        </is>
      </c>
      <c r="N27" s="38" t="n"/>
      <c r="O27" s="37" t="n">
        <v>40</v>
      </c>
      <c r="P27" s="1039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7" s="1030" t="n"/>
      <c r="R27" s="1030" t="n"/>
      <c r="S27" s="1030" t="n"/>
      <c r="T27" s="1031" t="n"/>
      <c r="U27" s="39" t="inlineStr"/>
      <c r="V27" s="39" t="inlineStr"/>
      <c r="W27" s="40" t="inlineStr">
        <is>
          <t>кг</t>
        </is>
      </c>
      <c r="X27" s="1032" t="n">
        <v>0</v>
      </c>
      <c r="Y27" s="1033">
        <f>IFERROR(IF(X27="",0,CEILING((X27/$H27),1)*$H27),"")</f>
        <v/>
      </c>
      <c r="Z27" s="41">
        <f>IFERROR(IF(Y27=0,"",ROUNDUP(Y27/H27,0)*0.00651),"")</f>
        <v/>
      </c>
      <c r="AA27" s="68" t="inlineStr"/>
      <c r="AB27" s="69" t="inlineStr"/>
      <c r="AC27" s="90" t="inlineStr">
        <is>
          <t>ЕАЭС N RU Д-RU.РА10.В.84355/25, ЕАЭС N RU Д-RU.РА11.В.72353/25</t>
        </is>
      </c>
      <c r="AG27" s="78" t="n"/>
      <c r="AJ27" s="84" t="inlineStr"/>
      <c r="AK27" s="84" t="n">
        <v>0</v>
      </c>
      <c r="BB27" s="91" t="inlineStr">
        <is>
          <t>КИ</t>
        </is>
      </c>
      <c r="BM27" s="78">
        <f>IFERROR(X27*I27/H27,"0")</f>
        <v/>
      </c>
      <c r="BN27" s="78">
        <f>IFERROR(Y27*I27/H27,"0")</f>
        <v/>
      </c>
      <c r="BO27" s="78">
        <f>IFERROR(1/J27*(X27/H27),"0")</f>
        <v/>
      </c>
      <c r="BP27" s="78">
        <f>IFERROR(1/J27*(Y27/H27),"0")</f>
        <v/>
      </c>
    </row>
    <row r="28" ht="27" customHeight="1">
      <c r="A28" s="63" t="inlineStr">
        <is>
          <t>SU000341</t>
        </is>
      </c>
      <c r="B28" s="63" t="inlineStr">
        <is>
          <t>P003752</t>
        </is>
      </c>
      <c r="C28" s="36" t="n">
        <v>4301051776</v>
      </c>
      <c r="D28" s="695" t="n">
        <v>4607091388237</v>
      </c>
      <c r="E28" s="989" t="n"/>
      <c r="F28" s="1028" t="n">
        <v>0.42</v>
      </c>
      <c r="G28" s="37" t="n">
        <v>6</v>
      </c>
      <c r="H28" s="1028" t="n">
        <v>2.52</v>
      </c>
      <c r="I28" s="1028" t="n">
        <v>2.766</v>
      </c>
      <c r="J28" s="37" t="n">
        <v>182</v>
      </c>
      <c r="K28" s="37" t="inlineStr">
        <is>
          <t>14</t>
        </is>
      </c>
      <c r="L28" s="37" t="inlineStr"/>
      <c r="M28" s="38" t="inlineStr">
        <is>
          <t>СК3</t>
        </is>
      </c>
      <c r="N28" s="38" t="n"/>
      <c r="O28" s="37" t="n">
        <v>40</v>
      </c>
      <c r="P28" s="1040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8" s="1030" t="n"/>
      <c r="R28" s="1030" t="n"/>
      <c r="S28" s="1030" t="n"/>
      <c r="T28" s="1031" t="n"/>
      <c r="U28" s="39" t="inlineStr"/>
      <c r="V28" s="39" t="inlineStr"/>
      <c r="W28" s="40" t="inlineStr">
        <is>
          <t>кг</t>
        </is>
      </c>
      <c r="X28" s="1032" t="n">
        <v>0</v>
      </c>
      <c r="Y28" s="1033">
        <f>IFERROR(IF(X28="",0,CEILING((X28/$H28),1)*$H28),"")</f>
        <v/>
      </c>
      <c r="Z28" s="41">
        <f>IFERROR(IF(Y28=0,"",ROUNDUP(Y28/H28,0)*0.00651),"")</f>
        <v/>
      </c>
      <c r="AA28" s="68" t="inlineStr"/>
      <c r="AB28" s="69" t="inlineStr"/>
      <c r="AC28" s="92" t="inlineStr">
        <is>
          <t>ЕАЭС N RU Д-RU.РА10.В.84355/25, ЕАЭС N RU Д-RU.РА11.В.72353/25</t>
        </is>
      </c>
      <c r="AG28" s="78" t="n"/>
      <c r="AJ28" s="84" t="inlineStr"/>
      <c r="AK28" s="84" t="n">
        <v>0</v>
      </c>
      <c r="BB28" s="93" t="inlineStr">
        <is>
          <t>КИ</t>
        </is>
      </c>
      <c r="BM28" s="78">
        <f>IFERROR(X28*I28/H28,"0")</f>
        <v/>
      </c>
      <c r="BN28" s="78">
        <f>IFERROR(Y28*I28/H28,"0")</f>
        <v/>
      </c>
      <c r="BO28" s="78">
        <f>IFERROR(1/J28*(X28/H28),"0")</f>
        <v/>
      </c>
      <c r="BP28" s="78">
        <f>IFERROR(1/J28*(Y28/H28),"0")</f>
        <v/>
      </c>
    </row>
    <row r="29" ht="27" customHeight="1">
      <c r="A29" s="63" t="inlineStr">
        <is>
          <t>SU004016</t>
        </is>
      </c>
      <c r="B29" s="63" t="inlineStr">
        <is>
          <t>P005150</t>
        </is>
      </c>
      <c r="C29" s="36" t="n">
        <v>4301052063</v>
      </c>
      <c r="D29" s="695" t="n">
        <v>4680115887350</v>
      </c>
      <c r="E29" s="989" t="n"/>
      <c r="F29" s="1028" t="n">
        <v>0.3</v>
      </c>
      <c r="G29" s="37" t="n">
        <v>6</v>
      </c>
      <c r="H29" s="1028" t="n">
        <v>1.8</v>
      </c>
      <c r="I29" s="1028" t="n">
        <v>3.18</v>
      </c>
      <c r="J29" s="37" t="n">
        <v>182</v>
      </c>
      <c r="K29" s="37" t="inlineStr">
        <is>
          <t>14</t>
        </is>
      </c>
      <c r="L29" s="37" t="inlineStr"/>
      <c r="M29" s="38" t="inlineStr">
        <is>
          <t>СК4</t>
        </is>
      </c>
      <c r="N29" s="38" t="n"/>
      <c r="O29" s="37" t="n">
        <v>40</v>
      </c>
      <c r="P29" s="1041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/>
      </c>
      <c r="Q29" s="1030" t="n"/>
      <c r="R29" s="1030" t="n"/>
      <c r="S29" s="1030" t="n"/>
      <c r="T29" s="1031" t="n"/>
      <c r="U29" s="39" t="inlineStr"/>
      <c r="V29" s="39" t="inlineStr"/>
      <c r="W29" s="40" t="inlineStr">
        <is>
          <t>кг</t>
        </is>
      </c>
      <c r="X29" s="1032" t="n">
        <v>0</v>
      </c>
      <c r="Y29" s="1033">
        <f>IFERROR(IF(X29="",0,CEILING((X29/$H29),1)*$H29),"")</f>
        <v/>
      </c>
      <c r="Z29" s="41">
        <f>IFERROR(IF(Y29=0,"",ROUNDUP(Y29/H29,0)*0.00651),"")</f>
        <v/>
      </c>
      <c r="AA29" s="68" t="inlineStr"/>
      <c r="AB29" s="69" t="inlineStr"/>
      <c r="AC29" s="94" t="inlineStr">
        <is>
          <t>ЕАЭС N RU Д-RU.РА07.В.65552/25, ЕАЭС N RU Д-RU.РА07.В.66509/25</t>
        </is>
      </c>
      <c r="AG29" s="78" t="n"/>
      <c r="AJ29" s="84" t="inlineStr"/>
      <c r="AK29" s="84" t="n">
        <v>0</v>
      </c>
      <c r="BB29" s="95" t="inlineStr">
        <is>
          <t>КИ</t>
        </is>
      </c>
      <c r="BM29" s="78">
        <f>IFERROR(X29*I29/H29,"0")</f>
        <v/>
      </c>
      <c r="BN29" s="78">
        <f>IFERROR(Y29*I29/H29,"0")</f>
        <v/>
      </c>
      <c r="BO29" s="78">
        <f>IFERROR(1/J29*(X29/H29),"0")</f>
        <v/>
      </c>
      <c r="BP29" s="78">
        <f>IFERROR(1/J29*(Y29/H29),"0")</f>
        <v/>
      </c>
    </row>
    <row r="30" ht="27" customHeight="1">
      <c r="A30" s="63" t="inlineStr">
        <is>
          <t>SU003665</t>
        </is>
      </c>
      <c r="B30" s="63" t="inlineStr">
        <is>
          <t>P004642</t>
        </is>
      </c>
      <c r="C30" s="36" t="n">
        <v>4301051863</v>
      </c>
      <c r="D30" s="695" t="n">
        <v>4680115885905</v>
      </c>
      <c r="E30" s="989" t="n"/>
      <c r="F30" s="1028" t="n">
        <v>0.3</v>
      </c>
      <c r="G30" s="37" t="n">
        <v>6</v>
      </c>
      <c r="H30" s="1028" t="n">
        <v>1.8</v>
      </c>
      <c r="I30" s="1028" t="n">
        <v>3.18</v>
      </c>
      <c r="J30" s="37" t="n">
        <v>182</v>
      </c>
      <c r="K30" s="37" t="inlineStr">
        <is>
          <t>14</t>
        </is>
      </c>
      <c r="L30" s="37" t="inlineStr"/>
      <c r="M30" s="38" t="inlineStr">
        <is>
          <t>СК4</t>
        </is>
      </c>
      <c r="N30" s="38" t="n"/>
      <c r="O30" s="37" t="n">
        <v>40</v>
      </c>
      <c r="P30" s="1042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30" s="1030" t="n"/>
      <c r="R30" s="1030" t="n"/>
      <c r="S30" s="1030" t="n"/>
      <c r="T30" s="1031" t="n"/>
      <c r="U30" s="39" t="inlineStr"/>
      <c r="V30" s="39" t="inlineStr"/>
      <c r="W30" s="40" t="inlineStr">
        <is>
          <t>кг</t>
        </is>
      </c>
      <c r="X30" s="1032" t="n">
        <v>0</v>
      </c>
      <c r="Y30" s="1033">
        <f>IFERROR(IF(X30="",0,CEILING((X30/$H30),1)*$H30),"")</f>
        <v/>
      </c>
      <c r="Z30" s="41">
        <f>IFERROR(IF(Y30=0,"",ROUNDUP(Y30/H30,0)*0.00651),"")</f>
        <v/>
      </c>
      <c r="AA30" s="68" t="inlineStr"/>
      <c r="AB30" s="69" t="inlineStr"/>
      <c r="AC30" s="96" t="inlineStr">
        <is>
          <t>ЕАЭС N RU Д-RU.РА02.В.58787/26</t>
        </is>
      </c>
      <c r="AG30" s="78" t="n"/>
      <c r="AJ30" s="84" t="inlineStr"/>
      <c r="AK30" s="84" t="n">
        <v>0</v>
      </c>
      <c r="BB30" s="97" t="inlineStr">
        <is>
          <t>КИ</t>
        </is>
      </c>
      <c r="BM30" s="78">
        <f>IFERROR(X30*I30/H30,"0")</f>
        <v/>
      </c>
      <c r="BN30" s="78">
        <f>IFERROR(Y30*I30/H30,"0")</f>
        <v/>
      </c>
      <c r="BO30" s="78">
        <f>IFERROR(1/J30*(X30/H30),"0")</f>
        <v/>
      </c>
      <c r="BP30" s="78">
        <f>IFERROR(1/J30*(Y30/H30),"0")</f>
        <v/>
      </c>
    </row>
    <row r="31" ht="27" customHeight="1">
      <c r="A31" s="63" t="inlineStr">
        <is>
          <t>SU004073</t>
        </is>
      </c>
      <c r="B31" s="63" t="inlineStr">
        <is>
          <t>P005210</t>
        </is>
      </c>
      <c r="C31" s="36" t="n">
        <v>4301052071</v>
      </c>
      <c r="D31" s="695" t="n">
        <v>4680115887619</v>
      </c>
      <c r="E31" s="989" t="n"/>
      <c r="F31" s="1028" t="n">
        <v>0.33</v>
      </c>
      <c r="G31" s="37" t="n">
        <v>6</v>
      </c>
      <c r="H31" s="1028" t="n">
        <v>1.98</v>
      </c>
      <c r="I31" s="1028" t="n">
        <v>2.16</v>
      </c>
      <c r="J31" s="37" t="n">
        <v>182</v>
      </c>
      <c r="K31" s="37" t="inlineStr">
        <is>
          <t>14</t>
        </is>
      </c>
      <c r="L31" s="37" t="inlineStr"/>
      <c r="M31" s="38" t="inlineStr">
        <is>
          <t>СК3</t>
        </is>
      </c>
      <c r="N31" s="38" t="n"/>
      <c r="O31" s="37" t="n">
        <v>40</v>
      </c>
      <c r="P31" s="1043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/>
      </c>
      <c r="Q31" s="1030" t="n"/>
      <c r="R31" s="1030" t="n"/>
      <c r="S31" s="1030" t="n"/>
      <c r="T31" s="1031" t="n"/>
      <c r="U31" s="39" t="inlineStr"/>
      <c r="V31" s="39" t="inlineStr"/>
      <c r="W31" s="40" t="inlineStr">
        <is>
          <t>кг</t>
        </is>
      </c>
      <c r="X31" s="1032" t="n">
        <v>0</v>
      </c>
      <c r="Y31" s="1033">
        <f>IFERROR(IF(X31="",0,CEILING((X31/$H31),1)*$H31),"")</f>
        <v/>
      </c>
      <c r="Z31" s="41">
        <f>IFERROR(IF(Y31=0,"",ROUNDUP(Y31/H31,0)*0.00651),"")</f>
        <v/>
      </c>
      <c r="AA31" s="68" t="inlineStr"/>
      <c r="AB31" s="69" t="inlineStr"/>
      <c r="AC31" s="98" t="inlineStr">
        <is>
          <t>ЕАЭС N RU Д-RU.РА09.В.48525/25</t>
        </is>
      </c>
      <c r="AG31" s="78" t="n"/>
      <c r="AJ31" s="84" t="inlineStr"/>
      <c r="AK31" s="84" t="n">
        <v>0</v>
      </c>
      <c r="BB31" s="99" t="inlineStr">
        <is>
          <t>КИ</t>
        </is>
      </c>
      <c r="BM31" s="78">
        <f>IFERROR(X31*I31/H31,"0")</f>
        <v/>
      </c>
      <c r="BN31" s="78">
        <f>IFERROR(Y31*I31/H31,"0")</f>
        <v/>
      </c>
      <c r="BO31" s="78">
        <f>IFERROR(1/J31*(X31/H31),"0")</f>
        <v/>
      </c>
      <c r="BP31" s="78">
        <f>IFERROR(1/J31*(Y31/H31),"0")</f>
        <v/>
      </c>
    </row>
    <row r="32">
      <c r="A32" s="704" t="n"/>
      <c r="B32" s="979" t="n"/>
      <c r="C32" s="979" t="n"/>
      <c r="D32" s="979" t="n"/>
      <c r="E32" s="979" t="n"/>
      <c r="F32" s="979" t="n"/>
      <c r="G32" s="979" t="n"/>
      <c r="H32" s="979" t="n"/>
      <c r="I32" s="979" t="n"/>
      <c r="J32" s="979" t="n"/>
      <c r="K32" s="979" t="n"/>
      <c r="L32" s="979" t="n"/>
      <c r="M32" s="979" t="n"/>
      <c r="N32" s="979" t="n"/>
      <c r="O32" s="1035" t="n"/>
      <c r="P32" s="1036" t="inlineStr">
        <is>
          <t>Итого</t>
        </is>
      </c>
      <c r="Q32" s="997" t="n"/>
      <c r="R32" s="997" t="n"/>
      <c r="S32" s="997" t="n"/>
      <c r="T32" s="997" t="n"/>
      <c r="U32" s="997" t="n"/>
      <c r="V32" s="998" t="n"/>
      <c r="W32" s="42" t="inlineStr">
        <is>
          <t>кор</t>
        </is>
      </c>
      <c r="X32" s="1037">
        <f>IFERROR(X27/H27,"0")+IFERROR(X28/H28,"0")+IFERROR(X29/H29,"0")+IFERROR(X30/H30,"0")+IFERROR(X31/H31,"0")</f>
        <v/>
      </c>
      <c r="Y32" s="1037">
        <f>IFERROR(Y27/H27,"0")+IFERROR(Y28/H28,"0")+IFERROR(Y29/H29,"0")+IFERROR(Y30/H30,"0")+IFERROR(Y31/H31,"0")</f>
        <v/>
      </c>
      <c r="Z32" s="1037">
        <f>IFERROR(IF(Z27="",0,Z27),"0")+IFERROR(IF(Z28="",0,Z28),"0")+IFERROR(IF(Z29="",0,Z29),"0")+IFERROR(IF(Z30="",0,Z30),"0")+IFERROR(IF(Z31="",0,Z31),"0")</f>
        <v/>
      </c>
      <c r="AA32" s="1038" t="n"/>
      <c r="AB32" s="1038" t="n"/>
      <c r="AC32" s="1038" t="n"/>
    </row>
    <row r="33">
      <c r="A33" s="979" t="n"/>
      <c r="B33" s="979" t="n"/>
      <c r="C33" s="979" t="n"/>
      <c r="D33" s="979" t="n"/>
      <c r="E33" s="979" t="n"/>
      <c r="F33" s="979" t="n"/>
      <c r="G33" s="979" t="n"/>
      <c r="H33" s="979" t="n"/>
      <c r="I33" s="979" t="n"/>
      <c r="J33" s="979" t="n"/>
      <c r="K33" s="979" t="n"/>
      <c r="L33" s="979" t="n"/>
      <c r="M33" s="979" t="n"/>
      <c r="N33" s="979" t="n"/>
      <c r="O33" s="1035" t="n"/>
      <c r="P33" s="1036" t="inlineStr">
        <is>
          <t>Итого</t>
        </is>
      </c>
      <c r="Q33" s="997" t="n"/>
      <c r="R33" s="997" t="n"/>
      <c r="S33" s="997" t="n"/>
      <c r="T33" s="997" t="n"/>
      <c r="U33" s="997" t="n"/>
      <c r="V33" s="998" t="n"/>
      <c r="W33" s="42" t="inlineStr">
        <is>
          <t>кг</t>
        </is>
      </c>
      <c r="X33" s="1037">
        <f>IFERROR(SUM(X27:X31),"0")</f>
        <v/>
      </c>
      <c r="Y33" s="1037">
        <f>IFERROR(SUM(Y27:Y31),"0")</f>
        <v/>
      </c>
      <c r="Z33" s="42" t="n"/>
      <c r="AA33" s="1038" t="n"/>
      <c r="AB33" s="1038" t="n"/>
      <c r="AC33" s="1038" t="n"/>
    </row>
    <row r="34" ht="14.25" customHeight="1">
      <c r="A34" s="694" t="inlineStr">
        <is>
          <t>Сырокопченые колбасы</t>
        </is>
      </c>
      <c r="B34" s="979" t="n"/>
      <c r="C34" s="979" t="n"/>
      <c r="D34" s="979" t="n"/>
      <c r="E34" s="979" t="n"/>
      <c r="F34" s="979" t="n"/>
      <c r="G34" s="979" t="n"/>
      <c r="H34" s="979" t="n"/>
      <c r="I34" s="979" t="n"/>
      <c r="J34" s="979" t="n"/>
      <c r="K34" s="979" t="n"/>
      <c r="L34" s="979" t="n"/>
      <c r="M34" s="979" t="n"/>
      <c r="N34" s="979" t="n"/>
      <c r="O34" s="979" t="n"/>
      <c r="P34" s="979" t="n"/>
      <c r="Q34" s="979" t="n"/>
      <c r="R34" s="979" t="n"/>
      <c r="S34" s="979" t="n"/>
      <c r="T34" s="979" t="n"/>
      <c r="U34" s="979" t="n"/>
      <c r="V34" s="979" t="n"/>
      <c r="W34" s="979" t="n"/>
      <c r="X34" s="979" t="n"/>
      <c r="Y34" s="979" t="n"/>
      <c r="Z34" s="979" t="n"/>
      <c r="AA34" s="694" t="n"/>
      <c r="AB34" s="694" t="n"/>
      <c r="AC34" s="694" t="n"/>
    </row>
    <row r="35" ht="27" customHeight="1">
      <c r="A35" s="63" t="inlineStr">
        <is>
          <t>SU002050</t>
        </is>
      </c>
      <c r="B35" s="63" t="inlineStr">
        <is>
          <t>P002188</t>
        </is>
      </c>
      <c r="C35" s="36" t="n">
        <v>4301032013</v>
      </c>
      <c r="D35" s="695" t="n">
        <v>4607091388503</v>
      </c>
      <c r="E35" s="989" t="n"/>
      <c r="F35" s="1028" t="n">
        <v>0.05</v>
      </c>
      <c r="G35" s="37" t="n">
        <v>12</v>
      </c>
      <c r="H35" s="1028" t="n">
        <v>0.6</v>
      </c>
      <c r="I35" s="1028" t="n">
        <v>0.822</v>
      </c>
      <c r="J35" s="37" t="n">
        <v>182</v>
      </c>
      <c r="K35" s="37" t="inlineStr">
        <is>
          <t>14</t>
        </is>
      </c>
      <c r="L35" s="37" t="inlineStr"/>
      <c r="M35" s="38" t="inlineStr">
        <is>
          <t>АК</t>
        </is>
      </c>
      <c r="N35" s="38" t="n"/>
      <c r="O35" s="37" t="n">
        <v>120</v>
      </c>
      <c r="P35" s="1044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/>
      </c>
      <c r="Q35" s="1030" t="n"/>
      <c r="R35" s="1030" t="n"/>
      <c r="S35" s="1030" t="n"/>
      <c r="T35" s="1031" t="n"/>
      <c r="U35" s="39" t="inlineStr"/>
      <c r="V35" s="39" t="inlineStr"/>
      <c r="W35" s="40" t="inlineStr">
        <is>
          <t>кг</t>
        </is>
      </c>
      <c r="X35" s="1032" t="n">
        <v>0</v>
      </c>
      <c r="Y35" s="1033">
        <f>IFERROR(IF(X35="",0,CEILING((X35/$H35),1)*$H35),"")</f>
        <v/>
      </c>
      <c r="Z35" s="41">
        <f>IFERROR(IF(Y35=0,"",ROUNDUP(Y35/H35,0)*0.00651),"")</f>
        <v/>
      </c>
      <c r="AA35" s="68" t="inlineStr"/>
      <c r="AB35" s="69" t="inlineStr"/>
      <c r="AC35" s="100" t="inlineStr">
        <is>
          <t>ЕАЭС N RU Д-RU.РА01.В.14797/20</t>
        </is>
      </c>
      <c r="AG35" s="78" t="n"/>
      <c r="AJ35" s="84" t="inlineStr"/>
      <c r="AK35" s="84" t="n">
        <v>0</v>
      </c>
      <c r="BB35" s="101" t="inlineStr">
        <is>
          <t>СНК</t>
        </is>
      </c>
      <c r="BM35" s="78">
        <f>IFERROR(X35*I35/H35,"0")</f>
        <v/>
      </c>
      <c r="BN35" s="78">
        <f>IFERROR(Y35*I35/H35,"0")</f>
        <v/>
      </c>
      <c r="BO35" s="78">
        <f>IFERROR(1/J35*(X35/H35),"0")</f>
        <v/>
      </c>
      <c r="BP35" s="78">
        <f>IFERROR(1/J35*(Y35/H35),"0")</f>
        <v/>
      </c>
    </row>
    <row r="36">
      <c r="A36" s="704" t="n"/>
      <c r="B36" s="979" t="n"/>
      <c r="C36" s="979" t="n"/>
      <c r="D36" s="979" t="n"/>
      <c r="E36" s="979" t="n"/>
      <c r="F36" s="979" t="n"/>
      <c r="G36" s="979" t="n"/>
      <c r="H36" s="979" t="n"/>
      <c r="I36" s="979" t="n"/>
      <c r="J36" s="979" t="n"/>
      <c r="K36" s="979" t="n"/>
      <c r="L36" s="979" t="n"/>
      <c r="M36" s="979" t="n"/>
      <c r="N36" s="979" t="n"/>
      <c r="O36" s="1035" t="n"/>
      <c r="P36" s="1036" t="inlineStr">
        <is>
          <t>Итого</t>
        </is>
      </c>
      <c r="Q36" s="997" t="n"/>
      <c r="R36" s="997" t="n"/>
      <c r="S36" s="997" t="n"/>
      <c r="T36" s="997" t="n"/>
      <c r="U36" s="997" t="n"/>
      <c r="V36" s="998" t="n"/>
      <c r="W36" s="42" t="inlineStr">
        <is>
          <t>кор</t>
        </is>
      </c>
      <c r="X36" s="1037">
        <f>IFERROR(X35/H35,"0")</f>
        <v/>
      </c>
      <c r="Y36" s="1037">
        <f>IFERROR(Y35/H35,"0")</f>
        <v/>
      </c>
      <c r="Z36" s="1037">
        <f>IFERROR(IF(Z35="",0,Z35),"0")</f>
        <v/>
      </c>
      <c r="AA36" s="1038" t="n"/>
      <c r="AB36" s="1038" t="n"/>
      <c r="AC36" s="1038" t="n"/>
    </row>
    <row r="37">
      <c r="A37" s="979" t="n"/>
      <c r="B37" s="979" t="n"/>
      <c r="C37" s="979" t="n"/>
      <c r="D37" s="979" t="n"/>
      <c r="E37" s="979" t="n"/>
      <c r="F37" s="979" t="n"/>
      <c r="G37" s="979" t="n"/>
      <c r="H37" s="979" t="n"/>
      <c r="I37" s="979" t="n"/>
      <c r="J37" s="979" t="n"/>
      <c r="K37" s="979" t="n"/>
      <c r="L37" s="979" t="n"/>
      <c r="M37" s="979" t="n"/>
      <c r="N37" s="979" t="n"/>
      <c r="O37" s="1035" t="n"/>
      <c r="P37" s="1036" t="inlineStr">
        <is>
          <t>Итого</t>
        </is>
      </c>
      <c r="Q37" s="997" t="n"/>
      <c r="R37" s="997" t="n"/>
      <c r="S37" s="997" t="n"/>
      <c r="T37" s="997" t="n"/>
      <c r="U37" s="997" t="n"/>
      <c r="V37" s="998" t="n"/>
      <c r="W37" s="42" t="inlineStr">
        <is>
          <t>кг</t>
        </is>
      </c>
      <c r="X37" s="1037">
        <f>IFERROR(SUM(X35:X35),"0")</f>
        <v/>
      </c>
      <c r="Y37" s="1037">
        <f>IFERROR(SUM(Y35:Y35),"0")</f>
        <v/>
      </c>
      <c r="Z37" s="42" t="n"/>
      <c r="AA37" s="1038" t="n"/>
      <c r="AB37" s="1038" t="n"/>
      <c r="AC37" s="1038" t="n"/>
    </row>
    <row r="38" ht="27.75" customHeight="1">
      <c r="A38" s="692" t="inlineStr">
        <is>
          <t>Горячая штучка</t>
        </is>
      </c>
      <c r="B38" s="1027" t="n"/>
      <c r="C38" s="1027" t="n"/>
      <c r="D38" s="1027" t="n"/>
      <c r="E38" s="1027" t="n"/>
      <c r="F38" s="1027" t="n"/>
      <c r="G38" s="1027" t="n"/>
      <c r="H38" s="1027" t="n"/>
      <c r="I38" s="1027" t="n"/>
      <c r="J38" s="1027" t="n"/>
      <c r="K38" s="1027" t="n"/>
      <c r="L38" s="1027" t="n"/>
      <c r="M38" s="1027" t="n"/>
      <c r="N38" s="1027" t="n"/>
      <c r="O38" s="1027" t="n"/>
      <c r="P38" s="1027" t="n"/>
      <c r="Q38" s="1027" t="n"/>
      <c r="R38" s="1027" t="n"/>
      <c r="S38" s="1027" t="n"/>
      <c r="T38" s="1027" t="n"/>
      <c r="U38" s="1027" t="n"/>
      <c r="V38" s="1027" t="n"/>
      <c r="W38" s="1027" t="n"/>
      <c r="X38" s="1027" t="n"/>
      <c r="Y38" s="1027" t="n"/>
      <c r="Z38" s="1027" t="n"/>
      <c r="AA38" s="54" t="n"/>
      <c r="AB38" s="54" t="n"/>
      <c r="AC38" s="54" t="n"/>
    </row>
    <row r="39" ht="16.5" customHeight="1">
      <c r="A39" s="693" t="inlineStr">
        <is>
          <t>Горячая штучка КИ</t>
        </is>
      </c>
      <c r="B39" s="979" t="n"/>
      <c r="C39" s="979" t="n"/>
      <c r="D39" s="979" t="n"/>
      <c r="E39" s="979" t="n"/>
      <c r="F39" s="979" t="n"/>
      <c r="G39" s="979" t="n"/>
      <c r="H39" s="979" t="n"/>
      <c r="I39" s="979" t="n"/>
      <c r="J39" s="979" t="n"/>
      <c r="K39" s="979" t="n"/>
      <c r="L39" s="979" t="n"/>
      <c r="M39" s="979" t="n"/>
      <c r="N39" s="979" t="n"/>
      <c r="O39" s="979" t="n"/>
      <c r="P39" s="979" t="n"/>
      <c r="Q39" s="979" t="n"/>
      <c r="R39" s="979" t="n"/>
      <c r="S39" s="979" t="n"/>
      <c r="T39" s="979" t="n"/>
      <c r="U39" s="979" t="n"/>
      <c r="V39" s="979" t="n"/>
      <c r="W39" s="979" t="n"/>
      <c r="X39" s="979" t="n"/>
      <c r="Y39" s="979" t="n"/>
      <c r="Z39" s="979" t="n"/>
      <c r="AA39" s="693" t="n"/>
      <c r="AB39" s="693" t="n"/>
      <c r="AC39" s="693" t="n"/>
    </row>
    <row r="40" ht="14.25" customHeight="1">
      <c r="A40" s="694" t="inlineStr">
        <is>
          <t>Сосиски</t>
        </is>
      </c>
      <c r="B40" s="979" t="n"/>
      <c r="C40" s="979" t="n"/>
      <c r="D40" s="979" t="n"/>
      <c r="E40" s="979" t="n"/>
      <c r="F40" s="979" t="n"/>
      <c r="G40" s="979" t="n"/>
      <c r="H40" s="979" t="n"/>
      <c r="I40" s="979" t="n"/>
      <c r="J40" s="979" t="n"/>
      <c r="K40" s="979" t="n"/>
      <c r="L40" s="979" t="n"/>
      <c r="M40" s="979" t="n"/>
      <c r="N40" s="979" t="n"/>
      <c r="O40" s="979" t="n"/>
      <c r="P40" s="979" t="n"/>
      <c r="Q40" s="979" t="n"/>
      <c r="R40" s="979" t="n"/>
      <c r="S40" s="979" t="n"/>
      <c r="T40" s="979" t="n"/>
      <c r="U40" s="979" t="n"/>
      <c r="V40" s="979" t="n"/>
      <c r="W40" s="979" t="n"/>
      <c r="X40" s="979" t="n"/>
      <c r="Y40" s="979" t="n"/>
      <c r="Z40" s="979" t="n"/>
      <c r="AA40" s="694" t="n"/>
      <c r="AB40" s="694" t="n"/>
      <c r="AC40" s="694" t="n"/>
    </row>
    <row r="41" ht="27" customHeight="1">
      <c r="A41" s="63" t="inlineStr">
        <is>
          <t>SU004125</t>
        </is>
      </c>
      <c r="B41" s="63" t="inlineStr">
        <is>
          <t>P005384</t>
        </is>
      </c>
      <c r="C41" s="36" t="n">
        <v>4301052187</v>
      </c>
      <c r="D41" s="695" t="n">
        <v>4680115889354</v>
      </c>
      <c r="E41" s="989" t="n"/>
      <c r="F41" s="1028" t="n">
        <v>0.32</v>
      </c>
      <c r="G41" s="37" t="n">
        <v>6</v>
      </c>
      <c r="H41" s="1028" t="n">
        <v>1.92</v>
      </c>
      <c r="I41" s="1028" t="n">
        <v>2.1</v>
      </c>
      <c r="J41" s="37" t="n">
        <v>182</v>
      </c>
      <c r="K41" s="37" t="inlineStr">
        <is>
          <t>14</t>
        </is>
      </c>
      <c r="L41" s="37" t="inlineStr"/>
      <c r="M41" s="38" t="inlineStr">
        <is>
          <t>СК4</t>
        </is>
      </c>
      <c r="N41" s="38" t="n"/>
      <c r="O41" s="37" t="n">
        <v>40</v>
      </c>
      <c r="P41" s="1045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/>
      </c>
      <c r="Q41" s="1030" t="n"/>
      <c r="R41" s="1030" t="n"/>
      <c r="S41" s="1030" t="n"/>
      <c r="T41" s="1031" t="n"/>
      <c r="U41" s="39" t="inlineStr"/>
      <c r="V41" s="39" t="inlineStr"/>
      <c r="W41" s="40" t="inlineStr">
        <is>
          <t>кг</t>
        </is>
      </c>
      <c r="X41" s="1032" t="n">
        <v>0</v>
      </c>
      <c r="Y41" s="1033">
        <f>IFERROR(IF(X41="",0,CEILING((X41/$H41),1)*$H41),"")</f>
        <v/>
      </c>
      <c r="Z41" s="41">
        <f>IFERROR(IF(Y41=0,"",ROUNDUP(Y41/H41,0)*0.00651),"")</f>
        <v/>
      </c>
      <c r="AA41" s="68" t="inlineStr"/>
      <c r="AB41" s="69" t="inlineStr"/>
      <c r="AC41" s="102" t="inlineStr">
        <is>
          <t>ЕАЭС N RU Д-RU.РА04.В.85634/26</t>
        </is>
      </c>
      <c r="AG41" s="78" t="n"/>
      <c r="AJ41" s="84" t="inlineStr"/>
      <c r="AK41" s="84" t="n">
        <v>0</v>
      </c>
      <c r="BB41" s="103" t="inlineStr">
        <is>
          <t>КИ</t>
        </is>
      </c>
      <c r="BM41" s="78">
        <f>IFERROR(X41*I41/H41,"0")</f>
        <v/>
      </c>
      <c r="BN41" s="78">
        <f>IFERROR(Y41*I41/H41,"0")</f>
        <v/>
      </c>
      <c r="BO41" s="78">
        <f>IFERROR(1/J41*(X41/H41),"0")</f>
        <v/>
      </c>
      <c r="BP41" s="78">
        <f>IFERROR(1/J41*(Y41/H41),"0")</f>
        <v/>
      </c>
    </row>
    <row r="42" ht="27" customHeight="1">
      <c r="A42" s="63" t="inlineStr">
        <is>
          <t>SU004132</t>
        </is>
      </c>
      <c r="B42" s="63" t="inlineStr">
        <is>
          <t>P005393</t>
        </is>
      </c>
      <c r="C42" s="36" t="n">
        <v>4301052198</v>
      </c>
      <c r="D42" s="695" t="n">
        <v>4680115888463</v>
      </c>
      <c r="E42" s="989" t="n"/>
      <c r="F42" s="1028" t="n">
        <v>0.32</v>
      </c>
      <c r="G42" s="37" t="n">
        <v>6</v>
      </c>
      <c r="H42" s="1028" t="n">
        <v>1.92</v>
      </c>
      <c r="I42" s="1028" t="n">
        <v>2.1</v>
      </c>
      <c r="J42" s="37" t="n">
        <v>182</v>
      </c>
      <c r="K42" s="37" t="inlineStr">
        <is>
          <t>14</t>
        </is>
      </c>
      <c r="L42" s="37" t="inlineStr"/>
      <c r="M42" s="38" t="inlineStr">
        <is>
          <t>СК3</t>
        </is>
      </c>
      <c r="N42" s="38" t="n"/>
      <c r="O42" s="37" t="n">
        <v>40</v>
      </c>
      <c r="P42" s="1046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/>
      </c>
      <c r="Q42" s="1030" t="n"/>
      <c r="R42" s="1030" t="n"/>
      <c r="S42" s="1030" t="n"/>
      <c r="T42" s="1031" t="n"/>
      <c r="U42" s="39" t="inlineStr"/>
      <c r="V42" s="39" t="inlineStr"/>
      <c r="W42" s="40" t="inlineStr">
        <is>
          <t>кг</t>
        </is>
      </c>
      <c r="X42" s="1032" t="n">
        <v>0</v>
      </c>
      <c r="Y42" s="1033">
        <f>IFERROR(IF(X42="",0,CEILING((X42/$H42),1)*$H42),"")</f>
        <v/>
      </c>
      <c r="Z42" s="41">
        <f>IFERROR(IF(Y42=0,"",ROUNDUP(Y42/H42,0)*0.00651),"")</f>
        <v/>
      </c>
      <c r="AA42" s="68" t="inlineStr"/>
      <c r="AB42" s="69" t="inlineStr"/>
      <c r="AC42" s="104" t="inlineStr">
        <is>
          <t>ЕАЭС N RU Д-RU.РА02.В.11087/26</t>
        </is>
      </c>
      <c r="AG42" s="78" t="n"/>
      <c r="AJ42" s="84" t="inlineStr"/>
      <c r="AK42" s="84" t="n">
        <v>0</v>
      </c>
      <c r="BB42" s="105" t="inlineStr">
        <is>
          <t>КИ</t>
        </is>
      </c>
      <c r="BM42" s="78">
        <f>IFERROR(X42*I42/H42,"0")</f>
        <v/>
      </c>
      <c r="BN42" s="78">
        <f>IFERROR(Y42*I42/H42,"0")</f>
        <v/>
      </c>
      <c r="BO42" s="78">
        <f>IFERROR(1/J42*(X42/H42),"0")</f>
        <v/>
      </c>
      <c r="BP42" s="78">
        <f>IFERROR(1/J42*(Y42/H42),"0")</f>
        <v/>
      </c>
    </row>
    <row r="43" ht="27" customHeight="1">
      <c r="A43" s="63" t="inlineStr">
        <is>
          <t>SU004134</t>
        </is>
      </c>
      <c r="B43" s="63" t="inlineStr">
        <is>
          <t>P005395</t>
        </is>
      </c>
      <c r="C43" s="36" t="n">
        <v>4301052202</v>
      </c>
      <c r="D43" s="695" t="n">
        <v>4680115888494</v>
      </c>
      <c r="E43" s="989" t="n"/>
      <c r="F43" s="1028" t="n">
        <v>0.32</v>
      </c>
      <c r="G43" s="37" t="n">
        <v>6</v>
      </c>
      <c r="H43" s="1028" t="n">
        <v>1.92</v>
      </c>
      <c r="I43" s="1028" t="n">
        <v>2.1</v>
      </c>
      <c r="J43" s="37" t="n">
        <v>182</v>
      </c>
      <c r="K43" s="37" t="inlineStr">
        <is>
          <t>14</t>
        </is>
      </c>
      <c r="L43" s="37" t="inlineStr"/>
      <c r="M43" s="38" t="inlineStr">
        <is>
          <t>СК3</t>
        </is>
      </c>
      <c r="N43" s="38" t="n"/>
      <c r="O43" s="37" t="n">
        <v>40</v>
      </c>
      <c r="P43" s="1047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/>
      </c>
      <c r="Q43" s="1030" t="n"/>
      <c r="R43" s="1030" t="n"/>
      <c r="S43" s="1030" t="n"/>
      <c r="T43" s="1031" t="n"/>
      <c r="U43" s="39" t="inlineStr"/>
      <c r="V43" s="39" t="inlineStr"/>
      <c r="W43" s="40" t="inlineStr">
        <is>
          <t>кг</t>
        </is>
      </c>
      <c r="X43" s="1032" t="n">
        <v>0</v>
      </c>
      <c r="Y43" s="1033">
        <f>IFERROR(IF(X43="",0,CEILING((X43/$H43),1)*$H43),"")</f>
        <v/>
      </c>
      <c r="Z43" s="41">
        <f>IFERROR(IF(Y43=0,"",ROUNDUP(Y43/H43,0)*0.00651),"")</f>
        <v/>
      </c>
      <c r="AA43" s="68" t="inlineStr"/>
      <c r="AB43" s="69" t="inlineStr"/>
      <c r="AC43" s="106" t="inlineStr">
        <is>
          <t>ЕАЭС N RU Д-RU.РА02.В.13825/26</t>
        </is>
      </c>
      <c r="AG43" s="78" t="n"/>
      <c r="AJ43" s="84" t="inlineStr"/>
      <c r="AK43" s="84" t="n">
        <v>0</v>
      </c>
      <c r="BB43" s="107" t="inlineStr">
        <is>
          <t>КИ</t>
        </is>
      </c>
      <c r="BM43" s="78">
        <f>IFERROR(X43*I43/H43,"0")</f>
        <v/>
      </c>
      <c r="BN43" s="78">
        <f>IFERROR(Y43*I43/H43,"0")</f>
        <v/>
      </c>
      <c r="BO43" s="78">
        <f>IFERROR(1/J43*(X43/H43),"0")</f>
        <v/>
      </c>
      <c r="BP43" s="78">
        <f>IFERROR(1/J43*(Y43/H43),"0")</f>
        <v/>
      </c>
    </row>
    <row r="44" ht="27" customHeight="1">
      <c r="A44" s="63" t="inlineStr">
        <is>
          <t>SU004124</t>
        </is>
      </c>
      <c r="B44" s="63" t="inlineStr">
        <is>
          <t>P005383</t>
        </is>
      </c>
      <c r="C44" s="36" t="n">
        <v>4301052184</v>
      </c>
      <c r="D44" s="695" t="n">
        <v>4680115888272</v>
      </c>
      <c r="E44" s="989" t="n"/>
      <c r="F44" s="1028" t="n">
        <v>0.32</v>
      </c>
      <c r="G44" s="37" t="n">
        <v>6</v>
      </c>
      <c r="H44" s="1028" t="n">
        <v>1.92</v>
      </c>
      <c r="I44" s="1028" t="n">
        <v>2.1</v>
      </c>
      <c r="J44" s="37" t="n">
        <v>182</v>
      </c>
      <c r="K44" s="37" t="inlineStr">
        <is>
          <t>14</t>
        </is>
      </c>
      <c r="L44" s="37" t="inlineStr"/>
      <c r="M44" s="38" t="inlineStr">
        <is>
          <t>СК3</t>
        </is>
      </c>
      <c r="N44" s="38" t="n"/>
      <c r="O44" s="37" t="n">
        <v>40</v>
      </c>
      <c r="P44" s="1048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/>
      </c>
      <c r="Q44" s="1030" t="n"/>
      <c r="R44" s="1030" t="n"/>
      <c r="S44" s="1030" t="n"/>
      <c r="T44" s="1031" t="n"/>
      <c r="U44" s="39" t="inlineStr"/>
      <c r="V44" s="39" t="inlineStr"/>
      <c r="W44" s="40" t="inlineStr">
        <is>
          <t>кг</t>
        </is>
      </c>
      <c r="X44" s="1032" t="n">
        <v>0</v>
      </c>
      <c r="Y44" s="1033">
        <f>IFERROR(IF(X44="",0,CEILING((X44/$H44),1)*$H44),"")</f>
        <v/>
      </c>
      <c r="Z44" s="41">
        <f>IFERROR(IF(Y44=0,"",ROUNDUP(Y44/H44,0)*0.00651),"")</f>
        <v/>
      </c>
      <c r="AA44" s="68" t="inlineStr"/>
      <c r="AB44" s="69" t="inlineStr"/>
      <c r="AC44" s="108" t="inlineStr">
        <is>
          <t>ЕАЭС N RU Д-RU.РА01.В.39376/26</t>
        </is>
      </c>
      <c r="AG44" s="78" t="n"/>
      <c r="AJ44" s="84" t="inlineStr"/>
      <c r="AK44" s="84" t="n">
        <v>0</v>
      </c>
      <c r="BB44" s="109" t="inlineStr">
        <is>
          <t>КИ</t>
        </is>
      </c>
      <c r="BM44" s="78">
        <f>IFERROR(X44*I44/H44,"0")</f>
        <v/>
      </c>
      <c r="BN44" s="78">
        <f>IFERROR(Y44*I44/H44,"0")</f>
        <v/>
      </c>
      <c r="BO44" s="78">
        <f>IFERROR(1/J44*(X44/H44),"0")</f>
        <v/>
      </c>
      <c r="BP44" s="78">
        <f>IFERROR(1/J44*(Y44/H44),"0")</f>
        <v/>
      </c>
    </row>
    <row r="45" ht="27" customHeight="1">
      <c r="A45" s="63" t="inlineStr">
        <is>
          <t>SU004123</t>
        </is>
      </c>
      <c r="B45" s="63" t="inlineStr">
        <is>
          <t>P005385</t>
        </is>
      </c>
      <c r="C45" s="36" t="n">
        <v>4301052188</v>
      </c>
      <c r="D45" s="695" t="n">
        <v>4680115888364</v>
      </c>
      <c r="E45" s="989" t="n"/>
      <c r="F45" s="1028" t="n">
        <v>0.32</v>
      </c>
      <c r="G45" s="37" t="n">
        <v>6</v>
      </c>
      <c r="H45" s="1028" t="n">
        <v>1.92</v>
      </c>
      <c r="I45" s="1028" t="n">
        <v>2.1</v>
      </c>
      <c r="J45" s="37" t="n">
        <v>182</v>
      </c>
      <c r="K45" s="37" t="inlineStr">
        <is>
          <t>14</t>
        </is>
      </c>
      <c r="L45" s="37" t="inlineStr"/>
      <c r="M45" s="38" t="inlineStr">
        <is>
          <t>СК3</t>
        </is>
      </c>
      <c r="N45" s="38" t="n"/>
      <c r="O45" s="37" t="n">
        <v>40</v>
      </c>
      <c r="P45" s="1049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/>
      </c>
      <c r="Q45" s="1030" t="n"/>
      <c r="R45" s="1030" t="n"/>
      <c r="S45" s="1030" t="n"/>
      <c r="T45" s="1031" t="n"/>
      <c r="U45" s="39" t="inlineStr"/>
      <c r="V45" s="39" t="inlineStr"/>
      <c r="W45" s="40" t="inlineStr">
        <is>
          <t>кг</t>
        </is>
      </c>
      <c r="X45" s="1032" t="n">
        <v>0</v>
      </c>
      <c r="Y45" s="1033">
        <f>IFERROR(IF(X45="",0,CEILING((X45/$H45),1)*$H45),"")</f>
        <v/>
      </c>
      <c r="Z45" s="41">
        <f>IFERROR(IF(Y45=0,"",ROUNDUP(Y45/H45,0)*0.00651),"")</f>
        <v/>
      </c>
      <c r="AA45" s="68" t="inlineStr"/>
      <c r="AB45" s="69" t="inlineStr"/>
      <c r="AC45" s="110" t="inlineStr">
        <is>
          <t>ЕАЭС N RU Д-RU.РА01.В.87299/26</t>
        </is>
      </c>
      <c r="AG45" s="78" t="n"/>
      <c r="AJ45" s="84" t="inlineStr"/>
      <c r="AK45" s="84" t="n">
        <v>0</v>
      </c>
      <c r="BB45" s="111" t="inlineStr">
        <is>
          <t>КИ</t>
        </is>
      </c>
      <c r="BM45" s="78">
        <f>IFERROR(X45*I45/H45,"0")</f>
        <v/>
      </c>
      <c r="BN45" s="78">
        <f>IFERROR(Y45*I45/H45,"0")</f>
        <v/>
      </c>
      <c r="BO45" s="78">
        <f>IFERROR(1/J45*(X45/H45),"0")</f>
        <v/>
      </c>
      <c r="BP45" s="78">
        <f>IFERROR(1/J45*(Y45/H45),"0")</f>
        <v/>
      </c>
    </row>
    <row r="46">
      <c r="A46" s="704" t="n"/>
      <c r="B46" s="979" t="n"/>
      <c r="C46" s="979" t="n"/>
      <c r="D46" s="979" t="n"/>
      <c r="E46" s="979" t="n"/>
      <c r="F46" s="979" t="n"/>
      <c r="G46" s="979" t="n"/>
      <c r="H46" s="979" t="n"/>
      <c r="I46" s="979" t="n"/>
      <c r="J46" s="979" t="n"/>
      <c r="K46" s="979" t="n"/>
      <c r="L46" s="979" t="n"/>
      <c r="M46" s="979" t="n"/>
      <c r="N46" s="979" t="n"/>
      <c r="O46" s="1035" t="n"/>
      <c r="P46" s="1036" t="inlineStr">
        <is>
          <t>Итого</t>
        </is>
      </c>
      <c r="Q46" s="997" t="n"/>
      <c r="R46" s="997" t="n"/>
      <c r="S46" s="997" t="n"/>
      <c r="T46" s="997" t="n"/>
      <c r="U46" s="997" t="n"/>
      <c r="V46" s="998" t="n"/>
      <c r="W46" s="42" t="inlineStr">
        <is>
          <t>кор</t>
        </is>
      </c>
      <c r="X46" s="1037">
        <f>IFERROR(X41/H41,"0")+IFERROR(X42/H42,"0")+IFERROR(X43/H43,"0")+IFERROR(X44/H44,"0")+IFERROR(X45/H45,"0")</f>
        <v/>
      </c>
      <c r="Y46" s="1037">
        <f>IFERROR(Y41/H41,"0")+IFERROR(Y42/H42,"0")+IFERROR(Y43/H43,"0")+IFERROR(Y44/H44,"0")+IFERROR(Y45/H45,"0")</f>
        <v/>
      </c>
      <c r="Z46" s="1037">
        <f>IFERROR(IF(Z41="",0,Z41),"0")+IFERROR(IF(Z42="",0,Z42),"0")+IFERROR(IF(Z43="",0,Z43),"0")+IFERROR(IF(Z44="",0,Z44),"0")+IFERROR(IF(Z45="",0,Z45),"0")</f>
        <v/>
      </c>
      <c r="AA46" s="1038" t="n"/>
      <c r="AB46" s="1038" t="n"/>
      <c r="AC46" s="1038" t="n"/>
    </row>
    <row r="47">
      <c r="A47" s="979" t="n"/>
      <c r="B47" s="979" t="n"/>
      <c r="C47" s="979" t="n"/>
      <c r="D47" s="979" t="n"/>
      <c r="E47" s="979" t="n"/>
      <c r="F47" s="979" t="n"/>
      <c r="G47" s="979" t="n"/>
      <c r="H47" s="979" t="n"/>
      <c r="I47" s="979" t="n"/>
      <c r="J47" s="979" t="n"/>
      <c r="K47" s="979" t="n"/>
      <c r="L47" s="979" t="n"/>
      <c r="M47" s="979" t="n"/>
      <c r="N47" s="979" t="n"/>
      <c r="O47" s="1035" t="n"/>
      <c r="P47" s="1036" t="inlineStr">
        <is>
          <t>Итого</t>
        </is>
      </c>
      <c r="Q47" s="997" t="n"/>
      <c r="R47" s="997" t="n"/>
      <c r="S47" s="997" t="n"/>
      <c r="T47" s="997" t="n"/>
      <c r="U47" s="997" t="n"/>
      <c r="V47" s="998" t="n"/>
      <c r="W47" s="42" t="inlineStr">
        <is>
          <t>кг</t>
        </is>
      </c>
      <c r="X47" s="1037">
        <f>IFERROR(SUM(X41:X45),"0")</f>
        <v/>
      </c>
      <c r="Y47" s="1037">
        <f>IFERROR(SUM(Y41:Y45),"0")</f>
        <v/>
      </c>
      <c r="Z47" s="42" t="n"/>
      <c r="AA47" s="1038" t="n"/>
      <c r="AB47" s="1038" t="n"/>
      <c r="AC47" s="1038" t="n"/>
    </row>
    <row r="48" ht="27.75" customHeight="1">
      <c r="A48" s="692" t="inlineStr">
        <is>
          <t>Вязанка</t>
        </is>
      </c>
      <c r="B48" s="1027" t="n"/>
      <c r="C48" s="1027" t="n"/>
      <c r="D48" s="1027" t="n"/>
      <c r="E48" s="1027" t="n"/>
      <c r="F48" s="1027" t="n"/>
      <c r="G48" s="1027" t="n"/>
      <c r="H48" s="1027" t="n"/>
      <c r="I48" s="1027" t="n"/>
      <c r="J48" s="1027" t="n"/>
      <c r="K48" s="1027" t="n"/>
      <c r="L48" s="1027" t="n"/>
      <c r="M48" s="1027" t="n"/>
      <c r="N48" s="1027" t="n"/>
      <c r="O48" s="1027" t="n"/>
      <c r="P48" s="1027" t="n"/>
      <c r="Q48" s="1027" t="n"/>
      <c r="R48" s="1027" t="n"/>
      <c r="S48" s="1027" t="n"/>
      <c r="T48" s="1027" t="n"/>
      <c r="U48" s="1027" t="n"/>
      <c r="V48" s="1027" t="n"/>
      <c r="W48" s="1027" t="n"/>
      <c r="X48" s="1027" t="n"/>
      <c r="Y48" s="1027" t="n"/>
      <c r="Z48" s="1027" t="n"/>
      <c r="AA48" s="54" t="n"/>
      <c r="AB48" s="54" t="n"/>
      <c r="AC48" s="54" t="n"/>
    </row>
    <row r="49" ht="16.5" customHeight="1">
      <c r="A49" s="693" t="inlineStr">
        <is>
          <t>ГОСТ</t>
        </is>
      </c>
      <c r="B49" s="979" t="n"/>
      <c r="C49" s="979" t="n"/>
      <c r="D49" s="979" t="n"/>
      <c r="E49" s="979" t="n"/>
      <c r="F49" s="979" t="n"/>
      <c r="G49" s="979" t="n"/>
      <c r="H49" s="979" t="n"/>
      <c r="I49" s="979" t="n"/>
      <c r="J49" s="979" t="n"/>
      <c r="K49" s="979" t="n"/>
      <c r="L49" s="979" t="n"/>
      <c r="M49" s="979" t="n"/>
      <c r="N49" s="979" t="n"/>
      <c r="O49" s="979" t="n"/>
      <c r="P49" s="979" t="n"/>
      <c r="Q49" s="979" t="n"/>
      <c r="R49" s="979" t="n"/>
      <c r="S49" s="979" t="n"/>
      <c r="T49" s="979" t="n"/>
      <c r="U49" s="979" t="n"/>
      <c r="V49" s="979" t="n"/>
      <c r="W49" s="979" t="n"/>
      <c r="X49" s="979" t="n"/>
      <c r="Y49" s="979" t="n"/>
      <c r="Z49" s="979" t="n"/>
      <c r="AA49" s="693" t="n"/>
      <c r="AB49" s="693" t="n"/>
      <c r="AC49" s="693" t="n"/>
    </row>
    <row r="50" ht="14.25" customHeight="1">
      <c r="A50" s="694" t="inlineStr">
        <is>
          <t>Вареные колбасы</t>
        </is>
      </c>
      <c r="B50" s="979" t="n"/>
      <c r="C50" s="979" t="n"/>
      <c r="D50" s="979" t="n"/>
      <c r="E50" s="979" t="n"/>
      <c r="F50" s="979" t="n"/>
      <c r="G50" s="979" t="n"/>
      <c r="H50" s="979" t="n"/>
      <c r="I50" s="979" t="n"/>
      <c r="J50" s="979" t="n"/>
      <c r="K50" s="979" t="n"/>
      <c r="L50" s="979" t="n"/>
      <c r="M50" s="979" t="n"/>
      <c r="N50" s="979" t="n"/>
      <c r="O50" s="979" t="n"/>
      <c r="P50" s="979" t="n"/>
      <c r="Q50" s="979" t="n"/>
      <c r="R50" s="979" t="n"/>
      <c r="S50" s="979" t="n"/>
      <c r="T50" s="979" t="n"/>
      <c r="U50" s="979" t="n"/>
      <c r="V50" s="979" t="n"/>
      <c r="W50" s="979" t="n"/>
      <c r="X50" s="979" t="n"/>
      <c r="Y50" s="979" t="n"/>
      <c r="Z50" s="979" t="n"/>
      <c r="AA50" s="694" t="n"/>
      <c r="AB50" s="694" t="n"/>
      <c r="AC50" s="694" t="n"/>
    </row>
    <row r="51" ht="16.5" customHeight="1">
      <c r="A51" s="63" t="inlineStr">
        <is>
          <t>SU000722</t>
        </is>
      </c>
      <c r="B51" s="63" t="inlineStr">
        <is>
          <t>P003011</t>
        </is>
      </c>
      <c r="C51" s="36" t="n">
        <v>4301011380</v>
      </c>
      <c r="D51" s="695" t="n">
        <v>4607091385670</v>
      </c>
      <c r="E51" s="989" t="n"/>
      <c r="F51" s="1028" t="n">
        <v>1.35</v>
      </c>
      <c r="G51" s="37" t="n">
        <v>8</v>
      </c>
      <c r="H51" s="1028" t="n">
        <v>10.8</v>
      </c>
      <c r="I51" s="1028" t="n">
        <v>11.21</v>
      </c>
      <c r="J51" s="37" t="n">
        <v>64</v>
      </c>
      <c r="K51" s="37" t="inlineStr">
        <is>
          <t>8</t>
        </is>
      </c>
      <c r="L51" s="37" t="inlineStr"/>
      <c r="M51" s="38" t="inlineStr">
        <is>
          <t>СК1</t>
        </is>
      </c>
      <c r="N51" s="38" t="n"/>
      <c r="O51" s="37" t="n">
        <v>50</v>
      </c>
      <c r="P51" s="1050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51" s="1030" t="n"/>
      <c r="R51" s="1030" t="n"/>
      <c r="S51" s="1030" t="n"/>
      <c r="T51" s="1031" t="n"/>
      <c r="U51" s="39" t="inlineStr"/>
      <c r="V51" s="39" t="inlineStr"/>
      <c r="W51" s="40" t="inlineStr">
        <is>
          <t>кг</t>
        </is>
      </c>
      <c r="X51" s="1032" t="n">
        <v>0</v>
      </c>
      <c r="Y51" s="1033">
        <f>IFERROR(IF(X51="",0,CEILING((X51/$H51),1)*$H51),"")</f>
        <v/>
      </c>
      <c r="Z51" s="41">
        <f>IFERROR(IF(Y51=0,"",ROUNDUP(Y51/H51,0)*0.01898),"")</f>
        <v/>
      </c>
      <c r="AA51" s="68" t="inlineStr"/>
      <c r="AB51" s="69" t="inlineStr"/>
      <c r="AC51" s="112" t="inlineStr">
        <is>
          <t>ЕАЭС N RU Д-RU.РА08.В.45907/25</t>
        </is>
      </c>
      <c r="AG51" s="78" t="n"/>
      <c r="AJ51" s="84" t="inlineStr"/>
      <c r="AK51" s="84" t="n">
        <v>0</v>
      </c>
      <c r="BB51" s="113" t="inlineStr">
        <is>
          <t>КИ</t>
        </is>
      </c>
      <c r="BM51" s="78">
        <f>IFERROR(X51*I51/H51,"0")</f>
        <v/>
      </c>
      <c r="BN51" s="78">
        <f>IFERROR(Y51*I51/H51,"0")</f>
        <v/>
      </c>
      <c r="BO51" s="78">
        <f>IFERROR(1/J51*(X51/H51),"0")</f>
        <v/>
      </c>
      <c r="BP51" s="78">
        <f>IFERROR(1/J51*(Y51/H51),"0")</f>
        <v/>
      </c>
    </row>
    <row r="52" ht="27" customHeight="1">
      <c r="A52" s="63" t="inlineStr">
        <is>
          <t>SU003747</t>
        </is>
      </c>
      <c r="B52" s="63" t="inlineStr">
        <is>
          <t>P004760</t>
        </is>
      </c>
      <c r="C52" s="36" t="n">
        <v>4301012053</v>
      </c>
      <c r="D52" s="695" t="n">
        <v>4680115887725</v>
      </c>
      <c r="E52" s="989" t="n"/>
      <c r="F52" s="1028" t="n">
        <v>0.11</v>
      </c>
      <c r="G52" s="37" t="n">
        <v>10</v>
      </c>
      <c r="H52" s="1028" t="n">
        <v>1.1</v>
      </c>
      <c r="I52" s="1028" t="n">
        <v>1.31</v>
      </c>
      <c r="J52" s="37" t="n">
        <v>192</v>
      </c>
      <c r="K52" s="37" t="inlineStr">
        <is>
          <t>24</t>
        </is>
      </c>
      <c r="L52" s="37" t="inlineStr"/>
      <c r="M52" s="38" t="inlineStr">
        <is>
          <t>СК2</t>
        </is>
      </c>
      <c r="N52" s="38" t="n"/>
      <c r="O52" s="37" t="n">
        <v>30</v>
      </c>
      <c r="P52" s="1051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/>
      </c>
      <c r="Q52" s="1030" t="n"/>
      <c r="R52" s="1030" t="n"/>
      <c r="S52" s="1030" t="n"/>
      <c r="T52" s="1031" t="n"/>
      <c r="U52" s="39" t="inlineStr"/>
      <c r="V52" s="39" t="inlineStr"/>
      <c r="W52" s="40" t="inlineStr">
        <is>
          <t>кг</t>
        </is>
      </c>
      <c r="X52" s="1032" t="n">
        <v>0</v>
      </c>
      <c r="Y52" s="1033">
        <f>IFERROR(IF(X52="",0,CEILING((X52/$H52),1)*$H52),"")</f>
        <v/>
      </c>
      <c r="Z52" s="41">
        <f>IFERROR(IF(Y52=0,"",ROUNDUP(Y52/H52,0)*0.00726),"")</f>
        <v/>
      </c>
      <c r="AA52" s="68" t="inlineStr"/>
      <c r="AB52" s="69" t="inlineStr"/>
      <c r="AC52" s="114" t="inlineStr">
        <is>
          <t>ЕАЭС N RU Д-RU.РА08.В.54458/25</t>
        </is>
      </c>
      <c r="AG52" s="78" t="n"/>
      <c r="AJ52" s="84" t="inlineStr"/>
      <c r="AK52" s="84" t="n">
        <v>0</v>
      </c>
      <c r="BB52" s="115" t="inlineStr">
        <is>
          <t>КИ</t>
        </is>
      </c>
      <c r="BM52" s="78">
        <f>IFERROR(X52*I52/H52,"0")</f>
        <v/>
      </c>
      <c r="BN52" s="78">
        <f>IFERROR(Y52*I52/H52,"0")</f>
        <v/>
      </c>
      <c r="BO52" s="78">
        <f>IFERROR(1/J52*(X52/H52),"0")</f>
        <v/>
      </c>
      <c r="BP52" s="78">
        <f>IFERROR(1/J52*(Y52/H52),"0")</f>
        <v/>
      </c>
    </row>
    <row r="53" ht="27" customHeight="1">
      <c r="A53" s="63" t="inlineStr">
        <is>
          <t>SU001485</t>
        </is>
      </c>
      <c r="B53" s="63" t="inlineStr">
        <is>
          <t>P003008</t>
        </is>
      </c>
      <c r="C53" s="36" t="n">
        <v>4301011382</v>
      </c>
      <c r="D53" s="695" t="n">
        <v>4607091385687</v>
      </c>
      <c r="E53" s="989" t="n"/>
      <c r="F53" s="1028" t="n">
        <v>0.4</v>
      </c>
      <c r="G53" s="37" t="n">
        <v>10</v>
      </c>
      <c r="H53" s="1028" t="n">
        <v>4</v>
      </c>
      <c r="I53" s="1028" t="n">
        <v>4.19</v>
      </c>
      <c r="J53" s="37" t="n">
        <v>132</v>
      </c>
      <c r="K53" s="37" t="inlineStr">
        <is>
          <t>12</t>
        </is>
      </c>
      <c r="L53" s="37" t="inlineStr"/>
      <c r="M53" s="38" t="inlineStr">
        <is>
          <t>СК3</t>
        </is>
      </c>
      <c r="N53" s="38" t="n"/>
      <c r="O53" s="37" t="n">
        <v>50</v>
      </c>
      <c r="P53" s="1052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53" s="1030" t="n"/>
      <c r="R53" s="1030" t="n"/>
      <c r="S53" s="1030" t="n"/>
      <c r="T53" s="1031" t="n"/>
      <c r="U53" s="39" t="inlineStr"/>
      <c r="V53" s="39" t="inlineStr"/>
      <c r="W53" s="40" t="inlineStr">
        <is>
          <t>кг</t>
        </is>
      </c>
      <c r="X53" s="1032" t="n">
        <v>0</v>
      </c>
      <c r="Y53" s="1033">
        <f>IFERROR(IF(X53="",0,CEILING((X53/$H53),1)*$H53),"")</f>
        <v/>
      </c>
      <c r="Z53" s="41">
        <f>IFERROR(IF(Y53=0,"",ROUNDUP(Y53/H53,0)*0.00902),"")</f>
        <v/>
      </c>
      <c r="AA53" s="68" t="inlineStr"/>
      <c r="AB53" s="69" t="inlineStr"/>
      <c r="AC53" s="116" t="inlineStr">
        <is>
          <t>ЕАЭС N RU Д-RU.РА08.В.45907/25</t>
        </is>
      </c>
      <c r="AG53" s="78" t="n"/>
      <c r="AJ53" s="84" t="inlineStr"/>
      <c r="AK53" s="84" t="n">
        <v>0</v>
      </c>
      <c r="BB53" s="117" t="inlineStr">
        <is>
          <t>КИ</t>
        </is>
      </c>
      <c r="BM53" s="78">
        <f>IFERROR(X53*I53/H53,"0")</f>
        <v/>
      </c>
      <c r="BN53" s="78">
        <f>IFERROR(Y53*I53/H53,"0")</f>
        <v/>
      </c>
      <c r="BO53" s="78">
        <f>IFERROR(1/J53*(X53/H53),"0")</f>
        <v/>
      </c>
      <c r="BP53" s="78">
        <f>IFERROR(1/J53*(Y53/H53),"0")</f>
        <v/>
      </c>
    </row>
    <row r="54" ht="27" customHeight="1">
      <c r="A54" s="63" t="inlineStr">
        <is>
          <t>SU002986</t>
        </is>
      </c>
      <c r="B54" s="63" t="inlineStr">
        <is>
          <t>P003429</t>
        </is>
      </c>
      <c r="C54" s="36" t="n">
        <v>4301011565</v>
      </c>
      <c r="D54" s="695" t="n">
        <v>4680115882539</v>
      </c>
      <c r="E54" s="989" t="n"/>
      <c r="F54" s="1028" t="n">
        <v>0.37</v>
      </c>
      <c r="G54" s="37" t="n">
        <v>10</v>
      </c>
      <c r="H54" s="1028" t="n">
        <v>3.7</v>
      </c>
      <c r="I54" s="1028" t="n">
        <v>3.89</v>
      </c>
      <c r="J54" s="37" t="n">
        <v>132</v>
      </c>
      <c r="K54" s="37" t="inlineStr">
        <is>
          <t>12</t>
        </is>
      </c>
      <c r="L54" s="37" t="inlineStr"/>
      <c r="M54" s="38" t="inlineStr">
        <is>
          <t>СК3</t>
        </is>
      </c>
      <c r="N54" s="38" t="n"/>
      <c r="O54" s="37" t="n">
        <v>50</v>
      </c>
      <c r="P54" s="1053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54" s="1030" t="n"/>
      <c r="R54" s="1030" t="n"/>
      <c r="S54" s="1030" t="n"/>
      <c r="T54" s="1031" t="n"/>
      <c r="U54" s="39" t="inlineStr"/>
      <c r="V54" s="39" t="inlineStr"/>
      <c r="W54" s="40" t="inlineStr">
        <is>
          <t>кг</t>
        </is>
      </c>
      <c r="X54" s="1032" t="n">
        <v>0</v>
      </c>
      <c r="Y54" s="1033">
        <f>IFERROR(IF(X54="",0,CEILING((X54/$H54),1)*$H54),"")</f>
        <v/>
      </c>
      <c r="Z54" s="41">
        <f>IFERROR(IF(Y54=0,"",ROUNDUP(Y54/H54,0)*0.00902),"")</f>
        <v/>
      </c>
      <c r="AA54" s="68" t="inlineStr"/>
      <c r="AB54" s="69" t="inlineStr"/>
      <c r="AC54" s="118" t="inlineStr">
        <is>
          <t>ЕАЭС N RU Д-RU.РА08.В.45907/25</t>
        </is>
      </c>
      <c r="AG54" s="78" t="n"/>
      <c r="AJ54" s="84" t="inlineStr"/>
      <c r="AK54" s="84" t="n">
        <v>0</v>
      </c>
      <c r="BB54" s="119" t="inlineStr">
        <is>
          <t>КИ</t>
        </is>
      </c>
      <c r="BM54" s="78">
        <f>IFERROR(X54*I54/H54,"0")</f>
        <v/>
      </c>
      <c r="BN54" s="78">
        <f>IFERROR(Y54*I54/H54,"0")</f>
        <v/>
      </c>
      <c r="BO54" s="78">
        <f>IFERROR(1/J54*(X54/H54),"0")</f>
        <v/>
      </c>
      <c r="BP54" s="78">
        <f>IFERROR(1/J54*(Y54/H54),"0")</f>
        <v/>
      </c>
    </row>
    <row r="55">
      <c r="A55" s="704" t="n"/>
      <c r="B55" s="979" t="n"/>
      <c r="C55" s="979" t="n"/>
      <c r="D55" s="979" t="n"/>
      <c r="E55" s="979" t="n"/>
      <c r="F55" s="979" t="n"/>
      <c r="G55" s="979" t="n"/>
      <c r="H55" s="979" t="n"/>
      <c r="I55" s="979" t="n"/>
      <c r="J55" s="979" t="n"/>
      <c r="K55" s="979" t="n"/>
      <c r="L55" s="979" t="n"/>
      <c r="M55" s="979" t="n"/>
      <c r="N55" s="979" t="n"/>
      <c r="O55" s="1035" t="n"/>
      <c r="P55" s="1036" t="inlineStr">
        <is>
          <t>Итого</t>
        </is>
      </c>
      <c r="Q55" s="997" t="n"/>
      <c r="R55" s="997" t="n"/>
      <c r="S55" s="997" t="n"/>
      <c r="T55" s="997" t="n"/>
      <c r="U55" s="997" t="n"/>
      <c r="V55" s="998" t="n"/>
      <c r="W55" s="42" t="inlineStr">
        <is>
          <t>кор</t>
        </is>
      </c>
      <c r="X55" s="1037">
        <f>IFERROR(X51/H51,"0")+IFERROR(X52/H52,"0")+IFERROR(X53/H53,"0")+IFERROR(X54/H54,"0")</f>
        <v/>
      </c>
      <c r="Y55" s="1037">
        <f>IFERROR(Y51/H51,"0")+IFERROR(Y52/H52,"0")+IFERROR(Y53/H53,"0")+IFERROR(Y54/H54,"0")</f>
        <v/>
      </c>
      <c r="Z55" s="1037">
        <f>IFERROR(IF(Z51="",0,Z51),"0")+IFERROR(IF(Z52="",0,Z52),"0")+IFERROR(IF(Z53="",0,Z53),"0")+IFERROR(IF(Z54="",0,Z54),"0")</f>
        <v/>
      </c>
      <c r="AA55" s="1038" t="n"/>
      <c r="AB55" s="1038" t="n"/>
      <c r="AC55" s="1038" t="n"/>
    </row>
    <row r="56">
      <c r="A56" s="979" t="n"/>
      <c r="B56" s="979" t="n"/>
      <c r="C56" s="979" t="n"/>
      <c r="D56" s="979" t="n"/>
      <c r="E56" s="979" t="n"/>
      <c r="F56" s="979" t="n"/>
      <c r="G56" s="979" t="n"/>
      <c r="H56" s="979" t="n"/>
      <c r="I56" s="979" t="n"/>
      <c r="J56" s="979" t="n"/>
      <c r="K56" s="979" t="n"/>
      <c r="L56" s="979" t="n"/>
      <c r="M56" s="979" t="n"/>
      <c r="N56" s="979" t="n"/>
      <c r="O56" s="1035" t="n"/>
      <c r="P56" s="1036" t="inlineStr">
        <is>
          <t>Итого</t>
        </is>
      </c>
      <c r="Q56" s="997" t="n"/>
      <c r="R56" s="997" t="n"/>
      <c r="S56" s="997" t="n"/>
      <c r="T56" s="997" t="n"/>
      <c r="U56" s="997" t="n"/>
      <c r="V56" s="998" t="n"/>
      <c r="W56" s="42" t="inlineStr">
        <is>
          <t>кг</t>
        </is>
      </c>
      <c r="X56" s="1037">
        <f>IFERROR(SUM(X51:X54),"0")</f>
        <v/>
      </c>
      <c r="Y56" s="1037">
        <f>IFERROR(SUM(Y51:Y54),"0")</f>
        <v/>
      </c>
      <c r="Z56" s="42" t="n"/>
      <c r="AA56" s="1038" t="n"/>
      <c r="AB56" s="1038" t="n"/>
      <c r="AC56" s="1038" t="n"/>
    </row>
    <row r="57" ht="16.5" customHeight="1">
      <c r="A57" s="693" t="inlineStr">
        <is>
          <t>Филейская</t>
        </is>
      </c>
      <c r="B57" s="979" t="n"/>
      <c r="C57" s="979" t="n"/>
      <c r="D57" s="979" t="n"/>
      <c r="E57" s="979" t="n"/>
      <c r="F57" s="979" t="n"/>
      <c r="G57" s="979" t="n"/>
      <c r="H57" s="979" t="n"/>
      <c r="I57" s="979" t="n"/>
      <c r="J57" s="979" t="n"/>
      <c r="K57" s="979" t="n"/>
      <c r="L57" s="979" t="n"/>
      <c r="M57" s="979" t="n"/>
      <c r="N57" s="979" t="n"/>
      <c r="O57" s="979" t="n"/>
      <c r="P57" s="979" t="n"/>
      <c r="Q57" s="979" t="n"/>
      <c r="R57" s="979" t="n"/>
      <c r="S57" s="979" t="n"/>
      <c r="T57" s="979" t="n"/>
      <c r="U57" s="979" t="n"/>
      <c r="V57" s="979" t="n"/>
      <c r="W57" s="979" t="n"/>
      <c r="X57" s="979" t="n"/>
      <c r="Y57" s="979" t="n"/>
      <c r="Z57" s="979" t="n"/>
      <c r="AA57" s="693" t="n"/>
      <c r="AB57" s="693" t="n"/>
      <c r="AC57" s="693" t="n"/>
    </row>
    <row r="58" ht="14.25" customHeight="1">
      <c r="A58" s="694" t="inlineStr">
        <is>
          <t>Вареные колбасы</t>
        </is>
      </c>
      <c r="B58" s="979" t="n"/>
      <c r="C58" s="979" t="n"/>
      <c r="D58" s="979" t="n"/>
      <c r="E58" s="979" t="n"/>
      <c r="F58" s="979" t="n"/>
      <c r="G58" s="979" t="n"/>
      <c r="H58" s="979" t="n"/>
      <c r="I58" s="979" t="n"/>
      <c r="J58" s="979" t="n"/>
      <c r="K58" s="979" t="n"/>
      <c r="L58" s="979" t="n"/>
      <c r="M58" s="979" t="n"/>
      <c r="N58" s="979" t="n"/>
      <c r="O58" s="979" t="n"/>
      <c r="P58" s="979" t="n"/>
      <c r="Q58" s="979" t="n"/>
      <c r="R58" s="979" t="n"/>
      <c r="S58" s="979" t="n"/>
      <c r="T58" s="979" t="n"/>
      <c r="U58" s="979" t="n"/>
      <c r="V58" s="979" t="n"/>
      <c r="W58" s="979" t="n"/>
      <c r="X58" s="979" t="n"/>
      <c r="Y58" s="979" t="n"/>
      <c r="Z58" s="979" t="n"/>
      <c r="AA58" s="694" t="n"/>
      <c r="AB58" s="694" t="n"/>
      <c r="AC58" s="694" t="n"/>
    </row>
    <row r="59" ht="27" customHeight="1">
      <c r="A59" s="63" t="inlineStr">
        <is>
          <t>SU003642</t>
        </is>
      </c>
      <c r="B59" s="63" t="inlineStr">
        <is>
          <t>P004621</t>
        </is>
      </c>
      <c r="C59" s="36" t="n">
        <v>4301012030</v>
      </c>
      <c r="D59" s="695" t="n">
        <v>4680115885882</v>
      </c>
      <c r="E59" s="989" t="n"/>
      <c r="F59" s="1028" t="n">
        <v>1.4</v>
      </c>
      <c r="G59" s="37" t="n">
        <v>8</v>
      </c>
      <c r="H59" s="1028" t="n">
        <v>11.2</v>
      </c>
      <c r="I59" s="1028" t="n">
        <v>11.61</v>
      </c>
      <c r="J59" s="37" t="n">
        <v>64</v>
      </c>
      <c r="K59" s="37" t="inlineStr">
        <is>
          <t>8</t>
        </is>
      </c>
      <c r="L59" s="37" t="inlineStr"/>
      <c r="M59" s="38" t="inlineStr">
        <is>
          <t>СК3</t>
        </is>
      </c>
      <c r="N59" s="38" t="n"/>
      <c r="O59" s="37" t="n">
        <v>50</v>
      </c>
      <c r="P59" s="1054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59" s="1030" t="n"/>
      <c r="R59" s="1030" t="n"/>
      <c r="S59" s="1030" t="n"/>
      <c r="T59" s="1031" t="n"/>
      <c r="U59" s="39" t="inlineStr"/>
      <c r="V59" s="39" t="inlineStr"/>
      <c r="W59" s="40" t="inlineStr">
        <is>
          <t>кг</t>
        </is>
      </c>
      <c r="X59" s="1032" t="n">
        <v>0</v>
      </c>
      <c r="Y59" s="1033">
        <f>IFERROR(IF(X59="",0,CEILING((X59/$H59),1)*$H59),"")</f>
        <v/>
      </c>
      <c r="Z59" s="41">
        <f>IFERROR(IF(Y59=0,"",ROUNDUP(Y59/H59,0)*0.01898),"")</f>
        <v/>
      </c>
      <c r="AA59" s="68" t="inlineStr"/>
      <c r="AB59" s="69" t="inlineStr"/>
      <c r="AC59" s="120" t="inlineStr">
        <is>
          <t>ЕАЭС N RU Д-RU.РА10.В.32351/25</t>
        </is>
      </c>
      <c r="AG59" s="78" t="n"/>
      <c r="AJ59" s="84" t="inlineStr"/>
      <c r="AK59" s="84" t="n">
        <v>0</v>
      </c>
      <c r="BB59" s="121" t="inlineStr">
        <is>
          <t>КИ</t>
        </is>
      </c>
      <c r="BM59" s="78">
        <f>IFERROR(X59*I59/H59,"0")</f>
        <v/>
      </c>
      <c r="BN59" s="78">
        <f>IFERROR(Y59*I59/H59,"0")</f>
        <v/>
      </c>
      <c r="BO59" s="78">
        <f>IFERROR(1/J59*(X59/H59),"0")</f>
        <v/>
      </c>
      <c r="BP59" s="78">
        <f>IFERROR(1/J59*(Y59/H59),"0")</f>
        <v/>
      </c>
    </row>
    <row r="60" ht="27" customHeight="1">
      <c r="A60" s="63" t="inlineStr">
        <is>
          <t>SU003642</t>
        </is>
      </c>
      <c r="B60" s="63" t="inlineStr">
        <is>
          <t>P005001</t>
        </is>
      </c>
      <c r="C60" s="36" t="n">
        <v>4301012161</v>
      </c>
      <c r="D60" s="695" t="n">
        <v>4680115885882</v>
      </c>
      <c r="E60" s="989" t="n"/>
      <c r="F60" s="1028" t="n">
        <v>1.4</v>
      </c>
      <c r="G60" s="37" t="n">
        <v>8</v>
      </c>
      <c r="H60" s="1028" t="n">
        <v>11.2</v>
      </c>
      <c r="I60" s="1028" t="n">
        <v>11.61</v>
      </c>
      <c r="J60" s="37" t="n">
        <v>64</v>
      </c>
      <c r="K60" s="37" t="inlineStr">
        <is>
          <t>8</t>
        </is>
      </c>
      <c r="L60" s="37" t="inlineStr"/>
      <c r="M60" s="38" t="inlineStr">
        <is>
          <t>СК1</t>
        </is>
      </c>
      <c r="N60" s="38" t="n"/>
      <c r="O60" s="37" t="n">
        <v>50</v>
      </c>
      <c r="P60" s="1055">
        <f>HYPERLINK("https://abi.ru/products/Охлажденные/Вязанка/Филейская/Вареные колбасы/P005001/","Вареные колбасы «Филейская со шпиком» Весовой п/а ТМ «Вязанка»")</f>
        <v/>
      </c>
      <c r="Q60" s="1030" t="n"/>
      <c r="R60" s="1030" t="n"/>
      <c r="S60" s="1030" t="n"/>
      <c r="T60" s="1031" t="n"/>
      <c r="U60" s="39" t="inlineStr"/>
      <c r="V60" s="39" t="inlineStr"/>
      <c r="W60" s="40" t="inlineStr">
        <is>
          <t>кг</t>
        </is>
      </c>
      <c r="X60" s="1032" t="n">
        <v>0</v>
      </c>
      <c r="Y60" s="1033">
        <f>IFERROR(IF(X60="",0,CEILING((X60/$H60),1)*$H60),"")</f>
        <v/>
      </c>
      <c r="Z60" s="41">
        <f>IFERROR(IF(Y60=0,"",ROUNDUP(Y60/H60,0)*0.01898),"")</f>
        <v/>
      </c>
      <c r="AA60" s="68" t="inlineStr"/>
      <c r="AB60" s="69" t="inlineStr"/>
      <c r="AC60" s="122" t="inlineStr">
        <is>
          <t>ЕАЭС N RU Д-RU.РА06.В.18331/23, ЕАЭС N RU Д-RU.РА10.В.32351/25</t>
        </is>
      </c>
      <c r="AG60" s="78" t="n"/>
      <c r="AJ60" s="84" t="inlineStr"/>
      <c r="AK60" s="84" t="n">
        <v>0</v>
      </c>
      <c r="BB60" s="123" t="inlineStr">
        <is>
          <t>КИ</t>
        </is>
      </c>
      <c r="BM60" s="78">
        <f>IFERROR(X60*I60/H60,"0")</f>
        <v/>
      </c>
      <c r="BN60" s="78">
        <f>IFERROR(Y60*I60/H60,"0")</f>
        <v/>
      </c>
      <c r="BO60" s="78">
        <f>IFERROR(1/J60*(X60/H60),"0")</f>
        <v/>
      </c>
      <c r="BP60" s="78">
        <f>IFERROR(1/J60*(Y60/H60),"0")</f>
        <v/>
      </c>
    </row>
    <row r="61" ht="27" customHeight="1">
      <c r="A61" s="63" t="inlineStr">
        <is>
          <t>SU002829</t>
        </is>
      </c>
      <c r="B61" s="63" t="inlineStr">
        <is>
          <t>P003235</t>
        </is>
      </c>
      <c r="C61" s="36" t="n">
        <v>4301011816</v>
      </c>
      <c r="D61" s="695" t="n">
        <v>4680115881426</v>
      </c>
      <c r="E61" s="989" t="n"/>
      <c r="F61" s="1028" t="n">
        <v>1.35</v>
      </c>
      <c r="G61" s="37" t="n">
        <v>8</v>
      </c>
      <c r="H61" s="1028" t="n">
        <v>10.8</v>
      </c>
      <c r="I61" s="1028" t="n">
        <v>11.21</v>
      </c>
      <c r="J61" s="37" t="n">
        <v>64</v>
      </c>
      <c r="K61" s="37" t="inlineStr">
        <is>
          <t>8</t>
        </is>
      </c>
      <c r="L61" s="37" t="inlineStr"/>
      <c r="M61" s="38" t="inlineStr">
        <is>
          <t>СК1</t>
        </is>
      </c>
      <c r="N61" s="38" t="n"/>
      <c r="O61" s="37" t="n">
        <v>50</v>
      </c>
      <c r="P61" s="1056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61" s="1030" t="n"/>
      <c r="R61" s="1030" t="n"/>
      <c r="S61" s="1030" t="n"/>
      <c r="T61" s="1031" t="n"/>
      <c r="U61" s="39" t="inlineStr"/>
      <c r="V61" s="39" t="inlineStr"/>
      <c r="W61" s="40" t="inlineStr">
        <is>
          <t>кг</t>
        </is>
      </c>
      <c r="X61" s="1032" t="n">
        <v>0</v>
      </c>
      <c r="Y61" s="1033">
        <f>IFERROR(IF(X61="",0,CEILING((X61/$H61),1)*$H61),"")</f>
        <v/>
      </c>
      <c r="Z61" s="41">
        <f>IFERROR(IF(Y61=0,"",ROUNDUP(Y61/H61,0)*0.01898),"")</f>
        <v/>
      </c>
      <c r="AA61" s="68" t="inlineStr"/>
      <c r="AB61" s="69" t="inlineStr"/>
      <c r="AC61" s="124" t="inlineStr">
        <is>
          <t>ЕАЭС N RU Д-RU.РА09.В.07383/25, ЕАЭС N RU Д-RU.РА09.В.72428/25</t>
        </is>
      </c>
      <c r="AG61" s="78" t="n"/>
      <c r="AJ61" s="84" t="inlineStr"/>
      <c r="AK61" s="84" t="n">
        <v>0</v>
      </c>
      <c r="BB61" s="125" t="inlineStr">
        <is>
          <t>КИ</t>
        </is>
      </c>
      <c r="BM61" s="78">
        <f>IFERROR(X61*I61/H61,"0")</f>
        <v/>
      </c>
      <c r="BN61" s="78">
        <f>IFERROR(Y61*I61/H61,"0")</f>
        <v/>
      </c>
      <c r="BO61" s="78">
        <f>IFERROR(1/J61*(X61/H61),"0")</f>
        <v/>
      </c>
      <c r="BP61" s="78">
        <f>IFERROR(1/J61*(Y61/H61),"0")</f>
        <v/>
      </c>
    </row>
    <row r="62" ht="27" customHeight="1">
      <c r="A62" s="63" t="inlineStr">
        <is>
          <t>SU002674</t>
        </is>
      </c>
      <c r="B62" s="63" t="inlineStr">
        <is>
          <t>P003045</t>
        </is>
      </c>
      <c r="C62" s="36" t="n">
        <v>4301011386</v>
      </c>
      <c r="D62" s="695" t="n">
        <v>4680115880283</v>
      </c>
      <c r="E62" s="989" t="n"/>
      <c r="F62" s="1028" t="n">
        <v>0.6</v>
      </c>
      <c r="G62" s="37" t="n">
        <v>8</v>
      </c>
      <c r="H62" s="1028" t="n">
        <v>4.8</v>
      </c>
      <c r="I62" s="1028" t="n">
        <v>4.99</v>
      </c>
      <c r="J62" s="37" t="n">
        <v>132</v>
      </c>
      <c r="K62" s="37" t="inlineStr">
        <is>
          <t>12</t>
        </is>
      </c>
      <c r="L62" s="37" t="inlineStr"/>
      <c r="M62" s="38" t="inlineStr">
        <is>
          <t>СК1</t>
        </is>
      </c>
      <c r="N62" s="38" t="n"/>
      <c r="O62" s="37" t="n">
        <v>45</v>
      </c>
      <c r="P62" s="1057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62" s="1030" t="n"/>
      <c r="R62" s="1030" t="n"/>
      <c r="S62" s="1030" t="n"/>
      <c r="T62" s="1031" t="n"/>
      <c r="U62" s="39" t="inlineStr"/>
      <c r="V62" s="39" t="inlineStr"/>
      <c r="W62" s="40" t="inlineStr">
        <is>
          <t>кг</t>
        </is>
      </c>
      <c r="X62" s="1032" t="n">
        <v>0</v>
      </c>
      <c r="Y62" s="1033">
        <f>IFERROR(IF(X62="",0,CEILING((X62/$H62),1)*$H62),"")</f>
        <v/>
      </c>
      <c r="Z62" s="41">
        <f>IFERROR(IF(Y62=0,"",ROUNDUP(Y62/H62,0)*0.00902),"")</f>
        <v/>
      </c>
      <c r="AA62" s="68" t="inlineStr"/>
      <c r="AB62" s="69" t="inlineStr"/>
      <c r="AC62" s="126" t="inlineStr">
        <is>
          <t>ЕАЭС N RU Д-RU.РА03.В.01645/25</t>
        </is>
      </c>
      <c r="AG62" s="78" t="n"/>
      <c r="AJ62" s="84" t="inlineStr"/>
      <c r="AK62" s="84" t="n">
        <v>0</v>
      </c>
      <c r="BB62" s="127" t="inlineStr">
        <is>
          <t>КИ</t>
        </is>
      </c>
      <c r="BM62" s="78">
        <f>IFERROR(X62*I62/H62,"0")</f>
        <v/>
      </c>
      <c r="BN62" s="78">
        <f>IFERROR(Y62*I62/H62,"0")</f>
        <v/>
      </c>
      <c r="BO62" s="78">
        <f>IFERROR(1/J62*(X62/H62),"0")</f>
        <v/>
      </c>
      <c r="BP62" s="78">
        <f>IFERROR(1/J62*(Y62/H62),"0")</f>
        <v/>
      </c>
    </row>
    <row r="63" ht="27" customHeight="1">
      <c r="A63" s="63" t="inlineStr">
        <is>
          <t>SU002674</t>
        </is>
      </c>
      <c r="B63" s="63" t="inlineStr">
        <is>
          <t>P005294</t>
        </is>
      </c>
      <c r="C63" s="36" t="n">
        <v>4301012259</v>
      </c>
      <c r="D63" s="695" t="n">
        <v>4680115880283</v>
      </c>
      <c r="E63" s="989" t="n"/>
      <c r="F63" s="1028" t="n">
        <v>0.6</v>
      </c>
      <c r="G63" s="37" t="n">
        <v>8</v>
      </c>
      <c r="H63" s="1028" t="n">
        <v>4.8</v>
      </c>
      <c r="I63" s="1028" t="n">
        <v>4.99</v>
      </c>
      <c r="J63" s="37" t="n">
        <v>132</v>
      </c>
      <c r="K63" s="37" t="inlineStr">
        <is>
          <t>12</t>
        </is>
      </c>
      <c r="L63" s="37" t="inlineStr"/>
      <c r="M63" s="38" t="inlineStr">
        <is>
          <t>СК1</t>
        </is>
      </c>
      <c r="N63" s="38" t="n"/>
      <c r="O63" s="37" t="n">
        <v>45</v>
      </c>
      <c r="P63" s="1058">
        <f>HYPERLINK("https://abi.ru/products/Охлажденные/Вязанка/Филейская/Вареные колбасы/P005294/","Вареные колбасы «Классическая» Фикс.вес 0,6 п/а ТМ «Вязанка»")</f>
        <v/>
      </c>
      <c r="Q63" s="1030" t="n"/>
      <c r="R63" s="1030" t="n"/>
      <c r="S63" s="1030" t="n"/>
      <c r="T63" s="1031" t="n"/>
      <c r="U63" s="39" t="inlineStr"/>
      <c r="V63" s="39" t="inlineStr"/>
      <c r="W63" s="40" t="inlineStr">
        <is>
          <t>кг</t>
        </is>
      </c>
      <c r="X63" s="1032" t="n">
        <v>0</v>
      </c>
      <c r="Y63" s="1033">
        <f>IFERROR(IF(X63="",0,CEILING((X63/$H63),1)*$H63),"")</f>
        <v/>
      </c>
      <c r="Z63" s="41">
        <f>IFERROR(IF(Y63=0,"",ROUNDUP(Y63/H63,0)*0.00902),"")</f>
        <v/>
      </c>
      <c r="AA63" s="68" t="inlineStr"/>
      <c r="AB63" s="69" t="inlineStr"/>
      <c r="AC63" s="128" t="inlineStr">
        <is>
          <t>ЕАЭС N RU Д-RU.РА03.В.01645/25</t>
        </is>
      </c>
      <c r="AG63" s="78" t="n"/>
      <c r="AJ63" s="84" t="inlineStr"/>
      <c r="AK63" s="84" t="n">
        <v>0</v>
      </c>
      <c r="BB63" s="129" t="inlineStr">
        <is>
          <t>КИ</t>
        </is>
      </c>
      <c r="BM63" s="78">
        <f>IFERROR(X63*I63/H63,"0")</f>
        <v/>
      </c>
      <c r="BN63" s="78">
        <f>IFERROR(Y63*I63/H63,"0")</f>
        <v/>
      </c>
      <c r="BO63" s="78">
        <f>IFERROR(1/J63*(X63/H63),"0")</f>
        <v/>
      </c>
      <c r="BP63" s="78">
        <f>IFERROR(1/J63*(Y63/H63),"0")</f>
        <v/>
      </c>
    </row>
    <row r="64" ht="27" customHeight="1">
      <c r="A64" s="63" t="inlineStr">
        <is>
          <t>SU002831</t>
        </is>
      </c>
      <c r="B64" s="63" t="inlineStr">
        <is>
          <t>P003243</t>
        </is>
      </c>
      <c r="C64" s="36" t="n">
        <v>4301011806</v>
      </c>
      <c r="D64" s="695" t="n">
        <v>4680115881525</v>
      </c>
      <c r="E64" s="989" t="n"/>
      <c r="F64" s="1028" t="n">
        <v>0.4</v>
      </c>
      <c r="G64" s="37" t="n">
        <v>10</v>
      </c>
      <c r="H64" s="1028" t="n">
        <v>4</v>
      </c>
      <c r="I64" s="1028" t="n">
        <v>4.19</v>
      </c>
      <c r="J64" s="37" t="n">
        <v>132</v>
      </c>
      <c r="K64" s="37" t="inlineStr">
        <is>
          <t>12</t>
        </is>
      </c>
      <c r="L64" s="37" t="inlineStr"/>
      <c r="M64" s="38" t="inlineStr">
        <is>
          <t>СК1</t>
        </is>
      </c>
      <c r="N64" s="38" t="n"/>
      <c r="O64" s="37" t="n">
        <v>50</v>
      </c>
      <c r="P64" s="1059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64" s="1030" t="n"/>
      <c r="R64" s="1030" t="n"/>
      <c r="S64" s="1030" t="n"/>
      <c r="T64" s="1031" t="n"/>
      <c r="U64" s="39" t="inlineStr"/>
      <c r="V64" s="39" t="inlineStr"/>
      <c r="W64" s="40" t="inlineStr">
        <is>
          <t>кг</t>
        </is>
      </c>
      <c r="X64" s="1032" t="n">
        <v>0</v>
      </c>
      <c r="Y64" s="1033">
        <f>IFERROR(IF(X64="",0,CEILING((X64/$H64),1)*$H64),"")</f>
        <v/>
      </c>
      <c r="Z64" s="41">
        <f>IFERROR(IF(Y64=0,"",ROUNDUP(Y64/H64,0)*0.00902),"")</f>
        <v/>
      </c>
      <c r="AA64" s="68" t="inlineStr"/>
      <c r="AB64" s="69" t="inlineStr"/>
      <c r="AC64" s="130" t="inlineStr">
        <is>
          <t>ЕАЭС N RU Д-RU.РА01.В.10475/23, ЕАЭС N RU Д-RU.РА09.В.72428/25</t>
        </is>
      </c>
      <c r="AG64" s="78" t="n"/>
      <c r="AJ64" s="84" t="inlineStr"/>
      <c r="AK64" s="84" t="n">
        <v>0</v>
      </c>
      <c r="BB64" s="131" t="inlineStr">
        <is>
          <t>КИ</t>
        </is>
      </c>
      <c r="BM64" s="78">
        <f>IFERROR(X64*I64/H64,"0")</f>
        <v/>
      </c>
      <c r="BN64" s="78">
        <f>IFERROR(Y64*I64/H64,"0")</f>
        <v/>
      </c>
      <c r="BO64" s="78">
        <f>IFERROR(1/J64*(X64/H64),"0")</f>
        <v/>
      </c>
      <c r="BP64" s="78">
        <f>IFERROR(1/J64*(Y64/H64),"0")</f>
        <v/>
      </c>
    </row>
    <row r="65" ht="27" customHeight="1">
      <c r="A65" s="63" t="inlineStr">
        <is>
          <t>SU003033</t>
        </is>
      </c>
      <c r="B65" s="63" t="inlineStr">
        <is>
          <t>P005011</t>
        </is>
      </c>
      <c r="C65" s="36" t="n">
        <v>4301012165</v>
      </c>
      <c r="D65" s="695" t="n">
        <v>4680115885899</v>
      </c>
      <c r="E65" s="989" t="n"/>
      <c r="F65" s="1028" t="n">
        <v>0.35</v>
      </c>
      <c r="G65" s="37" t="n">
        <v>6</v>
      </c>
      <c r="H65" s="1028" t="n">
        <v>2.1</v>
      </c>
      <c r="I65" s="1028" t="n">
        <v>2.28</v>
      </c>
      <c r="J65" s="37" t="n">
        <v>182</v>
      </c>
      <c r="K65" s="37" t="inlineStr">
        <is>
          <t>14</t>
        </is>
      </c>
      <c r="L65" s="37" t="inlineStr"/>
      <c r="M65" s="38" t="inlineStr">
        <is>
          <t>СК1</t>
        </is>
      </c>
      <c r="N65" s="38" t="n"/>
      <c r="O65" s="37" t="n">
        <v>50</v>
      </c>
      <c r="P65" s="1060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/>
      </c>
      <c r="Q65" s="1030" t="n"/>
      <c r="R65" s="1030" t="n"/>
      <c r="S65" s="1030" t="n"/>
      <c r="T65" s="1031" t="n"/>
      <c r="U65" s="39" t="inlineStr"/>
      <c r="V65" s="39" t="inlineStr"/>
      <c r="W65" s="40" t="inlineStr">
        <is>
          <t>кг</t>
        </is>
      </c>
      <c r="X65" s="1032" t="n">
        <v>0</v>
      </c>
      <c r="Y65" s="1033">
        <f>IFERROR(IF(X65="",0,CEILING((X65/$H65),1)*$H65),"")</f>
        <v/>
      </c>
      <c r="Z65" s="41">
        <f>IFERROR(IF(Y65=0,"",ROUNDUP(Y65/H65,0)*0.00651),"")</f>
        <v/>
      </c>
      <c r="AA65" s="68" t="inlineStr"/>
      <c r="AB65" s="69" t="inlineStr"/>
      <c r="AC65" s="132" t="inlineStr">
        <is>
          <t>ЕАЭС N RU Д-RU.РА06.В.18331/23, ЕАЭС N RU Д-RU.РА10.В.32351/25</t>
        </is>
      </c>
      <c r="AG65" s="78" t="n"/>
      <c r="AJ65" s="84" t="inlineStr"/>
      <c r="AK65" s="84" t="n">
        <v>0</v>
      </c>
      <c r="BB65" s="133" t="inlineStr">
        <is>
          <t>КИ</t>
        </is>
      </c>
      <c r="BM65" s="78">
        <f>IFERROR(X65*I65/H65,"0")</f>
        <v/>
      </c>
      <c r="BN65" s="78">
        <f>IFERROR(Y65*I65/H65,"0")</f>
        <v/>
      </c>
      <c r="BO65" s="78">
        <f>IFERROR(1/J65*(X65/H65),"0")</f>
        <v/>
      </c>
      <c r="BP65" s="78">
        <f>IFERROR(1/J65*(Y65/H65),"0")</f>
        <v/>
      </c>
    </row>
    <row r="66" ht="37.5" customHeight="1">
      <c r="A66" s="63" t="inlineStr">
        <is>
          <t>SU002815</t>
        </is>
      </c>
      <c r="B66" s="63" t="inlineStr">
        <is>
          <t>P003227</t>
        </is>
      </c>
      <c r="C66" s="36" t="n">
        <v>4301011801</v>
      </c>
      <c r="D66" s="695" t="n">
        <v>4680115881419</v>
      </c>
      <c r="E66" s="989" t="n"/>
      <c r="F66" s="1028" t="n">
        <v>0.45</v>
      </c>
      <c r="G66" s="37" t="n">
        <v>10</v>
      </c>
      <c r="H66" s="1028" t="n">
        <v>4.5</v>
      </c>
      <c r="I66" s="1028" t="n">
        <v>4.69</v>
      </c>
      <c r="J66" s="37" t="n">
        <v>132</v>
      </c>
      <c r="K66" s="37" t="inlineStr">
        <is>
          <t>12</t>
        </is>
      </c>
      <c r="L66" s="37" t="inlineStr"/>
      <c r="M66" s="38" t="inlineStr">
        <is>
          <t>СК1</t>
        </is>
      </c>
      <c r="N66" s="38" t="n"/>
      <c r="O66" s="37" t="n">
        <v>50</v>
      </c>
      <c r="P66" s="1061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66" s="1030" t="n"/>
      <c r="R66" s="1030" t="n"/>
      <c r="S66" s="1030" t="n"/>
      <c r="T66" s="1031" t="n"/>
      <c r="U66" s="39" t="inlineStr"/>
      <c r="V66" s="39" t="inlineStr"/>
      <c r="W66" s="40" t="inlineStr">
        <is>
          <t>кг</t>
        </is>
      </c>
      <c r="X66" s="1032" t="n">
        <v>0</v>
      </c>
      <c r="Y66" s="1033">
        <f>IFERROR(IF(X66="",0,CEILING((X66/$H66),1)*$H66),"")</f>
        <v/>
      </c>
      <c r="Z66" s="41">
        <f>IFERROR(IF(Y66=0,"",ROUNDUP(Y66/H66,0)*0.00902),"")</f>
        <v/>
      </c>
      <c r="AA66" s="68" t="inlineStr"/>
      <c r="AB66" s="69" t="inlineStr"/>
      <c r="AC66" s="134" t="inlineStr">
        <is>
          <t>ЕАЭС N RU Д-RU.РА01.В.10475/23, ЕАЭС N RU Д-RU.РА09.В.72428/25, ЕАЭС N RU Д-RU.РА09.В.73574/25</t>
        </is>
      </c>
      <c r="AG66" s="78" t="n"/>
      <c r="AJ66" s="84" t="inlineStr"/>
      <c r="AK66" s="84" t="n">
        <v>0</v>
      </c>
      <c r="BB66" s="135" t="inlineStr">
        <is>
          <t>КИ</t>
        </is>
      </c>
      <c r="BM66" s="78">
        <f>IFERROR(X66*I66/H66,"0")</f>
        <v/>
      </c>
      <c r="BN66" s="78">
        <f>IFERROR(Y66*I66/H66,"0")</f>
        <v/>
      </c>
      <c r="BO66" s="78">
        <f>IFERROR(1/J66*(X66/H66),"0")</f>
        <v/>
      </c>
      <c r="BP66" s="78">
        <f>IFERROR(1/J66*(Y66/H66),"0")</f>
        <v/>
      </c>
    </row>
    <row r="67">
      <c r="A67" s="704" t="n"/>
      <c r="B67" s="979" t="n"/>
      <c r="C67" s="979" t="n"/>
      <c r="D67" s="979" t="n"/>
      <c r="E67" s="979" t="n"/>
      <c r="F67" s="979" t="n"/>
      <c r="G67" s="979" t="n"/>
      <c r="H67" s="979" t="n"/>
      <c r="I67" s="979" t="n"/>
      <c r="J67" s="979" t="n"/>
      <c r="K67" s="979" t="n"/>
      <c r="L67" s="979" t="n"/>
      <c r="M67" s="979" t="n"/>
      <c r="N67" s="979" t="n"/>
      <c r="O67" s="1035" t="n"/>
      <c r="P67" s="1036" t="inlineStr">
        <is>
          <t>Итого</t>
        </is>
      </c>
      <c r="Q67" s="997" t="n"/>
      <c r="R67" s="997" t="n"/>
      <c r="S67" s="997" t="n"/>
      <c r="T67" s="997" t="n"/>
      <c r="U67" s="997" t="n"/>
      <c r="V67" s="998" t="n"/>
      <c r="W67" s="42" t="inlineStr">
        <is>
          <t>кор</t>
        </is>
      </c>
      <c r="X67" s="1037">
        <f>IFERROR(X59/H59,"0")+IFERROR(X60/H60,"0")+IFERROR(X61/H61,"0")+IFERROR(X62/H62,"0")+IFERROR(X63/H63,"0")+IFERROR(X64/H64,"0")+IFERROR(X65/H65,"0")+IFERROR(X66/H66,"0")</f>
        <v/>
      </c>
      <c r="Y67" s="1037">
        <f>IFERROR(Y59/H59,"0")+IFERROR(Y60/H60,"0")+IFERROR(Y61/H61,"0")+IFERROR(Y62/H62,"0")+IFERROR(Y63/H63,"0")+IFERROR(Y64/H64,"0")+IFERROR(Y65/H65,"0")+IFERROR(Y66/H66,"0")</f>
        <v/>
      </c>
      <c r="Z67" s="1037">
        <f>IFERROR(IF(Z59="",0,Z59),"0")+IFERROR(IF(Z60="",0,Z60),"0")+IFERROR(IF(Z61="",0,Z61),"0")+IFERROR(IF(Z62="",0,Z62),"0")+IFERROR(IF(Z63="",0,Z63),"0")+IFERROR(IF(Z64="",0,Z64),"0")+IFERROR(IF(Z65="",0,Z65),"0")+IFERROR(IF(Z66="",0,Z66),"0")</f>
        <v/>
      </c>
      <c r="AA67" s="1038" t="n"/>
      <c r="AB67" s="1038" t="n"/>
      <c r="AC67" s="1038" t="n"/>
    </row>
    <row r="68">
      <c r="A68" s="979" t="n"/>
      <c r="B68" s="979" t="n"/>
      <c r="C68" s="979" t="n"/>
      <c r="D68" s="979" t="n"/>
      <c r="E68" s="979" t="n"/>
      <c r="F68" s="979" t="n"/>
      <c r="G68" s="979" t="n"/>
      <c r="H68" s="979" t="n"/>
      <c r="I68" s="979" t="n"/>
      <c r="J68" s="979" t="n"/>
      <c r="K68" s="979" t="n"/>
      <c r="L68" s="979" t="n"/>
      <c r="M68" s="979" t="n"/>
      <c r="N68" s="979" t="n"/>
      <c r="O68" s="1035" t="n"/>
      <c r="P68" s="1036" t="inlineStr">
        <is>
          <t>Итого</t>
        </is>
      </c>
      <c r="Q68" s="997" t="n"/>
      <c r="R68" s="997" t="n"/>
      <c r="S68" s="997" t="n"/>
      <c r="T68" s="997" t="n"/>
      <c r="U68" s="997" t="n"/>
      <c r="V68" s="998" t="n"/>
      <c r="W68" s="42" t="inlineStr">
        <is>
          <t>кг</t>
        </is>
      </c>
      <c r="X68" s="1037">
        <f>IFERROR(SUM(X59:X66),"0")</f>
        <v/>
      </c>
      <c r="Y68" s="1037">
        <f>IFERROR(SUM(Y59:Y66),"0")</f>
        <v/>
      </c>
      <c r="Z68" s="42" t="n"/>
      <c r="AA68" s="1038" t="n"/>
      <c r="AB68" s="1038" t="n"/>
      <c r="AC68" s="1038" t="n"/>
    </row>
    <row r="69" ht="14.25" customHeight="1">
      <c r="A69" s="694" t="inlineStr">
        <is>
          <t>Ветчины</t>
        </is>
      </c>
      <c r="B69" s="979" t="n"/>
      <c r="C69" s="979" t="n"/>
      <c r="D69" s="979" t="n"/>
      <c r="E69" s="979" t="n"/>
      <c r="F69" s="979" t="n"/>
      <c r="G69" s="979" t="n"/>
      <c r="H69" s="979" t="n"/>
      <c r="I69" s="979" t="n"/>
      <c r="J69" s="979" t="n"/>
      <c r="K69" s="979" t="n"/>
      <c r="L69" s="979" t="n"/>
      <c r="M69" s="979" t="n"/>
      <c r="N69" s="979" t="n"/>
      <c r="O69" s="979" t="n"/>
      <c r="P69" s="979" t="n"/>
      <c r="Q69" s="979" t="n"/>
      <c r="R69" s="979" t="n"/>
      <c r="S69" s="979" t="n"/>
      <c r="T69" s="979" t="n"/>
      <c r="U69" s="979" t="n"/>
      <c r="V69" s="979" t="n"/>
      <c r="W69" s="979" t="n"/>
      <c r="X69" s="979" t="n"/>
      <c r="Y69" s="979" t="n"/>
      <c r="Z69" s="979" t="n"/>
      <c r="AA69" s="694" t="n"/>
      <c r="AB69" s="694" t="n"/>
      <c r="AC69" s="694" t="n"/>
    </row>
    <row r="70" ht="16.5" customHeight="1">
      <c r="A70" s="63" t="inlineStr">
        <is>
          <t>SU002828</t>
        </is>
      </c>
      <c r="B70" s="63" t="inlineStr">
        <is>
          <t>P003234</t>
        </is>
      </c>
      <c r="C70" s="36" t="n">
        <v>4301020298</v>
      </c>
      <c r="D70" s="695" t="n">
        <v>4680115881440</v>
      </c>
      <c r="E70" s="989" t="n"/>
      <c r="F70" s="1028" t="n">
        <v>1.35</v>
      </c>
      <c r="G70" s="37" t="n">
        <v>8</v>
      </c>
      <c r="H70" s="1028" t="n">
        <v>10.8</v>
      </c>
      <c r="I70" s="1028" t="n">
        <v>11.21</v>
      </c>
      <c r="J70" s="37" t="n">
        <v>64</v>
      </c>
      <c r="K70" s="37" t="inlineStr">
        <is>
          <t>8</t>
        </is>
      </c>
      <c r="L70" s="37" t="inlineStr"/>
      <c r="M70" s="38" t="inlineStr">
        <is>
          <t>СК1</t>
        </is>
      </c>
      <c r="N70" s="38" t="n"/>
      <c r="O70" s="37" t="n">
        <v>50</v>
      </c>
      <c r="P70" s="1062">
        <f>HYPERLINK("https://abi.ru/products/Охлажденные/Вязанка/Филейская/Ветчины/P003234/","Ветчины «Филейская» Весовые Вектор ТМ «Вязанка»")</f>
        <v/>
      </c>
      <c r="Q70" s="1030" t="n"/>
      <c r="R70" s="1030" t="n"/>
      <c r="S70" s="1030" t="n"/>
      <c r="T70" s="1031" t="n"/>
      <c r="U70" s="39" t="inlineStr"/>
      <c r="V70" s="39" t="inlineStr"/>
      <c r="W70" s="40" t="inlineStr">
        <is>
          <t>кг</t>
        </is>
      </c>
      <c r="X70" s="1032" t="n">
        <v>0</v>
      </c>
      <c r="Y70" s="1033">
        <f>IFERROR(IF(X70="",0,CEILING((X70/$H70),1)*$H70),"")</f>
        <v/>
      </c>
      <c r="Z70" s="41">
        <f>IFERROR(IF(Y70=0,"",ROUNDUP(Y70/H70,0)*0.01898),"")</f>
        <v/>
      </c>
      <c r="AA70" s="68" t="inlineStr"/>
      <c r="AB70" s="69" t="inlineStr"/>
      <c r="AC70" s="136" t="inlineStr">
        <is>
          <t>ЕАЭС N RU Д-RU.РА11.В.74223/25</t>
        </is>
      </c>
      <c r="AG70" s="78" t="n"/>
      <c r="AJ70" s="84" t="inlineStr"/>
      <c r="AK70" s="84" t="n">
        <v>0</v>
      </c>
      <c r="BB70" s="137" t="inlineStr">
        <is>
          <t>КИ</t>
        </is>
      </c>
      <c r="BM70" s="78">
        <f>IFERROR(X70*I70/H70,"0")</f>
        <v/>
      </c>
      <c r="BN70" s="78">
        <f>IFERROR(Y70*I70/H70,"0")</f>
        <v/>
      </c>
      <c r="BO70" s="78">
        <f>IFERROR(1/J70*(X70/H70),"0")</f>
        <v/>
      </c>
      <c r="BP70" s="78">
        <f>IFERROR(1/J70*(Y70/H70),"0")</f>
        <v/>
      </c>
    </row>
    <row r="71" ht="16.5" customHeight="1">
      <c r="A71" s="63" t="inlineStr">
        <is>
          <t>SU003689</t>
        </is>
      </c>
      <c r="B71" s="63" t="inlineStr">
        <is>
          <t>P004676</t>
        </is>
      </c>
      <c r="C71" s="36" t="n">
        <v>4301020358</v>
      </c>
      <c r="D71" s="695" t="n">
        <v>4680115885950</v>
      </c>
      <c r="E71" s="989" t="n"/>
      <c r="F71" s="1028" t="n">
        <v>0.37</v>
      </c>
      <c r="G71" s="37" t="n">
        <v>6</v>
      </c>
      <c r="H71" s="1028" t="n">
        <v>2.22</v>
      </c>
      <c r="I71" s="1028" t="n">
        <v>2.4</v>
      </c>
      <c r="J71" s="37" t="n">
        <v>182</v>
      </c>
      <c r="K71" s="37" t="inlineStr">
        <is>
          <t>14</t>
        </is>
      </c>
      <c r="L71" s="37" t="inlineStr"/>
      <c r="M71" s="38" t="inlineStr">
        <is>
          <t>СК3</t>
        </is>
      </c>
      <c r="N71" s="38" t="n"/>
      <c r="O71" s="37" t="n">
        <v>50</v>
      </c>
      <c r="P71" s="1063">
        <f>HYPERLINK("https://abi.ru/products/Охлажденные/Вязанка/Филейская/Ветчины/P004676/","Ветчины «Филейская» ф/в 0,37 п/а ТМ «Вязанка»")</f>
        <v/>
      </c>
      <c r="Q71" s="1030" t="n"/>
      <c r="R71" s="1030" t="n"/>
      <c r="S71" s="1030" t="n"/>
      <c r="T71" s="1031" t="n"/>
      <c r="U71" s="39" t="inlineStr"/>
      <c r="V71" s="39" t="inlineStr"/>
      <c r="W71" s="40" t="inlineStr">
        <is>
          <t>кг</t>
        </is>
      </c>
      <c r="X71" s="1032" t="n">
        <v>0</v>
      </c>
      <c r="Y71" s="1033">
        <f>IFERROR(IF(X71="",0,CEILING((X71/$H71),1)*$H71),"")</f>
        <v/>
      </c>
      <c r="Z71" s="41">
        <f>IFERROR(IF(Y71=0,"",ROUNDUP(Y71/H71,0)*0.00651),"")</f>
        <v/>
      </c>
      <c r="AA71" s="68" t="inlineStr"/>
      <c r="AB71" s="69" t="inlineStr"/>
      <c r="AC71" s="138" t="inlineStr">
        <is>
          <t>ЕАЭС N RU Д-RU.РА11.В.74223/25</t>
        </is>
      </c>
      <c r="AG71" s="78" t="n"/>
      <c r="AJ71" s="84" t="inlineStr"/>
      <c r="AK71" s="84" t="n">
        <v>0</v>
      </c>
      <c r="BB71" s="139" t="inlineStr">
        <is>
          <t>КИ</t>
        </is>
      </c>
      <c r="BM71" s="78">
        <f>IFERROR(X71*I71/H71,"0")</f>
        <v/>
      </c>
      <c r="BN71" s="78">
        <f>IFERROR(Y71*I71/H71,"0")</f>
        <v/>
      </c>
      <c r="BO71" s="78">
        <f>IFERROR(1/J71*(X71/H71),"0")</f>
        <v/>
      </c>
      <c r="BP71" s="78">
        <f>IFERROR(1/J71*(Y71/H71),"0")</f>
        <v/>
      </c>
    </row>
    <row r="72" ht="16.5" customHeight="1">
      <c r="A72" s="63" t="inlineStr">
        <is>
          <t>SU003739</t>
        </is>
      </c>
      <c r="B72" s="63" t="inlineStr">
        <is>
          <t>P004741</t>
        </is>
      </c>
      <c r="C72" s="36" t="n">
        <v>4301020371</v>
      </c>
      <c r="D72" s="695" t="n">
        <v>4680115887688</v>
      </c>
      <c r="E72" s="989" t="n"/>
      <c r="F72" s="1028" t="n">
        <v>0.1</v>
      </c>
      <c r="G72" s="37" t="n">
        <v>10</v>
      </c>
      <c r="H72" s="1028" t="n">
        <v>1</v>
      </c>
      <c r="I72" s="1028" t="n">
        <v>1.21</v>
      </c>
      <c r="J72" s="37" t="n">
        <v>192</v>
      </c>
      <c r="K72" s="37" t="inlineStr">
        <is>
          <t>24</t>
        </is>
      </c>
      <c r="L72" s="37" t="inlineStr"/>
      <c r="M72" s="38" t="inlineStr">
        <is>
          <t>СК2</t>
        </is>
      </c>
      <c r="N72" s="38" t="n"/>
      <c r="O72" s="37" t="n">
        <v>30</v>
      </c>
      <c r="P72" s="1064">
        <f>HYPERLINK("https://abi.ru/products/Охлажденные/Вязанка/Филейская/Ветчины/P004741/","Ветчины «Филейская» Фикс.вес 0,1 нарезка ТМ «Вязанка»")</f>
        <v/>
      </c>
      <c r="Q72" s="1030" t="n"/>
      <c r="R72" s="1030" t="n"/>
      <c r="S72" s="1030" t="n"/>
      <c r="T72" s="1031" t="n"/>
      <c r="U72" s="39" t="inlineStr"/>
      <c r="V72" s="39" t="inlineStr"/>
      <c r="W72" s="40" t="inlineStr">
        <is>
          <t>кг</t>
        </is>
      </c>
      <c r="X72" s="1032" t="n">
        <v>0</v>
      </c>
      <c r="Y72" s="1033">
        <f>IFERROR(IF(X72="",0,CEILING((X72/$H72),1)*$H72),"")</f>
        <v/>
      </c>
      <c r="Z72" s="41">
        <f>IFERROR(IF(Y72=0,"",ROUNDUP(Y72/H72,0)*0.00726),"")</f>
        <v/>
      </c>
      <c r="AA72" s="68" t="inlineStr"/>
      <c r="AB72" s="69" t="inlineStr"/>
      <c r="AC72" s="140" t="inlineStr">
        <is>
          <t>ЕАЭС N RU Д-RU.РА08.В.75874/25</t>
        </is>
      </c>
      <c r="AG72" s="78" t="n"/>
      <c r="AJ72" s="84" t="inlineStr"/>
      <c r="AK72" s="84" t="n">
        <v>0</v>
      </c>
      <c r="BB72" s="141" t="inlineStr">
        <is>
          <t>КИ</t>
        </is>
      </c>
      <c r="BM72" s="78">
        <f>IFERROR(X72*I72/H72,"0")</f>
        <v/>
      </c>
      <c r="BN72" s="78">
        <f>IFERROR(Y72*I72/H72,"0")</f>
        <v/>
      </c>
      <c r="BO72" s="78">
        <f>IFERROR(1/J72*(X72/H72),"0")</f>
        <v/>
      </c>
      <c r="BP72" s="78">
        <f>IFERROR(1/J72*(Y72/H72),"0")</f>
        <v/>
      </c>
    </row>
    <row r="73" ht="27" customHeight="1">
      <c r="A73" s="63" t="inlineStr">
        <is>
          <t>SU002814</t>
        </is>
      </c>
      <c r="B73" s="63" t="inlineStr">
        <is>
          <t>P003226</t>
        </is>
      </c>
      <c r="C73" s="36" t="n">
        <v>4301020296</v>
      </c>
      <c r="D73" s="695" t="n">
        <v>4680115881433</v>
      </c>
      <c r="E73" s="989" t="n"/>
      <c r="F73" s="1028" t="n">
        <v>0.45</v>
      </c>
      <c r="G73" s="37" t="n">
        <v>6</v>
      </c>
      <c r="H73" s="1028" t="n">
        <v>2.7</v>
      </c>
      <c r="I73" s="1028" t="n">
        <v>2.88</v>
      </c>
      <c r="J73" s="37" t="n">
        <v>182</v>
      </c>
      <c r="K73" s="37" t="inlineStr">
        <is>
          <t>14</t>
        </is>
      </c>
      <c r="L73" s="37" t="inlineStr"/>
      <c r="M73" s="38" t="inlineStr">
        <is>
          <t>СК1</t>
        </is>
      </c>
      <c r="N73" s="38" t="n"/>
      <c r="O73" s="37" t="n">
        <v>50</v>
      </c>
      <c r="P73" s="1065">
        <f>HYPERLINK("https://abi.ru/products/Охлажденные/Вязанка/Филейская/Ветчины/P003226/","Ветчины «Филейская» Фикс.вес 0,45 Вектор ТМ «Вязанка»")</f>
        <v/>
      </c>
      <c r="Q73" s="1030" t="n"/>
      <c r="R73" s="1030" t="n"/>
      <c r="S73" s="1030" t="n"/>
      <c r="T73" s="1031" t="n"/>
      <c r="U73" s="39" t="inlineStr"/>
      <c r="V73" s="39" t="inlineStr"/>
      <c r="W73" s="40" t="inlineStr">
        <is>
          <t>кг</t>
        </is>
      </c>
      <c r="X73" s="1032" t="n">
        <v>0</v>
      </c>
      <c r="Y73" s="1033">
        <f>IFERROR(IF(X73="",0,CEILING((X73/$H73),1)*$H73),"")</f>
        <v/>
      </c>
      <c r="Z73" s="41">
        <f>IFERROR(IF(Y73=0,"",ROUNDUP(Y73/H73,0)*0.00651),"")</f>
        <v/>
      </c>
      <c r="AA73" s="68" t="inlineStr"/>
      <c r="AB73" s="69" t="inlineStr"/>
      <c r="AC73" s="142" t="inlineStr">
        <is>
          <t>ЕАЭС N RU Д-RU.РА11.В.74223/25</t>
        </is>
      </c>
      <c r="AG73" s="78" t="n"/>
      <c r="AJ73" s="84" t="inlineStr"/>
      <c r="AK73" s="84" t="n">
        <v>0</v>
      </c>
      <c r="BB73" s="143" t="inlineStr">
        <is>
          <t>КИ</t>
        </is>
      </c>
      <c r="BM73" s="78">
        <f>IFERROR(X73*I73/H73,"0")</f>
        <v/>
      </c>
      <c r="BN73" s="78">
        <f>IFERROR(Y73*I73/H73,"0")</f>
        <v/>
      </c>
      <c r="BO73" s="78">
        <f>IFERROR(1/J73*(X73/H73),"0")</f>
        <v/>
      </c>
      <c r="BP73" s="78">
        <f>IFERROR(1/J73*(Y73/H73),"0")</f>
        <v/>
      </c>
    </row>
    <row r="74">
      <c r="A74" s="704" t="n"/>
      <c r="B74" s="979" t="n"/>
      <c r="C74" s="979" t="n"/>
      <c r="D74" s="979" t="n"/>
      <c r="E74" s="979" t="n"/>
      <c r="F74" s="979" t="n"/>
      <c r="G74" s="979" t="n"/>
      <c r="H74" s="979" t="n"/>
      <c r="I74" s="979" t="n"/>
      <c r="J74" s="979" t="n"/>
      <c r="K74" s="979" t="n"/>
      <c r="L74" s="979" t="n"/>
      <c r="M74" s="979" t="n"/>
      <c r="N74" s="979" t="n"/>
      <c r="O74" s="1035" t="n"/>
      <c r="P74" s="1036" t="inlineStr">
        <is>
          <t>Итого</t>
        </is>
      </c>
      <c r="Q74" s="997" t="n"/>
      <c r="R74" s="997" t="n"/>
      <c r="S74" s="997" t="n"/>
      <c r="T74" s="997" t="n"/>
      <c r="U74" s="997" t="n"/>
      <c r="V74" s="998" t="n"/>
      <c r="W74" s="42" t="inlineStr">
        <is>
          <t>кор</t>
        </is>
      </c>
      <c r="X74" s="1037">
        <f>IFERROR(X70/H70,"0")+IFERROR(X71/H71,"0")+IFERROR(X72/H72,"0")+IFERROR(X73/H73,"0")</f>
        <v/>
      </c>
      <c r="Y74" s="1037">
        <f>IFERROR(Y70/H70,"0")+IFERROR(Y71/H71,"0")+IFERROR(Y72/H72,"0")+IFERROR(Y73/H73,"0")</f>
        <v/>
      </c>
      <c r="Z74" s="1037">
        <f>IFERROR(IF(Z70="",0,Z70),"0")+IFERROR(IF(Z71="",0,Z71),"0")+IFERROR(IF(Z72="",0,Z72),"0")+IFERROR(IF(Z73="",0,Z73),"0")</f>
        <v/>
      </c>
      <c r="AA74" s="1038" t="n"/>
      <c r="AB74" s="1038" t="n"/>
      <c r="AC74" s="1038" t="n"/>
    </row>
    <row r="75">
      <c r="A75" s="979" t="n"/>
      <c r="B75" s="979" t="n"/>
      <c r="C75" s="979" t="n"/>
      <c r="D75" s="979" t="n"/>
      <c r="E75" s="979" t="n"/>
      <c r="F75" s="979" t="n"/>
      <c r="G75" s="979" t="n"/>
      <c r="H75" s="979" t="n"/>
      <c r="I75" s="979" t="n"/>
      <c r="J75" s="979" t="n"/>
      <c r="K75" s="979" t="n"/>
      <c r="L75" s="979" t="n"/>
      <c r="M75" s="979" t="n"/>
      <c r="N75" s="979" t="n"/>
      <c r="O75" s="1035" t="n"/>
      <c r="P75" s="1036" t="inlineStr">
        <is>
          <t>Итого</t>
        </is>
      </c>
      <c r="Q75" s="997" t="n"/>
      <c r="R75" s="997" t="n"/>
      <c r="S75" s="997" t="n"/>
      <c r="T75" s="997" t="n"/>
      <c r="U75" s="997" t="n"/>
      <c r="V75" s="998" t="n"/>
      <c r="W75" s="42" t="inlineStr">
        <is>
          <t>кг</t>
        </is>
      </c>
      <c r="X75" s="1037">
        <f>IFERROR(SUM(X70:X73),"0")</f>
        <v/>
      </c>
      <c r="Y75" s="1037">
        <f>IFERROR(SUM(Y70:Y73),"0")</f>
        <v/>
      </c>
      <c r="Z75" s="42" t="n"/>
      <c r="AA75" s="1038" t="n"/>
      <c r="AB75" s="1038" t="n"/>
      <c r="AC75" s="1038" t="n"/>
    </row>
    <row r="76" ht="14.25" customHeight="1">
      <c r="A76" s="694" t="inlineStr">
        <is>
          <t>Сосиски</t>
        </is>
      </c>
      <c r="B76" s="979" t="n"/>
      <c r="C76" s="979" t="n"/>
      <c r="D76" s="979" t="n"/>
      <c r="E76" s="979" t="n"/>
      <c r="F76" s="979" t="n"/>
      <c r="G76" s="979" t="n"/>
      <c r="H76" s="979" t="n"/>
      <c r="I76" s="979" t="n"/>
      <c r="J76" s="979" t="n"/>
      <c r="K76" s="979" t="n"/>
      <c r="L76" s="979" t="n"/>
      <c r="M76" s="979" t="n"/>
      <c r="N76" s="979" t="n"/>
      <c r="O76" s="979" t="n"/>
      <c r="P76" s="979" t="n"/>
      <c r="Q76" s="979" t="n"/>
      <c r="R76" s="979" t="n"/>
      <c r="S76" s="979" t="n"/>
      <c r="T76" s="979" t="n"/>
      <c r="U76" s="979" t="n"/>
      <c r="V76" s="979" t="n"/>
      <c r="W76" s="979" t="n"/>
      <c r="X76" s="979" t="n"/>
      <c r="Y76" s="979" t="n"/>
      <c r="Z76" s="979" t="n"/>
      <c r="AA76" s="694" t="n"/>
      <c r="AB76" s="694" t="n"/>
      <c r="AC76" s="694" t="n"/>
    </row>
    <row r="77" ht="16.5" customHeight="1">
      <c r="A77" s="63" t="inlineStr">
        <is>
          <t>SU002825</t>
        </is>
      </c>
      <c r="B77" s="63" t="inlineStr">
        <is>
          <t>P004554</t>
        </is>
      </c>
      <c r="C77" s="36" t="n">
        <v>4301051837</v>
      </c>
      <c r="D77" s="695" t="n">
        <v>4680115884311</v>
      </c>
      <c r="E77" s="989" t="n"/>
      <c r="F77" s="1028" t="n">
        <v>0.3</v>
      </c>
      <c r="G77" s="37" t="n">
        <v>6</v>
      </c>
      <c r="H77" s="1028" t="n">
        <v>1.8</v>
      </c>
      <c r="I77" s="1028" t="n">
        <v>2.046</v>
      </c>
      <c r="J77" s="37" t="n">
        <v>182</v>
      </c>
      <c r="K77" s="37" t="inlineStr">
        <is>
          <t>14</t>
        </is>
      </c>
      <c r="L77" s="37" t="inlineStr"/>
      <c r="M77" s="38" t="inlineStr">
        <is>
          <t>СК3</t>
        </is>
      </c>
      <c r="N77" s="38" t="n"/>
      <c r="O77" s="37" t="n">
        <v>40</v>
      </c>
      <c r="P77" s="1066">
        <f>HYPERLINK("https://abi.ru/products/Охлажденные/Вязанка/Филейская/Сосиски/P004554/","Сосиски «Филейские» Фикс.вес 0,3 ц/о мгс ТМ «Вязанка»")</f>
        <v/>
      </c>
      <c r="Q77" s="1030" t="n"/>
      <c r="R77" s="1030" t="n"/>
      <c r="S77" s="1030" t="n"/>
      <c r="T77" s="1031" t="n"/>
      <c r="U77" s="39" t="inlineStr"/>
      <c r="V77" s="39" t="inlineStr"/>
      <c r="W77" s="40" t="inlineStr">
        <is>
          <t>кг</t>
        </is>
      </c>
      <c r="X77" s="1032" t="n">
        <v>0</v>
      </c>
      <c r="Y77" s="1033">
        <f>IFERROR(IF(X77="",0,CEILING((X77/$H77),1)*$H77),"")</f>
        <v/>
      </c>
      <c r="Z77" s="41">
        <f>IFERROR(IF(Y77=0,"",ROUNDUP(Y77/H77,0)*0.00651),"")</f>
        <v/>
      </c>
      <c r="AA77" s="68" t="inlineStr"/>
      <c r="AB77" s="69" t="inlineStr"/>
      <c r="AC77" s="144" t="inlineStr">
        <is>
          <t>ЕАЭС N RU Д-RU.РА12.В.00849/25</t>
        </is>
      </c>
      <c r="AG77" s="78" t="n"/>
      <c r="AJ77" s="84" t="inlineStr"/>
      <c r="AK77" s="84" t="n">
        <v>0</v>
      </c>
      <c r="BB77" s="145" t="inlineStr">
        <is>
          <t>КИ</t>
        </is>
      </c>
      <c r="BM77" s="78">
        <f>IFERROR(X77*I77/H77,"0")</f>
        <v/>
      </c>
      <c r="BN77" s="78">
        <f>IFERROR(Y77*I77/H77,"0")</f>
        <v/>
      </c>
      <c r="BO77" s="78">
        <f>IFERROR(1/J77*(X77/H77),"0")</f>
        <v/>
      </c>
      <c r="BP77" s="78">
        <f>IFERROR(1/J77*(Y77/H77),"0")</f>
        <v/>
      </c>
    </row>
    <row r="78" ht="27" customHeight="1">
      <c r="A78" s="63" t="inlineStr">
        <is>
          <t>SU003288</t>
        </is>
      </c>
      <c r="B78" s="63" t="inlineStr">
        <is>
          <t>P004557</t>
        </is>
      </c>
      <c r="C78" s="36" t="n">
        <v>4301051929</v>
      </c>
      <c r="D78" s="695" t="n">
        <v>4680115884403</v>
      </c>
      <c r="E78" s="989" t="n"/>
      <c r="F78" s="1028" t="n">
        <v>0.3</v>
      </c>
      <c r="G78" s="37" t="n">
        <v>6</v>
      </c>
      <c r="H78" s="1028" t="n">
        <v>1.8</v>
      </c>
      <c r="I78" s="1028" t="n">
        <v>1.98</v>
      </c>
      <c r="J78" s="37" t="n">
        <v>182</v>
      </c>
      <c r="K78" s="37" t="inlineStr">
        <is>
          <t>14</t>
        </is>
      </c>
      <c r="L78" s="37" t="inlineStr"/>
      <c r="M78" s="38" t="inlineStr">
        <is>
          <t>СК3</t>
        </is>
      </c>
      <c r="N78" s="38" t="n"/>
      <c r="O78" s="37" t="n">
        <v>40</v>
      </c>
      <c r="P78" s="1067">
        <f>HYPERLINK("https://abi.ru/products/Охлажденные/Вязанка/Филейская/Сосиски/P004557/","Сосиски «Филейские рубленые» ф/в 0,3 ц/о ТМ «Вязанка»")</f>
        <v/>
      </c>
      <c r="Q78" s="1030" t="n"/>
      <c r="R78" s="1030" t="n"/>
      <c r="S78" s="1030" t="n"/>
      <c r="T78" s="1031" t="n"/>
      <c r="U78" s="39" t="inlineStr"/>
      <c r="V78" s="39" t="inlineStr"/>
      <c r="W78" s="40" t="inlineStr">
        <is>
          <t>кг</t>
        </is>
      </c>
      <c r="X78" s="1032" t="n">
        <v>0</v>
      </c>
      <c r="Y78" s="1033">
        <f>IFERROR(IF(X78="",0,CEILING((X78/$H78),1)*$H78),"")</f>
        <v/>
      </c>
      <c r="Z78" s="41">
        <f>IFERROR(IF(Y78=0,"",ROUNDUP(Y78/H78,0)*0.00651),"")</f>
        <v/>
      </c>
      <c r="AA78" s="68" t="inlineStr"/>
      <c r="AB78" s="69" t="inlineStr"/>
      <c r="AC78" s="146" t="inlineStr">
        <is>
          <t>ЕАЭС N RU Д-RU.РА09.В.06529/25, ЕАЭС N RU Д-RU.РА09.В.06761/25</t>
        </is>
      </c>
      <c r="AG78" s="78" t="n"/>
      <c r="AJ78" s="84" t="inlineStr"/>
      <c r="AK78" s="84" t="n">
        <v>0</v>
      </c>
      <c r="BB78" s="147" t="inlineStr">
        <is>
          <t>КИ</t>
        </is>
      </c>
      <c r="BM78" s="78">
        <f>IFERROR(X78*I78/H78,"0")</f>
        <v/>
      </c>
      <c r="BN78" s="78">
        <f>IFERROR(Y78*I78/H78,"0")</f>
        <v/>
      </c>
      <c r="BO78" s="78">
        <f>IFERROR(1/J78*(X78/H78),"0")</f>
        <v/>
      </c>
      <c r="BP78" s="78">
        <f>IFERROR(1/J78*(Y78/H78),"0")</f>
        <v/>
      </c>
    </row>
    <row r="79">
      <c r="A79" s="704" t="n"/>
      <c r="B79" s="979" t="n"/>
      <c r="C79" s="979" t="n"/>
      <c r="D79" s="979" t="n"/>
      <c r="E79" s="979" t="n"/>
      <c r="F79" s="979" t="n"/>
      <c r="G79" s="979" t="n"/>
      <c r="H79" s="979" t="n"/>
      <c r="I79" s="979" t="n"/>
      <c r="J79" s="979" t="n"/>
      <c r="K79" s="979" t="n"/>
      <c r="L79" s="979" t="n"/>
      <c r="M79" s="979" t="n"/>
      <c r="N79" s="979" t="n"/>
      <c r="O79" s="1035" t="n"/>
      <c r="P79" s="1036" t="inlineStr">
        <is>
          <t>Итого</t>
        </is>
      </c>
      <c r="Q79" s="997" t="n"/>
      <c r="R79" s="997" t="n"/>
      <c r="S79" s="997" t="n"/>
      <c r="T79" s="997" t="n"/>
      <c r="U79" s="997" t="n"/>
      <c r="V79" s="998" t="n"/>
      <c r="W79" s="42" t="inlineStr">
        <is>
          <t>кор</t>
        </is>
      </c>
      <c r="X79" s="1037">
        <f>IFERROR(X77/H77,"0")+IFERROR(X78/H78,"0")</f>
        <v/>
      </c>
      <c r="Y79" s="1037">
        <f>IFERROR(Y77/H77,"0")+IFERROR(Y78/H78,"0")</f>
        <v/>
      </c>
      <c r="Z79" s="1037">
        <f>IFERROR(IF(Z77="",0,Z77),"0")+IFERROR(IF(Z78="",0,Z78),"0")</f>
        <v/>
      </c>
      <c r="AA79" s="1038" t="n"/>
      <c r="AB79" s="1038" t="n"/>
      <c r="AC79" s="1038" t="n"/>
    </row>
    <row r="80">
      <c r="A80" s="979" t="n"/>
      <c r="B80" s="979" t="n"/>
      <c r="C80" s="979" t="n"/>
      <c r="D80" s="979" t="n"/>
      <c r="E80" s="979" t="n"/>
      <c r="F80" s="979" t="n"/>
      <c r="G80" s="979" t="n"/>
      <c r="H80" s="979" t="n"/>
      <c r="I80" s="979" t="n"/>
      <c r="J80" s="979" t="n"/>
      <c r="K80" s="979" t="n"/>
      <c r="L80" s="979" t="n"/>
      <c r="M80" s="979" t="n"/>
      <c r="N80" s="979" t="n"/>
      <c r="O80" s="1035" t="n"/>
      <c r="P80" s="1036" t="inlineStr">
        <is>
          <t>Итого</t>
        </is>
      </c>
      <c r="Q80" s="997" t="n"/>
      <c r="R80" s="997" t="n"/>
      <c r="S80" s="997" t="n"/>
      <c r="T80" s="997" t="n"/>
      <c r="U80" s="997" t="n"/>
      <c r="V80" s="998" t="n"/>
      <c r="W80" s="42" t="inlineStr">
        <is>
          <t>кг</t>
        </is>
      </c>
      <c r="X80" s="1037">
        <f>IFERROR(SUM(X77:X78),"0")</f>
        <v/>
      </c>
      <c r="Y80" s="1037">
        <f>IFERROR(SUM(Y77:Y78),"0")</f>
        <v/>
      </c>
      <c r="Z80" s="42" t="n"/>
      <c r="AA80" s="1038" t="n"/>
      <c r="AB80" s="1038" t="n"/>
      <c r="AC80" s="1038" t="n"/>
    </row>
    <row r="81" ht="14.25" customHeight="1">
      <c r="A81" s="694" t="inlineStr">
        <is>
          <t>Сардельки</t>
        </is>
      </c>
      <c r="B81" s="979" t="n"/>
      <c r="C81" s="979" t="n"/>
      <c r="D81" s="979" t="n"/>
      <c r="E81" s="979" t="n"/>
      <c r="F81" s="979" t="n"/>
      <c r="G81" s="979" t="n"/>
      <c r="H81" s="979" t="n"/>
      <c r="I81" s="979" t="n"/>
      <c r="J81" s="979" t="n"/>
      <c r="K81" s="979" t="n"/>
      <c r="L81" s="979" t="n"/>
      <c r="M81" s="979" t="n"/>
      <c r="N81" s="979" t="n"/>
      <c r="O81" s="979" t="n"/>
      <c r="P81" s="979" t="n"/>
      <c r="Q81" s="979" t="n"/>
      <c r="R81" s="979" t="n"/>
      <c r="S81" s="979" t="n"/>
      <c r="T81" s="979" t="n"/>
      <c r="U81" s="979" t="n"/>
      <c r="V81" s="979" t="n"/>
      <c r="W81" s="979" t="n"/>
      <c r="X81" s="979" t="n"/>
      <c r="Y81" s="979" t="n"/>
      <c r="Z81" s="979" t="n"/>
      <c r="AA81" s="694" t="n"/>
      <c r="AB81" s="694" t="n"/>
      <c r="AC81" s="694" t="n"/>
    </row>
    <row r="82" ht="27" customHeight="1">
      <c r="A82" s="63" t="inlineStr">
        <is>
          <t>SU002835</t>
        </is>
      </c>
      <c r="B82" s="63" t="inlineStr">
        <is>
          <t>P003883</t>
        </is>
      </c>
      <c r="C82" s="36" t="n">
        <v>4301060455</v>
      </c>
      <c r="D82" s="695" t="n">
        <v>4680115881532</v>
      </c>
      <c r="E82" s="989" t="n"/>
      <c r="F82" s="1028" t="n">
        <v>1.3</v>
      </c>
      <c r="G82" s="37" t="n">
        <v>6</v>
      </c>
      <c r="H82" s="1028" t="n">
        <v>7.8</v>
      </c>
      <c r="I82" s="1028" t="n">
        <v>8.210000000000001</v>
      </c>
      <c r="J82" s="37" t="n">
        <v>64</v>
      </c>
      <c r="K82" s="37" t="inlineStr">
        <is>
          <t>8</t>
        </is>
      </c>
      <c r="L82" s="37" t="inlineStr"/>
      <c r="M82" s="38" t="inlineStr">
        <is>
          <t>СК4</t>
        </is>
      </c>
      <c r="N82" s="38" t="n"/>
      <c r="O82" s="37" t="n">
        <v>30</v>
      </c>
      <c r="P82" s="1068">
        <f>HYPERLINK("https://abi.ru/products/Охлажденные/Вязанка/Филейская/Сардельки/P003883/","Сардельки «Филейские» Весовые н/о мгс ТМ «Вязанка»")</f>
        <v/>
      </c>
      <c r="Q82" s="1030" t="n"/>
      <c r="R82" s="1030" t="n"/>
      <c r="S82" s="1030" t="n"/>
      <c r="T82" s="1031" t="n"/>
      <c r="U82" s="39" t="inlineStr"/>
      <c r="V82" s="39" t="inlineStr"/>
      <c r="W82" s="40" t="inlineStr">
        <is>
          <t>кг</t>
        </is>
      </c>
      <c r="X82" s="1032" t="n">
        <v>0</v>
      </c>
      <c r="Y82" s="1033">
        <f>IFERROR(IF(X82="",0,CEILING((X82/$H82),1)*$H82),"")</f>
        <v/>
      </c>
      <c r="Z82" s="41">
        <f>IFERROR(IF(Y82=0,"",ROUNDUP(Y82/H82,0)*0.01898),"")</f>
        <v/>
      </c>
      <c r="AA82" s="68" t="inlineStr"/>
      <c r="AB82" s="69" t="inlineStr"/>
      <c r="AC82" s="148" t="inlineStr">
        <is>
          <t>ЕАЭС N RU Д-RU.РА09.В.53876/25</t>
        </is>
      </c>
      <c r="AG82" s="78" t="n"/>
      <c r="AJ82" s="84" t="inlineStr"/>
      <c r="AK82" s="84" t="n">
        <v>0</v>
      </c>
      <c r="BB82" s="149" t="inlineStr">
        <is>
          <t>КИ</t>
        </is>
      </c>
      <c r="BM82" s="78">
        <f>IFERROR(X82*I82/H82,"0")</f>
        <v/>
      </c>
      <c r="BN82" s="78">
        <f>IFERROR(Y82*I82/H82,"0")</f>
        <v/>
      </c>
      <c r="BO82" s="78">
        <f>IFERROR(1/J82*(X82/H82),"0")</f>
        <v/>
      </c>
      <c r="BP82" s="78">
        <f>IFERROR(1/J82*(Y82/H82),"0")</f>
        <v/>
      </c>
    </row>
    <row r="83" ht="27" customHeight="1">
      <c r="A83" s="63" t="inlineStr">
        <is>
          <t>SU002834</t>
        </is>
      </c>
      <c r="B83" s="63" t="inlineStr">
        <is>
          <t>P003238</t>
        </is>
      </c>
      <c r="C83" s="36" t="n">
        <v>4301060351</v>
      </c>
      <c r="D83" s="695" t="n">
        <v>4680115881464</v>
      </c>
      <c r="E83" s="989" t="n"/>
      <c r="F83" s="1028" t="n">
        <v>0.4</v>
      </c>
      <c r="G83" s="37" t="n">
        <v>6</v>
      </c>
      <c r="H83" s="1028" t="n">
        <v>2.4</v>
      </c>
      <c r="I83" s="1028" t="n">
        <v>2.59</v>
      </c>
      <c r="J83" s="37" t="n">
        <v>132</v>
      </c>
      <c r="K83" s="37" t="inlineStr">
        <is>
          <t>12</t>
        </is>
      </c>
      <c r="L83" s="37" t="inlineStr"/>
      <c r="M83" s="38" t="inlineStr">
        <is>
          <t>СК3</t>
        </is>
      </c>
      <c r="N83" s="38" t="n"/>
      <c r="O83" s="37" t="n">
        <v>30</v>
      </c>
      <c r="P83" s="1069">
        <f>HYPERLINK("https://abi.ru/products/Охлажденные/Вязанка/Филейская/Сардельки/P003238/","Сардельки «Филейские» Фикс.вес 0,4 NDX ТМ «Вязанка»")</f>
        <v/>
      </c>
      <c r="Q83" s="1030" t="n"/>
      <c r="R83" s="1030" t="n"/>
      <c r="S83" s="1030" t="n"/>
      <c r="T83" s="1031" t="n"/>
      <c r="U83" s="39" t="inlineStr"/>
      <c r="V83" s="39" t="inlineStr"/>
      <c r="W83" s="40" t="inlineStr">
        <is>
          <t>кг</t>
        </is>
      </c>
      <c r="X83" s="1032" t="n">
        <v>0</v>
      </c>
      <c r="Y83" s="1033">
        <f>IFERROR(IF(X83="",0,CEILING((X83/$H83),1)*$H83),"")</f>
        <v/>
      </c>
      <c r="Z83" s="41">
        <f>IFERROR(IF(Y83=0,"",ROUNDUP(Y83/H83,0)*0.00902),"")</f>
        <v/>
      </c>
      <c r="AA83" s="68" t="inlineStr"/>
      <c r="AB83" s="69" t="inlineStr"/>
      <c r="AC83" s="150" t="inlineStr">
        <is>
          <t>ЕАЭС N RU Д-RU.РА09.В.53620/25, ЕАЭС N RU Д-RU.РА09.В.53876/25</t>
        </is>
      </c>
      <c r="AG83" s="78" t="n"/>
      <c r="AJ83" s="84" t="inlineStr"/>
      <c r="AK83" s="84" t="n">
        <v>0</v>
      </c>
      <c r="BB83" s="151" t="inlineStr">
        <is>
          <t>КИ</t>
        </is>
      </c>
      <c r="BM83" s="78">
        <f>IFERROR(X83*I83/H83,"0")</f>
        <v/>
      </c>
      <c r="BN83" s="78">
        <f>IFERROR(Y83*I83/H83,"0")</f>
        <v/>
      </c>
      <c r="BO83" s="78">
        <f>IFERROR(1/J83*(X83/H83),"0")</f>
        <v/>
      </c>
      <c r="BP83" s="78">
        <f>IFERROR(1/J83*(Y83/H83),"0")</f>
        <v/>
      </c>
    </row>
    <row r="84">
      <c r="A84" s="704" t="n"/>
      <c r="B84" s="979" t="n"/>
      <c r="C84" s="979" t="n"/>
      <c r="D84" s="979" t="n"/>
      <c r="E84" s="979" t="n"/>
      <c r="F84" s="979" t="n"/>
      <c r="G84" s="979" t="n"/>
      <c r="H84" s="979" t="n"/>
      <c r="I84" s="979" t="n"/>
      <c r="J84" s="979" t="n"/>
      <c r="K84" s="979" t="n"/>
      <c r="L84" s="979" t="n"/>
      <c r="M84" s="979" t="n"/>
      <c r="N84" s="979" t="n"/>
      <c r="O84" s="1035" t="n"/>
      <c r="P84" s="1036" t="inlineStr">
        <is>
          <t>Итого</t>
        </is>
      </c>
      <c r="Q84" s="997" t="n"/>
      <c r="R84" s="997" t="n"/>
      <c r="S84" s="997" t="n"/>
      <c r="T84" s="997" t="n"/>
      <c r="U84" s="997" t="n"/>
      <c r="V84" s="998" t="n"/>
      <c r="W84" s="42" t="inlineStr">
        <is>
          <t>кор</t>
        </is>
      </c>
      <c r="X84" s="1037">
        <f>IFERROR(X82/H82,"0")+IFERROR(X83/H83,"0")</f>
        <v/>
      </c>
      <c r="Y84" s="1037">
        <f>IFERROR(Y82/H82,"0")+IFERROR(Y83/H83,"0")</f>
        <v/>
      </c>
      <c r="Z84" s="1037">
        <f>IFERROR(IF(Z82="",0,Z82),"0")+IFERROR(IF(Z83="",0,Z83),"0")</f>
        <v/>
      </c>
      <c r="AA84" s="1038" t="n"/>
      <c r="AB84" s="1038" t="n"/>
      <c r="AC84" s="1038" t="n"/>
    </row>
    <row r="85">
      <c r="A85" s="979" t="n"/>
      <c r="B85" s="979" t="n"/>
      <c r="C85" s="979" t="n"/>
      <c r="D85" s="979" t="n"/>
      <c r="E85" s="979" t="n"/>
      <c r="F85" s="979" t="n"/>
      <c r="G85" s="979" t="n"/>
      <c r="H85" s="979" t="n"/>
      <c r="I85" s="979" t="n"/>
      <c r="J85" s="979" t="n"/>
      <c r="K85" s="979" t="n"/>
      <c r="L85" s="979" t="n"/>
      <c r="M85" s="979" t="n"/>
      <c r="N85" s="979" t="n"/>
      <c r="O85" s="1035" t="n"/>
      <c r="P85" s="1036" t="inlineStr">
        <is>
          <t>Итого</t>
        </is>
      </c>
      <c r="Q85" s="997" t="n"/>
      <c r="R85" s="997" t="n"/>
      <c r="S85" s="997" t="n"/>
      <c r="T85" s="997" t="n"/>
      <c r="U85" s="997" t="n"/>
      <c r="V85" s="998" t="n"/>
      <c r="W85" s="42" t="inlineStr">
        <is>
          <t>кг</t>
        </is>
      </c>
      <c r="X85" s="1037">
        <f>IFERROR(SUM(X82:X83),"0")</f>
        <v/>
      </c>
      <c r="Y85" s="1037">
        <f>IFERROR(SUM(Y82:Y83),"0")</f>
        <v/>
      </c>
      <c r="Z85" s="42" t="n"/>
      <c r="AA85" s="1038" t="n"/>
      <c r="AB85" s="1038" t="n"/>
      <c r="AC85" s="1038" t="n"/>
    </row>
    <row r="86" ht="16.5" customHeight="1">
      <c r="A86" s="693" t="inlineStr">
        <is>
          <t>Молокуша</t>
        </is>
      </c>
      <c r="B86" s="979" t="n"/>
      <c r="C86" s="979" t="n"/>
      <c r="D86" s="979" t="n"/>
      <c r="E86" s="979" t="n"/>
      <c r="F86" s="979" t="n"/>
      <c r="G86" s="979" t="n"/>
      <c r="H86" s="979" t="n"/>
      <c r="I86" s="979" t="n"/>
      <c r="J86" s="979" t="n"/>
      <c r="K86" s="979" t="n"/>
      <c r="L86" s="979" t="n"/>
      <c r="M86" s="979" t="n"/>
      <c r="N86" s="979" t="n"/>
      <c r="O86" s="979" t="n"/>
      <c r="P86" s="979" t="n"/>
      <c r="Q86" s="979" t="n"/>
      <c r="R86" s="979" t="n"/>
      <c r="S86" s="979" t="n"/>
      <c r="T86" s="979" t="n"/>
      <c r="U86" s="979" t="n"/>
      <c r="V86" s="979" t="n"/>
      <c r="W86" s="979" t="n"/>
      <c r="X86" s="979" t="n"/>
      <c r="Y86" s="979" t="n"/>
      <c r="Z86" s="979" t="n"/>
      <c r="AA86" s="693" t="n"/>
      <c r="AB86" s="693" t="n"/>
      <c r="AC86" s="693" t="n"/>
    </row>
    <row r="87" ht="14.25" customHeight="1">
      <c r="A87" s="694" t="inlineStr">
        <is>
          <t>Вареные колбасы</t>
        </is>
      </c>
      <c r="B87" s="979" t="n"/>
      <c r="C87" s="979" t="n"/>
      <c r="D87" s="979" t="n"/>
      <c r="E87" s="979" t="n"/>
      <c r="F87" s="979" t="n"/>
      <c r="G87" s="979" t="n"/>
      <c r="H87" s="979" t="n"/>
      <c r="I87" s="979" t="n"/>
      <c r="J87" s="979" t="n"/>
      <c r="K87" s="979" t="n"/>
      <c r="L87" s="979" t="n"/>
      <c r="M87" s="979" t="n"/>
      <c r="N87" s="979" t="n"/>
      <c r="O87" s="979" t="n"/>
      <c r="P87" s="979" t="n"/>
      <c r="Q87" s="979" t="n"/>
      <c r="R87" s="979" t="n"/>
      <c r="S87" s="979" t="n"/>
      <c r="T87" s="979" t="n"/>
      <c r="U87" s="979" t="n"/>
      <c r="V87" s="979" t="n"/>
      <c r="W87" s="979" t="n"/>
      <c r="X87" s="979" t="n"/>
      <c r="Y87" s="979" t="n"/>
      <c r="Z87" s="979" t="n"/>
      <c r="AA87" s="694" t="n"/>
      <c r="AB87" s="694" t="n"/>
      <c r="AC87" s="694" t="n"/>
    </row>
    <row r="88" ht="27" customHeight="1">
      <c r="A88" s="63" t="inlineStr">
        <is>
          <t>SU002830</t>
        </is>
      </c>
      <c r="B88" s="63" t="inlineStr">
        <is>
          <t>P003239</t>
        </is>
      </c>
      <c r="C88" s="36" t="n">
        <v>4301011468</v>
      </c>
      <c r="D88" s="695" t="n">
        <v>4680115881327</v>
      </c>
      <c r="E88" s="989" t="n"/>
      <c r="F88" s="1028" t="n">
        <v>1.35</v>
      </c>
      <c r="G88" s="37" t="n">
        <v>8</v>
      </c>
      <c r="H88" s="1028" t="n">
        <v>10.8</v>
      </c>
      <c r="I88" s="1028" t="n">
        <v>11.21</v>
      </c>
      <c r="J88" s="37" t="n">
        <v>64</v>
      </c>
      <c r="K88" s="37" t="inlineStr">
        <is>
          <t>8</t>
        </is>
      </c>
      <c r="L88" s="37" t="inlineStr"/>
      <c r="M88" s="38" t="inlineStr">
        <is>
          <t>СК4</t>
        </is>
      </c>
      <c r="N88" s="38" t="n"/>
      <c r="O88" s="37" t="n">
        <v>50</v>
      </c>
      <c r="P88" s="1070">
        <f>HYPERLINK("https://abi.ru/products/Охлажденные/Вязанка/Молокуша/Вареные колбасы/P003239/","Вареные колбасы Молокуша Вязанка Вес п/а Вязанка")</f>
        <v/>
      </c>
      <c r="Q88" s="1030" t="n"/>
      <c r="R88" s="1030" t="n"/>
      <c r="S88" s="1030" t="n"/>
      <c r="T88" s="1031" t="n"/>
      <c r="U88" s="39" t="inlineStr"/>
      <c r="V88" s="39" t="inlineStr"/>
      <c r="W88" s="40" t="inlineStr">
        <is>
          <t>кг</t>
        </is>
      </c>
      <c r="X88" s="1032" t="n">
        <v>0</v>
      </c>
      <c r="Y88" s="1033">
        <f>IFERROR(IF(X88="",0,CEILING((X88/$H88),1)*$H88),"")</f>
        <v/>
      </c>
      <c r="Z88" s="41">
        <f>IFERROR(IF(Y88=0,"",ROUNDUP(Y88/H88,0)*0.01898),"")</f>
        <v/>
      </c>
      <c r="AA88" s="68" t="inlineStr"/>
      <c r="AB88" s="69" t="inlineStr"/>
      <c r="AC88" s="152" t="inlineStr">
        <is>
          <t>ЕАЭС N RU Д-RU.РА08.В.25903/25, ЕАЭС N RU Д-RU.РА08.В.46084/25</t>
        </is>
      </c>
      <c r="AG88" s="78" t="n"/>
      <c r="AJ88" s="84" t="inlineStr"/>
      <c r="AK88" s="84" t="n">
        <v>0</v>
      </c>
      <c r="BB88" s="153" t="inlineStr">
        <is>
          <t>КИ</t>
        </is>
      </c>
      <c r="BM88" s="78">
        <f>IFERROR(X88*I88/H88,"0")</f>
        <v/>
      </c>
      <c r="BN88" s="78">
        <f>IFERROR(Y88*I88/H88,"0")</f>
        <v/>
      </c>
      <c r="BO88" s="78">
        <f>IFERROR(1/J88*(X88/H88),"0")</f>
        <v/>
      </c>
      <c r="BP88" s="78">
        <f>IFERROR(1/J88*(Y88/H88),"0")</f>
        <v/>
      </c>
    </row>
    <row r="89" ht="27" customHeight="1">
      <c r="A89" s="63" t="inlineStr">
        <is>
          <t>SU002354</t>
        </is>
      </c>
      <c r="B89" s="63" t="inlineStr">
        <is>
          <t>P002641</t>
        </is>
      </c>
      <c r="C89" s="36" t="n">
        <v>4301011261</v>
      </c>
      <c r="D89" s="695" t="n">
        <v>4680115887732</v>
      </c>
      <c r="E89" s="989" t="n"/>
      <c r="F89" s="1028" t="n">
        <v>0.17</v>
      </c>
      <c r="G89" s="37" t="n">
        <v>10</v>
      </c>
      <c r="H89" s="1028" t="n">
        <v>1.7</v>
      </c>
      <c r="I89" s="1028" t="n">
        <v>1.8</v>
      </c>
      <c r="J89" s="37" t="n">
        <v>192</v>
      </c>
      <c r="K89" s="37" t="inlineStr">
        <is>
          <t>24</t>
        </is>
      </c>
      <c r="L89" s="37" t="inlineStr"/>
      <c r="M89" s="38" t="inlineStr">
        <is>
          <t>СК2</t>
        </is>
      </c>
      <c r="N89" s="38" t="n"/>
      <c r="O89" s="37" t="n">
        <v>30</v>
      </c>
      <c r="P89" s="1071">
        <f>HYPERLINK("https://abi.ru/products/Охлажденные/Вязанка/Молокуша/Вареные колбасы/P002641/","Вареные колбасы «Молокуша» Фикс.вес 0,17 нарезка ТМ «Вязанка»")</f>
        <v/>
      </c>
      <c r="Q89" s="1030" t="n"/>
      <c r="R89" s="1030" t="n"/>
      <c r="S89" s="1030" t="n"/>
      <c r="T89" s="1031" t="n"/>
      <c r="U89" s="39" t="inlineStr"/>
      <c r="V89" s="39" t="inlineStr"/>
      <c r="W89" s="40" t="inlineStr">
        <is>
          <t>кг</t>
        </is>
      </c>
      <c r="X89" s="1032" t="n">
        <v>0</v>
      </c>
      <c r="Y89" s="1033">
        <f>IFERROR(IF(X89="",0,CEILING((X89/$H89),1)*$H89),"")</f>
        <v/>
      </c>
      <c r="Z89" s="41">
        <f>IFERROR(IF(Y89=0,"",ROUNDUP(Y89/H89,0)*0.00726),"")</f>
        <v/>
      </c>
      <c r="AA89" s="68" t="inlineStr"/>
      <c r="AB89" s="69" t="inlineStr"/>
      <c r="AC89" s="154" t="inlineStr">
        <is>
          <t>ЕАЭС N RU Д-RU.РА08.В.54233/25</t>
        </is>
      </c>
      <c r="AG89" s="78" t="n"/>
      <c r="AJ89" s="84" t="inlineStr"/>
      <c r="AK89" s="84" t="n">
        <v>0</v>
      </c>
      <c r="BB89" s="155" t="inlineStr">
        <is>
          <t>КИ</t>
        </is>
      </c>
      <c r="BM89" s="78">
        <f>IFERROR(X89*I89/H89,"0")</f>
        <v/>
      </c>
      <c r="BN89" s="78">
        <f>IFERROR(Y89*I89/H89,"0")</f>
        <v/>
      </c>
      <c r="BO89" s="78">
        <f>IFERROR(1/J89*(X89/H89),"0")</f>
        <v/>
      </c>
      <c r="BP89" s="78">
        <f>IFERROR(1/J89*(Y89/H89),"0")</f>
        <v/>
      </c>
    </row>
    <row r="90" ht="27" customHeight="1">
      <c r="A90" s="63" t="inlineStr">
        <is>
          <t>SU002832</t>
        </is>
      </c>
      <c r="B90" s="63" t="inlineStr">
        <is>
          <t>P003245</t>
        </is>
      </c>
      <c r="C90" s="36" t="n">
        <v>4301011476</v>
      </c>
      <c r="D90" s="695" t="n">
        <v>4680115881518</v>
      </c>
      <c r="E90" s="989" t="n"/>
      <c r="F90" s="1028" t="n">
        <v>0.4</v>
      </c>
      <c r="G90" s="37" t="n">
        <v>10</v>
      </c>
      <c r="H90" s="1028" t="n">
        <v>4</v>
      </c>
      <c r="I90" s="1028" t="n">
        <v>4.19</v>
      </c>
      <c r="J90" s="37" t="n">
        <v>132</v>
      </c>
      <c r="K90" s="37" t="inlineStr">
        <is>
          <t>12</t>
        </is>
      </c>
      <c r="L90" s="37" t="inlineStr"/>
      <c r="M90" s="38" t="inlineStr">
        <is>
          <t>СК3</t>
        </is>
      </c>
      <c r="N90" s="38" t="n"/>
      <c r="O90" s="37" t="n">
        <v>50</v>
      </c>
      <c r="P90" s="1072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90" s="1030" t="n"/>
      <c r="R90" s="1030" t="n"/>
      <c r="S90" s="1030" t="n"/>
      <c r="T90" s="1031" t="n"/>
      <c r="U90" s="39" t="inlineStr"/>
      <c r="V90" s="39" t="inlineStr"/>
      <c r="W90" s="40" t="inlineStr">
        <is>
          <t>кг</t>
        </is>
      </c>
      <c r="X90" s="1032" t="n">
        <v>0</v>
      </c>
      <c r="Y90" s="1033">
        <f>IFERROR(IF(X90="",0,CEILING((X90/$H90),1)*$H90),"")</f>
        <v/>
      </c>
      <c r="Z90" s="41">
        <f>IFERROR(IF(Y90=0,"",ROUNDUP(Y90/H90,0)*0.00902),"")</f>
        <v/>
      </c>
      <c r="AA90" s="68" t="inlineStr"/>
      <c r="AB90" s="69" t="inlineStr"/>
      <c r="AC90" s="156" t="inlineStr">
        <is>
          <t>ЕАЭС N RU Д-RU.РА08.В.25903/25, ЕАЭС N RU Д-RU.РА08.В.46084/25</t>
        </is>
      </c>
      <c r="AG90" s="78" t="n"/>
      <c r="AJ90" s="84" t="inlineStr"/>
      <c r="AK90" s="84" t="n">
        <v>0</v>
      </c>
      <c r="BB90" s="157" t="inlineStr">
        <is>
          <t>КИ</t>
        </is>
      </c>
      <c r="BM90" s="78">
        <f>IFERROR(X90*I90/H90,"0")</f>
        <v/>
      </c>
      <c r="BN90" s="78">
        <f>IFERROR(Y90*I90/H90,"0")</f>
        <v/>
      </c>
      <c r="BO90" s="78">
        <f>IFERROR(1/J90*(X90/H90),"0")</f>
        <v/>
      </c>
      <c r="BP90" s="78">
        <f>IFERROR(1/J90*(Y90/H90),"0")</f>
        <v/>
      </c>
    </row>
    <row r="91" ht="27" customHeight="1">
      <c r="A91" s="63" t="inlineStr">
        <is>
          <t>SU002816</t>
        </is>
      </c>
      <c r="B91" s="63" t="inlineStr">
        <is>
          <t>P003228</t>
        </is>
      </c>
      <c r="C91" s="36" t="n">
        <v>4301011443</v>
      </c>
      <c r="D91" s="695" t="n">
        <v>4680115881303</v>
      </c>
      <c r="E91" s="989" t="n"/>
      <c r="F91" s="1028" t="n">
        <v>0.45</v>
      </c>
      <c r="G91" s="37" t="n">
        <v>10</v>
      </c>
      <c r="H91" s="1028" t="n">
        <v>4.5</v>
      </c>
      <c r="I91" s="1028" t="n">
        <v>4.69</v>
      </c>
      <c r="J91" s="37" t="n">
        <v>132</v>
      </c>
      <c r="K91" s="37" t="inlineStr">
        <is>
          <t>12</t>
        </is>
      </c>
      <c r="L91" s="37" t="inlineStr"/>
      <c r="M91" s="38" t="inlineStr">
        <is>
          <t>СК4</t>
        </is>
      </c>
      <c r="N91" s="38" t="n"/>
      <c r="O91" s="37" t="n">
        <v>50</v>
      </c>
      <c r="P91" s="1073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91" s="1030" t="n"/>
      <c r="R91" s="1030" t="n"/>
      <c r="S91" s="1030" t="n"/>
      <c r="T91" s="1031" t="n"/>
      <c r="U91" s="39" t="inlineStr"/>
      <c r="V91" s="39" t="inlineStr"/>
      <c r="W91" s="40" t="inlineStr">
        <is>
          <t>кг</t>
        </is>
      </c>
      <c r="X91" s="1032" t="n">
        <v>0</v>
      </c>
      <c r="Y91" s="1033">
        <f>IFERROR(IF(X91="",0,CEILING((X91/$H91),1)*$H91),"")</f>
        <v/>
      </c>
      <c r="Z91" s="41">
        <f>IFERROR(IF(Y91=0,"",ROUNDUP(Y91/H91,0)*0.00902),"")</f>
        <v/>
      </c>
      <c r="AA91" s="68" t="inlineStr"/>
      <c r="AB91" s="69" t="inlineStr"/>
      <c r="AC91" s="158" t="inlineStr">
        <is>
          <t>ЕАЭС N RU Д-RU.РА08.В.25903/25, ЕАЭС N RU Д-RU.РА08.В.46084/25</t>
        </is>
      </c>
      <c r="AG91" s="78" t="n"/>
      <c r="AJ91" s="84" t="inlineStr"/>
      <c r="AK91" s="84" t="n">
        <v>0</v>
      </c>
      <c r="BB91" s="159" t="inlineStr">
        <is>
          <t>КИ</t>
        </is>
      </c>
      <c r="BM91" s="78">
        <f>IFERROR(X91*I91/H91,"0")</f>
        <v/>
      </c>
      <c r="BN91" s="78">
        <f>IFERROR(Y91*I91/H91,"0")</f>
        <v/>
      </c>
      <c r="BO91" s="78">
        <f>IFERROR(1/J91*(X91/H91),"0")</f>
        <v/>
      </c>
      <c r="BP91" s="78">
        <f>IFERROR(1/J91*(Y91/H91),"0")</f>
        <v/>
      </c>
    </row>
    <row r="92">
      <c r="A92" s="704" t="n"/>
      <c r="B92" s="979" t="n"/>
      <c r="C92" s="979" t="n"/>
      <c r="D92" s="979" t="n"/>
      <c r="E92" s="979" t="n"/>
      <c r="F92" s="979" t="n"/>
      <c r="G92" s="979" t="n"/>
      <c r="H92" s="979" t="n"/>
      <c r="I92" s="979" t="n"/>
      <c r="J92" s="979" t="n"/>
      <c r="K92" s="979" t="n"/>
      <c r="L92" s="979" t="n"/>
      <c r="M92" s="979" t="n"/>
      <c r="N92" s="979" t="n"/>
      <c r="O92" s="1035" t="n"/>
      <c r="P92" s="1036" t="inlineStr">
        <is>
          <t>Итого</t>
        </is>
      </c>
      <c r="Q92" s="997" t="n"/>
      <c r="R92" s="997" t="n"/>
      <c r="S92" s="997" t="n"/>
      <c r="T92" s="997" t="n"/>
      <c r="U92" s="997" t="n"/>
      <c r="V92" s="998" t="n"/>
      <c r="W92" s="42" t="inlineStr">
        <is>
          <t>кор</t>
        </is>
      </c>
      <c r="X92" s="1037">
        <f>IFERROR(X88/H88,"0")+IFERROR(X89/H89,"0")+IFERROR(X90/H90,"0")+IFERROR(X91/H91,"0")</f>
        <v/>
      </c>
      <c r="Y92" s="1037">
        <f>IFERROR(Y88/H88,"0")+IFERROR(Y89/H89,"0")+IFERROR(Y90/H90,"0")+IFERROR(Y91/H91,"0")</f>
        <v/>
      </c>
      <c r="Z92" s="1037">
        <f>IFERROR(IF(Z88="",0,Z88),"0")+IFERROR(IF(Z89="",0,Z89),"0")+IFERROR(IF(Z90="",0,Z90),"0")+IFERROR(IF(Z91="",0,Z91),"0")</f>
        <v/>
      </c>
      <c r="AA92" s="1038" t="n"/>
      <c r="AB92" s="1038" t="n"/>
      <c r="AC92" s="1038" t="n"/>
    </row>
    <row r="93">
      <c r="A93" s="979" t="n"/>
      <c r="B93" s="979" t="n"/>
      <c r="C93" s="979" t="n"/>
      <c r="D93" s="979" t="n"/>
      <c r="E93" s="979" t="n"/>
      <c r="F93" s="979" t="n"/>
      <c r="G93" s="979" t="n"/>
      <c r="H93" s="979" t="n"/>
      <c r="I93" s="979" t="n"/>
      <c r="J93" s="979" t="n"/>
      <c r="K93" s="979" t="n"/>
      <c r="L93" s="979" t="n"/>
      <c r="M93" s="979" t="n"/>
      <c r="N93" s="979" t="n"/>
      <c r="O93" s="1035" t="n"/>
      <c r="P93" s="1036" t="inlineStr">
        <is>
          <t>Итого</t>
        </is>
      </c>
      <c r="Q93" s="997" t="n"/>
      <c r="R93" s="997" t="n"/>
      <c r="S93" s="997" t="n"/>
      <c r="T93" s="997" t="n"/>
      <c r="U93" s="997" t="n"/>
      <c r="V93" s="998" t="n"/>
      <c r="W93" s="42" t="inlineStr">
        <is>
          <t>кг</t>
        </is>
      </c>
      <c r="X93" s="1037">
        <f>IFERROR(SUM(X88:X91),"0")</f>
        <v/>
      </c>
      <c r="Y93" s="1037">
        <f>IFERROR(SUM(Y88:Y91),"0")</f>
        <v/>
      </c>
      <c r="Z93" s="42" t="n"/>
      <c r="AA93" s="1038" t="n"/>
      <c r="AB93" s="1038" t="n"/>
      <c r="AC93" s="1038" t="n"/>
    </row>
    <row r="94" ht="14.25" customHeight="1">
      <c r="A94" s="694" t="inlineStr">
        <is>
          <t>Сосиски</t>
        </is>
      </c>
      <c r="B94" s="979" t="n"/>
      <c r="C94" s="979" t="n"/>
      <c r="D94" s="979" t="n"/>
      <c r="E94" s="979" t="n"/>
      <c r="F94" s="979" t="n"/>
      <c r="G94" s="979" t="n"/>
      <c r="H94" s="979" t="n"/>
      <c r="I94" s="979" t="n"/>
      <c r="J94" s="979" t="n"/>
      <c r="K94" s="979" t="n"/>
      <c r="L94" s="979" t="n"/>
      <c r="M94" s="979" t="n"/>
      <c r="N94" s="979" t="n"/>
      <c r="O94" s="979" t="n"/>
      <c r="P94" s="979" t="n"/>
      <c r="Q94" s="979" t="n"/>
      <c r="R94" s="979" t="n"/>
      <c r="S94" s="979" t="n"/>
      <c r="T94" s="979" t="n"/>
      <c r="U94" s="979" t="n"/>
      <c r="V94" s="979" t="n"/>
      <c r="W94" s="979" t="n"/>
      <c r="X94" s="979" t="n"/>
      <c r="Y94" s="979" t="n"/>
      <c r="Z94" s="979" t="n"/>
      <c r="AA94" s="694" t="n"/>
      <c r="AB94" s="694" t="n"/>
      <c r="AC94" s="694" t="n"/>
    </row>
    <row r="95" ht="27" customHeight="1">
      <c r="A95" s="63" t="inlineStr">
        <is>
          <t>SU001523</t>
        </is>
      </c>
      <c r="B95" s="63" t="inlineStr">
        <is>
          <t>P003986</t>
        </is>
      </c>
      <c r="C95" s="36" t="n">
        <v>4301051712</v>
      </c>
      <c r="D95" s="695" t="n">
        <v>4607091386967</v>
      </c>
      <c r="E95" s="989" t="n"/>
      <c r="F95" s="1028" t="n">
        <v>1.35</v>
      </c>
      <c r="G95" s="37" t="n">
        <v>6</v>
      </c>
      <c r="H95" s="1028" t="n">
        <v>8.1</v>
      </c>
      <c r="I95" s="1028" t="n">
        <v>8.593999999999999</v>
      </c>
      <c r="J95" s="37" t="n">
        <v>64</v>
      </c>
      <c r="K95" s="37" t="inlineStr">
        <is>
          <t>8</t>
        </is>
      </c>
      <c r="L95" s="37" t="inlineStr"/>
      <c r="M95" s="38" t="inlineStr">
        <is>
          <t>СК4</t>
        </is>
      </c>
      <c r="N95" s="38" t="n"/>
      <c r="O95" s="37" t="n">
        <v>45</v>
      </c>
      <c r="P95" s="1074">
        <f>HYPERLINK("https://abi.ru/products/Охлажденные/Вязанка/Молокуша/Сосиски/P003986/","Сосиски «Молокуши (Вязанка Молочные)» Весовой п/а мгс ТМ «Вязанка»")</f>
        <v/>
      </c>
      <c r="Q95" s="1030" t="n"/>
      <c r="R95" s="1030" t="n"/>
      <c r="S95" s="1030" t="n"/>
      <c r="T95" s="1031" t="n"/>
      <c r="U95" s="39" t="inlineStr"/>
      <c r="V95" s="39" t="inlineStr"/>
      <c r="W95" s="40" t="inlineStr">
        <is>
          <t>кг</t>
        </is>
      </c>
      <c r="X95" s="1032" t="n">
        <v>0</v>
      </c>
      <c r="Y95" s="1033">
        <f>IFERROR(IF(X95="",0,CEILING((X95/$H95),1)*$H95),"")</f>
        <v/>
      </c>
      <c r="Z95" s="41">
        <f>IFERROR(IF(Y95=0,"",ROUNDUP(Y95/H95,0)*0.01898),"")</f>
        <v/>
      </c>
      <c r="AA95" s="68" t="inlineStr"/>
      <c r="AB95" s="69" t="inlineStr"/>
      <c r="AC95" s="160" t="inlineStr">
        <is>
          <t>ЕАЭС N RU Д-RU.РА10.В.02058/25, ЕАЭС N RU Д-RU.РА11.В.73895/25</t>
        </is>
      </c>
      <c r="AG95" s="78" t="n"/>
      <c r="AJ95" s="84" t="inlineStr"/>
      <c r="AK95" s="84" t="n">
        <v>0</v>
      </c>
      <c r="BB95" s="161" t="inlineStr">
        <is>
          <t>КИ</t>
        </is>
      </c>
      <c r="BM95" s="78">
        <f>IFERROR(X95*I95/H95,"0")</f>
        <v/>
      </c>
      <c r="BN95" s="78">
        <f>IFERROR(Y95*I95/H95,"0")</f>
        <v/>
      </c>
      <c r="BO95" s="78">
        <f>IFERROR(1/J95*(X95/H95),"0")</f>
        <v/>
      </c>
      <c r="BP95" s="78">
        <f>IFERROR(1/J95*(Y95/H95),"0")</f>
        <v/>
      </c>
    </row>
    <row r="96" ht="27" customHeight="1">
      <c r="A96" s="63" t="inlineStr">
        <is>
          <t>SU003503</t>
        </is>
      </c>
      <c r="B96" s="63" t="inlineStr">
        <is>
          <t>P004411</t>
        </is>
      </c>
      <c r="C96" s="36" t="n">
        <v>4301051788</v>
      </c>
      <c r="D96" s="695" t="n">
        <v>4680115884953</v>
      </c>
      <c r="E96" s="989" t="n"/>
      <c r="F96" s="1028" t="n">
        <v>0.37</v>
      </c>
      <c r="G96" s="37" t="n">
        <v>6</v>
      </c>
      <c r="H96" s="1028" t="n">
        <v>2.22</v>
      </c>
      <c r="I96" s="1028" t="n">
        <v>2.472</v>
      </c>
      <c r="J96" s="37" t="n">
        <v>182</v>
      </c>
      <c r="K96" s="37" t="inlineStr">
        <is>
          <t>14</t>
        </is>
      </c>
      <c r="L96" s="37" t="inlineStr"/>
      <c r="M96" s="38" t="inlineStr">
        <is>
          <t>СК3</t>
        </is>
      </c>
      <c r="N96" s="38" t="n"/>
      <c r="O96" s="37" t="n">
        <v>45</v>
      </c>
      <c r="P96" s="1075">
        <f>HYPERLINK("https://abi.ru/products/Охлажденные/Вязанка/Молокуша/Сосиски/P004411/","Сосиски «Вязанка Молочные» Фикс.вес 0,37 п/а ТМ «Вязанка»")</f>
        <v/>
      </c>
      <c r="Q96" s="1030" t="n"/>
      <c r="R96" s="1030" t="n"/>
      <c r="S96" s="1030" t="n"/>
      <c r="T96" s="1031" t="n"/>
      <c r="U96" s="39" t="inlineStr"/>
      <c r="V96" s="39" t="inlineStr"/>
      <c r="W96" s="40" t="inlineStr">
        <is>
          <t>кг</t>
        </is>
      </c>
      <c r="X96" s="1032" t="n">
        <v>0</v>
      </c>
      <c r="Y96" s="1033">
        <f>IFERROR(IF(X96="",0,CEILING((X96/$H96),1)*$H96),"")</f>
        <v/>
      </c>
      <c r="Z96" s="41">
        <f>IFERROR(IF(Y96=0,"",ROUNDUP(Y96/H96,0)*0.00651),"")</f>
        <v/>
      </c>
      <c r="AA96" s="68" t="inlineStr"/>
      <c r="AB96" s="69" t="inlineStr"/>
      <c r="AC96" s="162" t="inlineStr">
        <is>
          <t>ЕАЭС N RU Д-RU.РА10.В.02058/25, ЕАЭС N RU Д-RU.РА11.В.73895/25</t>
        </is>
      </c>
      <c r="AG96" s="78" t="n"/>
      <c r="AJ96" s="84" t="inlineStr"/>
      <c r="AK96" s="84" t="n">
        <v>0</v>
      </c>
      <c r="BB96" s="163" t="inlineStr">
        <is>
          <t>КИ</t>
        </is>
      </c>
      <c r="BM96" s="78">
        <f>IFERROR(X96*I96/H96,"0")</f>
        <v/>
      </c>
      <c r="BN96" s="78">
        <f>IFERROR(Y96*I96/H96,"0")</f>
        <v/>
      </c>
      <c r="BO96" s="78">
        <f>IFERROR(1/J96*(X96/H96),"0")</f>
        <v/>
      </c>
      <c r="BP96" s="78">
        <f>IFERROR(1/J96*(Y96/H96),"0")</f>
        <v/>
      </c>
    </row>
    <row r="97" ht="27" customHeight="1">
      <c r="A97" s="63" t="inlineStr">
        <is>
          <t>SU001718</t>
        </is>
      </c>
      <c r="B97" s="63" t="inlineStr">
        <is>
          <t>P003985</t>
        </is>
      </c>
      <c r="C97" s="36" t="n">
        <v>4301051718</v>
      </c>
      <c r="D97" s="695" t="n">
        <v>4607091385731</v>
      </c>
      <c r="E97" s="989" t="n"/>
      <c r="F97" s="1028" t="n">
        <v>0.45</v>
      </c>
      <c r="G97" s="37" t="n">
        <v>6</v>
      </c>
      <c r="H97" s="1028" t="n">
        <v>2.7</v>
      </c>
      <c r="I97" s="1028" t="n">
        <v>2.952</v>
      </c>
      <c r="J97" s="37" t="n">
        <v>182</v>
      </c>
      <c r="K97" s="37" t="inlineStr">
        <is>
          <t>14</t>
        </is>
      </c>
      <c r="L97" s="37" t="inlineStr"/>
      <c r="M97" s="38" t="inlineStr">
        <is>
          <t>СК4</t>
        </is>
      </c>
      <c r="N97" s="38" t="n"/>
      <c r="O97" s="37" t="n">
        <v>45</v>
      </c>
      <c r="P97" s="1076">
        <f>HYPERLINK("https://abi.ru/products/Охлажденные/Вязанка/Молокуша/Сосиски/P003985/","Сосиски «Молокуши» ф/в 0,45 п/а мгс ТМ «Вязанка»")</f>
        <v/>
      </c>
      <c r="Q97" s="1030" t="n"/>
      <c r="R97" s="1030" t="n"/>
      <c r="S97" s="1030" t="n"/>
      <c r="T97" s="1031" t="n"/>
      <c r="U97" s="39" t="inlineStr"/>
      <c r="V97" s="39" t="inlineStr"/>
      <c r="W97" s="40" t="inlineStr">
        <is>
          <t>кг</t>
        </is>
      </c>
      <c r="X97" s="1032" t="n">
        <v>0</v>
      </c>
      <c r="Y97" s="1033">
        <f>IFERROR(IF(X97="",0,CEILING((X97/$H97),1)*$H97),"")</f>
        <v/>
      </c>
      <c r="Z97" s="41">
        <f>IFERROR(IF(Y97=0,"",ROUNDUP(Y97/H97,0)*0.00651),"")</f>
        <v/>
      </c>
      <c r="AA97" s="68" t="inlineStr"/>
      <c r="AB97" s="69" t="inlineStr"/>
      <c r="AC97" s="164" t="inlineStr">
        <is>
          <t>ЕАЭС N RU Д-RU.РА10.В.02058/25, ЕАЭС N RU Д-RU.РА11.В.73895/25</t>
        </is>
      </c>
      <c r="AG97" s="78" t="n"/>
      <c r="AJ97" s="84" t="inlineStr"/>
      <c r="AK97" s="84" t="n">
        <v>0</v>
      </c>
      <c r="BB97" s="165" t="inlineStr">
        <is>
          <t>КИ</t>
        </is>
      </c>
      <c r="BM97" s="78">
        <f>IFERROR(X97*I97/H97,"0")</f>
        <v/>
      </c>
      <c r="BN97" s="78">
        <f>IFERROR(Y97*I97/H97,"0")</f>
        <v/>
      </c>
      <c r="BO97" s="78">
        <f>IFERROR(1/J97*(X97/H97),"0")</f>
        <v/>
      </c>
      <c r="BP97" s="78">
        <f>IFERROR(1/J97*(Y97/H97),"0")</f>
        <v/>
      </c>
    </row>
    <row r="98" ht="16.5" customHeight="1">
      <c r="A98" s="63" t="inlineStr">
        <is>
          <t>SU002769</t>
        </is>
      </c>
      <c r="B98" s="63" t="inlineStr">
        <is>
          <t>P005230</t>
        </is>
      </c>
      <c r="C98" s="36" t="n">
        <v>4301052092</v>
      </c>
      <c r="D98" s="695" t="n">
        <v>4680115880894</v>
      </c>
      <c r="E98" s="989" t="n"/>
      <c r="F98" s="1028" t="n">
        <v>0.33</v>
      </c>
      <c r="G98" s="37" t="n">
        <v>6</v>
      </c>
      <c r="H98" s="1028" t="n">
        <v>1.98</v>
      </c>
      <c r="I98" s="1028" t="n">
        <v>2.238</v>
      </c>
      <c r="J98" s="37" t="n">
        <v>182</v>
      </c>
      <c r="K98" s="37" t="inlineStr">
        <is>
          <t>14</t>
        </is>
      </c>
      <c r="L98" s="37" t="inlineStr"/>
      <c r="M98" s="38" t="inlineStr">
        <is>
          <t>СК3</t>
        </is>
      </c>
      <c r="N98" s="38" t="n"/>
      <c r="O98" s="37" t="n">
        <v>45</v>
      </c>
      <c r="P98" s="1077">
        <f>HYPERLINK("https://abi.ru/products/Охлажденные/Вязанка/Молокуша/Сосиски/P005230/","Сосиски «Молокуши #миникушай» Фикс.вес 0,33 п/а ТМ «Вязанка»")</f>
        <v/>
      </c>
      <c r="Q98" s="1030" t="n"/>
      <c r="R98" s="1030" t="n"/>
      <c r="S98" s="1030" t="n"/>
      <c r="T98" s="1031" t="n"/>
      <c r="U98" s="39" t="inlineStr"/>
      <c r="V98" s="39" t="inlineStr"/>
      <c r="W98" s="40" t="inlineStr">
        <is>
          <t>кг</t>
        </is>
      </c>
      <c r="X98" s="1032" t="n">
        <v>0</v>
      </c>
      <c r="Y98" s="1033">
        <f>IFERROR(IF(X98="",0,CEILING((X98/$H98),1)*$H98),"")</f>
        <v/>
      </c>
      <c r="Z98" s="41">
        <f>IFERROR(IF(Y98=0,"",ROUNDUP(Y98/H98,0)*0.00651),"")</f>
        <v/>
      </c>
      <c r="AA98" s="68" t="inlineStr"/>
      <c r="AB98" s="69" t="inlineStr"/>
      <c r="AC98" s="166" t="inlineStr">
        <is>
          <t>ЕАЭС N RU Д-RU.РА10.В.18728/25</t>
        </is>
      </c>
      <c r="AG98" s="78" t="n"/>
      <c r="AJ98" s="84" t="inlineStr"/>
      <c r="AK98" s="84" t="n">
        <v>0</v>
      </c>
      <c r="BB98" s="167" t="inlineStr">
        <is>
          <t>КИ</t>
        </is>
      </c>
      <c r="BM98" s="78">
        <f>IFERROR(X98*I98/H98,"0")</f>
        <v/>
      </c>
      <c r="BN98" s="78">
        <f>IFERROR(Y98*I98/H98,"0")</f>
        <v/>
      </c>
      <c r="BO98" s="78">
        <f>IFERROR(1/J98*(X98/H98),"0")</f>
        <v/>
      </c>
      <c r="BP98" s="78">
        <f>IFERROR(1/J98*(Y98/H98),"0")</f>
        <v/>
      </c>
    </row>
    <row r="99">
      <c r="A99" s="704" t="n"/>
      <c r="B99" s="979" t="n"/>
      <c r="C99" s="979" t="n"/>
      <c r="D99" s="979" t="n"/>
      <c r="E99" s="979" t="n"/>
      <c r="F99" s="979" t="n"/>
      <c r="G99" s="979" t="n"/>
      <c r="H99" s="979" t="n"/>
      <c r="I99" s="979" t="n"/>
      <c r="J99" s="979" t="n"/>
      <c r="K99" s="979" t="n"/>
      <c r="L99" s="979" t="n"/>
      <c r="M99" s="979" t="n"/>
      <c r="N99" s="979" t="n"/>
      <c r="O99" s="1035" t="n"/>
      <c r="P99" s="1036" t="inlineStr">
        <is>
          <t>Итого</t>
        </is>
      </c>
      <c r="Q99" s="997" t="n"/>
      <c r="R99" s="997" t="n"/>
      <c r="S99" s="997" t="n"/>
      <c r="T99" s="997" t="n"/>
      <c r="U99" s="997" t="n"/>
      <c r="V99" s="998" t="n"/>
      <c r="W99" s="42" t="inlineStr">
        <is>
          <t>кор</t>
        </is>
      </c>
      <c r="X99" s="1037">
        <f>IFERROR(X95/H95,"0")+IFERROR(X96/H96,"0")+IFERROR(X97/H97,"0")+IFERROR(X98/H98,"0")</f>
        <v/>
      </c>
      <c r="Y99" s="1037">
        <f>IFERROR(Y95/H95,"0")+IFERROR(Y96/H96,"0")+IFERROR(Y97/H97,"0")+IFERROR(Y98/H98,"0")</f>
        <v/>
      </c>
      <c r="Z99" s="1037">
        <f>IFERROR(IF(Z95="",0,Z95),"0")+IFERROR(IF(Z96="",0,Z96),"0")+IFERROR(IF(Z97="",0,Z97),"0")+IFERROR(IF(Z98="",0,Z98),"0")</f>
        <v/>
      </c>
      <c r="AA99" s="1038" t="n"/>
      <c r="AB99" s="1038" t="n"/>
      <c r="AC99" s="1038" t="n"/>
    </row>
    <row r="100">
      <c r="A100" s="979" t="n"/>
      <c r="B100" s="979" t="n"/>
      <c r="C100" s="979" t="n"/>
      <c r="D100" s="979" t="n"/>
      <c r="E100" s="979" t="n"/>
      <c r="F100" s="979" t="n"/>
      <c r="G100" s="979" t="n"/>
      <c r="H100" s="979" t="n"/>
      <c r="I100" s="979" t="n"/>
      <c r="J100" s="979" t="n"/>
      <c r="K100" s="979" t="n"/>
      <c r="L100" s="979" t="n"/>
      <c r="M100" s="979" t="n"/>
      <c r="N100" s="979" t="n"/>
      <c r="O100" s="1035" t="n"/>
      <c r="P100" s="1036" t="inlineStr">
        <is>
          <t>Итого</t>
        </is>
      </c>
      <c r="Q100" s="997" t="n"/>
      <c r="R100" s="997" t="n"/>
      <c r="S100" s="997" t="n"/>
      <c r="T100" s="997" t="n"/>
      <c r="U100" s="997" t="n"/>
      <c r="V100" s="998" t="n"/>
      <c r="W100" s="42" t="inlineStr">
        <is>
          <t>кг</t>
        </is>
      </c>
      <c r="X100" s="1037">
        <f>IFERROR(SUM(X95:X98),"0")</f>
        <v/>
      </c>
      <c r="Y100" s="1037">
        <f>IFERROR(SUM(Y95:Y98),"0")</f>
        <v/>
      </c>
      <c r="Z100" s="42" t="n"/>
      <c r="AA100" s="1038" t="n"/>
      <c r="AB100" s="1038" t="n"/>
      <c r="AC100" s="1038" t="n"/>
    </row>
    <row r="101" ht="16.5" customHeight="1">
      <c r="A101" s="693" t="inlineStr">
        <is>
          <t>Сливушка</t>
        </is>
      </c>
      <c r="B101" s="979" t="n"/>
      <c r="C101" s="979" t="n"/>
      <c r="D101" s="979" t="n"/>
      <c r="E101" s="979" t="n"/>
      <c r="F101" s="979" t="n"/>
      <c r="G101" s="979" t="n"/>
      <c r="H101" s="979" t="n"/>
      <c r="I101" s="979" t="n"/>
      <c r="J101" s="979" t="n"/>
      <c r="K101" s="979" t="n"/>
      <c r="L101" s="979" t="n"/>
      <c r="M101" s="979" t="n"/>
      <c r="N101" s="979" t="n"/>
      <c r="O101" s="979" t="n"/>
      <c r="P101" s="979" t="n"/>
      <c r="Q101" s="979" t="n"/>
      <c r="R101" s="979" t="n"/>
      <c r="S101" s="979" t="n"/>
      <c r="T101" s="979" t="n"/>
      <c r="U101" s="979" t="n"/>
      <c r="V101" s="979" t="n"/>
      <c r="W101" s="979" t="n"/>
      <c r="X101" s="979" t="n"/>
      <c r="Y101" s="979" t="n"/>
      <c r="Z101" s="979" t="n"/>
      <c r="AA101" s="693" t="n"/>
      <c r="AB101" s="693" t="n"/>
      <c r="AC101" s="693" t="n"/>
    </row>
    <row r="102" ht="14.25" customHeight="1">
      <c r="A102" s="694" t="inlineStr">
        <is>
          <t>Вареные колбасы</t>
        </is>
      </c>
      <c r="B102" s="979" t="n"/>
      <c r="C102" s="979" t="n"/>
      <c r="D102" s="979" t="n"/>
      <c r="E102" s="979" t="n"/>
      <c r="F102" s="979" t="n"/>
      <c r="G102" s="979" t="n"/>
      <c r="H102" s="979" t="n"/>
      <c r="I102" s="979" t="n"/>
      <c r="J102" s="979" t="n"/>
      <c r="K102" s="979" t="n"/>
      <c r="L102" s="979" t="n"/>
      <c r="M102" s="979" t="n"/>
      <c r="N102" s="979" t="n"/>
      <c r="O102" s="979" t="n"/>
      <c r="P102" s="979" t="n"/>
      <c r="Q102" s="979" t="n"/>
      <c r="R102" s="979" t="n"/>
      <c r="S102" s="979" t="n"/>
      <c r="T102" s="979" t="n"/>
      <c r="U102" s="979" t="n"/>
      <c r="V102" s="979" t="n"/>
      <c r="W102" s="979" t="n"/>
      <c r="X102" s="979" t="n"/>
      <c r="Y102" s="979" t="n"/>
      <c r="Z102" s="979" t="n"/>
      <c r="AA102" s="694" t="n"/>
      <c r="AB102" s="694" t="n"/>
      <c r="AC102" s="694" t="n"/>
    </row>
    <row r="103" ht="37.5" customHeight="1">
      <c r="A103" s="63" t="inlineStr">
        <is>
          <t>SU002928</t>
        </is>
      </c>
      <c r="B103" s="63" t="inlineStr">
        <is>
          <t>P003357</t>
        </is>
      </c>
      <c r="C103" s="36" t="n">
        <v>4301011514</v>
      </c>
      <c r="D103" s="695" t="n">
        <v>4680115882133</v>
      </c>
      <c r="E103" s="989" t="n"/>
      <c r="F103" s="1028" t="n">
        <v>1.35</v>
      </c>
      <c r="G103" s="37" t="n">
        <v>8</v>
      </c>
      <c r="H103" s="1028" t="n">
        <v>10.8</v>
      </c>
      <c r="I103" s="1028" t="n">
        <v>11.21</v>
      </c>
      <c r="J103" s="37" t="n">
        <v>64</v>
      </c>
      <c r="K103" s="37" t="inlineStr">
        <is>
          <t>8</t>
        </is>
      </c>
      <c r="L103" s="37" t="inlineStr"/>
      <c r="M103" s="38" t="inlineStr">
        <is>
          <t>СК1</t>
        </is>
      </c>
      <c r="N103" s="38" t="n"/>
      <c r="O103" s="37" t="n">
        <v>50</v>
      </c>
      <c r="P103" s="1078">
        <f>HYPERLINK("https://abi.ru/products/Охлажденные/Вязанка/Сливушка/Вареные колбасы/P003357/","Вареные колбасы «Сливушка» Вес П/а ТМ «Вязанка»")</f>
        <v/>
      </c>
      <c r="Q103" s="1030" t="n"/>
      <c r="R103" s="1030" t="n"/>
      <c r="S103" s="1030" t="n"/>
      <c r="T103" s="1031" t="n"/>
      <c r="U103" s="39" t="inlineStr"/>
      <c r="V103" s="39" t="inlineStr"/>
      <c r="W103" s="40" t="inlineStr">
        <is>
          <t>кг</t>
        </is>
      </c>
      <c r="X103" s="1032" t="n">
        <v>0</v>
      </c>
      <c r="Y103" s="1033">
        <f>IFERROR(IF(X103="",0,CEILING((X103/$H103),1)*$H103),"")</f>
        <v/>
      </c>
      <c r="Z103" s="41">
        <f>IFERROR(IF(Y103=0,"",ROUNDUP(Y103/H103,0)*0.01898),"")</f>
        <v/>
      </c>
      <c r="AA103" s="68" t="inlineStr"/>
      <c r="AB103" s="69" t="inlineStr"/>
      <c r="AC103" s="168" t="inlineStr">
        <is>
          <t>ЕАЭС N RU Д-RU.РА06.В.04803/22, ЕАЭС N RU Д-RU.РА08.В.82591/25, ЕАЭС N RU Д-RU.РА08.В.82932/25</t>
        </is>
      </c>
      <c r="AG103" s="78" t="n"/>
      <c r="AJ103" s="84" t="inlineStr"/>
      <c r="AK103" s="84" t="n">
        <v>0</v>
      </c>
      <c r="BB103" s="169" t="inlineStr">
        <is>
          <t>КИ</t>
        </is>
      </c>
      <c r="BM103" s="78">
        <f>IFERROR(X103*I103/H103,"0")</f>
        <v/>
      </c>
      <c r="BN103" s="78">
        <f>IFERROR(Y103*I103/H103,"0")</f>
        <v/>
      </c>
      <c r="BO103" s="78">
        <f>IFERROR(1/J103*(X103/H103),"0")</f>
        <v/>
      </c>
      <c r="BP103" s="78">
        <f>IFERROR(1/J103*(Y103/H103),"0")</f>
        <v/>
      </c>
    </row>
    <row r="104" ht="27" customHeight="1">
      <c r="A104" s="63" t="inlineStr">
        <is>
          <t>SU003745</t>
        </is>
      </c>
      <c r="B104" s="63" t="inlineStr">
        <is>
          <t>P004758</t>
        </is>
      </c>
      <c r="C104" s="36" t="n">
        <v>4301012051</v>
      </c>
      <c r="D104" s="695" t="n">
        <v>4680115887718</v>
      </c>
      <c r="E104" s="989" t="n"/>
      <c r="F104" s="1028" t="n">
        <v>0.11</v>
      </c>
      <c r="G104" s="37" t="n">
        <v>10</v>
      </c>
      <c r="H104" s="1028" t="n">
        <v>1.1</v>
      </c>
      <c r="I104" s="1028" t="n">
        <v>1.31</v>
      </c>
      <c r="J104" s="37" t="n">
        <v>192</v>
      </c>
      <c r="K104" s="37" t="inlineStr">
        <is>
          <t>24</t>
        </is>
      </c>
      <c r="L104" s="37" t="inlineStr"/>
      <c r="M104" s="38" t="inlineStr">
        <is>
          <t>СК2</t>
        </is>
      </c>
      <c r="N104" s="38" t="n"/>
      <c r="O104" s="37" t="n">
        <v>30</v>
      </c>
      <c r="P104" s="1079">
        <f>HYPERLINK("https://abi.ru/products/Охлажденные/Вязанка/Сливушка/Вареные колбасы/P004758/","Вареные колбасы «Сливушка» Фикс.вес 0,11 нарезка ТМ «Вязанка»")</f>
        <v/>
      </c>
      <c r="Q104" s="1030" t="n"/>
      <c r="R104" s="1030" t="n"/>
      <c r="S104" s="1030" t="n"/>
      <c r="T104" s="1031" t="n"/>
      <c r="U104" s="39" t="inlineStr"/>
      <c r="V104" s="39" t="inlineStr"/>
      <c r="W104" s="40" t="inlineStr">
        <is>
          <t>кг</t>
        </is>
      </c>
      <c r="X104" s="1032" t="n">
        <v>0</v>
      </c>
      <c r="Y104" s="1033">
        <f>IFERROR(IF(X104="",0,CEILING((X104/$H104),1)*$H104),"")</f>
        <v/>
      </c>
      <c r="Z104" s="41">
        <f>IFERROR(IF(Y104=0,"",ROUNDUP(Y104/H104,0)*0.00726),"")</f>
        <v/>
      </c>
      <c r="AA104" s="68" t="inlineStr"/>
      <c r="AB104" s="69" t="inlineStr"/>
      <c r="AC104" s="170" t="inlineStr">
        <is>
          <t>ЕАЭС N RU Д-RU.РА08.В.54016/25</t>
        </is>
      </c>
      <c r="AG104" s="78" t="n"/>
      <c r="AJ104" s="84" t="inlineStr"/>
      <c r="AK104" s="84" t="n">
        <v>0</v>
      </c>
      <c r="BB104" s="171" t="inlineStr">
        <is>
          <t>КИ</t>
        </is>
      </c>
      <c r="BM104" s="78">
        <f>IFERROR(X104*I104/H104,"0")</f>
        <v/>
      </c>
      <c r="BN104" s="78">
        <f>IFERROR(Y104*I104/H104,"0")</f>
        <v/>
      </c>
      <c r="BO104" s="78">
        <f>IFERROR(1/J104*(X104/H104),"0")</f>
        <v/>
      </c>
      <c r="BP104" s="78">
        <f>IFERROR(1/J104*(Y104/H104),"0")</f>
        <v/>
      </c>
    </row>
    <row r="105" ht="27" customHeight="1">
      <c r="A105" s="63" t="inlineStr">
        <is>
          <t>SU003745</t>
        </is>
      </c>
      <c r="B105" s="63" t="inlineStr">
        <is>
          <t>P005406</t>
        </is>
      </c>
      <c r="C105" s="36" t="n">
        <v>4301012334</v>
      </c>
      <c r="D105" s="695" t="n">
        <v>4680115887718</v>
      </c>
      <c r="E105" s="989" t="n"/>
      <c r="F105" s="1028" t="n">
        <v>0.11</v>
      </c>
      <c r="G105" s="37" t="n">
        <v>8</v>
      </c>
      <c r="H105" s="1028" t="n">
        <v>0.88</v>
      </c>
      <c r="I105" s="1028" t="n">
        <v>1.068</v>
      </c>
      <c r="J105" s="37" t="n">
        <v>192</v>
      </c>
      <c r="K105" s="37" t="inlineStr">
        <is>
          <t>24</t>
        </is>
      </c>
      <c r="L105" s="37" t="inlineStr"/>
      <c r="M105" s="38" t="inlineStr">
        <is>
          <t>СК2</t>
        </is>
      </c>
      <c r="N105" s="38" t="n"/>
      <c r="O105" s="37" t="n">
        <v>30</v>
      </c>
      <c r="P105" s="1080">
        <f>HYPERLINK("https://abi.ru/products/Охлажденные/Вязанка/Сливушка/Вареные колбасы/P005406/","Вареные колбасы «Сливушка» Фикс.вес 0,11 нарезка ТМ «Вязанка»")</f>
        <v/>
      </c>
      <c r="Q105" s="1030" t="n"/>
      <c r="R105" s="1030" t="n"/>
      <c r="S105" s="1030" t="n"/>
      <c r="T105" s="1031" t="n"/>
      <c r="U105" s="39" t="inlineStr"/>
      <c r="V105" s="39" t="inlineStr"/>
      <c r="W105" s="40" t="inlineStr">
        <is>
          <t>кг</t>
        </is>
      </c>
      <c r="X105" s="1032" t="n">
        <v>0</v>
      </c>
      <c r="Y105" s="1033">
        <f>IFERROR(IF(X105="",0,CEILING((X105/$H105),1)*$H105),"")</f>
        <v/>
      </c>
      <c r="Z105" s="41">
        <f>IFERROR(IF(Y105=0,"",ROUNDUP(Y105/H105,0)*0.00726),"")</f>
        <v/>
      </c>
      <c r="AA105" s="68" t="inlineStr"/>
      <c r="AB105" s="69" t="inlineStr"/>
      <c r="AC105" s="172" t="inlineStr">
        <is>
          <t>ЕАЭС N RU Д-RU.РА08.В.54016/25</t>
        </is>
      </c>
      <c r="AG105" s="78" t="n"/>
      <c r="AJ105" s="84" t="inlineStr"/>
      <c r="AK105" s="84" t="n">
        <v>0</v>
      </c>
      <c r="BB105" s="173" t="inlineStr">
        <is>
          <t>КИ</t>
        </is>
      </c>
      <c r="BM105" s="78">
        <f>IFERROR(X105*I105/H105,"0")</f>
        <v/>
      </c>
      <c r="BN105" s="78">
        <f>IFERROR(Y105*I105/H105,"0")</f>
        <v/>
      </c>
      <c r="BO105" s="78">
        <f>IFERROR(1/J105*(X105/H105),"0")</f>
        <v/>
      </c>
      <c r="BP105" s="78">
        <f>IFERROR(1/J105*(Y105/H105),"0")</f>
        <v/>
      </c>
    </row>
    <row r="106" ht="37.5" customHeight="1">
      <c r="A106" s="63" t="inlineStr">
        <is>
          <t>SU002733</t>
        </is>
      </c>
      <c r="B106" s="63" t="inlineStr">
        <is>
          <t>P003102</t>
        </is>
      </c>
      <c r="C106" s="36" t="n">
        <v>4301011417</v>
      </c>
      <c r="D106" s="695" t="n">
        <v>4680115880269</v>
      </c>
      <c r="E106" s="989" t="n"/>
      <c r="F106" s="1028" t="n">
        <v>0.375</v>
      </c>
      <c r="G106" s="37" t="n">
        <v>10</v>
      </c>
      <c r="H106" s="1028" t="n">
        <v>3.75</v>
      </c>
      <c r="I106" s="1028" t="n">
        <v>3.94</v>
      </c>
      <c r="J106" s="37" t="n">
        <v>132</v>
      </c>
      <c r="K106" s="37" t="inlineStr">
        <is>
          <t>12</t>
        </is>
      </c>
      <c r="L106" s="37" t="inlineStr"/>
      <c r="M106" s="38" t="inlineStr">
        <is>
          <t>СК3</t>
        </is>
      </c>
      <c r="N106" s="38" t="n"/>
      <c r="O106" s="37" t="n">
        <v>50</v>
      </c>
      <c r="P106" s="1081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6" s="1030" t="n"/>
      <c r="R106" s="1030" t="n"/>
      <c r="S106" s="1030" t="n"/>
      <c r="T106" s="1031" t="n"/>
      <c r="U106" s="39" t="inlineStr"/>
      <c r="V106" s="39" t="inlineStr"/>
      <c r="W106" s="40" t="inlineStr">
        <is>
          <t>кг</t>
        </is>
      </c>
      <c r="X106" s="1032" t="n">
        <v>0</v>
      </c>
      <c r="Y106" s="1033">
        <f>IFERROR(IF(X106="",0,CEILING((X106/$H106),1)*$H106),"")</f>
        <v/>
      </c>
      <c r="Z106" s="41">
        <f>IFERROR(IF(Y106=0,"",ROUNDUP(Y106/H106,0)*0.00902),"")</f>
        <v/>
      </c>
      <c r="AA106" s="68" t="inlineStr"/>
      <c r="AB106" s="69" t="inlineStr"/>
      <c r="AC106" s="174" t="inlineStr">
        <is>
          <t>ЕАЭС N RU Д-RU.РА06.В.04803/22, ЕАЭС N RU Д-RU.РА08.В.82591/25, ЕАЭС N RU Д-RU.РА08.В.82932/25</t>
        </is>
      </c>
      <c r="AG106" s="78" t="n"/>
      <c r="AJ106" s="84" t="inlineStr"/>
      <c r="AK106" s="84" t="n">
        <v>0</v>
      </c>
      <c r="BB106" s="175" t="inlineStr">
        <is>
          <t>КИ</t>
        </is>
      </c>
      <c r="BM106" s="78">
        <f>IFERROR(X106*I106/H106,"0")</f>
        <v/>
      </c>
      <c r="BN106" s="78">
        <f>IFERROR(Y106*I106/H106,"0")</f>
        <v/>
      </c>
      <c r="BO106" s="78">
        <f>IFERROR(1/J106*(X106/H106),"0")</f>
        <v/>
      </c>
      <c r="BP106" s="78">
        <f>IFERROR(1/J106*(Y106/H106),"0")</f>
        <v/>
      </c>
    </row>
    <row r="107" ht="37.5" customHeight="1">
      <c r="A107" s="63" t="inlineStr">
        <is>
          <t>SU002734</t>
        </is>
      </c>
      <c r="B107" s="63" t="inlineStr">
        <is>
          <t>P003103</t>
        </is>
      </c>
      <c r="C107" s="36" t="n">
        <v>4301011415</v>
      </c>
      <c r="D107" s="695" t="n">
        <v>4680115880429</v>
      </c>
      <c r="E107" s="989" t="n"/>
      <c r="F107" s="1028" t="n">
        <v>0.45</v>
      </c>
      <c r="G107" s="37" t="n">
        <v>10</v>
      </c>
      <c r="H107" s="1028" t="n">
        <v>4.5</v>
      </c>
      <c r="I107" s="1028" t="n">
        <v>4.69</v>
      </c>
      <c r="J107" s="37" t="n">
        <v>132</v>
      </c>
      <c r="K107" s="37" t="inlineStr">
        <is>
          <t>12</t>
        </is>
      </c>
      <c r="L107" s="37" t="inlineStr"/>
      <c r="M107" s="38" t="inlineStr">
        <is>
          <t>СК3</t>
        </is>
      </c>
      <c r="N107" s="38" t="n"/>
      <c r="O107" s="37" t="n">
        <v>50</v>
      </c>
      <c r="P107" s="1082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7" s="1030" t="n"/>
      <c r="R107" s="1030" t="n"/>
      <c r="S107" s="1030" t="n"/>
      <c r="T107" s="1031" t="n"/>
      <c r="U107" s="39" t="inlineStr"/>
      <c r="V107" s="39" t="inlineStr"/>
      <c r="W107" s="40" t="inlineStr">
        <is>
          <t>кг</t>
        </is>
      </c>
      <c r="X107" s="1032" t="n">
        <v>0</v>
      </c>
      <c r="Y107" s="1033">
        <f>IFERROR(IF(X107="",0,CEILING((X107/$H107),1)*$H107),"")</f>
        <v/>
      </c>
      <c r="Z107" s="41">
        <f>IFERROR(IF(Y107=0,"",ROUNDUP(Y107/H107,0)*0.00902),"")</f>
        <v/>
      </c>
      <c r="AA107" s="68" t="inlineStr"/>
      <c r="AB107" s="69" t="inlineStr"/>
      <c r="AC107" s="176" t="inlineStr">
        <is>
          <t>ЕАЭС N RU Д-RU.РА06.В.04803/22, ЕАЭС N RU Д-RU.РА08.В.82591/25, ЕАЭС N RU Д-RU.РА08.В.82932/25</t>
        </is>
      </c>
      <c r="AG107" s="78" t="n"/>
      <c r="AJ107" s="84" t="inlineStr"/>
      <c r="AK107" s="84" t="n">
        <v>0</v>
      </c>
      <c r="BB107" s="177" t="inlineStr">
        <is>
          <t>КИ</t>
        </is>
      </c>
      <c r="BM107" s="78">
        <f>IFERROR(X107*I107/H107,"0")</f>
        <v/>
      </c>
      <c r="BN107" s="78">
        <f>IFERROR(Y107*I107/H107,"0")</f>
        <v/>
      </c>
      <c r="BO107" s="78">
        <f>IFERROR(1/J107*(X107/H107),"0")</f>
        <v/>
      </c>
      <c r="BP107" s="78">
        <f>IFERROR(1/J107*(Y107/H107),"0")</f>
        <v/>
      </c>
    </row>
    <row r="108" ht="37.5" customHeight="1">
      <c r="A108" s="63" t="inlineStr">
        <is>
          <t>SU002827</t>
        </is>
      </c>
      <c r="B108" s="63" t="inlineStr">
        <is>
          <t>P003233</t>
        </is>
      </c>
      <c r="C108" s="36" t="n">
        <v>4301011462</v>
      </c>
      <c r="D108" s="695" t="n">
        <v>4680115881457</v>
      </c>
      <c r="E108" s="989" t="n"/>
      <c r="F108" s="1028" t="n">
        <v>0.75</v>
      </c>
      <c r="G108" s="37" t="n">
        <v>6</v>
      </c>
      <c r="H108" s="1028" t="n">
        <v>4.5</v>
      </c>
      <c r="I108" s="1028" t="n">
        <v>4.69</v>
      </c>
      <c r="J108" s="37" t="n">
        <v>132</v>
      </c>
      <c r="K108" s="37" t="inlineStr">
        <is>
          <t>12</t>
        </is>
      </c>
      <c r="L108" s="37" t="inlineStr"/>
      <c r="M108" s="38" t="inlineStr">
        <is>
          <t>СК3</t>
        </is>
      </c>
      <c r="N108" s="38" t="n"/>
      <c r="O108" s="37" t="n">
        <v>50</v>
      </c>
      <c r="P108" s="1083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8" s="1030" t="n"/>
      <c r="R108" s="1030" t="n"/>
      <c r="S108" s="1030" t="n"/>
      <c r="T108" s="1031" t="n"/>
      <c r="U108" s="39" t="inlineStr"/>
      <c r="V108" s="39" t="inlineStr"/>
      <c r="W108" s="40" t="inlineStr">
        <is>
          <t>кг</t>
        </is>
      </c>
      <c r="X108" s="1032" t="n">
        <v>0</v>
      </c>
      <c r="Y108" s="1033">
        <f>IFERROR(IF(X108="",0,CEILING((X108/$H108),1)*$H108),"")</f>
        <v/>
      </c>
      <c r="Z108" s="41">
        <f>IFERROR(IF(Y108=0,"",ROUNDUP(Y108/H108,0)*0.00902),"")</f>
        <v/>
      </c>
      <c r="AA108" s="68" t="inlineStr"/>
      <c r="AB108" s="69" t="inlineStr"/>
      <c r="AC108" s="178" t="inlineStr">
        <is>
          <t>ЕАЭС N RU Д-RU.РА06.В.04803/22, ЕАЭС N RU Д-RU.РА08.В.82591/25, ЕАЭС N RU Д-RU.РА08.В.82932/25</t>
        </is>
      </c>
      <c r="AG108" s="78" t="n"/>
      <c r="AJ108" s="84" t="inlineStr"/>
      <c r="AK108" s="84" t="n">
        <v>0</v>
      </c>
      <c r="BB108" s="179" t="inlineStr">
        <is>
          <t>КИ</t>
        </is>
      </c>
      <c r="BM108" s="78">
        <f>IFERROR(X108*I108/H108,"0")</f>
        <v/>
      </c>
      <c r="BN108" s="78">
        <f>IFERROR(Y108*I108/H108,"0")</f>
        <v/>
      </c>
      <c r="BO108" s="78">
        <f>IFERROR(1/J108*(X108/H108),"0")</f>
        <v/>
      </c>
      <c r="BP108" s="78">
        <f>IFERROR(1/J108*(Y108/H108),"0")</f>
        <v/>
      </c>
    </row>
    <row r="109">
      <c r="A109" s="704" t="n"/>
      <c r="B109" s="979" t="n"/>
      <c r="C109" s="979" t="n"/>
      <c r="D109" s="979" t="n"/>
      <c r="E109" s="979" t="n"/>
      <c r="F109" s="979" t="n"/>
      <c r="G109" s="979" t="n"/>
      <c r="H109" s="979" t="n"/>
      <c r="I109" s="979" t="n"/>
      <c r="J109" s="979" t="n"/>
      <c r="K109" s="979" t="n"/>
      <c r="L109" s="979" t="n"/>
      <c r="M109" s="979" t="n"/>
      <c r="N109" s="979" t="n"/>
      <c r="O109" s="1035" t="n"/>
      <c r="P109" s="1036" t="inlineStr">
        <is>
          <t>Итого</t>
        </is>
      </c>
      <c r="Q109" s="997" t="n"/>
      <c r="R109" s="997" t="n"/>
      <c r="S109" s="997" t="n"/>
      <c r="T109" s="997" t="n"/>
      <c r="U109" s="997" t="n"/>
      <c r="V109" s="998" t="n"/>
      <c r="W109" s="42" t="inlineStr">
        <is>
          <t>кор</t>
        </is>
      </c>
      <c r="X109" s="1037">
        <f>IFERROR(X103/H103,"0")+IFERROR(X104/H104,"0")+IFERROR(X105/H105,"0")+IFERROR(X106/H106,"0")+IFERROR(X107/H107,"0")+IFERROR(X108/H108,"0")</f>
        <v/>
      </c>
      <c r="Y109" s="1037">
        <f>IFERROR(Y103/H103,"0")+IFERROR(Y104/H104,"0")+IFERROR(Y105/H105,"0")+IFERROR(Y106/H106,"0")+IFERROR(Y107/H107,"0")+IFERROR(Y108/H108,"0")</f>
        <v/>
      </c>
      <c r="Z109" s="1037">
        <f>IFERROR(IF(Z103="",0,Z103),"0")+IFERROR(IF(Z104="",0,Z104),"0")+IFERROR(IF(Z105="",0,Z105),"0")+IFERROR(IF(Z106="",0,Z106),"0")+IFERROR(IF(Z107="",0,Z107),"0")+IFERROR(IF(Z108="",0,Z108),"0")</f>
        <v/>
      </c>
      <c r="AA109" s="1038" t="n"/>
      <c r="AB109" s="1038" t="n"/>
      <c r="AC109" s="1038" t="n"/>
    </row>
    <row r="110">
      <c r="A110" s="979" t="n"/>
      <c r="B110" s="979" t="n"/>
      <c r="C110" s="979" t="n"/>
      <c r="D110" s="979" t="n"/>
      <c r="E110" s="979" t="n"/>
      <c r="F110" s="979" t="n"/>
      <c r="G110" s="979" t="n"/>
      <c r="H110" s="979" t="n"/>
      <c r="I110" s="979" t="n"/>
      <c r="J110" s="979" t="n"/>
      <c r="K110" s="979" t="n"/>
      <c r="L110" s="979" t="n"/>
      <c r="M110" s="979" t="n"/>
      <c r="N110" s="979" t="n"/>
      <c r="O110" s="1035" t="n"/>
      <c r="P110" s="1036" t="inlineStr">
        <is>
          <t>Итого</t>
        </is>
      </c>
      <c r="Q110" s="997" t="n"/>
      <c r="R110" s="997" t="n"/>
      <c r="S110" s="997" t="n"/>
      <c r="T110" s="997" t="n"/>
      <c r="U110" s="997" t="n"/>
      <c r="V110" s="998" t="n"/>
      <c r="W110" s="42" t="inlineStr">
        <is>
          <t>кг</t>
        </is>
      </c>
      <c r="X110" s="1037">
        <f>IFERROR(SUM(X103:X108),"0")</f>
        <v/>
      </c>
      <c r="Y110" s="1037">
        <f>IFERROR(SUM(Y103:Y108),"0")</f>
        <v/>
      </c>
      <c r="Z110" s="42" t="n"/>
      <c r="AA110" s="1038" t="n"/>
      <c r="AB110" s="1038" t="n"/>
      <c r="AC110" s="1038" t="n"/>
    </row>
    <row r="111" ht="14.25" customHeight="1">
      <c r="A111" s="694" t="inlineStr">
        <is>
          <t>Ветчины</t>
        </is>
      </c>
      <c r="B111" s="979" t="n"/>
      <c r="C111" s="979" t="n"/>
      <c r="D111" s="979" t="n"/>
      <c r="E111" s="979" t="n"/>
      <c r="F111" s="979" t="n"/>
      <c r="G111" s="979" t="n"/>
      <c r="H111" s="979" t="n"/>
      <c r="I111" s="979" t="n"/>
      <c r="J111" s="979" t="n"/>
      <c r="K111" s="979" t="n"/>
      <c r="L111" s="979" t="n"/>
      <c r="M111" s="979" t="n"/>
      <c r="N111" s="979" t="n"/>
      <c r="O111" s="979" t="n"/>
      <c r="P111" s="979" t="n"/>
      <c r="Q111" s="979" t="n"/>
      <c r="R111" s="979" t="n"/>
      <c r="S111" s="979" t="n"/>
      <c r="T111" s="979" t="n"/>
      <c r="U111" s="979" t="n"/>
      <c r="V111" s="979" t="n"/>
      <c r="W111" s="979" t="n"/>
      <c r="X111" s="979" t="n"/>
      <c r="Y111" s="979" t="n"/>
      <c r="Z111" s="979" t="n"/>
      <c r="AA111" s="694" t="n"/>
      <c r="AB111" s="694" t="n"/>
      <c r="AC111" s="694" t="n"/>
    </row>
    <row r="112" ht="27" customHeight="1">
      <c r="A112" s="63" t="inlineStr">
        <is>
          <t>SU002833</t>
        </is>
      </c>
      <c r="B112" s="63" t="inlineStr">
        <is>
          <t>P005008</t>
        </is>
      </c>
      <c r="C112" s="36" t="n">
        <v>4301020391</v>
      </c>
      <c r="D112" s="695" t="n">
        <v>4680115881488</v>
      </c>
      <c r="E112" s="989" t="n"/>
      <c r="F112" s="1028" t="n">
        <v>1.35</v>
      </c>
      <c r="G112" s="37" t="n">
        <v>8</v>
      </c>
      <c r="H112" s="1028" t="n">
        <v>10.8</v>
      </c>
      <c r="I112" s="1028" t="n">
        <v>11.21</v>
      </c>
      <c r="J112" s="37" t="n">
        <v>64</v>
      </c>
      <c r="K112" s="37" t="inlineStr">
        <is>
          <t>8</t>
        </is>
      </c>
      <c r="L112" s="37" t="inlineStr"/>
      <c r="M112" s="38" t="inlineStr">
        <is>
          <t>СК1</t>
        </is>
      </c>
      <c r="N112" s="38" t="n"/>
      <c r="O112" s="37" t="n">
        <v>55</v>
      </c>
      <c r="P112" s="1084">
        <f>HYPERLINK("https://abi.ru/products/Охлажденные/Вязанка/Сливушка/Ветчины/P005008/","Ветчины «Сливушка с индейкой» Весовой п/а ТМ «Вязанка»")</f>
        <v/>
      </c>
      <c r="Q112" s="1030" t="n"/>
      <c r="R112" s="1030" t="n"/>
      <c r="S112" s="1030" t="n"/>
      <c r="T112" s="1031" t="n"/>
      <c r="U112" s="39" t="inlineStr"/>
      <c r="V112" s="39" t="inlineStr"/>
      <c r="W112" s="40" t="inlineStr">
        <is>
          <t>кг</t>
        </is>
      </c>
      <c r="X112" s="1032" t="n">
        <v>0</v>
      </c>
      <c r="Y112" s="1033">
        <f>IFERROR(IF(X112="",0,CEILING((X112/$H112),1)*$H112),"")</f>
        <v/>
      </c>
      <c r="Z112" s="41">
        <f>IFERROR(IF(Y112=0,"",ROUNDUP(Y112/H112,0)*0.01898),"")</f>
        <v/>
      </c>
      <c r="AA112" s="68" t="inlineStr"/>
      <c r="AB112" s="69" t="inlineStr"/>
      <c r="AC112" s="180" t="inlineStr">
        <is>
          <t>ЕАЭС N RU Д-RU.РА06.В.97082/24, ЕАЭС N RU Д-RU.РА08.В.46217/25</t>
        </is>
      </c>
      <c r="AG112" s="78" t="n"/>
      <c r="AJ112" s="84" t="inlineStr"/>
      <c r="AK112" s="84" t="n">
        <v>0</v>
      </c>
      <c r="BB112" s="181" t="inlineStr">
        <is>
          <t>КИ</t>
        </is>
      </c>
      <c r="BM112" s="78">
        <f>IFERROR(X112*I112/H112,"0")</f>
        <v/>
      </c>
      <c r="BN112" s="78">
        <f>IFERROR(Y112*I112/H112,"0")</f>
        <v/>
      </c>
      <c r="BO112" s="78">
        <f>IFERROR(1/J112*(X112/H112),"0")</f>
        <v/>
      </c>
      <c r="BP112" s="78">
        <f>IFERROR(1/J112*(Y112/H112),"0")</f>
        <v/>
      </c>
    </row>
    <row r="113" ht="27" customHeight="1">
      <c r="A113" s="63" t="inlineStr">
        <is>
          <t>SU002356</t>
        </is>
      </c>
      <c r="B113" s="63" t="inlineStr">
        <is>
          <t>P002639</t>
        </is>
      </c>
      <c r="C113" s="36" t="n">
        <v>4301020186</v>
      </c>
      <c r="D113" s="695" t="n">
        <v>4680115887664</v>
      </c>
      <c r="E113" s="989" t="n"/>
      <c r="F113" s="1028" t="n">
        <v>0.1</v>
      </c>
      <c r="G113" s="37" t="n">
        <v>10</v>
      </c>
      <c r="H113" s="1028" t="n">
        <v>1</v>
      </c>
      <c r="I113" s="1028" t="n">
        <v>1.21</v>
      </c>
      <c r="J113" s="37" t="n">
        <v>392</v>
      </c>
      <c r="K113" s="37" t="inlineStr">
        <is>
          <t>28</t>
        </is>
      </c>
      <c r="L113" s="37" t="inlineStr"/>
      <c r="M113" s="38" t="inlineStr">
        <is>
          <t>СК2</t>
        </is>
      </c>
      <c r="N113" s="38" t="n"/>
      <c r="O113" s="37" t="n">
        <v>30</v>
      </c>
      <c r="P113" s="1085">
        <f>HYPERLINK("https://abi.ru/products/Охлажденные/Вязанка/Сливушка/Ветчины/P002639/","Ветчины «Сливушка с индейкой» Фикс.вес 0,1 нарезка ТМ «Вязанка»")</f>
        <v/>
      </c>
      <c r="Q113" s="1030" t="n"/>
      <c r="R113" s="1030" t="n"/>
      <c r="S113" s="1030" t="n"/>
      <c r="T113" s="1031" t="n"/>
      <c r="U113" s="39" t="inlineStr"/>
      <c r="V113" s="39" t="inlineStr"/>
      <c r="W113" s="40" t="inlineStr">
        <is>
          <t>кг</t>
        </is>
      </c>
      <c r="X113" s="1032" t="n">
        <v>0</v>
      </c>
      <c r="Y113" s="1033">
        <f>IFERROR(IF(X113="",0,CEILING((X113/$H113),1)*$H113),"")</f>
        <v/>
      </c>
      <c r="Z113" s="41">
        <f>IFERROR(IF(Y113=0,"",ROUNDUP(Y113/H113,0)*0.00358),"")</f>
        <v/>
      </c>
      <c r="AA113" s="68" t="inlineStr"/>
      <c r="AB113" s="69" t="inlineStr"/>
      <c r="AC113" s="182" t="inlineStr">
        <is>
          <t>ЕАЭС N RU Д-RU.РА08.В.76847/25</t>
        </is>
      </c>
      <c r="AG113" s="78" t="n"/>
      <c r="AJ113" s="84" t="inlineStr"/>
      <c r="AK113" s="84" t="n">
        <v>0</v>
      </c>
      <c r="BB113" s="183" t="inlineStr">
        <is>
          <t>КИ</t>
        </is>
      </c>
      <c r="BM113" s="78">
        <f>IFERROR(X113*I113/H113,"0")</f>
        <v/>
      </c>
      <c r="BN113" s="78">
        <f>IFERROR(Y113*I113/H113,"0")</f>
        <v/>
      </c>
      <c r="BO113" s="78">
        <f>IFERROR(1/J113*(X113/H113),"0")</f>
        <v/>
      </c>
      <c r="BP113" s="78">
        <f>IFERROR(1/J113*(Y113/H113),"0")</f>
        <v/>
      </c>
    </row>
    <row r="114" ht="27" customHeight="1">
      <c r="A114" s="63" t="inlineStr">
        <is>
          <t>SU002356</t>
        </is>
      </c>
      <c r="B114" s="63" t="inlineStr">
        <is>
          <t>P005405</t>
        </is>
      </c>
      <c r="C114" s="36" t="n">
        <v>4301020430</v>
      </c>
      <c r="D114" s="695" t="n">
        <v>4680115887664</v>
      </c>
      <c r="E114" s="989" t="n"/>
      <c r="F114" s="1028" t="n">
        <v>0.1</v>
      </c>
      <c r="G114" s="37" t="n">
        <v>8</v>
      </c>
      <c r="H114" s="1028" t="n">
        <v>0.8</v>
      </c>
      <c r="I114" s="1028" t="n">
        <v>0.988</v>
      </c>
      <c r="J114" s="37" t="n">
        <v>392</v>
      </c>
      <c r="K114" s="37" t="inlineStr">
        <is>
          <t>28</t>
        </is>
      </c>
      <c r="L114" s="37" t="inlineStr"/>
      <c r="M114" s="38" t="inlineStr">
        <is>
          <t>СК2</t>
        </is>
      </c>
      <c r="N114" s="38" t="n"/>
      <c r="O114" s="37" t="n">
        <v>30</v>
      </c>
      <c r="P114" s="1086">
        <f>HYPERLINK("https://abi.ru/products/Охлажденные/Вязанка/Сливушка/Ветчины/P005405/","Ветчины «Сливушка с индейкой» Фикс.вес 0,1 нарезка ТМ «Вязанка»")</f>
        <v/>
      </c>
      <c r="Q114" s="1030" t="n"/>
      <c r="R114" s="1030" t="n"/>
      <c r="S114" s="1030" t="n"/>
      <c r="T114" s="1031" t="n"/>
      <c r="U114" s="39" t="inlineStr"/>
      <c r="V114" s="39" t="inlineStr"/>
      <c r="W114" s="40" t="inlineStr">
        <is>
          <t>кг</t>
        </is>
      </c>
      <c r="X114" s="1032" t="n">
        <v>0</v>
      </c>
      <c r="Y114" s="1033">
        <f>IFERROR(IF(X114="",0,CEILING((X114/$H114),1)*$H114),"")</f>
        <v/>
      </c>
      <c r="Z114" s="41">
        <f>IFERROR(IF(Y114=0,"",ROUNDUP(Y114/H114,0)*0.00358),"")</f>
        <v/>
      </c>
      <c r="AA114" s="68" t="inlineStr"/>
      <c r="AB114" s="69" t="inlineStr"/>
      <c r="AC114" s="184" t="inlineStr">
        <is>
          <t>ЕАЭС N RU Д-RU.РА08.В.76847/25</t>
        </is>
      </c>
      <c r="AG114" s="78" t="n"/>
      <c r="AJ114" s="84" t="inlineStr"/>
      <c r="AK114" s="84" t="n">
        <v>0</v>
      </c>
      <c r="BB114" s="185" t="inlineStr">
        <is>
          <t>КИ</t>
        </is>
      </c>
      <c r="BM114" s="78">
        <f>IFERROR(X114*I114/H114,"0")</f>
        <v/>
      </c>
      <c r="BN114" s="78">
        <f>IFERROR(Y114*I114/H114,"0")</f>
        <v/>
      </c>
      <c r="BO114" s="78">
        <f>IFERROR(1/J114*(X114/H114),"0")</f>
        <v/>
      </c>
      <c r="BP114" s="78">
        <f>IFERROR(1/J114*(Y114/H114),"0")</f>
        <v/>
      </c>
    </row>
    <row r="115" ht="27" customHeight="1">
      <c r="A115" s="63" t="inlineStr">
        <is>
          <t>SU003037</t>
        </is>
      </c>
      <c r="B115" s="63" t="inlineStr">
        <is>
          <t>P005010</t>
        </is>
      </c>
      <c r="C115" s="36" t="n">
        <v>4301020393</v>
      </c>
      <c r="D115" s="695" t="n">
        <v>4680115882775</v>
      </c>
      <c r="E115" s="989" t="n"/>
      <c r="F115" s="1028" t="n">
        <v>0.3</v>
      </c>
      <c r="G115" s="37" t="n">
        <v>8</v>
      </c>
      <c r="H115" s="1028" t="n">
        <v>2.4</v>
      </c>
      <c r="I115" s="1028" t="n">
        <v>2.5</v>
      </c>
      <c r="J115" s="37" t="n">
        <v>234</v>
      </c>
      <c r="K115" s="37" t="inlineStr">
        <is>
          <t>18</t>
        </is>
      </c>
      <c r="L115" s="37" t="inlineStr"/>
      <c r="M115" s="38" t="inlineStr">
        <is>
          <t>СК1</t>
        </is>
      </c>
      <c r="N115" s="38" t="n"/>
      <c r="O115" s="37" t="n">
        <v>55</v>
      </c>
      <c r="P115" s="1087">
        <f>HYPERLINK("https://abi.ru/products/Охлажденные/Вязанка/Сливушка/Ветчины/P005010/","Ветчины «Сливушка с индейкой» Фикс.вес 0,3 п/а ТМ «Вязанка»")</f>
        <v/>
      </c>
      <c r="Q115" s="1030" t="n"/>
      <c r="R115" s="1030" t="n"/>
      <c r="S115" s="1030" t="n"/>
      <c r="T115" s="1031" t="n"/>
      <c r="U115" s="39" t="inlineStr"/>
      <c r="V115" s="39" t="inlineStr"/>
      <c r="W115" s="40" t="inlineStr">
        <is>
          <t>кг</t>
        </is>
      </c>
      <c r="X115" s="1032" t="n">
        <v>0</v>
      </c>
      <c r="Y115" s="1033">
        <f>IFERROR(IF(X115="",0,CEILING((X115/$H115),1)*$H115),"")</f>
        <v/>
      </c>
      <c r="Z115" s="41">
        <f>IFERROR(IF(Y115=0,"",ROUNDUP(Y115/H115,0)*0.00502),"")</f>
        <v/>
      </c>
      <c r="AA115" s="68" t="inlineStr"/>
      <c r="AB115" s="69" t="inlineStr"/>
      <c r="AC115" s="186" t="inlineStr">
        <is>
          <t>ЕАЭС N RU Д-RU.РА06.В.97082/24, ЕАЭС N RU Д-RU.РА08.В.46217/25</t>
        </is>
      </c>
      <c r="AG115" s="78" t="n"/>
      <c r="AJ115" s="84" t="inlineStr"/>
      <c r="AK115" s="84" t="n">
        <v>0</v>
      </c>
      <c r="BB115" s="187" t="inlineStr">
        <is>
          <t>КИ</t>
        </is>
      </c>
      <c r="BM115" s="78">
        <f>IFERROR(X115*I115/H115,"0")</f>
        <v/>
      </c>
      <c r="BN115" s="78">
        <f>IFERROR(Y115*I115/H115,"0")</f>
        <v/>
      </c>
      <c r="BO115" s="78">
        <f>IFERROR(1/J115*(X115/H115),"0")</f>
        <v/>
      </c>
      <c r="BP115" s="78">
        <f>IFERROR(1/J115*(Y115/H115),"0")</f>
        <v/>
      </c>
    </row>
    <row r="116" ht="27" customHeight="1">
      <c r="A116" s="63" t="inlineStr">
        <is>
          <t>SU002735</t>
        </is>
      </c>
      <c r="B116" s="63" t="inlineStr">
        <is>
          <t>P005007</t>
        </is>
      </c>
      <c r="C116" s="36" t="n">
        <v>4301020392</v>
      </c>
      <c r="D116" s="695" t="n">
        <v>4680115880658</v>
      </c>
      <c r="E116" s="989" t="n"/>
      <c r="F116" s="1028" t="n">
        <v>0.4</v>
      </c>
      <c r="G116" s="37" t="n">
        <v>6</v>
      </c>
      <c r="H116" s="1028" t="n">
        <v>2.4</v>
      </c>
      <c r="I116" s="1028" t="n">
        <v>2.58</v>
      </c>
      <c r="J116" s="37" t="n">
        <v>182</v>
      </c>
      <c r="K116" s="37" t="inlineStr">
        <is>
          <t>14</t>
        </is>
      </c>
      <c r="L116" s="37" t="inlineStr"/>
      <c r="M116" s="38" t="inlineStr">
        <is>
          <t>СК1</t>
        </is>
      </c>
      <c r="N116" s="38" t="n"/>
      <c r="O116" s="37" t="n">
        <v>55</v>
      </c>
      <c r="P116" s="1088">
        <f>HYPERLINK("https://abi.ru/products/Охлажденные/Вязанка/Сливушка/Ветчины/P005007/","Ветчины «Сливушка с индейкой» Фикс.вес 0,4 п/а ТМ «Вязанка»")</f>
        <v/>
      </c>
      <c r="Q116" s="1030" t="n"/>
      <c r="R116" s="1030" t="n"/>
      <c r="S116" s="1030" t="n"/>
      <c r="T116" s="1031" t="n"/>
      <c r="U116" s="39" t="inlineStr"/>
      <c r="V116" s="39" t="inlineStr"/>
      <c r="W116" s="40" t="inlineStr">
        <is>
          <t>кг</t>
        </is>
      </c>
      <c r="X116" s="1032" t="n">
        <v>0</v>
      </c>
      <c r="Y116" s="1033">
        <f>IFERROR(IF(X116="",0,CEILING((X116/$H116),1)*$H116),"")</f>
        <v/>
      </c>
      <c r="Z116" s="41">
        <f>IFERROR(IF(Y116=0,"",ROUNDUP(Y116/H116,0)*0.00651),"")</f>
        <v/>
      </c>
      <c r="AA116" s="68" t="inlineStr"/>
      <c r="AB116" s="69" t="inlineStr"/>
      <c r="AC116" s="188" t="inlineStr">
        <is>
          <t>ЕАЭС N RU Д-RU.РА06.В.97082/24, ЕАЭС N RU Д-RU.РА08.В.46217/25</t>
        </is>
      </c>
      <c r="AG116" s="78" t="n"/>
      <c r="AJ116" s="84" t="inlineStr"/>
      <c r="AK116" s="84" t="n">
        <v>0</v>
      </c>
      <c r="BB116" s="189" t="inlineStr">
        <is>
          <t>КИ</t>
        </is>
      </c>
      <c r="BM116" s="78">
        <f>IFERROR(X116*I116/H116,"0")</f>
        <v/>
      </c>
      <c r="BN116" s="78">
        <f>IFERROR(Y116*I116/H116,"0")</f>
        <v/>
      </c>
      <c r="BO116" s="78">
        <f>IFERROR(1/J116*(X116/H116),"0")</f>
        <v/>
      </c>
      <c r="BP116" s="78">
        <f>IFERROR(1/J116*(Y116/H116),"0")</f>
        <v/>
      </c>
    </row>
    <row r="117">
      <c r="A117" s="704" t="n"/>
      <c r="B117" s="979" t="n"/>
      <c r="C117" s="979" t="n"/>
      <c r="D117" s="979" t="n"/>
      <c r="E117" s="979" t="n"/>
      <c r="F117" s="979" t="n"/>
      <c r="G117" s="979" t="n"/>
      <c r="H117" s="979" t="n"/>
      <c r="I117" s="979" t="n"/>
      <c r="J117" s="979" t="n"/>
      <c r="K117" s="979" t="n"/>
      <c r="L117" s="979" t="n"/>
      <c r="M117" s="979" t="n"/>
      <c r="N117" s="979" t="n"/>
      <c r="O117" s="1035" t="n"/>
      <c r="P117" s="1036" t="inlineStr">
        <is>
          <t>Итого</t>
        </is>
      </c>
      <c r="Q117" s="997" t="n"/>
      <c r="R117" s="997" t="n"/>
      <c r="S117" s="997" t="n"/>
      <c r="T117" s="997" t="n"/>
      <c r="U117" s="997" t="n"/>
      <c r="V117" s="998" t="n"/>
      <c r="W117" s="42" t="inlineStr">
        <is>
          <t>кор</t>
        </is>
      </c>
      <c r="X117" s="1037">
        <f>IFERROR(X112/H112,"0")+IFERROR(X113/H113,"0")+IFERROR(X114/H114,"0")+IFERROR(X115/H115,"0")+IFERROR(X116/H116,"0")</f>
        <v/>
      </c>
      <c r="Y117" s="1037">
        <f>IFERROR(Y112/H112,"0")+IFERROR(Y113/H113,"0")+IFERROR(Y114/H114,"0")+IFERROR(Y115/H115,"0")+IFERROR(Y116/H116,"0")</f>
        <v/>
      </c>
      <c r="Z117" s="1037">
        <f>IFERROR(IF(Z112="",0,Z112),"0")+IFERROR(IF(Z113="",0,Z113),"0")+IFERROR(IF(Z114="",0,Z114),"0")+IFERROR(IF(Z115="",0,Z115),"0")+IFERROR(IF(Z116="",0,Z116),"0")</f>
        <v/>
      </c>
      <c r="AA117" s="1038" t="n"/>
      <c r="AB117" s="1038" t="n"/>
      <c r="AC117" s="1038" t="n"/>
    </row>
    <row r="118">
      <c r="A118" s="979" t="n"/>
      <c r="B118" s="979" t="n"/>
      <c r="C118" s="979" t="n"/>
      <c r="D118" s="979" t="n"/>
      <c r="E118" s="979" t="n"/>
      <c r="F118" s="979" t="n"/>
      <c r="G118" s="979" t="n"/>
      <c r="H118" s="979" t="n"/>
      <c r="I118" s="979" t="n"/>
      <c r="J118" s="979" t="n"/>
      <c r="K118" s="979" t="n"/>
      <c r="L118" s="979" t="n"/>
      <c r="M118" s="979" t="n"/>
      <c r="N118" s="979" t="n"/>
      <c r="O118" s="1035" t="n"/>
      <c r="P118" s="1036" t="inlineStr">
        <is>
          <t>Итого</t>
        </is>
      </c>
      <c r="Q118" s="997" t="n"/>
      <c r="R118" s="997" t="n"/>
      <c r="S118" s="997" t="n"/>
      <c r="T118" s="997" t="n"/>
      <c r="U118" s="997" t="n"/>
      <c r="V118" s="998" t="n"/>
      <c r="W118" s="42" t="inlineStr">
        <is>
          <t>кг</t>
        </is>
      </c>
      <c r="X118" s="1037">
        <f>IFERROR(SUM(X112:X116),"0")</f>
        <v/>
      </c>
      <c r="Y118" s="1037">
        <f>IFERROR(SUM(Y112:Y116),"0")</f>
        <v/>
      </c>
      <c r="Z118" s="42" t="n"/>
      <c r="AA118" s="1038" t="n"/>
      <c r="AB118" s="1038" t="n"/>
      <c r="AC118" s="1038" t="n"/>
    </row>
    <row r="119" ht="14.25" customHeight="1">
      <c r="A119" s="694" t="inlineStr">
        <is>
          <t>Сосиски</t>
        </is>
      </c>
      <c r="B119" s="979" t="n"/>
      <c r="C119" s="979" t="n"/>
      <c r="D119" s="979" t="n"/>
      <c r="E119" s="979" t="n"/>
      <c r="F119" s="979" t="n"/>
      <c r="G119" s="979" t="n"/>
      <c r="H119" s="979" t="n"/>
      <c r="I119" s="979" t="n"/>
      <c r="J119" s="979" t="n"/>
      <c r="K119" s="979" t="n"/>
      <c r="L119" s="979" t="n"/>
      <c r="M119" s="979" t="n"/>
      <c r="N119" s="979" t="n"/>
      <c r="O119" s="979" t="n"/>
      <c r="P119" s="979" t="n"/>
      <c r="Q119" s="979" t="n"/>
      <c r="R119" s="979" t="n"/>
      <c r="S119" s="979" t="n"/>
      <c r="T119" s="979" t="n"/>
      <c r="U119" s="979" t="n"/>
      <c r="V119" s="979" t="n"/>
      <c r="W119" s="979" t="n"/>
      <c r="X119" s="979" t="n"/>
      <c r="Y119" s="979" t="n"/>
      <c r="Z119" s="979" t="n"/>
      <c r="AA119" s="694" t="n"/>
      <c r="AB119" s="694" t="n"/>
      <c r="AC119" s="694" t="n"/>
    </row>
    <row r="120" ht="27" customHeight="1">
      <c r="A120" s="63" t="inlineStr">
        <is>
          <t>SU001721</t>
        </is>
      </c>
      <c r="B120" s="63" t="inlineStr">
        <is>
          <t>P003988</t>
        </is>
      </c>
      <c r="C120" s="36" t="n">
        <v>4301051724</v>
      </c>
      <c r="D120" s="695" t="n">
        <v>4607091385168</v>
      </c>
      <c r="E120" s="989" t="n"/>
      <c r="F120" s="1028" t="n">
        <v>1.35</v>
      </c>
      <c r="G120" s="37" t="n">
        <v>6</v>
      </c>
      <c r="H120" s="1028" t="n">
        <v>8.1</v>
      </c>
      <c r="I120" s="1028" t="n">
        <v>8.587999999999999</v>
      </c>
      <c r="J120" s="37" t="n">
        <v>64</v>
      </c>
      <c r="K120" s="37" t="inlineStr">
        <is>
          <t>8</t>
        </is>
      </c>
      <c r="L120" s="37" t="inlineStr"/>
      <c r="M120" s="38" t="inlineStr">
        <is>
          <t>СК4</t>
        </is>
      </c>
      <c r="N120" s="38" t="n"/>
      <c r="O120" s="37" t="n">
        <v>45</v>
      </c>
      <c r="P120" s="1089">
        <f>HYPERLINK("https://abi.ru/products/Охлажденные/Вязанка/Сливушка/Сосиски/P003988/","Сосиски «Сливочные Вязанка» Весовой п/а мгс ТМ «Вязанка»")</f>
        <v/>
      </c>
      <c r="Q120" s="1030" t="n"/>
      <c r="R120" s="1030" t="n"/>
      <c r="S120" s="1030" t="n"/>
      <c r="T120" s="1031" t="n"/>
      <c r="U120" s="39" t="inlineStr"/>
      <c r="V120" s="39" t="inlineStr"/>
      <c r="W120" s="40" t="inlineStr">
        <is>
          <t>кг</t>
        </is>
      </c>
      <c r="X120" s="1032" t="n">
        <v>0</v>
      </c>
      <c r="Y120" s="1033">
        <f>IFERROR(IF(X120="",0,CEILING((X120/$H120),1)*$H120),"")</f>
        <v/>
      </c>
      <c r="Z120" s="41">
        <f>IFERROR(IF(Y120=0,"",ROUNDUP(Y120/H120,0)*0.01898),"")</f>
        <v/>
      </c>
      <c r="AA120" s="68" t="inlineStr"/>
      <c r="AB120" s="69" t="inlineStr"/>
      <c r="AC120" s="190" t="inlineStr">
        <is>
          <t>ЕАЭС N RU Д-RU.РА04.В.52582/26, ЕАЭС N RU Д-RU.РА10.В.61658/25</t>
        </is>
      </c>
      <c r="AG120" s="78" t="n"/>
      <c r="AJ120" s="84" t="inlineStr"/>
      <c r="AK120" s="84" t="n">
        <v>0</v>
      </c>
      <c r="BB120" s="191" t="inlineStr">
        <is>
          <t>КИ</t>
        </is>
      </c>
      <c r="BM120" s="78">
        <f>IFERROR(X120*I120/H120,"0")</f>
        <v/>
      </c>
      <c r="BN120" s="78">
        <f>IFERROR(Y120*I120/H120,"0")</f>
        <v/>
      </c>
      <c r="BO120" s="78">
        <f>IFERROR(1/J120*(X120/H120),"0")</f>
        <v/>
      </c>
      <c r="BP120" s="78">
        <f>IFERROR(1/J120*(Y120/H120),"0")</f>
        <v/>
      </c>
    </row>
    <row r="121" ht="27" customHeight="1">
      <c r="A121" s="63" t="inlineStr">
        <is>
          <t>SU002139</t>
        </is>
      </c>
      <c r="B121" s="63" t="inlineStr">
        <is>
          <t>P003990</t>
        </is>
      </c>
      <c r="C121" s="36" t="n">
        <v>4301051730</v>
      </c>
      <c r="D121" s="695" t="n">
        <v>4607091383256</v>
      </c>
      <c r="E121" s="989" t="n"/>
      <c r="F121" s="1028" t="n">
        <v>0.33</v>
      </c>
      <c r="G121" s="37" t="n">
        <v>6</v>
      </c>
      <c r="H121" s="1028" t="n">
        <v>1.98</v>
      </c>
      <c r="I121" s="1028" t="n">
        <v>2.226</v>
      </c>
      <c r="J121" s="37" t="n">
        <v>182</v>
      </c>
      <c r="K121" s="37" t="inlineStr">
        <is>
          <t>14</t>
        </is>
      </c>
      <c r="L121" s="37" t="inlineStr"/>
      <c r="M121" s="38" t="inlineStr">
        <is>
          <t>СК4</t>
        </is>
      </c>
      <c r="N121" s="38" t="n"/>
      <c r="O121" s="37" t="n">
        <v>45</v>
      </c>
      <c r="P121" s="1090">
        <f>HYPERLINK("https://abi.ru/products/Охлажденные/Вязанка/Сливушка/Сосиски/P003990/","Сосиски «Сливочные» ф/в 0,33 п/а мгс ТМ «Вязанка»")</f>
        <v/>
      </c>
      <c r="Q121" s="1030" t="n"/>
      <c r="R121" s="1030" t="n"/>
      <c r="S121" s="1030" t="n"/>
      <c r="T121" s="1031" t="n"/>
      <c r="U121" s="39" t="inlineStr"/>
      <c r="V121" s="39" t="inlineStr"/>
      <c r="W121" s="40" t="inlineStr">
        <is>
          <t>кг</t>
        </is>
      </c>
      <c r="X121" s="1032" t="n">
        <v>0</v>
      </c>
      <c r="Y121" s="1033">
        <f>IFERROR(IF(X121="",0,CEILING((X121/$H121),1)*$H121),"")</f>
        <v/>
      </c>
      <c r="Z121" s="41">
        <f>IFERROR(IF(Y121=0,"",ROUNDUP(Y121/H121,0)*0.00651),"")</f>
        <v/>
      </c>
      <c r="AA121" s="68" t="inlineStr"/>
      <c r="AB121" s="69" t="inlineStr"/>
      <c r="AC121" s="192" t="inlineStr">
        <is>
          <t>ЕАЭС N RU Д-RU.РА04.В.52582/26, ЕАЭС N RU Д-RU.РА10.В.61658/25</t>
        </is>
      </c>
      <c r="AG121" s="78" t="n"/>
      <c r="AJ121" s="84" t="inlineStr"/>
      <c r="AK121" s="84" t="n">
        <v>0</v>
      </c>
      <c r="BB121" s="193" t="inlineStr">
        <is>
          <t>КИ</t>
        </is>
      </c>
      <c r="BM121" s="78">
        <f>IFERROR(X121*I121/H121,"0")</f>
        <v/>
      </c>
      <c r="BN121" s="78">
        <f>IFERROR(Y121*I121/H121,"0")</f>
        <v/>
      </c>
      <c r="BO121" s="78">
        <f>IFERROR(1/J121*(X121/H121),"0")</f>
        <v/>
      </c>
      <c r="BP121" s="78">
        <f>IFERROR(1/J121*(Y121/H121),"0")</f>
        <v/>
      </c>
    </row>
    <row r="122" ht="27" customHeight="1">
      <c r="A122" s="63" t="inlineStr">
        <is>
          <t>SU001720</t>
        </is>
      </c>
      <c r="B122" s="63" t="inlineStr">
        <is>
          <t>P003989</t>
        </is>
      </c>
      <c r="C122" s="36" t="n">
        <v>4301051721</v>
      </c>
      <c r="D122" s="695" t="n">
        <v>4607091385748</v>
      </c>
      <c r="E122" s="989" t="n"/>
      <c r="F122" s="1028" t="n">
        <v>0.45</v>
      </c>
      <c r="G122" s="37" t="n">
        <v>6</v>
      </c>
      <c r="H122" s="1028" t="n">
        <v>2.7</v>
      </c>
      <c r="I122" s="1028" t="n">
        <v>2.952</v>
      </c>
      <c r="J122" s="37" t="n">
        <v>182</v>
      </c>
      <c r="K122" s="37" t="inlineStr">
        <is>
          <t>14</t>
        </is>
      </c>
      <c r="L122" s="37" t="inlineStr"/>
      <c r="M122" s="38" t="inlineStr">
        <is>
          <t>СК4</t>
        </is>
      </c>
      <c r="N122" s="38" t="n"/>
      <c r="O122" s="37" t="n">
        <v>45</v>
      </c>
      <c r="P122" s="1091">
        <f>HYPERLINK("https://abi.ru/products/Охлажденные/Вязанка/Сливушка/Сосиски/P003989/","Сосиски «Сливочные» ф/в 0,45 п/а мгс ТМ «Вязанка»")</f>
        <v/>
      </c>
      <c r="Q122" s="1030" t="n"/>
      <c r="R122" s="1030" t="n"/>
      <c r="S122" s="1030" t="n"/>
      <c r="T122" s="1031" t="n"/>
      <c r="U122" s="39" t="inlineStr"/>
      <c r="V122" s="39" t="inlineStr"/>
      <c r="W122" s="40" t="inlineStr">
        <is>
          <t>кг</t>
        </is>
      </c>
      <c r="X122" s="1032" t="n">
        <v>0</v>
      </c>
      <c r="Y122" s="1033">
        <f>IFERROR(IF(X122="",0,CEILING((X122/$H122),1)*$H122),"")</f>
        <v/>
      </c>
      <c r="Z122" s="41">
        <f>IFERROR(IF(Y122=0,"",ROUNDUP(Y122/H122,0)*0.00651),"")</f>
        <v/>
      </c>
      <c r="AA122" s="68" t="inlineStr"/>
      <c r="AB122" s="69" t="inlineStr"/>
      <c r="AC122" s="194" t="inlineStr">
        <is>
          <t>ЕАЭС N RU Д-RU.РА04.В.52582/26, ЕАЭС N RU Д-RU.РА10.В.61658/25</t>
        </is>
      </c>
      <c r="AG122" s="78" t="n"/>
      <c r="AJ122" s="84" t="inlineStr"/>
      <c r="AK122" s="84" t="n">
        <v>0</v>
      </c>
      <c r="BB122" s="195" t="inlineStr">
        <is>
          <t>КИ</t>
        </is>
      </c>
      <c r="BM122" s="78">
        <f>IFERROR(X122*I122/H122,"0")</f>
        <v/>
      </c>
      <c r="BN122" s="78">
        <f>IFERROR(Y122*I122/H122,"0")</f>
        <v/>
      </c>
      <c r="BO122" s="78">
        <f>IFERROR(1/J122*(X122/H122),"0")</f>
        <v/>
      </c>
      <c r="BP122" s="78">
        <f>IFERROR(1/J122*(Y122/H122),"0")</f>
        <v/>
      </c>
    </row>
    <row r="123" ht="16.5" customHeight="1">
      <c r="A123" s="63" t="inlineStr">
        <is>
          <t>SU003336</t>
        </is>
      </c>
      <c r="B123" s="63" t="inlineStr">
        <is>
          <t>P004116</t>
        </is>
      </c>
      <c r="C123" s="36" t="n">
        <v>4301051740</v>
      </c>
      <c r="D123" s="695" t="n">
        <v>4680115884533</v>
      </c>
      <c r="E123" s="989" t="n"/>
      <c r="F123" s="1028" t="n">
        <v>0.3</v>
      </c>
      <c r="G123" s="37" t="n">
        <v>6</v>
      </c>
      <c r="H123" s="1028" t="n">
        <v>1.8</v>
      </c>
      <c r="I123" s="1028" t="n">
        <v>1.98</v>
      </c>
      <c r="J123" s="37" t="n">
        <v>182</v>
      </c>
      <c r="K123" s="37" t="inlineStr">
        <is>
          <t>14</t>
        </is>
      </c>
      <c r="L123" s="37" t="inlineStr"/>
      <c r="M123" s="38" t="inlineStr">
        <is>
          <t>СК3</t>
        </is>
      </c>
      <c r="N123" s="38" t="n"/>
      <c r="O123" s="37" t="n">
        <v>45</v>
      </c>
      <c r="P123" s="1092">
        <f>HYPERLINK("https://abi.ru/products/Охлажденные/Вязанка/Сливушка/Сосиски/P004116/","Сосиски «Сливушки по-венски» ф/в 0,3 п/а ТМ «Вязанка»")</f>
        <v/>
      </c>
      <c r="Q123" s="1030" t="n"/>
      <c r="R123" s="1030" t="n"/>
      <c r="S123" s="1030" t="n"/>
      <c r="T123" s="1031" t="n"/>
      <c r="U123" s="39" t="inlineStr"/>
      <c r="V123" s="39" t="inlineStr"/>
      <c r="W123" s="40" t="inlineStr">
        <is>
          <t>кг</t>
        </is>
      </c>
      <c r="X123" s="1032" t="n">
        <v>0</v>
      </c>
      <c r="Y123" s="1033">
        <f>IFERROR(IF(X123="",0,CEILING((X123/$H123),1)*$H123),"")</f>
        <v/>
      </c>
      <c r="Z123" s="41">
        <f>IFERROR(IF(Y123=0,"",ROUNDUP(Y123/H123,0)*0.00651),"")</f>
        <v/>
      </c>
      <c r="AA123" s="68" t="inlineStr"/>
      <c r="AB123" s="69" t="inlineStr"/>
      <c r="AC123" s="196" t="inlineStr">
        <is>
          <t>ЕАЭС N RU Д-RU.РА08.В.87595/25</t>
        </is>
      </c>
      <c r="AG123" s="78" t="n"/>
      <c r="AJ123" s="84" t="inlineStr"/>
      <c r="AK123" s="84" t="n">
        <v>0</v>
      </c>
      <c r="BB123" s="197" t="inlineStr">
        <is>
          <t>КИ</t>
        </is>
      </c>
      <c r="BM123" s="78">
        <f>IFERROR(X123*I123/H123,"0")</f>
        <v/>
      </c>
      <c r="BN123" s="78">
        <f>IFERROR(Y123*I123/H123,"0")</f>
        <v/>
      </c>
      <c r="BO123" s="78">
        <f>IFERROR(1/J123*(X123/H123),"0")</f>
        <v/>
      </c>
      <c r="BP123" s="78">
        <f>IFERROR(1/J123*(Y123/H123),"0")</f>
        <v/>
      </c>
    </row>
    <row r="124">
      <c r="A124" s="704" t="n"/>
      <c r="B124" s="979" t="n"/>
      <c r="C124" s="979" t="n"/>
      <c r="D124" s="979" t="n"/>
      <c r="E124" s="979" t="n"/>
      <c r="F124" s="979" t="n"/>
      <c r="G124" s="979" t="n"/>
      <c r="H124" s="979" t="n"/>
      <c r="I124" s="979" t="n"/>
      <c r="J124" s="979" t="n"/>
      <c r="K124" s="979" t="n"/>
      <c r="L124" s="979" t="n"/>
      <c r="M124" s="979" t="n"/>
      <c r="N124" s="979" t="n"/>
      <c r="O124" s="1035" t="n"/>
      <c r="P124" s="1036" t="inlineStr">
        <is>
          <t>Итого</t>
        </is>
      </c>
      <c r="Q124" s="997" t="n"/>
      <c r="R124" s="997" t="n"/>
      <c r="S124" s="997" t="n"/>
      <c r="T124" s="997" t="n"/>
      <c r="U124" s="997" t="n"/>
      <c r="V124" s="998" t="n"/>
      <c r="W124" s="42" t="inlineStr">
        <is>
          <t>кор</t>
        </is>
      </c>
      <c r="X124" s="1037">
        <f>IFERROR(X120/H120,"0")+IFERROR(X121/H121,"0")+IFERROR(X122/H122,"0")+IFERROR(X123/H123,"0")</f>
        <v/>
      </c>
      <c r="Y124" s="1037">
        <f>IFERROR(Y120/H120,"0")+IFERROR(Y121/H121,"0")+IFERROR(Y122/H122,"0")+IFERROR(Y123/H123,"0")</f>
        <v/>
      </c>
      <c r="Z124" s="1037">
        <f>IFERROR(IF(Z120="",0,Z120),"0")+IFERROR(IF(Z121="",0,Z121),"0")+IFERROR(IF(Z122="",0,Z122),"0")+IFERROR(IF(Z123="",0,Z123),"0")</f>
        <v/>
      </c>
      <c r="AA124" s="1038" t="n"/>
      <c r="AB124" s="1038" t="n"/>
      <c r="AC124" s="1038" t="n"/>
    </row>
    <row r="125">
      <c r="A125" s="979" t="n"/>
      <c r="B125" s="979" t="n"/>
      <c r="C125" s="979" t="n"/>
      <c r="D125" s="979" t="n"/>
      <c r="E125" s="979" t="n"/>
      <c r="F125" s="979" t="n"/>
      <c r="G125" s="979" t="n"/>
      <c r="H125" s="979" t="n"/>
      <c r="I125" s="979" t="n"/>
      <c r="J125" s="979" t="n"/>
      <c r="K125" s="979" t="n"/>
      <c r="L125" s="979" t="n"/>
      <c r="M125" s="979" t="n"/>
      <c r="N125" s="979" t="n"/>
      <c r="O125" s="1035" t="n"/>
      <c r="P125" s="1036" t="inlineStr">
        <is>
          <t>Итого</t>
        </is>
      </c>
      <c r="Q125" s="997" t="n"/>
      <c r="R125" s="997" t="n"/>
      <c r="S125" s="997" t="n"/>
      <c r="T125" s="997" t="n"/>
      <c r="U125" s="997" t="n"/>
      <c r="V125" s="998" t="n"/>
      <c r="W125" s="42" t="inlineStr">
        <is>
          <t>кг</t>
        </is>
      </c>
      <c r="X125" s="1037">
        <f>IFERROR(SUM(X120:X123),"0")</f>
        <v/>
      </c>
      <c r="Y125" s="1037">
        <f>IFERROR(SUM(Y120:Y123),"0")</f>
        <v/>
      </c>
      <c r="Z125" s="42" t="n"/>
      <c r="AA125" s="1038" t="n"/>
      <c r="AB125" s="1038" t="n"/>
      <c r="AC125" s="1038" t="n"/>
    </row>
    <row r="126" ht="14.25" customHeight="1">
      <c r="A126" s="694" t="inlineStr">
        <is>
          <t>Сардельки</t>
        </is>
      </c>
      <c r="B126" s="979" t="n"/>
      <c r="C126" s="979" t="n"/>
      <c r="D126" s="979" t="n"/>
      <c r="E126" s="979" t="n"/>
      <c r="F126" s="979" t="n"/>
      <c r="G126" s="979" t="n"/>
      <c r="H126" s="979" t="n"/>
      <c r="I126" s="979" t="n"/>
      <c r="J126" s="979" t="n"/>
      <c r="K126" s="979" t="n"/>
      <c r="L126" s="979" t="n"/>
      <c r="M126" s="979" t="n"/>
      <c r="N126" s="979" t="n"/>
      <c r="O126" s="979" t="n"/>
      <c r="P126" s="979" t="n"/>
      <c r="Q126" s="979" t="n"/>
      <c r="R126" s="979" t="n"/>
      <c r="S126" s="979" t="n"/>
      <c r="T126" s="979" t="n"/>
      <c r="U126" s="979" t="n"/>
      <c r="V126" s="979" t="n"/>
      <c r="W126" s="979" t="n"/>
      <c r="X126" s="979" t="n"/>
      <c r="Y126" s="979" t="n"/>
      <c r="Z126" s="979" t="n"/>
      <c r="AA126" s="694" t="n"/>
      <c r="AB126" s="694" t="n"/>
      <c r="AC126" s="694" t="n"/>
    </row>
    <row r="127" ht="16.5" customHeight="1">
      <c r="A127" s="63" t="inlineStr">
        <is>
          <t>SU002367</t>
        </is>
      </c>
      <c r="B127" s="63" t="inlineStr">
        <is>
          <t>P002644</t>
        </is>
      </c>
      <c r="C127" s="36" t="n">
        <v>4301060317</v>
      </c>
      <c r="D127" s="695" t="n">
        <v>4680115880238</v>
      </c>
      <c r="E127" s="989" t="n"/>
      <c r="F127" s="1028" t="n">
        <v>0.33</v>
      </c>
      <c r="G127" s="37" t="n">
        <v>6</v>
      </c>
      <c r="H127" s="1028" t="n">
        <v>1.98</v>
      </c>
      <c r="I127" s="1028" t="n">
        <v>2.238</v>
      </c>
      <c r="J127" s="37" t="n">
        <v>182</v>
      </c>
      <c r="K127" s="37" t="inlineStr">
        <is>
          <t>14</t>
        </is>
      </c>
      <c r="L127" s="37" t="inlineStr"/>
      <c r="M127" s="38" t="inlineStr">
        <is>
          <t>СК3</t>
        </is>
      </c>
      <c r="N127" s="38" t="n"/>
      <c r="O127" s="37" t="n">
        <v>40</v>
      </c>
      <c r="P127" s="1093">
        <f>HYPERLINK("https://abi.ru/products/Охлажденные/Вязанка/Сливушка/Сардельки/P002644/","Сардельки «Сливушки» фикс.вес 0,33 п/а мгс ТМ «Вязанка»")</f>
        <v/>
      </c>
      <c r="Q127" s="1030" t="n"/>
      <c r="R127" s="1030" t="n"/>
      <c r="S127" s="1030" t="n"/>
      <c r="T127" s="1031" t="n"/>
      <c r="U127" s="39" t="inlineStr"/>
      <c r="V127" s="39" t="inlineStr"/>
      <c r="W127" s="40" t="inlineStr">
        <is>
          <t>кг</t>
        </is>
      </c>
      <c r="X127" s="1032" t="n">
        <v>0</v>
      </c>
      <c r="Y127" s="1033">
        <f>IFERROR(IF(X127="",0,CEILING((X127/$H127),1)*$H127),"")</f>
        <v/>
      </c>
      <c r="Z127" s="41">
        <f>IFERROR(IF(Y127=0,"",ROUNDUP(Y127/H127,0)*0.00651),"")</f>
        <v/>
      </c>
      <c r="AA127" s="68" t="inlineStr"/>
      <c r="AB127" s="69" t="inlineStr"/>
      <c r="AC127" s="198" t="inlineStr">
        <is>
          <t>ЕАЭС N RU Д-RU.РА08.В.47013/25</t>
        </is>
      </c>
      <c r="AG127" s="78" t="n"/>
      <c r="AJ127" s="84" t="inlineStr"/>
      <c r="AK127" s="84" t="n">
        <v>0</v>
      </c>
      <c r="BB127" s="199" t="inlineStr">
        <is>
          <t>КИ</t>
        </is>
      </c>
      <c r="BM127" s="78">
        <f>IFERROR(X127*I127/H127,"0")</f>
        <v/>
      </c>
      <c r="BN127" s="78">
        <f>IFERROR(Y127*I127/H127,"0")</f>
        <v/>
      </c>
      <c r="BO127" s="78">
        <f>IFERROR(1/J127*(X127/H127),"0")</f>
        <v/>
      </c>
      <c r="BP127" s="78">
        <f>IFERROR(1/J127*(Y127/H127),"0")</f>
        <v/>
      </c>
    </row>
    <row r="128">
      <c r="A128" s="704" t="n"/>
      <c r="B128" s="979" t="n"/>
      <c r="C128" s="979" t="n"/>
      <c r="D128" s="979" t="n"/>
      <c r="E128" s="979" t="n"/>
      <c r="F128" s="979" t="n"/>
      <c r="G128" s="979" t="n"/>
      <c r="H128" s="979" t="n"/>
      <c r="I128" s="979" t="n"/>
      <c r="J128" s="979" t="n"/>
      <c r="K128" s="979" t="n"/>
      <c r="L128" s="979" t="n"/>
      <c r="M128" s="979" t="n"/>
      <c r="N128" s="979" t="n"/>
      <c r="O128" s="1035" t="n"/>
      <c r="P128" s="1036" t="inlineStr">
        <is>
          <t>Итого</t>
        </is>
      </c>
      <c r="Q128" s="997" t="n"/>
      <c r="R128" s="997" t="n"/>
      <c r="S128" s="997" t="n"/>
      <c r="T128" s="997" t="n"/>
      <c r="U128" s="997" t="n"/>
      <c r="V128" s="998" t="n"/>
      <c r="W128" s="42" t="inlineStr">
        <is>
          <t>кор</t>
        </is>
      </c>
      <c r="X128" s="1037">
        <f>IFERROR(X127/H127,"0")</f>
        <v/>
      </c>
      <c r="Y128" s="1037">
        <f>IFERROR(Y127/H127,"0")</f>
        <v/>
      </c>
      <c r="Z128" s="1037">
        <f>IFERROR(IF(Z127="",0,Z127),"0")</f>
        <v/>
      </c>
      <c r="AA128" s="1038" t="n"/>
      <c r="AB128" s="1038" t="n"/>
      <c r="AC128" s="1038" t="n"/>
    </row>
    <row r="129">
      <c r="A129" s="979" t="n"/>
      <c r="B129" s="979" t="n"/>
      <c r="C129" s="979" t="n"/>
      <c r="D129" s="979" t="n"/>
      <c r="E129" s="979" t="n"/>
      <c r="F129" s="979" t="n"/>
      <c r="G129" s="979" t="n"/>
      <c r="H129" s="979" t="n"/>
      <c r="I129" s="979" t="n"/>
      <c r="J129" s="979" t="n"/>
      <c r="K129" s="979" t="n"/>
      <c r="L129" s="979" t="n"/>
      <c r="M129" s="979" t="n"/>
      <c r="N129" s="979" t="n"/>
      <c r="O129" s="1035" t="n"/>
      <c r="P129" s="1036" t="inlineStr">
        <is>
          <t>Итого</t>
        </is>
      </c>
      <c r="Q129" s="997" t="n"/>
      <c r="R129" s="997" t="n"/>
      <c r="S129" s="997" t="n"/>
      <c r="T129" s="997" t="n"/>
      <c r="U129" s="997" t="n"/>
      <c r="V129" s="998" t="n"/>
      <c r="W129" s="42" t="inlineStr">
        <is>
          <t>кг</t>
        </is>
      </c>
      <c r="X129" s="1037">
        <f>IFERROR(SUM(X127:X127),"0")</f>
        <v/>
      </c>
      <c r="Y129" s="1037">
        <f>IFERROR(SUM(Y127:Y127),"0")</f>
        <v/>
      </c>
      <c r="Z129" s="42" t="n"/>
      <c r="AA129" s="1038" t="n"/>
      <c r="AB129" s="1038" t="n"/>
      <c r="AC129" s="1038" t="n"/>
    </row>
    <row r="130" ht="16.5" customHeight="1">
      <c r="A130" s="693" t="inlineStr">
        <is>
          <t>Халяль</t>
        </is>
      </c>
      <c r="B130" s="979" t="n"/>
      <c r="C130" s="979" t="n"/>
      <c r="D130" s="979" t="n"/>
      <c r="E130" s="979" t="n"/>
      <c r="F130" s="979" t="n"/>
      <c r="G130" s="979" t="n"/>
      <c r="H130" s="979" t="n"/>
      <c r="I130" s="979" t="n"/>
      <c r="J130" s="979" t="n"/>
      <c r="K130" s="979" t="n"/>
      <c r="L130" s="979" t="n"/>
      <c r="M130" s="979" t="n"/>
      <c r="N130" s="979" t="n"/>
      <c r="O130" s="979" t="n"/>
      <c r="P130" s="979" t="n"/>
      <c r="Q130" s="979" t="n"/>
      <c r="R130" s="979" t="n"/>
      <c r="S130" s="979" t="n"/>
      <c r="T130" s="979" t="n"/>
      <c r="U130" s="979" t="n"/>
      <c r="V130" s="979" t="n"/>
      <c r="W130" s="979" t="n"/>
      <c r="X130" s="979" t="n"/>
      <c r="Y130" s="979" t="n"/>
      <c r="Z130" s="979" t="n"/>
      <c r="AA130" s="693" t="n"/>
      <c r="AB130" s="693" t="n"/>
      <c r="AC130" s="693" t="n"/>
    </row>
    <row r="131" ht="14.25" customHeight="1">
      <c r="A131" s="694" t="inlineStr">
        <is>
          <t>Вареные колбасы</t>
        </is>
      </c>
      <c r="B131" s="979" t="n"/>
      <c r="C131" s="979" t="n"/>
      <c r="D131" s="979" t="n"/>
      <c r="E131" s="979" t="n"/>
      <c r="F131" s="979" t="n"/>
      <c r="G131" s="979" t="n"/>
      <c r="H131" s="979" t="n"/>
      <c r="I131" s="979" t="n"/>
      <c r="J131" s="979" t="n"/>
      <c r="K131" s="979" t="n"/>
      <c r="L131" s="979" t="n"/>
      <c r="M131" s="979" t="n"/>
      <c r="N131" s="979" t="n"/>
      <c r="O131" s="979" t="n"/>
      <c r="P131" s="979" t="n"/>
      <c r="Q131" s="979" t="n"/>
      <c r="R131" s="979" t="n"/>
      <c r="S131" s="979" t="n"/>
      <c r="T131" s="979" t="n"/>
      <c r="U131" s="979" t="n"/>
      <c r="V131" s="979" t="n"/>
      <c r="W131" s="979" t="n"/>
      <c r="X131" s="979" t="n"/>
      <c r="Y131" s="979" t="n"/>
      <c r="Z131" s="979" t="n"/>
      <c r="AA131" s="694" t="n"/>
      <c r="AB131" s="694" t="n"/>
      <c r="AC131" s="694" t="n"/>
    </row>
    <row r="132" ht="27" customHeight="1">
      <c r="A132" s="63" t="inlineStr">
        <is>
          <t>SU002983</t>
        </is>
      </c>
      <c r="B132" s="63" t="inlineStr">
        <is>
          <t>P003437</t>
        </is>
      </c>
      <c r="C132" s="36" t="n">
        <v>4301011562</v>
      </c>
      <c r="D132" s="695" t="n">
        <v>4680115882577</v>
      </c>
      <c r="E132" s="989" t="n"/>
      <c r="F132" s="1028" t="n">
        <v>0.4</v>
      </c>
      <c r="G132" s="37" t="n">
        <v>8</v>
      </c>
      <c r="H132" s="1028" t="n">
        <v>3.2</v>
      </c>
      <c r="I132" s="1028" t="n">
        <v>3.38</v>
      </c>
      <c r="J132" s="37" t="n">
        <v>182</v>
      </c>
      <c r="K132" s="37" t="inlineStr">
        <is>
          <t>14</t>
        </is>
      </c>
      <c r="L132" s="37" t="inlineStr"/>
      <c r="M132" s="38" t="inlineStr">
        <is>
          <t>АК</t>
        </is>
      </c>
      <c r="N132" s="38" t="n"/>
      <c r="O132" s="37" t="n">
        <v>90</v>
      </c>
      <c r="P132" s="1094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2" s="1030" t="n"/>
      <c r="R132" s="1030" t="n"/>
      <c r="S132" s="1030" t="n"/>
      <c r="T132" s="1031" t="n"/>
      <c r="U132" s="39" t="inlineStr"/>
      <c r="V132" s="39" t="inlineStr"/>
      <c r="W132" s="40" t="inlineStr">
        <is>
          <t>кг</t>
        </is>
      </c>
      <c r="X132" s="1032" t="n">
        <v>0</v>
      </c>
      <c r="Y132" s="1033">
        <f>IFERROR(IF(X132="",0,CEILING((X132/$H132),1)*$H132),"")</f>
        <v/>
      </c>
      <c r="Z132" s="41">
        <f>IFERROR(IF(Y132=0,"",ROUNDUP(Y132/H132,0)*0.00651),"")</f>
        <v/>
      </c>
      <c r="AA132" s="68" t="inlineStr"/>
      <c r="AB132" s="69" t="inlineStr"/>
      <c r="AC132" s="200" t="inlineStr">
        <is>
          <t>ЕАЭС N RU Д-RU.РА05.В.96405/23</t>
        </is>
      </c>
      <c r="AG132" s="78" t="n"/>
      <c r="AJ132" s="84" t="inlineStr"/>
      <c r="AK132" s="84" t="n">
        <v>0</v>
      </c>
      <c r="BB132" s="201" t="inlineStr">
        <is>
          <t>КИ</t>
        </is>
      </c>
      <c r="BM132" s="78">
        <f>IFERROR(X132*I132/H132,"0")</f>
        <v/>
      </c>
      <c r="BN132" s="78">
        <f>IFERROR(Y132*I132/H132,"0")</f>
        <v/>
      </c>
      <c r="BO132" s="78">
        <f>IFERROR(1/J132*(X132/H132),"0")</f>
        <v/>
      </c>
      <c r="BP132" s="78">
        <f>IFERROR(1/J132*(Y132/H132),"0")</f>
        <v/>
      </c>
    </row>
    <row r="133" ht="27" customHeight="1">
      <c r="A133" s="63" t="inlineStr">
        <is>
          <t>SU002983</t>
        </is>
      </c>
      <c r="B133" s="63" t="inlineStr">
        <is>
          <t>P003441</t>
        </is>
      </c>
      <c r="C133" s="36" t="n">
        <v>4301011564</v>
      </c>
      <c r="D133" s="695" t="n">
        <v>4680115882577</v>
      </c>
      <c r="E133" s="989" t="n"/>
      <c r="F133" s="1028" t="n">
        <v>0.4</v>
      </c>
      <c r="G133" s="37" t="n">
        <v>8</v>
      </c>
      <c r="H133" s="1028" t="n">
        <v>3.2</v>
      </c>
      <c r="I133" s="1028" t="n">
        <v>3.38</v>
      </c>
      <c r="J133" s="37" t="n">
        <v>182</v>
      </c>
      <c r="K133" s="37" t="inlineStr">
        <is>
          <t>14</t>
        </is>
      </c>
      <c r="L133" s="37" t="inlineStr"/>
      <c r="M133" s="38" t="inlineStr">
        <is>
          <t>АК</t>
        </is>
      </c>
      <c r="N133" s="38" t="n"/>
      <c r="O133" s="37" t="n">
        <v>90</v>
      </c>
      <c r="P133" s="1095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3" s="1030" t="n"/>
      <c r="R133" s="1030" t="n"/>
      <c r="S133" s="1030" t="n"/>
      <c r="T133" s="1031" t="n"/>
      <c r="U133" s="39" t="inlineStr"/>
      <c r="V133" s="39" t="inlineStr"/>
      <c r="W133" s="40" t="inlineStr">
        <is>
          <t>кг</t>
        </is>
      </c>
      <c r="X133" s="1032" t="n">
        <v>0</v>
      </c>
      <c r="Y133" s="1033">
        <f>IFERROR(IF(X133="",0,CEILING((X133/$H133),1)*$H133),"")</f>
        <v/>
      </c>
      <c r="Z133" s="41">
        <f>IFERROR(IF(Y133=0,"",ROUNDUP(Y133/H133,0)*0.00651),"")</f>
        <v/>
      </c>
      <c r="AA133" s="68" t="inlineStr"/>
      <c r="AB133" s="69" t="inlineStr"/>
      <c r="AC133" s="202" t="inlineStr">
        <is>
          <t>ЕАЭС N RU Д-RU.РА05.В.96405/23</t>
        </is>
      </c>
      <c r="AG133" s="78" t="n"/>
      <c r="AJ133" s="84" t="inlineStr"/>
      <c r="AK133" s="84" t="n">
        <v>0</v>
      </c>
      <c r="BB133" s="203" t="inlineStr">
        <is>
          <t>КИ</t>
        </is>
      </c>
      <c r="BM133" s="78">
        <f>IFERROR(X133*I133/H133,"0")</f>
        <v/>
      </c>
      <c r="BN133" s="78">
        <f>IFERROR(Y133*I133/H133,"0")</f>
        <v/>
      </c>
      <c r="BO133" s="78">
        <f>IFERROR(1/J133*(X133/H133),"0")</f>
        <v/>
      </c>
      <c r="BP133" s="78">
        <f>IFERROR(1/J133*(Y133/H133),"0")</f>
        <v/>
      </c>
    </row>
    <row r="134">
      <c r="A134" s="704" t="n"/>
      <c r="B134" s="979" t="n"/>
      <c r="C134" s="979" t="n"/>
      <c r="D134" s="979" t="n"/>
      <c r="E134" s="979" t="n"/>
      <c r="F134" s="979" t="n"/>
      <c r="G134" s="979" t="n"/>
      <c r="H134" s="979" t="n"/>
      <c r="I134" s="979" t="n"/>
      <c r="J134" s="979" t="n"/>
      <c r="K134" s="979" t="n"/>
      <c r="L134" s="979" t="n"/>
      <c r="M134" s="979" t="n"/>
      <c r="N134" s="979" t="n"/>
      <c r="O134" s="1035" t="n"/>
      <c r="P134" s="1036" t="inlineStr">
        <is>
          <t>Итого</t>
        </is>
      </c>
      <c r="Q134" s="997" t="n"/>
      <c r="R134" s="997" t="n"/>
      <c r="S134" s="997" t="n"/>
      <c r="T134" s="997" t="n"/>
      <c r="U134" s="997" t="n"/>
      <c r="V134" s="998" t="n"/>
      <c r="W134" s="42" t="inlineStr">
        <is>
          <t>кор</t>
        </is>
      </c>
      <c r="X134" s="1037">
        <f>IFERROR(X132/H132,"0")+IFERROR(X133/H133,"0")</f>
        <v/>
      </c>
      <c r="Y134" s="1037">
        <f>IFERROR(Y132/H132,"0")+IFERROR(Y133/H133,"0")</f>
        <v/>
      </c>
      <c r="Z134" s="1037">
        <f>IFERROR(IF(Z132="",0,Z132),"0")+IFERROR(IF(Z133="",0,Z133),"0")</f>
        <v/>
      </c>
      <c r="AA134" s="1038" t="n"/>
      <c r="AB134" s="1038" t="n"/>
      <c r="AC134" s="1038" t="n"/>
    </row>
    <row r="135">
      <c r="A135" s="979" t="n"/>
      <c r="B135" s="979" t="n"/>
      <c r="C135" s="979" t="n"/>
      <c r="D135" s="979" t="n"/>
      <c r="E135" s="979" t="n"/>
      <c r="F135" s="979" t="n"/>
      <c r="G135" s="979" t="n"/>
      <c r="H135" s="979" t="n"/>
      <c r="I135" s="979" t="n"/>
      <c r="J135" s="979" t="n"/>
      <c r="K135" s="979" t="n"/>
      <c r="L135" s="979" t="n"/>
      <c r="M135" s="979" t="n"/>
      <c r="N135" s="979" t="n"/>
      <c r="O135" s="1035" t="n"/>
      <c r="P135" s="1036" t="inlineStr">
        <is>
          <t>Итого</t>
        </is>
      </c>
      <c r="Q135" s="997" t="n"/>
      <c r="R135" s="997" t="n"/>
      <c r="S135" s="997" t="n"/>
      <c r="T135" s="997" t="n"/>
      <c r="U135" s="997" t="n"/>
      <c r="V135" s="998" t="n"/>
      <c r="W135" s="42" t="inlineStr">
        <is>
          <t>кг</t>
        </is>
      </c>
      <c r="X135" s="1037">
        <f>IFERROR(SUM(X132:X133),"0")</f>
        <v/>
      </c>
      <c r="Y135" s="1037">
        <f>IFERROR(SUM(Y132:Y133),"0")</f>
        <v/>
      </c>
      <c r="Z135" s="42" t="n"/>
      <c r="AA135" s="1038" t="n"/>
      <c r="AB135" s="1038" t="n"/>
      <c r="AC135" s="1038" t="n"/>
    </row>
    <row r="136" ht="14.25" customHeight="1">
      <c r="A136" s="694" t="inlineStr">
        <is>
          <t>Копченые колбасы</t>
        </is>
      </c>
      <c r="B136" s="979" t="n"/>
      <c r="C136" s="979" t="n"/>
      <c r="D136" s="979" t="n"/>
      <c r="E136" s="979" t="n"/>
      <c r="F136" s="979" t="n"/>
      <c r="G136" s="979" t="n"/>
      <c r="H136" s="979" t="n"/>
      <c r="I136" s="979" t="n"/>
      <c r="J136" s="979" t="n"/>
      <c r="K136" s="979" t="n"/>
      <c r="L136" s="979" t="n"/>
      <c r="M136" s="979" t="n"/>
      <c r="N136" s="979" t="n"/>
      <c r="O136" s="979" t="n"/>
      <c r="P136" s="979" t="n"/>
      <c r="Q136" s="979" t="n"/>
      <c r="R136" s="979" t="n"/>
      <c r="S136" s="979" t="n"/>
      <c r="T136" s="979" t="n"/>
      <c r="U136" s="979" t="n"/>
      <c r="V136" s="979" t="n"/>
      <c r="W136" s="979" t="n"/>
      <c r="X136" s="979" t="n"/>
      <c r="Y136" s="979" t="n"/>
      <c r="Z136" s="979" t="n"/>
      <c r="AA136" s="694" t="n"/>
      <c r="AB136" s="694" t="n"/>
      <c r="AC136" s="694" t="n"/>
    </row>
    <row r="137" ht="27" customHeight="1">
      <c r="A137" s="63" t="inlineStr">
        <is>
          <t>SU002985</t>
        </is>
      </c>
      <c r="B137" s="63" t="inlineStr">
        <is>
          <t>P003439</t>
        </is>
      </c>
      <c r="C137" s="36" t="n">
        <v>4301031234</v>
      </c>
      <c r="D137" s="695" t="n">
        <v>4680115883444</v>
      </c>
      <c r="E137" s="989" t="n"/>
      <c r="F137" s="1028" t="n">
        <v>0.35</v>
      </c>
      <c r="G137" s="37" t="n">
        <v>8</v>
      </c>
      <c r="H137" s="1028" t="n">
        <v>2.8</v>
      </c>
      <c r="I137" s="1028" t="n">
        <v>3.068</v>
      </c>
      <c r="J137" s="37" t="n">
        <v>182</v>
      </c>
      <c r="K137" s="37" t="inlineStr">
        <is>
          <t>14</t>
        </is>
      </c>
      <c r="L137" s="37" t="inlineStr"/>
      <c r="M137" s="38" t="inlineStr">
        <is>
          <t>АК</t>
        </is>
      </c>
      <c r="N137" s="38" t="n"/>
      <c r="O137" s="37" t="n">
        <v>90</v>
      </c>
      <c r="P137" s="1096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37" s="1030" t="n"/>
      <c r="R137" s="1030" t="n"/>
      <c r="S137" s="1030" t="n"/>
      <c r="T137" s="1031" t="n"/>
      <c r="U137" s="39" t="inlineStr"/>
      <c r="V137" s="39" t="inlineStr"/>
      <c r="W137" s="40" t="inlineStr">
        <is>
          <t>кг</t>
        </is>
      </c>
      <c r="X137" s="1032" t="n">
        <v>0</v>
      </c>
      <c r="Y137" s="1033">
        <f>IFERROR(IF(X137="",0,CEILING((X137/$H137),1)*$H137),"")</f>
        <v/>
      </c>
      <c r="Z137" s="41">
        <f>IFERROR(IF(Y137=0,"",ROUNDUP(Y137/H137,0)*0.00651),"")</f>
        <v/>
      </c>
      <c r="AA137" s="68" t="inlineStr"/>
      <c r="AB137" s="69" t="inlineStr"/>
      <c r="AC137" s="204" t="inlineStr">
        <is>
          <t>ЕАЭС N RU Д-RU.РА08.В.16764/23</t>
        </is>
      </c>
      <c r="AG137" s="78" t="n"/>
      <c r="AJ137" s="84" t="inlineStr"/>
      <c r="AK137" s="84" t="n">
        <v>0</v>
      </c>
      <c r="BB137" s="205" t="inlineStr">
        <is>
          <t>КИ</t>
        </is>
      </c>
      <c r="BM137" s="78">
        <f>IFERROR(X137*I137/H137,"0")</f>
        <v/>
      </c>
      <c r="BN137" s="78">
        <f>IFERROR(Y137*I137/H137,"0")</f>
        <v/>
      </c>
      <c r="BO137" s="78">
        <f>IFERROR(1/J137*(X137/H137),"0")</f>
        <v/>
      </c>
      <c r="BP137" s="78">
        <f>IFERROR(1/J137*(Y137/H137),"0")</f>
        <v/>
      </c>
    </row>
    <row r="138" ht="27" customHeight="1">
      <c r="A138" s="63" t="inlineStr">
        <is>
          <t>SU002985</t>
        </is>
      </c>
      <c r="B138" s="63" t="inlineStr">
        <is>
          <t>P003442</t>
        </is>
      </c>
      <c r="C138" s="36" t="n">
        <v>4301031235</v>
      </c>
      <c r="D138" s="695" t="n">
        <v>4680115883444</v>
      </c>
      <c r="E138" s="989" t="n"/>
      <c r="F138" s="1028" t="n">
        <v>0.35</v>
      </c>
      <c r="G138" s="37" t="n">
        <v>8</v>
      </c>
      <c r="H138" s="1028" t="n">
        <v>2.8</v>
      </c>
      <c r="I138" s="1028" t="n">
        <v>3.068</v>
      </c>
      <c r="J138" s="37" t="n">
        <v>182</v>
      </c>
      <c r="K138" s="37" t="inlineStr">
        <is>
          <t>14</t>
        </is>
      </c>
      <c r="L138" s="37" t="inlineStr"/>
      <c r="M138" s="38" t="inlineStr">
        <is>
          <t>АК</t>
        </is>
      </c>
      <c r="N138" s="38" t="n"/>
      <c r="O138" s="37" t="n">
        <v>90</v>
      </c>
      <c r="P138" s="1097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38" s="1030" t="n"/>
      <c r="R138" s="1030" t="n"/>
      <c r="S138" s="1030" t="n"/>
      <c r="T138" s="1031" t="n"/>
      <c r="U138" s="39" t="inlineStr"/>
      <c r="V138" s="39" t="inlineStr"/>
      <c r="W138" s="40" t="inlineStr">
        <is>
          <t>кг</t>
        </is>
      </c>
      <c r="X138" s="1032" t="n">
        <v>0</v>
      </c>
      <c r="Y138" s="1033">
        <f>IFERROR(IF(X138="",0,CEILING((X138/$H138),1)*$H138),"")</f>
        <v/>
      </c>
      <c r="Z138" s="41">
        <f>IFERROR(IF(Y138=0,"",ROUNDUP(Y138/H138,0)*0.00651),"")</f>
        <v/>
      </c>
      <c r="AA138" s="68" t="inlineStr"/>
      <c r="AB138" s="69" t="inlineStr"/>
      <c r="AC138" s="206" t="inlineStr">
        <is>
          <t>ЕАЭС N RU Д-RU.РА08.В.16764/23</t>
        </is>
      </c>
      <c r="AG138" s="78" t="n"/>
      <c r="AJ138" s="84" t="inlineStr"/>
      <c r="AK138" s="84" t="n">
        <v>0</v>
      </c>
      <c r="BB138" s="207" t="inlineStr">
        <is>
          <t>КИ</t>
        </is>
      </c>
      <c r="BM138" s="78">
        <f>IFERROR(X138*I138/H138,"0")</f>
        <v/>
      </c>
      <c r="BN138" s="78">
        <f>IFERROR(Y138*I138/H138,"0")</f>
        <v/>
      </c>
      <c r="BO138" s="78">
        <f>IFERROR(1/J138*(X138/H138),"0")</f>
        <v/>
      </c>
      <c r="BP138" s="78">
        <f>IFERROR(1/J138*(Y138/H138),"0")</f>
        <v/>
      </c>
    </row>
    <row r="139">
      <c r="A139" s="704" t="n"/>
      <c r="B139" s="979" t="n"/>
      <c r="C139" s="979" t="n"/>
      <c r="D139" s="979" t="n"/>
      <c r="E139" s="979" t="n"/>
      <c r="F139" s="979" t="n"/>
      <c r="G139" s="979" t="n"/>
      <c r="H139" s="979" t="n"/>
      <c r="I139" s="979" t="n"/>
      <c r="J139" s="979" t="n"/>
      <c r="K139" s="979" t="n"/>
      <c r="L139" s="979" t="n"/>
      <c r="M139" s="979" t="n"/>
      <c r="N139" s="979" t="n"/>
      <c r="O139" s="1035" t="n"/>
      <c r="P139" s="1036" t="inlineStr">
        <is>
          <t>Итого</t>
        </is>
      </c>
      <c r="Q139" s="997" t="n"/>
      <c r="R139" s="997" t="n"/>
      <c r="S139" s="997" t="n"/>
      <c r="T139" s="997" t="n"/>
      <c r="U139" s="997" t="n"/>
      <c r="V139" s="998" t="n"/>
      <c r="W139" s="42" t="inlineStr">
        <is>
          <t>кор</t>
        </is>
      </c>
      <c r="X139" s="1037">
        <f>IFERROR(X137/H137,"0")+IFERROR(X138/H138,"0")</f>
        <v/>
      </c>
      <c r="Y139" s="1037">
        <f>IFERROR(Y137/H137,"0")+IFERROR(Y138/H138,"0")</f>
        <v/>
      </c>
      <c r="Z139" s="1037">
        <f>IFERROR(IF(Z137="",0,Z137),"0")+IFERROR(IF(Z138="",0,Z138),"0")</f>
        <v/>
      </c>
      <c r="AA139" s="1038" t="n"/>
      <c r="AB139" s="1038" t="n"/>
      <c r="AC139" s="1038" t="n"/>
    </row>
    <row r="140">
      <c r="A140" s="979" t="n"/>
      <c r="B140" s="979" t="n"/>
      <c r="C140" s="979" t="n"/>
      <c r="D140" s="979" t="n"/>
      <c r="E140" s="979" t="n"/>
      <c r="F140" s="979" t="n"/>
      <c r="G140" s="979" t="n"/>
      <c r="H140" s="979" t="n"/>
      <c r="I140" s="979" t="n"/>
      <c r="J140" s="979" t="n"/>
      <c r="K140" s="979" t="n"/>
      <c r="L140" s="979" t="n"/>
      <c r="M140" s="979" t="n"/>
      <c r="N140" s="979" t="n"/>
      <c r="O140" s="1035" t="n"/>
      <c r="P140" s="1036" t="inlineStr">
        <is>
          <t>Итого</t>
        </is>
      </c>
      <c r="Q140" s="997" t="n"/>
      <c r="R140" s="997" t="n"/>
      <c r="S140" s="997" t="n"/>
      <c r="T140" s="997" t="n"/>
      <c r="U140" s="997" t="n"/>
      <c r="V140" s="998" t="n"/>
      <c r="W140" s="42" t="inlineStr">
        <is>
          <t>кг</t>
        </is>
      </c>
      <c r="X140" s="1037">
        <f>IFERROR(SUM(X137:X138),"0")</f>
        <v/>
      </c>
      <c r="Y140" s="1037">
        <f>IFERROR(SUM(Y137:Y138),"0")</f>
        <v/>
      </c>
      <c r="Z140" s="42" t="n"/>
      <c r="AA140" s="1038" t="n"/>
      <c r="AB140" s="1038" t="n"/>
      <c r="AC140" s="1038" t="n"/>
    </row>
    <row r="141" ht="14.25" customHeight="1">
      <c r="A141" s="694" t="inlineStr">
        <is>
          <t>Сосиски</t>
        </is>
      </c>
      <c r="B141" s="979" t="n"/>
      <c r="C141" s="979" t="n"/>
      <c r="D141" s="979" t="n"/>
      <c r="E141" s="979" t="n"/>
      <c r="F141" s="979" t="n"/>
      <c r="G141" s="979" t="n"/>
      <c r="H141" s="979" t="n"/>
      <c r="I141" s="979" t="n"/>
      <c r="J141" s="979" t="n"/>
      <c r="K141" s="979" t="n"/>
      <c r="L141" s="979" t="n"/>
      <c r="M141" s="979" t="n"/>
      <c r="N141" s="979" t="n"/>
      <c r="O141" s="979" t="n"/>
      <c r="P141" s="979" t="n"/>
      <c r="Q141" s="979" t="n"/>
      <c r="R141" s="979" t="n"/>
      <c r="S141" s="979" t="n"/>
      <c r="T141" s="979" t="n"/>
      <c r="U141" s="979" t="n"/>
      <c r="V141" s="979" t="n"/>
      <c r="W141" s="979" t="n"/>
      <c r="X141" s="979" t="n"/>
      <c r="Y141" s="979" t="n"/>
      <c r="Z141" s="979" t="n"/>
      <c r="AA141" s="694" t="n"/>
      <c r="AB141" s="694" t="n"/>
      <c r="AC141" s="694" t="n"/>
    </row>
    <row r="142" ht="16.5" customHeight="1">
      <c r="A142" s="63" t="inlineStr">
        <is>
          <t>SU002984</t>
        </is>
      </c>
      <c r="B142" s="63" t="inlineStr">
        <is>
          <t>P003438</t>
        </is>
      </c>
      <c r="C142" s="36" t="n">
        <v>4301051476</v>
      </c>
      <c r="D142" s="695" t="n">
        <v>4680115882584</v>
      </c>
      <c r="E142" s="989" t="n"/>
      <c r="F142" s="1028" t="n">
        <v>0.33</v>
      </c>
      <c r="G142" s="37" t="n">
        <v>8</v>
      </c>
      <c r="H142" s="1028" t="n">
        <v>2.64</v>
      </c>
      <c r="I142" s="1028" t="n">
        <v>2.908</v>
      </c>
      <c r="J142" s="37" t="n">
        <v>182</v>
      </c>
      <c r="K142" s="37" t="inlineStr">
        <is>
          <t>14</t>
        </is>
      </c>
      <c r="L142" s="37" t="inlineStr"/>
      <c r="M142" s="38" t="inlineStr">
        <is>
          <t>АК</t>
        </is>
      </c>
      <c r="N142" s="38" t="n"/>
      <c r="O142" s="37" t="n">
        <v>60</v>
      </c>
      <c r="P142" s="1098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2" s="1030" t="n"/>
      <c r="R142" s="1030" t="n"/>
      <c r="S142" s="1030" t="n"/>
      <c r="T142" s="1031" t="n"/>
      <c r="U142" s="39" t="inlineStr"/>
      <c r="V142" s="39" t="inlineStr"/>
      <c r="W142" s="40" t="inlineStr">
        <is>
          <t>кг</t>
        </is>
      </c>
      <c r="X142" s="1032" t="n">
        <v>0</v>
      </c>
      <c r="Y142" s="1033">
        <f>IFERROR(IF(X142="",0,CEILING((X142/$H142),1)*$H142),"")</f>
        <v/>
      </c>
      <c r="Z142" s="41">
        <f>IFERROR(IF(Y142=0,"",ROUNDUP(Y142/H142,0)*0.00651),"")</f>
        <v/>
      </c>
      <c r="AA142" s="68" t="inlineStr"/>
      <c r="AB142" s="69" t="inlineStr"/>
      <c r="AC142" s="208" t="inlineStr">
        <is>
          <t>ЕАЭС N RU Д-RU.РА05.В.96405/23</t>
        </is>
      </c>
      <c r="AG142" s="78" t="n"/>
      <c r="AJ142" s="84" t="inlineStr"/>
      <c r="AK142" s="84" t="n">
        <v>0</v>
      </c>
      <c r="BB142" s="209" t="inlineStr">
        <is>
          <t>КИ</t>
        </is>
      </c>
      <c r="BM142" s="78">
        <f>IFERROR(X142*I142/H142,"0")</f>
        <v/>
      </c>
      <c r="BN142" s="78">
        <f>IFERROR(Y142*I142/H142,"0")</f>
        <v/>
      </c>
      <c r="BO142" s="78">
        <f>IFERROR(1/J142*(X142/H142),"0")</f>
        <v/>
      </c>
      <c r="BP142" s="78">
        <f>IFERROR(1/J142*(Y142/H142),"0")</f>
        <v/>
      </c>
    </row>
    <row r="143" ht="16.5" customHeight="1">
      <c r="A143" s="63" t="inlineStr">
        <is>
          <t>SU002984</t>
        </is>
      </c>
      <c r="B143" s="63" t="inlineStr">
        <is>
          <t>P003440</t>
        </is>
      </c>
      <c r="C143" s="36" t="n">
        <v>4301051477</v>
      </c>
      <c r="D143" s="695" t="n">
        <v>4680115882584</v>
      </c>
      <c r="E143" s="989" t="n"/>
      <c r="F143" s="1028" t="n">
        <v>0.33</v>
      </c>
      <c r="G143" s="37" t="n">
        <v>8</v>
      </c>
      <c r="H143" s="1028" t="n">
        <v>2.64</v>
      </c>
      <c r="I143" s="1028" t="n">
        <v>2.908</v>
      </c>
      <c r="J143" s="37" t="n">
        <v>182</v>
      </c>
      <c r="K143" s="37" t="inlineStr">
        <is>
          <t>14</t>
        </is>
      </c>
      <c r="L143" s="37" t="inlineStr"/>
      <c r="M143" s="38" t="inlineStr">
        <is>
          <t>АК</t>
        </is>
      </c>
      <c r="N143" s="38" t="n"/>
      <c r="O143" s="37" t="n">
        <v>60</v>
      </c>
      <c r="P143" s="1099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3" s="1030" t="n"/>
      <c r="R143" s="1030" t="n"/>
      <c r="S143" s="1030" t="n"/>
      <c r="T143" s="1031" t="n"/>
      <c r="U143" s="39" t="inlineStr"/>
      <c r="V143" s="39" t="inlineStr"/>
      <c r="W143" s="40" t="inlineStr">
        <is>
          <t>кг</t>
        </is>
      </c>
      <c r="X143" s="1032" t="n">
        <v>0</v>
      </c>
      <c r="Y143" s="1033">
        <f>IFERROR(IF(X143="",0,CEILING((X143/$H143),1)*$H143),"")</f>
        <v/>
      </c>
      <c r="Z143" s="41">
        <f>IFERROR(IF(Y143=0,"",ROUNDUP(Y143/H143,0)*0.00651),"")</f>
        <v/>
      </c>
      <c r="AA143" s="68" t="inlineStr"/>
      <c r="AB143" s="69" t="inlineStr"/>
      <c r="AC143" s="210" t="inlineStr">
        <is>
          <t>ЕАЭС N RU Д-RU.РА05.В.96405/23</t>
        </is>
      </c>
      <c r="AG143" s="78" t="n"/>
      <c r="AJ143" s="84" t="inlineStr"/>
      <c r="AK143" s="84" t="n">
        <v>0</v>
      </c>
      <c r="BB143" s="211" t="inlineStr">
        <is>
          <t>КИ</t>
        </is>
      </c>
      <c r="BM143" s="78">
        <f>IFERROR(X143*I143/H143,"0")</f>
        <v/>
      </c>
      <c r="BN143" s="78">
        <f>IFERROR(Y143*I143/H143,"0")</f>
        <v/>
      </c>
      <c r="BO143" s="78">
        <f>IFERROR(1/J143*(X143/H143),"0")</f>
        <v/>
      </c>
      <c r="BP143" s="78">
        <f>IFERROR(1/J143*(Y143/H143),"0")</f>
        <v/>
      </c>
    </row>
    <row r="144">
      <c r="A144" s="704" t="n"/>
      <c r="B144" s="979" t="n"/>
      <c r="C144" s="979" t="n"/>
      <c r="D144" s="979" t="n"/>
      <c r="E144" s="979" t="n"/>
      <c r="F144" s="979" t="n"/>
      <c r="G144" s="979" t="n"/>
      <c r="H144" s="979" t="n"/>
      <c r="I144" s="979" t="n"/>
      <c r="J144" s="979" t="n"/>
      <c r="K144" s="979" t="n"/>
      <c r="L144" s="979" t="n"/>
      <c r="M144" s="979" t="n"/>
      <c r="N144" s="979" t="n"/>
      <c r="O144" s="1035" t="n"/>
      <c r="P144" s="1036" t="inlineStr">
        <is>
          <t>Итого</t>
        </is>
      </c>
      <c r="Q144" s="997" t="n"/>
      <c r="R144" s="997" t="n"/>
      <c r="S144" s="997" t="n"/>
      <c r="T144" s="997" t="n"/>
      <c r="U144" s="997" t="n"/>
      <c r="V144" s="998" t="n"/>
      <c r="W144" s="42" t="inlineStr">
        <is>
          <t>кор</t>
        </is>
      </c>
      <c r="X144" s="1037">
        <f>IFERROR(X142/H142,"0")+IFERROR(X143/H143,"0")</f>
        <v/>
      </c>
      <c r="Y144" s="1037">
        <f>IFERROR(Y142/H142,"0")+IFERROR(Y143/H143,"0")</f>
        <v/>
      </c>
      <c r="Z144" s="1037">
        <f>IFERROR(IF(Z142="",0,Z142),"0")+IFERROR(IF(Z143="",0,Z143),"0")</f>
        <v/>
      </c>
      <c r="AA144" s="1038" t="n"/>
      <c r="AB144" s="1038" t="n"/>
      <c r="AC144" s="1038" t="n"/>
    </row>
    <row r="145">
      <c r="A145" s="979" t="n"/>
      <c r="B145" s="979" t="n"/>
      <c r="C145" s="979" t="n"/>
      <c r="D145" s="979" t="n"/>
      <c r="E145" s="979" t="n"/>
      <c r="F145" s="979" t="n"/>
      <c r="G145" s="979" t="n"/>
      <c r="H145" s="979" t="n"/>
      <c r="I145" s="979" t="n"/>
      <c r="J145" s="979" t="n"/>
      <c r="K145" s="979" t="n"/>
      <c r="L145" s="979" t="n"/>
      <c r="M145" s="979" t="n"/>
      <c r="N145" s="979" t="n"/>
      <c r="O145" s="1035" t="n"/>
      <c r="P145" s="1036" t="inlineStr">
        <is>
          <t>Итого</t>
        </is>
      </c>
      <c r="Q145" s="997" t="n"/>
      <c r="R145" s="997" t="n"/>
      <c r="S145" s="997" t="n"/>
      <c r="T145" s="997" t="n"/>
      <c r="U145" s="997" t="n"/>
      <c r="V145" s="998" t="n"/>
      <c r="W145" s="42" t="inlineStr">
        <is>
          <t>кг</t>
        </is>
      </c>
      <c r="X145" s="1037">
        <f>IFERROR(SUM(X142:X143),"0")</f>
        <v/>
      </c>
      <c r="Y145" s="1037">
        <f>IFERROR(SUM(Y142:Y143),"0")</f>
        <v/>
      </c>
      <c r="Z145" s="42" t="n"/>
      <c r="AA145" s="1038" t="n"/>
      <c r="AB145" s="1038" t="n"/>
      <c r="AC145" s="1038" t="n"/>
    </row>
    <row r="146" ht="16.5" customHeight="1">
      <c r="A146" s="693" t="inlineStr">
        <is>
          <t>Хайперсы</t>
        </is>
      </c>
      <c r="B146" s="979" t="n"/>
      <c r="C146" s="979" t="n"/>
      <c r="D146" s="979" t="n"/>
      <c r="E146" s="979" t="n"/>
      <c r="F146" s="979" t="n"/>
      <c r="G146" s="979" t="n"/>
      <c r="H146" s="979" t="n"/>
      <c r="I146" s="979" t="n"/>
      <c r="J146" s="979" t="n"/>
      <c r="K146" s="979" t="n"/>
      <c r="L146" s="979" t="n"/>
      <c r="M146" s="979" t="n"/>
      <c r="N146" s="979" t="n"/>
      <c r="O146" s="979" t="n"/>
      <c r="P146" s="979" t="n"/>
      <c r="Q146" s="979" t="n"/>
      <c r="R146" s="979" t="n"/>
      <c r="S146" s="979" t="n"/>
      <c r="T146" s="979" t="n"/>
      <c r="U146" s="979" t="n"/>
      <c r="V146" s="979" t="n"/>
      <c r="W146" s="979" t="n"/>
      <c r="X146" s="979" t="n"/>
      <c r="Y146" s="979" t="n"/>
      <c r="Z146" s="979" t="n"/>
      <c r="AA146" s="693" t="n"/>
      <c r="AB146" s="693" t="n"/>
      <c r="AC146" s="693" t="n"/>
    </row>
    <row r="147" ht="14.25" customHeight="1">
      <c r="A147" s="694" t="inlineStr">
        <is>
          <t>Сосиски</t>
        </is>
      </c>
      <c r="B147" s="979" t="n"/>
      <c r="C147" s="979" t="n"/>
      <c r="D147" s="979" t="n"/>
      <c r="E147" s="979" t="n"/>
      <c r="F147" s="979" t="n"/>
      <c r="G147" s="979" t="n"/>
      <c r="H147" s="979" t="n"/>
      <c r="I147" s="979" t="n"/>
      <c r="J147" s="979" t="n"/>
      <c r="K147" s="979" t="n"/>
      <c r="L147" s="979" t="n"/>
      <c r="M147" s="979" t="n"/>
      <c r="N147" s="979" t="n"/>
      <c r="O147" s="979" t="n"/>
      <c r="P147" s="979" t="n"/>
      <c r="Q147" s="979" t="n"/>
      <c r="R147" s="979" t="n"/>
      <c r="S147" s="979" t="n"/>
      <c r="T147" s="979" t="n"/>
      <c r="U147" s="979" t="n"/>
      <c r="V147" s="979" t="n"/>
      <c r="W147" s="979" t="n"/>
      <c r="X147" s="979" t="n"/>
      <c r="Y147" s="979" t="n"/>
      <c r="Z147" s="979" t="n"/>
      <c r="AA147" s="694" t="n"/>
      <c r="AB147" s="694" t="n"/>
      <c r="AC147" s="694" t="n"/>
    </row>
    <row r="148" ht="27" customHeight="1">
      <c r="A148" s="63" t="inlineStr">
        <is>
          <t>SU004115</t>
        </is>
      </c>
      <c r="B148" s="63" t="inlineStr">
        <is>
          <t>P005372</t>
        </is>
      </c>
      <c r="C148" s="36" t="n">
        <v>4301052174</v>
      </c>
      <c r="D148" s="695" t="n">
        <v>4680115888203</v>
      </c>
      <c r="E148" s="989" t="n"/>
      <c r="F148" s="1028" t="n">
        <v>0.22</v>
      </c>
      <c r="G148" s="37" t="n">
        <v>9</v>
      </c>
      <c r="H148" s="1028" t="n">
        <v>1.98</v>
      </c>
      <c r="I148" s="1028" t="n">
        <v>2.259</v>
      </c>
      <c r="J148" s="37" t="n">
        <v>182</v>
      </c>
      <c r="K148" s="37" t="inlineStr">
        <is>
          <t>14</t>
        </is>
      </c>
      <c r="L148" s="37" t="inlineStr"/>
      <c r="M148" s="38" t="inlineStr">
        <is>
          <t>СК4</t>
        </is>
      </c>
      <c r="N148" s="38" t="n"/>
      <c r="O148" s="37" t="n">
        <v>40</v>
      </c>
      <c r="P148" s="1100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/>
      </c>
      <c r="Q148" s="1030" t="n"/>
      <c r="R148" s="1030" t="n"/>
      <c r="S148" s="1030" t="n"/>
      <c r="T148" s="1031" t="n"/>
      <c r="U148" s="39" t="inlineStr"/>
      <c r="V148" s="39" t="inlineStr"/>
      <c r="W148" s="40" t="inlineStr">
        <is>
          <t>кг</t>
        </is>
      </c>
      <c r="X148" s="1032" t="n">
        <v>0</v>
      </c>
      <c r="Y148" s="1033">
        <f>IFERROR(IF(X148="",0,CEILING((X148/$H148),1)*$H148),"")</f>
        <v/>
      </c>
      <c r="Z148" s="41">
        <f>IFERROR(IF(Y148=0,"",ROUNDUP(Y148/H148,0)*0.00651),"")</f>
        <v/>
      </c>
      <c r="AA148" s="68" t="inlineStr"/>
      <c r="AB148" s="69" t="inlineStr"/>
      <c r="AC148" s="212" t="inlineStr">
        <is>
          <t>ЕАЭС N RU Д-RU.РА01.В.67898/26</t>
        </is>
      </c>
      <c r="AG148" s="78" t="n"/>
      <c r="AJ148" s="84" t="inlineStr"/>
      <c r="AK148" s="84" t="n">
        <v>0</v>
      </c>
      <c r="BB148" s="213" t="inlineStr">
        <is>
          <t>КИ</t>
        </is>
      </c>
      <c r="BM148" s="78">
        <f>IFERROR(X148*I148/H148,"0")</f>
        <v/>
      </c>
      <c r="BN148" s="78">
        <f>IFERROR(Y148*I148/H148,"0")</f>
        <v/>
      </c>
      <c r="BO148" s="78">
        <f>IFERROR(1/J148*(X148/H148),"0")</f>
        <v/>
      </c>
      <c r="BP148" s="78">
        <f>IFERROR(1/J148*(Y148/H148),"0")</f>
        <v/>
      </c>
    </row>
    <row r="149" ht="27" customHeight="1">
      <c r="A149" s="63" t="inlineStr">
        <is>
          <t>SU004113</t>
        </is>
      </c>
      <c r="B149" s="63" t="inlineStr">
        <is>
          <t>P005370</t>
        </is>
      </c>
      <c r="C149" s="36" t="n">
        <v>4301052172</v>
      </c>
      <c r="D149" s="695" t="n">
        <v>4680115888180</v>
      </c>
      <c r="E149" s="989" t="n"/>
      <c r="F149" s="1028" t="n">
        <v>0.22</v>
      </c>
      <c r="G149" s="37" t="n">
        <v>9</v>
      </c>
      <c r="H149" s="1028" t="n">
        <v>1.98</v>
      </c>
      <c r="I149" s="1028" t="n">
        <v>2.259</v>
      </c>
      <c r="J149" s="37" t="n">
        <v>182</v>
      </c>
      <c r="K149" s="37" t="inlineStr">
        <is>
          <t>14</t>
        </is>
      </c>
      <c r="L149" s="37" t="inlineStr"/>
      <c r="M149" s="38" t="inlineStr">
        <is>
          <t>СК4</t>
        </is>
      </c>
      <c r="N149" s="38" t="n"/>
      <c r="O149" s="37" t="n">
        <v>40</v>
      </c>
      <c r="P149" s="1101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/>
      </c>
      <c r="Q149" s="1030" t="n"/>
      <c r="R149" s="1030" t="n"/>
      <c r="S149" s="1030" t="n"/>
      <c r="T149" s="1031" t="n"/>
      <c r="U149" s="39" t="inlineStr"/>
      <c r="V149" s="39" t="inlineStr"/>
      <c r="W149" s="40" t="inlineStr">
        <is>
          <t>кг</t>
        </is>
      </c>
      <c r="X149" s="1032" t="n">
        <v>0</v>
      </c>
      <c r="Y149" s="1033">
        <f>IFERROR(IF(X149="",0,CEILING((X149/$H149),1)*$H149),"")</f>
        <v/>
      </c>
      <c r="Z149" s="41">
        <f>IFERROR(IF(Y149=0,"",ROUNDUP(Y149/H149,0)*0.00651),"")</f>
        <v/>
      </c>
      <c r="AA149" s="68" t="inlineStr"/>
      <c r="AB149" s="69" t="inlineStr"/>
      <c r="AC149" s="214" t="inlineStr">
        <is>
          <t>ЕАЭС N RU Д-RU.РА01.В.65080/26</t>
        </is>
      </c>
      <c r="AG149" s="78" t="n"/>
      <c r="AJ149" s="84" t="inlineStr"/>
      <c r="AK149" s="84" t="n">
        <v>0</v>
      </c>
      <c r="BB149" s="215" t="inlineStr">
        <is>
          <t>КИ</t>
        </is>
      </c>
      <c r="BM149" s="78">
        <f>IFERROR(X149*I149/H149,"0")</f>
        <v/>
      </c>
      <c r="BN149" s="78">
        <f>IFERROR(Y149*I149/H149,"0")</f>
        <v/>
      </c>
      <c r="BO149" s="78">
        <f>IFERROR(1/J149*(X149/H149),"0")</f>
        <v/>
      </c>
      <c r="BP149" s="78">
        <f>IFERROR(1/J149*(Y149/H149),"0")</f>
        <v/>
      </c>
    </row>
    <row r="150" ht="27" customHeight="1">
      <c r="A150" s="63" t="inlineStr">
        <is>
          <t>SU004114</t>
        </is>
      </c>
      <c r="B150" s="63" t="inlineStr">
        <is>
          <t>P005371</t>
        </is>
      </c>
      <c r="C150" s="36" t="n">
        <v>4301052173</v>
      </c>
      <c r="D150" s="695" t="n">
        <v>4680115888197</v>
      </c>
      <c r="E150" s="989" t="n"/>
      <c r="F150" s="1028" t="n">
        <v>0.22</v>
      </c>
      <c r="G150" s="37" t="n">
        <v>9</v>
      </c>
      <c r="H150" s="1028" t="n">
        <v>1.98</v>
      </c>
      <c r="I150" s="1028" t="n">
        <v>2.259</v>
      </c>
      <c r="J150" s="37" t="n">
        <v>182</v>
      </c>
      <c r="K150" s="37" t="inlineStr">
        <is>
          <t>14</t>
        </is>
      </c>
      <c r="L150" s="37" t="inlineStr"/>
      <c r="M150" s="38" t="inlineStr">
        <is>
          <t>СК4</t>
        </is>
      </c>
      <c r="N150" s="38" t="n"/>
      <c r="O150" s="37" t="n">
        <v>40</v>
      </c>
      <c r="P150" s="1102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/>
      </c>
      <c r="Q150" s="1030" t="n"/>
      <c r="R150" s="1030" t="n"/>
      <c r="S150" s="1030" t="n"/>
      <c r="T150" s="1031" t="n"/>
      <c r="U150" s="39" t="inlineStr"/>
      <c r="V150" s="39" t="inlineStr"/>
      <c r="W150" s="40" t="inlineStr">
        <is>
          <t>кг</t>
        </is>
      </c>
      <c r="X150" s="1032" t="n">
        <v>0</v>
      </c>
      <c r="Y150" s="1033">
        <f>IFERROR(IF(X150="",0,CEILING((X150/$H150),1)*$H150),"")</f>
        <v/>
      </c>
      <c r="Z150" s="41">
        <f>IFERROR(IF(Y150=0,"",ROUNDUP(Y150/H150,0)*0.00651),"")</f>
        <v/>
      </c>
      <c r="AA150" s="68" t="inlineStr"/>
      <c r="AB150" s="69" t="inlineStr"/>
      <c r="AC150" s="216" t="inlineStr">
        <is>
          <t>ЕАЭС N RU Д-RU.РА01.В.67941/26</t>
        </is>
      </c>
      <c r="AG150" s="78" t="n"/>
      <c r="AJ150" s="84" t="inlineStr"/>
      <c r="AK150" s="84" t="n">
        <v>0</v>
      </c>
      <c r="BB150" s="217" t="inlineStr">
        <is>
          <t>КИ</t>
        </is>
      </c>
      <c r="BM150" s="78">
        <f>IFERROR(X150*I150/H150,"0")</f>
        <v/>
      </c>
      <c r="BN150" s="78">
        <f>IFERROR(Y150*I150/H150,"0")</f>
        <v/>
      </c>
      <c r="BO150" s="78">
        <f>IFERROR(1/J150*(X150/H150),"0")</f>
        <v/>
      </c>
      <c r="BP150" s="78">
        <f>IFERROR(1/J150*(Y150/H150),"0")</f>
        <v/>
      </c>
    </row>
    <row r="151" ht="27" customHeight="1">
      <c r="A151" s="63" t="inlineStr">
        <is>
          <t>SU004116</t>
        </is>
      </c>
      <c r="B151" s="63" t="inlineStr">
        <is>
          <t>P005373</t>
        </is>
      </c>
      <c r="C151" s="36" t="n">
        <v>4301052175</v>
      </c>
      <c r="D151" s="695" t="n">
        <v>4680115888210</v>
      </c>
      <c r="E151" s="989" t="n"/>
      <c r="F151" s="1028" t="n">
        <v>0.22</v>
      </c>
      <c r="G151" s="37" t="n">
        <v>9</v>
      </c>
      <c r="H151" s="1028" t="n">
        <v>1.98</v>
      </c>
      <c r="I151" s="1028" t="n">
        <v>2.259</v>
      </c>
      <c r="J151" s="37" t="n">
        <v>182</v>
      </c>
      <c r="K151" s="37" t="inlineStr">
        <is>
          <t>14</t>
        </is>
      </c>
      <c r="L151" s="37" t="inlineStr"/>
      <c r="M151" s="38" t="inlineStr">
        <is>
          <t>СК4</t>
        </is>
      </c>
      <c r="N151" s="38" t="n"/>
      <c r="O151" s="37" t="n">
        <v>40</v>
      </c>
      <c r="P151" s="1103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/>
      </c>
      <c r="Q151" s="1030" t="n"/>
      <c r="R151" s="1030" t="n"/>
      <c r="S151" s="1030" t="n"/>
      <c r="T151" s="1031" t="n"/>
      <c r="U151" s="39" t="inlineStr"/>
      <c r="V151" s="39" t="inlineStr"/>
      <c r="W151" s="40" t="inlineStr">
        <is>
          <t>кг</t>
        </is>
      </c>
      <c r="X151" s="1032" t="n">
        <v>0</v>
      </c>
      <c r="Y151" s="1033">
        <f>IFERROR(IF(X151="",0,CEILING((X151/$H151),1)*$H151),"")</f>
        <v/>
      </c>
      <c r="Z151" s="41">
        <f>IFERROR(IF(Y151=0,"",ROUNDUP(Y151/H151,0)*0.00651),"")</f>
        <v/>
      </c>
      <c r="AA151" s="68" t="inlineStr"/>
      <c r="AB151" s="69" t="inlineStr"/>
      <c r="AC151" s="218" t="inlineStr">
        <is>
          <t>ЕАЭС N RU Д-RU.РА01.В.67817/26</t>
        </is>
      </c>
      <c r="AG151" s="78" t="n"/>
      <c r="AJ151" s="84" t="inlineStr"/>
      <c r="AK151" s="84" t="n">
        <v>0</v>
      </c>
      <c r="BB151" s="219" t="inlineStr">
        <is>
          <t>КИ</t>
        </is>
      </c>
      <c r="BM151" s="78">
        <f>IFERROR(X151*I151/H151,"0")</f>
        <v/>
      </c>
      <c r="BN151" s="78">
        <f>IFERROR(Y151*I151/H151,"0")</f>
        <v/>
      </c>
      <c r="BO151" s="78">
        <f>IFERROR(1/J151*(X151/H151),"0")</f>
        <v/>
      </c>
      <c r="BP151" s="78">
        <f>IFERROR(1/J151*(Y151/H151),"0")</f>
        <v/>
      </c>
    </row>
    <row r="152">
      <c r="A152" s="704" t="n"/>
      <c r="B152" s="979" t="n"/>
      <c r="C152" s="979" t="n"/>
      <c r="D152" s="979" t="n"/>
      <c r="E152" s="979" t="n"/>
      <c r="F152" s="979" t="n"/>
      <c r="G152" s="979" t="n"/>
      <c r="H152" s="979" t="n"/>
      <c r="I152" s="979" t="n"/>
      <c r="J152" s="979" t="n"/>
      <c r="K152" s="979" t="n"/>
      <c r="L152" s="979" t="n"/>
      <c r="M152" s="979" t="n"/>
      <c r="N152" s="979" t="n"/>
      <c r="O152" s="1035" t="n"/>
      <c r="P152" s="1036" t="inlineStr">
        <is>
          <t>Итого</t>
        </is>
      </c>
      <c r="Q152" s="997" t="n"/>
      <c r="R152" s="997" t="n"/>
      <c r="S152" s="997" t="n"/>
      <c r="T152" s="997" t="n"/>
      <c r="U152" s="997" t="n"/>
      <c r="V152" s="998" t="n"/>
      <c r="W152" s="42" t="inlineStr">
        <is>
          <t>кор</t>
        </is>
      </c>
      <c r="X152" s="1037">
        <f>IFERROR(X148/H148,"0")+IFERROR(X149/H149,"0")+IFERROR(X150/H150,"0")+IFERROR(X151/H151,"0")</f>
        <v/>
      </c>
      <c r="Y152" s="1037">
        <f>IFERROR(Y148/H148,"0")+IFERROR(Y149/H149,"0")+IFERROR(Y150/H150,"0")+IFERROR(Y151/H151,"0")</f>
        <v/>
      </c>
      <c r="Z152" s="1037">
        <f>IFERROR(IF(Z148="",0,Z148),"0")+IFERROR(IF(Z149="",0,Z149),"0")+IFERROR(IF(Z150="",0,Z150),"0")+IFERROR(IF(Z151="",0,Z151),"0")</f>
        <v/>
      </c>
      <c r="AA152" s="1038" t="n"/>
      <c r="AB152" s="1038" t="n"/>
      <c r="AC152" s="1038" t="n"/>
    </row>
    <row r="153">
      <c r="A153" s="979" t="n"/>
      <c r="B153" s="979" t="n"/>
      <c r="C153" s="979" t="n"/>
      <c r="D153" s="979" t="n"/>
      <c r="E153" s="979" t="n"/>
      <c r="F153" s="979" t="n"/>
      <c r="G153" s="979" t="n"/>
      <c r="H153" s="979" t="n"/>
      <c r="I153" s="979" t="n"/>
      <c r="J153" s="979" t="n"/>
      <c r="K153" s="979" t="n"/>
      <c r="L153" s="979" t="n"/>
      <c r="M153" s="979" t="n"/>
      <c r="N153" s="979" t="n"/>
      <c r="O153" s="1035" t="n"/>
      <c r="P153" s="1036" t="inlineStr">
        <is>
          <t>Итого</t>
        </is>
      </c>
      <c r="Q153" s="997" t="n"/>
      <c r="R153" s="997" t="n"/>
      <c r="S153" s="997" t="n"/>
      <c r="T153" s="997" t="n"/>
      <c r="U153" s="997" t="n"/>
      <c r="V153" s="998" t="n"/>
      <c r="W153" s="42" t="inlineStr">
        <is>
          <t>кг</t>
        </is>
      </c>
      <c r="X153" s="1037">
        <f>IFERROR(SUM(X148:X151),"0")</f>
        <v/>
      </c>
      <c r="Y153" s="1037">
        <f>IFERROR(SUM(Y148:Y151),"0")</f>
        <v/>
      </c>
      <c r="Z153" s="42" t="n"/>
      <c r="AA153" s="1038" t="n"/>
      <c r="AB153" s="1038" t="n"/>
      <c r="AC153" s="1038" t="n"/>
    </row>
    <row r="154" ht="16.5" customHeight="1">
      <c r="A154" s="693" t="inlineStr">
        <is>
          <t>Вязанка</t>
        </is>
      </c>
      <c r="B154" s="979" t="n"/>
      <c r="C154" s="979" t="n"/>
      <c r="D154" s="979" t="n"/>
      <c r="E154" s="979" t="n"/>
      <c r="F154" s="979" t="n"/>
      <c r="G154" s="979" t="n"/>
      <c r="H154" s="979" t="n"/>
      <c r="I154" s="979" t="n"/>
      <c r="J154" s="979" t="n"/>
      <c r="K154" s="979" t="n"/>
      <c r="L154" s="979" t="n"/>
      <c r="M154" s="979" t="n"/>
      <c r="N154" s="979" t="n"/>
      <c r="O154" s="979" t="n"/>
      <c r="P154" s="979" t="n"/>
      <c r="Q154" s="979" t="n"/>
      <c r="R154" s="979" t="n"/>
      <c r="S154" s="979" t="n"/>
      <c r="T154" s="979" t="n"/>
      <c r="U154" s="979" t="n"/>
      <c r="V154" s="979" t="n"/>
      <c r="W154" s="979" t="n"/>
      <c r="X154" s="979" t="n"/>
      <c r="Y154" s="979" t="n"/>
      <c r="Z154" s="979" t="n"/>
      <c r="AA154" s="693" t="n"/>
      <c r="AB154" s="693" t="n"/>
      <c r="AC154" s="693" t="n"/>
    </row>
    <row r="155" ht="14.25" customHeight="1">
      <c r="A155" s="694" t="inlineStr">
        <is>
          <t>Вареные колбасы</t>
        </is>
      </c>
      <c r="B155" s="979" t="n"/>
      <c r="C155" s="979" t="n"/>
      <c r="D155" s="979" t="n"/>
      <c r="E155" s="979" t="n"/>
      <c r="F155" s="979" t="n"/>
      <c r="G155" s="979" t="n"/>
      <c r="H155" s="979" t="n"/>
      <c r="I155" s="979" t="n"/>
      <c r="J155" s="979" t="n"/>
      <c r="K155" s="979" t="n"/>
      <c r="L155" s="979" t="n"/>
      <c r="M155" s="979" t="n"/>
      <c r="N155" s="979" t="n"/>
      <c r="O155" s="979" t="n"/>
      <c r="P155" s="979" t="n"/>
      <c r="Q155" s="979" t="n"/>
      <c r="R155" s="979" t="n"/>
      <c r="S155" s="979" t="n"/>
      <c r="T155" s="979" t="n"/>
      <c r="U155" s="979" t="n"/>
      <c r="V155" s="979" t="n"/>
      <c r="W155" s="979" t="n"/>
      <c r="X155" s="979" t="n"/>
      <c r="Y155" s="979" t="n"/>
      <c r="Z155" s="979" t="n"/>
      <c r="AA155" s="694" t="n"/>
      <c r="AB155" s="694" t="n"/>
      <c r="AC155" s="694" t="n"/>
    </row>
    <row r="156" ht="16.5" customHeight="1">
      <c r="A156" s="63" t="inlineStr">
        <is>
          <t>SU004155</t>
        </is>
      </c>
      <c r="B156" s="63" t="inlineStr">
        <is>
          <t>P005431</t>
        </is>
      </c>
      <c r="C156" s="36" t="n">
        <v>4301012344</v>
      </c>
      <c r="D156" s="695" t="n">
        <v>4680115888876</v>
      </c>
      <c r="E156" s="989" t="n"/>
      <c r="F156" s="1028" t="n">
        <v>0.43</v>
      </c>
      <c r="G156" s="37" t="n">
        <v>6</v>
      </c>
      <c r="H156" s="1028" t="n">
        <v>2.58</v>
      </c>
      <c r="I156" s="1028" t="n">
        <v>2.76</v>
      </c>
      <c r="J156" s="37" t="n">
        <v>182</v>
      </c>
      <c r="K156" s="37" t="inlineStr">
        <is>
          <t>14</t>
        </is>
      </c>
      <c r="L156" s="37" t="inlineStr"/>
      <c r="M156" s="38" t="inlineStr">
        <is>
          <t>СК3</t>
        </is>
      </c>
      <c r="N156" s="38" t="n"/>
      <c r="O156" s="37" t="n">
        <v>55</v>
      </c>
      <c r="P156" s="1104">
        <f>HYPERLINK("https://abi.ru/products/Охлажденные/Вязанка/Вязанка/Вареные колбасы/P005431/","Вареные колбасы «Классик» Фикс.вес 0,43 п/а ТМ «Вязанка»")</f>
        <v/>
      </c>
      <c r="Q156" s="1030" t="n"/>
      <c r="R156" s="1030" t="n"/>
      <c r="S156" s="1030" t="n"/>
      <c r="T156" s="1031" t="n"/>
      <c r="U156" s="39" t="inlineStr"/>
      <c r="V156" s="39" t="inlineStr"/>
      <c r="W156" s="40" t="inlineStr">
        <is>
          <t>кг</t>
        </is>
      </c>
      <c r="X156" s="1032" t="n">
        <v>0</v>
      </c>
      <c r="Y156" s="1033">
        <f>IFERROR(IF(X156="",0,CEILING((X156/$H156),1)*$H156),"")</f>
        <v/>
      </c>
      <c r="Z156" s="41">
        <f>IFERROR(IF(Y156=0,"",ROUNDUP(Y156/H156,0)*0.00651),"")</f>
        <v/>
      </c>
      <c r="AA156" s="68" t="inlineStr"/>
      <c r="AB156" s="69" t="inlineStr">
        <is>
          <t>Новинка</t>
        </is>
      </c>
      <c r="AC156" s="220" t="inlineStr">
        <is>
          <t>ЕАЭС N RU Д-RU.РА04.В.18635/26</t>
        </is>
      </c>
      <c r="AG156" s="78" t="n"/>
      <c r="AJ156" s="84" t="inlineStr"/>
      <c r="AK156" s="84" t="n">
        <v>0</v>
      </c>
      <c r="BB156" s="221" t="inlineStr">
        <is>
          <t>КИ</t>
        </is>
      </c>
      <c r="BM156" s="78">
        <f>IFERROR(X156*I156/H156,"0")</f>
        <v/>
      </c>
      <c r="BN156" s="78">
        <f>IFERROR(Y156*I156/H156,"0")</f>
        <v/>
      </c>
      <c r="BO156" s="78">
        <f>IFERROR(1/J156*(X156/H156),"0")</f>
        <v/>
      </c>
      <c r="BP156" s="78">
        <f>IFERROR(1/J156*(Y156/H156),"0")</f>
        <v/>
      </c>
    </row>
    <row r="157" ht="27" customHeight="1">
      <c r="A157" s="63" t="inlineStr">
        <is>
          <t>SU004028</t>
        </is>
      </c>
      <c r="B157" s="63" t="inlineStr">
        <is>
          <t>P005156</t>
        </is>
      </c>
      <c r="C157" s="36" t="n">
        <v>4301012244</v>
      </c>
      <c r="D157" s="695" t="n">
        <v>4680115887374</v>
      </c>
      <c r="E157" s="989" t="n"/>
      <c r="F157" s="1028" t="n">
        <v>1.6</v>
      </c>
      <c r="G157" s="37" t="n">
        <v>8</v>
      </c>
      <c r="H157" s="1028" t="n">
        <v>12.8</v>
      </c>
      <c r="I157" s="1028" t="n">
        <v>13.21</v>
      </c>
      <c r="J157" s="37" t="n">
        <v>64</v>
      </c>
      <c r="K157" s="37" t="inlineStr">
        <is>
          <t>8</t>
        </is>
      </c>
      <c r="L157" s="37" t="inlineStr"/>
      <c r="M157" s="38" t="inlineStr">
        <is>
          <t>СК1</t>
        </is>
      </c>
      <c r="N157" s="38" t="n"/>
      <c r="O157" s="37" t="n">
        <v>55</v>
      </c>
      <c r="P157" s="1105">
        <f>HYPERLINK("https://abi.ru/products/Охлажденные/Вязанка/Вязанка/Вареные колбасы/P005156/","Вареные колбасы «Мясная Классическая» Весовой п/а ТМ «Вязанка»")</f>
        <v/>
      </c>
      <c r="Q157" s="1030" t="n"/>
      <c r="R157" s="1030" t="n"/>
      <c r="S157" s="1030" t="n"/>
      <c r="T157" s="1031" t="n"/>
      <c r="U157" s="39" t="inlineStr"/>
      <c r="V157" s="39" t="inlineStr"/>
      <c r="W157" s="40" t="inlineStr">
        <is>
          <t>кг</t>
        </is>
      </c>
      <c r="X157" s="1032" t="n">
        <v>0</v>
      </c>
      <c r="Y157" s="1033">
        <f>IFERROR(IF(X157="",0,CEILING((X157/$H157),1)*$H157),"")</f>
        <v/>
      </c>
      <c r="Z157" s="41">
        <f>IFERROR(IF(Y157=0,"",ROUNDUP(Y157/H157,0)*0.01898),"")</f>
        <v/>
      </c>
      <c r="AA157" s="68" t="inlineStr"/>
      <c r="AB157" s="69" t="inlineStr"/>
      <c r="AC157" s="222" t="inlineStr">
        <is>
          <t>ЕАЭС N RU Д-RU.РА09.В.00669/25</t>
        </is>
      </c>
      <c r="AG157" s="78" t="n"/>
      <c r="AJ157" s="84" t="inlineStr"/>
      <c r="AK157" s="84" t="n">
        <v>0</v>
      </c>
      <c r="BB157" s="223" t="inlineStr">
        <is>
          <t>КИ</t>
        </is>
      </c>
      <c r="BM157" s="78">
        <f>IFERROR(X157*I157/H157,"0")</f>
        <v/>
      </c>
      <c r="BN157" s="78">
        <f>IFERROR(Y157*I157/H157,"0")</f>
        <v/>
      </c>
      <c r="BO157" s="78">
        <f>IFERROR(1/J157*(X157/H157),"0")</f>
        <v/>
      </c>
      <c r="BP157" s="78">
        <f>IFERROR(1/J157*(Y157/H157),"0")</f>
        <v/>
      </c>
    </row>
    <row r="158" ht="27" customHeight="1">
      <c r="A158" s="63" t="inlineStr">
        <is>
          <t>SU002312</t>
        </is>
      </c>
      <c r="B158" s="63" t="inlineStr">
        <is>
          <t>P003913</t>
        </is>
      </c>
      <c r="C158" s="36" t="n">
        <v>4301011705</v>
      </c>
      <c r="D158" s="695" t="n">
        <v>4607091384604</v>
      </c>
      <c r="E158" s="989" t="n"/>
      <c r="F158" s="1028" t="n">
        <v>0.4</v>
      </c>
      <c r="G158" s="37" t="n">
        <v>10</v>
      </c>
      <c r="H158" s="1028" t="n">
        <v>4</v>
      </c>
      <c r="I158" s="1028" t="n">
        <v>4.19</v>
      </c>
      <c r="J158" s="37" t="n">
        <v>132</v>
      </c>
      <c r="K158" s="37" t="inlineStr">
        <is>
          <t>12</t>
        </is>
      </c>
      <c r="L158" s="37" t="inlineStr"/>
      <c r="M158" s="38" t="inlineStr">
        <is>
          <t>СК1</t>
        </is>
      </c>
      <c r="N158" s="38" t="n"/>
      <c r="O158" s="37" t="n">
        <v>50</v>
      </c>
      <c r="P158" s="1106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58" s="1030" t="n"/>
      <c r="R158" s="1030" t="n"/>
      <c r="S158" s="1030" t="n"/>
      <c r="T158" s="1031" t="n"/>
      <c r="U158" s="39" t="inlineStr"/>
      <c r="V158" s="39" t="inlineStr"/>
      <c r="W158" s="40" t="inlineStr">
        <is>
          <t>кг</t>
        </is>
      </c>
      <c r="X158" s="1032" t="n">
        <v>0</v>
      </c>
      <c r="Y158" s="1033">
        <f>IFERROR(IF(X158="",0,CEILING((X158/$H158),1)*$H158),"")</f>
        <v/>
      </c>
      <c r="Z158" s="41">
        <f>IFERROR(IF(Y158=0,"",ROUNDUP(Y158/H158,0)*0.00902),"")</f>
        <v/>
      </c>
      <c r="AA158" s="68" t="inlineStr"/>
      <c r="AB158" s="69" t="inlineStr"/>
      <c r="AC158" s="224" t="inlineStr">
        <is>
          <t>ЕАЭС N RU Д-RU.РА09.В.89339/25</t>
        </is>
      </c>
      <c r="AG158" s="78" t="n"/>
      <c r="AJ158" s="84" t="inlineStr"/>
      <c r="AK158" s="84" t="n">
        <v>0</v>
      </c>
      <c r="BB158" s="225" t="inlineStr">
        <is>
          <t>КИ</t>
        </is>
      </c>
      <c r="BM158" s="78">
        <f>IFERROR(X158*I158/H158,"0")</f>
        <v/>
      </c>
      <c r="BN158" s="78">
        <f>IFERROR(Y158*I158/H158,"0")</f>
        <v/>
      </c>
      <c r="BO158" s="78">
        <f>IFERROR(1/J158*(X158/H158),"0")</f>
        <v/>
      </c>
      <c r="BP158" s="78">
        <f>IFERROR(1/J158*(Y158/H158),"0")</f>
        <v/>
      </c>
    </row>
    <row r="159">
      <c r="A159" s="704" t="n"/>
      <c r="B159" s="979" t="n"/>
      <c r="C159" s="979" t="n"/>
      <c r="D159" s="979" t="n"/>
      <c r="E159" s="979" t="n"/>
      <c r="F159" s="979" t="n"/>
      <c r="G159" s="979" t="n"/>
      <c r="H159" s="979" t="n"/>
      <c r="I159" s="979" t="n"/>
      <c r="J159" s="979" t="n"/>
      <c r="K159" s="979" t="n"/>
      <c r="L159" s="979" t="n"/>
      <c r="M159" s="979" t="n"/>
      <c r="N159" s="979" t="n"/>
      <c r="O159" s="1035" t="n"/>
      <c r="P159" s="1036" t="inlineStr">
        <is>
          <t>Итого</t>
        </is>
      </c>
      <c r="Q159" s="997" t="n"/>
      <c r="R159" s="997" t="n"/>
      <c r="S159" s="997" t="n"/>
      <c r="T159" s="997" t="n"/>
      <c r="U159" s="997" t="n"/>
      <c r="V159" s="998" t="n"/>
      <c r="W159" s="42" t="inlineStr">
        <is>
          <t>кор</t>
        </is>
      </c>
      <c r="X159" s="1037">
        <f>IFERROR(X156/H156,"0")+IFERROR(X157/H157,"0")+IFERROR(X158/H158,"0")</f>
        <v/>
      </c>
      <c r="Y159" s="1037">
        <f>IFERROR(Y156/H156,"0")+IFERROR(Y157/H157,"0")+IFERROR(Y158/H158,"0")</f>
        <v/>
      </c>
      <c r="Z159" s="1037">
        <f>IFERROR(IF(Z156="",0,Z156),"0")+IFERROR(IF(Z157="",0,Z157),"0")+IFERROR(IF(Z158="",0,Z158),"0")</f>
        <v/>
      </c>
      <c r="AA159" s="1038" t="n"/>
      <c r="AB159" s="1038" t="n"/>
      <c r="AC159" s="1038" t="n"/>
    </row>
    <row r="160">
      <c r="A160" s="979" t="n"/>
      <c r="B160" s="979" t="n"/>
      <c r="C160" s="979" t="n"/>
      <c r="D160" s="979" t="n"/>
      <c r="E160" s="979" t="n"/>
      <c r="F160" s="979" t="n"/>
      <c r="G160" s="979" t="n"/>
      <c r="H160" s="979" t="n"/>
      <c r="I160" s="979" t="n"/>
      <c r="J160" s="979" t="n"/>
      <c r="K160" s="979" t="n"/>
      <c r="L160" s="979" t="n"/>
      <c r="M160" s="979" t="n"/>
      <c r="N160" s="979" t="n"/>
      <c r="O160" s="1035" t="n"/>
      <c r="P160" s="1036" t="inlineStr">
        <is>
          <t>Итого</t>
        </is>
      </c>
      <c r="Q160" s="997" t="n"/>
      <c r="R160" s="997" t="n"/>
      <c r="S160" s="997" t="n"/>
      <c r="T160" s="997" t="n"/>
      <c r="U160" s="997" t="n"/>
      <c r="V160" s="998" t="n"/>
      <c r="W160" s="42" t="inlineStr">
        <is>
          <t>кг</t>
        </is>
      </c>
      <c r="X160" s="1037">
        <f>IFERROR(SUM(X156:X158),"0")</f>
        <v/>
      </c>
      <c r="Y160" s="1037">
        <f>IFERROR(SUM(Y156:Y158),"0")</f>
        <v/>
      </c>
      <c r="Z160" s="42" t="n"/>
      <c r="AA160" s="1038" t="n"/>
      <c r="AB160" s="1038" t="n"/>
      <c r="AC160" s="1038" t="n"/>
    </row>
    <row r="161" ht="14.25" customHeight="1">
      <c r="A161" s="694" t="inlineStr">
        <is>
          <t>Ветчины</t>
        </is>
      </c>
      <c r="B161" s="979" t="n"/>
      <c r="C161" s="979" t="n"/>
      <c r="D161" s="979" t="n"/>
      <c r="E161" s="979" t="n"/>
      <c r="F161" s="979" t="n"/>
      <c r="G161" s="979" t="n"/>
      <c r="H161" s="979" t="n"/>
      <c r="I161" s="979" t="n"/>
      <c r="J161" s="979" t="n"/>
      <c r="K161" s="979" t="n"/>
      <c r="L161" s="979" t="n"/>
      <c r="M161" s="979" t="n"/>
      <c r="N161" s="979" t="n"/>
      <c r="O161" s="979" t="n"/>
      <c r="P161" s="979" t="n"/>
      <c r="Q161" s="979" t="n"/>
      <c r="R161" s="979" t="n"/>
      <c r="S161" s="979" t="n"/>
      <c r="T161" s="979" t="n"/>
      <c r="U161" s="979" t="n"/>
      <c r="V161" s="979" t="n"/>
      <c r="W161" s="979" t="n"/>
      <c r="X161" s="979" t="n"/>
      <c r="Y161" s="979" t="n"/>
      <c r="Z161" s="979" t="n"/>
      <c r="AA161" s="694" t="n"/>
      <c r="AB161" s="694" t="n"/>
      <c r="AC161" s="694" t="n"/>
    </row>
    <row r="162" ht="16.5" customHeight="1">
      <c r="A162" s="63" t="inlineStr">
        <is>
          <t>SU003987</t>
        </is>
      </c>
      <c r="B162" s="63" t="inlineStr">
        <is>
          <t>P005122</t>
        </is>
      </c>
      <c r="C162" s="36" t="n">
        <v>4301020410</v>
      </c>
      <c r="D162" s="695" t="n">
        <v>4680115887695</v>
      </c>
      <c r="E162" s="989" t="n"/>
      <c r="F162" s="1028" t="n">
        <v>0.12</v>
      </c>
      <c r="G162" s="37" t="n">
        <v>6</v>
      </c>
      <c r="H162" s="1028" t="n">
        <v>0.72</v>
      </c>
      <c r="I162" s="1028" t="n">
        <v>0.85</v>
      </c>
      <c r="J162" s="37" t="n">
        <v>252</v>
      </c>
      <c r="K162" s="37" t="inlineStr">
        <is>
          <t>18</t>
        </is>
      </c>
      <c r="L162" s="37" t="inlineStr"/>
      <c r="M162" s="38" t="inlineStr">
        <is>
          <t>СК2</t>
        </is>
      </c>
      <c r="N162" s="38" t="n"/>
      <c r="O162" s="37" t="n">
        <v>30</v>
      </c>
      <c r="P162" s="1107">
        <f>HYPERLINK("https://abi.ru/products/Охлажденные/Вязанка/Вязанка/Ветчины/P005122/","Ветчины «Ореховая» Фикс.вес 0,12 нарезка ТМ «Вязанка»")</f>
        <v/>
      </c>
      <c r="Q162" s="1030" t="n"/>
      <c r="R162" s="1030" t="n"/>
      <c r="S162" s="1030" t="n"/>
      <c r="T162" s="1031" t="n"/>
      <c r="U162" s="39" t="inlineStr"/>
      <c r="V162" s="39" t="inlineStr"/>
      <c r="W162" s="40" t="inlineStr">
        <is>
          <t>кг</t>
        </is>
      </c>
      <c r="X162" s="1032" t="n">
        <v>0</v>
      </c>
      <c r="Y162" s="1033">
        <f>IFERROR(IF(X162="",0,CEILING((X162/$H162),1)*$H162),"")</f>
        <v/>
      </c>
      <c r="Z162" s="41">
        <f>IFERROR(IF(Y162=0,"",ROUNDUP(Y162/H162,0)*0.00556),"")</f>
        <v/>
      </c>
      <c r="AA162" s="68" t="inlineStr"/>
      <c r="AB162" s="69" t="inlineStr"/>
      <c r="AC162" s="226" t="inlineStr">
        <is>
          <t>ЕАЭС N RU Д-RU.РА08.В.75650/25</t>
        </is>
      </c>
      <c r="AG162" s="78" t="n"/>
      <c r="AJ162" s="84" t="inlineStr"/>
      <c r="AK162" s="84" t="n">
        <v>0</v>
      </c>
      <c r="BB162" s="227" t="inlineStr">
        <is>
          <t>КИ</t>
        </is>
      </c>
      <c r="BM162" s="78">
        <f>IFERROR(X162*I162/H162,"0")</f>
        <v/>
      </c>
      <c r="BN162" s="78">
        <f>IFERROR(Y162*I162/H162,"0")</f>
        <v/>
      </c>
      <c r="BO162" s="78">
        <f>IFERROR(1/J162*(X162/H162),"0")</f>
        <v/>
      </c>
      <c r="BP162" s="78">
        <f>IFERROR(1/J162*(Y162/H162),"0")</f>
        <v/>
      </c>
    </row>
    <row r="163">
      <c r="A163" s="704" t="n"/>
      <c r="B163" s="979" t="n"/>
      <c r="C163" s="979" t="n"/>
      <c r="D163" s="979" t="n"/>
      <c r="E163" s="979" t="n"/>
      <c r="F163" s="979" t="n"/>
      <c r="G163" s="979" t="n"/>
      <c r="H163" s="979" t="n"/>
      <c r="I163" s="979" t="n"/>
      <c r="J163" s="979" t="n"/>
      <c r="K163" s="979" t="n"/>
      <c r="L163" s="979" t="n"/>
      <c r="M163" s="979" t="n"/>
      <c r="N163" s="979" t="n"/>
      <c r="O163" s="1035" t="n"/>
      <c r="P163" s="1036" t="inlineStr">
        <is>
          <t>Итого</t>
        </is>
      </c>
      <c r="Q163" s="997" t="n"/>
      <c r="R163" s="997" t="n"/>
      <c r="S163" s="997" t="n"/>
      <c r="T163" s="997" t="n"/>
      <c r="U163" s="997" t="n"/>
      <c r="V163" s="998" t="n"/>
      <c r="W163" s="42" t="inlineStr">
        <is>
          <t>кор</t>
        </is>
      </c>
      <c r="X163" s="1037">
        <f>IFERROR(X162/H162,"0")</f>
        <v/>
      </c>
      <c r="Y163" s="1037">
        <f>IFERROR(Y162/H162,"0")</f>
        <v/>
      </c>
      <c r="Z163" s="1037">
        <f>IFERROR(IF(Z162="",0,Z162),"0")</f>
        <v/>
      </c>
      <c r="AA163" s="1038" t="n"/>
      <c r="AB163" s="1038" t="n"/>
      <c r="AC163" s="1038" t="n"/>
    </row>
    <row r="164">
      <c r="A164" s="979" t="n"/>
      <c r="B164" s="979" t="n"/>
      <c r="C164" s="979" t="n"/>
      <c r="D164" s="979" t="n"/>
      <c r="E164" s="979" t="n"/>
      <c r="F164" s="979" t="n"/>
      <c r="G164" s="979" t="n"/>
      <c r="H164" s="979" t="n"/>
      <c r="I164" s="979" t="n"/>
      <c r="J164" s="979" t="n"/>
      <c r="K164" s="979" t="n"/>
      <c r="L164" s="979" t="n"/>
      <c r="M164" s="979" t="n"/>
      <c r="N164" s="979" t="n"/>
      <c r="O164" s="1035" t="n"/>
      <c r="P164" s="1036" t="inlineStr">
        <is>
          <t>Итого</t>
        </is>
      </c>
      <c r="Q164" s="997" t="n"/>
      <c r="R164" s="997" t="n"/>
      <c r="S164" s="997" t="n"/>
      <c r="T164" s="997" t="n"/>
      <c r="U164" s="997" t="n"/>
      <c r="V164" s="998" t="n"/>
      <c r="W164" s="42" t="inlineStr">
        <is>
          <t>кг</t>
        </is>
      </c>
      <c r="X164" s="1037">
        <f>IFERROR(SUM(X162:X162),"0")</f>
        <v/>
      </c>
      <c r="Y164" s="1037">
        <f>IFERROR(SUM(Y162:Y162),"0")</f>
        <v/>
      </c>
      <c r="Z164" s="42" t="n"/>
      <c r="AA164" s="1038" t="n"/>
      <c r="AB164" s="1038" t="n"/>
      <c r="AC164" s="1038" t="n"/>
    </row>
    <row r="165" ht="14.25" customHeight="1">
      <c r="A165" s="694" t="inlineStr">
        <is>
          <t>Копченые колбасы</t>
        </is>
      </c>
      <c r="B165" s="979" t="n"/>
      <c r="C165" s="979" t="n"/>
      <c r="D165" s="979" t="n"/>
      <c r="E165" s="979" t="n"/>
      <c r="F165" s="979" t="n"/>
      <c r="G165" s="979" t="n"/>
      <c r="H165" s="979" t="n"/>
      <c r="I165" s="979" t="n"/>
      <c r="J165" s="979" t="n"/>
      <c r="K165" s="979" t="n"/>
      <c r="L165" s="979" t="n"/>
      <c r="M165" s="979" t="n"/>
      <c r="N165" s="979" t="n"/>
      <c r="O165" s="979" t="n"/>
      <c r="P165" s="979" t="n"/>
      <c r="Q165" s="979" t="n"/>
      <c r="R165" s="979" t="n"/>
      <c r="S165" s="979" t="n"/>
      <c r="T165" s="979" t="n"/>
      <c r="U165" s="979" t="n"/>
      <c r="V165" s="979" t="n"/>
      <c r="W165" s="979" t="n"/>
      <c r="X165" s="979" t="n"/>
      <c r="Y165" s="979" t="n"/>
      <c r="Z165" s="979" t="n"/>
      <c r="AA165" s="694" t="n"/>
      <c r="AB165" s="694" t="n"/>
      <c r="AC165" s="694" t="n"/>
    </row>
    <row r="166" ht="27" customHeight="1">
      <c r="A166" s="63" t="inlineStr">
        <is>
          <t>SU004041</t>
        </is>
      </c>
      <c r="B166" s="63" t="inlineStr">
        <is>
          <t>P005375</t>
        </is>
      </c>
      <c r="C166" s="36" t="n">
        <v>4301031496</v>
      </c>
      <c r="D166" s="695" t="n">
        <v>4680115887428</v>
      </c>
      <c r="E166" s="989" t="n"/>
      <c r="F166" s="1028" t="n">
        <v>0.7</v>
      </c>
      <c r="G166" s="37" t="n">
        <v>5</v>
      </c>
      <c r="H166" s="1028" t="n">
        <v>3.5</v>
      </c>
      <c r="I166" s="1028" t="n">
        <v>3.69</v>
      </c>
      <c r="J166" s="37" t="n">
        <v>132</v>
      </c>
      <c r="K166" s="37" t="inlineStr">
        <is>
          <t>12</t>
        </is>
      </c>
      <c r="L166" s="37" t="inlineStr"/>
      <c r="M166" s="38" t="inlineStr">
        <is>
          <t>СК2</t>
        </is>
      </c>
      <c r="N166" s="38" t="n"/>
      <c r="O166" s="37" t="n">
        <v>40</v>
      </c>
      <c r="P166" s="1108">
        <f>HYPERLINK("https://abi.ru/products/Охлажденные/Вязанка/Вязанка/Копченые колбасы/P005375/","Копченые колбасы «Балыковая» Весовой фиброуз ТМ «Вязанка»")</f>
        <v/>
      </c>
      <c r="Q166" s="1030" t="n"/>
      <c r="R166" s="1030" t="n"/>
      <c r="S166" s="1030" t="n"/>
      <c r="T166" s="1031" t="n"/>
      <c r="U166" s="39" t="inlineStr"/>
      <c r="V166" s="39" t="inlineStr"/>
      <c r="W166" s="40" t="inlineStr">
        <is>
          <t>кг</t>
        </is>
      </c>
      <c r="X166" s="1032" t="n">
        <v>0</v>
      </c>
      <c r="Y166" s="1033">
        <f>IFERROR(IF(X166="",0,CEILING((X166/$H166),1)*$H166),"")</f>
        <v/>
      </c>
      <c r="Z166" s="41">
        <f>IFERROR(IF(Y166=0,"",ROUNDUP(Y166/H166,0)*0.00902),"")</f>
        <v/>
      </c>
      <c r="AA166" s="68" t="inlineStr"/>
      <c r="AB166" s="69" t="inlineStr"/>
      <c r="AC166" s="228" t="inlineStr">
        <is>
          <t>ЕАЭС N RU Д-RU.РА11.В.18556/25</t>
        </is>
      </c>
      <c r="AG166" s="78" t="n"/>
      <c r="AJ166" s="84" t="inlineStr"/>
      <c r="AK166" s="84" t="n">
        <v>0</v>
      </c>
      <c r="BB166" s="229" t="inlineStr">
        <is>
          <t>КИ</t>
        </is>
      </c>
      <c r="BM166" s="78">
        <f>IFERROR(X166*I166/H166,"0")</f>
        <v/>
      </c>
      <c r="BN166" s="78">
        <f>IFERROR(Y166*I166/H166,"0")</f>
        <v/>
      </c>
      <c r="BO166" s="78">
        <f>IFERROR(1/J166*(X166/H166),"0")</f>
        <v/>
      </c>
      <c r="BP166" s="78">
        <f>IFERROR(1/J166*(Y166/H166),"0")</f>
        <v/>
      </c>
    </row>
    <row r="167" ht="27" customHeight="1">
      <c r="A167" s="63" t="inlineStr">
        <is>
          <t>SU000097</t>
        </is>
      </c>
      <c r="B167" s="63" t="inlineStr">
        <is>
          <t>P002179</t>
        </is>
      </c>
      <c r="C167" s="36" t="n">
        <v>4301030963</v>
      </c>
      <c r="D167" s="695" t="n">
        <v>4607091382426</v>
      </c>
      <c r="E167" s="989" t="n"/>
      <c r="F167" s="1028" t="n">
        <v>0.9</v>
      </c>
      <c r="G167" s="37" t="n">
        <v>10</v>
      </c>
      <c r="H167" s="1028" t="n">
        <v>9</v>
      </c>
      <c r="I167" s="1028" t="n">
        <v>9.56</v>
      </c>
      <c r="J167" s="37" t="n">
        <v>64</v>
      </c>
      <c r="K167" s="37" t="inlineStr">
        <is>
          <t>8</t>
        </is>
      </c>
      <c r="L167" s="37" t="inlineStr"/>
      <c r="M167" s="38" t="inlineStr">
        <is>
          <t>СК2</t>
        </is>
      </c>
      <c r="N167" s="38" t="n"/>
      <c r="O167" s="37" t="n">
        <v>40</v>
      </c>
      <c r="P167" s="1109">
        <f>HYPERLINK("https://abi.ru/products/Охлажденные/Вязанка/Вязанка/Копченые колбасы/P002179/","В/к колбасы Столичный Вязанка Весовые Фиброуз в/у Вязанка")</f>
        <v/>
      </c>
      <c r="Q167" s="1030" t="n"/>
      <c r="R167" s="1030" t="n"/>
      <c r="S167" s="1030" t="n"/>
      <c r="T167" s="1031" t="n"/>
      <c r="U167" s="39" t="inlineStr"/>
      <c r="V167" s="39" t="inlineStr"/>
      <c r="W167" s="40" t="inlineStr">
        <is>
          <t>кг</t>
        </is>
      </c>
      <c r="X167" s="1032" t="n">
        <v>0</v>
      </c>
      <c r="Y167" s="1033">
        <f>IFERROR(IF(X167="",0,CEILING((X167/$H167),1)*$H167),"")</f>
        <v/>
      </c>
      <c r="Z167" s="41">
        <f>IFERROR(IF(Y167=0,"",ROUNDUP(Y167/H167,0)*0.01898),"")</f>
        <v/>
      </c>
      <c r="AA167" s="68" t="inlineStr"/>
      <c r="AB167" s="69" t="inlineStr"/>
      <c r="AC167" s="230" t="inlineStr">
        <is>
          <t>ЕАЭС N RU Д-RU.РА08.В.45705/25</t>
        </is>
      </c>
      <c r="AG167" s="78" t="n"/>
      <c r="AJ167" s="84" t="inlineStr"/>
      <c r="AK167" s="84" t="n">
        <v>0</v>
      </c>
      <c r="BB167" s="231" t="inlineStr">
        <is>
          <t>КИ</t>
        </is>
      </c>
      <c r="BM167" s="78">
        <f>IFERROR(X167*I167/H167,"0")</f>
        <v/>
      </c>
      <c r="BN167" s="78">
        <f>IFERROR(Y167*I167/H167,"0")</f>
        <v/>
      </c>
      <c r="BO167" s="78">
        <f>IFERROR(1/J167*(X167/H167),"0")</f>
        <v/>
      </c>
      <c r="BP167" s="78">
        <f>IFERROR(1/J167*(Y167/H167),"0")</f>
        <v/>
      </c>
    </row>
    <row r="168" ht="27" customHeight="1">
      <c r="A168" s="63" t="inlineStr">
        <is>
          <t>SU004237</t>
        </is>
      </c>
      <c r="B168" s="63" t="inlineStr">
        <is>
          <t>P005466</t>
        </is>
      </c>
      <c r="C168" s="36" t="n">
        <v>4301031509</v>
      </c>
      <c r="D168" s="695" t="n">
        <v>4680115889170</v>
      </c>
      <c r="E168" s="989" t="n"/>
      <c r="F168" s="1028" t="n">
        <v>0.7</v>
      </c>
      <c r="G168" s="37" t="n">
        <v>5</v>
      </c>
      <c r="H168" s="1028" t="n">
        <v>3.5</v>
      </c>
      <c r="I168" s="1028" t="n">
        <v>3.765</v>
      </c>
      <c r="J168" s="37" t="n">
        <v>132</v>
      </c>
      <c r="K168" s="37" t="inlineStr">
        <is>
          <t>12</t>
        </is>
      </c>
      <c r="L168" s="37" t="inlineStr"/>
      <c r="M168" s="38" t="inlineStr">
        <is>
          <t>СК2</t>
        </is>
      </c>
      <c r="N168" s="38" t="n"/>
      <c r="O168" s="37" t="n">
        <v>45</v>
      </c>
      <c r="P168" s="1110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/>
      </c>
      <c r="Q168" s="1030" t="n"/>
      <c r="R168" s="1030" t="n"/>
      <c r="S168" s="1030" t="n"/>
      <c r="T168" s="1031" t="n"/>
      <c r="U168" s="39" t="inlineStr"/>
      <c r="V168" s="39" t="inlineStr"/>
      <c r="W168" s="40" t="inlineStr">
        <is>
          <t>кг</t>
        </is>
      </c>
      <c r="X168" s="1032" t="n">
        <v>0</v>
      </c>
      <c r="Y168" s="1033">
        <f>IFERROR(IF(X168="",0,CEILING((X168/$H168),1)*$H168),"")</f>
        <v/>
      </c>
      <c r="Z168" s="41">
        <f>IFERROR(IF(Y168=0,"",ROUNDUP(Y168/H168,0)*0.00902),"")</f>
        <v/>
      </c>
      <c r="AA168" s="68" t="inlineStr"/>
      <c r="AB168" s="69" t="inlineStr"/>
      <c r="AC168" s="232" t="inlineStr">
        <is>
          <t>ЕАЭС N RU Д-RU.РА04.В.47610/26</t>
        </is>
      </c>
      <c r="AG168" s="78" t="n"/>
      <c r="AJ168" s="84" t="inlineStr"/>
      <c r="AK168" s="84" t="n">
        <v>0</v>
      </c>
      <c r="BB168" s="233" t="inlineStr">
        <is>
          <t>КИ</t>
        </is>
      </c>
      <c r="BM168" s="78">
        <f>IFERROR(X168*I168/H168,"0")</f>
        <v/>
      </c>
      <c r="BN168" s="78">
        <f>IFERROR(Y168*I168/H168,"0")</f>
        <v/>
      </c>
      <c r="BO168" s="78">
        <f>IFERROR(1/J168*(X168/H168),"0")</f>
        <v/>
      </c>
      <c r="BP168" s="78">
        <f>IFERROR(1/J168*(Y168/H168),"0")</f>
        <v/>
      </c>
    </row>
    <row r="169" ht="27" customHeight="1">
      <c r="A169" s="63" t="inlineStr">
        <is>
          <t>SU004047</t>
        </is>
      </c>
      <c r="B169" s="63" t="inlineStr">
        <is>
          <t>P005377</t>
        </is>
      </c>
      <c r="C169" s="36" t="n">
        <v>4301031498</v>
      </c>
      <c r="D169" s="695" t="n">
        <v>4680115887398</v>
      </c>
      <c r="E169" s="989" t="n"/>
      <c r="F169" s="1028" t="n">
        <v>0.7</v>
      </c>
      <c r="G169" s="37" t="n">
        <v>5</v>
      </c>
      <c r="H169" s="1028" t="n">
        <v>3.5</v>
      </c>
      <c r="I169" s="1028" t="n">
        <v>3.69</v>
      </c>
      <c r="J169" s="37" t="n">
        <v>132</v>
      </c>
      <c r="K169" s="37" t="inlineStr">
        <is>
          <t>12</t>
        </is>
      </c>
      <c r="L169" s="37" t="inlineStr"/>
      <c r="M169" s="38" t="inlineStr">
        <is>
          <t>СК2</t>
        </is>
      </c>
      <c r="N169" s="38" t="n"/>
      <c r="O169" s="37" t="n">
        <v>40</v>
      </c>
      <c r="P169" s="1111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/>
      </c>
      <c r="Q169" s="1030" t="n"/>
      <c r="R169" s="1030" t="n"/>
      <c r="S169" s="1030" t="n"/>
      <c r="T169" s="1031" t="n"/>
      <c r="U169" s="39" t="inlineStr"/>
      <c r="V169" s="39" t="inlineStr"/>
      <c r="W169" s="40" t="inlineStr">
        <is>
          <t>кг</t>
        </is>
      </c>
      <c r="X169" s="1032" t="n">
        <v>0</v>
      </c>
      <c r="Y169" s="1033">
        <f>IFERROR(IF(X169="",0,CEILING((X169/$H169),1)*$H169),"")</f>
        <v/>
      </c>
      <c r="Z169" s="41">
        <f>IFERROR(IF(Y169=0,"",ROUNDUP(Y169/H169,0)*0.00902),"")</f>
        <v/>
      </c>
      <c r="AA169" s="68" t="inlineStr"/>
      <c r="AB169" s="69" t="inlineStr"/>
      <c r="AC169" s="234" t="inlineStr">
        <is>
          <t>ЕАЭС N RU Д-RU.РА07.В.14345/25</t>
        </is>
      </c>
      <c r="AG169" s="78" t="n"/>
      <c r="AJ169" s="84" t="inlineStr"/>
      <c r="AK169" s="84" t="n">
        <v>0</v>
      </c>
      <c r="BB169" s="235" t="inlineStr">
        <is>
          <t>КИ</t>
        </is>
      </c>
      <c r="BM169" s="78">
        <f>IFERROR(X169*I169/H169,"0")</f>
        <v/>
      </c>
      <c r="BN169" s="78">
        <f>IFERROR(Y169*I169/H169,"0")</f>
        <v/>
      </c>
      <c r="BO169" s="78">
        <f>IFERROR(1/J169*(X169/H169),"0")</f>
        <v/>
      </c>
      <c r="BP169" s="78">
        <f>IFERROR(1/J169*(Y169/H169),"0")</f>
        <v/>
      </c>
    </row>
    <row r="170" ht="27" customHeight="1">
      <c r="A170" s="63" t="inlineStr">
        <is>
          <t>SU004044</t>
        </is>
      </c>
      <c r="B170" s="63" t="inlineStr">
        <is>
          <t>P005376</t>
        </is>
      </c>
      <c r="C170" s="36" t="n">
        <v>4301031497</v>
      </c>
      <c r="D170" s="695" t="n">
        <v>4680115887336</v>
      </c>
      <c r="E170" s="989" t="n"/>
      <c r="F170" s="1028" t="n">
        <v>0.7</v>
      </c>
      <c r="G170" s="37" t="n">
        <v>5</v>
      </c>
      <c r="H170" s="1028" t="n">
        <v>3.5</v>
      </c>
      <c r="I170" s="1028" t="n">
        <v>3.69</v>
      </c>
      <c r="J170" s="37" t="n">
        <v>132</v>
      </c>
      <c r="K170" s="37" t="inlineStr">
        <is>
          <t>12</t>
        </is>
      </c>
      <c r="L170" s="37" t="inlineStr"/>
      <c r="M170" s="38" t="inlineStr">
        <is>
          <t>СК2</t>
        </is>
      </c>
      <c r="N170" s="38" t="n"/>
      <c r="O170" s="37" t="n">
        <v>40</v>
      </c>
      <c r="P170" s="1112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/>
      </c>
      <c r="Q170" s="1030" t="n"/>
      <c r="R170" s="1030" t="n"/>
      <c r="S170" s="1030" t="n"/>
      <c r="T170" s="1031" t="n"/>
      <c r="U170" s="39" t="inlineStr"/>
      <c r="V170" s="39" t="inlineStr"/>
      <c r="W170" s="40" t="inlineStr">
        <is>
          <t>кг</t>
        </is>
      </c>
      <c r="X170" s="1032" t="n">
        <v>0</v>
      </c>
      <c r="Y170" s="1033">
        <f>IFERROR(IF(X170="",0,CEILING((X170/$H170),1)*$H170),"")</f>
        <v/>
      </c>
      <c r="Z170" s="41">
        <f>IFERROR(IF(Y170=0,"",ROUNDUP(Y170/H170,0)*0.00902),"")</f>
        <v/>
      </c>
      <c r="AA170" s="68" t="inlineStr"/>
      <c r="AB170" s="69" t="inlineStr"/>
      <c r="AC170" s="236" t="inlineStr">
        <is>
          <t>ЕАЭС N RU Д-RU.РА11.В.22922/25</t>
        </is>
      </c>
      <c r="AG170" s="78" t="n"/>
      <c r="AJ170" s="84" t="inlineStr"/>
      <c r="AK170" s="84" t="n">
        <v>0</v>
      </c>
      <c r="BB170" s="237" t="inlineStr">
        <is>
          <t>КИ</t>
        </is>
      </c>
      <c r="BM170" s="78">
        <f>IFERROR(X170*I170/H170,"0")</f>
        <v/>
      </c>
      <c r="BN170" s="78">
        <f>IFERROR(Y170*I170/H170,"0")</f>
        <v/>
      </c>
      <c r="BO170" s="78">
        <f>IFERROR(1/J170*(X170/H170),"0")</f>
        <v/>
      </c>
      <c r="BP170" s="78">
        <f>IFERROR(1/J170*(Y170/H170),"0")</f>
        <v/>
      </c>
    </row>
    <row r="171" ht="16.5" customHeight="1">
      <c r="A171" s="63" t="inlineStr">
        <is>
          <t>SU003753</t>
        </is>
      </c>
      <c r="B171" s="63" t="inlineStr">
        <is>
          <t>P004725</t>
        </is>
      </c>
      <c r="C171" s="36" t="n">
        <v>4301032049</v>
      </c>
      <c r="D171" s="695" t="n">
        <v>4680115887787</v>
      </c>
      <c r="E171" s="989" t="n"/>
      <c r="F171" s="1028" t="n">
        <v>0.09</v>
      </c>
      <c r="G171" s="37" t="n">
        <v>10</v>
      </c>
      <c r="H171" s="1028" t="n">
        <v>0.9</v>
      </c>
      <c r="I171" s="1028" t="n">
        <v>1.11</v>
      </c>
      <c r="J171" s="37" t="n">
        <v>336</v>
      </c>
      <c r="K171" s="37" t="inlineStr">
        <is>
          <t>24</t>
        </is>
      </c>
      <c r="L171" s="37" t="inlineStr"/>
      <c r="M171" s="38" t="inlineStr">
        <is>
          <t>СК2</t>
        </is>
      </c>
      <c r="N171" s="38" t="n"/>
      <c r="O171" s="37" t="n">
        <v>45</v>
      </c>
      <c r="P171" s="1113">
        <f>HYPERLINK("https://abi.ru/products/Охлажденные/Вязанка/Вязанка/Копченые колбасы/P004725/","Копченые колбасы «Балыковая » Фикс.вес 0,09 нарезка ТМ «Вязанка»")</f>
        <v/>
      </c>
      <c r="Q171" s="1030" t="n"/>
      <c r="R171" s="1030" t="n"/>
      <c r="S171" s="1030" t="n"/>
      <c r="T171" s="1031" t="n"/>
      <c r="U171" s="39" t="inlineStr"/>
      <c r="V171" s="39" t="inlineStr"/>
      <c r="W171" s="40" t="inlineStr">
        <is>
          <t>кг</t>
        </is>
      </c>
      <c r="X171" s="1032" t="n">
        <v>0</v>
      </c>
      <c r="Y171" s="1033">
        <f>IFERROR(IF(X171="",0,CEILING((X171/$H171),1)*$H171),"")</f>
        <v/>
      </c>
      <c r="Z171" s="41">
        <f>IFERROR(IF(Y171=0,"",ROUNDUP(Y171/H171,0)*0.00417),"")</f>
        <v/>
      </c>
      <c r="AA171" s="68" t="inlineStr"/>
      <c r="AB171" s="69" t="inlineStr"/>
      <c r="AC171" s="238" t="inlineStr">
        <is>
          <t>ЕАЭС N RU Д-RU.РА08.В.64180/25</t>
        </is>
      </c>
      <c r="AG171" s="78" t="n"/>
      <c r="AJ171" s="84" t="inlineStr"/>
      <c r="AK171" s="84" t="n">
        <v>0</v>
      </c>
      <c r="BB171" s="239" t="inlineStr">
        <is>
          <t>КИ</t>
        </is>
      </c>
      <c r="BM171" s="78">
        <f>IFERROR(X171*I171/H171,"0")</f>
        <v/>
      </c>
      <c r="BN171" s="78">
        <f>IFERROR(Y171*I171/H171,"0")</f>
        <v/>
      </c>
      <c r="BO171" s="78">
        <f>IFERROR(1/J171*(X171/H171),"0")</f>
        <v/>
      </c>
      <c r="BP171" s="78">
        <f>IFERROR(1/J171*(Y171/H171),"0")</f>
        <v/>
      </c>
    </row>
    <row r="172" ht="27" customHeight="1">
      <c r="A172" s="63" t="inlineStr">
        <is>
          <t>SU004039</t>
        </is>
      </c>
      <c r="B172" s="63" t="inlineStr">
        <is>
          <t>P005163</t>
        </is>
      </c>
      <c r="C172" s="36" t="n">
        <v>4301031448</v>
      </c>
      <c r="D172" s="695" t="n">
        <v>4680115887503</v>
      </c>
      <c r="E172" s="989" t="n"/>
      <c r="F172" s="1028" t="n">
        <v>0.28</v>
      </c>
      <c r="G172" s="37" t="n">
        <v>6</v>
      </c>
      <c r="H172" s="1028" t="n">
        <v>1.68</v>
      </c>
      <c r="I172" s="1028" t="n">
        <v>1.78</v>
      </c>
      <c r="J172" s="37" t="n">
        <v>234</v>
      </c>
      <c r="K172" s="37" t="inlineStr">
        <is>
          <t>18</t>
        </is>
      </c>
      <c r="L172" s="37" t="inlineStr"/>
      <c r="M172" s="38" t="inlineStr">
        <is>
          <t>СК2</t>
        </is>
      </c>
      <c r="N172" s="38" t="n"/>
      <c r="O172" s="37" t="n">
        <v>40</v>
      </c>
      <c r="P172" s="1114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/>
      </c>
      <c r="Q172" s="1030" t="n"/>
      <c r="R172" s="1030" t="n"/>
      <c r="S172" s="1030" t="n"/>
      <c r="T172" s="1031" t="n"/>
      <c r="U172" s="39" t="inlineStr"/>
      <c r="V172" s="39" t="inlineStr"/>
      <c r="W172" s="40" t="inlineStr">
        <is>
          <t>кг</t>
        </is>
      </c>
      <c r="X172" s="1032" t="n">
        <v>0</v>
      </c>
      <c r="Y172" s="1033">
        <f>IFERROR(IF(X172="",0,CEILING((X172/$H172),1)*$H172),"")</f>
        <v/>
      </c>
      <c r="Z172" s="41">
        <f>IFERROR(IF(Y172=0,"",ROUNDUP(Y172/H172,0)*0.00502),"")</f>
        <v/>
      </c>
      <c r="AA172" s="68" t="inlineStr"/>
      <c r="AB172" s="69" t="inlineStr"/>
      <c r="AC172" s="240" t="inlineStr">
        <is>
          <t>ЕАЭС N RU Д-RU.РА11.В.18556/25</t>
        </is>
      </c>
      <c r="AG172" s="78" t="n"/>
      <c r="AJ172" s="84" t="inlineStr"/>
      <c r="AK172" s="84" t="n">
        <v>0</v>
      </c>
      <c r="BB172" s="241" t="inlineStr">
        <is>
          <t>КИ</t>
        </is>
      </c>
      <c r="BM172" s="78">
        <f>IFERROR(X172*I172/H172,"0")</f>
        <v/>
      </c>
      <c r="BN172" s="78">
        <f>IFERROR(Y172*I172/H172,"0")</f>
        <v/>
      </c>
      <c r="BO172" s="78">
        <f>IFERROR(1/J172*(X172/H172),"0")</f>
        <v/>
      </c>
      <c r="BP172" s="78">
        <f>IFERROR(1/J172*(Y172/H172),"0")</f>
        <v/>
      </c>
    </row>
    <row r="173" ht="27" customHeight="1">
      <c r="A173" s="63" t="inlineStr">
        <is>
          <t>SU003751</t>
        </is>
      </c>
      <c r="B173" s="63" t="inlineStr">
        <is>
          <t>P004728</t>
        </is>
      </c>
      <c r="C173" s="36" t="n">
        <v>4301031389</v>
      </c>
      <c r="D173" s="695" t="n">
        <v>4680115887763</v>
      </c>
      <c r="E173" s="989" t="n"/>
      <c r="F173" s="1028" t="n">
        <v>0.09</v>
      </c>
      <c r="G173" s="37" t="n">
        <v>10</v>
      </c>
      <c r="H173" s="1028" t="n">
        <v>0.9</v>
      </c>
      <c r="I173" s="1028" t="n">
        <v>1.11</v>
      </c>
      <c r="J173" s="37" t="n">
        <v>336</v>
      </c>
      <c r="K173" s="37" t="inlineStr">
        <is>
          <t>24</t>
        </is>
      </c>
      <c r="L173" s="37" t="inlineStr"/>
      <c r="M173" s="38" t="inlineStr">
        <is>
          <t>СК2</t>
        </is>
      </c>
      <c r="N173" s="38" t="n"/>
      <c r="O173" s="37" t="n">
        <v>45</v>
      </c>
      <c r="P173" s="1115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/>
      </c>
      <c r="Q173" s="1030" t="n"/>
      <c r="R173" s="1030" t="n"/>
      <c r="S173" s="1030" t="n"/>
      <c r="T173" s="1031" t="n"/>
      <c r="U173" s="39" t="inlineStr"/>
      <c r="V173" s="39" t="inlineStr"/>
      <c r="W173" s="40" t="inlineStr">
        <is>
          <t>кг</t>
        </is>
      </c>
      <c r="X173" s="1032" t="n">
        <v>0</v>
      </c>
      <c r="Y173" s="1033">
        <f>IFERROR(IF(X173="",0,CEILING((X173/$H173),1)*$H173),"")</f>
        <v/>
      </c>
      <c r="Z173" s="41">
        <f>IFERROR(IF(Y173=0,"",ROUNDUP(Y173/H173,0)*0.00417),"")</f>
        <v/>
      </c>
      <c r="AA173" s="68" t="inlineStr"/>
      <c r="AB173" s="69" t="inlineStr"/>
      <c r="AC173" s="242" t="inlineStr">
        <is>
          <t>ЕАЭС N RU Д-RU.РА08.В.64158/25</t>
        </is>
      </c>
      <c r="AG173" s="78" t="n"/>
      <c r="AJ173" s="84" t="inlineStr"/>
      <c r="AK173" s="84" t="n">
        <v>0</v>
      </c>
      <c r="BB173" s="243" t="inlineStr">
        <is>
          <t>КИ</t>
        </is>
      </c>
      <c r="BM173" s="78">
        <f>IFERROR(X173*I173/H173,"0")</f>
        <v/>
      </c>
      <c r="BN173" s="78">
        <f>IFERROR(Y173*I173/H173,"0")</f>
        <v/>
      </c>
      <c r="BO173" s="78">
        <f>IFERROR(1/J173*(X173/H173),"0")</f>
        <v/>
      </c>
      <c r="BP173" s="78">
        <f>IFERROR(1/J173*(Y173/H173),"0")</f>
        <v/>
      </c>
    </row>
    <row r="174" ht="27" customHeight="1">
      <c r="A174" s="63" t="inlineStr">
        <is>
          <t>SU003751</t>
        </is>
      </c>
      <c r="B174" s="63" t="inlineStr">
        <is>
          <t>P005504</t>
        </is>
      </c>
      <c r="C174" s="36" t="n">
        <v>4301031510</v>
      </c>
      <c r="D174" s="695" t="n">
        <v>4680115887763</v>
      </c>
      <c r="E174" s="989" t="n"/>
      <c r="F174" s="1028" t="n">
        <v>0.09</v>
      </c>
      <c r="G174" s="37" t="n">
        <v>8</v>
      </c>
      <c r="H174" s="1028" t="n">
        <v>0.72</v>
      </c>
      <c r="I174" s="1028" t="n">
        <v>0.908</v>
      </c>
      <c r="J174" s="37" t="n">
        <v>336</v>
      </c>
      <c r="K174" s="37" t="inlineStr">
        <is>
          <t>24</t>
        </is>
      </c>
      <c r="L174" s="37" t="inlineStr"/>
      <c r="M174" s="38" t="inlineStr">
        <is>
          <t>СК2</t>
        </is>
      </c>
      <c r="N174" s="38" t="n"/>
      <c r="O174" s="37" t="n">
        <v>45</v>
      </c>
      <c r="P174" s="1116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/>
      </c>
      <c r="Q174" s="1030" t="n"/>
      <c r="R174" s="1030" t="n"/>
      <c r="S174" s="1030" t="n"/>
      <c r="T174" s="1031" t="n"/>
      <c r="U174" s="39" t="inlineStr"/>
      <c r="V174" s="39" t="inlineStr"/>
      <c r="W174" s="40" t="inlineStr">
        <is>
          <t>кг</t>
        </is>
      </c>
      <c r="X174" s="1032" t="n">
        <v>0</v>
      </c>
      <c r="Y174" s="1033">
        <f>IFERROR(IF(X174="",0,CEILING((X174/$H174),1)*$H174),"")</f>
        <v/>
      </c>
      <c r="Z174" s="41">
        <f>IFERROR(IF(Y174=0,"",ROUNDUP(Y174/H174,0)*0.00417),"")</f>
        <v/>
      </c>
      <c r="AA174" s="68" t="inlineStr"/>
      <c r="AB174" s="69" t="inlineStr"/>
      <c r="AC174" s="244" t="inlineStr">
        <is>
          <t>ЕАЭС N RU Д-RU.РА08.В.64158/25</t>
        </is>
      </c>
      <c r="AG174" s="78" t="n"/>
      <c r="AJ174" s="84" t="inlineStr"/>
      <c r="AK174" s="84" t="n">
        <v>0</v>
      </c>
      <c r="BB174" s="245" t="inlineStr">
        <is>
          <t>КИ</t>
        </is>
      </c>
      <c r="BM174" s="78">
        <f>IFERROR(X174*I174/H174,"0")</f>
        <v/>
      </c>
      <c r="BN174" s="78">
        <f>IFERROR(Y174*I174/H174,"0")</f>
        <v/>
      </c>
      <c r="BO174" s="78">
        <f>IFERROR(1/J174*(X174/H174),"0")</f>
        <v/>
      </c>
      <c r="BP174" s="78">
        <f>IFERROR(1/J174*(Y174/H174),"0")</f>
        <v/>
      </c>
    </row>
    <row r="175" ht="27" customHeight="1">
      <c r="A175" s="63" t="inlineStr">
        <is>
          <t>SU004045</t>
        </is>
      </c>
      <c r="B175" s="63" t="inlineStr">
        <is>
          <t>P005169</t>
        </is>
      </c>
      <c r="C175" s="36" t="n">
        <v>4301031454</v>
      </c>
      <c r="D175" s="695" t="n">
        <v>4680115887480</v>
      </c>
      <c r="E175" s="989" t="n"/>
      <c r="F175" s="1028" t="n">
        <v>0.28</v>
      </c>
      <c r="G175" s="37" t="n">
        <v>6</v>
      </c>
      <c r="H175" s="1028" t="n">
        <v>1.68</v>
      </c>
      <c r="I175" s="1028" t="n">
        <v>1.78</v>
      </c>
      <c r="J175" s="37" t="n">
        <v>234</v>
      </c>
      <c r="K175" s="37" t="inlineStr">
        <is>
          <t>18</t>
        </is>
      </c>
      <c r="L175" s="37" t="inlineStr"/>
      <c r="M175" s="38" t="inlineStr">
        <is>
          <t>СК2</t>
        </is>
      </c>
      <c r="N175" s="38" t="n"/>
      <c r="O175" s="37" t="n">
        <v>40</v>
      </c>
      <c r="P175" s="1117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/>
      </c>
      <c r="Q175" s="1030" t="n"/>
      <c r="R175" s="1030" t="n"/>
      <c r="S175" s="1030" t="n"/>
      <c r="T175" s="1031" t="n"/>
      <c r="U175" s="39" t="inlineStr"/>
      <c r="V175" s="39" t="inlineStr"/>
      <c r="W175" s="40" t="inlineStr">
        <is>
          <t>кг</t>
        </is>
      </c>
      <c r="X175" s="1032" t="n">
        <v>0</v>
      </c>
      <c r="Y175" s="1033">
        <f>IFERROR(IF(X175="",0,CEILING((X175/$H175),1)*$H175),"")</f>
        <v/>
      </c>
      <c r="Z175" s="41">
        <f>IFERROR(IF(Y175=0,"",ROUNDUP(Y175/H175,0)*0.00502),"")</f>
        <v/>
      </c>
      <c r="AA175" s="68" t="inlineStr"/>
      <c r="AB175" s="69" t="inlineStr"/>
      <c r="AC175" s="246" t="inlineStr">
        <is>
          <t>ЕАЭС N RU Д-RU.РА07.В.14345/25</t>
        </is>
      </c>
      <c r="AG175" s="78" t="n"/>
      <c r="AJ175" s="84" t="inlineStr"/>
      <c r="AK175" s="84" t="n">
        <v>0</v>
      </c>
      <c r="BB175" s="247" t="inlineStr">
        <is>
          <t>КИ</t>
        </is>
      </c>
      <c r="BM175" s="78">
        <f>IFERROR(X175*I175/H175,"0")</f>
        <v/>
      </c>
      <c r="BN175" s="78">
        <f>IFERROR(Y175*I175/H175,"0")</f>
        <v/>
      </c>
      <c r="BO175" s="78">
        <f>IFERROR(1/J175*(X175/H175),"0")</f>
        <v/>
      </c>
      <c r="BP175" s="78">
        <f>IFERROR(1/J175*(Y175/H175),"0")</f>
        <v/>
      </c>
    </row>
    <row r="176" ht="27" customHeight="1">
      <c r="A176" s="63" t="inlineStr">
        <is>
          <t>SU003988</t>
        </is>
      </c>
      <c r="B176" s="63" t="inlineStr">
        <is>
          <t>P005114</t>
        </is>
      </c>
      <c r="C176" s="36" t="n">
        <v>4301031434</v>
      </c>
      <c r="D176" s="695" t="n">
        <v>4680115888067</v>
      </c>
      <c r="E176" s="989" t="n"/>
      <c r="F176" s="1028" t="n">
        <v>0.09</v>
      </c>
      <c r="G176" s="37" t="n">
        <v>10</v>
      </c>
      <c r="H176" s="1028" t="n">
        <v>0.9</v>
      </c>
      <c r="I176" s="1028" t="n">
        <v>1</v>
      </c>
      <c r="J176" s="37" t="n">
        <v>336</v>
      </c>
      <c r="K176" s="37" t="inlineStr">
        <is>
          <t>24</t>
        </is>
      </c>
      <c r="L176" s="37" t="inlineStr"/>
      <c r="M176" s="38" t="inlineStr">
        <is>
          <t>СК2</t>
        </is>
      </c>
      <c r="N176" s="38" t="n"/>
      <c r="O176" s="37" t="n">
        <v>45</v>
      </c>
      <c r="P176" s="1118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/>
      </c>
      <c r="Q176" s="1030" t="n"/>
      <c r="R176" s="1030" t="n"/>
      <c r="S176" s="1030" t="n"/>
      <c r="T176" s="1031" t="n"/>
      <c r="U176" s="39" t="inlineStr"/>
      <c r="V176" s="39" t="inlineStr"/>
      <c r="W176" s="40" t="inlineStr">
        <is>
          <t>кг</t>
        </is>
      </c>
      <c r="X176" s="1032" t="n">
        <v>0</v>
      </c>
      <c r="Y176" s="1033">
        <f>IFERROR(IF(X176="",0,CEILING((X176/$H176),1)*$H176),"")</f>
        <v/>
      </c>
      <c r="Z176" s="41">
        <f>IFERROR(IF(Y176=0,"",ROUNDUP(Y176/H176,0)*0.00417),"")</f>
        <v/>
      </c>
      <c r="AA176" s="68" t="inlineStr"/>
      <c r="AB176" s="69" t="inlineStr"/>
      <c r="AC176" s="248" t="inlineStr">
        <is>
          <t>ЕАЭС N RU Д-RU.РА11.В.21847/25</t>
        </is>
      </c>
      <c r="AG176" s="78" t="n"/>
      <c r="AJ176" s="84" t="inlineStr"/>
      <c r="AK176" s="84" t="n">
        <v>0</v>
      </c>
      <c r="BB176" s="249" t="inlineStr">
        <is>
          <t>КИ</t>
        </is>
      </c>
      <c r="BM176" s="78">
        <f>IFERROR(X176*I176/H176,"0")</f>
        <v/>
      </c>
      <c r="BN176" s="78">
        <f>IFERROR(Y176*I176/H176,"0")</f>
        <v/>
      </c>
      <c r="BO176" s="78">
        <f>IFERROR(1/J176*(X176/H176),"0")</f>
        <v/>
      </c>
      <c r="BP176" s="78">
        <f>IFERROR(1/J176*(Y176/H176),"0")</f>
        <v/>
      </c>
    </row>
    <row r="177" ht="27" customHeight="1">
      <c r="A177" s="63" t="inlineStr">
        <is>
          <t>SU004042</t>
        </is>
      </c>
      <c r="B177" s="63" t="inlineStr">
        <is>
          <t>P005166</t>
        </is>
      </c>
      <c r="C177" s="36" t="n">
        <v>4301031451</v>
      </c>
      <c r="D177" s="695" t="n">
        <v>4680115887435</v>
      </c>
      <c r="E177" s="989" t="n"/>
      <c r="F177" s="1028" t="n">
        <v>0.28</v>
      </c>
      <c r="G177" s="37" t="n">
        <v>6</v>
      </c>
      <c r="H177" s="1028" t="n">
        <v>1.68</v>
      </c>
      <c r="I177" s="1028" t="n">
        <v>1.78</v>
      </c>
      <c r="J177" s="37" t="n">
        <v>234</v>
      </c>
      <c r="K177" s="37" t="inlineStr">
        <is>
          <t>18</t>
        </is>
      </c>
      <c r="L177" s="37" t="inlineStr"/>
      <c r="M177" s="38" t="inlineStr">
        <is>
          <t>СК2</t>
        </is>
      </c>
      <c r="N177" s="38" t="n"/>
      <c r="O177" s="37" t="n">
        <v>40</v>
      </c>
      <c r="P177" s="1119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/>
      </c>
      <c r="Q177" s="1030" t="n"/>
      <c r="R177" s="1030" t="n"/>
      <c r="S177" s="1030" t="n"/>
      <c r="T177" s="1031" t="n"/>
      <c r="U177" s="39" t="inlineStr"/>
      <c r="V177" s="39" t="inlineStr"/>
      <c r="W177" s="40" t="inlineStr">
        <is>
          <t>кг</t>
        </is>
      </c>
      <c r="X177" s="1032" t="n">
        <v>0</v>
      </c>
      <c r="Y177" s="1033">
        <f>IFERROR(IF(X177="",0,CEILING((X177/$H177),1)*$H177),"")</f>
        <v/>
      </c>
      <c r="Z177" s="41">
        <f>IFERROR(IF(Y177=0,"",ROUNDUP(Y177/H177,0)*0.00502),"")</f>
        <v/>
      </c>
      <c r="AA177" s="68" t="inlineStr"/>
      <c r="AB177" s="69" t="inlineStr"/>
      <c r="AC177" s="250" t="inlineStr">
        <is>
          <t>ЕАЭС N RU Д-RU.РА11.В.22922/25</t>
        </is>
      </c>
      <c r="AG177" s="78" t="n"/>
      <c r="AJ177" s="84" t="inlineStr"/>
      <c r="AK177" s="84" t="n">
        <v>0</v>
      </c>
      <c r="BB177" s="251" t="inlineStr">
        <is>
          <t>КИ</t>
        </is>
      </c>
      <c r="BM177" s="78">
        <f>IFERROR(X177*I177/H177,"0")</f>
        <v/>
      </c>
      <c r="BN177" s="78">
        <f>IFERROR(Y177*I177/H177,"0")</f>
        <v/>
      </c>
      <c r="BO177" s="78">
        <f>IFERROR(1/J177*(X177/H177),"0")</f>
        <v/>
      </c>
      <c r="BP177" s="78">
        <f>IFERROR(1/J177*(Y177/H177),"0")</f>
        <v/>
      </c>
    </row>
    <row r="178">
      <c r="A178" s="704" t="n"/>
      <c r="B178" s="979" t="n"/>
      <c r="C178" s="979" t="n"/>
      <c r="D178" s="979" t="n"/>
      <c r="E178" s="979" t="n"/>
      <c r="F178" s="979" t="n"/>
      <c r="G178" s="979" t="n"/>
      <c r="H178" s="979" t="n"/>
      <c r="I178" s="979" t="n"/>
      <c r="J178" s="979" t="n"/>
      <c r="K178" s="979" t="n"/>
      <c r="L178" s="979" t="n"/>
      <c r="M178" s="979" t="n"/>
      <c r="N178" s="979" t="n"/>
      <c r="O178" s="1035" t="n"/>
      <c r="P178" s="1036" t="inlineStr">
        <is>
          <t>Итого</t>
        </is>
      </c>
      <c r="Q178" s="997" t="n"/>
      <c r="R178" s="997" t="n"/>
      <c r="S178" s="997" t="n"/>
      <c r="T178" s="997" t="n"/>
      <c r="U178" s="997" t="n"/>
      <c r="V178" s="998" t="n"/>
      <c r="W178" s="42" t="inlineStr">
        <is>
          <t>кор</t>
        </is>
      </c>
      <c r="X178" s="103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/>
      </c>
      <c r="Y178" s="103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/>
      </c>
      <c r="Z178" s="103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/>
      </c>
      <c r="AA178" s="1038" t="n"/>
      <c r="AB178" s="1038" t="n"/>
      <c r="AC178" s="1038" t="n"/>
    </row>
    <row r="179">
      <c r="A179" s="979" t="n"/>
      <c r="B179" s="979" t="n"/>
      <c r="C179" s="979" t="n"/>
      <c r="D179" s="979" t="n"/>
      <c r="E179" s="979" t="n"/>
      <c r="F179" s="979" t="n"/>
      <c r="G179" s="979" t="n"/>
      <c r="H179" s="979" t="n"/>
      <c r="I179" s="979" t="n"/>
      <c r="J179" s="979" t="n"/>
      <c r="K179" s="979" t="n"/>
      <c r="L179" s="979" t="n"/>
      <c r="M179" s="979" t="n"/>
      <c r="N179" s="979" t="n"/>
      <c r="O179" s="1035" t="n"/>
      <c r="P179" s="1036" t="inlineStr">
        <is>
          <t>Итого</t>
        </is>
      </c>
      <c r="Q179" s="997" t="n"/>
      <c r="R179" s="997" t="n"/>
      <c r="S179" s="997" t="n"/>
      <c r="T179" s="997" t="n"/>
      <c r="U179" s="997" t="n"/>
      <c r="V179" s="998" t="n"/>
      <c r="W179" s="42" t="inlineStr">
        <is>
          <t>кг</t>
        </is>
      </c>
      <c r="X179" s="1037">
        <f>IFERROR(SUM(X166:X177),"0")</f>
        <v/>
      </c>
      <c r="Y179" s="1037">
        <f>IFERROR(SUM(Y166:Y177),"0")</f>
        <v/>
      </c>
      <c r="Z179" s="42" t="n"/>
      <c r="AA179" s="1038" t="n"/>
      <c r="AB179" s="1038" t="n"/>
      <c r="AC179" s="1038" t="n"/>
    </row>
    <row r="180" ht="14.25" customHeight="1">
      <c r="A180" s="694" t="inlineStr">
        <is>
          <t>Сосиски</t>
        </is>
      </c>
      <c r="B180" s="979" t="n"/>
      <c r="C180" s="979" t="n"/>
      <c r="D180" s="979" t="n"/>
      <c r="E180" s="979" t="n"/>
      <c r="F180" s="979" t="n"/>
      <c r="G180" s="979" t="n"/>
      <c r="H180" s="979" t="n"/>
      <c r="I180" s="979" t="n"/>
      <c r="J180" s="979" t="n"/>
      <c r="K180" s="979" t="n"/>
      <c r="L180" s="979" t="n"/>
      <c r="M180" s="979" t="n"/>
      <c r="N180" s="979" t="n"/>
      <c r="O180" s="979" t="n"/>
      <c r="P180" s="979" t="n"/>
      <c r="Q180" s="979" t="n"/>
      <c r="R180" s="979" t="n"/>
      <c r="S180" s="979" t="n"/>
      <c r="T180" s="979" t="n"/>
      <c r="U180" s="979" t="n"/>
      <c r="V180" s="979" t="n"/>
      <c r="W180" s="979" t="n"/>
      <c r="X180" s="979" t="n"/>
      <c r="Y180" s="979" t="n"/>
      <c r="Z180" s="979" t="n"/>
      <c r="AA180" s="694" t="n"/>
      <c r="AB180" s="694" t="n"/>
      <c r="AC180" s="694" t="n"/>
    </row>
    <row r="181" ht="16.5" customHeight="1">
      <c r="A181" s="63" t="inlineStr">
        <is>
          <t>SU004130</t>
        </is>
      </c>
      <c r="B181" s="63" t="inlineStr">
        <is>
          <t>P005387</t>
        </is>
      </c>
      <c r="C181" s="36" t="n">
        <v>4301052193</v>
      </c>
      <c r="D181" s="695" t="n">
        <v>4680115888395</v>
      </c>
      <c r="E181" s="989" t="n"/>
      <c r="F181" s="1028" t="n">
        <v>0.42</v>
      </c>
      <c r="G181" s="37" t="n">
        <v>6</v>
      </c>
      <c r="H181" s="1028" t="n">
        <v>2.52</v>
      </c>
      <c r="I181" s="1028" t="n">
        <v>2.766</v>
      </c>
      <c r="J181" s="37" t="n">
        <v>182</v>
      </c>
      <c r="K181" s="37" t="inlineStr">
        <is>
          <t>14</t>
        </is>
      </c>
      <c r="L181" s="37" t="inlineStr"/>
      <c r="M181" s="38" t="inlineStr">
        <is>
          <t>СК4</t>
        </is>
      </c>
      <c r="N181" s="38" t="n"/>
      <c r="O181" s="37" t="n">
        <v>40</v>
      </c>
      <c r="P181" s="1120">
        <f>HYPERLINK("https://abi.ru/products/Охлажденные/Вязанка/Вязанка/Сосиски/P005387/","Сосиски «Классик» Фикс.вес 0,42 ц/о ТМ «Вязанка»")</f>
        <v/>
      </c>
      <c r="Q181" s="1030" t="n"/>
      <c r="R181" s="1030" t="n"/>
      <c r="S181" s="1030" t="n"/>
      <c r="T181" s="1031" t="n"/>
      <c r="U181" s="39" t="inlineStr"/>
      <c r="V181" s="39" t="inlineStr"/>
      <c r="W181" s="40" t="inlineStr">
        <is>
          <t>кг</t>
        </is>
      </c>
      <c r="X181" s="1032" t="n">
        <v>0</v>
      </c>
      <c r="Y181" s="1033">
        <f>IFERROR(IF(X181="",0,CEILING((X181/$H181),1)*$H181),"")</f>
        <v/>
      </c>
      <c r="Z181" s="41">
        <f>IFERROR(IF(Y181=0,"",ROUNDUP(Y181/H181,0)*0.00651),"")</f>
        <v/>
      </c>
      <c r="AA181" s="68" t="inlineStr"/>
      <c r="AB181" s="69" t="inlineStr"/>
      <c r="AC181" s="252" t="inlineStr">
        <is>
          <t>ЕАЭС N RU Д-RU.РА02.В.43494/26</t>
        </is>
      </c>
      <c r="AG181" s="78" t="n"/>
      <c r="AJ181" s="84" t="inlineStr"/>
      <c r="AK181" s="84" t="n">
        <v>0</v>
      </c>
      <c r="BB181" s="253" t="inlineStr">
        <is>
          <t>КИ</t>
        </is>
      </c>
      <c r="BM181" s="78">
        <f>IFERROR(X181*I181/H181,"0")</f>
        <v/>
      </c>
      <c r="BN181" s="78">
        <f>IFERROR(Y181*I181/H181,"0")</f>
        <v/>
      </c>
      <c r="BO181" s="78">
        <f>IFERROR(1/J181*(X181/H181),"0")</f>
        <v/>
      </c>
      <c r="BP181" s="78">
        <f>IFERROR(1/J181*(Y181/H181),"0")</f>
        <v/>
      </c>
    </row>
    <row r="182" ht="16.5" customHeight="1">
      <c r="A182" s="63" t="inlineStr">
        <is>
          <t>SU004129</t>
        </is>
      </c>
      <c r="B182" s="63" t="inlineStr">
        <is>
          <t>P005386</t>
        </is>
      </c>
      <c r="C182" s="36" t="n">
        <v>4301052191</v>
      </c>
      <c r="D182" s="695" t="n">
        <v>4680115888371</v>
      </c>
      <c r="E182" s="989" t="n"/>
      <c r="F182" s="1028" t="n">
        <v>0.42</v>
      </c>
      <c r="G182" s="37" t="n">
        <v>6</v>
      </c>
      <c r="H182" s="1028" t="n">
        <v>2.52</v>
      </c>
      <c r="I182" s="1028" t="n">
        <v>2.766</v>
      </c>
      <c r="J182" s="37" t="n">
        <v>182</v>
      </c>
      <c r="K182" s="37" t="inlineStr">
        <is>
          <t>14</t>
        </is>
      </c>
      <c r="L182" s="37" t="inlineStr"/>
      <c r="M182" s="38" t="inlineStr">
        <is>
          <t>СК4</t>
        </is>
      </c>
      <c r="N182" s="38" t="n"/>
      <c r="O182" s="37" t="n">
        <v>40</v>
      </c>
      <c r="P182" s="1121">
        <f>HYPERLINK("https://abi.ru/products/Охлажденные/Вязанка/Вязанка/Сосиски/P005386/","Сосиски «с сыром Моцарелла» Фикс.вес 0,42 ц/о ТМ «Вязанка»")</f>
        <v/>
      </c>
      <c r="Q182" s="1030" t="n"/>
      <c r="R182" s="1030" t="n"/>
      <c r="S182" s="1030" t="n"/>
      <c r="T182" s="1031" t="n"/>
      <c r="U182" s="39" t="inlineStr"/>
      <c r="V182" s="39" t="inlineStr"/>
      <c r="W182" s="40" t="inlineStr">
        <is>
          <t>кг</t>
        </is>
      </c>
      <c r="X182" s="1032" t="n">
        <v>0</v>
      </c>
      <c r="Y182" s="1033">
        <f>IFERROR(IF(X182="",0,CEILING((X182/$H182),1)*$H182),"")</f>
        <v/>
      </c>
      <c r="Z182" s="41">
        <f>IFERROR(IF(Y182=0,"",ROUNDUP(Y182/H182,0)*0.00651),"")</f>
        <v/>
      </c>
      <c r="AA182" s="68" t="inlineStr"/>
      <c r="AB182" s="69" t="inlineStr"/>
      <c r="AC182" s="254" t="inlineStr">
        <is>
          <t>ЕАЭС N RU Д-RU.РА02.В.10727/26</t>
        </is>
      </c>
      <c r="AG182" s="78" t="n"/>
      <c r="AJ182" s="84" t="inlineStr"/>
      <c r="AK182" s="84" t="n">
        <v>0</v>
      </c>
      <c r="BB182" s="255" t="inlineStr">
        <is>
          <t>КИ</t>
        </is>
      </c>
      <c r="BM182" s="78">
        <f>IFERROR(X182*I182/H182,"0")</f>
        <v/>
      </c>
      <c r="BN182" s="78">
        <f>IFERROR(Y182*I182/H182,"0")</f>
        <v/>
      </c>
      <c r="BO182" s="78">
        <f>IFERROR(1/J182*(X182/H182),"0")</f>
        <v/>
      </c>
      <c r="BP182" s="78">
        <f>IFERROR(1/J182*(Y182/H182),"0")</f>
        <v/>
      </c>
    </row>
    <row r="183" ht="27" customHeight="1">
      <c r="A183" s="63" t="inlineStr">
        <is>
          <t>SU004053</t>
        </is>
      </c>
      <c r="B183" s="63" t="inlineStr">
        <is>
          <t>P005187</t>
        </is>
      </c>
      <c r="C183" s="36" t="n">
        <v>4301052064</v>
      </c>
      <c r="D183" s="695" t="n">
        <v>4680115887459</v>
      </c>
      <c r="E183" s="989" t="n"/>
      <c r="F183" s="1028" t="n">
        <v>0.3</v>
      </c>
      <c r="G183" s="37" t="n">
        <v>6</v>
      </c>
      <c r="H183" s="1028" t="n">
        <v>1.8</v>
      </c>
      <c r="I183" s="1028" t="n">
        <v>2.058</v>
      </c>
      <c r="J183" s="37" t="n">
        <v>182</v>
      </c>
      <c r="K183" s="37" t="inlineStr">
        <is>
          <t>14</t>
        </is>
      </c>
      <c r="L183" s="37" t="inlineStr"/>
      <c r="M183" s="38" t="inlineStr">
        <is>
          <t>СК3</t>
        </is>
      </c>
      <c r="N183" s="38" t="n"/>
      <c r="O183" s="37" t="n">
        <v>45</v>
      </c>
      <c r="P183" s="1122">
        <f>HYPERLINK("https://abi.ru/products/Охлажденные/Вязанка/Вязанка/Сосиски/P005187/","Сосиски «Сочные» Фикс.вес 0,3 П/а мгс ТМ «Вязанка»")</f>
        <v/>
      </c>
      <c r="Q183" s="1030" t="n"/>
      <c r="R183" s="1030" t="n"/>
      <c r="S183" s="1030" t="n"/>
      <c r="T183" s="1031" t="n"/>
      <c r="U183" s="39" t="inlineStr"/>
      <c r="V183" s="39" t="inlineStr"/>
      <c r="W183" s="40" t="inlineStr">
        <is>
          <t>кг</t>
        </is>
      </c>
      <c r="X183" s="1032" t="n">
        <v>0</v>
      </c>
      <c r="Y183" s="1033">
        <f>IFERROR(IF(X183="",0,CEILING((X183/$H183),1)*$H183),"")</f>
        <v/>
      </c>
      <c r="Z183" s="41">
        <f>IFERROR(IF(Y183=0,"",ROUNDUP(Y183/H183,0)*0.00651),"")</f>
        <v/>
      </c>
      <c r="AA183" s="68" t="inlineStr"/>
      <c r="AB183" s="69" t="inlineStr"/>
      <c r="AC183" s="256" t="inlineStr">
        <is>
          <t>ЕАЭС N RU Д-RU.РА09.В.02701/25, ЕАЭС N RU Д-RU.РА09.В.02996/25</t>
        </is>
      </c>
      <c r="AG183" s="78" t="n"/>
      <c r="AJ183" s="84" t="inlineStr"/>
      <c r="AK183" s="84" t="n">
        <v>0</v>
      </c>
      <c r="BB183" s="257" t="inlineStr">
        <is>
          <t>КИ</t>
        </is>
      </c>
      <c r="BM183" s="78">
        <f>IFERROR(X183*I183/H183,"0")</f>
        <v/>
      </c>
      <c r="BN183" s="78">
        <f>IFERROR(Y183*I183/H183,"0")</f>
        <v/>
      </c>
      <c r="BO183" s="78">
        <f>IFERROR(1/J183*(X183/H183),"0")</f>
        <v/>
      </c>
      <c r="BP183" s="78">
        <f>IFERROR(1/J183*(Y183/H183),"0")</f>
        <v/>
      </c>
    </row>
    <row r="184">
      <c r="A184" s="704" t="n"/>
      <c r="B184" s="979" t="n"/>
      <c r="C184" s="979" t="n"/>
      <c r="D184" s="979" t="n"/>
      <c r="E184" s="979" t="n"/>
      <c r="F184" s="979" t="n"/>
      <c r="G184" s="979" t="n"/>
      <c r="H184" s="979" t="n"/>
      <c r="I184" s="979" t="n"/>
      <c r="J184" s="979" t="n"/>
      <c r="K184" s="979" t="n"/>
      <c r="L184" s="979" t="n"/>
      <c r="M184" s="979" t="n"/>
      <c r="N184" s="979" t="n"/>
      <c r="O184" s="1035" t="n"/>
      <c r="P184" s="1036" t="inlineStr">
        <is>
          <t>Итого</t>
        </is>
      </c>
      <c r="Q184" s="997" t="n"/>
      <c r="R184" s="997" t="n"/>
      <c r="S184" s="997" t="n"/>
      <c r="T184" s="997" t="n"/>
      <c r="U184" s="997" t="n"/>
      <c r="V184" s="998" t="n"/>
      <c r="W184" s="42" t="inlineStr">
        <is>
          <t>кор</t>
        </is>
      </c>
      <c r="X184" s="1037">
        <f>IFERROR(X181/H181,"0")+IFERROR(X182/H182,"0")+IFERROR(X183/H183,"0")</f>
        <v/>
      </c>
      <c r="Y184" s="1037">
        <f>IFERROR(Y181/H181,"0")+IFERROR(Y182/H182,"0")+IFERROR(Y183/H183,"0")</f>
        <v/>
      </c>
      <c r="Z184" s="1037">
        <f>IFERROR(IF(Z181="",0,Z181),"0")+IFERROR(IF(Z182="",0,Z182),"0")+IFERROR(IF(Z183="",0,Z183),"0")</f>
        <v/>
      </c>
      <c r="AA184" s="1038" t="n"/>
      <c r="AB184" s="1038" t="n"/>
      <c r="AC184" s="1038" t="n"/>
    </row>
    <row r="185">
      <c r="A185" s="979" t="n"/>
      <c r="B185" s="979" t="n"/>
      <c r="C185" s="979" t="n"/>
      <c r="D185" s="979" t="n"/>
      <c r="E185" s="979" t="n"/>
      <c r="F185" s="979" t="n"/>
      <c r="G185" s="979" t="n"/>
      <c r="H185" s="979" t="n"/>
      <c r="I185" s="979" t="n"/>
      <c r="J185" s="979" t="n"/>
      <c r="K185" s="979" t="n"/>
      <c r="L185" s="979" t="n"/>
      <c r="M185" s="979" t="n"/>
      <c r="N185" s="979" t="n"/>
      <c r="O185" s="1035" t="n"/>
      <c r="P185" s="1036" t="inlineStr">
        <is>
          <t>Итого</t>
        </is>
      </c>
      <c r="Q185" s="997" t="n"/>
      <c r="R185" s="997" t="n"/>
      <c r="S185" s="997" t="n"/>
      <c r="T185" s="997" t="n"/>
      <c r="U185" s="997" t="n"/>
      <c r="V185" s="998" t="n"/>
      <c r="W185" s="42" t="inlineStr">
        <is>
          <t>кг</t>
        </is>
      </c>
      <c r="X185" s="1037">
        <f>IFERROR(SUM(X181:X183),"0")</f>
        <v/>
      </c>
      <c r="Y185" s="1037">
        <f>IFERROR(SUM(Y181:Y183),"0")</f>
        <v/>
      </c>
      <c r="Z185" s="42" t="n"/>
      <c r="AA185" s="1038" t="n"/>
      <c r="AB185" s="1038" t="n"/>
      <c r="AC185" s="1038" t="n"/>
    </row>
    <row r="186" ht="14.25" customHeight="1">
      <c r="A186" s="694" t="inlineStr">
        <is>
          <t>Сырокопченые колбасы</t>
        </is>
      </c>
      <c r="B186" s="979" t="n"/>
      <c r="C186" s="979" t="n"/>
      <c r="D186" s="979" t="n"/>
      <c r="E186" s="979" t="n"/>
      <c r="F186" s="979" t="n"/>
      <c r="G186" s="979" t="n"/>
      <c r="H186" s="979" t="n"/>
      <c r="I186" s="979" t="n"/>
      <c r="J186" s="979" t="n"/>
      <c r="K186" s="979" t="n"/>
      <c r="L186" s="979" t="n"/>
      <c r="M186" s="979" t="n"/>
      <c r="N186" s="979" t="n"/>
      <c r="O186" s="979" t="n"/>
      <c r="P186" s="979" t="n"/>
      <c r="Q186" s="979" t="n"/>
      <c r="R186" s="979" t="n"/>
      <c r="S186" s="979" t="n"/>
      <c r="T186" s="979" t="n"/>
      <c r="U186" s="979" t="n"/>
      <c r="V186" s="979" t="n"/>
      <c r="W186" s="979" t="n"/>
      <c r="X186" s="979" t="n"/>
      <c r="Y186" s="979" t="n"/>
      <c r="Z186" s="979" t="n"/>
      <c r="AA186" s="694" t="n"/>
      <c r="AB186" s="694" t="n"/>
      <c r="AC186" s="694" t="n"/>
    </row>
    <row r="187" ht="16.5" customHeight="1">
      <c r="A187" s="63" t="inlineStr">
        <is>
          <t>SU004183</t>
        </is>
      </c>
      <c r="B187" s="63" t="inlineStr">
        <is>
          <t>P005450</t>
        </is>
      </c>
      <c r="C187" s="36" t="n">
        <v>4301032058</v>
      </c>
      <c r="D187" s="695" t="n">
        <v>4680115889026</v>
      </c>
      <c r="E187" s="989" t="n"/>
      <c r="F187" s="1028" t="n">
        <v>0.06</v>
      </c>
      <c r="G187" s="37" t="n">
        <v>18</v>
      </c>
      <c r="H187" s="1028" t="n">
        <v>1.08</v>
      </c>
      <c r="I187" s="1028" t="n">
        <v>1.36</v>
      </c>
      <c r="J187" s="37" t="n">
        <v>216</v>
      </c>
      <c r="K187" s="37" t="inlineStr">
        <is>
          <t>27</t>
        </is>
      </c>
      <c r="L187" s="37" t="inlineStr"/>
      <c r="M187" s="38" t="inlineStr">
        <is>
          <t>МЗР</t>
        </is>
      </c>
      <c r="N187" s="38" t="n"/>
      <c r="O187" s="37" t="n">
        <v>60</v>
      </c>
      <c r="P187" s="1123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/>
      </c>
      <c r="Q187" s="1030" t="n"/>
      <c r="R187" s="1030" t="n"/>
      <c r="S187" s="1030" t="n"/>
      <c r="T187" s="1031" t="n"/>
      <c r="U187" s="39" t="inlineStr"/>
      <c r="V187" s="39" t="inlineStr"/>
      <c r="W187" s="40" t="inlineStr">
        <is>
          <t>кг</t>
        </is>
      </c>
      <c r="X187" s="1032" t="n">
        <v>0</v>
      </c>
      <c r="Y187" s="1033">
        <f>IFERROR(IF(X187="",0,CEILING((X187/$H187),1)*$H187),"")</f>
        <v/>
      </c>
      <c r="Z187" s="41">
        <f>IFERROR(IF(Y187=0,"",ROUNDUP(Y187/H187,0)*0.0059),"")</f>
        <v/>
      </c>
      <c r="AA187" s="68" t="inlineStr"/>
      <c r="AB187" s="69" t="inlineStr"/>
      <c r="AC187" s="258" t="inlineStr">
        <is>
          <t>ЕАЭС N RU Д-RU.РА03.В.85462/26</t>
        </is>
      </c>
      <c r="AG187" s="78" t="n"/>
      <c r="AJ187" s="84" t="inlineStr"/>
      <c r="AK187" s="84" t="n">
        <v>0</v>
      </c>
      <c r="BB187" s="259" t="inlineStr">
        <is>
          <t>КИ</t>
        </is>
      </c>
      <c r="BM187" s="78">
        <f>IFERROR(X187*I187/H187,"0")</f>
        <v/>
      </c>
      <c r="BN187" s="78">
        <f>IFERROR(Y187*I187/H187,"0")</f>
        <v/>
      </c>
      <c r="BO187" s="78">
        <f>IFERROR(1/J187*(X187/H187),"0")</f>
        <v/>
      </c>
      <c r="BP187" s="78">
        <f>IFERROR(1/J187*(Y187/H187),"0")</f>
        <v/>
      </c>
    </row>
    <row r="188" ht="27" customHeight="1">
      <c r="A188" s="63" t="inlineStr">
        <is>
          <t>SU004182</t>
        </is>
      </c>
      <c r="B188" s="63" t="inlineStr">
        <is>
          <t>P005449</t>
        </is>
      </c>
      <c r="C188" s="36" t="n">
        <v>4301032057</v>
      </c>
      <c r="D188" s="695" t="n">
        <v>4680115889088</v>
      </c>
      <c r="E188" s="989" t="n"/>
      <c r="F188" s="1028" t="n">
        <v>0.06</v>
      </c>
      <c r="G188" s="37" t="n">
        <v>18</v>
      </c>
      <c r="H188" s="1028" t="n">
        <v>1.08</v>
      </c>
      <c r="I188" s="1028" t="n">
        <v>1.36</v>
      </c>
      <c r="J188" s="37" t="n">
        <v>216</v>
      </c>
      <c r="K188" s="37" t="inlineStr">
        <is>
          <t>27</t>
        </is>
      </c>
      <c r="L188" s="37" t="inlineStr"/>
      <c r="M188" s="38" t="inlineStr">
        <is>
          <t>МЗР</t>
        </is>
      </c>
      <c r="N188" s="38" t="n"/>
      <c r="O188" s="37" t="n">
        <v>45</v>
      </c>
      <c r="P188" s="1124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/>
      </c>
      <c r="Q188" s="1030" t="n"/>
      <c r="R188" s="1030" t="n"/>
      <c r="S188" s="1030" t="n"/>
      <c r="T188" s="1031" t="n"/>
      <c r="U188" s="39" t="inlineStr"/>
      <c r="V188" s="39" t="inlineStr"/>
      <c r="W188" s="40" t="inlineStr">
        <is>
          <t>кг</t>
        </is>
      </c>
      <c r="X188" s="1032" t="n">
        <v>0</v>
      </c>
      <c r="Y188" s="1033">
        <f>IFERROR(IF(X188="",0,CEILING((X188/$H188),1)*$H188),"")</f>
        <v/>
      </c>
      <c r="Z188" s="41">
        <f>IFERROR(IF(Y188=0,"",ROUNDUP(Y188/H188,0)*0.0059),"")</f>
        <v/>
      </c>
      <c r="AA188" s="68" t="inlineStr"/>
      <c r="AB188" s="69" t="inlineStr"/>
      <c r="AC188" s="260" t="inlineStr">
        <is>
          <t>ЕАЭС N RU Д-RU.РА03.В.86130/26</t>
        </is>
      </c>
      <c r="AG188" s="78" t="n"/>
      <c r="AJ188" s="84" t="inlineStr"/>
      <c r="AK188" s="84" t="n">
        <v>0</v>
      </c>
      <c r="BB188" s="261" t="inlineStr">
        <is>
          <t>КИ</t>
        </is>
      </c>
      <c r="BM188" s="78">
        <f>IFERROR(X188*I188/H188,"0")</f>
        <v/>
      </c>
      <c r="BN188" s="78">
        <f>IFERROR(Y188*I188/H188,"0")</f>
        <v/>
      </c>
      <c r="BO188" s="78">
        <f>IFERROR(1/J188*(X188/H188),"0")</f>
        <v/>
      </c>
      <c r="BP188" s="78">
        <f>IFERROR(1/J188*(Y188/H188),"0")</f>
        <v/>
      </c>
    </row>
    <row r="189">
      <c r="A189" s="704" t="n"/>
      <c r="B189" s="979" t="n"/>
      <c r="C189" s="979" t="n"/>
      <c r="D189" s="979" t="n"/>
      <c r="E189" s="979" t="n"/>
      <c r="F189" s="979" t="n"/>
      <c r="G189" s="979" t="n"/>
      <c r="H189" s="979" t="n"/>
      <c r="I189" s="979" t="n"/>
      <c r="J189" s="979" t="n"/>
      <c r="K189" s="979" t="n"/>
      <c r="L189" s="979" t="n"/>
      <c r="M189" s="979" t="n"/>
      <c r="N189" s="979" t="n"/>
      <c r="O189" s="1035" t="n"/>
      <c r="P189" s="1036" t="inlineStr">
        <is>
          <t>Итого</t>
        </is>
      </c>
      <c r="Q189" s="997" t="n"/>
      <c r="R189" s="997" t="n"/>
      <c r="S189" s="997" t="n"/>
      <c r="T189" s="997" t="n"/>
      <c r="U189" s="997" t="n"/>
      <c r="V189" s="998" t="n"/>
      <c r="W189" s="42" t="inlineStr">
        <is>
          <t>кор</t>
        </is>
      </c>
      <c r="X189" s="1037">
        <f>IFERROR(X187/H187,"0")+IFERROR(X188/H188,"0")</f>
        <v/>
      </c>
      <c r="Y189" s="1037">
        <f>IFERROR(Y187/H187,"0")+IFERROR(Y188/H188,"0")</f>
        <v/>
      </c>
      <c r="Z189" s="1037">
        <f>IFERROR(IF(Z187="",0,Z187),"0")+IFERROR(IF(Z188="",0,Z188),"0")</f>
        <v/>
      </c>
      <c r="AA189" s="1038" t="n"/>
      <c r="AB189" s="1038" t="n"/>
      <c r="AC189" s="1038" t="n"/>
    </row>
    <row r="190">
      <c r="A190" s="979" t="n"/>
      <c r="B190" s="979" t="n"/>
      <c r="C190" s="979" t="n"/>
      <c r="D190" s="979" t="n"/>
      <c r="E190" s="979" t="n"/>
      <c r="F190" s="979" t="n"/>
      <c r="G190" s="979" t="n"/>
      <c r="H190" s="979" t="n"/>
      <c r="I190" s="979" t="n"/>
      <c r="J190" s="979" t="n"/>
      <c r="K190" s="979" t="n"/>
      <c r="L190" s="979" t="n"/>
      <c r="M190" s="979" t="n"/>
      <c r="N190" s="979" t="n"/>
      <c r="O190" s="1035" t="n"/>
      <c r="P190" s="1036" t="inlineStr">
        <is>
          <t>Итого</t>
        </is>
      </c>
      <c r="Q190" s="997" t="n"/>
      <c r="R190" s="997" t="n"/>
      <c r="S190" s="997" t="n"/>
      <c r="T190" s="997" t="n"/>
      <c r="U190" s="997" t="n"/>
      <c r="V190" s="998" t="n"/>
      <c r="W190" s="42" t="inlineStr">
        <is>
          <t>кг</t>
        </is>
      </c>
      <c r="X190" s="1037">
        <f>IFERROR(SUM(X187:X188),"0")</f>
        <v/>
      </c>
      <c r="Y190" s="1037">
        <f>IFERROR(SUM(Y187:Y188),"0")</f>
        <v/>
      </c>
      <c r="Z190" s="42" t="n"/>
      <c r="AA190" s="1038" t="n"/>
      <c r="AB190" s="1038" t="n"/>
      <c r="AC190" s="1038" t="n"/>
    </row>
    <row r="191" ht="14.25" customHeight="1">
      <c r="A191" s="694" t="inlineStr">
        <is>
          <t>Деликатесы с/к</t>
        </is>
      </c>
      <c r="B191" s="979" t="n"/>
      <c r="C191" s="979" t="n"/>
      <c r="D191" s="979" t="n"/>
      <c r="E191" s="979" t="n"/>
      <c r="F191" s="979" t="n"/>
      <c r="G191" s="979" t="n"/>
      <c r="H191" s="979" t="n"/>
      <c r="I191" s="979" t="n"/>
      <c r="J191" s="979" t="n"/>
      <c r="K191" s="979" t="n"/>
      <c r="L191" s="979" t="n"/>
      <c r="M191" s="979" t="n"/>
      <c r="N191" s="979" t="n"/>
      <c r="O191" s="979" t="n"/>
      <c r="P191" s="979" t="n"/>
      <c r="Q191" s="979" t="n"/>
      <c r="R191" s="979" t="n"/>
      <c r="S191" s="979" t="n"/>
      <c r="T191" s="979" t="n"/>
      <c r="U191" s="979" t="n"/>
      <c r="V191" s="979" t="n"/>
      <c r="W191" s="979" t="n"/>
      <c r="X191" s="979" t="n"/>
      <c r="Y191" s="979" t="n"/>
      <c r="Z191" s="979" t="n"/>
      <c r="AA191" s="694" t="n"/>
      <c r="AB191" s="694" t="n"/>
      <c r="AC191" s="694" t="n"/>
    </row>
    <row r="192" ht="27" customHeight="1">
      <c r="A192" s="63" t="inlineStr">
        <is>
          <t>SU004184</t>
        </is>
      </c>
      <c r="B192" s="63" t="inlineStr">
        <is>
          <t>P005451</t>
        </is>
      </c>
      <c r="C192" s="36" t="n">
        <v>4301041009</v>
      </c>
      <c r="D192" s="695" t="n">
        <v>4680115889033</v>
      </c>
      <c r="E192" s="989" t="n"/>
      <c r="F192" s="1028" t="n">
        <v>0.11</v>
      </c>
      <c r="G192" s="37" t="n">
        <v>15</v>
      </c>
      <c r="H192" s="1028" t="n">
        <v>1.65</v>
      </c>
      <c r="I192" s="1028" t="n">
        <v>1.9</v>
      </c>
      <c r="J192" s="37" t="n">
        <v>216</v>
      </c>
      <c r="K192" s="37" t="inlineStr">
        <is>
          <t>27</t>
        </is>
      </c>
      <c r="L192" s="37" t="inlineStr"/>
      <c r="M192" s="38" t="inlineStr">
        <is>
          <t>МЗР</t>
        </is>
      </c>
      <c r="N192" s="38" t="n"/>
      <c r="O192" s="37" t="n">
        <v>60</v>
      </c>
      <c r="P192" s="1125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/>
      </c>
      <c r="Q192" s="1030" t="n"/>
      <c r="R192" s="1030" t="n"/>
      <c r="S192" s="1030" t="n"/>
      <c r="T192" s="1031" t="n"/>
      <c r="U192" s="39" t="inlineStr"/>
      <c r="V192" s="39" t="inlineStr"/>
      <c r="W192" s="40" t="inlineStr">
        <is>
          <t>кг</t>
        </is>
      </c>
      <c r="X192" s="1032" t="n">
        <v>0</v>
      </c>
      <c r="Y192" s="1033">
        <f>IFERROR(IF(X192="",0,CEILING((X192/$H192),1)*$H192),"")</f>
        <v/>
      </c>
      <c r="Z192" s="41">
        <f>IFERROR(IF(Y192=0,"",ROUNDUP(Y192/H192,0)*0.0059),"")</f>
        <v/>
      </c>
      <c r="AA192" s="68" t="inlineStr"/>
      <c r="AB192" s="69" t="inlineStr"/>
      <c r="AC192" s="262" t="inlineStr">
        <is>
          <t>ЕАЭС N RU Д-RU.РА03.В.85902/26</t>
        </is>
      </c>
      <c r="AG192" s="78" t="n"/>
      <c r="AJ192" s="84" t="inlineStr"/>
      <c r="AK192" s="84" t="n">
        <v>0</v>
      </c>
      <c r="BB192" s="263" t="inlineStr">
        <is>
          <t>КИ</t>
        </is>
      </c>
      <c r="BM192" s="78">
        <f>IFERROR(X192*I192/H192,"0")</f>
        <v/>
      </c>
      <c r="BN192" s="78">
        <f>IFERROR(Y192*I192/H192,"0")</f>
        <v/>
      </c>
      <c r="BO192" s="78">
        <f>IFERROR(1/J192*(X192/H192),"0")</f>
        <v/>
      </c>
      <c r="BP192" s="78">
        <f>IFERROR(1/J192*(Y192/H192),"0")</f>
        <v/>
      </c>
    </row>
    <row r="193">
      <c r="A193" s="704" t="n"/>
      <c r="B193" s="979" t="n"/>
      <c r="C193" s="979" t="n"/>
      <c r="D193" s="979" t="n"/>
      <c r="E193" s="979" t="n"/>
      <c r="F193" s="979" t="n"/>
      <c r="G193" s="979" t="n"/>
      <c r="H193" s="979" t="n"/>
      <c r="I193" s="979" t="n"/>
      <c r="J193" s="979" t="n"/>
      <c r="K193" s="979" t="n"/>
      <c r="L193" s="979" t="n"/>
      <c r="M193" s="979" t="n"/>
      <c r="N193" s="979" t="n"/>
      <c r="O193" s="1035" t="n"/>
      <c r="P193" s="1036" t="inlineStr">
        <is>
          <t>Итого</t>
        </is>
      </c>
      <c r="Q193" s="997" t="n"/>
      <c r="R193" s="997" t="n"/>
      <c r="S193" s="997" t="n"/>
      <c r="T193" s="997" t="n"/>
      <c r="U193" s="997" t="n"/>
      <c r="V193" s="998" t="n"/>
      <c r="W193" s="42" t="inlineStr">
        <is>
          <t>кор</t>
        </is>
      </c>
      <c r="X193" s="1037">
        <f>IFERROR(X192/H192,"0")</f>
        <v/>
      </c>
      <c r="Y193" s="1037">
        <f>IFERROR(Y192/H192,"0")</f>
        <v/>
      </c>
      <c r="Z193" s="1037">
        <f>IFERROR(IF(Z192="",0,Z192),"0")</f>
        <v/>
      </c>
      <c r="AA193" s="1038" t="n"/>
      <c r="AB193" s="1038" t="n"/>
      <c r="AC193" s="1038" t="n"/>
    </row>
    <row r="194">
      <c r="A194" s="979" t="n"/>
      <c r="B194" s="979" t="n"/>
      <c r="C194" s="979" t="n"/>
      <c r="D194" s="979" t="n"/>
      <c r="E194" s="979" t="n"/>
      <c r="F194" s="979" t="n"/>
      <c r="G194" s="979" t="n"/>
      <c r="H194" s="979" t="n"/>
      <c r="I194" s="979" t="n"/>
      <c r="J194" s="979" t="n"/>
      <c r="K194" s="979" t="n"/>
      <c r="L194" s="979" t="n"/>
      <c r="M194" s="979" t="n"/>
      <c r="N194" s="979" t="n"/>
      <c r="O194" s="1035" t="n"/>
      <c r="P194" s="1036" t="inlineStr">
        <is>
          <t>Итого</t>
        </is>
      </c>
      <c r="Q194" s="997" t="n"/>
      <c r="R194" s="997" t="n"/>
      <c r="S194" s="997" t="n"/>
      <c r="T194" s="997" t="n"/>
      <c r="U194" s="997" t="n"/>
      <c r="V194" s="998" t="n"/>
      <c r="W194" s="42" t="inlineStr">
        <is>
          <t>кг</t>
        </is>
      </c>
      <c r="X194" s="1037">
        <f>IFERROR(SUM(X192:X192),"0")</f>
        <v/>
      </c>
      <c r="Y194" s="1037">
        <f>IFERROR(SUM(Y192:Y192),"0")</f>
        <v/>
      </c>
      <c r="Z194" s="42" t="n"/>
      <c r="AA194" s="1038" t="n"/>
      <c r="AB194" s="1038" t="n"/>
      <c r="AC194" s="1038" t="n"/>
    </row>
    <row r="195" ht="27.75" customHeight="1">
      <c r="A195" s="692" t="inlineStr">
        <is>
          <t>Стародворье</t>
        </is>
      </c>
      <c r="B195" s="1027" t="n"/>
      <c r="C195" s="1027" t="n"/>
      <c r="D195" s="1027" t="n"/>
      <c r="E195" s="1027" t="n"/>
      <c r="F195" s="1027" t="n"/>
      <c r="G195" s="1027" t="n"/>
      <c r="H195" s="1027" t="n"/>
      <c r="I195" s="1027" t="n"/>
      <c r="J195" s="1027" t="n"/>
      <c r="K195" s="1027" t="n"/>
      <c r="L195" s="1027" t="n"/>
      <c r="M195" s="1027" t="n"/>
      <c r="N195" s="1027" t="n"/>
      <c r="O195" s="1027" t="n"/>
      <c r="P195" s="1027" t="n"/>
      <c r="Q195" s="1027" t="n"/>
      <c r="R195" s="1027" t="n"/>
      <c r="S195" s="1027" t="n"/>
      <c r="T195" s="1027" t="n"/>
      <c r="U195" s="1027" t="n"/>
      <c r="V195" s="1027" t="n"/>
      <c r="W195" s="1027" t="n"/>
      <c r="X195" s="1027" t="n"/>
      <c r="Y195" s="1027" t="n"/>
      <c r="Z195" s="1027" t="n"/>
      <c r="AA195" s="54" t="n"/>
      <c r="AB195" s="54" t="n"/>
      <c r="AC195" s="54" t="n"/>
    </row>
    <row r="196" ht="16.5" customHeight="1">
      <c r="A196" s="693" t="inlineStr">
        <is>
          <t>Золоченная в печи</t>
        </is>
      </c>
      <c r="B196" s="979" t="n"/>
      <c r="C196" s="979" t="n"/>
      <c r="D196" s="979" t="n"/>
      <c r="E196" s="979" t="n"/>
      <c r="F196" s="979" t="n"/>
      <c r="G196" s="979" t="n"/>
      <c r="H196" s="979" t="n"/>
      <c r="I196" s="979" t="n"/>
      <c r="J196" s="979" t="n"/>
      <c r="K196" s="979" t="n"/>
      <c r="L196" s="979" t="n"/>
      <c r="M196" s="979" t="n"/>
      <c r="N196" s="979" t="n"/>
      <c r="O196" s="979" t="n"/>
      <c r="P196" s="979" t="n"/>
      <c r="Q196" s="979" t="n"/>
      <c r="R196" s="979" t="n"/>
      <c r="S196" s="979" t="n"/>
      <c r="T196" s="979" t="n"/>
      <c r="U196" s="979" t="n"/>
      <c r="V196" s="979" t="n"/>
      <c r="W196" s="979" t="n"/>
      <c r="X196" s="979" t="n"/>
      <c r="Y196" s="979" t="n"/>
      <c r="Z196" s="979" t="n"/>
      <c r="AA196" s="693" t="n"/>
      <c r="AB196" s="693" t="n"/>
      <c r="AC196" s="693" t="n"/>
    </row>
    <row r="197" ht="14.25" customHeight="1">
      <c r="A197" s="694" t="inlineStr">
        <is>
          <t>Вареные колбасы</t>
        </is>
      </c>
      <c r="B197" s="979" t="n"/>
      <c r="C197" s="979" t="n"/>
      <c r="D197" s="979" t="n"/>
      <c r="E197" s="979" t="n"/>
      <c r="F197" s="979" t="n"/>
      <c r="G197" s="979" t="n"/>
      <c r="H197" s="979" t="n"/>
      <c r="I197" s="979" t="n"/>
      <c r="J197" s="979" t="n"/>
      <c r="K197" s="979" t="n"/>
      <c r="L197" s="979" t="n"/>
      <c r="M197" s="979" t="n"/>
      <c r="N197" s="979" t="n"/>
      <c r="O197" s="979" t="n"/>
      <c r="P197" s="979" t="n"/>
      <c r="Q197" s="979" t="n"/>
      <c r="R197" s="979" t="n"/>
      <c r="S197" s="979" t="n"/>
      <c r="T197" s="979" t="n"/>
      <c r="U197" s="979" t="n"/>
      <c r="V197" s="979" t="n"/>
      <c r="W197" s="979" t="n"/>
      <c r="X197" s="979" t="n"/>
      <c r="Y197" s="979" t="n"/>
      <c r="Z197" s="979" t="n"/>
      <c r="AA197" s="694" t="n"/>
      <c r="AB197" s="694" t="n"/>
      <c r="AC197" s="694" t="n"/>
    </row>
    <row r="198" ht="27" customHeight="1">
      <c r="A198" s="63" t="inlineStr">
        <is>
          <t>SU002201</t>
        </is>
      </c>
      <c r="B198" s="63" t="inlineStr">
        <is>
          <t>P002567</t>
        </is>
      </c>
      <c r="C198" s="36" t="n">
        <v>4301011223</v>
      </c>
      <c r="D198" s="695" t="n">
        <v>4607091383423</v>
      </c>
      <c r="E198" s="989" t="n"/>
      <c r="F198" s="1028" t="n">
        <v>1.35</v>
      </c>
      <c r="G198" s="37" t="n">
        <v>8</v>
      </c>
      <c r="H198" s="1028" t="n">
        <v>10.8</v>
      </c>
      <c r="I198" s="1028" t="n">
        <v>11.306</v>
      </c>
      <c r="J198" s="37" t="n">
        <v>64</v>
      </c>
      <c r="K198" s="37" t="inlineStr">
        <is>
          <t>8</t>
        </is>
      </c>
      <c r="L198" s="37" t="inlineStr"/>
      <c r="M198" s="38" t="inlineStr">
        <is>
          <t>СК3</t>
        </is>
      </c>
      <c r="N198" s="38" t="n"/>
      <c r="O198" s="37" t="n">
        <v>35</v>
      </c>
      <c r="P198" s="1126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/>
      </c>
      <c r="Q198" s="1030" t="n"/>
      <c r="R198" s="1030" t="n"/>
      <c r="S198" s="1030" t="n"/>
      <c r="T198" s="1031" t="n"/>
      <c r="U198" s="39" t="inlineStr"/>
      <c r="V198" s="39" t="inlineStr"/>
      <c r="W198" s="40" t="inlineStr">
        <is>
          <t>кг</t>
        </is>
      </c>
      <c r="X198" s="1032" t="n">
        <v>0</v>
      </c>
      <c r="Y198" s="1033">
        <f>IFERROR(IF(X198="",0,CEILING((X198/$H198),1)*$H198),"")</f>
        <v/>
      </c>
      <c r="Z198" s="41">
        <f>IFERROR(IF(Y198=0,"",ROUNDUP(Y198/H198,0)*0.01898),"")</f>
        <v/>
      </c>
      <c r="AA198" s="68" t="inlineStr"/>
      <c r="AB198" s="69" t="inlineStr"/>
      <c r="AC198" s="264" t="inlineStr">
        <is>
          <t>ЕАЭС N RU Д-RU.РА08.В.45907/25</t>
        </is>
      </c>
      <c r="AG198" s="78" t="n"/>
      <c r="AJ198" s="84" t="inlineStr"/>
      <c r="AK198" s="84" t="n">
        <v>0</v>
      </c>
      <c r="BB198" s="265" t="inlineStr">
        <is>
          <t>КИ</t>
        </is>
      </c>
      <c r="BM198" s="78">
        <f>IFERROR(X198*I198/H198,"0")</f>
        <v/>
      </c>
      <c r="BN198" s="78">
        <f>IFERROR(Y198*I198/H198,"0")</f>
        <v/>
      </c>
      <c r="BO198" s="78">
        <f>IFERROR(1/J198*(X198/H198),"0")</f>
        <v/>
      </c>
      <c r="BP198" s="78">
        <f>IFERROR(1/J198*(Y198/H198),"0")</f>
        <v/>
      </c>
    </row>
    <row r="199" ht="27" customHeight="1">
      <c r="A199" s="63" t="inlineStr">
        <is>
          <t>SU004152</t>
        </is>
      </c>
      <c r="B199" s="63" t="inlineStr">
        <is>
          <t>P005428</t>
        </is>
      </c>
      <c r="C199" s="36" t="n">
        <v>4301012340</v>
      </c>
      <c r="D199" s="695" t="n">
        <v>4680115888760</v>
      </c>
      <c r="E199" s="989" t="n"/>
      <c r="F199" s="1028" t="n">
        <v>1.4</v>
      </c>
      <c r="G199" s="37" t="n">
        <v>6</v>
      </c>
      <c r="H199" s="1028" t="n">
        <v>8.4</v>
      </c>
      <c r="I199" s="1028" t="n">
        <v>8.81</v>
      </c>
      <c r="J199" s="37" t="n">
        <v>64</v>
      </c>
      <c r="K199" s="37" t="inlineStr">
        <is>
          <t>8</t>
        </is>
      </c>
      <c r="L199" s="37" t="inlineStr"/>
      <c r="M199" s="38" t="inlineStr">
        <is>
          <t>СК3</t>
        </is>
      </c>
      <c r="N199" s="38" t="n"/>
      <c r="O199" s="37" t="n">
        <v>35</v>
      </c>
      <c r="P199" s="1127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/>
      </c>
      <c r="Q199" s="1030" t="n"/>
      <c r="R199" s="1030" t="n"/>
      <c r="S199" s="1030" t="n"/>
      <c r="T199" s="1031" t="n"/>
      <c r="U199" s="39" t="inlineStr"/>
      <c r="V199" s="39" t="inlineStr"/>
      <c r="W199" s="40" t="inlineStr">
        <is>
          <t>кг</t>
        </is>
      </c>
      <c r="X199" s="1032" t="n">
        <v>0</v>
      </c>
      <c r="Y199" s="1033">
        <f>IFERROR(IF(X199="",0,CEILING((X199/$H199),1)*$H199),"")</f>
        <v/>
      </c>
      <c r="Z199" s="41">
        <f>IFERROR(IF(Y199=0,"",ROUNDUP(Y199/H199,0)*0.01898),"")</f>
        <v/>
      </c>
      <c r="AA199" s="68" t="inlineStr"/>
      <c r="AB199" s="69" t="inlineStr"/>
      <c r="AC199" s="266" t="inlineStr">
        <is>
          <t>ЕАЭС N RU Д-RU.РА03.В.70902/26</t>
        </is>
      </c>
      <c r="AG199" s="78" t="n"/>
      <c r="AJ199" s="84" t="inlineStr"/>
      <c r="AK199" s="84" t="n">
        <v>0</v>
      </c>
      <c r="BB199" s="267" t="inlineStr">
        <is>
          <t>КИ</t>
        </is>
      </c>
      <c r="BM199" s="78">
        <f>IFERROR(X199*I199/H199,"0")</f>
        <v/>
      </c>
      <c r="BN199" s="78">
        <f>IFERROR(Y199*I199/H199,"0")</f>
        <v/>
      </c>
      <c r="BO199" s="78">
        <f>IFERROR(1/J199*(X199/H199),"0")</f>
        <v/>
      </c>
      <c r="BP199" s="78">
        <f>IFERROR(1/J199*(Y199/H199),"0")</f>
        <v/>
      </c>
    </row>
    <row r="200" ht="27" customHeight="1">
      <c r="A200" s="63" t="inlineStr">
        <is>
          <t>SU004156</t>
        </is>
      </c>
      <c r="B200" s="63" t="inlineStr">
        <is>
          <t>P005429</t>
        </is>
      </c>
      <c r="C200" s="36" t="n">
        <v>4301012341</v>
      </c>
      <c r="D200" s="695" t="n">
        <v>4680115888807</v>
      </c>
      <c r="E200" s="989" t="n"/>
      <c r="F200" s="1028" t="n">
        <v>1.4</v>
      </c>
      <c r="G200" s="37" t="n">
        <v>6</v>
      </c>
      <c r="H200" s="1028" t="n">
        <v>8.4</v>
      </c>
      <c r="I200" s="1028" t="n">
        <v>8.81</v>
      </c>
      <c r="J200" s="37" t="n">
        <v>64</v>
      </c>
      <c r="K200" s="37" t="inlineStr">
        <is>
          <t>8</t>
        </is>
      </c>
      <c r="L200" s="37" t="inlineStr"/>
      <c r="M200" s="38" t="inlineStr">
        <is>
          <t>СК3</t>
        </is>
      </c>
      <c r="N200" s="38" t="n"/>
      <c r="O200" s="37" t="n">
        <v>35</v>
      </c>
      <c r="P200" s="1128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/>
      </c>
      <c r="Q200" s="1030" t="n"/>
      <c r="R200" s="1030" t="n"/>
      <c r="S200" s="1030" t="n"/>
      <c r="T200" s="1031" t="n"/>
      <c r="U200" s="39" t="inlineStr"/>
      <c r="V200" s="39" t="inlineStr"/>
      <c r="W200" s="40" t="inlineStr">
        <is>
          <t>кг</t>
        </is>
      </c>
      <c r="X200" s="1032" t="n">
        <v>0</v>
      </c>
      <c r="Y200" s="1033">
        <f>IFERROR(IF(X200="",0,CEILING((X200/$H200),1)*$H200),"")</f>
        <v/>
      </c>
      <c r="Z200" s="41">
        <f>IFERROR(IF(Y200=0,"",ROUNDUP(Y200/H200,0)*0.01898),"")</f>
        <v/>
      </c>
      <c r="AA200" s="68" t="inlineStr"/>
      <c r="AB200" s="69" t="inlineStr"/>
      <c r="AC200" s="268" t="inlineStr">
        <is>
          <t>ЕАЭС N RU Д-RU.РА11.В.91964/25</t>
        </is>
      </c>
      <c r="AG200" s="78" t="n"/>
      <c r="AJ200" s="84" t="inlineStr"/>
      <c r="AK200" s="84" t="n">
        <v>0</v>
      </c>
      <c r="BB200" s="269" t="inlineStr">
        <is>
          <t>КИ</t>
        </is>
      </c>
      <c r="BM200" s="78">
        <f>IFERROR(X200*I200/H200,"0")</f>
        <v/>
      </c>
      <c r="BN200" s="78">
        <f>IFERROR(Y200*I200/H200,"0")</f>
        <v/>
      </c>
      <c r="BO200" s="78">
        <f>IFERROR(1/J200*(X200/H200),"0")</f>
        <v/>
      </c>
      <c r="BP200" s="78">
        <f>IFERROR(1/J200*(Y200/H200),"0")</f>
        <v/>
      </c>
    </row>
    <row r="201" ht="27" customHeight="1">
      <c r="A201" s="63" t="inlineStr">
        <is>
          <t>SU004153</t>
        </is>
      </c>
      <c r="B201" s="63" t="inlineStr">
        <is>
          <t>P005430</t>
        </is>
      </c>
      <c r="C201" s="36" t="n">
        <v>4301012342</v>
      </c>
      <c r="D201" s="695" t="n">
        <v>4680115888852</v>
      </c>
      <c r="E201" s="989" t="n"/>
      <c r="F201" s="1028" t="n">
        <v>0.9</v>
      </c>
      <c r="G201" s="37" t="n">
        <v>6</v>
      </c>
      <c r="H201" s="1028" t="n">
        <v>5.4</v>
      </c>
      <c r="I201" s="1028" t="n">
        <v>5.81</v>
      </c>
      <c r="J201" s="37" t="n">
        <v>64</v>
      </c>
      <c r="K201" s="37" t="inlineStr">
        <is>
          <t>8</t>
        </is>
      </c>
      <c r="L201" s="37" t="inlineStr"/>
      <c r="M201" s="38" t="inlineStr">
        <is>
          <t>СК3</t>
        </is>
      </c>
      <c r="N201" s="38" t="n"/>
      <c r="O201" s="37" t="n">
        <v>35</v>
      </c>
      <c r="P201" s="1129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/>
      </c>
      <c r="Q201" s="1030" t="n"/>
      <c r="R201" s="1030" t="n"/>
      <c r="S201" s="1030" t="n"/>
      <c r="T201" s="1031" t="n"/>
      <c r="U201" s="39" t="inlineStr"/>
      <c r="V201" s="39" t="inlineStr"/>
      <c r="W201" s="40" t="inlineStr">
        <is>
          <t>кг</t>
        </is>
      </c>
      <c r="X201" s="1032" t="n">
        <v>0</v>
      </c>
      <c r="Y201" s="1033">
        <f>IFERROR(IF(X201="",0,CEILING((X201/$H201),1)*$H201),"")</f>
        <v/>
      </c>
      <c r="Z201" s="41">
        <f>IFERROR(IF(Y201=0,"",ROUNDUP(Y201/H201,0)*0.01898),"")</f>
        <v/>
      </c>
      <c r="AA201" s="68" t="inlineStr"/>
      <c r="AB201" s="69" t="inlineStr"/>
      <c r="AC201" s="270" t="inlineStr">
        <is>
          <t>ЕАЭС N RU Д-RU.РА04.В.18932/26</t>
        </is>
      </c>
      <c r="AG201" s="78" t="n"/>
      <c r="AJ201" s="84" t="inlineStr"/>
      <c r="AK201" s="84" t="n">
        <v>0</v>
      </c>
      <c r="BB201" s="271" t="inlineStr">
        <is>
          <t>КИ</t>
        </is>
      </c>
      <c r="BM201" s="78">
        <f>IFERROR(X201*I201/H201,"0")</f>
        <v/>
      </c>
      <c r="BN201" s="78">
        <f>IFERROR(Y201*I201/H201,"0")</f>
        <v/>
      </c>
      <c r="BO201" s="78">
        <f>IFERROR(1/J201*(X201/H201),"0")</f>
        <v/>
      </c>
      <c r="BP201" s="78">
        <f>IFERROR(1/J201*(Y201/H201),"0")</f>
        <v/>
      </c>
    </row>
    <row r="202" ht="37.5" customHeight="1">
      <c r="A202" s="63" t="inlineStr">
        <is>
          <t>SU003946</t>
        </is>
      </c>
      <c r="B202" s="63" t="inlineStr">
        <is>
          <t>P005604</t>
        </is>
      </c>
      <c r="C202" s="36" t="n">
        <v>4301012370</v>
      </c>
      <c r="D202" s="695" t="n">
        <v>4680115886957</v>
      </c>
      <c r="E202" s="989" t="n"/>
      <c r="F202" s="1028" t="n">
        <v>1.35</v>
      </c>
      <c r="G202" s="37" t="n">
        <v>8</v>
      </c>
      <c r="H202" s="1028" t="n">
        <v>10.8</v>
      </c>
      <c r="I202" s="1028" t="n">
        <v>11.29</v>
      </c>
      <c r="J202" s="37" t="n">
        <v>64</v>
      </c>
      <c r="K202" s="37" t="inlineStr">
        <is>
          <t>8</t>
        </is>
      </c>
      <c r="L202" s="37" t="inlineStr"/>
      <c r="M202" s="38" t="inlineStr">
        <is>
          <t>СК3</t>
        </is>
      </c>
      <c r="N202" s="38" t="n"/>
      <c r="O202" s="37" t="n">
        <v>35</v>
      </c>
      <c r="P202" s="1130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/>
      </c>
      <c r="Q202" s="1030" t="n"/>
      <c r="R202" s="1030" t="n"/>
      <c r="S202" s="1030" t="n"/>
      <c r="T202" s="1031" t="n"/>
      <c r="U202" s="39" t="inlineStr"/>
      <c r="V202" s="39" t="inlineStr"/>
      <c r="W202" s="40" t="inlineStr">
        <is>
          <t>кг</t>
        </is>
      </c>
      <c r="X202" s="1032" t="n">
        <v>0</v>
      </c>
      <c r="Y202" s="1033">
        <f>IFERROR(IF(X202="",0,CEILING((X202/$H202),1)*$H202),"")</f>
        <v/>
      </c>
      <c r="Z202" s="41">
        <f>IFERROR(IF(Y202=0,"",ROUNDUP(Y202/H202,0)*0.01898),"")</f>
        <v/>
      </c>
      <c r="AA202" s="68" t="inlineStr"/>
      <c r="AB202" s="69" t="inlineStr"/>
      <c r="AC202" s="272" t="inlineStr">
        <is>
          <t>ЕАЭС N RU Д-RU.РА04.В.04775/25</t>
        </is>
      </c>
      <c r="AG202" s="78" t="n"/>
      <c r="AJ202" s="84" t="inlineStr"/>
      <c r="AK202" s="84" t="n">
        <v>0</v>
      </c>
      <c r="BB202" s="273" t="inlineStr">
        <is>
          <t>КИ</t>
        </is>
      </c>
      <c r="BM202" s="78">
        <f>IFERROR(X202*I202/H202,"0")</f>
        <v/>
      </c>
      <c r="BN202" s="78">
        <f>IFERROR(Y202*I202/H202,"0")</f>
        <v/>
      </c>
      <c r="BO202" s="78">
        <f>IFERROR(1/J202*(X202/H202),"0")</f>
        <v/>
      </c>
      <c r="BP202" s="78">
        <f>IFERROR(1/J202*(Y202/H202),"0")</f>
        <v/>
      </c>
    </row>
    <row r="203" ht="27" customHeight="1">
      <c r="A203" s="63" t="inlineStr">
        <is>
          <t>SU003429</t>
        </is>
      </c>
      <c r="B203" s="63" t="inlineStr">
        <is>
          <t>P004275</t>
        </is>
      </c>
      <c r="C203" s="36" t="n">
        <v>4301012098</v>
      </c>
      <c r="D203" s="695" t="n">
        <v>4680115885660</v>
      </c>
      <c r="E203" s="989" t="n"/>
      <c r="F203" s="1028" t="n">
        <v>1.35</v>
      </c>
      <c r="G203" s="37" t="n">
        <v>8</v>
      </c>
      <c r="H203" s="1028" t="n">
        <v>10.8</v>
      </c>
      <c r="I203" s="1028" t="n">
        <v>11.21</v>
      </c>
      <c r="J203" s="37" t="n">
        <v>64</v>
      </c>
      <c r="K203" s="37" t="inlineStr">
        <is>
          <t>8</t>
        </is>
      </c>
      <c r="L203" s="37" t="inlineStr"/>
      <c r="M203" s="38" t="inlineStr">
        <is>
          <t>СК3</t>
        </is>
      </c>
      <c r="N203" s="38" t="n"/>
      <c r="O203" s="37" t="n">
        <v>35</v>
      </c>
      <c r="P203" s="1131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/>
      </c>
      <c r="Q203" s="1030" t="n"/>
      <c r="R203" s="1030" t="n"/>
      <c r="S203" s="1030" t="n"/>
      <c r="T203" s="1031" t="n"/>
      <c r="U203" s="39" t="inlineStr"/>
      <c r="V203" s="39" t="inlineStr"/>
      <c r="W203" s="40" t="inlineStr">
        <is>
          <t>кг</t>
        </is>
      </c>
      <c r="X203" s="1032" t="n">
        <v>0</v>
      </c>
      <c r="Y203" s="1033">
        <f>IFERROR(IF(X203="",0,CEILING((X203/$H203),1)*$H203),"")</f>
        <v/>
      </c>
      <c r="Z203" s="41">
        <f>IFERROR(IF(Y203=0,"",ROUNDUP(Y203/H203,0)*0.01898),"")</f>
        <v/>
      </c>
      <c r="AA203" s="68" t="inlineStr"/>
      <c r="AB203" s="69" t="inlineStr"/>
      <c r="AC203" s="274" t="inlineStr">
        <is>
          <t>ЕАЭС N RU Д-RU.РА09.В.49311/25</t>
        </is>
      </c>
      <c r="AG203" s="78" t="n"/>
      <c r="AJ203" s="84" t="inlineStr"/>
      <c r="AK203" s="84" t="n">
        <v>0</v>
      </c>
      <c r="BB203" s="275" t="inlineStr">
        <is>
          <t>КИ</t>
        </is>
      </c>
      <c r="BM203" s="78">
        <f>IFERROR(X203*I203/H203,"0")</f>
        <v/>
      </c>
      <c r="BN203" s="78">
        <f>IFERROR(Y203*I203/H203,"0")</f>
        <v/>
      </c>
      <c r="BO203" s="78">
        <f>IFERROR(1/J203*(X203/H203),"0")</f>
        <v/>
      </c>
      <c r="BP203" s="78">
        <f>IFERROR(1/J203*(Y203/H203),"0")</f>
        <v/>
      </c>
    </row>
    <row r="204" ht="27" customHeight="1">
      <c r="A204" s="63" t="inlineStr">
        <is>
          <t>SU003926</t>
        </is>
      </c>
      <c r="B204" s="63" t="inlineStr">
        <is>
          <t>P005603</t>
        </is>
      </c>
      <c r="C204" s="36" t="n">
        <v>4301012369</v>
      </c>
      <c r="D204" s="695" t="n">
        <v>4680115886773</v>
      </c>
      <c r="E204" s="989" t="n"/>
      <c r="F204" s="1028" t="n">
        <v>0.9</v>
      </c>
      <c r="G204" s="37" t="n">
        <v>10</v>
      </c>
      <c r="H204" s="1028" t="n">
        <v>9</v>
      </c>
      <c r="I204" s="1028" t="n">
        <v>9.51</v>
      </c>
      <c r="J204" s="37" t="n">
        <v>64</v>
      </c>
      <c r="K204" s="37" t="inlineStr">
        <is>
          <t>8</t>
        </is>
      </c>
      <c r="L204" s="37" t="inlineStr"/>
      <c r="M204" s="38" t="inlineStr">
        <is>
          <t>СК3</t>
        </is>
      </c>
      <c r="N204" s="38" t="n"/>
      <c r="O204" s="37" t="n">
        <v>35</v>
      </c>
      <c r="P204" s="1132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/>
      </c>
      <c r="Q204" s="1030" t="n"/>
      <c r="R204" s="1030" t="n"/>
      <c r="S204" s="1030" t="n"/>
      <c r="T204" s="1031" t="n"/>
      <c r="U204" s="39" t="inlineStr"/>
      <c r="V204" s="39" t="inlineStr"/>
      <c r="W204" s="40" t="inlineStr">
        <is>
          <t>кг</t>
        </is>
      </c>
      <c r="X204" s="1032" t="n">
        <v>0</v>
      </c>
      <c r="Y204" s="1033">
        <f>IFERROR(IF(X204="",0,CEILING((X204/$H204),1)*$H204),"")</f>
        <v/>
      </c>
      <c r="Z204" s="41">
        <f>IFERROR(IF(Y204=0,"",ROUNDUP(Y204/H204,0)*0.01898),"")</f>
        <v/>
      </c>
      <c r="AA204" s="68" t="inlineStr"/>
      <c r="AB204" s="69" t="inlineStr"/>
      <c r="AC204" s="276" t="inlineStr">
        <is>
          <t>ЕАЭС N RU Д-RU.РА10.В.32913/25</t>
        </is>
      </c>
      <c r="AG204" s="78" t="n"/>
      <c r="AJ204" s="84" t="inlineStr"/>
      <c r="AK204" s="84" t="n">
        <v>0</v>
      </c>
      <c r="BB204" s="277" t="inlineStr">
        <is>
          <t>КИ</t>
        </is>
      </c>
      <c r="BM204" s="78">
        <f>IFERROR(X204*I204/H204,"0")</f>
        <v/>
      </c>
      <c r="BN204" s="78">
        <f>IFERROR(Y204*I204/H204,"0")</f>
        <v/>
      </c>
      <c r="BO204" s="78">
        <f>IFERROR(1/J204*(X204/H204),"0")</f>
        <v/>
      </c>
      <c r="BP204" s="78">
        <f>IFERROR(1/J204*(Y204/H204),"0")</f>
        <v/>
      </c>
    </row>
    <row r="205">
      <c r="A205" s="704" t="n"/>
      <c r="B205" s="979" t="n"/>
      <c r="C205" s="979" t="n"/>
      <c r="D205" s="979" t="n"/>
      <c r="E205" s="979" t="n"/>
      <c r="F205" s="979" t="n"/>
      <c r="G205" s="979" t="n"/>
      <c r="H205" s="979" t="n"/>
      <c r="I205" s="979" t="n"/>
      <c r="J205" s="979" t="n"/>
      <c r="K205" s="979" t="n"/>
      <c r="L205" s="979" t="n"/>
      <c r="M205" s="979" t="n"/>
      <c r="N205" s="979" t="n"/>
      <c r="O205" s="1035" t="n"/>
      <c r="P205" s="1036" t="inlineStr">
        <is>
          <t>Итого</t>
        </is>
      </c>
      <c r="Q205" s="997" t="n"/>
      <c r="R205" s="997" t="n"/>
      <c r="S205" s="997" t="n"/>
      <c r="T205" s="997" t="n"/>
      <c r="U205" s="997" t="n"/>
      <c r="V205" s="998" t="n"/>
      <c r="W205" s="42" t="inlineStr">
        <is>
          <t>кор</t>
        </is>
      </c>
      <c r="X205" s="1037">
        <f>IFERROR(X198/H198,"0")+IFERROR(X199/H199,"0")+IFERROR(X200/H200,"0")+IFERROR(X201/H201,"0")+IFERROR(X202/H202,"0")+IFERROR(X203/H203,"0")+IFERROR(X204/H204,"0")</f>
        <v/>
      </c>
      <c r="Y205" s="1037">
        <f>IFERROR(Y198/H198,"0")+IFERROR(Y199/H199,"0")+IFERROR(Y200/H200,"0")+IFERROR(Y201/H201,"0")+IFERROR(Y202/H202,"0")+IFERROR(Y203/H203,"0")+IFERROR(Y204/H204,"0")</f>
        <v/>
      </c>
      <c r="Z205" s="1037">
        <f>IFERROR(IF(Z198="",0,Z198),"0")+IFERROR(IF(Z199="",0,Z199),"0")+IFERROR(IF(Z200="",0,Z200),"0")+IFERROR(IF(Z201="",0,Z201),"0")+IFERROR(IF(Z202="",0,Z202),"0")+IFERROR(IF(Z203="",0,Z203),"0")+IFERROR(IF(Z204="",0,Z204),"0")</f>
        <v/>
      </c>
      <c r="AA205" s="1038" t="n"/>
      <c r="AB205" s="1038" t="n"/>
      <c r="AC205" s="1038" t="n"/>
    </row>
    <row r="206">
      <c r="A206" s="979" t="n"/>
      <c r="B206" s="979" t="n"/>
      <c r="C206" s="979" t="n"/>
      <c r="D206" s="979" t="n"/>
      <c r="E206" s="979" t="n"/>
      <c r="F206" s="979" t="n"/>
      <c r="G206" s="979" t="n"/>
      <c r="H206" s="979" t="n"/>
      <c r="I206" s="979" t="n"/>
      <c r="J206" s="979" t="n"/>
      <c r="K206" s="979" t="n"/>
      <c r="L206" s="979" t="n"/>
      <c r="M206" s="979" t="n"/>
      <c r="N206" s="979" t="n"/>
      <c r="O206" s="1035" t="n"/>
      <c r="P206" s="1036" t="inlineStr">
        <is>
          <t>Итого</t>
        </is>
      </c>
      <c r="Q206" s="997" t="n"/>
      <c r="R206" s="997" t="n"/>
      <c r="S206" s="997" t="n"/>
      <c r="T206" s="997" t="n"/>
      <c r="U206" s="997" t="n"/>
      <c r="V206" s="998" t="n"/>
      <c r="W206" s="42" t="inlineStr">
        <is>
          <t>кг</t>
        </is>
      </c>
      <c r="X206" s="1037">
        <f>IFERROR(SUM(X198:X204),"0")</f>
        <v/>
      </c>
      <c r="Y206" s="1037">
        <f>IFERROR(SUM(Y198:Y204),"0")</f>
        <v/>
      </c>
      <c r="Z206" s="42" t="n"/>
      <c r="AA206" s="1038" t="n"/>
      <c r="AB206" s="1038" t="n"/>
      <c r="AC206" s="1038" t="n"/>
    </row>
    <row r="207" ht="16.5" customHeight="1">
      <c r="A207" s="693" t="inlineStr">
        <is>
          <t>Мясорубская</t>
        </is>
      </c>
      <c r="B207" s="979" t="n"/>
      <c r="C207" s="979" t="n"/>
      <c r="D207" s="979" t="n"/>
      <c r="E207" s="979" t="n"/>
      <c r="F207" s="979" t="n"/>
      <c r="G207" s="979" t="n"/>
      <c r="H207" s="979" t="n"/>
      <c r="I207" s="979" t="n"/>
      <c r="J207" s="979" t="n"/>
      <c r="K207" s="979" t="n"/>
      <c r="L207" s="979" t="n"/>
      <c r="M207" s="979" t="n"/>
      <c r="N207" s="979" t="n"/>
      <c r="O207" s="979" t="n"/>
      <c r="P207" s="979" t="n"/>
      <c r="Q207" s="979" t="n"/>
      <c r="R207" s="979" t="n"/>
      <c r="S207" s="979" t="n"/>
      <c r="T207" s="979" t="n"/>
      <c r="U207" s="979" t="n"/>
      <c r="V207" s="979" t="n"/>
      <c r="W207" s="979" t="n"/>
      <c r="X207" s="979" t="n"/>
      <c r="Y207" s="979" t="n"/>
      <c r="Z207" s="979" t="n"/>
      <c r="AA207" s="693" t="n"/>
      <c r="AB207" s="693" t="n"/>
      <c r="AC207" s="693" t="n"/>
    </row>
    <row r="208" ht="14.25" customHeight="1">
      <c r="A208" s="694" t="inlineStr">
        <is>
          <t>Ветчины</t>
        </is>
      </c>
      <c r="B208" s="979" t="n"/>
      <c r="C208" s="979" t="n"/>
      <c r="D208" s="979" t="n"/>
      <c r="E208" s="979" t="n"/>
      <c r="F208" s="979" t="n"/>
      <c r="G208" s="979" t="n"/>
      <c r="H208" s="979" t="n"/>
      <c r="I208" s="979" t="n"/>
      <c r="J208" s="979" t="n"/>
      <c r="K208" s="979" t="n"/>
      <c r="L208" s="979" t="n"/>
      <c r="M208" s="979" t="n"/>
      <c r="N208" s="979" t="n"/>
      <c r="O208" s="979" t="n"/>
      <c r="P208" s="979" t="n"/>
      <c r="Q208" s="979" t="n"/>
      <c r="R208" s="979" t="n"/>
      <c r="S208" s="979" t="n"/>
      <c r="T208" s="979" t="n"/>
      <c r="U208" s="979" t="n"/>
      <c r="V208" s="979" t="n"/>
      <c r="W208" s="979" t="n"/>
      <c r="X208" s="979" t="n"/>
      <c r="Y208" s="979" t="n"/>
      <c r="Z208" s="979" t="n"/>
      <c r="AA208" s="694" t="n"/>
      <c r="AB208" s="694" t="n"/>
      <c r="AC208" s="694" t="n"/>
    </row>
    <row r="209" ht="27" customHeight="1">
      <c r="A209" s="63" t="inlineStr">
        <is>
          <t>SU003512</t>
        </is>
      </c>
      <c r="B209" s="63" t="inlineStr">
        <is>
          <t>P004437</t>
        </is>
      </c>
      <c r="C209" s="36" t="n">
        <v>4301020323</v>
      </c>
      <c r="D209" s="695" t="n">
        <v>4680115886223</v>
      </c>
      <c r="E209" s="989" t="n"/>
      <c r="F209" s="1028" t="n">
        <v>0.33</v>
      </c>
      <c r="G209" s="37" t="n">
        <v>6</v>
      </c>
      <c r="H209" s="1028" t="n">
        <v>1.98</v>
      </c>
      <c r="I209" s="1028" t="n">
        <v>2.08</v>
      </c>
      <c r="J209" s="37" t="n">
        <v>234</v>
      </c>
      <c r="K209" s="37" t="inlineStr">
        <is>
          <t>18</t>
        </is>
      </c>
      <c r="L209" s="37" t="inlineStr"/>
      <c r="M209" s="38" t="inlineStr">
        <is>
          <t>СК2</t>
        </is>
      </c>
      <c r="N209" s="38" t="n"/>
      <c r="O209" s="37" t="n">
        <v>40</v>
      </c>
      <c r="P209" s="1133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209" s="1030" t="n"/>
      <c r="R209" s="1030" t="n"/>
      <c r="S209" s="1030" t="n"/>
      <c r="T209" s="1031" t="n"/>
      <c r="U209" s="39" t="inlineStr"/>
      <c r="V209" s="39" t="inlineStr"/>
      <c r="W209" s="40" t="inlineStr">
        <is>
          <t>кг</t>
        </is>
      </c>
      <c r="X209" s="1032" t="n">
        <v>0</v>
      </c>
      <c r="Y209" s="1033">
        <f>IFERROR(IF(X209="",0,CEILING((X209/$H209),1)*$H209),"")</f>
        <v/>
      </c>
      <c r="Z209" s="41">
        <f>IFERROR(IF(Y209=0,"",ROUNDUP(Y209/H209,0)*0.00502),"")</f>
        <v/>
      </c>
      <c r="AA209" s="68" t="inlineStr"/>
      <c r="AB209" s="69" t="inlineStr"/>
      <c r="AC209" s="278" t="inlineStr">
        <is>
          <t>ЕАЭС N RU Д-RU.РА04.В.01888/24, ЕАЭС N RU Д-RU.РА09.В.27640/25</t>
        </is>
      </c>
      <c r="AG209" s="78" t="n"/>
      <c r="AJ209" s="84" t="inlineStr"/>
      <c r="AK209" s="84" t="n">
        <v>0</v>
      </c>
      <c r="BB209" s="279" t="inlineStr">
        <is>
          <t>КИ</t>
        </is>
      </c>
      <c r="BM209" s="78">
        <f>IFERROR(X209*I209/H209,"0")</f>
        <v/>
      </c>
      <c r="BN209" s="78">
        <f>IFERROR(Y209*I209/H209,"0")</f>
        <v/>
      </c>
      <c r="BO209" s="78">
        <f>IFERROR(1/J209*(X209/H209),"0")</f>
        <v/>
      </c>
      <c r="BP209" s="78">
        <f>IFERROR(1/J209*(Y209/H209),"0")</f>
        <v/>
      </c>
    </row>
    <row r="210">
      <c r="A210" s="704" t="n"/>
      <c r="B210" s="979" t="n"/>
      <c r="C210" s="979" t="n"/>
      <c r="D210" s="979" t="n"/>
      <c r="E210" s="979" t="n"/>
      <c r="F210" s="979" t="n"/>
      <c r="G210" s="979" t="n"/>
      <c r="H210" s="979" t="n"/>
      <c r="I210" s="979" t="n"/>
      <c r="J210" s="979" t="n"/>
      <c r="K210" s="979" t="n"/>
      <c r="L210" s="979" t="n"/>
      <c r="M210" s="979" t="n"/>
      <c r="N210" s="979" t="n"/>
      <c r="O210" s="1035" t="n"/>
      <c r="P210" s="1036" t="inlineStr">
        <is>
          <t>Итого</t>
        </is>
      </c>
      <c r="Q210" s="997" t="n"/>
      <c r="R210" s="997" t="n"/>
      <c r="S210" s="997" t="n"/>
      <c r="T210" s="997" t="n"/>
      <c r="U210" s="997" t="n"/>
      <c r="V210" s="998" t="n"/>
      <c r="W210" s="42" t="inlineStr">
        <is>
          <t>кор</t>
        </is>
      </c>
      <c r="X210" s="1037">
        <f>IFERROR(X209/H209,"0")</f>
        <v/>
      </c>
      <c r="Y210" s="1037">
        <f>IFERROR(Y209/H209,"0")</f>
        <v/>
      </c>
      <c r="Z210" s="1037">
        <f>IFERROR(IF(Z209="",0,Z209),"0")</f>
        <v/>
      </c>
      <c r="AA210" s="1038" t="n"/>
      <c r="AB210" s="1038" t="n"/>
      <c r="AC210" s="1038" t="n"/>
    </row>
    <row r="211">
      <c r="A211" s="979" t="n"/>
      <c r="B211" s="979" t="n"/>
      <c r="C211" s="979" t="n"/>
      <c r="D211" s="979" t="n"/>
      <c r="E211" s="979" t="n"/>
      <c r="F211" s="979" t="n"/>
      <c r="G211" s="979" t="n"/>
      <c r="H211" s="979" t="n"/>
      <c r="I211" s="979" t="n"/>
      <c r="J211" s="979" t="n"/>
      <c r="K211" s="979" t="n"/>
      <c r="L211" s="979" t="n"/>
      <c r="M211" s="979" t="n"/>
      <c r="N211" s="979" t="n"/>
      <c r="O211" s="1035" t="n"/>
      <c r="P211" s="1036" t="inlineStr">
        <is>
          <t>Итого</t>
        </is>
      </c>
      <c r="Q211" s="997" t="n"/>
      <c r="R211" s="997" t="n"/>
      <c r="S211" s="997" t="n"/>
      <c r="T211" s="997" t="n"/>
      <c r="U211" s="997" t="n"/>
      <c r="V211" s="998" t="n"/>
      <c r="W211" s="42" t="inlineStr">
        <is>
          <t>кг</t>
        </is>
      </c>
      <c r="X211" s="1037">
        <f>IFERROR(SUM(X209:X209),"0")</f>
        <v/>
      </c>
      <c r="Y211" s="1037">
        <f>IFERROR(SUM(Y209:Y209),"0")</f>
        <v/>
      </c>
      <c r="Z211" s="42" t="n"/>
      <c r="AA211" s="1038" t="n"/>
      <c r="AB211" s="1038" t="n"/>
      <c r="AC211" s="1038" t="n"/>
    </row>
    <row r="212" ht="14.25" customHeight="1">
      <c r="A212" s="694" t="inlineStr">
        <is>
          <t>Копченые колбасы</t>
        </is>
      </c>
      <c r="B212" s="979" t="n"/>
      <c r="C212" s="979" t="n"/>
      <c r="D212" s="979" t="n"/>
      <c r="E212" s="979" t="n"/>
      <c r="F212" s="979" t="n"/>
      <c r="G212" s="979" t="n"/>
      <c r="H212" s="979" t="n"/>
      <c r="I212" s="979" t="n"/>
      <c r="J212" s="979" t="n"/>
      <c r="K212" s="979" t="n"/>
      <c r="L212" s="979" t="n"/>
      <c r="M212" s="979" t="n"/>
      <c r="N212" s="979" t="n"/>
      <c r="O212" s="979" t="n"/>
      <c r="P212" s="979" t="n"/>
      <c r="Q212" s="979" t="n"/>
      <c r="R212" s="979" t="n"/>
      <c r="S212" s="979" t="n"/>
      <c r="T212" s="979" t="n"/>
      <c r="U212" s="979" t="n"/>
      <c r="V212" s="979" t="n"/>
      <c r="W212" s="979" t="n"/>
      <c r="X212" s="979" t="n"/>
      <c r="Y212" s="979" t="n"/>
      <c r="Z212" s="979" t="n"/>
      <c r="AA212" s="694" t="n"/>
      <c r="AB212" s="694" t="n"/>
      <c r="AC212" s="694" t="n"/>
    </row>
    <row r="213" ht="27" customHeight="1">
      <c r="A213" s="63" t="inlineStr">
        <is>
          <t>SU002756</t>
        </is>
      </c>
      <c r="B213" s="63" t="inlineStr">
        <is>
          <t>P003179</t>
        </is>
      </c>
      <c r="C213" s="36" t="n">
        <v>4301031191</v>
      </c>
      <c r="D213" s="695" t="n">
        <v>4680115880993</v>
      </c>
      <c r="E213" s="989" t="n"/>
      <c r="F213" s="1028" t="n">
        <v>0.7</v>
      </c>
      <c r="G213" s="37" t="n">
        <v>6</v>
      </c>
      <c r="H213" s="1028" t="n">
        <v>4.2</v>
      </c>
      <c r="I213" s="1028" t="n">
        <v>4.45</v>
      </c>
      <c r="J213" s="37" t="n">
        <v>132</v>
      </c>
      <c r="K213" s="37" t="inlineStr">
        <is>
          <t>12</t>
        </is>
      </c>
      <c r="L213" s="37" t="inlineStr"/>
      <c r="M213" s="38" t="inlineStr">
        <is>
          <t>СК2</t>
        </is>
      </c>
      <c r="N213" s="38" t="n"/>
      <c r="O213" s="37" t="n">
        <v>40</v>
      </c>
      <c r="P213" s="1134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213" s="1030" t="n"/>
      <c r="R213" s="1030" t="n"/>
      <c r="S213" s="1030" t="n"/>
      <c r="T213" s="1031" t="n"/>
      <c r="U213" s="39" t="inlineStr"/>
      <c r="V213" s="39" t="inlineStr"/>
      <c r="W213" s="40" t="inlineStr">
        <is>
          <t>кг</t>
        </is>
      </c>
      <c r="X213" s="1032" t="n">
        <v>0</v>
      </c>
      <c r="Y213" s="1033">
        <f>IFERROR(IF(X213="",0,CEILING((X213/$H213),1)*$H213),"")</f>
        <v/>
      </c>
      <c r="Z213" s="41">
        <f>IFERROR(IF(Y213=0,"",ROUNDUP(Y213/H213,0)*0.00902),"")</f>
        <v/>
      </c>
      <c r="AA213" s="68" t="inlineStr"/>
      <c r="AB213" s="69" t="inlineStr"/>
      <c r="AC213" s="280" t="inlineStr">
        <is>
          <t>ЕАЭС N RU Д-RU.РА03.В.04933/25</t>
        </is>
      </c>
      <c r="AG213" s="78" t="n"/>
      <c r="AJ213" s="84" t="inlineStr"/>
      <c r="AK213" s="84" t="n">
        <v>0</v>
      </c>
      <c r="BB213" s="281" t="inlineStr">
        <is>
          <t>КИ</t>
        </is>
      </c>
      <c r="BM213" s="78">
        <f>IFERROR(X213*I213/H213,"0")</f>
        <v/>
      </c>
      <c r="BN213" s="78">
        <f>IFERROR(Y213*I213/H213,"0")</f>
        <v/>
      </c>
      <c r="BO213" s="78">
        <f>IFERROR(1/J213*(X213/H213),"0")</f>
        <v/>
      </c>
      <c r="BP213" s="78">
        <f>IFERROR(1/J213*(Y213/H213),"0")</f>
        <v/>
      </c>
    </row>
    <row r="214" ht="27" customHeight="1">
      <c r="A214" s="63" t="inlineStr">
        <is>
          <t>SU002876</t>
        </is>
      </c>
      <c r="B214" s="63" t="inlineStr">
        <is>
          <t>P003276</t>
        </is>
      </c>
      <c r="C214" s="36" t="n">
        <v>4301031204</v>
      </c>
      <c r="D214" s="695" t="n">
        <v>4680115881761</v>
      </c>
      <c r="E214" s="989" t="n"/>
      <c r="F214" s="1028" t="n">
        <v>0.7</v>
      </c>
      <c r="G214" s="37" t="n">
        <v>6</v>
      </c>
      <c r="H214" s="1028" t="n">
        <v>4.2</v>
      </c>
      <c r="I214" s="1028" t="n">
        <v>4.45</v>
      </c>
      <c r="J214" s="37" t="n">
        <v>132</v>
      </c>
      <c r="K214" s="37" t="inlineStr">
        <is>
          <t>12</t>
        </is>
      </c>
      <c r="L214" s="37" t="inlineStr"/>
      <c r="M214" s="38" t="inlineStr">
        <is>
          <t>СК2</t>
        </is>
      </c>
      <c r="N214" s="38" t="n"/>
      <c r="O214" s="37" t="n">
        <v>40</v>
      </c>
      <c r="P214" s="1135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214" s="1030" t="n"/>
      <c r="R214" s="1030" t="n"/>
      <c r="S214" s="1030" t="n"/>
      <c r="T214" s="1031" t="n"/>
      <c r="U214" s="39" t="inlineStr"/>
      <c r="V214" s="39" t="inlineStr"/>
      <c r="W214" s="40" t="inlineStr">
        <is>
          <t>кг</t>
        </is>
      </c>
      <c r="X214" s="1032" t="n">
        <v>0</v>
      </c>
      <c r="Y214" s="1033">
        <f>IFERROR(IF(X214="",0,CEILING((X214/$H214),1)*$H214),"")</f>
        <v/>
      </c>
      <c r="Z214" s="41">
        <f>IFERROR(IF(Y214=0,"",ROUNDUP(Y214/H214,0)*0.00902),"")</f>
        <v/>
      </c>
      <c r="AA214" s="68" t="inlineStr"/>
      <c r="AB214" s="69" t="inlineStr"/>
      <c r="AC214" s="282" t="inlineStr">
        <is>
          <t>ЕАЭС N RU Д-RU.РА01.В.91248/26</t>
        </is>
      </c>
      <c r="AG214" s="78" t="n"/>
      <c r="AJ214" s="84" t="inlineStr"/>
      <c r="AK214" s="84" t="n">
        <v>0</v>
      </c>
      <c r="BB214" s="283" t="inlineStr">
        <is>
          <t>КИ</t>
        </is>
      </c>
      <c r="BM214" s="78">
        <f>IFERROR(X214*I214/H214,"0")</f>
        <v/>
      </c>
      <c r="BN214" s="78">
        <f>IFERROR(Y214*I214/H214,"0")</f>
        <v/>
      </c>
      <c r="BO214" s="78">
        <f>IFERROR(1/J214*(X214/H214),"0")</f>
        <v/>
      </c>
      <c r="BP214" s="78">
        <f>IFERROR(1/J214*(Y214/H214),"0")</f>
        <v/>
      </c>
    </row>
    <row r="215" ht="27" customHeight="1">
      <c r="A215" s="63" t="inlineStr">
        <is>
          <t>SU002847</t>
        </is>
      </c>
      <c r="B215" s="63" t="inlineStr">
        <is>
          <t>P003259</t>
        </is>
      </c>
      <c r="C215" s="36" t="n">
        <v>4301031201</v>
      </c>
      <c r="D215" s="695" t="n">
        <v>4680115881563</v>
      </c>
      <c r="E215" s="989" t="n"/>
      <c r="F215" s="1028" t="n">
        <v>0.7</v>
      </c>
      <c r="G215" s="37" t="n">
        <v>6</v>
      </c>
      <c r="H215" s="1028" t="n">
        <v>4.2</v>
      </c>
      <c r="I215" s="1028" t="n">
        <v>4.39</v>
      </c>
      <c r="J215" s="37" t="n">
        <v>132</v>
      </c>
      <c r="K215" s="37" t="inlineStr">
        <is>
          <t>12</t>
        </is>
      </c>
      <c r="L215" s="37" t="inlineStr"/>
      <c r="M215" s="38" t="inlineStr">
        <is>
          <t>СК2</t>
        </is>
      </c>
      <c r="N215" s="38" t="n"/>
      <c r="O215" s="37" t="n">
        <v>40</v>
      </c>
      <c r="P215" s="1136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215" s="1030" t="n"/>
      <c r="R215" s="1030" t="n"/>
      <c r="S215" s="1030" t="n"/>
      <c r="T215" s="1031" t="n"/>
      <c r="U215" s="39" t="inlineStr"/>
      <c r="V215" s="39" t="inlineStr"/>
      <c r="W215" s="40" t="inlineStr">
        <is>
          <t>кг</t>
        </is>
      </c>
      <c r="X215" s="1032" t="n">
        <v>0</v>
      </c>
      <c r="Y215" s="1033">
        <f>IFERROR(IF(X215="",0,CEILING((X215/$H215),1)*$H215),"")</f>
        <v/>
      </c>
      <c r="Z215" s="41">
        <f>IFERROR(IF(Y215=0,"",ROUNDUP(Y215/H215,0)*0.00902),"")</f>
        <v/>
      </c>
      <c r="AA215" s="68" t="inlineStr"/>
      <c r="AB215" s="69" t="inlineStr"/>
      <c r="AC215" s="284" t="inlineStr">
        <is>
          <t>ЕАЭС N RU Д-RU.РА03.В.05061/25</t>
        </is>
      </c>
      <c r="AG215" s="78" t="n"/>
      <c r="AJ215" s="84" t="inlineStr"/>
      <c r="AK215" s="84" t="n">
        <v>0</v>
      </c>
      <c r="BB215" s="285" t="inlineStr">
        <is>
          <t>КИ</t>
        </is>
      </c>
      <c r="BM215" s="78">
        <f>IFERROR(X215*I215/H215,"0")</f>
        <v/>
      </c>
      <c r="BN215" s="78">
        <f>IFERROR(Y215*I215/H215,"0")</f>
        <v/>
      </c>
      <c r="BO215" s="78">
        <f>IFERROR(1/J215*(X215/H215),"0")</f>
        <v/>
      </c>
      <c r="BP215" s="78">
        <f>IFERROR(1/J215*(Y215/H215),"0")</f>
        <v/>
      </c>
    </row>
    <row r="216" ht="37.5" customHeight="1">
      <c r="A216" s="63" t="inlineStr">
        <is>
          <t>SU004026</t>
        </is>
      </c>
      <c r="B216" s="63" t="inlineStr">
        <is>
          <t>P005155</t>
        </is>
      </c>
      <c r="C216" s="36" t="n">
        <v>4301031447</v>
      </c>
      <c r="D216" s="695" t="n">
        <v>4680115887565</v>
      </c>
      <c r="E216" s="989" t="n"/>
      <c r="F216" s="1028" t="n">
        <v>0.08</v>
      </c>
      <c r="G216" s="37" t="n">
        <v>10</v>
      </c>
      <c r="H216" s="1028" t="n">
        <v>0.8</v>
      </c>
      <c r="I216" s="1028" t="n">
        <v>0.93</v>
      </c>
      <c r="J216" s="37" t="n">
        <v>252</v>
      </c>
      <c r="K216" s="37" t="inlineStr">
        <is>
          <t>18</t>
        </is>
      </c>
      <c r="L216" s="37" t="inlineStr"/>
      <c r="M216" s="38" t="inlineStr">
        <is>
          <t>СК2</t>
        </is>
      </c>
      <c r="N216" s="38" t="n"/>
      <c r="O216" s="37" t="n">
        <v>45</v>
      </c>
      <c r="P216" s="1137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/>
      </c>
      <c r="Q216" s="1030" t="n"/>
      <c r="R216" s="1030" t="n"/>
      <c r="S216" s="1030" t="n"/>
      <c r="T216" s="1031" t="n"/>
      <c r="U216" s="39" t="inlineStr"/>
      <c r="V216" s="39" t="inlineStr"/>
      <c r="W216" s="40" t="inlineStr">
        <is>
          <t>кг</t>
        </is>
      </c>
      <c r="X216" s="1032" t="n">
        <v>0</v>
      </c>
      <c r="Y216" s="1033">
        <f>IFERROR(IF(X216="",0,CEILING((X216/$H216),1)*$H216),"")</f>
        <v/>
      </c>
      <c r="Z216" s="41">
        <f>IFERROR(IF(Y216=0,"",ROUNDUP(Y216/H216,0)*0.00556),"")</f>
        <v/>
      </c>
      <c r="AA216" s="68" t="inlineStr"/>
      <c r="AB216" s="69" t="inlineStr"/>
      <c r="AC216" s="286" t="inlineStr">
        <is>
          <t>ЕАЭС N RU Д-RU.РА10.В.96915/25</t>
        </is>
      </c>
      <c r="AG216" s="78" t="n"/>
      <c r="AJ216" s="84" t="inlineStr"/>
      <c r="AK216" s="84" t="n">
        <v>0</v>
      </c>
      <c r="BB216" s="287" t="inlineStr">
        <is>
          <t>КИ</t>
        </is>
      </c>
      <c r="BM216" s="78">
        <f>IFERROR(X216*I216/H216,"0")</f>
        <v/>
      </c>
      <c r="BN216" s="78">
        <f>IFERROR(Y216*I216/H216,"0")</f>
        <v/>
      </c>
      <c r="BO216" s="78">
        <f>IFERROR(1/J216*(X216/H216),"0")</f>
        <v/>
      </c>
      <c r="BP216" s="78">
        <f>IFERROR(1/J216*(Y216/H216),"0")</f>
        <v/>
      </c>
    </row>
    <row r="217" ht="27" customHeight="1">
      <c r="A217" s="63" t="inlineStr">
        <is>
          <t>SU002660</t>
        </is>
      </c>
      <c r="B217" s="63" t="inlineStr">
        <is>
          <t>P003256</t>
        </is>
      </c>
      <c r="C217" s="36" t="n">
        <v>4301031199</v>
      </c>
      <c r="D217" s="695" t="n">
        <v>4680115880986</v>
      </c>
      <c r="E217" s="989" t="n"/>
      <c r="F217" s="1028" t="n">
        <v>0.35</v>
      </c>
      <c r="G217" s="37" t="n">
        <v>6</v>
      </c>
      <c r="H217" s="1028" t="n">
        <v>2.1</v>
      </c>
      <c r="I217" s="1028" t="n">
        <v>2.23</v>
      </c>
      <c r="J217" s="37" t="n">
        <v>234</v>
      </c>
      <c r="K217" s="37" t="inlineStr">
        <is>
          <t>18</t>
        </is>
      </c>
      <c r="L217" s="37" t="inlineStr"/>
      <c r="M217" s="38" t="inlineStr">
        <is>
          <t>СК2</t>
        </is>
      </c>
      <c r="N217" s="38" t="n"/>
      <c r="O217" s="37" t="n">
        <v>40</v>
      </c>
      <c r="P217" s="1138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217" s="1030" t="n"/>
      <c r="R217" s="1030" t="n"/>
      <c r="S217" s="1030" t="n"/>
      <c r="T217" s="1031" t="n"/>
      <c r="U217" s="39" t="inlineStr"/>
      <c r="V217" s="39" t="inlineStr"/>
      <c r="W217" s="40" t="inlineStr">
        <is>
          <t>кг</t>
        </is>
      </c>
      <c r="X217" s="1032" t="n">
        <v>0</v>
      </c>
      <c r="Y217" s="1033">
        <f>IFERROR(IF(X217="",0,CEILING((X217/$H217),1)*$H217),"")</f>
        <v/>
      </c>
      <c r="Z217" s="41">
        <f>IFERROR(IF(Y217=0,"",ROUNDUP(Y217/H217,0)*0.00502),"")</f>
        <v/>
      </c>
      <c r="AA217" s="68" t="inlineStr"/>
      <c r="AB217" s="69" t="inlineStr"/>
      <c r="AC217" s="288" t="inlineStr">
        <is>
          <t>ЕАЭС N RU Д-RU.РА03.В.04933/25</t>
        </is>
      </c>
      <c r="AG217" s="78" t="n"/>
      <c r="AJ217" s="84" t="inlineStr"/>
      <c r="AK217" s="84" t="n">
        <v>0</v>
      </c>
      <c r="BB217" s="289" t="inlineStr">
        <is>
          <t>КИ</t>
        </is>
      </c>
      <c r="BM217" s="78">
        <f>IFERROR(X217*I217/H217,"0")</f>
        <v/>
      </c>
      <c r="BN217" s="78">
        <f>IFERROR(Y217*I217/H217,"0")</f>
        <v/>
      </c>
      <c r="BO217" s="78">
        <f>IFERROR(1/J217*(X217/H217),"0")</f>
        <v/>
      </c>
      <c r="BP217" s="78">
        <f>IFERROR(1/J217*(Y217/H217),"0")</f>
        <v/>
      </c>
    </row>
    <row r="218" ht="27" customHeight="1">
      <c r="A218" s="63" t="inlineStr">
        <is>
          <t>SU003997</t>
        </is>
      </c>
      <c r="B218" s="63" t="inlineStr">
        <is>
          <t>P005141</t>
        </is>
      </c>
      <c r="C218" s="36" t="n">
        <v>4301031443</v>
      </c>
      <c r="D218" s="695" t="n">
        <v>4680115887213</v>
      </c>
      <c r="E218" s="989" t="n"/>
      <c r="F218" s="1028" t="n">
        <v>0.3</v>
      </c>
      <c r="G218" s="37" t="n">
        <v>6</v>
      </c>
      <c r="H218" s="1028" t="n">
        <v>1.8</v>
      </c>
      <c r="I218" s="1028" t="n">
        <v>1.9</v>
      </c>
      <c r="J218" s="37" t="n">
        <v>234</v>
      </c>
      <c r="K218" s="37" t="inlineStr">
        <is>
          <t>18</t>
        </is>
      </c>
      <c r="L218" s="37" t="inlineStr"/>
      <c r="M218" s="38" t="inlineStr">
        <is>
          <t>СК2</t>
        </is>
      </c>
      <c r="N218" s="38" t="n"/>
      <c r="O218" s="37" t="n">
        <v>45</v>
      </c>
      <c r="P218" s="1139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/>
      </c>
      <c r="Q218" s="1030" t="n"/>
      <c r="R218" s="1030" t="n"/>
      <c r="S218" s="1030" t="n"/>
      <c r="T218" s="1031" t="n"/>
      <c r="U218" s="39" t="inlineStr"/>
      <c r="V218" s="39" t="inlineStr"/>
      <c r="W218" s="40" t="inlineStr">
        <is>
          <t>кг</t>
        </is>
      </c>
      <c r="X218" s="1032" t="n">
        <v>0</v>
      </c>
      <c r="Y218" s="1033">
        <f>IFERROR(IF(X218="",0,CEILING((X218/$H218),1)*$H218),"")</f>
        <v/>
      </c>
      <c r="Z218" s="41">
        <f>IFERROR(IF(Y218=0,"",ROUNDUP(Y218/H218,0)*0.00502),"")</f>
        <v/>
      </c>
      <c r="AA218" s="68" t="inlineStr"/>
      <c r="AB218" s="69" t="inlineStr"/>
      <c r="AC218" s="290" t="inlineStr">
        <is>
          <t>ЕАЭС N RU Д-RU.РА07.В.62366/25</t>
        </is>
      </c>
      <c r="AG218" s="78" t="n"/>
      <c r="AJ218" s="84" t="inlineStr"/>
      <c r="AK218" s="84" t="n">
        <v>0</v>
      </c>
      <c r="BB218" s="291" t="inlineStr">
        <is>
          <t>КИ</t>
        </is>
      </c>
      <c r="BM218" s="78">
        <f>IFERROR(X218*I218/H218,"0")</f>
        <v/>
      </c>
      <c r="BN218" s="78">
        <f>IFERROR(Y218*I218/H218,"0")</f>
        <v/>
      </c>
      <c r="BO218" s="78">
        <f>IFERROR(1/J218*(X218/H218),"0")</f>
        <v/>
      </c>
      <c r="BP218" s="78">
        <f>IFERROR(1/J218*(Y218/H218),"0")</f>
        <v/>
      </c>
    </row>
    <row r="219" ht="27" customHeight="1">
      <c r="A219" s="63" t="inlineStr">
        <is>
          <t>SU002877</t>
        </is>
      </c>
      <c r="B219" s="63" t="inlineStr">
        <is>
          <t>P003277</t>
        </is>
      </c>
      <c r="C219" s="36" t="n">
        <v>4301031205</v>
      </c>
      <c r="D219" s="695" t="n">
        <v>4680115881785</v>
      </c>
      <c r="E219" s="989" t="n"/>
      <c r="F219" s="1028" t="n">
        <v>0.35</v>
      </c>
      <c r="G219" s="37" t="n">
        <v>6</v>
      </c>
      <c r="H219" s="1028" t="n">
        <v>2.1</v>
      </c>
      <c r="I219" s="1028" t="n">
        <v>2.23</v>
      </c>
      <c r="J219" s="37" t="n">
        <v>234</v>
      </c>
      <c r="K219" s="37" t="inlineStr">
        <is>
          <t>18</t>
        </is>
      </c>
      <c r="L219" s="37" t="inlineStr"/>
      <c r="M219" s="38" t="inlineStr">
        <is>
          <t>СК2</t>
        </is>
      </c>
      <c r="N219" s="38" t="n"/>
      <c r="O219" s="37" t="n">
        <v>40</v>
      </c>
      <c r="P219" s="1140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219" s="1030" t="n"/>
      <c r="R219" s="1030" t="n"/>
      <c r="S219" s="1030" t="n"/>
      <c r="T219" s="1031" t="n"/>
      <c r="U219" s="39" t="inlineStr"/>
      <c r="V219" s="39" t="inlineStr"/>
      <c r="W219" s="40" t="inlineStr">
        <is>
          <t>кг</t>
        </is>
      </c>
      <c r="X219" s="1032" t="n">
        <v>0</v>
      </c>
      <c r="Y219" s="1033">
        <f>IFERROR(IF(X219="",0,CEILING((X219/$H219),1)*$H219),"")</f>
        <v/>
      </c>
      <c r="Z219" s="41">
        <f>IFERROR(IF(Y219=0,"",ROUNDUP(Y219/H219,0)*0.00502),"")</f>
        <v/>
      </c>
      <c r="AA219" s="68" t="inlineStr"/>
      <c r="AB219" s="69" t="inlineStr"/>
      <c r="AC219" s="292" t="inlineStr">
        <is>
          <t>ЕАЭС N RU Д-RU.РА01.В.91248/26</t>
        </is>
      </c>
      <c r="AG219" s="78" t="n"/>
      <c r="AJ219" s="84" t="inlineStr"/>
      <c r="AK219" s="84" t="n">
        <v>0</v>
      </c>
      <c r="BB219" s="293" t="inlineStr">
        <is>
          <t>КИ</t>
        </is>
      </c>
      <c r="BM219" s="78">
        <f>IFERROR(X219*I219/H219,"0")</f>
        <v/>
      </c>
      <c r="BN219" s="78">
        <f>IFERROR(Y219*I219/H219,"0")</f>
        <v/>
      </c>
      <c r="BO219" s="78">
        <f>IFERROR(1/J219*(X219/H219),"0")</f>
        <v/>
      </c>
      <c r="BP219" s="78">
        <f>IFERROR(1/J219*(Y219/H219),"0")</f>
        <v/>
      </c>
    </row>
    <row r="220" ht="27" customHeight="1">
      <c r="A220" s="63" t="inlineStr">
        <is>
          <t>SU004135</t>
        </is>
      </c>
      <c r="B220" s="63" t="inlineStr">
        <is>
          <t>P005401</t>
        </is>
      </c>
      <c r="C220" s="36" t="n">
        <v>4301031499</v>
      </c>
      <c r="D220" s="695" t="n">
        <v>4680115888432</v>
      </c>
      <c r="E220" s="989" t="n"/>
      <c r="F220" s="1028" t="n">
        <v>0.3</v>
      </c>
      <c r="G220" s="37" t="n">
        <v>6</v>
      </c>
      <c r="H220" s="1028" t="n">
        <v>1.8</v>
      </c>
      <c r="I220" s="1028" t="n">
        <v>1.93</v>
      </c>
      <c r="J220" s="37" t="n">
        <v>234</v>
      </c>
      <c r="K220" s="37" t="inlineStr">
        <is>
          <t>18</t>
        </is>
      </c>
      <c r="L220" s="37" t="inlineStr"/>
      <c r="M220" s="38" t="inlineStr">
        <is>
          <t>СК2</t>
        </is>
      </c>
      <c r="N220" s="38" t="n"/>
      <c r="O220" s="37" t="n">
        <v>45</v>
      </c>
      <c r="P220" s="1141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/>
      </c>
      <c r="Q220" s="1030" t="n"/>
      <c r="R220" s="1030" t="n"/>
      <c r="S220" s="1030" t="n"/>
      <c r="T220" s="1031" t="n"/>
      <c r="U220" s="39" t="inlineStr"/>
      <c r="V220" s="39" t="inlineStr"/>
      <c r="W220" s="40" t="inlineStr">
        <is>
          <t>кг</t>
        </is>
      </c>
      <c r="X220" s="1032" t="n">
        <v>0</v>
      </c>
      <c r="Y220" s="1033">
        <f>IFERROR(IF(X220="",0,CEILING((X220/$H220),1)*$H220),"")</f>
        <v/>
      </c>
      <c r="Z220" s="41">
        <f>IFERROR(IF(Y220=0,"",ROUNDUP(Y220/H220,0)*0.00502),"")</f>
        <v/>
      </c>
      <c r="AA220" s="68" t="inlineStr"/>
      <c r="AB220" s="69" t="inlineStr"/>
      <c r="AC220" s="294" t="inlineStr">
        <is>
          <t>ЕАЭС N RU Д-RU.РА01.В.63730/26</t>
        </is>
      </c>
      <c r="AG220" s="78" t="n"/>
      <c r="AJ220" s="84" t="inlineStr"/>
      <c r="AK220" s="84" t="n">
        <v>0</v>
      </c>
      <c r="BB220" s="295" t="inlineStr">
        <is>
          <t>КИ</t>
        </is>
      </c>
      <c r="BM220" s="78">
        <f>IFERROR(X220*I220/H220,"0")</f>
        <v/>
      </c>
      <c r="BN220" s="78">
        <f>IFERROR(Y220*I220/H220,"0")</f>
        <v/>
      </c>
      <c r="BO220" s="78">
        <f>IFERROR(1/J220*(X220/H220),"0")</f>
        <v/>
      </c>
      <c r="BP220" s="78">
        <f>IFERROR(1/J220*(Y220/H220),"0")</f>
        <v/>
      </c>
    </row>
    <row r="221" ht="27" customHeight="1">
      <c r="A221" s="63" t="inlineStr">
        <is>
          <t>SU003939</t>
        </is>
      </c>
      <c r="B221" s="63" t="inlineStr">
        <is>
          <t>P005054</t>
        </is>
      </c>
      <c r="C221" s="36" t="n">
        <v>4301031427</v>
      </c>
      <c r="D221" s="695" t="n">
        <v>4680115888104</v>
      </c>
      <c r="E221" s="989" t="n"/>
      <c r="F221" s="1028" t="n">
        <v>0.35</v>
      </c>
      <c r="G221" s="37" t="n">
        <v>6</v>
      </c>
      <c r="H221" s="1028" t="n">
        <v>2.1</v>
      </c>
      <c r="I221" s="1028" t="n">
        <v>2.2</v>
      </c>
      <c r="J221" s="37" t="n">
        <v>234</v>
      </c>
      <c r="K221" s="37" t="inlineStr">
        <is>
          <t>18</t>
        </is>
      </c>
      <c r="L221" s="37" t="inlineStr"/>
      <c r="M221" s="38" t="inlineStr">
        <is>
          <t>СК2</t>
        </is>
      </c>
      <c r="N221" s="38" t="n"/>
      <c r="O221" s="37" t="n">
        <v>45</v>
      </c>
      <c r="P221" s="1142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/>
      </c>
      <c r="Q221" s="1030" t="n"/>
      <c r="R221" s="1030" t="n"/>
      <c r="S221" s="1030" t="n"/>
      <c r="T221" s="1031" t="n"/>
      <c r="U221" s="39" t="inlineStr"/>
      <c r="V221" s="39" t="inlineStr"/>
      <c r="W221" s="40" t="inlineStr">
        <is>
          <t>кг</t>
        </is>
      </c>
      <c r="X221" s="1032" t="n">
        <v>0</v>
      </c>
      <c r="Y221" s="1033">
        <f>IFERROR(IF(X221="",0,CEILING((X221/$H221),1)*$H221),"")</f>
        <v/>
      </c>
      <c r="Z221" s="41">
        <f>IFERROR(IF(Y221=0,"",ROUNDUP(Y221/H221,0)*0.00502),"")</f>
        <v/>
      </c>
      <c r="AA221" s="68" t="inlineStr"/>
      <c r="AB221" s="69" t="inlineStr"/>
      <c r="AC221" s="296" t="inlineStr">
        <is>
          <t>ЕАЭС N RU Д-RU.РА01.В.16547/26</t>
        </is>
      </c>
      <c r="AG221" s="78" t="n"/>
      <c r="AJ221" s="84" t="inlineStr"/>
      <c r="AK221" s="84" t="n">
        <v>0</v>
      </c>
      <c r="BB221" s="297" t="inlineStr">
        <is>
          <t>КИ</t>
        </is>
      </c>
      <c r="BM221" s="78">
        <f>IFERROR(X221*I221/H221,"0")</f>
        <v/>
      </c>
      <c r="BN221" s="78">
        <f>IFERROR(Y221*I221/H221,"0")</f>
        <v/>
      </c>
      <c r="BO221" s="78">
        <f>IFERROR(1/J221*(X221/H221),"0")</f>
        <v/>
      </c>
      <c r="BP221" s="78">
        <f>IFERROR(1/J221*(Y221/H221),"0")</f>
        <v/>
      </c>
    </row>
    <row r="222" ht="27" customHeight="1">
      <c r="A222" s="63" t="inlineStr">
        <is>
          <t>SU003829</t>
        </is>
      </c>
      <c r="B222" s="63" t="inlineStr">
        <is>
          <t>P004890</t>
        </is>
      </c>
      <c r="C222" s="36" t="n">
        <v>4301031399</v>
      </c>
      <c r="D222" s="695" t="n">
        <v>4680115886537</v>
      </c>
      <c r="E222" s="989" t="n"/>
      <c r="F222" s="1028" t="n">
        <v>0.3</v>
      </c>
      <c r="G222" s="37" t="n">
        <v>6</v>
      </c>
      <c r="H222" s="1028" t="n">
        <v>1.8</v>
      </c>
      <c r="I222" s="1028" t="n">
        <v>1.93</v>
      </c>
      <c r="J222" s="37" t="n">
        <v>234</v>
      </c>
      <c r="K222" s="37" t="inlineStr">
        <is>
          <t>18</t>
        </is>
      </c>
      <c r="L222" s="37" t="inlineStr"/>
      <c r="M222" s="38" t="inlineStr">
        <is>
          <t>СК2</t>
        </is>
      </c>
      <c r="N222" s="38" t="n"/>
      <c r="O222" s="37" t="n">
        <v>40</v>
      </c>
      <c r="P222" s="1143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/>
      </c>
      <c r="Q222" s="1030" t="n"/>
      <c r="R222" s="1030" t="n"/>
      <c r="S222" s="1030" t="n"/>
      <c r="T222" s="1031" t="n"/>
      <c r="U222" s="39" t="inlineStr"/>
      <c r="V222" s="39" t="inlineStr"/>
      <c r="W222" s="40" t="inlineStr">
        <is>
          <t>кг</t>
        </is>
      </c>
      <c r="X222" s="1032" t="n">
        <v>0</v>
      </c>
      <c r="Y222" s="1033">
        <f>IFERROR(IF(X222="",0,CEILING((X222/$H222),1)*$H222),"")</f>
        <v/>
      </c>
      <c r="Z222" s="41">
        <f>IFERROR(IF(Y222=0,"",ROUNDUP(Y222/H222,0)*0.00502),"")</f>
        <v/>
      </c>
      <c r="AA222" s="68" t="inlineStr"/>
      <c r="AB222" s="69" t="inlineStr"/>
      <c r="AC222" s="298" t="inlineStr">
        <is>
          <t>ЕАЭС N RU Д-RU.РА09.В.28292/25</t>
        </is>
      </c>
      <c r="AG222" s="78" t="n"/>
      <c r="AJ222" s="84" t="inlineStr"/>
      <c r="AK222" s="84" t="n">
        <v>0</v>
      </c>
      <c r="BB222" s="299" t="inlineStr">
        <is>
          <t>КИ</t>
        </is>
      </c>
      <c r="BM222" s="78">
        <f>IFERROR(X222*I222/H222,"0")</f>
        <v/>
      </c>
      <c r="BN222" s="78">
        <f>IFERROR(Y222*I222/H222,"0")</f>
        <v/>
      </c>
      <c r="BO222" s="78">
        <f>IFERROR(1/J222*(X222/H222),"0")</f>
        <v/>
      </c>
      <c r="BP222" s="78">
        <f>IFERROR(1/J222*(Y222/H222),"0")</f>
        <v/>
      </c>
    </row>
    <row r="223" ht="27" customHeight="1">
      <c r="A223" s="63" t="inlineStr">
        <is>
          <t>SU003178</t>
        </is>
      </c>
      <c r="B223" s="63" t="inlineStr">
        <is>
          <t>P003837</t>
        </is>
      </c>
      <c r="C223" s="36" t="n">
        <v>4301031279</v>
      </c>
      <c r="D223" s="695" t="n">
        <v>4680115887596</v>
      </c>
      <c r="E223" s="989" t="n"/>
      <c r="F223" s="1028" t="n">
        <v>0.08</v>
      </c>
      <c r="G223" s="37" t="n">
        <v>10</v>
      </c>
      <c r="H223" s="1028" t="n">
        <v>0.8</v>
      </c>
      <c r="I223" s="1028" t="n">
        <v>1.01</v>
      </c>
      <c r="J223" s="37" t="n">
        <v>336</v>
      </c>
      <c r="K223" s="37" t="inlineStr">
        <is>
          <t>24</t>
        </is>
      </c>
      <c r="L223" s="37" t="inlineStr"/>
      <c r="M223" s="38" t="inlineStr">
        <is>
          <t>СК2</t>
        </is>
      </c>
      <c r="N223" s="38" t="n"/>
      <c r="O223" s="37" t="n">
        <v>45</v>
      </c>
      <c r="P223" s="1144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/>
      </c>
      <c r="Q223" s="1030" t="n"/>
      <c r="R223" s="1030" t="n"/>
      <c r="S223" s="1030" t="n"/>
      <c r="T223" s="1031" t="n"/>
      <c r="U223" s="39" t="inlineStr"/>
      <c r="V223" s="39" t="inlineStr"/>
      <c r="W223" s="40" t="inlineStr">
        <is>
          <t>кг</t>
        </is>
      </c>
      <c r="X223" s="1032" t="n">
        <v>0</v>
      </c>
      <c r="Y223" s="1033">
        <f>IFERROR(IF(X223="",0,CEILING((X223/$H223),1)*$H223),"")</f>
        <v/>
      </c>
      <c r="Z223" s="41">
        <f>IFERROR(IF(Y223=0,"",ROUNDUP(Y223/H223,0)*0.00417),"")</f>
        <v/>
      </c>
      <c r="AA223" s="68" t="inlineStr"/>
      <c r="AB223" s="69" t="inlineStr"/>
      <c r="AC223" s="300" t="inlineStr">
        <is>
          <t>ЕАЭС N RU Д-RU.РА08.В.64195/25</t>
        </is>
      </c>
      <c r="AG223" s="78" t="n"/>
      <c r="AJ223" s="84" t="inlineStr"/>
      <c r="AK223" s="84" t="n">
        <v>0</v>
      </c>
      <c r="BB223" s="301" t="inlineStr">
        <is>
          <t>КИ</t>
        </is>
      </c>
      <c r="BM223" s="78">
        <f>IFERROR(X223*I223/H223,"0")</f>
        <v/>
      </c>
      <c r="BN223" s="78">
        <f>IFERROR(Y223*I223/H223,"0")</f>
        <v/>
      </c>
      <c r="BO223" s="78">
        <f>IFERROR(1/J223*(X223/H223),"0")</f>
        <v/>
      </c>
      <c r="BP223" s="78">
        <f>IFERROR(1/J223*(Y223/H223),"0")</f>
        <v/>
      </c>
    </row>
    <row r="224" ht="37.5" customHeight="1">
      <c r="A224" s="63" t="inlineStr">
        <is>
          <t>SU002848</t>
        </is>
      </c>
      <c r="B224" s="63" t="inlineStr">
        <is>
          <t>P003260</t>
        </is>
      </c>
      <c r="C224" s="36" t="n">
        <v>4301031202</v>
      </c>
      <c r="D224" s="695" t="n">
        <v>4680115881679</v>
      </c>
      <c r="E224" s="989" t="n"/>
      <c r="F224" s="1028" t="n">
        <v>0.35</v>
      </c>
      <c r="G224" s="37" t="n">
        <v>6</v>
      </c>
      <c r="H224" s="1028" t="n">
        <v>2.1</v>
      </c>
      <c r="I224" s="1028" t="n">
        <v>2.2</v>
      </c>
      <c r="J224" s="37" t="n">
        <v>234</v>
      </c>
      <c r="K224" s="37" t="inlineStr">
        <is>
          <t>18</t>
        </is>
      </c>
      <c r="L224" s="37" t="inlineStr"/>
      <c r="M224" s="38" t="inlineStr">
        <is>
          <t>СК2</t>
        </is>
      </c>
      <c r="N224" s="38" t="n"/>
      <c r="O224" s="37" t="n">
        <v>40</v>
      </c>
      <c r="P224" s="1145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224" s="1030" t="n"/>
      <c r="R224" s="1030" t="n"/>
      <c r="S224" s="1030" t="n"/>
      <c r="T224" s="1031" t="n"/>
      <c r="U224" s="39" t="inlineStr"/>
      <c r="V224" s="39" t="inlineStr"/>
      <c r="W224" s="40" t="inlineStr">
        <is>
          <t>кг</t>
        </is>
      </c>
      <c r="X224" s="1032" t="n">
        <v>0</v>
      </c>
      <c r="Y224" s="1033">
        <f>IFERROR(IF(X224="",0,CEILING((X224/$H224),1)*$H224),"")</f>
        <v/>
      </c>
      <c r="Z224" s="41">
        <f>IFERROR(IF(Y224=0,"",ROUNDUP(Y224/H224,0)*0.00502),"")</f>
        <v/>
      </c>
      <c r="AA224" s="68" t="inlineStr"/>
      <c r="AB224" s="69" t="inlineStr"/>
      <c r="AC224" s="302" t="inlineStr">
        <is>
          <t>ЕАЭС N RU Д-RU.РА03.В.05061/25</t>
        </is>
      </c>
      <c r="AG224" s="78" t="n"/>
      <c r="AJ224" s="84" t="inlineStr"/>
      <c r="AK224" s="84" t="n">
        <v>0</v>
      </c>
      <c r="BB224" s="303" t="inlineStr">
        <is>
          <t>КИ</t>
        </is>
      </c>
      <c r="BM224" s="78">
        <f>IFERROR(X224*I224/H224,"0")</f>
        <v/>
      </c>
      <c r="BN224" s="78">
        <f>IFERROR(Y224*I224/H224,"0")</f>
        <v/>
      </c>
      <c r="BO224" s="78">
        <f>IFERROR(1/J224*(X224/H224),"0")</f>
        <v/>
      </c>
      <c r="BP224" s="78">
        <f>IFERROR(1/J224*(Y224/H224),"0")</f>
        <v/>
      </c>
    </row>
    <row r="225" ht="27" customHeight="1">
      <c r="A225" s="63" t="inlineStr">
        <is>
          <t>SU002659</t>
        </is>
      </c>
      <c r="B225" s="63" t="inlineStr">
        <is>
          <t>P003034</t>
        </is>
      </c>
      <c r="C225" s="36" t="n">
        <v>4301031158</v>
      </c>
      <c r="D225" s="695" t="n">
        <v>4680115880191</v>
      </c>
      <c r="E225" s="989" t="n"/>
      <c r="F225" s="1028" t="n">
        <v>0.4</v>
      </c>
      <c r="G225" s="37" t="n">
        <v>6</v>
      </c>
      <c r="H225" s="1028" t="n">
        <v>2.4</v>
      </c>
      <c r="I225" s="1028" t="n">
        <v>2.58</v>
      </c>
      <c r="J225" s="37" t="n">
        <v>182</v>
      </c>
      <c r="K225" s="37" t="inlineStr">
        <is>
          <t>14</t>
        </is>
      </c>
      <c r="L225" s="37" t="inlineStr"/>
      <c r="M225" s="38" t="inlineStr">
        <is>
          <t>СК2</t>
        </is>
      </c>
      <c r="N225" s="38" t="n"/>
      <c r="O225" s="37" t="n">
        <v>40</v>
      </c>
      <c r="P225" s="1146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225" s="1030" t="n"/>
      <c r="R225" s="1030" t="n"/>
      <c r="S225" s="1030" t="n"/>
      <c r="T225" s="1031" t="n"/>
      <c r="U225" s="39" t="inlineStr"/>
      <c r="V225" s="39" t="inlineStr"/>
      <c r="W225" s="40" t="inlineStr">
        <is>
          <t>кг</t>
        </is>
      </c>
      <c r="X225" s="1032" t="n">
        <v>0</v>
      </c>
      <c r="Y225" s="1033">
        <f>IFERROR(IF(X225="",0,CEILING((X225/$H225),1)*$H225),"")</f>
        <v/>
      </c>
      <c r="Z225" s="41">
        <f>IFERROR(IF(Y225=0,"",ROUNDUP(Y225/H225,0)*0.00651),"")</f>
        <v/>
      </c>
      <c r="AA225" s="68" t="inlineStr"/>
      <c r="AB225" s="69" t="inlineStr"/>
      <c r="AC225" s="304" t="inlineStr">
        <is>
          <t>ЕАЭС N RU Д-RU.РА03.В.05061/25</t>
        </is>
      </c>
      <c r="AG225" s="78" t="n"/>
      <c r="AJ225" s="84" t="inlineStr"/>
      <c r="AK225" s="84" t="n">
        <v>0</v>
      </c>
      <c r="BB225" s="305" t="inlineStr">
        <is>
          <t>КИ</t>
        </is>
      </c>
      <c r="BM225" s="78">
        <f>IFERROR(X225*I225/H225,"0")</f>
        <v/>
      </c>
      <c r="BN225" s="78">
        <f>IFERROR(Y225*I225/H225,"0")</f>
        <v/>
      </c>
      <c r="BO225" s="78">
        <f>IFERROR(1/J225*(X225/H225),"0")</f>
        <v/>
      </c>
      <c r="BP225" s="78">
        <f>IFERROR(1/J225*(Y225/H225),"0")</f>
        <v/>
      </c>
    </row>
    <row r="226" ht="27" customHeight="1">
      <c r="A226" s="63" t="inlineStr">
        <is>
          <t>SU003046</t>
        </is>
      </c>
      <c r="B226" s="63" t="inlineStr">
        <is>
          <t>P003598</t>
        </is>
      </c>
      <c r="C226" s="36" t="n">
        <v>4301031245</v>
      </c>
      <c r="D226" s="695" t="n">
        <v>4680115883963</v>
      </c>
      <c r="E226" s="989" t="n"/>
      <c r="F226" s="1028" t="n">
        <v>0.28</v>
      </c>
      <c r="G226" s="37" t="n">
        <v>6</v>
      </c>
      <c r="H226" s="1028" t="n">
        <v>1.68</v>
      </c>
      <c r="I226" s="1028" t="n">
        <v>1.78</v>
      </c>
      <c r="J226" s="37" t="n">
        <v>234</v>
      </c>
      <c r="K226" s="37" t="inlineStr">
        <is>
          <t>18</t>
        </is>
      </c>
      <c r="L226" s="37" t="inlineStr"/>
      <c r="M226" s="38" t="inlineStr">
        <is>
          <t>СК2</t>
        </is>
      </c>
      <c r="N226" s="38" t="n"/>
      <c r="O226" s="37" t="n">
        <v>40</v>
      </c>
      <c r="P226" s="1147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226" s="1030" t="n"/>
      <c r="R226" s="1030" t="n"/>
      <c r="S226" s="1030" t="n"/>
      <c r="T226" s="1031" t="n"/>
      <c r="U226" s="39" t="inlineStr"/>
      <c r="V226" s="39" t="inlineStr"/>
      <c r="W226" s="40" t="inlineStr">
        <is>
          <t>кг</t>
        </is>
      </c>
      <c r="X226" s="1032" t="n">
        <v>0</v>
      </c>
      <c r="Y226" s="1033">
        <f>IFERROR(IF(X226="",0,CEILING((X226/$H226),1)*$H226),"")</f>
        <v/>
      </c>
      <c r="Z226" s="41">
        <f>IFERROR(IF(Y226=0,"",ROUNDUP(Y226/H226,0)*0.00502),"")</f>
        <v/>
      </c>
      <c r="AA226" s="68" t="inlineStr"/>
      <c r="AB226" s="69" t="inlineStr"/>
      <c r="AC226" s="306" t="inlineStr">
        <is>
          <t>ЕАЭС N RU Д-RU.РА03.В.16729/26</t>
        </is>
      </c>
      <c r="AG226" s="78" t="n"/>
      <c r="AJ226" s="84" t="inlineStr"/>
      <c r="AK226" s="84" t="n">
        <v>0</v>
      </c>
      <c r="BB226" s="307" t="inlineStr">
        <is>
          <t>КИ</t>
        </is>
      </c>
      <c r="BM226" s="78">
        <f>IFERROR(X226*I226/H226,"0")</f>
        <v/>
      </c>
      <c r="BN226" s="78">
        <f>IFERROR(Y226*I226/H226,"0")</f>
        <v/>
      </c>
      <c r="BO226" s="78">
        <f>IFERROR(1/J226*(X226/H226),"0")</f>
        <v/>
      </c>
      <c r="BP226" s="78">
        <f>IFERROR(1/J226*(Y226/H226),"0")</f>
        <v/>
      </c>
    </row>
    <row r="227">
      <c r="A227" s="704" t="n"/>
      <c r="B227" s="979" t="n"/>
      <c r="C227" s="979" t="n"/>
      <c r="D227" s="979" t="n"/>
      <c r="E227" s="979" t="n"/>
      <c r="F227" s="979" t="n"/>
      <c r="G227" s="979" t="n"/>
      <c r="H227" s="979" t="n"/>
      <c r="I227" s="979" t="n"/>
      <c r="J227" s="979" t="n"/>
      <c r="K227" s="979" t="n"/>
      <c r="L227" s="979" t="n"/>
      <c r="M227" s="979" t="n"/>
      <c r="N227" s="979" t="n"/>
      <c r="O227" s="1035" t="n"/>
      <c r="P227" s="1036" t="inlineStr">
        <is>
          <t>Итого</t>
        </is>
      </c>
      <c r="Q227" s="997" t="n"/>
      <c r="R227" s="997" t="n"/>
      <c r="S227" s="997" t="n"/>
      <c r="T227" s="997" t="n"/>
      <c r="U227" s="997" t="n"/>
      <c r="V227" s="998" t="n"/>
      <c r="W227" s="42" t="inlineStr">
        <is>
          <t>кор</t>
        </is>
      </c>
      <c r="X227" s="103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/>
      </c>
      <c r="Y227" s="103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/>
      </c>
      <c r="Z227" s="103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/>
      </c>
      <c r="AA227" s="1038" t="n"/>
      <c r="AB227" s="1038" t="n"/>
      <c r="AC227" s="1038" t="n"/>
    </row>
    <row r="228">
      <c r="A228" s="979" t="n"/>
      <c r="B228" s="979" t="n"/>
      <c r="C228" s="979" t="n"/>
      <c r="D228" s="979" t="n"/>
      <c r="E228" s="979" t="n"/>
      <c r="F228" s="979" t="n"/>
      <c r="G228" s="979" t="n"/>
      <c r="H228" s="979" t="n"/>
      <c r="I228" s="979" t="n"/>
      <c r="J228" s="979" t="n"/>
      <c r="K228" s="979" t="n"/>
      <c r="L228" s="979" t="n"/>
      <c r="M228" s="979" t="n"/>
      <c r="N228" s="979" t="n"/>
      <c r="O228" s="1035" t="n"/>
      <c r="P228" s="1036" t="inlineStr">
        <is>
          <t>Итого</t>
        </is>
      </c>
      <c r="Q228" s="997" t="n"/>
      <c r="R228" s="997" t="n"/>
      <c r="S228" s="997" t="n"/>
      <c r="T228" s="997" t="n"/>
      <c r="U228" s="997" t="n"/>
      <c r="V228" s="998" t="n"/>
      <c r="W228" s="42" t="inlineStr">
        <is>
          <t>кг</t>
        </is>
      </c>
      <c r="X228" s="1037">
        <f>IFERROR(SUM(X213:X226),"0")</f>
        <v/>
      </c>
      <c r="Y228" s="1037">
        <f>IFERROR(SUM(Y213:Y226),"0")</f>
        <v/>
      </c>
      <c r="Z228" s="42" t="n"/>
      <c r="AA228" s="1038" t="n"/>
      <c r="AB228" s="1038" t="n"/>
      <c r="AC228" s="1038" t="n"/>
    </row>
    <row r="229" ht="14.25" customHeight="1">
      <c r="A229" s="694" t="inlineStr">
        <is>
          <t>Сосиски</t>
        </is>
      </c>
      <c r="B229" s="979" t="n"/>
      <c r="C229" s="979" t="n"/>
      <c r="D229" s="979" t="n"/>
      <c r="E229" s="979" t="n"/>
      <c r="F229" s="979" t="n"/>
      <c r="G229" s="979" t="n"/>
      <c r="H229" s="979" t="n"/>
      <c r="I229" s="979" t="n"/>
      <c r="J229" s="979" t="n"/>
      <c r="K229" s="979" t="n"/>
      <c r="L229" s="979" t="n"/>
      <c r="M229" s="979" t="n"/>
      <c r="N229" s="979" t="n"/>
      <c r="O229" s="979" t="n"/>
      <c r="P229" s="979" t="n"/>
      <c r="Q229" s="979" t="n"/>
      <c r="R229" s="979" t="n"/>
      <c r="S229" s="979" t="n"/>
      <c r="T229" s="979" t="n"/>
      <c r="U229" s="979" t="n"/>
      <c r="V229" s="979" t="n"/>
      <c r="W229" s="979" t="n"/>
      <c r="X229" s="979" t="n"/>
      <c r="Y229" s="979" t="n"/>
      <c r="Z229" s="979" t="n"/>
      <c r="AA229" s="694" t="n"/>
      <c r="AB229" s="694" t="n"/>
      <c r="AC229" s="694" t="n"/>
    </row>
    <row r="230" ht="27" customHeight="1">
      <c r="A230" s="63" t="inlineStr">
        <is>
          <t>SU004101</t>
        </is>
      </c>
      <c r="B230" s="63" t="inlineStr">
        <is>
          <t>P005358</t>
        </is>
      </c>
      <c r="C230" s="36" t="n">
        <v>4301052178</v>
      </c>
      <c r="D230" s="695" t="n">
        <v>4680115888975</v>
      </c>
      <c r="E230" s="989" t="n"/>
      <c r="F230" s="1028" t="n">
        <v>0.32</v>
      </c>
      <c r="G230" s="37" t="n">
        <v>6</v>
      </c>
      <c r="H230" s="1028" t="n">
        <v>1.92</v>
      </c>
      <c r="I230" s="1028" t="n">
        <v>2.182</v>
      </c>
      <c r="J230" s="37" t="n">
        <v>132</v>
      </c>
      <c r="K230" s="37" t="inlineStr">
        <is>
          <t>12</t>
        </is>
      </c>
      <c r="L230" s="37" t="inlineStr"/>
      <c r="M230" s="38" t="inlineStr">
        <is>
          <t>СК4</t>
        </is>
      </c>
      <c r="N230" s="38" t="n"/>
      <c r="O230" s="37" t="n">
        <v>35</v>
      </c>
      <c r="P230" s="1148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/>
      </c>
      <c r="Q230" s="1030" t="n"/>
      <c r="R230" s="1030" t="n"/>
      <c r="S230" s="1030" t="n"/>
      <c r="T230" s="1031" t="n"/>
      <c r="U230" s="39" t="inlineStr"/>
      <c r="V230" s="39" t="inlineStr"/>
      <c r="W230" s="40" t="inlineStr">
        <is>
          <t>кг</t>
        </is>
      </c>
      <c r="X230" s="1032" t="n">
        <v>0</v>
      </c>
      <c r="Y230" s="1033">
        <f>IFERROR(IF(X230="",0,CEILING((X230/$H230),1)*$H230),"")</f>
        <v/>
      </c>
      <c r="Z230" s="41">
        <f>IFERROR(IF(Y230=0,"",ROUNDUP(Y230/H230,0)*0.00902),"")</f>
        <v/>
      </c>
      <c r="AA230" s="68" t="inlineStr"/>
      <c r="AB230" s="69" t="inlineStr">
        <is>
          <t>Новинка</t>
        </is>
      </c>
      <c r="AC230" s="308" t="inlineStr">
        <is>
          <t>ЕАЭС N RU Д-RU.РА02.В.09472/26</t>
        </is>
      </c>
      <c r="AG230" s="78" t="n"/>
      <c r="AJ230" s="84" t="inlineStr"/>
      <c r="AK230" s="84" t="n">
        <v>0</v>
      </c>
      <c r="BB230" s="309" t="inlineStr">
        <is>
          <t>КИ</t>
        </is>
      </c>
      <c r="BM230" s="78">
        <f>IFERROR(X230*I230/H230,"0")</f>
        <v/>
      </c>
      <c r="BN230" s="78">
        <f>IFERROR(Y230*I230/H230,"0")</f>
        <v/>
      </c>
      <c r="BO230" s="78">
        <f>IFERROR(1/J230*(X230/H230),"0")</f>
        <v/>
      </c>
      <c r="BP230" s="78">
        <f>IFERROR(1/J230*(Y230/H230),"0")</f>
        <v/>
      </c>
    </row>
    <row r="231" ht="16.5" customHeight="1">
      <c r="A231" s="63" t="inlineStr">
        <is>
          <t>SU004158</t>
        </is>
      </c>
      <c r="B231" s="63" t="inlineStr">
        <is>
          <t>P005435</t>
        </is>
      </c>
      <c r="C231" s="36" t="n">
        <v>4301052209</v>
      </c>
      <c r="D231" s="695" t="n">
        <v>4680115888692</v>
      </c>
      <c r="E231" s="989" t="n"/>
      <c r="F231" s="1028" t="n">
        <v>0.8</v>
      </c>
      <c r="G231" s="37" t="n">
        <v>6</v>
      </c>
      <c r="H231" s="1028" t="n">
        <v>4.8</v>
      </c>
      <c r="I231" s="1028" t="n">
        <v>5.222</v>
      </c>
      <c r="J231" s="37" t="n">
        <v>104</v>
      </c>
      <c r="K231" s="37" t="inlineStr">
        <is>
          <t>8</t>
        </is>
      </c>
      <c r="L231" s="37" t="inlineStr"/>
      <c r="M231" s="38" t="inlineStr">
        <is>
          <t>СК4</t>
        </is>
      </c>
      <c r="N231" s="38" t="n"/>
      <c r="O231" s="37" t="n">
        <v>35</v>
      </c>
      <c r="P231" s="1149">
        <f>HYPERLINK("https://abi.ru/products/Охлажденные/Стародворье/Мясорубская/Сосиски/P005435/","Сосиски «Мясорубские» Весовой ц/о ТМ «Стародворье»")</f>
        <v/>
      </c>
      <c r="Q231" s="1030" t="n"/>
      <c r="R231" s="1030" t="n"/>
      <c r="S231" s="1030" t="n"/>
      <c r="T231" s="1031" t="n"/>
      <c r="U231" s="39" t="inlineStr"/>
      <c r="V231" s="39" t="inlineStr"/>
      <c r="W231" s="40" t="inlineStr">
        <is>
          <t>кг</t>
        </is>
      </c>
      <c r="X231" s="1032" t="n">
        <v>0</v>
      </c>
      <c r="Y231" s="1033">
        <f>IFERROR(IF(X231="",0,CEILING((X231/$H231),1)*$H231),"")</f>
        <v/>
      </c>
      <c r="Z231" s="41">
        <f>IFERROR(IF(Y231=0,"",ROUNDUP(Y231/H231,0)*0.01196),"")</f>
        <v/>
      </c>
      <c r="AA231" s="68" t="inlineStr"/>
      <c r="AB231" s="69" t="inlineStr"/>
      <c r="AC231" s="310" t="inlineStr">
        <is>
          <t>ЕАЭС N RU Д-RU.РА06.В.81432/23</t>
        </is>
      </c>
      <c r="AG231" s="78" t="n"/>
      <c r="AJ231" s="84" t="inlineStr"/>
      <c r="AK231" s="84" t="n">
        <v>0</v>
      </c>
      <c r="BB231" s="311" t="inlineStr">
        <is>
          <t>КИ</t>
        </is>
      </c>
      <c r="BM231" s="78">
        <f>IFERROR(X231*I231/H231,"0")</f>
        <v/>
      </c>
      <c r="BN231" s="78">
        <f>IFERROR(Y231*I231/H231,"0")</f>
        <v/>
      </c>
      <c r="BO231" s="78">
        <f>IFERROR(1/J231*(X231/H231),"0")</f>
        <v/>
      </c>
      <c r="BP231" s="78">
        <f>IFERROR(1/J231*(Y231/H231),"0")</f>
        <v/>
      </c>
    </row>
    <row r="232" ht="27" customHeight="1">
      <c r="A232" s="63" t="inlineStr">
        <is>
          <t>SU004160</t>
        </is>
      </c>
      <c r="B232" s="63" t="inlineStr">
        <is>
          <t>P005437</t>
        </is>
      </c>
      <c r="C232" s="36" t="n">
        <v>4301052213</v>
      </c>
      <c r="D232" s="695" t="n">
        <v>4680115888722</v>
      </c>
      <c r="E232" s="989" t="n"/>
      <c r="F232" s="1028" t="n">
        <v>0.8</v>
      </c>
      <c r="G232" s="37" t="n">
        <v>6</v>
      </c>
      <c r="H232" s="1028" t="n">
        <v>4.8</v>
      </c>
      <c r="I232" s="1028" t="n">
        <v>5.222</v>
      </c>
      <c r="J232" s="37" t="n">
        <v>104</v>
      </c>
      <c r="K232" s="37" t="inlineStr">
        <is>
          <t>8</t>
        </is>
      </c>
      <c r="L232" s="37" t="inlineStr"/>
      <c r="M232" s="38" t="inlineStr">
        <is>
          <t>СК4</t>
        </is>
      </c>
      <c r="N232" s="38" t="n"/>
      <c r="O232" s="37" t="n">
        <v>35</v>
      </c>
      <c r="P232" s="1150">
        <f>HYPERLINK("https://abi.ru/products/Охлажденные/Стародворье/Мясорубская/Сосиски/P005437/","Сосиски «Мясорубские с сыром» Весовой ц/о ТМ «Стародворье»")</f>
        <v/>
      </c>
      <c r="Q232" s="1030" t="n"/>
      <c r="R232" s="1030" t="n"/>
      <c r="S232" s="1030" t="n"/>
      <c r="T232" s="1031" t="n"/>
      <c r="U232" s="39" t="inlineStr"/>
      <c r="V232" s="39" t="inlineStr"/>
      <c r="W232" s="40" t="inlineStr">
        <is>
          <t>кг</t>
        </is>
      </c>
      <c r="X232" s="1032" t="n">
        <v>0</v>
      </c>
      <c r="Y232" s="1033">
        <f>IFERROR(IF(X232="",0,CEILING((X232/$H232),1)*$H232),"")</f>
        <v/>
      </c>
      <c r="Z232" s="41">
        <f>IFERROR(IF(Y232=0,"",ROUNDUP(Y232/H232,0)*0.01196),"")</f>
        <v/>
      </c>
      <c r="AA232" s="68" t="inlineStr"/>
      <c r="AB232" s="69" t="inlineStr"/>
      <c r="AC232" s="312" t="inlineStr">
        <is>
          <t>ЕАЭС N RU Д-RU.РА02.В.11158/26</t>
        </is>
      </c>
      <c r="AG232" s="78" t="n"/>
      <c r="AJ232" s="84" t="inlineStr"/>
      <c r="AK232" s="84" t="n">
        <v>0</v>
      </c>
      <c r="BB232" s="313" t="inlineStr">
        <is>
          <t>КИ</t>
        </is>
      </c>
      <c r="BM232" s="78">
        <f>IFERROR(X232*I232/H232,"0")</f>
        <v/>
      </c>
      <c r="BN232" s="78">
        <f>IFERROR(Y232*I232/H232,"0")</f>
        <v/>
      </c>
      <c r="BO232" s="78">
        <f>IFERROR(1/J232*(X232/H232),"0")</f>
        <v/>
      </c>
      <c r="BP232" s="78">
        <f>IFERROR(1/J232*(Y232/H232),"0")</f>
        <v/>
      </c>
    </row>
    <row r="233" ht="27" customHeight="1">
      <c r="A233" s="63" t="inlineStr">
        <is>
          <t>SU004100</t>
        </is>
      </c>
      <c r="B233" s="63" t="inlineStr">
        <is>
          <t>P005357</t>
        </is>
      </c>
      <c r="C233" s="36" t="n">
        <v>4301052177</v>
      </c>
      <c r="D233" s="695" t="n">
        <v>4680115888951</v>
      </c>
      <c r="E233" s="989" t="n"/>
      <c r="F233" s="1028" t="n">
        <v>0.36</v>
      </c>
      <c r="G233" s="37" t="n">
        <v>6</v>
      </c>
      <c r="H233" s="1028" t="n">
        <v>2.16</v>
      </c>
      <c r="I233" s="1028" t="n">
        <v>2.422</v>
      </c>
      <c r="J233" s="37" t="n">
        <v>132</v>
      </c>
      <c r="K233" s="37" t="inlineStr">
        <is>
          <t>12</t>
        </is>
      </c>
      <c r="L233" s="37" t="inlineStr"/>
      <c r="M233" s="38" t="inlineStr">
        <is>
          <t>СК4</t>
        </is>
      </c>
      <c r="N233" s="38" t="n"/>
      <c r="O233" s="37" t="n">
        <v>35</v>
      </c>
      <c r="P233" s="1151">
        <f>HYPERLINK("https://abi.ru/products/Охлажденные/Стародворье/Мясорубская/Сосиски/P005357/","Сосиски «Мясорубские» Фикс.вес 0,36 ц/о ТМ «Стародворье»")</f>
        <v/>
      </c>
      <c r="Q233" s="1030" t="n"/>
      <c r="R233" s="1030" t="n"/>
      <c r="S233" s="1030" t="n"/>
      <c r="T233" s="1031" t="n"/>
      <c r="U233" s="39" t="inlineStr"/>
      <c r="V233" s="39" t="inlineStr"/>
      <c r="W233" s="40" t="inlineStr">
        <is>
          <t>кг</t>
        </is>
      </c>
      <c r="X233" s="1032" t="n">
        <v>0</v>
      </c>
      <c r="Y233" s="1033">
        <f>IFERROR(IF(X233="",0,CEILING((X233/$H233),1)*$H233),"")</f>
        <v/>
      </c>
      <c r="Z233" s="41">
        <f>IFERROR(IF(Y233=0,"",ROUNDUP(Y233/H233,0)*0.00902),"")</f>
        <v/>
      </c>
      <c r="AA233" s="68" t="inlineStr"/>
      <c r="AB233" s="69" t="inlineStr"/>
      <c r="AC233" s="314" t="inlineStr">
        <is>
          <t>ЕАЭС N RU Д-RU.РА02.В.10651/26</t>
        </is>
      </c>
      <c r="AG233" s="78" t="n"/>
      <c r="AJ233" s="84" t="inlineStr"/>
      <c r="AK233" s="84" t="n">
        <v>0</v>
      </c>
      <c r="BB233" s="315" t="inlineStr">
        <is>
          <t>КИ</t>
        </is>
      </c>
      <c r="BM233" s="78">
        <f>IFERROR(X233*I233/H233,"0")</f>
        <v/>
      </c>
      <c r="BN233" s="78">
        <f>IFERROR(Y233*I233/H233,"0")</f>
        <v/>
      </c>
      <c r="BO233" s="78">
        <f>IFERROR(1/J233*(X233/H233),"0")</f>
        <v/>
      </c>
      <c r="BP233" s="78">
        <f>IFERROR(1/J233*(Y233/H233),"0")</f>
        <v/>
      </c>
    </row>
    <row r="234" ht="27" customHeight="1">
      <c r="A234" s="63" t="inlineStr">
        <is>
          <t>SU004102</t>
        </is>
      </c>
      <c r="B234" s="63" t="inlineStr">
        <is>
          <t>P005359</t>
        </is>
      </c>
      <c r="C234" s="36" t="n">
        <v>4301052176</v>
      </c>
      <c r="D234" s="695" t="n">
        <v>4680115888982</v>
      </c>
      <c r="E234" s="989" t="n"/>
      <c r="F234" s="1028" t="n">
        <v>0.36</v>
      </c>
      <c r="G234" s="37" t="n">
        <v>6</v>
      </c>
      <c r="H234" s="1028" t="n">
        <v>2.16</v>
      </c>
      <c r="I234" s="1028" t="n">
        <v>2.422</v>
      </c>
      <c r="J234" s="37" t="n">
        <v>132</v>
      </c>
      <c r="K234" s="37" t="inlineStr">
        <is>
          <t>12</t>
        </is>
      </c>
      <c r="L234" s="37" t="inlineStr"/>
      <c r="M234" s="38" t="inlineStr">
        <is>
          <t>СК4</t>
        </is>
      </c>
      <c r="N234" s="38" t="n"/>
      <c r="O234" s="37" t="n">
        <v>35</v>
      </c>
      <c r="P234" s="1152">
        <f>HYPERLINK("https://abi.ru/products/Охлажденные/Стародворье/Мясорубская/Сосиски/P005359/","Сосиски «Мясорубские с сыром» Фикс.вес 0,36 ц/о ТМ «Стародворье»")</f>
        <v/>
      </c>
      <c r="Q234" s="1030" t="n"/>
      <c r="R234" s="1030" t="n"/>
      <c r="S234" s="1030" t="n"/>
      <c r="T234" s="1031" t="n"/>
      <c r="U234" s="39" t="inlineStr"/>
      <c r="V234" s="39" t="inlineStr"/>
      <c r="W234" s="40" t="inlineStr">
        <is>
          <t>кг</t>
        </is>
      </c>
      <c r="X234" s="1032" t="n">
        <v>0</v>
      </c>
      <c r="Y234" s="1033">
        <f>IFERROR(IF(X234="",0,CEILING((X234/$H234),1)*$H234),"")</f>
        <v/>
      </c>
      <c r="Z234" s="41">
        <f>IFERROR(IF(Y234=0,"",ROUNDUP(Y234/H234,0)*0.00902),"")</f>
        <v/>
      </c>
      <c r="AA234" s="68" t="inlineStr"/>
      <c r="AB234" s="69" t="inlineStr"/>
      <c r="AC234" s="316" t="inlineStr">
        <is>
          <t>ЕАЭС N RU Д-RU.РА02.В.11158/26</t>
        </is>
      </c>
      <c r="AG234" s="78" t="n"/>
      <c r="AJ234" s="84" t="inlineStr"/>
      <c r="AK234" s="84" t="n">
        <v>0</v>
      </c>
      <c r="BB234" s="317" t="inlineStr">
        <is>
          <t>КИ</t>
        </is>
      </c>
      <c r="BM234" s="78">
        <f>IFERROR(X234*I234/H234,"0")</f>
        <v/>
      </c>
      <c r="BN234" s="78">
        <f>IFERROR(Y234*I234/H234,"0")</f>
        <v/>
      </c>
      <c r="BO234" s="78">
        <f>IFERROR(1/J234*(X234/H234),"0")</f>
        <v/>
      </c>
      <c r="BP234" s="78">
        <f>IFERROR(1/J234*(Y234/H234),"0")</f>
        <v/>
      </c>
    </row>
    <row r="235">
      <c r="A235" s="704" t="n"/>
      <c r="B235" s="979" t="n"/>
      <c r="C235" s="979" t="n"/>
      <c r="D235" s="979" t="n"/>
      <c r="E235" s="979" t="n"/>
      <c r="F235" s="979" t="n"/>
      <c r="G235" s="979" t="n"/>
      <c r="H235" s="979" t="n"/>
      <c r="I235" s="979" t="n"/>
      <c r="J235" s="979" t="n"/>
      <c r="K235" s="979" t="n"/>
      <c r="L235" s="979" t="n"/>
      <c r="M235" s="979" t="n"/>
      <c r="N235" s="979" t="n"/>
      <c r="O235" s="1035" t="n"/>
      <c r="P235" s="1036" t="inlineStr">
        <is>
          <t>Итого</t>
        </is>
      </c>
      <c r="Q235" s="997" t="n"/>
      <c r="R235" s="997" t="n"/>
      <c r="S235" s="997" t="n"/>
      <c r="T235" s="997" t="n"/>
      <c r="U235" s="997" t="n"/>
      <c r="V235" s="998" t="n"/>
      <c r="W235" s="42" t="inlineStr">
        <is>
          <t>кор</t>
        </is>
      </c>
      <c r="X235" s="1037">
        <f>IFERROR(X230/H230,"0")+IFERROR(X231/H231,"0")+IFERROR(X232/H232,"0")+IFERROR(X233/H233,"0")+IFERROR(X234/H234,"0")</f>
        <v/>
      </c>
      <c r="Y235" s="1037">
        <f>IFERROR(Y230/H230,"0")+IFERROR(Y231/H231,"0")+IFERROR(Y232/H232,"0")+IFERROR(Y233/H233,"0")+IFERROR(Y234/H234,"0")</f>
        <v/>
      </c>
      <c r="Z235" s="1037">
        <f>IFERROR(IF(Z230="",0,Z230),"0")+IFERROR(IF(Z231="",0,Z231),"0")+IFERROR(IF(Z232="",0,Z232),"0")+IFERROR(IF(Z233="",0,Z233),"0")+IFERROR(IF(Z234="",0,Z234),"0")</f>
        <v/>
      </c>
      <c r="AA235" s="1038" t="n"/>
      <c r="AB235" s="1038" t="n"/>
      <c r="AC235" s="1038" t="n"/>
    </row>
    <row r="236">
      <c r="A236" s="979" t="n"/>
      <c r="B236" s="979" t="n"/>
      <c r="C236" s="979" t="n"/>
      <c r="D236" s="979" t="n"/>
      <c r="E236" s="979" t="n"/>
      <c r="F236" s="979" t="n"/>
      <c r="G236" s="979" t="n"/>
      <c r="H236" s="979" t="n"/>
      <c r="I236" s="979" t="n"/>
      <c r="J236" s="979" t="n"/>
      <c r="K236" s="979" t="n"/>
      <c r="L236" s="979" t="n"/>
      <c r="M236" s="979" t="n"/>
      <c r="N236" s="979" t="n"/>
      <c r="O236" s="1035" t="n"/>
      <c r="P236" s="1036" t="inlineStr">
        <is>
          <t>Итого</t>
        </is>
      </c>
      <c r="Q236" s="997" t="n"/>
      <c r="R236" s="997" t="n"/>
      <c r="S236" s="997" t="n"/>
      <c r="T236" s="997" t="n"/>
      <c r="U236" s="997" t="n"/>
      <c r="V236" s="998" t="n"/>
      <c r="W236" s="42" t="inlineStr">
        <is>
          <t>кг</t>
        </is>
      </c>
      <c r="X236" s="1037">
        <f>IFERROR(SUM(X230:X234),"0")</f>
        <v/>
      </c>
      <c r="Y236" s="1037">
        <f>IFERROR(SUM(Y230:Y234),"0")</f>
        <v/>
      </c>
      <c r="Z236" s="42" t="n"/>
      <c r="AA236" s="1038" t="n"/>
      <c r="AB236" s="1038" t="n"/>
      <c r="AC236" s="1038" t="n"/>
    </row>
    <row r="237" ht="14.25" customHeight="1">
      <c r="A237" s="694" t="inlineStr">
        <is>
          <t>Сырокопченые колбасы</t>
        </is>
      </c>
      <c r="B237" s="979" t="n"/>
      <c r="C237" s="979" t="n"/>
      <c r="D237" s="979" t="n"/>
      <c r="E237" s="979" t="n"/>
      <c r="F237" s="979" t="n"/>
      <c r="G237" s="979" t="n"/>
      <c r="H237" s="979" t="n"/>
      <c r="I237" s="979" t="n"/>
      <c r="J237" s="979" t="n"/>
      <c r="K237" s="979" t="n"/>
      <c r="L237" s="979" t="n"/>
      <c r="M237" s="979" t="n"/>
      <c r="N237" s="979" t="n"/>
      <c r="O237" s="979" t="n"/>
      <c r="P237" s="979" t="n"/>
      <c r="Q237" s="979" t="n"/>
      <c r="R237" s="979" t="n"/>
      <c r="S237" s="979" t="n"/>
      <c r="T237" s="979" t="n"/>
      <c r="U237" s="979" t="n"/>
      <c r="V237" s="979" t="n"/>
      <c r="W237" s="979" t="n"/>
      <c r="X237" s="979" t="n"/>
      <c r="Y237" s="979" t="n"/>
      <c r="Z237" s="979" t="n"/>
      <c r="AA237" s="694" t="n"/>
      <c r="AB237" s="694" t="n"/>
      <c r="AC237" s="694" t="n"/>
    </row>
    <row r="238" ht="27" customHeight="1">
      <c r="A238" s="63" t="inlineStr">
        <is>
          <t>SU003895</t>
        </is>
      </c>
      <c r="B238" s="63" t="inlineStr">
        <is>
          <t>P004981</t>
        </is>
      </c>
      <c r="C238" s="36" t="n">
        <v>4301032053</v>
      </c>
      <c r="D238" s="695" t="n">
        <v>4680115886780</v>
      </c>
      <c r="E238" s="989" t="n"/>
      <c r="F238" s="1028" t="n">
        <v>0.07000000000000001</v>
      </c>
      <c r="G238" s="37" t="n">
        <v>18</v>
      </c>
      <c r="H238" s="1028" t="n">
        <v>1.26</v>
      </c>
      <c r="I238" s="1028" t="n">
        <v>1.45</v>
      </c>
      <c r="J238" s="37" t="n">
        <v>216</v>
      </c>
      <c r="K238" s="37" t="inlineStr">
        <is>
          <t>27</t>
        </is>
      </c>
      <c r="L238" s="37" t="inlineStr"/>
      <c r="M238" s="38" t="inlineStr">
        <is>
          <t>МЗР</t>
        </is>
      </c>
      <c r="N238" s="38" t="n"/>
      <c r="O238" s="37" t="n">
        <v>60</v>
      </c>
      <c r="P238" s="1153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/>
      </c>
      <c r="Q238" s="1030" t="n"/>
      <c r="R238" s="1030" t="n"/>
      <c r="S238" s="1030" t="n"/>
      <c r="T238" s="1031" t="n"/>
      <c r="U238" s="39" t="inlineStr"/>
      <c r="V238" s="39" t="inlineStr"/>
      <c r="W238" s="40" t="inlineStr">
        <is>
          <t>кг</t>
        </is>
      </c>
      <c r="X238" s="1032" t="n">
        <v>0</v>
      </c>
      <c r="Y238" s="1033">
        <f>IFERROR(IF(X238="",0,CEILING((X238/$H238),1)*$H238),"")</f>
        <v/>
      </c>
      <c r="Z238" s="41">
        <f>IFERROR(IF(Y238=0,"",ROUNDUP(Y238/H238,0)*0.0059),"")</f>
        <v/>
      </c>
      <c r="AA238" s="68" t="inlineStr"/>
      <c r="AB238" s="69" t="inlineStr"/>
      <c r="AC238" s="318" t="inlineStr">
        <is>
          <t>ЕАЭС N RU Д-RU.РА03.В.06444/25</t>
        </is>
      </c>
      <c r="AG238" s="78" t="n"/>
      <c r="AJ238" s="84" t="inlineStr"/>
      <c r="AK238" s="84" t="n">
        <v>0</v>
      </c>
      <c r="BB238" s="319" t="inlineStr">
        <is>
          <t>КИ</t>
        </is>
      </c>
      <c r="BM238" s="78">
        <f>IFERROR(X238*I238/H238,"0")</f>
        <v/>
      </c>
      <c r="BN238" s="78">
        <f>IFERROR(Y238*I238/H238,"0")</f>
        <v/>
      </c>
      <c r="BO238" s="78">
        <f>IFERROR(1/J238*(X238/H238),"0")</f>
        <v/>
      </c>
      <c r="BP238" s="78">
        <f>IFERROR(1/J238*(Y238/H238),"0")</f>
        <v/>
      </c>
    </row>
    <row r="239" ht="27" customHeight="1">
      <c r="A239" s="63" t="inlineStr">
        <is>
          <t>SU003893</t>
        </is>
      </c>
      <c r="B239" s="63" t="inlineStr">
        <is>
          <t>P004978</t>
        </is>
      </c>
      <c r="C239" s="36" t="n">
        <v>4301032051</v>
      </c>
      <c r="D239" s="695" t="n">
        <v>4680115886742</v>
      </c>
      <c r="E239" s="989" t="n"/>
      <c r="F239" s="1028" t="n">
        <v>0.07000000000000001</v>
      </c>
      <c r="G239" s="37" t="n">
        <v>18</v>
      </c>
      <c r="H239" s="1028" t="n">
        <v>1.26</v>
      </c>
      <c r="I239" s="1028" t="n">
        <v>1.45</v>
      </c>
      <c r="J239" s="37" t="n">
        <v>216</v>
      </c>
      <c r="K239" s="37" t="inlineStr">
        <is>
          <t>27</t>
        </is>
      </c>
      <c r="L239" s="37" t="inlineStr"/>
      <c r="M239" s="38" t="inlineStr">
        <is>
          <t>МЗР</t>
        </is>
      </c>
      <c r="N239" s="38" t="n"/>
      <c r="O239" s="37" t="n">
        <v>90</v>
      </c>
      <c r="P239" s="1154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/>
      </c>
      <c r="Q239" s="1030" t="n"/>
      <c r="R239" s="1030" t="n"/>
      <c r="S239" s="1030" t="n"/>
      <c r="T239" s="1031" t="n"/>
      <c r="U239" s="39" t="inlineStr"/>
      <c r="V239" s="39" t="inlineStr"/>
      <c r="W239" s="40" t="inlineStr">
        <is>
          <t>кг</t>
        </is>
      </c>
      <c r="X239" s="1032" t="n">
        <v>0</v>
      </c>
      <c r="Y239" s="1033">
        <f>IFERROR(IF(X239="",0,CEILING((X239/$H239),1)*$H239),"")</f>
        <v/>
      </c>
      <c r="Z239" s="41">
        <f>IFERROR(IF(Y239=0,"",ROUNDUP(Y239/H239,0)*0.0059),"")</f>
        <v/>
      </c>
      <c r="AA239" s="68" t="inlineStr"/>
      <c r="AB239" s="69" t="inlineStr"/>
      <c r="AC239" s="320" t="inlineStr">
        <is>
          <t>ЕАЭС N RU Д-RU.РА03.В.02441/25</t>
        </is>
      </c>
      <c r="AG239" s="78" t="n"/>
      <c r="AJ239" s="84" t="inlineStr"/>
      <c r="AK239" s="84" t="n">
        <v>0</v>
      </c>
      <c r="BB239" s="321" t="inlineStr">
        <is>
          <t>КИ</t>
        </is>
      </c>
      <c r="BM239" s="78">
        <f>IFERROR(X239*I239/H239,"0")</f>
        <v/>
      </c>
      <c r="BN239" s="78">
        <f>IFERROR(Y239*I239/H239,"0")</f>
        <v/>
      </c>
      <c r="BO239" s="78">
        <f>IFERROR(1/J239*(X239/H239),"0")</f>
        <v/>
      </c>
      <c r="BP239" s="78">
        <f>IFERROR(1/J239*(Y239/H239),"0")</f>
        <v/>
      </c>
    </row>
    <row r="240" ht="27" customHeight="1">
      <c r="A240" s="63" t="inlineStr">
        <is>
          <t>SU003894</t>
        </is>
      </c>
      <c r="B240" s="63" t="inlineStr">
        <is>
          <t>P004979</t>
        </is>
      </c>
      <c r="C240" s="36" t="n">
        <v>4301032052</v>
      </c>
      <c r="D240" s="695" t="n">
        <v>4680115886766</v>
      </c>
      <c r="E240" s="989" t="n"/>
      <c r="F240" s="1028" t="n">
        <v>0.07000000000000001</v>
      </c>
      <c r="G240" s="37" t="n">
        <v>18</v>
      </c>
      <c r="H240" s="1028" t="n">
        <v>1.26</v>
      </c>
      <c r="I240" s="1028" t="n">
        <v>1.45</v>
      </c>
      <c r="J240" s="37" t="n">
        <v>216</v>
      </c>
      <c r="K240" s="37" t="inlineStr">
        <is>
          <t>27</t>
        </is>
      </c>
      <c r="L240" s="37" t="inlineStr"/>
      <c r="M240" s="38" t="inlineStr">
        <is>
          <t>МЗР</t>
        </is>
      </c>
      <c r="N240" s="38" t="n"/>
      <c r="O240" s="37" t="n">
        <v>90</v>
      </c>
      <c r="P240" s="1155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/>
      </c>
      <c r="Q240" s="1030" t="n"/>
      <c r="R240" s="1030" t="n"/>
      <c r="S240" s="1030" t="n"/>
      <c r="T240" s="1031" t="n"/>
      <c r="U240" s="39" t="inlineStr"/>
      <c r="V240" s="39" t="inlineStr"/>
      <c r="W240" s="40" t="inlineStr">
        <is>
          <t>кг</t>
        </is>
      </c>
      <c r="X240" s="1032" t="n">
        <v>0</v>
      </c>
      <c r="Y240" s="1033">
        <f>IFERROR(IF(X240="",0,CEILING((X240/$H240),1)*$H240),"")</f>
        <v/>
      </c>
      <c r="Z240" s="41">
        <f>IFERROR(IF(Y240=0,"",ROUNDUP(Y240/H240,0)*0.0059),"")</f>
        <v/>
      </c>
      <c r="AA240" s="68" t="inlineStr"/>
      <c r="AB240" s="69" t="inlineStr"/>
      <c r="AC240" s="322" t="inlineStr">
        <is>
          <t>ЕАЭС N RU Д-RU.РА03.В.02441/25</t>
        </is>
      </c>
      <c r="AG240" s="78" t="n"/>
      <c r="AJ240" s="84" t="inlineStr"/>
      <c r="AK240" s="84" t="n">
        <v>0</v>
      </c>
      <c r="BB240" s="323" t="inlineStr">
        <is>
          <t>КИ</t>
        </is>
      </c>
      <c r="BM240" s="78">
        <f>IFERROR(X240*I240/H240,"0")</f>
        <v/>
      </c>
      <c r="BN240" s="78">
        <f>IFERROR(Y240*I240/H240,"0")</f>
        <v/>
      </c>
      <c r="BO240" s="78">
        <f>IFERROR(1/J240*(X240/H240),"0")</f>
        <v/>
      </c>
      <c r="BP240" s="78">
        <f>IFERROR(1/J240*(Y240/H240),"0")</f>
        <v/>
      </c>
    </row>
    <row r="241">
      <c r="A241" s="704" t="n"/>
      <c r="B241" s="979" t="n"/>
      <c r="C241" s="979" t="n"/>
      <c r="D241" s="979" t="n"/>
      <c r="E241" s="979" t="n"/>
      <c r="F241" s="979" t="n"/>
      <c r="G241" s="979" t="n"/>
      <c r="H241" s="979" t="n"/>
      <c r="I241" s="979" t="n"/>
      <c r="J241" s="979" t="n"/>
      <c r="K241" s="979" t="n"/>
      <c r="L241" s="979" t="n"/>
      <c r="M241" s="979" t="n"/>
      <c r="N241" s="979" t="n"/>
      <c r="O241" s="1035" t="n"/>
      <c r="P241" s="1036" t="inlineStr">
        <is>
          <t>Итого</t>
        </is>
      </c>
      <c r="Q241" s="997" t="n"/>
      <c r="R241" s="997" t="n"/>
      <c r="S241" s="997" t="n"/>
      <c r="T241" s="997" t="n"/>
      <c r="U241" s="997" t="n"/>
      <c r="V241" s="998" t="n"/>
      <c r="W241" s="42" t="inlineStr">
        <is>
          <t>кор</t>
        </is>
      </c>
      <c r="X241" s="1037">
        <f>IFERROR(X238/H238,"0")+IFERROR(X239/H239,"0")+IFERROR(X240/H240,"0")</f>
        <v/>
      </c>
      <c r="Y241" s="1037">
        <f>IFERROR(Y238/H238,"0")+IFERROR(Y239/H239,"0")+IFERROR(Y240/H240,"0")</f>
        <v/>
      </c>
      <c r="Z241" s="1037">
        <f>IFERROR(IF(Z238="",0,Z238),"0")+IFERROR(IF(Z239="",0,Z239),"0")+IFERROR(IF(Z240="",0,Z240),"0")</f>
        <v/>
      </c>
      <c r="AA241" s="1038" t="n"/>
      <c r="AB241" s="1038" t="n"/>
      <c r="AC241" s="1038" t="n"/>
    </row>
    <row r="242">
      <c r="A242" s="979" t="n"/>
      <c r="B242" s="979" t="n"/>
      <c r="C242" s="979" t="n"/>
      <c r="D242" s="979" t="n"/>
      <c r="E242" s="979" t="n"/>
      <c r="F242" s="979" t="n"/>
      <c r="G242" s="979" t="n"/>
      <c r="H242" s="979" t="n"/>
      <c r="I242" s="979" t="n"/>
      <c r="J242" s="979" t="n"/>
      <c r="K242" s="979" t="n"/>
      <c r="L242" s="979" t="n"/>
      <c r="M242" s="979" t="n"/>
      <c r="N242" s="979" t="n"/>
      <c r="O242" s="1035" t="n"/>
      <c r="P242" s="1036" t="inlineStr">
        <is>
          <t>Итого</t>
        </is>
      </c>
      <c r="Q242" s="997" t="n"/>
      <c r="R242" s="997" t="n"/>
      <c r="S242" s="997" t="n"/>
      <c r="T242" s="997" t="n"/>
      <c r="U242" s="997" t="n"/>
      <c r="V242" s="998" t="n"/>
      <c r="W242" s="42" t="inlineStr">
        <is>
          <t>кг</t>
        </is>
      </c>
      <c r="X242" s="1037">
        <f>IFERROR(SUM(X238:X240),"0")</f>
        <v/>
      </c>
      <c r="Y242" s="1037">
        <f>IFERROR(SUM(Y238:Y240),"0")</f>
        <v/>
      </c>
      <c r="Z242" s="42" t="n"/>
      <c r="AA242" s="1038" t="n"/>
      <c r="AB242" s="1038" t="n"/>
      <c r="AC242" s="1038" t="n"/>
    </row>
    <row r="243" ht="14.25" customHeight="1">
      <c r="A243" s="694" t="inlineStr">
        <is>
          <t>Сыровяленые колбасы</t>
        </is>
      </c>
      <c r="B243" s="979" t="n"/>
      <c r="C243" s="979" t="n"/>
      <c r="D243" s="979" t="n"/>
      <c r="E243" s="979" t="n"/>
      <c r="F243" s="979" t="n"/>
      <c r="G243" s="979" t="n"/>
      <c r="H243" s="979" t="n"/>
      <c r="I243" s="979" t="n"/>
      <c r="J243" s="979" t="n"/>
      <c r="K243" s="979" t="n"/>
      <c r="L243" s="979" t="n"/>
      <c r="M243" s="979" t="n"/>
      <c r="N243" s="979" t="n"/>
      <c r="O243" s="979" t="n"/>
      <c r="P243" s="979" t="n"/>
      <c r="Q243" s="979" t="n"/>
      <c r="R243" s="979" t="n"/>
      <c r="S243" s="979" t="n"/>
      <c r="T243" s="979" t="n"/>
      <c r="U243" s="979" t="n"/>
      <c r="V243" s="979" t="n"/>
      <c r="W243" s="979" t="n"/>
      <c r="X243" s="979" t="n"/>
      <c r="Y243" s="979" t="n"/>
      <c r="Z243" s="979" t="n"/>
      <c r="AA243" s="694" t="n"/>
      <c r="AB243" s="694" t="n"/>
      <c r="AC243" s="694" t="n"/>
    </row>
    <row r="244" ht="27" customHeight="1">
      <c r="A244" s="63" t="inlineStr">
        <is>
          <t>SU003896</t>
        </is>
      </c>
      <c r="B244" s="63" t="inlineStr">
        <is>
          <t>P004982</t>
        </is>
      </c>
      <c r="C244" s="36" t="n">
        <v>4301170013</v>
      </c>
      <c r="D244" s="695" t="n">
        <v>4680115886797</v>
      </c>
      <c r="E244" s="989" t="n"/>
      <c r="F244" s="1028" t="n">
        <v>0.07000000000000001</v>
      </c>
      <c r="G244" s="37" t="n">
        <v>18</v>
      </c>
      <c r="H244" s="1028" t="n">
        <v>1.26</v>
      </c>
      <c r="I244" s="1028" t="n">
        <v>1.45</v>
      </c>
      <c r="J244" s="37" t="n">
        <v>216</v>
      </c>
      <c r="K244" s="37" t="inlineStr">
        <is>
          <t>27</t>
        </is>
      </c>
      <c r="L244" s="37" t="inlineStr"/>
      <c r="M244" s="38" t="inlineStr">
        <is>
          <t>МЗР</t>
        </is>
      </c>
      <c r="N244" s="38" t="n"/>
      <c r="O244" s="37" t="n">
        <v>90</v>
      </c>
      <c r="P244" s="1156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/>
      </c>
      <c r="Q244" s="1030" t="n"/>
      <c r="R244" s="1030" t="n"/>
      <c r="S244" s="1030" t="n"/>
      <c r="T244" s="1031" t="n"/>
      <c r="U244" s="39" t="inlineStr"/>
      <c r="V244" s="39" t="inlineStr"/>
      <c r="W244" s="40" t="inlineStr">
        <is>
          <t>кг</t>
        </is>
      </c>
      <c r="X244" s="1032" t="n">
        <v>0</v>
      </c>
      <c r="Y244" s="1033">
        <f>IFERROR(IF(X244="",0,CEILING((X244/$H244),1)*$H244),"")</f>
        <v/>
      </c>
      <c r="Z244" s="41">
        <f>IFERROR(IF(Y244=0,"",ROUNDUP(Y244/H244,0)*0.0059),"")</f>
        <v/>
      </c>
      <c r="AA244" s="68" t="inlineStr"/>
      <c r="AB244" s="69" t="inlineStr"/>
      <c r="AC244" s="324" t="inlineStr">
        <is>
          <t>ЕАЭС N RU Д-RU.РА03.В.02441/25</t>
        </is>
      </c>
      <c r="AG244" s="78" t="n"/>
      <c r="AJ244" s="84" t="inlineStr"/>
      <c r="AK244" s="84" t="n">
        <v>0</v>
      </c>
      <c r="BB244" s="325" t="inlineStr">
        <is>
          <t>КИ</t>
        </is>
      </c>
      <c r="BM244" s="78">
        <f>IFERROR(X244*I244/H244,"0")</f>
        <v/>
      </c>
      <c r="BN244" s="78">
        <f>IFERROR(Y244*I244/H244,"0")</f>
        <v/>
      </c>
      <c r="BO244" s="78">
        <f>IFERROR(1/J244*(X244/H244),"0")</f>
        <v/>
      </c>
      <c r="BP244" s="78">
        <f>IFERROR(1/J244*(Y244/H244),"0")</f>
        <v/>
      </c>
    </row>
    <row r="245">
      <c r="A245" s="704" t="n"/>
      <c r="B245" s="979" t="n"/>
      <c r="C245" s="979" t="n"/>
      <c r="D245" s="979" t="n"/>
      <c r="E245" s="979" t="n"/>
      <c r="F245" s="979" t="n"/>
      <c r="G245" s="979" t="n"/>
      <c r="H245" s="979" t="n"/>
      <c r="I245" s="979" t="n"/>
      <c r="J245" s="979" t="n"/>
      <c r="K245" s="979" t="n"/>
      <c r="L245" s="979" t="n"/>
      <c r="M245" s="979" t="n"/>
      <c r="N245" s="979" t="n"/>
      <c r="O245" s="1035" t="n"/>
      <c r="P245" s="1036" t="inlineStr">
        <is>
          <t>Итого</t>
        </is>
      </c>
      <c r="Q245" s="997" t="n"/>
      <c r="R245" s="997" t="n"/>
      <c r="S245" s="997" t="n"/>
      <c r="T245" s="997" t="n"/>
      <c r="U245" s="997" t="n"/>
      <c r="V245" s="998" t="n"/>
      <c r="W245" s="42" t="inlineStr">
        <is>
          <t>кор</t>
        </is>
      </c>
      <c r="X245" s="1037">
        <f>IFERROR(X244/H244,"0")</f>
        <v/>
      </c>
      <c r="Y245" s="1037">
        <f>IFERROR(Y244/H244,"0")</f>
        <v/>
      </c>
      <c r="Z245" s="1037">
        <f>IFERROR(IF(Z244="",0,Z244),"0")</f>
        <v/>
      </c>
      <c r="AA245" s="1038" t="n"/>
      <c r="AB245" s="1038" t="n"/>
      <c r="AC245" s="1038" t="n"/>
    </row>
    <row r="246">
      <c r="A246" s="979" t="n"/>
      <c r="B246" s="979" t="n"/>
      <c r="C246" s="979" t="n"/>
      <c r="D246" s="979" t="n"/>
      <c r="E246" s="979" t="n"/>
      <c r="F246" s="979" t="n"/>
      <c r="G246" s="979" t="n"/>
      <c r="H246" s="979" t="n"/>
      <c r="I246" s="979" t="n"/>
      <c r="J246" s="979" t="n"/>
      <c r="K246" s="979" t="n"/>
      <c r="L246" s="979" t="n"/>
      <c r="M246" s="979" t="n"/>
      <c r="N246" s="979" t="n"/>
      <c r="O246" s="1035" t="n"/>
      <c r="P246" s="1036" t="inlineStr">
        <is>
          <t>Итого</t>
        </is>
      </c>
      <c r="Q246" s="997" t="n"/>
      <c r="R246" s="997" t="n"/>
      <c r="S246" s="997" t="n"/>
      <c r="T246" s="997" t="n"/>
      <c r="U246" s="997" t="n"/>
      <c r="V246" s="998" t="n"/>
      <c r="W246" s="42" t="inlineStr">
        <is>
          <t>кг</t>
        </is>
      </c>
      <c r="X246" s="1037">
        <f>IFERROR(SUM(X244:X244),"0")</f>
        <v/>
      </c>
      <c r="Y246" s="1037">
        <f>IFERROR(SUM(Y244:Y244),"0")</f>
        <v/>
      </c>
      <c r="Z246" s="42" t="n"/>
      <c r="AA246" s="1038" t="n"/>
      <c r="AB246" s="1038" t="n"/>
      <c r="AC246" s="1038" t="n"/>
    </row>
    <row r="247" ht="16.5" customHeight="1">
      <c r="A247" s="693" t="inlineStr">
        <is>
          <t>Сочинка</t>
        </is>
      </c>
      <c r="B247" s="979" t="n"/>
      <c r="C247" s="979" t="n"/>
      <c r="D247" s="979" t="n"/>
      <c r="E247" s="979" t="n"/>
      <c r="F247" s="979" t="n"/>
      <c r="G247" s="979" t="n"/>
      <c r="H247" s="979" t="n"/>
      <c r="I247" s="979" t="n"/>
      <c r="J247" s="979" t="n"/>
      <c r="K247" s="979" t="n"/>
      <c r="L247" s="979" t="n"/>
      <c r="M247" s="979" t="n"/>
      <c r="N247" s="979" t="n"/>
      <c r="O247" s="979" t="n"/>
      <c r="P247" s="979" t="n"/>
      <c r="Q247" s="979" t="n"/>
      <c r="R247" s="979" t="n"/>
      <c r="S247" s="979" t="n"/>
      <c r="T247" s="979" t="n"/>
      <c r="U247" s="979" t="n"/>
      <c r="V247" s="979" t="n"/>
      <c r="W247" s="979" t="n"/>
      <c r="X247" s="979" t="n"/>
      <c r="Y247" s="979" t="n"/>
      <c r="Z247" s="979" t="n"/>
      <c r="AA247" s="693" t="n"/>
      <c r="AB247" s="693" t="n"/>
      <c r="AC247" s="693" t="n"/>
    </row>
    <row r="248" ht="14.25" customHeight="1">
      <c r="A248" s="694" t="inlineStr">
        <is>
          <t>Вареные колбасы</t>
        </is>
      </c>
      <c r="B248" s="979" t="n"/>
      <c r="C248" s="979" t="n"/>
      <c r="D248" s="979" t="n"/>
      <c r="E248" s="979" t="n"/>
      <c r="F248" s="979" t="n"/>
      <c r="G248" s="979" t="n"/>
      <c r="H248" s="979" t="n"/>
      <c r="I248" s="979" t="n"/>
      <c r="J248" s="979" t="n"/>
      <c r="K248" s="979" t="n"/>
      <c r="L248" s="979" t="n"/>
      <c r="M248" s="979" t="n"/>
      <c r="N248" s="979" t="n"/>
      <c r="O248" s="979" t="n"/>
      <c r="P248" s="979" t="n"/>
      <c r="Q248" s="979" t="n"/>
      <c r="R248" s="979" t="n"/>
      <c r="S248" s="979" t="n"/>
      <c r="T248" s="979" t="n"/>
      <c r="U248" s="979" t="n"/>
      <c r="V248" s="979" t="n"/>
      <c r="W248" s="979" t="n"/>
      <c r="X248" s="979" t="n"/>
      <c r="Y248" s="979" t="n"/>
      <c r="Z248" s="979" t="n"/>
      <c r="AA248" s="694" t="n"/>
      <c r="AB248" s="694" t="n"/>
      <c r="AC248" s="694" t="n"/>
    </row>
    <row r="249" ht="27" customHeight="1">
      <c r="A249" s="63" t="inlineStr">
        <is>
          <t>SU002824</t>
        </is>
      </c>
      <c r="B249" s="63" t="inlineStr">
        <is>
          <t>P003231</t>
        </is>
      </c>
      <c r="C249" s="36" t="n">
        <v>4301011450</v>
      </c>
      <c r="D249" s="695" t="n">
        <v>4680115881402</v>
      </c>
      <c r="E249" s="989" t="n"/>
      <c r="F249" s="1028" t="n">
        <v>1.35</v>
      </c>
      <c r="G249" s="37" t="n">
        <v>8</v>
      </c>
      <c r="H249" s="1028" t="n">
        <v>10.8</v>
      </c>
      <c r="I249" s="1028" t="n">
        <v>11.21</v>
      </c>
      <c r="J249" s="37" t="n">
        <v>64</v>
      </c>
      <c r="K249" s="37" t="inlineStr">
        <is>
          <t>8</t>
        </is>
      </c>
      <c r="L249" s="37" t="inlineStr"/>
      <c r="M249" s="38" t="inlineStr">
        <is>
          <t>СК1</t>
        </is>
      </c>
      <c r="N249" s="38" t="n"/>
      <c r="O249" s="37" t="n">
        <v>55</v>
      </c>
      <c r="P249" s="1157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249" s="1030" t="n"/>
      <c r="R249" s="1030" t="n"/>
      <c r="S249" s="1030" t="n"/>
      <c r="T249" s="1031" t="n"/>
      <c r="U249" s="39" t="inlineStr"/>
      <c r="V249" s="39" t="inlineStr"/>
      <c r="W249" s="40" t="inlineStr">
        <is>
          <t>кг</t>
        </is>
      </c>
      <c r="X249" s="1032" t="n">
        <v>0</v>
      </c>
      <c r="Y249" s="1033">
        <f>IFERROR(IF(X249="",0,CEILING((X249/$H249),1)*$H249),"")</f>
        <v/>
      </c>
      <c r="Z249" s="41">
        <f>IFERROR(IF(Y249=0,"",ROUNDUP(Y249/H249,0)*0.01898),"")</f>
        <v/>
      </c>
      <c r="AA249" s="68" t="inlineStr"/>
      <c r="AB249" s="69" t="inlineStr"/>
      <c r="AC249" s="326" t="inlineStr">
        <is>
          <t>ЕАЭС N RU Д-RU.РА03.В.02609/25, ЕАЭС N RU Д-RU.РА09.В.00972/22</t>
        </is>
      </c>
      <c r="AG249" s="78" t="n"/>
      <c r="AJ249" s="84" t="inlineStr"/>
      <c r="AK249" s="84" t="n">
        <v>0</v>
      </c>
      <c r="BB249" s="327" t="inlineStr">
        <is>
          <t>КИ</t>
        </is>
      </c>
      <c r="BM249" s="78">
        <f>IFERROR(X249*I249/H249,"0")</f>
        <v/>
      </c>
      <c r="BN249" s="78">
        <f>IFERROR(Y249*I249/H249,"0")</f>
        <v/>
      </c>
      <c r="BO249" s="78">
        <f>IFERROR(1/J249*(X249/H249),"0")</f>
        <v/>
      </c>
      <c r="BP249" s="78">
        <f>IFERROR(1/J249*(Y249/H249),"0")</f>
        <v/>
      </c>
    </row>
    <row r="250" ht="27" customHeight="1">
      <c r="A250" s="63" t="inlineStr">
        <is>
          <t>SU002823</t>
        </is>
      </c>
      <c r="B250" s="63" t="inlineStr">
        <is>
          <t>P003230</t>
        </is>
      </c>
      <c r="C250" s="36" t="n">
        <v>4301011768</v>
      </c>
      <c r="D250" s="695" t="n">
        <v>4680115881396</v>
      </c>
      <c r="E250" s="989" t="n"/>
      <c r="F250" s="1028" t="n">
        <v>0.45</v>
      </c>
      <c r="G250" s="37" t="n">
        <v>6</v>
      </c>
      <c r="H250" s="1028" t="n">
        <v>2.7</v>
      </c>
      <c r="I250" s="1028" t="n">
        <v>2.88</v>
      </c>
      <c r="J250" s="37" t="n">
        <v>182</v>
      </c>
      <c r="K250" s="37" t="inlineStr">
        <is>
          <t>14</t>
        </is>
      </c>
      <c r="L250" s="37" t="inlineStr"/>
      <c r="M250" s="38" t="inlineStr">
        <is>
          <t>СК1</t>
        </is>
      </c>
      <c r="N250" s="38" t="n"/>
      <c r="O250" s="37" t="n">
        <v>55</v>
      </c>
      <c r="P250" s="1158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250" s="1030" t="n"/>
      <c r="R250" s="1030" t="n"/>
      <c r="S250" s="1030" t="n"/>
      <c r="T250" s="1031" t="n"/>
      <c r="U250" s="39" t="inlineStr"/>
      <c r="V250" s="39" t="inlineStr"/>
      <c r="W250" s="40" t="inlineStr">
        <is>
          <t>кг</t>
        </is>
      </c>
      <c r="X250" s="1032" t="n">
        <v>0</v>
      </c>
      <c r="Y250" s="1033">
        <f>IFERROR(IF(X250="",0,CEILING((X250/$H250),1)*$H250),"")</f>
        <v/>
      </c>
      <c r="Z250" s="41">
        <f>IFERROR(IF(Y250=0,"",ROUNDUP(Y250/H250,0)*0.00651),"")</f>
        <v/>
      </c>
      <c r="AA250" s="68" t="inlineStr"/>
      <c r="AB250" s="69" t="inlineStr"/>
      <c r="AC250" s="328" t="inlineStr">
        <is>
          <t>ЕАЭС N RU Д-RU.РА03.В.02609/25, ЕАЭС N RU Д-RU.РА09.В.00972/22</t>
        </is>
      </c>
      <c r="AG250" s="78" t="n"/>
      <c r="AJ250" s="84" t="inlineStr"/>
      <c r="AK250" s="84" t="n">
        <v>0</v>
      </c>
      <c r="BB250" s="329" t="inlineStr">
        <is>
          <t>КИ</t>
        </is>
      </c>
      <c r="BM250" s="78">
        <f>IFERROR(X250*I250/H250,"0")</f>
        <v/>
      </c>
      <c r="BN250" s="78">
        <f>IFERROR(Y250*I250/H250,"0")</f>
        <v/>
      </c>
      <c r="BO250" s="78">
        <f>IFERROR(1/J250*(X250/H250),"0")</f>
        <v/>
      </c>
      <c r="BP250" s="78">
        <f>IFERROR(1/J250*(Y250/H250),"0")</f>
        <v/>
      </c>
    </row>
    <row r="251">
      <c r="A251" s="704" t="n"/>
      <c r="B251" s="979" t="n"/>
      <c r="C251" s="979" t="n"/>
      <c r="D251" s="979" t="n"/>
      <c r="E251" s="979" t="n"/>
      <c r="F251" s="979" t="n"/>
      <c r="G251" s="979" t="n"/>
      <c r="H251" s="979" t="n"/>
      <c r="I251" s="979" t="n"/>
      <c r="J251" s="979" t="n"/>
      <c r="K251" s="979" t="n"/>
      <c r="L251" s="979" t="n"/>
      <c r="M251" s="979" t="n"/>
      <c r="N251" s="979" t="n"/>
      <c r="O251" s="1035" t="n"/>
      <c r="P251" s="1036" t="inlineStr">
        <is>
          <t>Итого</t>
        </is>
      </c>
      <c r="Q251" s="997" t="n"/>
      <c r="R251" s="997" t="n"/>
      <c r="S251" s="997" t="n"/>
      <c r="T251" s="997" t="n"/>
      <c r="U251" s="997" t="n"/>
      <c r="V251" s="998" t="n"/>
      <c r="W251" s="42" t="inlineStr">
        <is>
          <t>кор</t>
        </is>
      </c>
      <c r="X251" s="1037">
        <f>IFERROR(X249/H249,"0")+IFERROR(X250/H250,"0")</f>
        <v/>
      </c>
      <c r="Y251" s="1037">
        <f>IFERROR(Y249/H249,"0")+IFERROR(Y250/H250,"0")</f>
        <v/>
      </c>
      <c r="Z251" s="1037">
        <f>IFERROR(IF(Z249="",0,Z249),"0")+IFERROR(IF(Z250="",0,Z250),"0")</f>
        <v/>
      </c>
      <c r="AA251" s="1038" t="n"/>
      <c r="AB251" s="1038" t="n"/>
      <c r="AC251" s="1038" t="n"/>
    </row>
    <row r="252">
      <c r="A252" s="979" t="n"/>
      <c r="B252" s="979" t="n"/>
      <c r="C252" s="979" t="n"/>
      <c r="D252" s="979" t="n"/>
      <c r="E252" s="979" t="n"/>
      <c r="F252" s="979" t="n"/>
      <c r="G252" s="979" t="n"/>
      <c r="H252" s="979" t="n"/>
      <c r="I252" s="979" t="n"/>
      <c r="J252" s="979" t="n"/>
      <c r="K252" s="979" t="n"/>
      <c r="L252" s="979" t="n"/>
      <c r="M252" s="979" t="n"/>
      <c r="N252" s="979" t="n"/>
      <c r="O252" s="1035" t="n"/>
      <c r="P252" s="1036" t="inlineStr">
        <is>
          <t>Итого</t>
        </is>
      </c>
      <c r="Q252" s="997" t="n"/>
      <c r="R252" s="997" t="n"/>
      <c r="S252" s="997" t="n"/>
      <c r="T252" s="997" t="n"/>
      <c r="U252" s="997" t="n"/>
      <c r="V252" s="998" t="n"/>
      <c r="W252" s="42" t="inlineStr">
        <is>
          <t>кг</t>
        </is>
      </c>
      <c r="X252" s="1037">
        <f>IFERROR(SUM(X249:X250),"0")</f>
        <v/>
      </c>
      <c r="Y252" s="1037">
        <f>IFERROR(SUM(Y249:Y250),"0")</f>
        <v/>
      </c>
      <c r="Z252" s="42" t="n"/>
      <c r="AA252" s="1038" t="n"/>
      <c r="AB252" s="1038" t="n"/>
      <c r="AC252" s="1038" t="n"/>
    </row>
    <row r="253" ht="14.25" customHeight="1">
      <c r="A253" s="694" t="inlineStr">
        <is>
          <t>Ветчины</t>
        </is>
      </c>
      <c r="B253" s="979" t="n"/>
      <c r="C253" s="979" t="n"/>
      <c r="D253" s="979" t="n"/>
      <c r="E253" s="979" t="n"/>
      <c r="F253" s="979" t="n"/>
      <c r="G253" s="979" t="n"/>
      <c r="H253" s="979" t="n"/>
      <c r="I253" s="979" t="n"/>
      <c r="J253" s="979" t="n"/>
      <c r="K253" s="979" t="n"/>
      <c r="L253" s="979" t="n"/>
      <c r="M253" s="979" t="n"/>
      <c r="N253" s="979" t="n"/>
      <c r="O253" s="979" t="n"/>
      <c r="P253" s="979" t="n"/>
      <c r="Q253" s="979" t="n"/>
      <c r="R253" s="979" t="n"/>
      <c r="S253" s="979" t="n"/>
      <c r="T253" s="979" t="n"/>
      <c r="U253" s="979" t="n"/>
      <c r="V253" s="979" t="n"/>
      <c r="W253" s="979" t="n"/>
      <c r="X253" s="979" t="n"/>
      <c r="Y253" s="979" t="n"/>
      <c r="Z253" s="979" t="n"/>
      <c r="AA253" s="694" t="n"/>
      <c r="AB253" s="694" t="n"/>
      <c r="AC253" s="694" t="n"/>
    </row>
    <row r="254" ht="16.5" customHeight="1">
      <c r="A254" s="63" t="inlineStr">
        <is>
          <t>SU003068</t>
        </is>
      </c>
      <c r="B254" s="63" t="inlineStr">
        <is>
          <t>P003611</t>
        </is>
      </c>
      <c r="C254" s="36" t="n">
        <v>4301020261</v>
      </c>
      <c r="D254" s="695" t="n">
        <v>4680115882935</v>
      </c>
      <c r="E254" s="989" t="n"/>
      <c r="F254" s="1028" t="n">
        <v>1.35</v>
      </c>
      <c r="G254" s="37" t="n">
        <v>8</v>
      </c>
      <c r="H254" s="1028" t="n">
        <v>10.8</v>
      </c>
      <c r="I254" s="1028" t="n">
        <v>11.21</v>
      </c>
      <c r="J254" s="37" t="n">
        <v>64</v>
      </c>
      <c r="K254" s="37" t="inlineStr">
        <is>
          <t>8</t>
        </is>
      </c>
      <c r="L254" s="37" t="inlineStr"/>
      <c r="M254" s="38" t="inlineStr">
        <is>
          <t>СК1</t>
        </is>
      </c>
      <c r="N254" s="38" t="n"/>
      <c r="O254" s="37" t="n">
        <v>50</v>
      </c>
      <c r="P254" s="1159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254" s="1030" t="n"/>
      <c r="R254" s="1030" t="n"/>
      <c r="S254" s="1030" t="n"/>
      <c r="T254" s="1031" t="n"/>
      <c r="U254" s="39" t="inlineStr"/>
      <c r="V254" s="39" t="inlineStr"/>
      <c r="W254" s="40" t="inlineStr">
        <is>
          <t>кг</t>
        </is>
      </c>
      <c r="X254" s="1032" t="n">
        <v>0</v>
      </c>
      <c r="Y254" s="1033">
        <f>IFERROR(IF(X254="",0,CEILING((X254/$H254),1)*$H254),"")</f>
        <v/>
      </c>
      <c r="Z254" s="41">
        <f>IFERROR(IF(Y254=0,"",ROUNDUP(Y254/H254,0)*0.01898),"")</f>
        <v/>
      </c>
      <c r="AA254" s="68" t="inlineStr"/>
      <c r="AB254" s="69" t="inlineStr"/>
      <c r="AC254" s="330" t="inlineStr">
        <is>
          <t>ЕАЭС N RU Д-RU.РА10.В.31760/25</t>
        </is>
      </c>
      <c r="AG254" s="78" t="n"/>
      <c r="AJ254" s="84" t="inlineStr"/>
      <c r="AK254" s="84" t="n">
        <v>0</v>
      </c>
      <c r="BB254" s="331" t="inlineStr">
        <is>
          <t>КИ</t>
        </is>
      </c>
      <c r="BM254" s="78">
        <f>IFERROR(X254*I254/H254,"0")</f>
        <v/>
      </c>
      <c r="BN254" s="78">
        <f>IFERROR(Y254*I254/H254,"0")</f>
        <v/>
      </c>
      <c r="BO254" s="78">
        <f>IFERROR(1/J254*(X254/H254),"0")</f>
        <v/>
      </c>
      <c r="BP254" s="78">
        <f>IFERROR(1/J254*(Y254/H254),"0")</f>
        <v/>
      </c>
    </row>
    <row r="255" ht="16.5" customHeight="1">
      <c r="A255" s="63" t="inlineStr">
        <is>
          <t>SU002757</t>
        </is>
      </c>
      <c r="B255" s="63" t="inlineStr">
        <is>
          <t>P003128</t>
        </is>
      </c>
      <c r="C255" s="36" t="n">
        <v>4301020220</v>
      </c>
      <c r="D255" s="695" t="n">
        <v>4680115880764</v>
      </c>
      <c r="E255" s="989" t="n"/>
      <c r="F255" s="1028" t="n">
        <v>0.35</v>
      </c>
      <c r="G255" s="37" t="n">
        <v>6</v>
      </c>
      <c r="H255" s="1028" t="n">
        <v>2.1</v>
      </c>
      <c r="I255" s="1028" t="n">
        <v>2.28</v>
      </c>
      <c r="J255" s="37" t="n">
        <v>182</v>
      </c>
      <c r="K255" s="37" t="inlineStr">
        <is>
          <t>14</t>
        </is>
      </c>
      <c r="L255" s="37" t="inlineStr"/>
      <c r="M255" s="38" t="inlineStr">
        <is>
          <t>СК1</t>
        </is>
      </c>
      <c r="N255" s="38" t="n"/>
      <c r="O255" s="37" t="n">
        <v>50</v>
      </c>
      <c r="P255" s="1160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255" s="1030" t="n"/>
      <c r="R255" s="1030" t="n"/>
      <c r="S255" s="1030" t="n"/>
      <c r="T255" s="1031" t="n"/>
      <c r="U255" s="39" t="inlineStr"/>
      <c r="V255" s="39" t="inlineStr"/>
      <c r="W255" s="40" t="inlineStr">
        <is>
          <t>кг</t>
        </is>
      </c>
      <c r="X255" s="1032" t="n">
        <v>0</v>
      </c>
      <c r="Y255" s="1033">
        <f>IFERROR(IF(X255="",0,CEILING((X255/$H255),1)*$H255),"")</f>
        <v/>
      </c>
      <c r="Z255" s="41">
        <f>IFERROR(IF(Y255=0,"",ROUNDUP(Y255/H255,0)*0.00651),"")</f>
        <v/>
      </c>
      <c r="AA255" s="68" t="inlineStr"/>
      <c r="AB255" s="69" t="inlineStr"/>
      <c r="AC255" s="332" t="inlineStr">
        <is>
          <t>ЕАЭС N RU Д-RU.РА10.В.31760/25</t>
        </is>
      </c>
      <c r="AG255" s="78" t="n"/>
      <c r="AJ255" s="84" t="inlineStr"/>
      <c r="AK255" s="84" t="n">
        <v>0</v>
      </c>
      <c r="BB255" s="333" t="inlineStr">
        <is>
          <t>КИ</t>
        </is>
      </c>
      <c r="BM255" s="78">
        <f>IFERROR(X255*I255/H255,"0")</f>
        <v/>
      </c>
      <c r="BN255" s="78">
        <f>IFERROR(Y255*I255/H255,"0")</f>
        <v/>
      </c>
      <c r="BO255" s="78">
        <f>IFERROR(1/J255*(X255/H255),"0")</f>
        <v/>
      </c>
      <c r="BP255" s="78">
        <f>IFERROR(1/J255*(Y255/H255),"0")</f>
        <v/>
      </c>
    </row>
    <row r="256">
      <c r="A256" s="704" t="n"/>
      <c r="B256" s="979" t="n"/>
      <c r="C256" s="979" t="n"/>
      <c r="D256" s="979" t="n"/>
      <c r="E256" s="979" t="n"/>
      <c r="F256" s="979" t="n"/>
      <c r="G256" s="979" t="n"/>
      <c r="H256" s="979" t="n"/>
      <c r="I256" s="979" t="n"/>
      <c r="J256" s="979" t="n"/>
      <c r="K256" s="979" t="n"/>
      <c r="L256" s="979" t="n"/>
      <c r="M256" s="979" t="n"/>
      <c r="N256" s="979" t="n"/>
      <c r="O256" s="1035" t="n"/>
      <c r="P256" s="1036" t="inlineStr">
        <is>
          <t>Итого</t>
        </is>
      </c>
      <c r="Q256" s="997" t="n"/>
      <c r="R256" s="997" t="n"/>
      <c r="S256" s="997" t="n"/>
      <c r="T256" s="997" t="n"/>
      <c r="U256" s="997" t="n"/>
      <c r="V256" s="998" t="n"/>
      <c r="W256" s="42" t="inlineStr">
        <is>
          <t>кор</t>
        </is>
      </c>
      <c r="X256" s="1037">
        <f>IFERROR(X254/H254,"0")+IFERROR(X255/H255,"0")</f>
        <v/>
      </c>
      <c r="Y256" s="1037">
        <f>IFERROR(Y254/H254,"0")+IFERROR(Y255/H255,"0")</f>
        <v/>
      </c>
      <c r="Z256" s="1037">
        <f>IFERROR(IF(Z254="",0,Z254),"0")+IFERROR(IF(Z255="",0,Z255),"0")</f>
        <v/>
      </c>
      <c r="AA256" s="1038" t="n"/>
      <c r="AB256" s="1038" t="n"/>
      <c r="AC256" s="1038" t="n"/>
    </row>
    <row r="257">
      <c r="A257" s="979" t="n"/>
      <c r="B257" s="979" t="n"/>
      <c r="C257" s="979" t="n"/>
      <c r="D257" s="979" t="n"/>
      <c r="E257" s="979" t="n"/>
      <c r="F257" s="979" t="n"/>
      <c r="G257" s="979" t="n"/>
      <c r="H257" s="979" t="n"/>
      <c r="I257" s="979" t="n"/>
      <c r="J257" s="979" t="n"/>
      <c r="K257" s="979" t="n"/>
      <c r="L257" s="979" t="n"/>
      <c r="M257" s="979" t="n"/>
      <c r="N257" s="979" t="n"/>
      <c r="O257" s="1035" t="n"/>
      <c r="P257" s="1036" t="inlineStr">
        <is>
          <t>Итого</t>
        </is>
      </c>
      <c r="Q257" s="997" t="n"/>
      <c r="R257" s="997" t="n"/>
      <c r="S257" s="997" t="n"/>
      <c r="T257" s="997" t="n"/>
      <c r="U257" s="997" t="n"/>
      <c r="V257" s="998" t="n"/>
      <c r="W257" s="42" t="inlineStr">
        <is>
          <t>кг</t>
        </is>
      </c>
      <c r="X257" s="1037">
        <f>IFERROR(SUM(X254:X255),"0")</f>
        <v/>
      </c>
      <c r="Y257" s="1037">
        <f>IFERROR(SUM(Y254:Y255),"0")</f>
        <v/>
      </c>
      <c r="Z257" s="42" t="n"/>
      <c r="AA257" s="1038" t="n"/>
      <c r="AB257" s="1038" t="n"/>
      <c r="AC257" s="1038" t="n"/>
    </row>
    <row r="258" ht="14.25" customHeight="1">
      <c r="A258" s="694" t="inlineStr">
        <is>
          <t>Копченые колбасы</t>
        </is>
      </c>
      <c r="B258" s="979" t="n"/>
      <c r="C258" s="979" t="n"/>
      <c r="D258" s="979" t="n"/>
      <c r="E258" s="979" t="n"/>
      <c r="F258" s="979" t="n"/>
      <c r="G258" s="979" t="n"/>
      <c r="H258" s="979" t="n"/>
      <c r="I258" s="979" t="n"/>
      <c r="J258" s="979" t="n"/>
      <c r="K258" s="979" t="n"/>
      <c r="L258" s="979" t="n"/>
      <c r="M258" s="979" t="n"/>
      <c r="N258" s="979" t="n"/>
      <c r="O258" s="979" t="n"/>
      <c r="P258" s="979" t="n"/>
      <c r="Q258" s="979" t="n"/>
      <c r="R258" s="979" t="n"/>
      <c r="S258" s="979" t="n"/>
      <c r="T258" s="979" t="n"/>
      <c r="U258" s="979" t="n"/>
      <c r="V258" s="979" t="n"/>
      <c r="W258" s="979" t="n"/>
      <c r="X258" s="979" t="n"/>
      <c r="Y258" s="979" t="n"/>
      <c r="Z258" s="979" t="n"/>
      <c r="AA258" s="694" t="n"/>
      <c r="AB258" s="694" t="n"/>
      <c r="AC258" s="694" t="n"/>
    </row>
    <row r="259" ht="27" customHeight="1">
      <c r="A259" s="63" t="inlineStr">
        <is>
          <t>SU002941</t>
        </is>
      </c>
      <c r="B259" s="63" t="inlineStr">
        <is>
          <t>P003387</t>
        </is>
      </c>
      <c r="C259" s="36" t="n">
        <v>4301031224</v>
      </c>
      <c r="D259" s="695" t="n">
        <v>4680115882683</v>
      </c>
      <c r="E259" s="989" t="n"/>
      <c r="F259" s="1028" t="n">
        <v>0.9</v>
      </c>
      <c r="G259" s="37" t="n">
        <v>6</v>
      </c>
      <c r="H259" s="1028" t="n">
        <v>5.4</v>
      </c>
      <c r="I259" s="1028" t="n">
        <v>5.59</v>
      </c>
      <c r="J259" s="37" t="n">
        <v>132</v>
      </c>
      <c r="K259" s="37" t="inlineStr">
        <is>
          <t>12</t>
        </is>
      </c>
      <c r="L259" s="37" t="inlineStr"/>
      <c r="M259" s="38" t="inlineStr">
        <is>
          <t>СК2</t>
        </is>
      </c>
      <c r="N259" s="38" t="n"/>
      <c r="O259" s="37" t="n">
        <v>40</v>
      </c>
      <c r="P259" s="1161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59" s="1030" t="n"/>
      <c r="R259" s="1030" t="n"/>
      <c r="S259" s="1030" t="n"/>
      <c r="T259" s="1031" t="n"/>
      <c r="U259" s="39" t="inlineStr"/>
      <c r="V259" s="39" t="inlineStr"/>
      <c r="W259" s="40" t="inlineStr">
        <is>
          <t>кг</t>
        </is>
      </c>
      <c r="X259" s="1032" t="n">
        <v>0</v>
      </c>
      <c r="Y259" s="1033">
        <f>IFERROR(IF(X259="",0,CEILING((X259/$H259),1)*$H259),"")</f>
        <v/>
      </c>
      <c r="Z259" s="41">
        <f>IFERROR(IF(Y259=0,"",ROUNDUP(Y259/H259,0)*0.00902),"")</f>
        <v/>
      </c>
      <c r="AA259" s="68" t="inlineStr"/>
      <c r="AB259" s="69" t="inlineStr"/>
      <c r="AC259" s="334" t="inlineStr">
        <is>
          <t>ЕАЭС N RU Д-RU.РА09.В.28469/25</t>
        </is>
      </c>
      <c r="AG259" s="78" t="n"/>
      <c r="AJ259" s="84" t="inlineStr"/>
      <c r="AK259" s="84" t="n">
        <v>0</v>
      </c>
      <c r="BB259" s="335" t="inlineStr">
        <is>
          <t>КИ</t>
        </is>
      </c>
      <c r="BM259" s="78">
        <f>IFERROR(X259*I259/H259,"0")</f>
        <v/>
      </c>
      <c r="BN259" s="78">
        <f>IFERROR(Y259*I259/H259,"0")</f>
        <v/>
      </c>
      <c r="BO259" s="78">
        <f>IFERROR(1/J259*(X259/H259),"0")</f>
        <v/>
      </c>
      <c r="BP259" s="78">
        <f>IFERROR(1/J259*(Y259/H259),"0")</f>
        <v/>
      </c>
    </row>
    <row r="260" ht="27" customHeight="1">
      <c r="A260" s="63" t="inlineStr">
        <is>
          <t>SU002943</t>
        </is>
      </c>
      <c r="B260" s="63" t="inlineStr">
        <is>
          <t>P003401</t>
        </is>
      </c>
      <c r="C260" s="36" t="n">
        <v>4301031230</v>
      </c>
      <c r="D260" s="695" t="n">
        <v>4680115882690</v>
      </c>
      <c r="E260" s="989" t="n"/>
      <c r="F260" s="1028" t="n">
        <v>0.9</v>
      </c>
      <c r="G260" s="37" t="n">
        <v>6</v>
      </c>
      <c r="H260" s="1028" t="n">
        <v>5.4</v>
      </c>
      <c r="I260" s="1028" t="n">
        <v>5.59</v>
      </c>
      <c r="J260" s="37" t="n">
        <v>132</v>
      </c>
      <c r="K260" s="37" t="inlineStr">
        <is>
          <t>12</t>
        </is>
      </c>
      <c r="L260" s="37" t="inlineStr"/>
      <c r="M260" s="38" t="inlineStr">
        <is>
          <t>СК2</t>
        </is>
      </c>
      <c r="N260" s="38" t="n"/>
      <c r="O260" s="37" t="n">
        <v>40</v>
      </c>
      <c r="P260" s="1162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60" s="1030" t="n"/>
      <c r="R260" s="1030" t="n"/>
      <c r="S260" s="1030" t="n"/>
      <c r="T260" s="1031" t="n"/>
      <c r="U260" s="39" t="inlineStr"/>
      <c r="V260" s="39" t="inlineStr"/>
      <c r="W260" s="40" t="inlineStr">
        <is>
          <t>кг</t>
        </is>
      </c>
      <c r="X260" s="1032" t="n">
        <v>0</v>
      </c>
      <c r="Y260" s="1033">
        <f>IFERROR(IF(X260="",0,CEILING((X260/$H260),1)*$H260),"")</f>
        <v/>
      </c>
      <c r="Z260" s="41">
        <f>IFERROR(IF(Y260=0,"",ROUNDUP(Y260/H260,0)*0.00902),"")</f>
        <v/>
      </c>
      <c r="AA260" s="68" t="inlineStr"/>
      <c r="AB260" s="69" t="inlineStr"/>
      <c r="AC260" s="336" t="inlineStr">
        <is>
          <t>ЕАЭС N RU Д-RU.РА03.В.34452/26</t>
        </is>
      </c>
      <c r="AG260" s="78" t="n"/>
      <c r="AJ260" s="84" t="inlineStr"/>
      <c r="AK260" s="84" t="n">
        <v>0</v>
      </c>
      <c r="BB260" s="337" t="inlineStr">
        <is>
          <t>КИ</t>
        </is>
      </c>
      <c r="BM260" s="78">
        <f>IFERROR(X260*I260/H260,"0")</f>
        <v/>
      </c>
      <c r="BN260" s="78">
        <f>IFERROR(Y260*I260/H260,"0")</f>
        <v/>
      </c>
      <c r="BO260" s="78">
        <f>IFERROR(1/J260*(X260/H260),"0")</f>
        <v/>
      </c>
      <c r="BP260" s="78">
        <f>IFERROR(1/J260*(Y260/H260),"0")</f>
        <v/>
      </c>
    </row>
    <row r="261" ht="27" customHeight="1">
      <c r="A261" s="63" t="inlineStr">
        <is>
          <t>SU002945</t>
        </is>
      </c>
      <c r="B261" s="63" t="inlineStr">
        <is>
          <t>P003383</t>
        </is>
      </c>
      <c r="C261" s="36" t="n">
        <v>4301031220</v>
      </c>
      <c r="D261" s="695" t="n">
        <v>4680115882669</v>
      </c>
      <c r="E261" s="989" t="n"/>
      <c r="F261" s="1028" t="n">
        <v>0.9</v>
      </c>
      <c r="G261" s="37" t="n">
        <v>6</v>
      </c>
      <c r="H261" s="1028" t="n">
        <v>5.4</v>
      </c>
      <c r="I261" s="1028" t="n">
        <v>5.59</v>
      </c>
      <c r="J261" s="37" t="n">
        <v>132</v>
      </c>
      <c r="K261" s="37" t="inlineStr">
        <is>
          <t>12</t>
        </is>
      </c>
      <c r="L261" s="37" t="inlineStr"/>
      <c r="M261" s="38" t="inlineStr">
        <is>
          <t>СК2</t>
        </is>
      </c>
      <c r="N261" s="38" t="n"/>
      <c r="O261" s="37" t="n">
        <v>40</v>
      </c>
      <c r="P261" s="1163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61" s="1030" t="n"/>
      <c r="R261" s="1030" t="n"/>
      <c r="S261" s="1030" t="n"/>
      <c r="T261" s="1031" t="n"/>
      <c r="U261" s="39" t="inlineStr"/>
      <c r="V261" s="39" t="inlineStr"/>
      <c r="W261" s="40" t="inlineStr">
        <is>
          <t>кг</t>
        </is>
      </c>
      <c r="X261" s="1032" t="n">
        <v>0</v>
      </c>
      <c r="Y261" s="1033">
        <f>IFERROR(IF(X261="",0,CEILING((X261/$H261),1)*$H261),"")</f>
        <v/>
      </c>
      <c r="Z261" s="41">
        <f>IFERROR(IF(Y261=0,"",ROUNDUP(Y261/H261,0)*0.00902),"")</f>
        <v/>
      </c>
      <c r="AA261" s="68" t="inlineStr"/>
      <c r="AB261" s="69" t="inlineStr"/>
      <c r="AC261" s="338" t="inlineStr">
        <is>
          <t>ЕАЭС N RU Д-RU.РА03.В.65678/26</t>
        </is>
      </c>
      <c r="AG261" s="78" t="n"/>
      <c r="AJ261" s="84" t="inlineStr"/>
      <c r="AK261" s="84" t="n">
        <v>0</v>
      </c>
      <c r="BB261" s="339" t="inlineStr">
        <is>
          <t>КИ</t>
        </is>
      </c>
      <c r="BM261" s="78">
        <f>IFERROR(X261*I261/H261,"0")</f>
        <v/>
      </c>
      <c r="BN261" s="78">
        <f>IFERROR(Y261*I261/H261,"0")</f>
        <v/>
      </c>
      <c r="BO261" s="78">
        <f>IFERROR(1/J261*(X261/H261),"0")</f>
        <v/>
      </c>
      <c r="BP261" s="78">
        <f>IFERROR(1/J261*(Y261/H261),"0")</f>
        <v/>
      </c>
    </row>
    <row r="262" ht="27" customHeight="1">
      <c r="A262" s="63" t="inlineStr">
        <is>
          <t>SU002947</t>
        </is>
      </c>
      <c r="B262" s="63" t="inlineStr">
        <is>
          <t>P003384</t>
        </is>
      </c>
      <c r="C262" s="36" t="n">
        <v>4301031221</v>
      </c>
      <c r="D262" s="695" t="n">
        <v>4680115882676</v>
      </c>
      <c r="E262" s="989" t="n"/>
      <c r="F262" s="1028" t="n">
        <v>0.9</v>
      </c>
      <c r="G262" s="37" t="n">
        <v>6</v>
      </c>
      <c r="H262" s="1028" t="n">
        <v>5.4</v>
      </c>
      <c r="I262" s="1028" t="n">
        <v>5.59</v>
      </c>
      <c r="J262" s="37" t="n">
        <v>132</v>
      </c>
      <c r="K262" s="37" t="inlineStr">
        <is>
          <t>12</t>
        </is>
      </c>
      <c r="L262" s="37" t="inlineStr"/>
      <c r="M262" s="38" t="inlineStr">
        <is>
          <t>СК2</t>
        </is>
      </c>
      <c r="N262" s="38" t="n"/>
      <c r="O262" s="37" t="n">
        <v>40</v>
      </c>
      <c r="P262" s="1164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62" s="1030" t="n"/>
      <c r="R262" s="1030" t="n"/>
      <c r="S262" s="1030" t="n"/>
      <c r="T262" s="1031" t="n"/>
      <c r="U262" s="39" t="inlineStr"/>
      <c r="V262" s="39" t="inlineStr"/>
      <c r="W262" s="40" t="inlineStr">
        <is>
          <t>кг</t>
        </is>
      </c>
      <c r="X262" s="1032" t="n">
        <v>0</v>
      </c>
      <c r="Y262" s="1033">
        <f>IFERROR(IF(X262="",0,CEILING((X262/$H262),1)*$H262),"")</f>
        <v/>
      </c>
      <c r="Z262" s="41">
        <f>IFERROR(IF(Y262=0,"",ROUNDUP(Y262/H262,0)*0.00902),"")</f>
        <v/>
      </c>
      <c r="AA262" s="68" t="inlineStr"/>
      <c r="AB262" s="69" t="inlineStr"/>
      <c r="AC262" s="340" t="inlineStr">
        <is>
          <t>ЕАЭС N RU Д-RU.РА09.В.95462/25</t>
        </is>
      </c>
      <c r="AG262" s="78" t="n"/>
      <c r="AJ262" s="84" t="inlineStr"/>
      <c r="AK262" s="84" t="n">
        <v>0</v>
      </c>
      <c r="BB262" s="341" t="inlineStr">
        <is>
          <t>КИ</t>
        </is>
      </c>
      <c r="BM262" s="78">
        <f>IFERROR(X262*I262/H262,"0")</f>
        <v/>
      </c>
      <c r="BN262" s="78">
        <f>IFERROR(Y262*I262/H262,"0")</f>
        <v/>
      </c>
      <c r="BO262" s="78">
        <f>IFERROR(1/J262*(X262/H262),"0")</f>
        <v/>
      </c>
      <c r="BP262" s="78">
        <f>IFERROR(1/J262*(Y262/H262),"0")</f>
        <v/>
      </c>
    </row>
    <row r="263" ht="27" customHeight="1">
      <c r="A263" s="63" t="inlineStr">
        <is>
          <t>SU002944</t>
        </is>
      </c>
      <c r="B263" s="63" t="inlineStr">
        <is>
          <t>P003386</t>
        </is>
      </c>
      <c r="C263" s="36" t="n">
        <v>4301031223</v>
      </c>
      <c r="D263" s="695" t="n">
        <v>4680115884014</v>
      </c>
      <c r="E263" s="989" t="n"/>
      <c r="F263" s="1028" t="n">
        <v>0.3</v>
      </c>
      <c r="G263" s="37" t="n">
        <v>6</v>
      </c>
      <c r="H263" s="1028" t="n">
        <v>1.8</v>
      </c>
      <c r="I263" s="1028" t="n">
        <v>1.93</v>
      </c>
      <c r="J263" s="37" t="n">
        <v>234</v>
      </c>
      <c r="K263" s="37" t="inlineStr">
        <is>
          <t>18</t>
        </is>
      </c>
      <c r="L263" s="37" t="inlineStr"/>
      <c r="M263" s="38" t="inlineStr">
        <is>
          <t>СК2</t>
        </is>
      </c>
      <c r="N263" s="38" t="n"/>
      <c r="O263" s="37" t="n">
        <v>40</v>
      </c>
      <c r="P263" s="1165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63" s="1030" t="n"/>
      <c r="R263" s="1030" t="n"/>
      <c r="S263" s="1030" t="n"/>
      <c r="T263" s="1031" t="n"/>
      <c r="U263" s="39" t="inlineStr"/>
      <c r="V263" s="39" t="inlineStr"/>
      <c r="W263" s="40" t="inlineStr">
        <is>
          <t>кг</t>
        </is>
      </c>
      <c r="X263" s="1032" t="n">
        <v>0</v>
      </c>
      <c r="Y263" s="1033">
        <f>IFERROR(IF(X263="",0,CEILING((X263/$H263),1)*$H263),"")</f>
        <v/>
      </c>
      <c r="Z263" s="41">
        <f>IFERROR(IF(Y263=0,"",ROUNDUP(Y263/H263,0)*0.00502),"")</f>
        <v/>
      </c>
      <c r="AA263" s="68" t="inlineStr"/>
      <c r="AB263" s="69" t="inlineStr"/>
      <c r="AC263" s="342" t="inlineStr">
        <is>
          <t>ЕАЭС N RU Д-RU.РА09.В.28469/25</t>
        </is>
      </c>
      <c r="AG263" s="78" t="n"/>
      <c r="AJ263" s="84" t="inlineStr"/>
      <c r="AK263" s="84" t="n">
        <v>0</v>
      </c>
      <c r="BB263" s="343" t="inlineStr">
        <is>
          <t>КИ</t>
        </is>
      </c>
      <c r="BM263" s="78">
        <f>IFERROR(X263*I263/H263,"0")</f>
        <v/>
      </c>
      <c r="BN263" s="78">
        <f>IFERROR(Y263*I263/H263,"0")</f>
        <v/>
      </c>
      <c r="BO263" s="78">
        <f>IFERROR(1/J263*(X263/H263),"0")</f>
        <v/>
      </c>
      <c r="BP263" s="78">
        <f>IFERROR(1/J263*(Y263/H263),"0")</f>
        <v/>
      </c>
    </row>
    <row r="264" ht="27" customHeight="1">
      <c r="A264" s="63" t="inlineStr">
        <is>
          <t>SU002942</t>
        </is>
      </c>
      <c r="B264" s="63" t="inlineStr">
        <is>
          <t>P003385</t>
        </is>
      </c>
      <c r="C264" s="36" t="n">
        <v>4301031222</v>
      </c>
      <c r="D264" s="695" t="n">
        <v>4680115884007</v>
      </c>
      <c r="E264" s="989" t="n"/>
      <c r="F264" s="1028" t="n">
        <v>0.3</v>
      </c>
      <c r="G264" s="37" t="n">
        <v>6</v>
      </c>
      <c r="H264" s="1028" t="n">
        <v>1.8</v>
      </c>
      <c r="I264" s="1028" t="n">
        <v>1.9</v>
      </c>
      <c r="J264" s="37" t="n">
        <v>234</v>
      </c>
      <c r="K264" s="37" t="inlineStr">
        <is>
          <t>18</t>
        </is>
      </c>
      <c r="L264" s="37" t="inlineStr"/>
      <c r="M264" s="38" t="inlineStr">
        <is>
          <t>СК2</t>
        </is>
      </c>
      <c r="N264" s="38" t="n"/>
      <c r="O264" s="37" t="n">
        <v>40</v>
      </c>
      <c r="P264" s="1166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64" s="1030" t="n"/>
      <c r="R264" s="1030" t="n"/>
      <c r="S264" s="1030" t="n"/>
      <c r="T264" s="1031" t="n"/>
      <c r="U264" s="39" t="inlineStr"/>
      <c r="V264" s="39" t="inlineStr"/>
      <c r="W264" s="40" t="inlineStr">
        <is>
          <t>кг</t>
        </is>
      </c>
      <c r="X264" s="1032" t="n">
        <v>0</v>
      </c>
      <c r="Y264" s="1033">
        <f>IFERROR(IF(X264="",0,CEILING((X264/$H264),1)*$H264),"")</f>
        <v/>
      </c>
      <c r="Z264" s="41">
        <f>IFERROR(IF(Y264=0,"",ROUNDUP(Y264/H264,0)*0.00502),"")</f>
        <v/>
      </c>
      <c r="AA264" s="68" t="inlineStr"/>
      <c r="AB264" s="69" t="inlineStr"/>
      <c r="AC264" s="344" t="inlineStr">
        <is>
          <t>ЕАЭС N RU Д-RU.РА03.В.34452/26</t>
        </is>
      </c>
      <c r="AG264" s="78" t="n"/>
      <c r="AJ264" s="84" t="inlineStr"/>
      <c r="AK264" s="84" t="n">
        <v>0</v>
      </c>
      <c r="BB264" s="345" t="inlineStr">
        <is>
          <t>КИ</t>
        </is>
      </c>
      <c r="BM264" s="78">
        <f>IFERROR(X264*I264/H264,"0")</f>
        <v/>
      </c>
      <c r="BN264" s="78">
        <f>IFERROR(Y264*I264/H264,"0")</f>
        <v/>
      </c>
      <c r="BO264" s="78">
        <f>IFERROR(1/J264*(X264/H264),"0")</f>
        <v/>
      </c>
      <c r="BP264" s="78">
        <f>IFERROR(1/J264*(Y264/H264),"0")</f>
        <v/>
      </c>
    </row>
    <row r="265" ht="27" customHeight="1">
      <c r="A265" s="63" t="inlineStr">
        <is>
          <t>SU002946</t>
        </is>
      </c>
      <c r="B265" s="63" t="inlineStr">
        <is>
          <t>P003400</t>
        </is>
      </c>
      <c r="C265" s="36" t="n">
        <v>4301031229</v>
      </c>
      <c r="D265" s="695" t="n">
        <v>4680115884038</v>
      </c>
      <c r="E265" s="989" t="n"/>
      <c r="F265" s="1028" t="n">
        <v>0.3</v>
      </c>
      <c r="G265" s="37" t="n">
        <v>6</v>
      </c>
      <c r="H265" s="1028" t="n">
        <v>1.8</v>
      </c>
      <c r="I265" s="1028" t="n">
        <v>1.9</v>
      </c>
      <c r="J265" s="37" t="n">
        <v>234</v>
      </c>
      <c r="K265" s="37" t="inlineStr">
        <is>
          <t>18</t>
        </is>
      </c>
      <c r="L265" s="37" t="inlineStr"/>
      <c r="M265" s="38" t="inlineStr">
        <is>
          <t>СК2</t>
        </is>
      </c>
      <c r="N265" s="38" t="n"/>
      <c r="O265" s="37" t="n">
        <v>40</v>
      </c>
      <c r="P265" s="1167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65" s="1030" t="n"/>
      <c r="R265" s="1030" t="n"/>
      <c r="S265" s="1030" t="n"/>
      <c r="T265" s="1031" t="n"/>
      <c r="U265" s="39" t="inlineStr"/>
      <c r="V265" s="39" t="inlineStr"/>
      <c r="W265" s="40" t="inlineStr">
        <is>
          <t>кг</t>
        </is>
      </c>
      <c r="X265" s="1032" t="n">
        <v>0</v>
      </c>
      <c r="Y265" s="1033">
        <f>IFERROR(IF(X265="",0,CEILING((X265/$H265),1)*$H265),"")</f>
        <v/>
      </c>
      <c r="Z265" s="41">
        <f>IFERROR(IF(Y265=0,"",ROUNDUP(Y265/H265,0)*0.00502),"")</f>
        <v/>
      </c>
      <c r="AA265" s="68" t="inlineStr"/>
      <c r="AB265" s="69" t="inlineStr"/>
      <c r="AC265" s="346" t="inlineStr">
        <is>
          <t>ЕАЭС N RU Д-RU.РА03.В.65678/26</t>
        </is>
      </c>
      <c r="AG265" s="78" t="n"/>
      <c r="AJ265" s="84" t="inlineStr"/>
      <c r="AK265" s="84" t="n">
        <v>0</v>
      </c>
      <c r="BB265" s="347" t="inlineStr">
        <is>
          <t>КИ</t>
        </is>
      </c>
      <c r="BM265" s="78">
        <f>IFERROR(X265*I265/H265,"0")</f>
        <v/>
      </c>
      <c r="BN265" s="78">
        <f>IFERROR(Y265*I265/H265,"0")</f>
        <v/>
      </c>
      <c r="BO265" s="78">
        <f>IFERROR(1/J265*(X265/H265),"0")</f>
        <v/>
      </c>
      <c r="BP265" s="78">
        <f>IFERROR(1/J265*(Y265/H265),"0")</f>
        <v/>
      </c>
    </row>
    <row r="266" ht="27" customHeight="1">
      <c r="A266" s="63" t="inlineStr">
        <is>
          <t>SU002948</t>
        </is>
      </c>
      <c r="B266" s="63" t="inlineStr">
        <is>
          <t>P003390</t>
        </is>
      </c>
      <c r="C266" s="36" t="n">
        <v>4301031225</v>
      </c>
      <c r="D266" s="695" t="n">
        <v>4680115884021</v>
      </c>
      <c r="E266" s="989" t="n"/>
      <c r="F266" s="1028" t="n">
        <v>0.3</v>
      </c>
      <c r="G266" s="37" t="n">
        <v>6</v>
      </c>
      <c r="H266" s="1028" t="n">
        <v>1.8</v>
      </c>
      <c r="I266" s="1028" t="n">
        <v>1.9</v>
      </c>
      <c r="J266" s="37" t="n">
        <v>234</v>
      </c>
      <c r="K266" s="37" t="inlineStr">
        <is>
          <t>18</t>
        </is>
      </c>
      <c r="L266" s="37" t="inlineStr"/>
      <c r="M266" s="38" t="inlineStr">
        <is>
          <t>СК2</t>
        </is>
      </c>
      <c r="N266" s="38" t="n"/>
      <c r="O266" s="37" t="n">
        <v>40</v>
      </c>
      <c r="P266" s="1168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66" s="1030" t="n"/>
      <c r="R266" s="1030" t="n"/>
      <c r="S266" s="1030" t="n"/>
      <c r="T266" s="1031" t="n"/>
      <c r="U266" s="39" t="inlineStr"/>
      <c r="V266" s="39" t="inlineStr"/>
      <c r="W266" s="40" t="inlineStr">
        <is>
          <t>кг</t>
        </is>
      </c>
      <c r="X266" s="1032" t="n">
        <v>0</v>
      </c>
      <c r="Y266" s="1033">
        <f>IFERROR(IF(X266="",0,CEILING((X266/$H266),1)*$H266),"")</f>
        <v/>
      </c>
      <c r="Z266" s="41">
        <f>IFERROR(IF(Y266=0,"",ROUNDUP(Y266/H266,0)*0.00502),"")</f>
        <v/>
      </c>
      <c r="AA266" s="68" t="inlineStr"/>
      <c r="AB266" s="69" t="inlineStr"/>
      <c r="AC266" s="348" t="inlineStr">
        <is>
          <t>ЕАЭС N RU Д-RU.РА09.В.95462/25</t>
        </is>
      </c>
      <c r="AG266" s="78" t="n"/>
      <c r="AJ266" s="84" t="inlineStr"/>
      <c r="AK266" s="84" t="n">
        <v>0</v>
      </c>
      <c r="BB266" s="349" t="inlineStr">
        <is>
          <t>КИ</t>
        </is>
      </c>
      <c r="BM266" s="78">
        <f>IFERROR(X266*I266/H266,"0")</f>
        <v/>
      </c>
      <c r="BN266" s="78">
        <f>IFERROR(Y266*I266/H266,"0")</f>
        <v/>
      </c>
      <c r="BO266" s="78">
        <f>IFERROR(1/J266*(X266/H266),"0")</f>
        <v/>
      </c>
      <c r="BP266" s="78">
        <f>IFERROR(1/J266*(Y266/H266),"0")</f>
        <v/>
      </c>
    </row>
    <row r="267">
      <c r="A267" s="704" t="n"/>
      <c r="B267" s="979" t="n"/>
      <c r="C267" s="979" t="n"/>
      <c r="D267" s="979" t="n"/>
      <c r="E267" s="979" t="n"/>
      <c r="F267" s="979" t="n"/>
      <c r="G267" s="979" t="n"/>
      <c r="H267" s="979" t="n"/>
      <c r="I267" s="979" t="n"/>
      <c r="J267" s="979" t="n"/>
      <c r="K267" s="979" t="n"/>
      <c r="L267" s="979" t="n"/>
      <c r="M267" s="979" t="n"/>
      <c r="N267" s="979" t="n"/>
      <c r="O267" s="1035" t="n"/>
      <c r="P267" s="1036" t="inlineStr">
        <is>
          <t>Итого</t>
        </is>
      </c>
      <c r="Q267" s="997" t="n"/>
      <c r="R267" s="997" t="n"/>
      <c r="S267" s="997" t="n"/>
      <c r="T267" s="997" t="n"/>
      <c r="U267" s="997" t="n"/>
      <c r="V267" s="998" t="n"/>
      <c r="W267" s="42" t="inlineStr">
        <is>
          <t>кор</t>
        </is>
      </c>
      <c r="X267" s="1037">
        <f>IFERROR(X259/H259,"0")+IFERROR(X260/H260,"0")+IFERROR(X261/H261,"0")+IFERROR(X262/H262,"0")+IFERROR(X263/H263,"0")+IFERROR(X264/H264,"0")+IFERROR(X265/H265,"0")+IFERROR(X266/H266,"0")</f>
        <v/>
      </c>
      <c r="Y267" s="1037">
        <f>IFERROR(Y259/H259,"0")+IFERROR(Y260/H260,"0")+IFERROR(Y261/H261,"0")+IFERROR(Y262/H262,"0")+IFERROR(Y263/H263,"0")+IFERROR(Y264/H264,"0")+IFERROR(Y265/H265,"0")+IFERROR(Y266/H266,"0")</f>
        <v/>
      </c>
      <c r="Z267" s="103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/>
      </c>
      <c r="AA267" s="1038" t="n"/>
      <c r="AB267" s="1038" t="n"/>
      <c r="AC267" s="1038" t="n"/>
    </row>
    <row r="268">
      <c r="A268" s="979" t="n"/>
      <c r="B268" s="979" t="n"/>
      <c r="C268" s="979" t="n"/>
      <c r="D268" s="979" t="n"/>
      <c r="E268" s="979" t="n"/>
      <c r="F268" s="979" t="n"/>
      <c r="G268" s="979" t="n"/>
      <c r="H268" s="979" t="n"/>
      <c r="I268" s="979" t="n"/>
      <c r="J268" s="979" t="n"/>
      <c r="K268" s="979" t="n"/>
      <c r="L268" s="979" t="n"/>
      <c r="M268" s="979" t="n"/>
      <c r="N268" s="979" t="n"/>
      <c r="O268" s="1035" t="n"/>
      <c r="P268" s="1036" t="inlineStr">
        <is>
          <t>Итого</t>
        </is>
      </c>
      <c r="Q268" s="997" t="n"/>
      <c r="R268" s="997" t="n"/>
      <c r="S268" s="997" t="n"/>
      <c r="T268" s="997" t="n"/>
      <c r="U268" s="997" t="n"/>
      <c r="V268" s="998" t="n"/>
      <c r="W268" s="42" t="inlineStr">
        <is>
          <t>кг</t>
        </is>
      </c>
      <c r="X268" s="1037">
        <f>IFERROR(SUM(X259:X266),"0")</f>
        <v/>
      </c>
      <c r="Y268" s="1037">
        <f>IFERROR(SUM(Y259:Y266),"0")</f>
        <v/>
      </c>
      <c r="Z268" s="42" t="n"/>
      <c r="AA268" s="1038" t="n"/>
      <c r="AB268" s="1038" t="n"/>
      <c r="AC268" s="1038" t="n"/>
    </row>
    <row r="269" ht="14.25" customHeight="1">
      <c r="A269" s="694" t="inlineStr">
        <is>
          <t>Сосиски</t>
        </is>
      </c>
      <c r="B269" s="979" t="n"/>
      <c r="C269" s="979" t="n"/>
      <c r="D269" s="979" t="n"/>
      <c r="E269" s="979" t="n"/>
      <c r="F269" s="979" t="n"/>
      <c r="G269" s="979" t="n"/>
      <c r="H269" s="979" t="n"/>
      <c r="I269" s="979" t="n"/>
      <c r="J269" s="979" t="n"/>
      <c r="K269" s="979" t="n"/>
      <c r="L269" s="979" t="n"/>
      <c r="M269" s="979" t="n"/>
      <c r="N269" s="979" t="n"/>
      <c r="O269" s="979" t="n"/>
      <c r="P269" s="979" t="n"/>
      <c r="Q269" s="979" t="n"/>
      <c r="R269" s="979" t="n"/>
      <c r="S269" s="979" t="n"/>
      <c r="T269" s="979" t="n"/>
      <c r="U269" s="979" t="n"/>
      <c r="V269" s="979" t="n"/>
      <c r="W269" s="979" t="n"/>
      <c r="X269" s="979" t="n"/>
      <c r="Y269" s="979" t="n"/>
      <c r="Z269" s="979" t="n"/>
      <c r="AA269" s="694" t="n"/>
      <c r="AB269" s="694" t="n"/>
      <c r="AC269" s="694" t="n"/>
    </row>
    <row r="270" ht="27" customHeight="1">
      <c r="A270" s="63" t="inlineStr">
        <is>
          <t>SU002843</t>
        </is>
      </c>
      <c r="B270" s="63" t="inlineStr">
        <is>
          <t>P003263</t>
        </is>
      </c>
      <c r="C270" s="36" t="n">
        <v>4301051408</v>
      </c>
      <c r="D270" s="695" t="n">
        <v>4680115881594</v>
      </c>
      <c r="E270" s="989" t="n"/>
      <c r="F270" s="1028" t="n">
        <v>1.35</v>
      </c>
      <c r="G270" s="37" t="n">
        <v>6</v>
      </c>
      <c r="H270" s="1028" t="n">
        <v>8.1</v>
      </c>
      <c r="I270" s="1028" t="n">
        <v>8.593999999999999</v>
      </c>
      <c r="J270" s="37" t="n">
        <v>64</v>
      </c>
      <c r="K270" s="37" t="inlineStr">
        <is>
          <t>8</t>
        </is>
      </c>
      <c r="L270" s="37" t="inlineStr"/>
      <c r="M270" s="38" t="inlineStr">
        <is>
          <t>СК3</t>
        </is>
      </c>
      <c r="N270" s="38" t="n"/>
      <c r="O270" s="37" t="n">
        <v>40</v>
      </c>
      <c r="P270" s="1169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70" s="1030" t="n"/>
      <c r="R270" s="1030" t="n"/>
      <c r="S270" s="1030" t="n"/>
      <c r="T270" s="1031" t="n"/>
      <c r="U270" s="39" t="inlineStr"/>
      <c r="V270" s="39" t="inlineStr"/>
      <c r="W270" s="40" t="inlineStr">
        <is>
          <t>кг</t>
        </is>
      </c>
      <c r="X270" s="1032" t="n">
        <v>0</v>
      </c>
      <c r="Y270" s="1033">
        <f>IFERROR(IF(X270="",0,CEILING((X270/$H270),1)*$H270),"")</f>
        <v/>
      </c>
      <c r="Z270" s="41">
        <f>IFERROR(IF(Y270=0,"",ROUNDUP(Y270/H270,0)*0.01898),"")</f>
        <v/>
      </c>
      <c r="AA270" s="68" t="inlineStr"/>
      <c r="AB270" s="69" t="inlineStr"/>
      <c r="AC270" s="350" t="inlineStr">
        <is>
          <t>ЕАЭС N RU Д-RU.РА01.В.91079/26, ЕАЭС N RU Д-RU.РА11.В.74089/25</t>
        </is>
      </c>
      <c r="AG270" s="78" t="n"/>
      <c r="AJ270" s="84" t="inlineStr"/>
      <c r="AK270" s="84" t="n">
        <v>0</v>
      </c>
      <c r="BB270" s="351" t="inlineStr">
        <is>
          <t>КИ</t>
        </is>
      </c>
      <c r="BM270" s="78">
        <f>IFERROR(X270*I270/H270,"0")</f>
        <v/>
      </c>
      <c r="BN270" s="78">
        <f>IFERROR(Y270*I270/H270,"0")</f>
        <v/>
      </c>
      <c r="BO270" s="78">
        <f>IFERROR(1/J270*(X270/H270),"0")</f>
        <v/>
      </c>
      <c r="BP270" s="78">
        <f>IFERROR(1/J270*(Y270/H270),"0")</f>
        <v/>
      </c>
    </row>
    <row r="271" ht="27" customHeight="1">
      <c r="A271" s="63" t="inlineStr">
        <is>
          <t>SU002845</t>
        </is>
      </c>
      <c r="B271" s="63" t="inlineStr">
        <is>
          <t>P003266</t>
        </is>
      </c>
      <c r="C271" s="36" t="n">
        <v>4301051411</v>
      </c>
      <c r="D271" s="695" t="n">
        <v>4680115881617</v>
      </c>
      <c r="E271" s="989" t="n"/>
      <c r="F271" s="1028" t="n">
        <v>1.35</v>
      </c>
      <c r="G271" s="37" t="n">
        <v>6</v>
      </c>
      <c r="H271" s="1028" t="n">
        <v>8.1</v>
      </c>
      <c r="I271" s="1028" t="n">
        <v>8.576000000000001</v>
      </c>
      <c r="J271" s="37" t="n">
        <v>64</v>
      </c>
      <c r="K271" s="37" t="inlineStr">
        <is>
          <t>8</t>
        </is>
      </c>
      <c r="L271" s="37" t="inlineStr"/>
      <c r="M271" s="38" t="inlineStr">
        <is>
          <t>СК3</t>
        </is>
      </c>
      <c r="N271" s="38" t="n"/>
      <c r="O271" s="37" t="n">
        <v>40</v>
      </c>
      <c r="P271" s="1170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71" s="1030" t="n"/>
      <c r="R271" s="1030" t="n"/>
      <c r="S271" s="1030" t="n"/>
      <c r="T271" s="1031" t="n"/>
      <c r="U271" s="39" t="inlineStr"/>
      <c r="V271" s="39" t="inlineStr"/>
      <c r="W271" s="40" t="inlineStr">
        <is>
          <t>кг</t>
        </is>
      </c>
      <c r="X271" s="1032" t="n">
        <v>0</v>
      </c>
      <c r="Y271" s="1033">
        <f>IFERROR(IF(X271="",0,CEILING((X271/$H271),1)*$H271),"")</f>
        <v/>
      </c>
      <c r="Z271" s="41">
        <f>IFERROR(IF(Y271=0,"",ROUNDUP(Y271/H271,0)*0.01898),"")</f>
        <v/>
      </c>
      <c r="AA271" s="68" t="inlineStr"/>
      <c r="AB271" s="69" t="inlineStr"/>
      <c r="AC271" s="352" t="inlineStr">
        <is>
          <t>ЕАЭС N RU Д-RU.РА01.В.99184/23, ЕАЭС N RU Д-RU.РА01.В.99440/26</t>
        </is>
      </c>
      <c r="AG271" s="78" t="n"/>
      <c r="AJ271" s="84" t="inlineStr"/>
      <c r="AK271" s="84" t="n">
        <v>0</v>
      </c>
      <c r="BB271" s="353" t="inlineStr">
        <is>
          <t>КИ</t>
        </is>
      </c>
      <c r="BM271" s="78">
        <f>IFERROR(X271*I271/H271,"0")</f>
        <v/>
      </c>
      <c r="BN271" s="78">
        <f>IFERROR(Y271*I271/H271,"0")</f>
        <v/>
      </c>
      <c r="BO271" s="78">
        <f>IFERROR(1/J271*(X271/H271),"0")</f>
        <v/>
      </c>
      <c r="BP271" s="78">
        <f>IFERROR(1/J271*(Y271/H271),"0")</f>
        <v/>
      </c>
    </row>
    <row r="272" ht="27" customHeight="1">
      <c r="A272" s="63" t="inlineStr">
        <is>
          <t>SU002725</t>
        </is>
      </c>
      <c r="B272" s="63" t="inlineStr">
        <is>
          <t>P003959</t>
        </is>
      </c>
      <c r="C272" s="36" t="n">
        <v>4301051656</v>
      </c>
      <c r="D272" s="695" t="n">
        <v>4680115880573</v>
      </c>
      <c r="E272" s="989" t="n"/>
      <c r="F272" s="1028" t="n">
        <v>1.45</v>
      </c>
      <c r="G272" s="37" t="n">
        <v>6</v>
      </c>
      <c r="H272" s="1028" t="n">
        <v>8.699999999999999</v>
      </c>
      <c r="I272" s="1028" t="n">
        <v>9.194000000000001</v>
      </c>
      <c r="J272" s="37" t="n">
        <v>64</v>
      </c>
      <c r="K272" s="37" t="inlineStr">
        <is>
          <t>8</t>
        </is>
      </c>
      <c r="L272" s="37" t="inlineStr"/>
      <c r="M272" s="38" t="inlineStr">
        <is>
          <t>СК3</t>
        </is>
      </c>
      <c r="N272" s="38" t="n"/>
      <c r="O272" s="37" t="n">
        <v>45</v>
      </c>
      <c r="P272" s="1171">
        <f>HYPERLINK("https://abi.ru/products/Охлажденные/Стародворье/Сочинка/Сосиски/P003959/","Сосиски «Сочинки» Весовой п/а ТМ «Стародворье»")</f>
        <v/>
      </c>
      <c r="Q272" s="1030" t="n"/>
      <c r="R272" s="1030" t="n"/>
      <c r="S272" s="1030" t="n"/>
      <c r="T272" s="1031" t="n"/>
      <c r="U272" s="39" t="inlineStr"/>
      <c r="V272" s="39" t="inlineStr"/>
      <c r="W272" s="40" t="inlineStr">
        <is>
          <t>кг</t>
        </is>
      </c>
      <c r="X272" s="1032" t="n">
        <v>0</v>
      </c>
      <c r="Y272" s="1033">
        <f>IFERROR(IF(X272="",0,CEILING((X272/$H272),1)*$H272),"")</f>
        <v/>
      </c>
      <c r="Z272" s="41">
        <f>IFERROR(IF(Y272=0,"",ROUNDUP(Y272/H272,0)*0.01898),"")</f>
        <v/>
      </c>
      <c r="AA272" s="68" t="inlineStr"/>
      <c r="AB272" s="69" t="inlineStr"/>
      <c r="AC272" s="354" t="inlineStr">
        <is>
          <t>ЕАЭС N RU Д-RU.РА09.В.39078/25, ЕАЭС N RU Д-RU.РА10.В.20056/25</t>
        </is>
      </c>
      <c r="AG272" s="78" t="n"/>
      <c r="AJ272" s="84" t="inlineStr"/>
      <c r="AK272" s="84" t="n">
        <v>0</v>
      </c>
      <c r="BB272" s="355" t="inlineStr">
        <is>
          <t>КИ</t>
        </is>
      </c>
      <c r="BM272" s="78">
        <f>IFERROR(X272*I272/H272,"0")</f>
        <v/>
      </c>
      <c r="BN272" s="78">
        <f>IFERROR(Y272*I272/H272,"0")</f>
        <v/>
      </c>
      <c r="BO272" s="78">
        <f>IFERROR(1/J272*(X272/H272),"0")</f>
        <v/>
      </c>
      <c r="BP272" s="78">
        <f>IFERROR(1/J272*(Y272/H272),"0")</f>
        <v/>
      </c>
    </row>
    <row r="273" ht="27" customHeight="1">
      <c r="A273" s="63" t="inlineStr">
        <is>
          <t>SU002842</t>
        </is>
      </c>
      <c r="B273" s="63" t="inlineStr">
        <is>
          <t>P003262</t>
        </is>
      </c>
      <c r="C273" s="36" t="n">
        <v>4301051407</v>
      </c>
      <c r="D273" s="695" t="n">
        <v>4680115882195</v>
      </c>
      <c r="E273" s="989" t="n"/>
      <c r="F273" s="1028" t="n">
        <v>0.4</v>
      </c>
      <c r="G273" s="37" t="n">
        <v>6</v>
      </c>
      <c r="H273" s="1028" t="n">
        <v>2.4</v>
      </c>
      <c r="I273" s="1028" t="n">
        <v>2.67</v>
      </c>
      <c r="J273" s="37" t="n">
        <v>182</v>
      </c>
      <c r="K273" s="37" t="inlineStr">
        <is>
          <t>14</t>
        </is>
      </c>
      <c r="L273" s="37" t="inlineStr"/>
      <c r="M273" s="38" t="inlineStr">
        <is>
          <t>СК3</t>
        </is>
      </c>
      <c r="N273" s="38" t="n"/>
      <c r="O273" s="37" t="n">
        <v>40</v>
      </c>
      <c r="P273" s="1172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73" s="1030" t="n"/>
      <c r="R273" s="1030" t="n"/>
      <c r="S273" s="1030" t="n"/>
      <c r="T273" s="1031" t="n"/>
      <c r="U273" s="39" t="inlineStr"/>
      <c r="V273" s="39" t="inlineStr"/>
      <c r="W273" s="40" t="inlineStr">
        <is>
          <t>кг</t>
        </is>
      </c>
      <c r="X273" s="1032" t="n">
        <v>0</v>
      </c>
      <c r="Y273" s="1033">
        <f>IFERROR(IF(X273="",0,CEILING((X273/$H273),1)*$H273),"")</f>
        <v/>
      </c>
      <c r="Z273" s="41">
        <f>IFERROR(IF(Y273=0,"",ROUNDUP(Y273/H273,0)*0.00651),"")</f>
        <v/>
      </c>
      <c r="AA273" s="68" t="inlineStr"/>
      <c r="AB273" s="69" t="inlineStr"/>
      <c r="AC273" s="356" t="inlineStr">
        <is>
          <t>ЕАЭС N RU Д-RU.РА01.В.91079/26, ЕАЭС N RU Д-RU.РА11.В.74089/25</t>
        </is>
      </c>
      <c r="AG273" s="78" t="n"/>
      <c r="AJ273" s="84" t="inlineStr"/>
      <c r="AK273" s="84" t="n">
        <v>0</v>
      </c>
      <c r="BB273" s="357" t="inlineStr">
        <is>
          <t>КИ</t>
        </is>
      </c>
      <c r="BM273" s="78">
        <f>IFERROR(X273*I273/H273,"0")</f>
        <v/>
      </c>
      <c r="BN273" s="78">
        <f>IFERROR(Y273*I273/H273,"0")</f>
        <v/>
      </c>
      <c r="BO273" s="78">
        <f>IFERROR(1/J273*(X273/H273),"0")</f>
        <v/>
      </c>
      <c r="BP273" s="78">
        <f>IFERROR(1/J273*(Y273/H273),"0")</f>
        <v/>
      </c>
    </row>
    <row r="274" ht="27" customHeight="1">
      <c r="A274" s="63" t="inlineStr">
        <is>
          <t>SU002992</t>
        </is>
      </c>
      <c r="B274" s="63" t="inlineStr">
        <is>
          <t>P004147</t>
        </is>
      </c>
      <c r="C274" s="36" t="n">
        <v>4301051752</v>
      </c>
      <c r="D274" s="695" t="n">
        <v>4680115882607</v>
      </c>
      <c r="E274" s="989" t="n"/>
      <c r="F274" s="1028" t="n">
        <v>0.3</v>
      </c>
      <c r="G274" s="37" t="n">
        <v>6</v>
      </c>
      <c r="H274" s="1028" t="n">
        <v>1.8</v>
      </c>
      <c r="I274" s="1028" t="n">
        <v>2.052</v>
      </c>
      <c r="J274" s="37" t="n">
        <v>182</v>
      </c>
      <c r="K274" s="37" t="inlineStr">
        <is>
          <t>14</t>
        </is>
      </c>
      <c r="L274" s="37" t="inlineStr"/>
      <c r="M274" s="38" t="inlineStr">
        <is>
          <t>СК4</t>
        </is>
      </c>
      <c r="N274" s="38" t="n"/>
      <c r="O274" s="37" t="n">
        <v>45</v>
      </c>
      <c r="P274" s="1173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74" s="1030" t="n"/>
      <c r="R274" s="1030" t="n"/>
      <c r="S274" s="1030" t="n"/>
      <c r="T274" s="1031" t="n"/>
      <c r="U274" s="39" t="inlineStr"/>
      <c r="V274" s="39" t="inlineStr"/>
      <c r="W274" s="40" t="inlineStr">
        <is>
          <t>кг</t>
        </is>
      </c>
      <c r="X274" s="1032" t="n">
        <v>0</v>
      </c>
      <c r="Y274" s="1033">
        <f>IFERROR(IF(X274="",0,CEILING((X274/$H274),1)*$H274),"")</f>
        <v/>
      </c>
      <c r="Z274" s="41">
        <f>IFERROR(IF(Y274=0,"",ROUNDUP(Y274/H274,0)*0.00651),"")</f>
        <v/>
      </c>
      <c r="AA274" s="68" t="inlineStr"/>
      <c r="AB274" s="69" t="inlineStr"/>
      <c r="AC274" s="358" t="inlineStr">
        <is>
          <t>ЕАЭС N RU Д-RU.РА09.В.39078/25, ЕАЭС N RU Д-RU.РА10.В.20056/25</t>
        </is>
      </c>
      <c r="AG274" s="78" t="n"/>
      <c r="AJ274" s="84" t="inlineStr"/>
      <c r="AK274" s="84" t="n">
        <v>0</v>
      </c>
      <c r="BB274" s="359" t="inlineStr">
        <is>
          <t>КИ</t>
        </is>
      </c>
      <c r="BM274" s="78">
        <f>IFERROR(X274*I274/H274,"0")</f>
        <v/>
      </c>
      <c r="BN274" s="78">
        <f>IFERROR(Y274*I274/H274,"0")</f>
        <v/>
      </c>
      <c r="BO274" s="78">
        <f>IFERROR(1/J274*(X274/H274),"0")</f>
        <v/>
      </c>
      <c r="BP274" s="78">
        <f>IFERROR(1/J274*(Y274/H274),"0")</f>
        <v/>
      </c>
    </row>
    <row r="275" ht="27" customHeight="1">
      <c r="A275" s="63" t="inlineStr">
        <is>
          <t>SU004181</t>
        </is>
      </c>
      <c r="B275" s="63" t="inlineStr">
        <is>
          <t>P005354</t>
        </is>
      </c>
      <c r="C275" s="36" t="n">
        <v>4301052143</v>
      </c>
      <c r="D275" s="695" t="n">
        <v>4680115882607</v>
      </c>
      <c r="E275" s="989" t="n"/>
      <c r="F275" s="1028" t="n">
        <v>0.3</v>
      </c>
      <c r="G275" s="37" t="n">
        <v>6</v>
      </c>
      <c r="H275" s="1028" t="n">
        <v>1.8</v>
      </c>
      <c r="I275" s="1028" t="n">
        <v>2.062</v>
      </c>
      <c r="J275" s="37" t="n">
        <v>132</v>
      </c>
      <c r="K275" s="37" t="inlineStr">
        <is>
          <t>12</t>
        </is>
      </c>
      <c r="L275" s="37" t="inlineStr"/>
      <c r="M275" s="38" t="inlineStr">
        <is>
          <t>СК3</t>
        </is>
      </c>
      <c r="N275" s="38" t="n"/>
      <c r="O275" s="37" t="n">
        <v>45</v>
      </c>
      <c r="P275" s="1174">
        <f>HYPERLINK("https://abi.ru/products/Охлажденные/Стародворье/Сочинка/Сосиски/P005354/","Сосиски «Сочинки с сочной грудинкой» Фикс.вес 0,3 п/а ТМ «Стародворье»")</f>
        <v/>
      </c>
      <c r="Q275" s="1030" t="n"/>
      <c r="R275" s="1030" t="n"/>
      <c r="S275" s="1030" t="n"/>
      <c r="T275" s="1031" t="n"/>
      <c r="U275" s="39" t="inlineStr"/>
      <c r="V275" s="39" t="inlineStr"/>
      <c r="W275" s="40" t="inlineStr">
        <is>
          <t>кг</t>
        </is>
      </c>
      <c r="X275" s="1032" t="n">
        <v>0</v>
      </c>
      <c r="Y275" s="1033">
        <f>IFERROR(IF(X275="",0,CEILING((X275/$H275),1)*$H275),"")</f>
        <v/>
      </c>
      <c r="Z275" s="41">
        <f>IFERROR(IF(Y275=0,"",ROUNDUP(Y275/H275,0)*0.00902),"")</f>
        <v/>
      </c>
      <c r="AA275" s="68" t="inlineStr"/>
      <c r="AB275" s="69" t="inlineStr"/>
      <c r="AC275" s="360" t="inlineStr">
        <is>
          <t>ЕАЭС N RU Д-RU.РА09.В.39078/25</t>
        </is>
      </c>
      <c r="AG275" s="78" t="n"/>
      <c r="AJ275" s="84" t="inlineStr"/>
      <c r="AK275" s="84" t="n">
        <v>0</v>
      </c>
      <c r="BB275" s="361" t="inlineStr">
        <is>
          <t>КИ</t>
        </is>
      </c>
      <c r="BM275" s="78">
        <f>IFERROR(X275*I275/H275,"0")</f>
        <v/>
      </c>
      <c r="BN275" s="78">
        <f>IFERROR(Y275*I275/H275,"0")</f>
        <v/>
      </c>
      <c r="BO275" s="78">
        <f>IFERROR(1/J275*(X275/H275),"0")</f>
        <v/>
      </c>
      <c r="BP275" s="78">
        <f>IFERROR(1/J275*(Y275/H275),"0")</f>
        <v/>
      </c>
    </row>
    <row r="276" ht="27" customHeight="1">
      <c r="A276" s="63" t="inlineStr">
        <is>
          <t>SU002618</t>
        </is>
      </c>
      <c r="B276" s="63" t="inlineStr">
        <is>
          <t>P003957</t>
        </is>
      </c>
      <c r="C276" s="36" t="n">
        <v>4301051666</v>
      </c>
      <c r="D276" s="695" t="n">
        <v>4680115880092</v>
      </c>
      <c r="E276" s="989" t="n"/>
      <c r="F276" s="1028" t="n">
        <v>0.4</v>
      </c>
      <c r="G276" s="37" t="n">
        <v>6</v>
      </c>
      <c r="H276" s="1028" t="n">
        <v>2.4</v>
      </c>
      <c r="I276" s="1028" t="n">
        <v>2.652</v>
      </c>
      <c r="J276" s="37" t="n">
        <v>182</v>
      </c>
      <c r="K276" s="37" t="inlineStr">
        <is>
          <t>14</t>
        </is>
      </c>
      <c r="L276" s="37" t="inlineStr"/>
      <c r="M276" s="38" t="inlineStr">
        <is>
          <t>СК3</t>
        </is>
      </c>
      <c r="N276" s="38" t="n"/>
      <c r="O276" s="37" t="n">
        <v>45</v>
      </c>
      <c r="P276" s="1175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76" s="1030" t="n"/>
      <c r="R276" s="1030" t="n"/>
      <c r="S276" s="1030" t="n"/>
      <c r="T276" s="1031" t="n"/>
      <c r="U276" s="39" t="inlineStr"/>
      <c r="V276" s="39" t="inlineStr"/>
      <c r="W276" s="40" t="inlineStr">
        <is>
          <t>кг</t>
        </is>
      </c>
      <c r="X276" s="1032" t="n">
        <v>0</v>
      </c>
      <c r="Y276" s="1033">
        <f>IFERROR(IF(X276="",0,CEILING((X276/$H276),1)*$H276),"")</f>
        <v/>
      </c>
      <c r="Z276" s="41">
        <f>IFERROR(IF(Y276=0,"",ROUNDUP(Y276/H276,0)*0.00651),"")</f>
        <v/>
      </c>
      <c r="AA276" s="68" t="inlineStr"/>
      <c r="AB276" s="69" t="inlineStr"/>
      <c r="AC276" s="362" t="inlineStr">
        <is>
          <t>ЕАЭС N RU Д-RU.РА09.В.39078/25, ЕАЭС N RU Д-RU.РА10.В.20056/25</t>
        </is>
      </c>
      <c r="AG276" s="78" t="n"/>
      <c r="AJ276" s="84" t="inlineStr"/>
      <c r="AK276" s="84" t="n">
        <v>0</v>
      </c>
      <c r="BB276" s="363" t="inlineStr">
        <is>
          <t>КИ</t>
        </is>
      </c>
      <c r="BM276" s="78">
        <f>IFERROR(X276*I276/H276,"0")</f>
        <v/>
      </c>
      <c r="BN276" s="78">
        <f>IFERROR(Y276*I276/H276,"0")</f>
        <v/>
      </c>
      <c r="BO276" s="78">
        <f>IFERROR(1/J276*(X276/H276),"0")</f>
        <v/>
      </c>
      <c r="BP276" s="78">
        <f>IFERROR(1/J276*(Y276/H276),"0")</f>
        <v/>
      </c>
    </row>
    <row r="277" ht="27" customHeight="1">
      <c r="A277" s="63" t="inlineStr">
        <is>
          <t>SU004178</t>
        </is>
      </c>
      <c r="B277" s="63" t="inlineStr">
        <is>
          <t>P005433</t>
        </is>
      </c>
      <c r="C277" s="36" t="n">
        <v>4301052214</v>
      </c>
      <c r="D277" s="695" t="n">
        <v>4680115889064</v>
      </c>
      <c r="E277" s="989" t="n"/>
      <c r="F277" s="1028" t="n">
        <v>0.7</v>
      </c>
      <c r="G277" s="37" t="n">
        <v>6</v>
      </c>
      <c r="H277" s="1028" t="n">
        <v>4.2</v>
      </c>
      <c r="I277" s="1028" t="n">
        <v>4.616</v>
      </c>
      <c r="J277" s="37" t="n">
        <v>104</v>
      </c>
      <c r="K277" s="37" t="inlineStr">
        <is>
          <t>8</t>
        </is>
      </c>
      <c r="L277" s="37" t="inlineStr"/>
      <c r="M277" s="38" t="inlineStr">
        <is>
          <t>СК3</t>
        </is>
      </c>
      <c r="N277" s="38" t="n"/>
      <c r="O277" s="37" t="n">
        <v>45</v>
      </c>
      <c r="P277" s="1176">
        <f>HYPERLINK("https://abi.ru/products/Охлажденные/Стародворье/Сочинка/Сосиски/P005433/","Сосиски «Сочинки с сочной грудинкой» Фикс.вес 0,7 п/а ТМ «Стародворье»")</f>
        <v/>
      </c>
      <c r="Q277" s="1030" t="n"/>
      <c r="R277" s="1030" t="n"/>
      <c r="S277" s="1030" t="n"/>
      <c r="T277" s="1031" t="n"/>
      <c r="U277" s="39" t="inlineStr"/>
      <c r="V277" s="39" t="inlineStr"/>
      <c r="W277" s="40" t="inlineStr">
        <is>
          <t>кг</t>
        </is>
      </c>
      <c r="X277" s="1032" t="n">
        <v>0</v>
      </c>
      <c r="Y277" s="1033">
        <f>IFERROR(IF(X277="",0,CEILING((X277/$H277),1)*$H277),"")</f>
        <v/>
      </c>
      <c r="Z277" s="41">
        <f>IFERROR(IF(Y277=0,"",ROUNDUP(Y277/H277,0)*0.01196),"")</f>
        <v/>
      </c>
      <c r="AA277" s="68" t="inlineStr"/>
      <c r="AB277" s="69" t="inlineStr"/>
      <c r="AC277" s="364" t="inlineStr">
        <is>
          <t>ЕАЭС N RU Д-RU.РА09.В.39078/25</t>
        </is>
      </c>
      <c r="AG277" s="78" t="n"/>
      <c r="AJ277" s="84" t="inlineStr"/>
      <c r="AK277" s="84" t="n">
        <v>0</v>
      </c>
      <c r="BB277" s="365" t="inlineStr">
        <is>
          <t>КИ</t>
        </is>
      </c>
      <c r="BM277" s="78">
        <f>IFERROR(X277*I277/H277,"0")</f>
        <v/>
      </c>
      <c r="BN277" s="78">
        <f>IFERROR(Y277*I277/H277,"0")</f>
        <v/>
      </c>
      <c r="BO277" s="78">
        <f>IFERROR(1/J277*(X277/H277),"0")</f>
        <v/>
      </c>
      <c r="BP277" s="78">
        <f>IFERROR(1/J277*(Y277/H277),"0")</f>
        <v/>
      </c>
    </row>
    <row r="278" ht="27" customHeight="1">
      <c r="A278" s="63" t="inlineStr">
        <is>
          <t>SU002621</t>
        </is>
      </c>
      <c r="B278" s="63" t="inlineStr">
        <is>
          <t>P003958</t>
        </is>
      </c>
      <c r="C278" s="36" t="n">
        <v>4301051668</v>
      </c>
      <c r="D278" s="695" t="n">
        <v>4680115880221</v>
      </c>
      <c r="E278" s="989" t="n"/>
      <c r="F278" s="1028" t="n">
        <v>0.4</v>
      </c>
      <c r="G278" s="37" t="n">
        <v>6</v>
      </c>
      <c r="H278" s="1028" t="n">
        <v>2.4</v>
      </c>
      <c r="I278" s="1028" t="n">
        <v>2.652</v>
      </c>
      <c r="J278" s="37" t="n">
        <v>182</v>
      </c>
      <c r="K278" s="37" t="inlineStr">
        <is>
          <t>14</t>
        </is>
      </c>
      <c r="L278" s="37" t="inlineStr"/>
      <c r="M278" s="38" t="inlineStr">
        <is>
          <t>СК3</t>
        </is>
      </c>
      <c r="N278" s="38" t="n"/>
      <c r="O278" s="37" t="n">
        <v>45</v>
      </c>
      <c r="P278" s="1177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78" s="1030" t="n"/>
      <c r="R278" s="1030" t="n"/>
      <c r="S278" s="1030" t="n"/>
      <c r="T278" s="1031" t="n"/>
      <c r="U278" s="39" t="inlineStr"/>
      <c r="V278" s="39" t="inlineStr"/>
      <c r="W278" s="40" t="inlineStr">
        <is>
          <t>кг</t>
        </is>
      </c>
      <c r="X278" s="1032" t="n">
        <v>0</v>
      </c>
      <c r="Y278" s="1033">
        <f>IFERROR(IF(X278="",0,CEILING((X278/$H278),1)*$H278),"")</f>
        <v/>
      </c>
      <c r="Z278" s="41">
        <f>IFERROR(IF(Y278=0,"",ROUNDUP(Y278/H278,0)*0.00651),"")</f>
        <v/>
      </c>
      <c r="AA278" s="68" t="inlineStr"/>
      <c r="AB278" s="69" t="inlineStr"/>
      <c r="AC278" s="366" t="inlineStr">
        <is>
          <t>ЕАЭС N RU Д-RU.РА09.В.39078/25, ЕАЭС N RU Д-RU.РА10.В.20056/25</t>
        </is>
      </c>
      <c r="AG278" s="78" t="n"/>
      <c r="AJ278" s="84" t="inlineStr"/>
      <c r="AK278" s="84" t="n">
        <v>0</v>
      </c>
      <c r="BB278" s="367" t="inlineStr">
        <is>
          <t>КИ</t>
        </is>
      </c>
      <c r="BM278" s="78">
        <f>IFERROR(X278*I278/H278,"0")</f>
        <v/>
      </c>
      <c r="BN278" s="78">
        <f>IFERROR(Y278*I278/H278,"0")</f>
        <v/>
      </c>
      <c r="BO278" s="78">
        <f>IFERROR(1/J278*(X278/H278),"0")</f>
        <v/>
      </c>
      <c r="BP278" s="78">
        <f>IFERROR(1/J278*(Y278/H278),"0")</f>
        <v/>
      </c>
    </row>
    <row r="279" ht="27" customHeight="1">
      <c r="A279" s="63" t="inlineStr">
        <is>
          <t>SU002686</t>
        </is>
      </c>
      <c r="B279" s="63" t="inlineStr">
        <is>
          <t>P004178</t>
        </is>
      </c>
      <c r="C279" s="36" t="n">
        <v>4301051945</v>
      </c>
      <c r="D279" s="695" t="n">
        <v>4680115880504</v>
      </c>
      <c r="E279" s="989" t="n"/>
      <c r="F279" s="1028" t="n">
        <v>0.4</v>
      </c>
      <c r="G279" s="37" t="n">
        <v>6</v>
      </c>
      <c r="H279" s="1028" t="n">
        <v>2.4</v>
      </c>
      <c r="I279" s="1028" t="n">
        <v>2.652</v>
      </c>
      <c r="J279" s="37" t="n">
        <v>182</v>
      </c>
      <c r="K279" s="37" t="inlineStr">
        <is>
          <t>14</t>
        </is>
      </c>
      <c r="L279" s="37" t="inlineStr"/>
      <c r="M279" s="38" t="inlineStr">
        <is>
          <t>СК4</t>
        </is>
      </c>
      <c r="N279" s="38" t="n"/>
      <c r="O279" s="37" t="n">
        <v>40</v>
      </c>
      <c r="P279" s="1178">
        <f>HYPERLINK("https://abi.ru/products/Охлажденные/Стародворье/Сочинка/Сосиски/P004178/","Сосиски Сочинки с сыром Бордо ф/в 0,4 кг п/а Стародворье")</f>
        <v/>
      </c>
      <c r="Q279" s="1030" t="n"/>
      <c r="R279" s="1030" t="n"/>
      <c r="S279" s="1030" t="n"/>
      <c r="T279" s="1031" t="n"/>
      <c r="U279" s="39" t="inlineStr"/>
      <c r="V279" s="39" t="inlineStr"/>
      <c r="W279" s="40" t="inlineStr">
        <is>
          <t>кг</t>
        </is>
      </c>
      <c r="X279" s="1032" t="n">
        <v>0</v>
      </c>
      <c r="Y279" s="1033">
        <f>IFERROR(IF(X279="",0,CEILING((X279/$H279),1)*$H279),"")</f>
        <v/>
      </c>
      <c r="Z279" s="41">
        <f>IFERROR(IF(Y279=0,"",ROUNDUP(Y279/H279,0)*0.00651),"")</f>
        <v/>
      </c>
      <c r="AA279" s="68" t="inlineStr"/>
      <c r="AB279" s="69" t="inlineStr"/>
      <c r="AC279" s="368" t="inlineStr">
        <is>
          <t>ЕАЭС N RU Д-RU.РА03.В.47009/25, ЕАЭС N RU Д-RU.РА09.В.38947/25</t>
        </is>
      </c>
      <c r="AG279" s="78" t="n"/>
      <c r="AJ279" s="84" t="inlineStr"/>
      <c r="AK279" s="84" t="n">
        <v>0</v>
      </c>
      <c r="BB279" s="369" t="inlineStr">
        <is>
          <t>КИ</t>
        </is>
      </c>
      <c r="BM279" s="78">
        <f>IFERROR(X279*I279/H279,"0")</f>
        <v/>
      </c>
      <c r="BN279" s="78">
        <f>IFERROR(Y279*I279/H279,"0")</f>
        <v/>
      </c>
      <c r="BO279" s="78">
        <f>IFERROR(1/J279*(X279/H279),"0")</f>
        <v/>
      </c>
      <c r="BP279" s="78">
        <f>IFERROR(1/J279*(Y279/H279),"0")</f>
        <v/>
      </c>
    </row>
    <row r="280" ht="27" customHeight="1">
      <c r="A280" s="63" t="inlineStr">
        <is>
          <t>SU002844</t>
        </is>
      </c>
      <c r="B280" s="63" t="inlineStr">
        <is>
          <t>P003265</t>
        </is>
      </c>
      <c r="C280" s="36" t="n">
        <v>4301051410</v>
      </c>
      <c r="D280" s="695" t="n">
        <v>4680115882164</v>
      </c>
      <c r="E280" s="989" t="n"/>
      <c r="F280" s="1028" t="n">
        <v>0.4</v>
      </c>
      <c r="G280" s="37" t="n">
        <v>6</v>
      </c>
      <c r="H280" s="1028" t="n">
        <v>2.4</v>
      </c>
      <c r="I280" s="1028" t="n">
        <v>2.658</v>
      </c>
      <c r="J280" s="37" t="n">
        <v>182</v>
      </c>
      <c r="K280" s="37" t="inlineStr">
        <is>
          <t>14</t>
        </is>
      </c>
      <c r="L280" s="37" t="inlineStr"/>
      <c r="M280" s="38" t="inlineStr">
        <is>
          <t>СК3</t>
        </is>
      </c>
      <c r="N280" s="38" t="n"/>
      <c r="O280" s="37" t="n">
        <v>40</v>
      </c>
      <c r="P280" s="1179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80" s="1030" t="n"/>
      <c r="R280" s="1030" t="n"/>
      <c r="S280" s="1030" t="n"/>
      <c r="T280" s="1031" t="n"/>
      <c r="U280" s="39" t="inlineStr"/>
      <c r="V280" s="39" t="inlineStr"/>
      <c r="W280" s="40" t="inlineStr">
        <is>
          <t>кг</t>
        </is>
      </c>
      <c r="X280" s="1032" t="n">
        <v>0</v>
      </c>
      <c r="Y280" s="1033">
        <f>IFERROR(IF(X280="",0,CEILING((X280/$H280),1)*$H280),"")</f>
        <v/>
      </c>
      <c r="Z280" s="41">
        <f>IFERROR(IF(Y280=0,"",ROUNDUP(Y280/H280,0)*0.00651),"")</f>
        <v/>
      </c>
      <c r="AA280" s="68" t="inlineStr"/>
      <c r="AB280" s="69" t="inlineStr"/>
      <c r="AC280" s="370" t="inlineStr">
        <is>
          <t>ЕАЭС N RU Д-RU.РА01.В.99153/23, ЕАЭС N RU Д-RU.РА01.В.99184/23</t>
        </is>
      </c>
      <c r="AG280" s="78" t="n"/>
      <c r="AJ280" s="84" t="inlineStr"/>
      <c r="AK280" s="84" t="n">
        <v>0</v>
      </c>
      <c r="BB280" s="371" t="inlineStr">
        <is>
          <t>КИ</t>
        </is>
      </c>
      <c r="BM280" s="78">
        <f>IFERROR(X280*I280/H280,"0")</f>
        <v/>
      </c>
      <c r="BN280" s="78">
        <f>IFERROR(Y280*I280/H280,"0")</f>
        <v/>
      </c>
      <c r="BO280" s="78">
        <f>IFERROR(1/J280*(X280/H280),"0")</f>
        <v/>
      </c>
      <c r="BP280" s="78">
        <f>IFERROR(1/J280*(Y280/H280),"0")</f>
        <v/>
      </c>
    </row>
    <row r="281" ht="27" customHeight="1">
      <c r="A281" s="63" t="inlineStr">
        <is>
          <t>SU004121</t>
        </is>
      </c>
      <c r="B281" s="63" t="inlineStr">
        <is>
          <t>P005381</t>
        </is>
      </c>
      <c r="C281" s="36" t="n">
        <v>4301052180</v>
      </c>
      <c r="D281" s="695" t="n">
        <v>4680115888340</v>
      </c>
      <c r="E281" s="989" t="n"/>
      <c r="F281" s="1028" t="n">
        <v>0.4</v>
      </c>
      <c r="G281" s="37" t="n">
        <v>6</v>
      </c>
      <c r="H281" s="1028" t="n">
        <v>2.4</v>
      </c>
      <c r="I281" s="1028" t="n">
        <v>2.652</v>
      </c>
      <c r="J281" s="37" t="n">
        <v>182</v>
      </c>
      <c r="K281" s="37" t="inlineStr">
        <is>
          <t>14</t>
        </is>
      </c>
      <c r="L281" s="37" t="inlineStr"/>
      <c r="M281" s="38" t="inlineStr">
        <is>
          <t>СК3</t>
        </is>
      </c>
      <c r="N281" s="38" t="n"/>
      <c r="O281" s="37" t="n">
        <v>45</v>
      </c>
      <c r="P281" s="1180">
        <f>HYPERLINK("https://abi.ru/products/Охлажденные/Стародворье/Сочинка/Сосиски/P005381/","Сосиски «Сочинки со сливками» Фикс.вес 0,4 п/а мгс ТМ «Стародворье»")</f>
        <v/>
      </c>
      <c r="Q281" s="1030" t="n"/>
      <c r="R281" s="1030" t="n"/>
      <c r="S281" s="1030" t="n"/>
      <c r="T281" s="1031" t="n"/>
      <c r="U281" s="39" t="inlineStr"/>
      <c r="V281" s="39" t="inlineStr"/>
      <c r="W281" s="40" t="inlineStr">
        <is>
          <t>кг</t>
        </is>
      </c>
      <c r="X281" s="1032" t="n">
        <v>0</v>
      </c>
      <c r="Y281" s="1033">
        <f>IFERROR(IF(X281="",0,CEILING((X281/$H281),1)*$H281),"")</f>
        <v/>
      </c>
      <c r="Z281" s="41">
        <f>IFERROR(IF(Y281=0,"",ROUNDUP(Y281/H281,0)*0.00651),"")</f>
        <v/>
      </c>
      <c r="AA281" s="68" t="inlineStr"/>
      <c r="AB281" s="69" t="inlineStr"/>
      <c r="AC281" s="372" t="inlineStr">
        <is>
          <t>ЕАЭС N RU Д-RU.РА01.В.69206/26, ЕАЭС N RU Д-RU.РА01.В.69319/26</t>
        </is>
      </c>
      <c r="AG281" s="78" t="n"/>
      <c r="AJ281" s="84" t="inlineStr"/>
      <c r="AK281" s="84" t="n">
        <v>0</v>
      </c>
      <c r="BB281" s="373" t="inlineStr">
        <is>
          <t>КИ</t>
        </is>
      </c>
      <c r="BM281" s="78">
        <f>IFERROR(X281*I281/H281,"0")</f>
        <v/>
      </c>
      <c r="BN281" s="78">
        <f>IFERROR(Y281*I281/H281,"0")</f>
        <v/>
      </c>
      <c r="BO281" s="78">
        <f>IFERROR(1/J281*(X281/H281),"0")</f>
        <v/>
      </c>
      <c r="BP281" s="78">
        <f>IFERROR(1/J281*(Y281/H281),"0")</f>
        <v/>
      </c>
    </row>
    <row r="282">
      <c r="A282" s="704" t="n"/>
      <c r="B282" s="979" t="n"/>
      <c r="C282" s="979" t="n"/>
      <c r="D282" s="979" t="n"/>
      <c r="E282" s="979" t="n"/>
      <c r="F282" s="979" t="n"/>
      <c r="G282" s="979" t="n"/>
      <c r="H282" s="979" t="n"/>
      <c r="I282" s="979" t="n"/>
      <c r="J282" s="979" t="n"/>
      <c r="K282" s="979" t="n"/>
      <c r="L282" s="979" t="n"/>
      <c r="M282" s="979" t="n"/>
      <c r="N282" s="979" t="n"/>
      <c r="O282" s="1035" t="n"/>
      <c r="P282" s="1036" t="inlineStr">
        <is>
          <t>Итого</t>
        </is>
      </c>
      <c r="Q282" s="997" t="n"/>
      <c r="R282" s="997" t="n"/>
      <c r="S282" s="997" t="n"/>
      <c r="T282" s="997" t="n"/>
      <c r="U282" s="997" t="n"/>
      <c r="V282" s="998" t="n"/>
      <c r="W282" s="42" t="inlineStr">
        <is>
          <t>кор</t>
        </is>
      </c>
      <c r="X282" s="103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/>
      </c>
      <c r="Y282" s="103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/>
      </c>
      <c r="Z282" s="103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/>
      </c>
      <c r="AA282" s="1038" t="n"/>
      <c r="AB282" s="1038" t="n"/>
      <c r="AC282" s="1038" t="n"/>
    </row>
    <row r="283">
      <c r="A283" s="979" t="n"/>
      <c r="B283" s="979" t="n"/>
      <c r="C283" s="979" t="n"/>
      <c r="D283" s="979" t="n"/>
      <c r="E283" s="979" t="n"/>
      <c r="F283" s="979" t="n"/>
      <c r="G283" s="979" t="n"/>
      <c r="H283" s="979" t="n"/>
      <c r="I283" s="979" t="n"/>
      <c r="J283" s="979" t="n"/>
      <c r="K283" s="979" t="n"/>
      <c r="L283" s="979" t="n"/>
      <c r="M283" s="979" t="n"/>
      <c r="N283" s="979" t="n"/>
      <c r="O283" s="1035" t="n"/>
      <c r="P283" s="1036" t="inlineStr">
        <is>
          <t>Итого</t>
        </is>
      </c>
      <c r="Q283" s="997" t="n"/>
      <c r="R283" s="997" t="n"/>
      <c r="S283" s="997" t="n"/>
      <c r="T283" s="997" t="n"/>
      <c r="U283" s="997" t="n"/>
      <c r="V283" s="998" t="n"/>
      <c r="W283" s="42" t="inlineStr">
        <is>
          <t>кг</t>
        </is>
      </c>
      <c r="X283" s="1037">
        <f>IFERROR(SUM(X270:X281),"0")</f>
        <v/>
      </c>
      <c r="Y283" s="1037">
        <f>IFERROR(SUM(Y270:Y281),"0")</f>
        <v/>
      </c>
      <c r="Z283" s="42" t="n"/>
      <c r="AA283" s="1038" t="n"/>
      <c r="AB283" s="1038" t="n"/>
      <c r="AC283" s="1038" t="n"/>
    </row>
    <row r="284" ht="14.25" customHeight="1">
      <c r="A284" s="694" t="inlineStr">
        <is>
          <t>Сардельки</t>
        </is>
      </c>
      <c r="B284" s="979" t="n"/>
      <c r="C284" s="979" t="n"/>
      <c r="D284" s="979" t="n"/>
      <c r="E284" s="979" t="n"/>
      <c r="F284" s="979" t="n"/>
      <c r="G284" s="979" t="n"/>
      <c r="H284" s="979" t="n"/>
      <c r="I284" s="979" t="n"/>
      <c r="J284" s="979" t="n"/>
      <c r="K284" s="979" t="n"/>
      <c r="L284" s="979" t="n"/>
      <c r="M284" s="979" t="n"/>
      <c r="N284" s="979" t="n"/>
      <c r="O284" s="979" t="n"/>
      <c r="P284" s="979" t="n"/>
      <c r="Q284" s="979" t="n"/>
      <c r="R284" s="979" t="n"/>
      <c r="S284" s="979" t="n"/>
      <c r="T284" s="979" t="n"/>
      <c r="U284" s="979" t="n"/>
      <c r="V284" s="979" t="n"/>
      <c r="W284" s="979" t="n"/>
      <c r="X284" s="979" t="n"/>
      <c r="Y284" s="979" t="n"/>
      <c r="Z284" s="979" t="n"/>
      <c r="AA284" s="694" t="n"/>
      <c r="AB284" s="694" t="n"/>
      <c r="AC284" s="694" t="n"/>
    </row>
    <row r="285" ht="27" customHeight="1">
      <c r="A285" s="63" t="inlineStr">
        <is>
          <t>SU002759</t>
        </is>
      </c>
      <c r="B285" s="63" t="inlineStr">
        <is>
          <t>P003961</t>
        </is>
      </c>
      <c r="C285" s="36" t="n">
        <v>4301060463</v>
      </c>
      <c r="D285" s="695" t="n">
        <v>4680115880818</v>
      </c>
      <c r="E285" s="989" t="n"/>
      <c r="F285" s="1028" t="n">
        <v>0.4</v>
      </c>
      <c r="G285" s="37" t="n">
        <v>6</v>
      </c>
      <c r="H285" s="1028" t="n">
        <v>2.4</v>
      </c>
      <c r="I285" s="1028" t="n">
        <v>2.652</v>
      </c>
      <c r="J285" s="37" t="n">
        <v>182</v>
      </c>
      <c r="K285" s="37" t="inlineStr">
        <is>
          <t>14</t>
        </is>
      </c>
      <c r="L285" s="37" t="inlineStr"/>
      <c r="M285" s="38" t="inlineStr">
        <is>
          <t>СК4</t>
        </is>
      </c>
      <c r="N285" s="38" t="n"/>
      <c r="O285" s="37" t="n">
        <v>40</v>
      </c>
      <c r="P285" s="1181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85" s="1030" t="n"/>
      <c r="R285" s="1030" t="n"/>
      <c r="S285" s="1030" t="n"/>
      <c r="T285" s="1031" t="n"/>
      <c r="U285" s="39" t="inlineStr"/>
      <c r="V285" s="39" t="inlineStr"/>
      <c r="W285" s="40" t="inlineStr">
        <is>
          <t>кг</t>
        </is>
      </c>
      <c r="X285" s="1032" t="n">
        <v>0</v>
      </c>
      <c r="Y285" s="1033">
        <f>IFERROR(IF(X285="",0,CEILING((X285/$H285),1)*$H285),"")</f>
        <v/>
      </c>
      <c r="Z285" s="41">
        <f>IFERROR(IF(Y285=0,"",ROUNDUP(Y285/H285,0)*0.00651),"")</f>
        <v/>
      </c>
      <c r="AA285" s="68" t="inlineStr"/>
      <c r="AB285" s="69" t="inlineStr"/>
      <c r="AC285" s="374" t="inlineStr">
        <is>
          <t>ЕАЭС N RU Д-RU.РА09.В.28678/25</t>
        </is>
      </c>
      <c r="AG285" s="78" t="n"/>
      <c r="AJ285" s="84" t="inlineStr"/>
      <c r="AK285" s="84" t="n">
        <v>0</v>
      </c>
      <c r="BB285" s="375" t="inlineStr">
        <is>
          <t>КИ</t>
        </is>
      </c>
      <c r="BM285" s="78">
        <f>IFERROR(X285*I285/H285,"0")</f>
        <v/>
      </c>
      <c r="BN285" s="78">
        <f>IFERROR(Y285*I285/H285,"0")</f>
        <v/>
      </c>
      <c r="BO285" s="78">
        <f>IFERROR(1/J285*(X285/H285),"0")</f>
        <v/>
      </c>
      <c r="BP285" s="78">
        <f>IFERROR(1/J285*(Y285/H285),"0")</f>
        <v/>
      </c>
    </row>
    <row r="286" ht="27" customHeight="1">
      <c r="A286" s="63" t="inlineStr">
        <is>
          <t>SU002758</t>
        </is>
      </c>
      <c r="B286" s="63" t="inlineStr">
        <is>
          <t>P003960</t>
        </is>
      </c>
      <c r="C286" s="36" t="n">
        <v>4301060389</v>
      </c>
      <c r="D286" s="695" t="n">
        <v>4680115880801</v>
      </c>
      <c r="E286" s="989" t="n"/>
      <c r="F286" s="1028" t="n">
        <v>0.4</v>
      </c>
      <c r="G286" s="37" t="n">
        <v>6</v>
      </c>
      <c r="H286" s="1028" t="n">
        <v>2.4</v>
      </c>
      <c r="I286" s="1028" t="n">
        <v>2.652</v>
      </c>
      <c r="J286" s="37" t="n">
        <v>182</v>
      </c>
      <c r="K286" s="37" t="inlineStr">
        <is>
          <t>14</t>
        </is>
      </c>
      <c r="L286" s="37" t="inlineStr"/>
      <c r="M286" s="38" t="inlineStr">
        <is>
          <t>СК3</t>
        </is>
      </c>
      <c r="N286" s="38" t="n"/>
      <c r="O286" s="37" t="n">
        <v>40</v>
      </c>
      <c r="P286" s="1182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86" s="1030" t="n"/>
      <c r="R286" s="1030" t="n"/>
      <c r="S286" s="1030" t="n"/>
      <c r="T286" s="1031" t="n"/>
      <c r="U286" s="39" t="inlineStr"/>
      <c r="V286" s="39" t="inlineStr"/>
      <c r="W286" s="40" t="inlineStr">
        <is>
          <t>кг</t>
        </is>
      </c>
      <c r="X286" s="1032" t="n">
        <v>0</v>
      </c>
      <c r="Y286" s="1033">
        <f>IFERROR(IF(X286="",0,CEILING((X286/$H286),1)*$H286),"")</f>
        <v/>
      </c>
      <c r="Z286" s="41">
        <f>IFERROR(IF(Y286=0,"",ROUNDUP(Y286/H286,0)*0.00651),"")</f>
        <v/>
      </c>
      <c r="AA286" s="68" t="inlineStr"/>
      <c r="AB286" s="69" t="inlineStr"/>
      <c r="AC286" s="376" t="inlineStr">
        <is>
          <t>ЕАЭС N RU Д-RU.РА01.В.17805/26, ЕАЭС N RU Д-RU.РА09.В.34969/25</t>
        </is>
      </c>
      <c r="AG286" s="78" t="n"/>
      <c r="AJ286" s="84" t="inlineStr"/>
      <c r="AK286" s="84" t="n">
        <v>0</v>
      </c>
      <c r="BB286" s="377" t="inlineStr">
        <is>
          <t>КИ</t>
        </is>
      </c>
      <c r="BM286" s="78">
        <f>IFERROR(X286*I286/H286,"0")</f>
        <v/>
      </c>
      <c r="BN286" s="78">
        <f>IFERROR(Y286*I286/H286,"0")</f>
        <v/>
      </c>
      <c r="BO286" s="78">
        <f>IFERROR(1/J286*(X286/H286),"0")</f>
        <v/>
      </c>
      <c r="BP286" s="78">
        <f>IFERROR(1/J286*(Y286/H286),"0")</f>
        <v/>
      </c>
    </row>
    <row r="287">
      <c r="A287" s="704" t="n"/>
      <c r="B287" s="979" t="n"/>
      <c r="C287" s="979" t="n"/>
      <c r="D287" s="979" t="n"/>
      <c r="E287" s="979" t="n"/>
      <c r="F287" s="979" t="n"/>
      <c r="G287" s="979" t="n"/>
      <c r="H287" s="979" t="n"/>
      <c r="I287" s="979" t="n"/>
      <c r="J287" s="979" t="n"/>
      <c r="K287" s="979" t="n"/>
      <c r="L287" s="979" t="n"/>
      <c r="M287" s="979" t="n"/>
      <c r="N287" s="979" t="n"/>
      <c r="O287" s="1035" t="n"/>
      <c r="P287" s="1036" t="inlineStr">
        <is>
          <t>Итого</t>
        </is>
      </c>
      <c r="Q287" s="997" t="n"/>
      <c r="R287" s="997" t="n"/>
      <c r="S287" s="997" t="n"/>
      <c r="T287" s="997" t="n"/>
      <c r="U287" s="997" t="n"/>
      <c r="V287" s="998" t="n"/>
      <c r="W287" s="42" t="inlineStr">
        <is>
          <t>кор</t>
        </is>
      </c>
      <c r="X287" s="1037">
        <f>IFERROR(X285/H285,"0")+IFERROR(X286/H286,"0")</f>
        <v/>
      </c>
      <c r="Y287" s="1037">
        <f>IFERROR(Y285/H285,"0")+IFERROR(Y286/H286,"0")</f>
        <v/>
      </c>
      <c r="Z287" s="1037">
        <f>IFERROR(IF(Z285="",0,Z285),"0")+IFERROR(IF(Z286="",0,Z286),"0")</f>
        <v/>
      </c>
      <c r="AA287" s="1038" t="n"/>
      <c r="AB287" s="1038" t="n"/>
      <c r="AC287" s="1038" t="n"/>
    </row>
    <row r="288">
      <c r="A288" s="979" t="n"/>
      <c r="B288" s="979" t="n"/>
      <c r="C288" s="979" t="n"/>
      <c r="D288" s="979" t="n"/>
      <c r="E288" s="979" t="n"/>
      <c r="F288" s="979" t="n"/>
      <c r="G288" s="979" t="n"/>
      <c r="H288" s="979" t="n"/>
      <c r="I288" s="979" t="n"/>
      <c r="J288" s="979" t="n"/>
      <c r="K288" s="979" t="n"/>
      <c r="L288" s="979" t="n"/>
      <c r="M288" s="979" t="n"/>
      <c r="N288" s="979" t="n"/>
      <c r="O288" s="1035" t="n"/>
      <c r="P288" s="1036" t="inlineStr">
        <is>
          <t>Итого</t>
        </is>
      </c>
      <c r="Q288" s="997" t="n"/>
      <c r="R288" s="997" t="n"/>
      <c r="S288" s="997" t="n"/>
      <c r="T288" s="997" t="n"/>
      <c r="U288" s="997" t="n"/>
      <c r="V288" s="998" t="n"/>
      <c r="W288" s="42" t="inlineStr">
        <is>
          <t>кг</t>
        </is>
      </c>
      <c r="X288" s="1037">
        <f>IFERROR(SUM(X285:X286),"0")</f>
        <v/>
      </c>
      <c r="Y288" s="1037">
        <f>IFERROR(SUM(Y285:Y286),"0")</f>
        <v/>
      </c>
      <c r="Z288" s="42" t="n"/>
      <c r="AA288" s="1038" t="n"/>
      <c r="AB288" s="1038" t="n"/>
      <c r="AC288" s="1038" t="n"/>
    </row>
    <row r="289" ht="16.5" customHeight="1">
      <c r="A289" s="693" t="inlineStr">
        <is>
          <t>Стародворская</t>
        </is>
      </c>
      <c r="B289" s="979" t="n"/>
      <c r="C289" s="979" t="n"/>
      <c r="D289" s="979" t="n"/>
      <c r="E289" s="979" t="n"/>
      <c r="F289" s="979" t="n"/>
      <c r="G289" s="979" t="n"/>
      <c r="H289" s="979" t="n"/>
      <c r="I289" s="979" t="n"/>
      <c r="J289" s="979" t="n"/>
      <c r="K289" s="979" t="n"/>
      <c r="L289" s="979" t="n"/>
      <c r="M289" s="979" t="n"/>
      <c r="N289" s="979" t="n"/>
      <c r="O289" s="979" t="n"/>
      <c r="P289" s="979" t="n"/>
      <c r="Q289" s="979" t="n"/>
      <c r="R289" s="979" t="n"/>
      <c r="S289" s="979" t="n"/>
      <c r="T289" s="979" t="n"/>
      <c r="U289" s="979" t="n"/>
      <c r="V289" s="979" t="n"/>
      <c r="W289" s="979" t="n"/>
      <c r="X289" s="979" t="n"/>
      <c r="Y289" s="979" t="n"/>
      <c r="Z289" s="979" t="n"/>
      <c r="AA289" s="693" t="n"/>
      <c r="AB289" s="693" t="n"/>
      <c r="AC289" s="693" t="n"/>
    </row>
    <row r="290" ht="14.25" customHeight="1">
      <c r="A290" s="694" t="inlineStr">
        <is>
          <t>Вареные колбасы</t>
        </is>
      </c>
      <c r="B290" s="979" t="n"/>
      <c r="C290" s="979" t="n"/>
      <c r="D290" s="979" t="n"/>
      <c r="E290" s="979" t="n"/>
      <c r="F290" s="979" t="n"/>
      <c r="G290" s="979" t="n"/>
      <c r="H290" s="979" t="n"/>
      <c r="I290" s="979" t="n"/>
      <c r="J290" s="979" t="n"/>
      <c r="K290" s="979" t="n"/>
      <c r="L290" s="979" t="n"/>
      <c r="M290" s="979" t="n"/>
      <c r="N290" s="979" t="n"/>
      <c r="O290" s="979" t="n"/>
      <c r="P290" s="979" t="n"/>
      <c r="Q290" s="979" t="n"/>
      <c r="R290" s="979" t="n"/>
      <c r="S290" s="979" t="n"/>
      <c r="T290" s="979" t="n"/>
      <c r="U290" s="979" t="n"/>
      <c r="V290" s="979" t="n"/>
      <c r="W290" s="979" t="n"/>
      <c r="X290" s="979" t="n"/>
      <c r="Y290" s="979" t="n"/>
      <c r="Z290" s="979" t="n"/>
      <c r="AA290" s="694" t="n"/>
      <c r="AB290" s="694" t="n"/>
      <c r="AC290" s="694" t="n"/>
    </row>
    <row r="291" ht="27" customHeight="1">
      <c r="A291" s="63" t="inlineStr">
        <is>
          <t>SU003273</t>
        </is>
      </c>
      <c r="B291" s="63" t="inlineStr">
        <is>
          <t>P004070</t>
        </is>
      </c>
      <c r="C291" s="36" t="n">
        <v>4301011826</v>
      </c>
      <c r="D291" s="695" t="n">
        <v>4680115884137</v>
      </c>
      <c r="E291" s="989" t="n"/>
      <c r="F291" s="1028" t="n">
        <v>1.45</v>
      </c>
      <c r="G291" s="37" t="n">
        <v>8</v>
      </c>
      <c r="H291" s="1028" t="n">
        <v>11.6</v>
      </c>
      <c r="I291" s="1028" t="n">
        <v>12.01</v>
      </c>
      <c r="J291" s="37" t="n">
        <v>64</v>
      </c>
      <c r="K291" s="37" t="inlineStr">
        <is>
          <t>8</t>
        </is>
      </c>
      <c r="L291" s="37" t="inlineStr"/>
      <c r="M291" s="38" t="inlineStr">
        <is>
          <t>СК1</t>
        </is>
      </c>
      <c r="N291" s="38" t="n"/>
      <c r="O291" s="37" t="n">
        <v>55</v>
      </c>
      <c r="P291" s="1183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291" s="1030" t="n"/>
      <c r="R291" s="1030" t="n"/>
      <c r="S291" s="1030" t="n"/>
      <c r="T291" s="1031" t="n"/>
      <c r="U291" s="39" t="inlineStr"/>
      <c r="V291" s="39" t="inlineStr"/>
      <c r="W291" s="40" t="inlineStr">
        <is>
          <t>кг</t>
        </is>
      </c>
      <c r="X291" s="1032" t="n">
        <v>0</v>
      </c>
      <c r="Y291" s="1033">
        <f>IFERROR(IF(X291="",0,CEILING((X291/$H291),1)*$H291),"")</f>
        <v/>
      </c>
      <c r="Z291" s="41">
        <f>IFERROR(IF(Y291=0,"",ROUNDUP(Y291/H291,0)*0.01898),"")</f>
        <v/>
      </c>
      <c r="AA291" s="68" t="inlineStr"/>
      <c r="AB291" s="69" t="inlineStr"/>
      <c r="AC291" s="378" t="inlineStr">
        <is>
          <t>ЕАЭС N RU Д-RU.РА09.В.47899/25</t>
        </is>
      </c>
      <c r="AG291" s="78" t="n"/>
      <c r="AJ291" s="84" t="inlineStr"/>
      <c r="AK291" s="84" t="n">
        <v>0</v>
      </c>
      <c r="BB291" s="379" t="inlineStr">
        <is>
          <t>КИ</t>
        </is>
      </c>
      <c r="BM291" s="78">
        <f>IFERROR(X291*I291/H291,"0")</f>
        <v/>
      </c>
      <c r="BN291" s="78">
        <f>IFERROR(Y291*I291/H291,"0")</f>
        <v/>
      </c>
      <c r="BO291" s="78">
        <f>IFERROR(1/J291*(X291/H291),"0")</f>
        <v/>
      </c>
      <c r="BP291" s="78">
        <f>IFERROR(1/J291*(Y291/H291),"0")</f>
        <v/>
      </c>
    </row>
    <row r="292" ht="27" customHeight="1">
      <c r="A292" s="63" t="inlineStr">
        <is>
          <t>SU003275</t>
        </is>
      </c>
      <c r="B292" s="63" t="inlineStr">
        <is>
          <t>P003950</t>
        </is>
      </c>
      <c r="C292" s="36" t="n">
        <v>4301011724</v>
      </c>
      <c r="D292" s="695" t="n">
        <v>4680115884236</v>
      </c>
      <c r="E292" s="989" t="n"/>
      <c r="F292" s="1028" t="n">
        <v>1.45</v>
      </c>
      <c r="G292" s="37" t="n">
        <v>8</v>
      </c>
      <c r="H292" s="1028" t="n">
        <v>11.6</v>
      </c>
      <c r="I292" s="1028" t="n">
        <v>12.01</v>
      </c>
      <c r="J292" s="37" t="n">
        <v>64</v>
      </c>
      <c r="K292" s="37" t="inlineStr">
        <is>
          <t>8</t>
        </is>
      </c>
      <c r="L292" s="37" t="inlineStr"/>
      <c r="M292" s="38" t="inlineStr">
        <is>
          <t>СК1</t>
        </is>
      </c>
      <c r="N292" s="38" t="n"/>
      <c r="O292" s="37" t="n">
        <v>55</v>
      </c>
      <c r="P292" s="1184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292" s="1030" t="n"/>
      <c r="R292" s="1030" t="n"/>
      <c r="S292" s="1030" t="n"/>
      <c r="T292" s="1031" t="n"/>
      <c r="U292" s="39" t="inlineStr"/>
      <c r="V292" s="39" t="inlineStr"/>
      <c r="W292" s="40" t="inlineStr">
        <is>
          <t>кг</t>
        </is>
      </c>
      <c r="X292" s="1032" t="n">
        <v>0</v>
      </c>
      <c r="Y292" s="1033">
        <f>IFERROR(IF(X292="",0,CEILING((X292/$H292),1)*$H292),"")</f>
        <v/>
      </c>
      <c r="Z292" s="41">
        <f>IFERROR(IF(Y292=0,"",ROUNDUP(Y292/H292,0)*0.01898),"")</f>
        <v/>
      </c>
      <c r="AA292" s="68" t="inlineStr"/>
      <c r="AB292" s="69" t="inlineStr"/>
      <c r="AC292" s="380" t="inlineStr">
        <is>
          <t>ЕАЭС N RU Д-RU.РА11.В.73101/25</t>
        </is>
      </c>
      <c r="AG292" s="78" t="n"/>
      <c r="AJ292" s="84" t="inlineStr"/>
      <c r="AK292" s="84" t="n">
        <v>0</v>
      </c>
      <c r="BB292" s="381" t="inlineStr">
        <is>
          <t>КИ</t>
        </is>
      </c>
      <c r="BM292" s="78">
        <f>IFERROR(X292*I292/H292,"0")</f>
        <v/>
      </c>
      <c r="BN292" s="78">
        <f>IFERROR(Y292*I292/H292,"0")</f>
        <v/>
      </c>
      <c r="BO292" s="78">
        <f>IFERROR(1/J292*(X292/H292),"0")</f>
        <v/>
      </c>
      <c r="BP292" s="78">
        <f>IFERROR(1/J292*(Y292/H292),"0")</f>
        <v/>
      </c>
    </row>
    <row r="293" ht="27" customHeight="1">
      <c r="A293" s="63" t="inlineStr">
        <is>
          <t>SU003271</t>
        </is>
      </c>
      <c r="B293" s="63" t="inlineStr">
        <is>
          <t>P003945</t>
        </is>
      </c>
      <c r="C293" s="36" t="n">
        <v>4301011721</v>
      </c>
      <c r="D293" s="695" t="n">
        <v>4680115884175</v>
      </c>
      <c r="E293" s="989" t="n"/>
      <c r="F293" s="1028" t="n">
        <v>1.45</v>
      </c>
      <c r="G293" s="37" t="n">
        <v>8</v>
      </c>
      <c r="H293" s="1028" t="n">
        <v>11.6</v>
      </c>
      <c r="I293" s="1028" t="n">
        <v>12.01</v>
      </c>
      <c r="J293" s="37" t="n">
        <v>64</v>
      </c>
      <c r="K293" s="37" t="inlineStr">
        <is>
          <t>8</t>
        </is>
      </c>
      <c r="L293" s="37" t="inlineStr"/>
      <c r="M293" s="38" t="inlineStr">
        <is>
          <t>СК1</t>
        </is>
      </c>
      <c r="N293" s="38" t="n"/>
      <c r="O293" s="37" t="n">
        <v>55</v>
      </c>
      <c r="P293" s="1185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293" s="1030" t="n"/>
      <c r="R293" s="1030" t="n"/>
      <c r="S293" s="1030" t="n"/>
      <c r="T293" s="1031" t="n"/>
      <c r="U293" s="39" t="inlineStr"/>
      <c r="V293" s="39" t="inlineStr"/>
      <c r="W293" s="40" t="inlineStr">
        <is>
          <t>кг</t>
        </is>
      </c>
      <c r="X293" s="1032" t="n">
        <v>0</v>
      </c>
      <c r="Y293" s="1033">
        <f>IFERROR(IF(X293="",0,CEILING((X293/$H293),1)*$H293),"")</f>
        <v/>
      </c>
      <c r="Z293" s="41">
        <f>IFERROR(IF(Y293=0,"",ROUNDUP(Y293/H293,0)*0.01898),"")</f>
        <v/>
      </c>
      <c r="AA293" s="68" t="inlineStr"/>
      <c r="AB293" s="69" t="inlineStr"/>
      <c r="AC293" s="382" t="inlineStr">
        <is>
          <t>ЕАЭС N RU Д-RU.РА09.В.49311/25</t>
        </is>
      </c>
      <c r="AG293" s="78" t="n"/>
      <c r="AJ293" s="84" t="inlineStr"/>
      <c r="AK293" s="84" t="n">
        <v>0</v>
      </c>
      <c r="BB293" s="383" t="inlineStr">
        <is>
          <t>КИ</t>
        </is>
      </c>
      <c r="BM293" s="78">
        <f>IFERROR(X293*I293/H293,"0")</f>
        <v/>
      </c>
      <c r="BN293" s="78">
        <f>IFERROR(Y293*I293/H293,"0")</f>
        <v/>
      </c>
      <c r="BO293" s="78">
        <f>IFERROR(1/J293*(X293/H293),"0")</f>
        <v/>
      </c>
      <c r="BP293" s="78">
        <f>IFERROR(1/J293*(Y293/H293),"0")</f>
        <v/>
      </c>
    </row>
    <row r="294" ht="27" customHeight="1">
      <c r="A294" s="63" t="inlineStr">
        <is>
          <t>SU003274</t>
        </is>
      </c>
      <c r="B294" s="63" t="inlineStr">
        <is>
          <t>P004067</t>
        </is>
      </c>
      <c r="C294" s="36" t="n">
        <v>4301011824</v>
      </c>
      <c r="D294" s="695" t="n">
        <v>4680115884144</v>
      </c>
      <c r="E294" s="989" t="n"/>
      <c r="F294" s="1028" t="n">
        <v>0.4</v>
      </c>
      <c r="G294" s="37" t="n">
        <v>10</v>
      </c>
      <c r="H294" s="1028" t="n">
        <v>4</v>
      </c>
      <c r="I294" s="1028" t="n">
        <v>4.19</v>
      </c>
      <c r="J294" s="37" t="n">
        <v>132</v>
      </c>
      <c r="K294" s="37" t="inlineStr">
        <is>
          <t>12</t>
        </is>
      </c>
      <c r="L294" s="37" t="inlineStr"/>
      <c r="M294" s="38" t="inlineStr">
        <is>
          <t>СК1</t>
        </is>
      </c>
      <c r="N294" s="38" t="n"/>
      <c r="O294" s="37" t="n">
        <v>55</v>
      </c>
      <c r="P294" s="1186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294" s="1030" t="n"/>
      <c r="R294" s="1030" t="n"/>
      <c r="S294" s="1030" t="n"/>
      <c r="T294" s="1031" t="n"/>
      <c r="U294" s="39" t="inlineStr"/>
      <c r="V294" s="39" t="inlineStr"/>
      <c r="W294" s="40" t="inlineStr">
        <is>
          <t>кг</t>
        </is>
      </c>
      <c r="X294" s="1032" t="n">
        <v>0</v>
      </c>
      <c r="Y294" s="1033">
        <f>IFERROR(IF(X294="",0,CEILING((X294/$H294),1)*$H294),"")</f>
        <v/>
      </c>
      <c r="Z294" s="41">
        <f>IFERROR(IF(Y294=0,"",ROUNDUP(Y294/H294,0)*0.00902),"")</f>
        <v/>
      </c>
      <c r="AA294" s="68" t="inlineStr"/>
      <c r="AB294" s="69" t="inlineStr"/>
      <c r="AC294" s="384" t="inlineStr">
        <is>
          <t>ЕАЭС N RU Д-RU.РА09.В.47899/25</t>
        </is>
      </c>
      <c r="AG294" s="78" t="n"/>
      <c r="AJ294" s="84" t="inlineStr"/>
      <c r="AK294" s="84" t="n">
        <v>0</v>
      </c>
      <c r="BB294" s="385" t="inlineStr">
        <is>
          <t>КИ</t>
        </is>
      </c>
      <c r="BM294" s="78">
        <f>IFERROR(X294*I294/H294,"0")</f>
        <v/>
      </c>
      <c r="BN294" s="78">
        <f>IFERROR(Y294*I294/H294,"0")</f>
        <v/>
      </c>
      <c r="BO294" s="78">
        <f>IFERROR(1/J294*(X294/H294),"0")</f>
        <v/>
      </c>
      <c r="BP294" s="78">
        <f>IFERROR(1/J294*(Y294/H294),"0")</f>
        <v/>
      </c>
    </row>
    <row r="295" ht="27" customHeight="1">
      <c r="A295" s="63" t="inlineStr">
        <is>
          <t>SU003859</t>
        </is>
      </c>
      <c r="B295" s="63" t="inlineStr">
        <is>
          <t>P004942</t>
        </is>
      </c>
      <c r="C295" s="36" t="n">
        <v>4301012149</v>
      </c>
      <c r="D295" s="695" t="n">
        <v>4680115886551</v>
      </c>
      <c r="E295" s="989" t="n"/>
      <c r="F295" s="1028" t="n">
        <v>0.4</v>
      </c>
      <c r="G295" s="37" t="n">
        <v>10</v>
      </c>
      <c r="H295" s="1028" t="n">
        <v>4</v>
      </c>
      <c r="I295" s="1028" t="n">
        <v>4.19</v>
      </c>
      <c r="J295" s="37" t="n">
        <v>132</v>
      </c>
      <c r="K295" s="37" t="inlineStr">
        <is>
          <t>12</t>
        </is>
      </c>
      <c r="L295" s="37" t="inlineStr"/>
      <c r="M295" s="38" t="inlineStr">
        <is>
          <t>СК1</t>
        </is>
      </c>
      <c r="N295" s="38" t="n"/>
      <c r="O295" s="37" t="n">
        <v>55</v>
      </c>
      <c r="P295" s="1187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/>
      </c>
      <c r="Q295" s="1030" t="n"/>
      <c r="R295" s="1030" t="n"/>
      <c r="S295" s="1030" t="n"/>
      <c r="T295" s="1031" t="n"/>
      <c r="U295" s="39" t="inlineStr"/>
      <c r="V295" s="39" t="inlineStr"/>
      <c r="W295" s="40" t="inlineStr">
        <is>
          <t>кг</t>
        </is>
      </c>
      <c r="X295" s="1032" t="n">
        <v>0</v>
      </c>
      <c r="Y295" s="1033">
        <f>IFERROR(IF(X295="",0,CEILING((X295/$H295),1)*$H295),"")</f>
        <v/>
      </c>
      <c r="Z295" s="41">
        <f>IFERROR(IF(Y295=0,"",ROUNDUP(Y295/H295,0)*0.00902),"")</f>
        <v/>
      </c>
      <c r="AA295" s="68" t="inlineStr"/>
      <c r="AB295" s="69" t="inlineStr"/>
      <c r="AC295" s="386" t="inlineStr">
        <is>
          <t>ЕАЭС N RU Д-RU.РА09.В.48164/25</t>
        </is>
      </c>
      <c r="AG295" s="78" t="n"/>
      <c r="AJ295" s="84" t="inlineStr"/>
      <c r="AK295" s="84" t="n">
        <v>0</v>
      </c>
      <c r="BB295" s="387" t="inlineStr">
        <is>
          <t>КИ</t>
        </is>
      </c>
      <c r="BM295" s="78">
        <f>IFERROR(X295*I295/H295,"0")</f>
        <v/>
      </c>
      <c r="BN295" s="78">
        <f>IFERROR(Y295*I295/H295,"0")</f>
        <v/>
      </c>
      <c r="BO295" s="78">
        <f>IFERROR(1/J295*(X295/H295),"0")</f>
        <v/>
      </c>
      <c r="BP295" s="78">
        <f>IFERROR(1/J295*(Y295/H295),"0")</f>
        <v/>
      </c>
    </row>
    <row r="296" ht="27" customHeight="1">
      <c r="A296" s="63" t="inlineStr">
        <is>
          <t>SU004011</t>
        </is>
      </c>
      <c r="B296" s="63" t="inlineStr">
        <is>
          <t>P005130</t>
        </is>
      </c>
      <c r="C296" s="36" t="n">
        <v>4301012228</v>
      </c>
      <c r="D296" s="695" t="n">
        <v>4680115887282</v>
      </c>
      <c r="E296" s="989" t="n"/>
      <c r="F296" s="1028" t="n">
        <v>0.4</v>
      </c>
      <c r="G296" s="37" t="n">
        <v>6</v>
      </c>
      <c r="H296" s="1028" t="n">
        <v>2.4</v>
      </c>
      <c r="I296" s="1028" t="n">
        <v>2.58</v>
      </c>
      <c r="J296" s="37" t="n">
        <v>182</v>
      </c>
      <c r="K296" s="37" t="inlineStr">
        <is>
          <t>14</t>
        </is>
      </c>
      <c r="L296" s="37" t="inlineStr"/>
      <c r="M296" s="38" t="inlineStr">
        <is>
          <t>СК1</t>
        </is>
      </c>
      <c r="N296" s="38" t="n"/>
      <c r="O296" s="37" t="n">
        <v>55</v>
      </c>
      <c r="P296" s="1188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/>
      </c>
      <c r="Q296" s="1030" t="n"/>
      <c r="R296" s="1030" t="n"/>
      <c r="S296" s="1030" t="n"/>
      <c r="T296" s="1031" t="n"/>
      <c r="U296" s="39" t="inlineStr"/>
      <c r="V296" s="39" t="inlineStr"/>
      <c r="W296" s="40" t="inlineStr">
        <is>
          <t>кг</t>
        </is>
      </c>
      <c r="X296" s="1032" t="n">
        <v>0</v>
      </c>
      <c r="Y296" s="1033">
        <f>IFERROR(IF(X296="",0,CEILING((X296/$H296),1)*$H296),"")</f>
        <v/>
      </c>
      <c r="Z296" s="41">
        <f>IFERROR(IF(Y296=0,"",ROUNDUP(Y296/H296,0)*0.00651),"")</f>
        <v/>
      </c>
      <c r="AA296" s="68" t="inlineStr"/>
      <c r="AB296" s="69" t="inlineStr"/>
      <c r="AC296" s="388" t="inlineStr">
        <is>
          <t>ЕАЭС N RU Д-RU.РА10.В.27759/23</t>
        </is>
      </c>
      <c r="AG296" s="78" t="n"/>
      <c r="AJ296" s="84" t="inlineStr"/>
      <c r="AK296" s="84" t="n">
        <v>0</v>
      </c>
      <c r="BB296" s="389" t="inlineStr">
        <is>
          <t>КИ</t>
        </is>
      </c>
      <c r="BM296" s="78">
        <f>IFERROR(X296*I296/H296,"0")</f>
        <v/>
      </c>
      <c r="BN296" s="78">
        <f>IFERROR(Y296*I296/H296,"0")</f>
        <v/>
      </c>
      <c r="BO296" s="78">
        <f>IFERROR(1/J296*(X296/H296),"0")</f>
        <v/>
      </c>
      <c r="BP296" s="78">
        <f>IFERROR(1/J296*(Y296/H296),"0")</f>
        <v/>
      </c>
    </row>
    <row r="297" ht="27" customHeight="1">
      <c r="A297" s="63" t="inlineStr">
        <is>
          <t>SU003272</t>
        </is>
      </c>
      <c r="B297" s="63" t="inlineStr">
        <is>
          <t>P003947</t>
        </is>
      </c>
      <c r="C297" s="36" t="n">
        <v>4301011722</v>
      </c>
      <c r="D297" s="695" t="n">
        <v>4680115884205</v>
      </c>
      <c r="E297" s="989" t="n"/>
      <c r="F297" s="1028" t="n">
        <v>0.4</v>
      </c>
      <c r="G297" s="37" t="n">
        <v>10</v>
      </c>
      <c r="H297" s="1028" t="n">
        <v>4</v>
      </c>
      <c r="I297" s="1028" t="n">
        <v>4.19</v>
      </c>
      <c r="J297" s="37" t="n">
        <v>132</v>
      </c>
      <c r="K297" s="37" t="inlineStr">
        <is>
          <t>12</t>
        </is>
      </c>
      <c r="L297" s="37" t="inlineStr"/>
      <c r="M297" s="38" t="inlineStr">
        <is>
          <t>СК1</t>
        </is>
      </c>
      <c r="N297" s="38" t="n"/>
      <c r="O297" s="37" t="n">
        <v>55</v>
      </c>
      <c r="P297" s="1189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297" s="1030" t="n"/>
      <c r="R297" s="1030" t="n"/>
      <c r="S297" s="1030" t="n"/>
      <c r="T297" s="1031" t="n"/>
      <c r="U297" s="39" t="inlineStr"/>
      <c r="V297" s="39" t="inlineStr"/>
      <c r="W297" s="40" t="inlineStr">
        <is>
          <t>кг</t>
        </is>
      </c>
      <c r="X297" s="1032" t="n">
        <v>0</v>
      </c>
      <c r="Y297" s="1033">
        <f>IFERROR(IF(X297="",0,CEILING((X297/$H297),1)*$H297),"")</f>
        <v/>
      </c>
      <c r="Z297" s="41">
        <f>IFERROR(IF(Y297=0,"",ROUNDUP(Y297/H297,0)*0.00902),"")</f>
        <v/>
      </c>
      <c r="AA297" s="68" t="inlineStr"/>
      <c r="AB297" s="69" t="inlineStr"/>
      <c r="AC297" s="390" t="inlineStr">
        <is>
          <t>ЕАЭС N RU Д-RU.РА09.В.49311/25</t>
        </is>
      </c>
      <c r="AG297" s="78" t="n"/>
      <c r="AJ297" s="84" t="inlineStr"/>
      <c r="AK297" s="84" t="n">
        <v>0</v>
      </c>
      <c r="BB297" s="391" t="inlineStr">
        <is>
          <t>КИ</t>
        </is>
      </c>
      <c r="BM297" s="78">
        <f>IFERROR(X297*I297/H297,"0")</f>
        <v/>
      </c>
      <c r="BN297" s="78">
        <f>IFERROR(Y297*I297/H297,"0")</f>
        <v/>
      </c>
      <c r="BO297" s="78">
        <f>IFERROR(1/J297*(X297/H297),"0")</f>
        <v/>
      </c>
      <c r="BP297" s="78">
        <f>IFERROR(1/J297*(Y297/H297),"0")</f>
        <v/>
      </c>
    </row>
    <row r="298">
      <c r="A298" s="704" t="n"/>
      <c r="B298" s="979" t="n"/>
      <c r="C298" s="979" t="n"/>
      <c r="D298" s="979" t="n"/>
      <c r="E298" s="979" t="n"/>
      <c r="F298" s="979" t="n"/>
      <c r="G298" s="979" t="n"/>
      <c r="H298" s="979" t="n"/>
      <c r="I298" s="979" t="n"/>
      <c r="J298" s="979" t="n"/>
      <c r="K298" s="979" t="n"/>
      <c r="L298" s="979" t="n"/>
      <c r="M298" s="979" t="n"/>
      <c r="N298" s="979" t="n"/>
      <c r="O298" s="1035" t="n"/>
      <c r="P298" s="1036" t="inlineStr">
        <is>
          <t>Итого</t>
        </is>
      </c>
      <c r="Q298" s="997" t="n"/>
      <c r="R298" s="997" t="n"/>
      <c r="S298" s="997" t="n"/>
      <c r="T298" s="997" t="n"/>
      <c r="U298" s="997" t="n"/>
      <c r="V298" s="998" t="n"/>
      <c r="W298" s="42" t="inlineStr">
        <is>
          <t>кор</t>
        </is>
      </c>
      <c r="X298" s="1037">
        <f>IFERROR(X291/H291,"0")+IFERROR(X292/H292,"0")+IFERROR(X293/H293,"0")+IFERROR(X294/H294,"0")+IFERROR(X295/H295,"0")+IFERROR(X296/H296,"0")+IFERROR(X297/H297,"0")</f>
        <v/>
      </c>
      <c r="Y298" s="1037">
        <f>IFERROR(Y291/H291,"0")+IFERROR(Y292/H292,"0")+IFERROR(Y293/H293,"0")+IFERROR(Y294/H294,"0")+IFERROR(Y295/H295,"0")+IFERROR(Y296/H296,"0")+IFERROR(Y297/H297,"0")</f>
        <v/>
      </c>
      <c r="Z298" s="1037">
        <f>IFERROR(IF(Z291="",0,Z291),"0")+IFERROR(IF(Z292="",0,Z292),"0")+IFERROR(IF(Z293="",0,Z293),"0")+IFERROR(IF(Z294="",0,Z294),"0")+IFERROR(IF(Z295="",0,Z295),"0")+IFERROR(IF(Z296="",0,Z296),"0")+IFERROR(IF(Z297="",0,Z297),"0")</f>
        <v/>
      </c>
      <c r="AA298" s="1038" t="n"/>
      <c r="AB298" s="1038" t="n"/>
      <c r="AC298" s="1038" t="n"/>
    </row>
    <row r="299">
      <c r="A299" s="979" t="n"/>
      <c r="B299" s="979" t="n"/>
      <c r="C299" s="979" t="n"/>
      <c r="D299" s="979" t="n"/>
      <c r="E299" s="979" t="n"/>
      <c r="F299" s="979" t="n"/>
      <c r="G299" s="979" t="n"/>
      <c r="H299" s="979" t="n"/>
      <c r="I299" s="979" t="n"/>
      <c r="J299" s="979" t="n"/>
      <c r="K299" s="979" t="n"/>
      <c r="L299" s="979" t="n"/>
      <c r="M299" s="979" t="n"/>
      <c r="N299" s="979" t="n"/>
      <c r="O299" s="1035" t="n"/>
      <c r="P299" s="1036" t="inlineStr">
        <is>
          <t>Итого</t>
        </is>
      </c>
      <c r="Q299" s="997" t="n"/>
      <c r="R299" s="997" t="n"/>
      <c r="S299" s="997" t="n"/>
      <c r="T299" s="997" t="n"/>
      <c r="U299" s="997" t="n"/>
      <c r="V299" s="998" t="n"/>
      <c r="W299" s="42" t="inlineStr">
        <is>
          <t>кг</t>
        </is>
      </c>
      <c r="X299" s="1037">
        <f>IFERROR(SUM(X291:X297),"0")</f>
        <v/>
      </c>
      <c r="Y299" s="1037">
        <f>IFERROR(SUM(Y291:Y297),"0")</f>
        <v/>
      </c>
      <c r="Z299" s="42" t="n"/>
      <c r="AA299" s="1038" t="n"/>
      <c r="AB299" s="1038" t="n"/>
      <c r="AC299" s="1038" t="n"/>
    </row>
    <row r="300" ht="14.25" customHeight="1">
      <c r="A300" s="694" t="inlineStr">
        <is>
          <t>Ветчины</t>
        </is>
      </c>
      <c r="B300" s="979" t="n"/>
      <c r="C300" s="979" t="n"/>
      <c r="D300" s="979" t="n"/>
      <c r="E300" s="979" t="n"/>
      <c r="F300" s="979" t="n"/>
      <c r="G300" s="979" t="n"/>
      <c r="H300" s="979" t="n"/>
      <c r="I300" s="979" t="n"/>
      <c r="J300" s="979" t="n"/>
      <c r="K300" s="979" t="n"/>
      <c r="L300" s="979" t="n"/>
      <c r="M300" s="979" t="n"/>
      <c r="N300" s="979" t="n"/>
      <c r="O300" s="979" t="n"/>
      <c r="P300" s="979" t="n"/>
      <c r="Q300" s="979" t="n"/>
      <c r="R300" s="979" t="n"/>
      <c r="S300" s="979" t="n"/>
      <c r="T300" s="979" t="n"/>
      <c r="U300" s="979" t="n"/>
      <c r="V300" s="979" t="n"/>
      <c r="W300" s="979" t="n"/>
      <c r="X300" s="979" t="n"/>
      <c r="Y300" s="979" t="n"/>
      <c r="Z300" s="979" t="n"/>
      <c r="AA300" s="694" t="n"/>
      <c r="AB300" s="694" t="n"/>
      <c r="AC300" s="694" t="n"/>
    </row>
    <row r="301" ht="27" customHeight="1">
      <c r="A301" s="63" t="inlineStr">
        <is>
          <t>SU003573</t>
        </is>
      </c>
      <c r="B301" s="63" t="inlineStr">
        <is>
          <t>P004891</t>
        </is>
      </c>
      <c r="C301" s="36" t="n">
        <v>4301020377</v>
      </c>
      <c r="D301" s="695" t="n">
        <v>4680115885981</v>
      </c>
      <c r="E301" s="989" t="n"/>
      <c r="F301" s="1028" t="n">
        <v>0.33</v>
      </c>
      <c r="G301" s="37" t="n">
        <v>6</v>
      </c>
      <c r="H301" s="1028" t="n">
        <v>1.98</v>
      </c>
      <c r="I301" s="1028" t="n">
        <v>2.08</v>
      </c>
      <c r="J301" s="37" t="n">
        <v>234</v>
      </c>
      <c r="K301" s="37" t="inlineStr">
        <is>
          <t>18</t>
        </is>
      </c>
      <c r="L301" s="37" t="inlineStr"/>
      <c r="M301" s="38" t="inlineStr">
        <is>
          <t>СК3</t>
        </is>
      </c>
      <c r="N301" s="38" t="n"/>
      <c r="O301" s="37" t="n">
        <v>50</v>
      </c>
      <c r="P301" s="1190">
        <f>HYPERLINK("https://abi.ru/products/Охлажденные/Стародворье/Стародворская/Ветчины/P004891/","Ветчины «Стародворская» Фикс.вес 0,33 п/а ТМ «Стародворье»")</f>
        <v/>
      </c>
      <c r="Q301" s="1030" t="n"/>
      <c r="R301" s="1030" t="n"/>
      <c r="S301" s="1030" t="n"/>
      <c r="T301" s="1031" t="n"/>
      <c r="U301" s="39" t="inlineStr"/>
      <c r="V301" s="39" t="inlineStr"/>
      <c r="W301" s="40" t="inlineStr">
        <is>
          <t>кг</t>
        </is>
      </c>
      <c r="X301" s="1032" t="n">
        <v>0</v>
      </c>
      <c r="Y301" s="1033">
        <f>IFERROR(IF(X301="",0,CEILING((X301/$H301),1)*$H301),"")</f>
        <v/>
      </c>
      <c r="Z301" s="41">
        <f>IFERROR(IF(Y301=0,"",ROUNDUP(Y301/H301,0)*0.00502),"")</f>
        <v/>
      </c>
      <c r="AA301" s="68" t="inlineStr"/>
      <c r="AB301" s="69" t="inlineStr"/>
      <c r="AC301" s="392" t="inlineStr">
        <is>
          <t>ЕАЭС N RU Д-RU.РА09.В.39204/25</t>
        </is>
      </c>
      <c r="AG301" s="78" t="n"/>
      <c r="AJ301" s="84" t="inlineStr"/>
      <c r="AK301" s="84" t="n">
        <v>0</v>
      </c>
      <c r="BB301" s="393" t="inlineStr">
        <is>
          <t>КИ</t>
        </is>
      </c>
      <c r="BM301" s="78">
        <f>IFERROR(X301*I301/H301,"0")</f>
        <v/>
      </c>
      <c r="BN301" s="78">
        <f>IFERROR(Y301*I301/H301,"0")</f>
        <v/>
      </c>
      <c r="BO301" s="78">
        <f>IFERROR(1/J301*(X301/H301),"0")</f>
        <v/>
      </c>
      <c r="BP301" s="78">
        <f>IFERROR(1/J301*(Y301/H301),"0")</f>
        <v/>
      </c>
    </row>
    <row r="302">
      <c r="A302" s="704" t="n"/>
      <c r="B302" s="979" t="n"/>
      <c r="C302" s="979" t="n"/>
      <c r="D302" s="979" t="n"/>
      <c r="E302" s="979" t="n"/>
      <c r="F302" s="979" t="n"/>
      <c r="G302" s="979" t="n"/>
      <c r="H302" s="979" t="n"/>
      <c r="I302" s="979" t="n"/>
      <c r="J302" s="979" t="n"/>
      <c r="K302" s="979" t="n"/>
      <c r="L302" s="979" t="n"/>
      <c r="M302" s="979" t="n"/>
      <c r="N302" s="979" t="n"/>
      <c r="O302" s="1035" t="n"/>
      <c r="P302" s="1036" t="inlineStr">
        <is>
          <t>Итого</t>
        </is>
      </c>
      <c r="Q302" s="997" t="n"/>
      <c r="R302" s="997" t="n"/>
      <c r="S302" s="997" t="n"/>
      <c r="T302" s="997" t="n"/>
      <c r="U302" s="997" t="n"/>
      <c r="V302" s="998" t="n"/>
      <c r="W302" s="42" t="inlineStr">
        <is>
          <t>кор</t>
        </is>
      </c>
      <c r="X302" s="1037">
        <f>IFERROR(X301/H301,"0")</f>
        <v/>
      </c>
      <c r="Y302" s="1037">
        <f>IFERROR(Y301/H301,"0")</f>
        <v/>
      </c>
      <c r="Z302" s="1037">
        <f>IFERROR(IF(Z301="",0,Z301),"0")</f>
        <v/>
      </c>
      <c r="AA302" s="1038" t="n"/>
      <c r="AB302" s="1038" t="n"/>
      <c r="AC302" s="1038" t="n"/>
    </row>
    <row r="303">
      <c r="A303" s="979" t="n"/>
      <c r="B303" s="979" t="n"/>
      <c r="C303" s="979" t="n"/>
      <c r="D303" s="979" t="n"/>
      <c r="E303" s="979" t="n"/>
      <c r="F303" s="979" t="n"/>
      <c r="G303" s="979" t="n"/>
      <c r="H303" s="979" t="n"/>
      <c r="I303" s="979" t="n"/>
      <c r="J303" s="979" t="n"/>
      <c r="K303" s="979" t="n"/>
      <c r="L303" s="979" t="n"/>
      <c r="M303" s="979" t="n"/>
      <c r="N303" s="979" t="n"/>
      <c r="O303" s="1035" t="n"/>
      <c r="P303" s="1036" t="inlineStr">
        <is>
          <t>Итого</t>
        </is>
      </c>
      <c r="Q303" s="997" t="n"/>
      <c r="R303" s="997" t="n"/>
      <c r="S303" s="997" t="n"/>
      <c r="T303" s="997" t="n"/>
      <c r="U303" s="997" t="n"/>
      <c r="V303" s="998" t="n"/>
      <c r="W303" s="42" t="inlineStr">
        <is>
          <t>кг</t>
        </is>
      </c>
      <c r="X303" s="1037">
        <f>IFERROR(SUM(X301:X301),"0")</f>
        <v/>
      </c>
      <c r="Y303" s="1037">
        <f>IFERROR(SUM(Y301:Y301),"0")</f>
        <v/>
      </c>
      <c r="Z303" s="42" t="n"/>
      <c r="AA303" s="1038" t="n"/>
      <c r="AB303" s="1038" t="n"/>
      <c r="AC303" s="1038" t="n"/>
    </row>
    <row r="304" ht="14.25" customHeight="1">
      <c r="A304" s="694" t="inlineStr">
        <is>
          <t>Деликатесы в/к</t>
        </is>
      </c>
      <c r="B304" s="979" t="n"/>
      <c r="C304" s="979" t="n"/>
      <c r="D304" s="979" t="n"/>
      <c r="E304" s="979" t="n"/>
      <c r="F304" s="979" t="n"/>
      <c r="G304" s="979" t="n"/>
      <c r="H304" s="979" t="n"/>
      <c r="I304" s="979" t="n"/>
      <c r="J304" s="979" t="n"/>
      <c r="K304" s="979" t="n"/>
      <c r="L304" s="979" t="n"/>
      <c r="M304" s="979" t="n"/>
      <c r="N304" s="979" t="n"/>
      <c r="O304" s="979" t="n"/>
      <c r="P304" s="979" t="n"/>
      <c r="Q304" s="979" t="n"/>
      <c r="R304" s="979" t="n"/>
      <c r="S304" s="979" t="n"/>
      <c r="T304" s="979" t="n"/>
      <c r="U304" s="979" t="n"/>
      <c r="V304" s="979" t="n"/>
      <c r="W304" s="979" t="n"/>
      <c r="X304" s="979" t="n"/>
      <c r="Y304" s="979" t="n"/>
      <c r="Z304" s="979" t="n"/>
      <c r="AA304" s="694" t="n"/>
      <c r="AB304" s="694" t="n"/>
      <c r="AC304" s="694" t="n"/>
    </row>
    <row r="305" ht="27" customHeight="1">
      <c r="A305" s="63" t="inlineStr">
        <is>
          <t>SU003921</t>
        </is>
      </c>
      <c r="B305" s="63" t="inlineStr">
        <is>
          <t>P005060</t>
        </is>
      </c>
      <c r="C305" s="36" t="n">
        <v>4301040362</v>
      </c>
      <c r="D305" s="695" t="n">
        <v>4680115886803</v>
      </c>
      <c r="E305" s="989" t="n"/>
      <c r="F305" s="1028" t="n">
        <v>0.12</v>
      </c>
      <c r="G305" s="37" t="n">
        <v>15</v>
      </c>
      <c r="H305" s="1028" t="n">
        <v>1.8</v>
      </c>
      <c r="I305" s="1028" t="n">
        <v>1.975</v>
      </c>
      <c r="J305" s="37" t="n">
        <v>216</v>
      </c>
      <c r="K305" s="37" t="inlineStr">
        <is>
          <t>27</t>
        </is>
      </c>
      <c r="L305" s="37" t="inlineStr"/>
      <c r="M305" s="38" t="inlineStr">
        <is>
          <t>МЗР</t>
        </is>
      </c>
      <c r="N305" s="38" t="n"/>
      <c r="O305" s="37" t="n">
        <v>45</v>
      </c>
      <c r="P305" s="1191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/>
      </c>
      <c r="Q305" s="1030" t="n"/>
      <c r="R305" s="1030" t="n"/>
      <c r="S305" s="1030" t="n"/>
      <c r="T305" s="1031" t="n"/>
      <c r="U305" s="39" t="inlineStr"/>
      <c r="V305" s="39" t="inlineStr"/>
      <c r="W305" s="40" t="inlineStr">
        <is>
          <t>кг</t>
        </is>
      </c>
      <c r="X305" s="1032" t="n">
        <v>0</v>
      </c>
      <c r="Y305" s="1033">
        <f>IFERROR(IF(X305="",0,CEILING((X305/$H305),1)*$H305),"")</f>
        <v/>
      </c>
      <c r="Z305" s="41">
        <f>IFERROR(IF(Y305=0,"",ROUNDUP(Y305/H305,0)*0.0059),"")</f>
        <v/>
      </c>
      <c r="AA305" s="68" t="inlineStr"/>
      <c r="AB305" s="69" t="inlineStr"/>
      <c r="AC305" s="394" t="inlineStr">
        <is>
          <t>ЕАЭС N RU Д-RU.РА03.В.02309/25</t>
        </is>
      </c>
      <c r="AG305" s="78" t="n"/>
      <c r="AJ305" s="84" t="inlineStr"/>
      <c r="AK305" s="84" t="n">
        <v>0</v>
      </c>
      <c r="BB305" s="395" t="inlineStr">
        <is>
          <t>КИ</t>
        </is>
      </c>
      <c r="BM305" s="78">
        <f>IFERROR(X305*I305/H305,"0")</f>
        <v/>
      </c>
      <c r="BN305" s="78">
        <f>IFERROR(Y305*I305/H305,"0")</f>
        <v/>
      </c>
      <c r="BO305" s="78">
        <f>IFERROR(1/J305*(X305/H305),"0")</f>
        <v/>
      </c>
      <c r="BP305" s="78">
        <f>IFERROR(1/J305*(Y305/H305),"0")</f>
        <v/>
      </c>
    </row>
    <row r="306">
      <c r="A306" s="704" t="n"/>
      <c r="B306" s="979" t="n"/>
      <c r="C306" s="979" t="n"/>
      <c r="D306" s="979" t="n"/>
      <c r="E306" s="979" t="n"/>
      <c r="F306" s="979" t="n"/>
      <c r="G306" s="979" t="n"/>
      <c r="H306" s="979" t="n"/>
      <c r="I306" s="979" t="n"/>
      <c r="J306" s="979" t="n"/>
      <c r="K306" s="979" t="n"/>
      <c r="L306" s="979" t="n"/>
      <c r="M306" s="979" t="n"/>
      <c r="N306" s="979" t="n"/>
      <c r="O306" s="1035" t="n"/>
      <c r="P306" s="1036" t="inlineStr">
        <is>
          <t>Итого</t>
        </is>
      </c>
      <c r="Q306" s="997" t="n"/>
      <c r="R306" s="997" t="n"/>
      <c r="S306" s="997" t="n"/>
      <c r="T306" s="997" t="n"/>
      <c r="U306" s="997" t="n"/>
      <c r="V306" s="998" t="n"/>
      <c r="W306" s="42" t="inlineStr">
        <is>
          <t>кор</t>
        </is>
      </c>
      <c r="X306" s="1037">
        <f>IFERROR(X305/H305,"0")</f>
        <v/>
      </c>
      <c r="Y306" s="1037">
        <f>IFERROR(Y305/H305,"0")</f>
        <v/>
      </c>
      <c r="Z306" s="1037">
        <f>IFERROR(IF(Z305="",0,Z305),"0")</f>
        <v/>
      </c>
      <c r="AA306" s="1038" t="n"/>
      <c r="AB306" s="1038" t="n"/>
      <c r="AC306" s="1038" t="n"/>
    </row>
    <row r="307">
      <c r="A307" s="979" t="n"/>
      <c r="B307" s="979" t="n"/>
      <c r="C307" s="979" t="n"/>
      <c r="D307" s="979" t="n"/>
      <c r="E307" s="979" t="n"/>
      <c r="F307" s="979" t="n"/>
      <c r="G307" s="979" t="n"/>
      <c r="H307" s="979" t="n"/>
      <c r="I307" s="979" t="n"/>
      <c r="J307" s="979" t="n"/>
      <c r="K307" s="979" t="n"/>
      <c r="L307" s="979" t="n"/>
      <c r="M307" s="979" t="n"/>
      <c r="N307" s="979" t="n"/>
      <c r="O307" s="1035" t="n"/>
      <c r="P307" s="1036" t="inlineStr">
        <is>
          <t>Итого</t>
        </is>
      </c>
      <c r="Q307" s="997" t="n"/>
      <c r="R307" s="997" t="n"/>
      <c r="S307" s="997" t="n"/>
      <c r="T307" s="997" t="n"/>
      <c r="U307" s="997" t="n"/>
      <c r="V307" s="998" t="n"/>
      <c r="W307" s="42" t="inlineStr">
        <is>
          <t>кг</t>
        </is>
      </c>
      <c r="X307" s="1037">
        <f>IFERROR(SUM(X305:X305),"0")</f>
        <v/>
      </c>
      <c r="Y307" s="1037">
        <f>IFERROR(SUM(Y305:Y305),"0")</f>
        <v/>
      </c>
      <c r="Z307" s="42" t="n"/>
      <c r="AA307" s="1038" t="n"/>
      <c r="AB307" s="1038" t="n"/>
      <c r="AC307" s="1038" t="n"/>
    </row>
    <row r="308" ht="14.25" customHeight="1">
      <c r="A308" s="694" t="inlineStr">
        <is>
          <t>Деликатесы с/к</t>
        </is>
      </c>
      <c r="B308" s="979" t="n"/>
      <c r="C308" s="979" t="n"/>
      <c r="D308" s="979" t="n"/>
      <c r="E308" s="979" t="n"/>
      <c r="F308" s="979" t="n"/>
      <c r="G308" s="979" t="n"/>
      <c r="H308" s="979" t="n"/>
      <c r="I308" s="979" t="n"/>
      <c r="J308" s="979" t="n"/>
      <c r="K308" s="979" t="n"/>
      <c r="L308" s="979" t="n"/>
      <c r="M308" s="979" t="n"/>
      <c r="N308" s="979" t="n"/>
      <c r="O308" s="979" t="n"/>
      <c r="P308" s="979" t="n"/>
      <c r="Q308" s="979" t="n"/>
      <c r="R308" s="979" t="n"/>
      <c r="S308" s="979" t="n"/>
      <c r="T308" s="979" t="n"/>
      <c r="U308" s="979" t="n"/>
      <c r="V308" s="979" t="n"/>
      <c r="W308" s="979" t="n"/>
      <c r="X308" s="979" t="n"/>
      <c r="Y308" s="979" t="n"/>
      <c r="Z308" s="979" t="n"/>
      <c r="AA308" s="694" t="n"/>
      <c r="AB308" s="694" t="n"/>
      <c r="AC308" s="694" t="n"/>
    </row>
    <row r="309" ht="27" customHeight="1">
      <c r="A309" s="63" t="inlineStr">
        <is>
          <t>SU003922</t>
        </is>
      </c>
      <c r="B309" s="63" t="inlineStr">
        <is>
          <t>P005020</t>
        </is>
      </c>
      <c r="C309" s="36" t="n">
        <v>4301041004</v>
      </c>
      <c r="D309" s="695" t="n">
        <v>4680115886704</v>
      </c>
      <c r="E309" s="989" t="n"/>
      <c r="F309" s="1028" t="n">
        <v>0.055</v>
      </c>
      <c r="G309" s="37" t="n">
        <v>18</v>
      </c>
      <c r="H309" s="1028" t="n">
        <v>0.99</v>
      </c>
      <c r="I309" s="1028" t="n">
        <v>1.18</v>
      </c>
      <c r="J309" s="37" t="n">
        <v>216</v>
      </c>
      <c r="K309" s="37" t="inlineStr">
        <is>
          <t>27</t>
        </is>
      </c>
      <c r="L309" s="37" t="inlineStr"/>
      <c r="M309" s="38" t="inlineStr">
        <is>
          <t>МЗР</t>
        </is>
      </c>
      <c r="N309" s="38" t="n"/>
      <c r="O309" s="37" t="n">
        <v>90</v>
      </c>
      <c r="P309" s="1192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/>
      </c>
      <c r="Q309" s="1030" t="n"/>
      <c r="R309" s="1030" t="n"/>
      <c r="S309" s="1030" t="n"/>
      <c r="T309" s="1031" t="n"/>
      <c r="U309" s="39" t="inlineStr"/>
      <c r="V309" s="39" t="inlineStr"/>
      <c r="W309" s="40" t="inlineStr">
        <is>
          <t>кг</t>
        </is>
      </c>
      <c r="X309" s="1032" t="n">
        <v>0</v>
      </c>
      <c r="Y309" s="1033">
        <f>IFERROR(IF(X309="",0,CEILING((X309/$H309),1)*$H309),"")</f>
        <v/>
      </c>
      <c r="Z309" s="41">
        <f>IFERROR(IF(Y309=0,"",ROUNDUP(Y309/H309,0)*0.0059),"")</f>
        <v/>
      </c>
      <c r="AA309" s="68" t="inlineStr"/>
      <c r="AB309" s="69" t="inlineStr"/>
      <c r="AC309" s="396" t="inlineStr">
        <is>
          <t>ЕАЭС N RU Д-RU.РА03.В.02637/25</t>
        </is>
      </c>
      <c r="AG309" s="78" t="n"/>
      <c r="AJ309" s="84" t="inlineStr"/>
      <c r="AK309" s="84" t="n">
        <v>0</v>
      </c>
      <c r="BB309" s="397" t="inlineStr">
        <is>
          <t>КИ</t>
        </is>
      </c>
      <c r="BM309" s="78">
        <f>IFERROR(X309*I309/H309,"0")</f>
        <v/>
      </c>
      <c r="BN309" s="78">
        <f>IFERROR(Y309*I309/H309,"0")</f>
        <v/>
      </c>
      <c r="BO309" s="78">
        <f>IFERROR(1/J309*(X309/H309),"0")</f>
        <v/>
      </c>
      <c r="BP309" s="78">
        <f>IFERROR(1/J309*(Y309/H309),"0")</f>
        <v/>
      </c>
    </row>
    <row r="310" ht="27" customHeight="1">
      <c r="A310" s="63" t="inlineStr">
        <is>
          <t>SU003920</t>
        </is>
      </c>
      <c r="B310" s="63" t="inlineStr">
        <is>
          <t>P005059</t>
        </is>
      </c>
      <c r="C310" s="36" t="n">
        <v>4301041008</v>
      </c>
      <c r="D310" s="695" t="n">
        <v>4680115886681</v>
      </c>
      <c r="E310" s="989" t="n"/>
      <c r="F310" s="1028" t="n">
        <v>0.12</v>
      </c>
      <c r="G310" s="37" t="n">
        <v>15</v>
      </c>
      <c r="H310" s="1028" t="n">
        <v>1.8</v>
      </c>
      <c r="I310" s="1028" t="n">
        <v>1.975</v>
      </c>
      <c r="J310" s="37" t="n">
        <v>216</v>
      </c>
      <c r="K310" s="37" t="inlineStr">
        <is>
          <t>27</t>
        </is>
      </c>
      <c r="L310" s="37" t="inlineStr"/>
      <c r="M310" s="38" t="inlineStr">
        <is>
          <t>МЗР</t>
        </is>
      </c>
      <c r="N310" s="38" t="n"/>
      <c r="O310" s="37" t="n">
        <v>90</v>
      </c>
      <c r="P310" s="1193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/>
      </c>
      <c r="Q310" s="1030" t="n"/>
      <c r="R310" s="1030" t="n"/>
      <c r="S310" s="1030" t="n"/>
      <c r="T310" s="1031" t="n"/>
      <c r="U310" s="39" t="inlineStr"/>
      <c r="V310" s="39" t="inlineStr"/>
      <c r="W310" s="40" t="inlineStr">
        <is>
          <t>кг</t>
        </is>
      </c>
      <c r="X310" s="1032" t="n">
        <v>0</v>
      </c>
      <c r="Y310" s="1033">
        <f>IFERROR(IF(X310="",0,CEILING((X310/$H310),1)*$H310),"")</f>
        <v/>
      </c>
      <c r="Z310" s="41">
        <f>IFERROR(IF(Y310=0,"",ROUNDUP(Y310/H310,0)*0.0059),"")</f>
        <v/>
      </c>
      <c r="AA310" s="68" t="inlineStr"/>
      <c r="AB310" s="69" t="inlineStr"/>
      <c r="AC310" s="398" t="inlineStr">
        <is>
          <t>ЕАЭС N RU Д-RU.РА03.В.02637/25</t>
        </is>
      </c>
      <c r="AG310" s="78" t="n"/>
      <c r="AJ310" s="84" t="inlineStr"/>
      <c r="AK310" s="84" t="n">
        <v>0</v>
      </c>
      <c r="BB310" s="399" t="inlineStr">
        <is>
          <t>КИ</t>
        </is>
      </c>
      <c r="BM310" s="78">
        <f>IFERROR(X310*I310/H310,"0")</f>
        <v/>
      </c>
      <c r="BN310" s="78">
        <f>IFERROR(Y310*I310/H310,"0")</f>
        <v/>
      </c>
      <c r="BO310" s="78">
        <f>IFERROR(1/J310*(X310/H310),"0")</f>
        <v/>
      </c>
      <c r="BP310" s="78">
        <f>IFERROR(1/J310*(Y310/H310),"0")</f>
        <v/>
      </c>
    </row>
    <row r="311" ht="27" customHeight="1">
      <c r="A311" s="63" t="inlineStr">
        <is>
          <t>SU003925</t>
        </is>
      </c>
      <c r="B311" s="63" t="inlineStr">
        <is>
          <t>P005023</t>
        </is>
      </c>
      <c r="C311" s="36" t="n">
        <v>4301041007</v>
      </c>
      <c r="D311" s="695" t="n">
        <v>4680115886735</v>
      </c>
      <c r="E311" s="989" t="n"/>
      <c r="F311" s="1028" t="n">
        <v>0.05</v>
      </c>
      <c r="G311" s="37" t="n">
        <v>18</v>
      </c>
      <c r="H311" s="1028" t="n">
        <v>0.9</v>
      </c>
      <c r="I311" s="1028" t="n">
        <v>1.09</v>
      </c>
      <c r="J311" s="37" t="n">
        <v>216</v>
      </c>
      <c r="K311" s="37" t="inlineStr">
        <is>
          <t>27</t>
        </is>
      </c>
      <c r="L311" s="37" t="inlineStr"/>
      <c r="M311" s="38" t="inlineStr">
        <is>
          <t>МЗР</t>
        </is>
      </c>
      <c r="N311" s="38" t="n"/>
      <c r="O311" s="37" t="n">
        <v>90</v>
      </c>
      <c r="P311" s="1194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/>
      </c>
      <c r="Q311" s="1030" t="n"/>
      <c r="R311" s="1030" t="n"/>
      <c r="S311" s="1030" t="n"/>
      <c r="T311" s="1031" t="n"/>
      <c r="U311" s="39" t="inlineStr"/>
      <c r="V311" s="39" t="inlineStr"/>
      <c r="W311" s="40" t="inlineStr">
        <is>
          <t>кг</t>
        </is>
      </c>
      <c r="X311" s="1032" t="n">
        <v>0</v>
      </c>
      <c r="Y311" s="1033">
        <f>IFERROR(IF(X311="",0,CEILING((X311/$H311),1)*$H311),"")</f>
        <v/>
      </c>
      <c r="Z311" s="41">
        <f>IFERROR(IF(Y311=0,"",ROUNDUP(Y311/H311,0)*0.0059),"")</f>
        <v/>
      </c>
      <c r="AA311" s="68" t="inlineStr"/>
      <c r="AB311" s="69" t="inlineStr"/>
      <c r="AC311" s="400" t="inlineStr">
        <is>
          <t>ЕАЭС N RU Д-RU.РА03.В.02637/25</t>
        </is>
      </c>
      <c r="AG311" s="78" t="n"/>
      <c r="AJ311" s="84" t="inlineStr"/>
      <c r="AK311" s="84" t="n">
        <v>0</v>
      </c>
      <c r="BB311" s="401" t="inlineStr">
        <is>
          <t>КИ</t>
        </is>
      </c>
      <c r="BM311" s="78">
        <f>IFERROR(X311*I311/H311,"0")</f>
        <v/>
      </c>
      <c r="BN311" s="78">
        <f>IFERROR(Y311*I311/H311,"0")</f>
        <v/>
      </c>
      <c r="BO311" s="78">
        <f>IFERROR(1/J311*(X311/H311),"0")</f>
        <v/>
      </c>
      <c r="BP311" s="78">
        <f>IFERROR(1/J311*(Y311/H311),"0")</f>
        <v/>
      </c>
    </row>
    <row r="312">
      <c r="A312" s="704" t="n"/>
      <c r="B312" s="979" t="n"/>
      <c r="C312" s="979" t="n"/>
      <c r="D312" s="979" t="n"/>
      <c r="E312" s="979" t="n"/>
      <c r="F312" s="979" t="n"/>
      <c r="G312" s="979" t="n"/>
      <c r="H312" s="979" t="n"/>
      <c r="I312" s="979" t="n"/>
      <c r="J312" s="979" t="n"/>
      <c r="K312" s="979" t="n"/>
      <c r="L312" s="979" t="n"/>
      <c r="M312" s="979" t="n"/>
      <c r="N312" s="979" t="n"/>
      <c r="O312" s="1035" t="n"/>
      <c r="P312" s="1036" t="inlineStr">
        <is>
          <t>Итого</t>
        </is>
      </c>
      <c r="Q312" s="997" t="n"/>
      <c r="R312" s="997" t="n"/>
      <c r="S312" s="997" t="n"/>
      <c r="T312" s="997" t="n"/>
      <c r="U312" s="997" t="n"/>
      <c r="V312" s="998" t="n"/>
      <c r="W312" s="42" t="inlineStr">
        <is>
          <t>кор</t>
        </is>
      </c>
      <c r="X312" s="1037">
        <f>IFERROR(X309/H309,"0")+IFERROR(X310/H310,"0")+IFERROR(X311/H311,"0")</f>
        <v/>
      </c>
      <c r="Y312" s="1037">
        <f>IFERROR(Y309/H309,"0")+IFERROR(Y310/H310,"0")+IFERROR(Y311/H311,"0")</f>
        <v/>
      </c>
      <c r="Z312" s="1037">
        <f>IFERROR(IF(Z309="",0,Z309),"0")+IFERROR(IF(Z310="",0,Z310),"0")+IFERROR(IF(Z311="",0,Z311),"0")</f>
        <v/>
      </c>
      <c r="AA312" s="1038" t="n"/>
      <c r="AB312" s="1038" t="n"/>
      <c r="AC312" s="1038" t="n"/>
    </row>
    <row r="313">
      <c r="A313" s="979" t="n"/>
      <c r="B313" s="979" t="n"/>
      <c r="C313" s="979" t="n"/>
      <c r="D313" s="979" t="n"/>
      <c r="E313" s="979" t="n"/>
      <c r="F313" s="979" t="n"/>
      <c r="G313" s="979" t="n"/>
      <c r="H313" s="979" t="n"/>
      <c r="I313" s="979" t="n"/>
      <c r="J313" s="979" t="n"/>
      <c r="K313" s="979" t="n"/>
      <c r="L313" s="979" t="n"/>
      <c r="M313" s="979" t="n"/>
      <c r="N313" s="979" t="n"/>
      <c r="O313" s="1035" t="n"/>
      <c r="P313" s="1036" t="inlineStr">
        <is>
          <t>Итого</t>
        </is>
      </c>
      <c r="Q313" s="997" t="n"/>
      <c r="R313" s="997" t="n"/>
      <c r="S313" s="997" t="n"/>
      <c r="T313" s="997" t="n"/>
      <c r="U313" s="997" t="n"/>
      <c r="V313" s="998" t="n"/>
      <c r="W313" s="42" t="inlineStr">
        <is>
          <t>кг</t>
        </is>
      </c>
      <c r="X313" s="1037">
        <f>IFERROR(SUM(X309:X311),"0")</f>
        <v/>
      </c>
      <c r="Y313" s="1037">
        <f>IFERROR(SUM(Y309:Y311),"0")</f>
        <v/>
      </c>
      <c r="Z313" s="42" t="n"/>
      <c r="AA313" s="1038" t="n"/>
      <c r="AB313" s="1038" t="n"/>
      <c r="AC313" s="1038" t="n"/>
    </row>
    <row r="314" ht="16.5" customHeight="1">
      <c r="A314" s="693" t="inlineStr">
        <is>
          <t>Филедворская по-стародворски</t>
        </is>
      </c>
      <c r="B314" s="979" t="n"/>
      <c r="C314" s="979" t="n"/>
      <c r="D314" s="979" t="n"/>
      <c r="E314" s="979" t="n"/>
      <c r="F314" s="979" t="n"/>
      <c r="G314" s="979" t="n"/>
      <c r="H314" s="979" t="n"/>
      <c r="I314" s="979" t="n"/>
      <c r="J314" s="979" t="n"/>
      <c r="K314" s="979" t="n"/>
      <c r="L314" s="979" t="n"/>
      <c r="M314" s="979" t="n"/>
      <c r="N314" s="979" t="n"/>
      <c r="O314" s="979" t="n"/>
      <c r="P314" s="979" t="n"/>
      <c r="Q314" s="979" t="n"/>
      <c r="R314" s="979" t="n"/>
      <c r="S314" s="979" t="n"/>
      <c r="T314" s="979" t="n"/>
      <c r="U314" s="979" t="n"/>
      <c r="V314" s="979" t="n"/>
      <c r="W314" s="979" t="n"/>
      <c r="X314" s="979" t="n"/>
      <c r="Y314" s="979" t="n"/>
      <c r="Z314" s="979" t="n"/>
      <c r="AA314" s="693" t="n"/>
      <c r="AB314" s="693" t="n"/>
      <c r="AC314" s="693" t="n"/>
    </row>
    <row r="315" ht="14.25" customHeight="1">
      <c r="A315" s="694" t="inlineStr">
        <is>
          <t>Вареные колбасы</t>
        </is>
      </c>
      <c r="B315" s="979" t="n"/>
      <c r="C315" s="979" t="n"/>
      <c r="D315" s="979" t="n"/>
      <c r="E315" s="979" t="n"/>
      <c r="F315" s="979" t="n"/>
      <c r="G315" s="979" t="n"/>
      <c r="H315" s="979" t="n"/>
      <c r="I315" s="979" t="n"/>
      <c r="J315" s="979" t="n"/>
      <c r="K315" s="979" t="n"/>
      <c r="L315" s="979" t="n"/>
      <c r="M315" s="979" t="n"/>
      <c r="N315" s="979" t="n"/>
      <c r="O315" s="979" t="n"/>
      <c r="P315" s="979" t="n"/>
      <c r="Q315" s="979" t="n"/>
      <c r="R315" s="979" t="n"/>
      <c r="S315" s="979" t="n"/>
      <c r="T315" s="979" t="n"/>
      <c r="U315" s="979" t="n"/>
      <c r="V315" s="979" t="n"/>
      <c r="W315" s="979" t="n"/>
      <c r="X315" s="979" t="n"/>
      <c r="Y315" s="979" t="n"/>
      <c r="Z315" s="979" t="n"/>
      <c r="AA315" s="694" t="n"/>
      <c r="AB315" s="694" t="n"/>
      <c r="AC315" s="694" t="n"/>
    </row>
    <row r="316" ht="27" customHeight="1">
      <c r="A316" s="63" t="inlineStr">
        <is>
          <t>SU003389</t>
        </is>
      </c>
      <c r="B316" s="63" t="inlineStr">
        <is>
          <t>P004212</t>
        </is>
      </c>
      <c r="C316" s="36" t="n">
        <v>4301011855</v>
      </c>
      <c r="D316" s="695" t="n">
        <v>4680115885837</v>
      </c>
      <c r="E316" s="989" t="n"/>
      <c r="F316" s="1028" t="n">
        <v>1.35</v>
      </c>
      <c r="G316" s="37" t="n">
        <v>8</v>
      </c>
      <c r="H316" s="1028" t="n">
        <v>10.8</v>
      </c>
      <c r="I316" s="1028" t="n">
        <v>11.21</v>
      </c>
      <c r="J316" s="37" t="n">
        <v>64</v>
      </c>
      <c r="K316" s="37" t="inlineStr">
        <is>
          <t>8</t>
        </is>
      </c>
      <c r="L316" s="37" t="inlineStr"/>
      <c r="M316" s="38" t="inlineStr">
        <is>
          <t>СК1</t>
        </is>
      </c>
      <c r="N316" s="38" t="n"/>
      <c r="O316" s="37" t="n">
        <v>55</v>
      </c>
      <c r="P316" s="1195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316" s="1030" t="n"/>
      <c r="R316" s="1030" t="n"/>
      <c r="S316" s="1030" t="n"/>
      <c r="T316" s="1031" t="n"/>
      <c r="U316" s="39" t="inlineStr"/>
      <c r="V316" s="39" t="inlineStr"/>
      <c r="W316" s="40" t="inlineStr">
        <is>
          <t>кг</t>
        </is>
      </c>
      <c r="X316" s="1032" t="n">
        <v>0</v>
      </c>
      <c r="Y316" s="1033">
        <f>IFERROR(IF(X316="",0,CEILING((X316/$H316),1)*$H316),"")</f>
        <v/>
      </c>
      <c r="Z316" s="41">
        <f>IFERROR(IF(Y316=0,"",ROUNDUP(Y316/H316,0)*0.01898),"")</f>
        <v/>
      </c>
      <c r="AA316" s="68" t="inlineStr"/>
      <c r="AB316" s="69" t="inlineStr"/>
      <c r="AC316" s="402" t="inlineStr">
        <is>
          <t>ЕАЭС N RU Д-RU.РА03.В.10450/26, ЕАЭС N RU Д-RU.РА05.В.80817/24</t>
        </is>
      </c>
      <c r="AG316" s="78" t="n"/>
      <c r="AJ316" s="84" t="inlineStr"/>
      <c r="AK316" s="84" t="n">
        <v>0</v>
      </c>
      <c r="BB316" s="403" t="inlineStr">
        <is>
          <t>КИ</t>
        </is>
      </c>
      <c r="BM316" s="78">
        <f>IFERROR(X316*I316/H316,"0")</f>
        <v/>
      </c>
      <c r="BN316" s="78">
        <f>IFERROR(Y316*I316/H316,"0")</f>
        <v/>
      </c>
      <c r="BO316" s="78">
        <f>IFERROR(1/J316*(X316/H316),"0")</f>
        <v/>
      </c>
      <c r="BP316" s="78">
        <f>IFERROR(1/J316*(Y316/H316),"0")</f>
        <v/>
      </c>
    </row>
    <row r="317" ht="37.5" customHeight="1">
      <c r="A317" s="63" t="inlineStr">
        <is>
          <t>SU004008</t>
        </is>
      </c>
      <c r="B317" s="63" t="inlineStr">
        <is>
          <t>P005137</t>
        </is>
      </c>
      <c r="C317" s="36" t="n">
        <v>4301012234</v>
      </c>
      <c r="D317" s="695" t="n">
        <v>4680115887237</v>
      </c>
      <c r="E317" s="989" t="n"/>
      <c r="F317" s="1028" t="n">
        <v>1.35</v>
      </c>
      <c r="G317" s="37" t="n">
        <v>8</v>
      </c>
      <c r="H317" s="1028" t="n">
        <v>10.8</v>
      </c>
      <c r="I317" s="1028" t="n">
        <v>11.21</v>
      </c>
      <c r="J317" s="37" t="n">
        <v>64</v>
      </c>
      <c r="K317" s="37" t="inlineStr">
        <is>
          <t>8</t>
        </is>
      </c>
      <c r="L317" s="37" t="inlineStr"/>
      <c r="M317" s="38" t="inlineStr">
        <is>
          <t>СК1</t>
        </is>
      </c>
      <c r="N317" s="38" t="n"/>
      <c r="O317" s="37" t="n">
        <v>55</v>
      </c>
      <c r="P317" s="1196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/>
      </c>
      <c r="Q317" s="1030" t="n"/>
      <c r="R317" s="1030" t="n"/>
      <c r="S317" s="1030" t="n"/>
      <c r="T317" s="1031" t="n"/>
      <c r="U317" s="39" t="inlineStr"/>
      <c r="V317" s="39" t="inlineStr"/>
      <c r="W317" s="40" t="inlineStr">
        <is>
          <t>кг</t>
        </is>
      </c>
      <c r="X317" s="1032" t="n">
        <v>0</v>
      </c>
      <c r="Y317" s="1033">
        <f>IFERROR(IF(X317="",0,CEILING((X317/$H317),1)*$H317),"")</f>
        <v/>
      </c>
      <c r="Z317" s="41">
        <f>IFERROR(IF(Y317=0,"",ROUNDUP(Y317/H317,0)*0.01898),"")</f>
        <v/>
      </c>
      <c r="AA317" s="68" t="inlineStr"/>
      <c r="AB317" s="69" t="inlineStr"/>
      <c r="AC317" s="404" t="inlineStr">
        <is>
          <t>ЕАЭС N RU Д-RU.РА09.В.01891/25</t>
        </is>
      </c>
      <c r="AG317" s="78" t="n"/>
      <c r="AJ317" s="84" t="inlineStr"/>
      <c r="AK317" s="84" t="n">
        <v>0</v>
      </c>
      <c r="BB317" s="405" t="inlineStr">
        <is>
          <t>КИ</t>
        </is>
      </c>
      <c r="BM317" s="78">
        <f>IFERROR(X317*I317/H317,"0")</f>
        <v/>
      </c>
      <c r="BN317" s="78">
        <f>IFERROR(Y317*I317/H317,"0")</f>
        <v/>
      </c>
      <c r="BO317" s="78">
        <f>IFERROR(1/J317*(X317/H317),"0")</f>
        <v/>
      </c>
      <c r="BP317" s="78">
        <f>IFERROR(1/J317*(Y317/H317),"0")</f>
        <v/>
      </c>
    </row>
    <row r="318" ht="27" customHeight="1">
      <c r="A318" s="63" t="inlineStr">
        <is>
          <t>SU003387</t>
        </is>
      </c>
      <c r="B318" s="63" t="inlineStr">
        <is>
          <t>P004206</t>
        </is>
      </c>
      <c r="C318" s="36" t="n">
        <v>4301011850</v>
      </c>
      <c r="D318" s="695" t="n">
        <v>4680115885806</v>
      </c>
      <c r="E318" s="989" t="n"/>
      <c r="F318" s="1028" t="n">
        <v>1.35</v>
      </c>
      <c r="G318" s="37" t="n">
        <v>8</v>
      </c>
      <c r="H318" s="1028" t="n">
        <v>10.8</v>
      </c>
      <c r="I318" s="1028" t="n">
        <v>11.21</v>
      </c>
      <c r="J318" s="37" t="n">
        <v>64</v>
      </c>
      <c r="K318" s="37" t="inlineStr">
        <is>
          <t>8</t>
        </is>
      </c>
      <c r="L318" s="37" t="inlineStr"/>
      <c r="M318" s="38" t="inlineStr">
        <is>
          <t>СК1</t>
        </is>
      </c>
      <c r="N318" s="38" t="n"/>
      <c r="O318" s="37" t="n">
        <v>55</v>
      </c>
      <c r="P318" s="1197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318" s="1030" t="n"/>
      <c r="R318" s="1030" t="n"/>
      <c r="S318" s="1030" t="n"/>
      <c r="T318" s="1031" t="n"/>
      <c r="U318" s="39" t="inlineStr"/>
      <c r="V318" s="39" t="inlineStr"/>
      <c r="W318" s="40" t="inlineStr">
        <is>
          <t>кг</t>
        </is>
      </c>
      <c r="X318" s="1032" t="n">
        <v>0</v>
      </c>
      <c r="Y318" s="1033">
        <f>IFERROR(IF(X318="",0,CEILING((X318/$H318),1)*$H318),"")</f>
        <v/>
      </c>
      <c r="Z318" s="41">
        <f>IFERROR(IF(Y318=0,"",ROUNDUP(Y318/H318,0)*0.01898),"")</f>
        <v/>
      </c>
      <c r="AA318" s="68" t="inlineStr"/>
      <c r="AB318" s="69" t="inlineStr"/>
      <c r="AC318" s="406" t="inlineStr">
        <is>
          <t>ЕАЭС N RU Д-RU.РА02.В.98016/26, ЕАЭС N RU Д-RU.РА03.В.06112/26</t>
        </is>
      </c>
      <c r="AG318" s="78" t="n"/>
      <c r="AJ318" s="84" t="inlineStr"/>
      <c r="AK318" s="84" t="n">
        <v>0</v>
      </c>
      <c r="BB318" s="407" t="inlineStr">
        <is>
          <t>КИ</t>
        </is>
      </c>
      <c r="BM318" s="78">
        <f>IFERROR(X318*I318/H318,"0")</f>
        <v/>
      </c>
      <c r="BN318" s="78">
        <f>IFERROR(Y318*I318/H318,"0")</f>
        <v/>
      </c>
      <c r="BO318" s="78">
        <f>IFERROR(1/J318*(X318/H318),"0")</f>
        <v/>
      </c>
      <c r="BP318" s="78">
        <f>IFERROR(1/J318*(Y318/H318),"0")</f>
        <v/>
      </c>
    </row>
    <row r="319" ht="27" customHeight="1">
      <c r="A319" s="63" t="inlineStr">
        <is>
          <t>SU003390</t>
        </is>
      </c>
      <c r="B319" s="63" t="inlineStr">
        <is>
          <t>P004208</t>
        </is>
      </c>
      <c r="C319" s="36" t="n">
        <v>4301011852</v>
      </c>
      <c r="D319" s="695" t="n">
        <v>4680115885844</v>
      </c>
      <c r="E319" s="989" t="n"/>
      <c r="F319" s="1028" t="n">
        <v>0.4</v>
      </c>
      <c r="G319" s="37" t="n">
        <v>10</v>
      </c>
      <c r="H319" s="1028" t="n">
        <v>4</v>
      </c>
      <c r="I319" s="1028" t="n">
        <v>4.19</v>
      </c>
      <c r="J319" s="37" t="n">
        <v>132</v>
      </c>
      <c r="K319" s="37" t="inlineStr">
        <is>
          <t>12</t>
        </is>
      </c>
      <c r="L319" s="37" t="inlineStr"/>
      <c r="M319" s="38" t="inlineStr">
        <is>
          <t>СК1</t>
        </is>
      </c>
      <c r="N319" s="38" t="n"/>
      <c r="O319" s="37" t="n">
        <v>55</v>
      </c>
      <c r="P319" s="1198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319" s="1030" t="n"/>
      <c r="R319" s="1030" t="n"/>
      <c r="S319" s="1030" t="n"/>
      <c r="T319" s="1031" t="n"/>
      <c r="U319" s="39" t="inlineStr"/>
      <c r="V319" s="39" t="inlineStr"/>
      <c r="W319" s="40" t="inlineStr">
        <is>
          <t>кг</t>
        </is>
      </c>
      <c r="X319" s="1032" t="n">
        <v>0</v>
      </c>
      <c r="Y319" s="1033">
        <f>IFERROR(IF(X319="",0,CEILING((X319/$H319),1)*$H319),"")</f>
        <v/>
      </c>
      <c r="Z319" s="41">
        <f>IFERROR(IF(Y319=0,"",ROUNDUP(Y319/H319,0)*0.00902),"")</f>
        <v/>
      </c>
      <c r="AA319" s="68" t="inlineStr"/>
      <c r="AB319" s="69" t="inlineStr"/>
      <c r="AC319" s="408" t="inlineStr">
        <is>
          <t>ЕАЭС N RU Д-RU.РА03.В.10450/26</t>
        </is>
      </c>
      <c r="AG319" s="78" t="n"/>
      <c r="AJ319" s="84" t="inlineStr"/>
      <c r="AK319" s="84" t="n">
        <v>0</v>
      </c>
      <c r="BB319" s="409" t="inlineStr">
        <is>
          <t>КИ</t>
        </is>
      </c>
      <c r="BM319" s="78">
        <f>IFERROR(X319*I319/H319,"0")</f>
        <v/>
      </c>
      <c r="BN319" s="78">
        <f>IFERROR(Y319*I319/H319,"0")</f>
        <v/>
      </c>
      <c r="BO319" s="78">
        <f>IFERROR(1/J319*(X319/H319),"0")</f>
        <v/>
      </c>
      <c r="BP319" s="78">
        <f>IFERROR(1/J319*(Y319/H319),"0")</f>
        <v/>
      </c>
    </row>
    <row r="320" ht="37.5" customHeight="1">
      <c r="A320" s="63" t="inlineStr">
        <is>
          <t>SU003388</t>
        </is>
      </c>
      <c r="B320" s="63" t="inlineStr">
        <is>
          <t>P004207</t>
        </is>
      </c>
      <c r="C320" s="36" t="n">
        <v>4301011851</v>
      </c>
      <c r="D320" s="695" t="n">
        <v>4680115885820</v>
      </c>
      <c r="E320" s="989" t="n"/>
      <c r="F320" s="1028" t="n">
        <v>0.4</v>
      </c>
      <c r="G320" s="37" t="n">
        <v>10</v>
      </c>
      <c r="H320" s="1028" t="n">
        <v>4</v>
      </c>
      <c r="I320" s="1028" t="n">
        <v>4.19</v>
      </c>
      <c r="J320" s="37" t="n">
        <v>132</v>
      </c>
      <c r="K320" s="37" t="inlineStr">
        <is>
          <t>12</t>
        </is>
      </c>
      <c r="L320" s="37" t="inlineStr"/>
      <c r="M320" s="38" t="inlineStr">
        <is>
          <t>СК1</t>
        </is>
      </c>
      <c r="N320" s="38" t="n"/>
      <c r="O320" s="37" t="n">
        <v>55</v>
      </c>
      <c r="P320" s="1199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320" s="1030" t="n"/>
      <c r="R320" s="1030" t="n"/>
      <c r="S320" s="1030" t="n"/>
      <c r="T320" s="1031" t="n"/>
      <c r="U320" s="39" t="inlineStr"/>
      <c r="V320" s="39" t="inlineStr"/>
      <c r="W320" s="40" t="inlineStr">
        <is>
          <t>кг</t>
        </is>
      </c>
      <c r="X320" s="1032" t="n">
        <v>0</v>
      </c>
      <c r="Y320" s="1033">
        <f>IFERROR(IF(X320="",0,CEILING((X320/$H320),1)*$H320),"")</f>
        <v/>
      </c>
      <c r="Z320" s="41">
        <f>IFERROR(IF(Y320=0,"",ROUNDUP(Y320/H320,0)*0.00902),"")</f>
        <v/>
      </c>
      <c r="AA320" s="68" t="inlineStr"/>
      <c r="AB320" s="69" t="inlineStr"/>
      <c r="AC320" s="410" t="inlineStr">
        <is>
          <t>ЕАЭС N RU Д-RU.РА03.В.06112/26</t>
        </is>
      </c>
      <c r="AG320" s="78" t="n"/>
      <c r="AJ320" s="84" t="inlineStr"/>
      <c r="AK320" s="84" t="n">
        <v>0</v>
      </c>
      <c r="BB320" s="411" t="inlineStr">
        <is>
          <t>КИ</t>
        </is>
      </c>
      <c r="BM320" s="78">
        <f>IFERROR(X320*I320/H320,"0")</f>
        <v/>
      </c>
      <c r="BN320" s="78">
        <f>IFERROR(Y320*I320/H320,"0")</f>
        <v/>
      </c>
      <c r="BO320" s="78">
        <f>IFERROR(1/J320*(X320/H320),"0")</f>
        <v/>
      </c>
      <c r="BP320" s="78">
        <f>IFERROR(1/J320*(Y320/H320),"0")</f>
        <v/>
      </c>
    </row>
    <row r="321">
      <c r="A321" s="704" t="n"/>
      <c r="B321" s="979" t="n"/>
      <c r="C321" s="979" t="n"/>
      <c r="D321" s="979" t="n"/>
      <c r="E321" s="979" t="n"/>
      <c r="F321" s="979" t="n"/>
      <c r="G321" s="979" t="n"/>
      <c r="H321" s="979" t="n"/>
      <c r="I321" s="979" t="n"/>
      <c r="J321" s="979" t="n"/>
      <c r="K321" s="979" t="n"/>
      <c r="L321" s="979" t="n"/>
      <c r="M321" s="979" t="n"/>
      <c r="N321" s="979" t="n"/>
      <c r="O321" s="1035" t="n"/>
      <c r="P321" s="1036" t="inlineStr">
        <is>
          <t>Итого</t>
        </is>
      </c>
      <c r="Q321" s="997" t="n"/>
      <c r="R321" s="997" t="n"/>
      <c r="S321" s="997" t="n"/>
      <c r="T321" s="997" t="n"/>
      <c r="U321" s="997" t="n"/>
      <c r="V321" s="998" t="n"/>
      <c r="W321" s="42" t="inlineStr">
        <is>
          <t>кор</t>
        </is>
      </c>
      <c r="X321" s="1037">
        <f>IFERROR(X316/H316,"0")+IFERROR(X317/H317,"0")+IFERROR(X318/H318,"0")+IFERROR(X319/H319,"0")+IFERROR(X320/H320,"0")</f>
        <v/>
      </c>
      <c r="Y321" s="1037">
        <f>IFERROR(Y316/H316,"0")+IFERROR(Y317/H317,"0")+IFERROR(Y318/H318,"0")+IFERROR(Y319/H319,"0")+IFERROR(Y320/H320,"0")</f>
        <v/>
      </c>
      <c r="Z321" s="1037">
        <f>IFERROR(IF(Z316="",0,Z316),"0")+IFERROR(IF(Z317="",0,Z317),"0")+IFERROR(IF(Z318="",0,Z318),"0")+IFERROR(IF(Z319="",0,Z319),"0")+IFERROR(IF(Z320="",0,Z320),"0")</f>
        <v/>
      </c>
      <c r="AA321" s="1038" t="n"/>
      <c r="AB321" s="1038" t="n"/>
      <c r="AC321" s="1038" t="n"/>
    </row>
    <row r="322">
      <c r="A322" s="979" t="n"/>
      <c r="B322" s="979" t="n"/>
      <c r="C322" s="979" t="n"/>
      <c r="D322" s="979" t="n"/>
      <c r="E322" s="979" t="n"/>
      <c r="F322" s="979" t="n"/>
      <c r="G322" s="979" t="n"/>
      <c r="H322" s="979" t="n"/>
      <c r="I322" s="979" t="n"/>
      <c r="J322" s="979" t="n"/>
      <c r="K322" s="979" t="n"/>
      <c r="L322" s="979" t="n"/>
      <c r="M322" s="979" t="n"/>
      <c r="N322" s="979" t="n"/>
      <c r="O322" s="1035" t="n"/>
      <c r="P322" s="1036" t="inlineStr">
        <is>
          <t>Итого</t>
        </is>
      </c>
      <c r="Q322" s="997" t="n"/>
      <c r="R322" s="997" t="n"/>
      <c r="S322" s="997" t="n"/>
      <c r="T322" s="997" t="n"/>
      <c r="U322" s="997" t="n"/>
      <c r="V322" s="998" t="n"/>
      <c r="W322" s="42" t="inlineStr">
        <is>
          <t>кг</t>
        </is>
      </c>
      <c r="X322" s="1037">
        <f>IFERROR(SUM(X316:X320),"0")</f>
        <v/>
      </c>
      <c r="Y322" s="1037">
        <f>IFERROR(SUM(Y316:Y320),"0")</f>
        <v/>
      </c>
      <c r="Z322" s="42" t="n"/>
      <c r="AA322" s="1038" t="n"/>
      <c r="AB322" s="1038" t="n"/>
      <c r="AC322" s="1038" t="n"/>
    </row>
    <row r="323" ht="16.5" customHeight="1">
      <c r="A323" s="693" t="inlineStr">
        <is>
          <t>Сочинка по-баварски</t>
        </is>
      </c>
      <c r="B323" s="979" t="n"/>
      <c r="C323" s="979" t="n"/>
      <c r="D323" s="979" t="n"/>
      <c r="E323" s="979" t="n"/>
      <c r="F323" s="979" t="n"/>
      <c r="G323" s="979" t="n"/>
      <c r="H323" s="979" t="n"/>
      <c r="I323" s="979" t="n"/>
      <c r="J323" s="979" t="n"/>
      <c r="K323" s="979" t="n"/>
      <c r="L323" s="979" t="n"/>
      <c r="M323" s="979" t="n"/>
      <c r="N323" s="979" t="n"/>
      <c r="O323" s="979" t="n"/>
      <c r="P323" s="979" t="n"/>
      <c r="Q323" s="979" t="n"/>
      <c r="R323" s="979" t="n"/>
      <c r="S323" s="979" t="n"/>
      <c r="T323" s="979" t="n"/>
      <c r="U323" s="979" t="n"/>
      <c r="V323" s="979" t="n"/>
      <c r="W323" s="979" t="n"/>
      <c r="X323" s="979" t="n"/>
      <c r="Y323" s="979" t="n"/>
      <c r="Z323" s="979" t="n"/>
      <c r="AA323" s="693" t="n"/>
      <c r="AB323" s="693" t="n"/>
      <c r="AC323" s="693" t="n"/>
    </row>
    <row r="324" ht="14.25" customHeight="1">
      <c r="A324" s="694" t="inlineStr">
        <is>
          <t>Сосиски</t>
        </is>
      </c>
      <c r="B324" s="979" t="n"/>
      <c r="C324" s="979" t="n"/>
      <c r="D324" s="979" t="n"/>
      <c r="E324" s="979" t="n"/>
      <c r="F324" s="979" t="n"/>
      <c r="G324" s="979" t="n"/>
      <c r="H324" s="979" t="n"/>
      <c r="I324" s="979" t="n"/>
      <c r="J324" s="979" t="n"/>
      <c r="K324" s="979" t="n"/>
      <c r="L324" s="979" t="n"/>
      <c r="M324" s="979" t="n"/>
      <c r="N324" s="979" t="n"/>
      <c r="O324" s="979" t="n"/>
      <c r="P324" s="979" t="n"/>
      <c r="Q324" s="979" t="n"/>
      <c r="R324" s="979" t="n"/>
      <c r="S324" s="979" t="n"/>
      <c r="T324" s="979" t="n"/>
      <c r="U324" s="979" t="n"/>
      <c r="V324" s="979" t="n"/>
      <c r="W324" s="979" t="n"/>
      <c r="X324" s="979" t="n"/>
      <c r="Y324" s="979" t="n"/>
      <c r="Z324" s="979" t="n"/>
      <c r="AA324" s="694" t="n"/>
      <c r="AB324" s="694" t="n"/>
      <c r="AC324" s="694" t="n"/>
    </row>
    <row r="325" ht="27" customHeight="1">
      <c r="A325" s="63" t="inlineStr">
        <is>
          <t>SU003814</t>
        </is>
      </c>
      <c r="B325" s="63" t="inlineStr">
        <is>
          <t>P004838</t>
        </is>
      </c>
      <c r="C325" s="36" t="n">
        <v>4301051893</v>
      </c>
      <c r="D325" s="695" t="n">
        <v>4680115886186</v>
      </c>
      <c r="E325" s="989" t="n"/>
      <c r="F325" s="1028" t="n">
        <v>0.3</v>
      </c>
      <c r="G325" s="37" t="n">
        <v>6</v>
      </c>
      <c r="H325" s="1028" t="n">
        <v>1.8</v>
      </c>
      <c r="I325" s="1028" t="n">
        <v>1.98</v>
      </c>
      <c r="J325" s="37" t="n">
        <v>182</v>
      </c>
      <c r="K325" s="37" t="inlineStr">
        <is>
          <t>14</t>
        </is>
      </c>
      <c r="L325" s="37" t="inlineStr"/>
      <c r="M325" s="38" t="inlineStr">
        <is>
          <t>СК3</t>
        </is>
      </c>
      <c r="N325" s="38" t="n"/>
      <c r="O325" s="37" t="n">
        <v>45</v>
      </c>
      <c r="P325" s="1200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325" s="1030" t="n"/>
      <c r="R325" s="1030" t="n"/>
      <c r="S325" s="1030" t="n"/>
      <c r="T325" s="1031" t="n"/>
      <c r="U325" s="39" t="inlineStr"/>
      <c r="V325" s="39" t="inlineStr"/>
      <c r="W325" s="40" t="inlineStr">
        <is>
          <t>кг</t>
        </is>
      </c>
      <c r="X325" s="1032" t="n">
        <v>0</v>
      </c>
      <c r="Y325" s="1033">
        <f>IFERROR(IF(X325="",0,CEILING((X325/$H325),1)*$H325),"")</f>
        <v/>
      </c>
      <c r="Z325" s="41">
        <f>IFERROR(IF(Y325=0,"",ROUNDUP(Y325/H325,0)*0.00651),"")</f>
        <v/>
      </c>
      <c r="AA325" s="68" t="inlineStr"/>
      <c r="AB325" s="69" t="inlineStr"/>
      <c r="AC325" s="412" t="inlineStr">
        <is>
          <t>ЕАЭС N RU Д-RU.РА07.В.46813/25, ЕАЭС N RU Д-RU.РА09.В.38629/25</t>
        </is>
      </c>
      <c r="AG325" s="78" t="n"/>
      <c r="AJ325" s="84" t="inlineStr"/>
      <c r="AK325" s="84" t="n">
        <v>0</v>
      </c>
      <c r="BB325" s="413" t="inlineStr">
        <is>
          <t>КИ</t>
        </is>
      </c>
      <c r="BM325" s="78">
        <f>IFERROR(X325*I325/H325,"0")</f>
        <v/>
      </c>
      <c r="BN325" s="78">
        <f>IFERROR(Y325*I325/H325,"0")</f>
        <v/>
      </c>
      <c r="BO325" s="78">
        <f>IFERROR(1/J325*(X325/H325),"0")</f>
        <v/>
      </c>
      <c r="BP325" s="78">
        <f>IFERROR(1/J325*(Y325/H325),"0")</f>
        <v/>
      </c>
    </row>
    <row r="326" ht="27" customHeight="1">
      <c r="A326" s="63" t="inlineStr">
        <is>
          <t>SU002801</t>
        </is>
      </c>
      <c r="B326" s="63" t="inlineStr">
        <is>
          <t>P003475</t>
        </is>
      </c>
      <c r="C326" s="36" t="n">
        <v>4301051795</v>
      </c>
      <c r="D326" s="695" t="n">
        <v>4680115881228</v>
      </c>
      <c r="E326" s="989" t="n"/>
      <c r="F326" s="1028" t="n">
        <v>0.4</v>
      </c>
      <c r="G326" s="37" t="n">
        <v>6</v>
      </c>
      <c r="H326" s="1028" t="n">
        <v>2.4</v>
      </c>
      <c r="I326" s="1028" t="n">
        <v>2.652</v>
      </c>
      <c r="J326" s="37" t="n">
        <v>182</v>
      </c>
      <c r="K326" s="37" t="inlineStr">
        <is>
          <t>14</t>
        </is>
      </c>
      <c r="L326" s="37" t="inlineStr"/>
      <c r="M326" s="38" t="inlineStr">
        <is>
          <t>СК4</t>
        </is>
      </c>
      <c r="N326" s="38" t="n"/>
      <c r="O326" s="37" t="n">
        <v>40</v>
      </c>
      <c r="P326" s="1201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326" s="1030" t="n"/>
      <c r="R326" s="1030" t="n"/>
      <c r="S326" s="1030" t="n"/>
      <c r="T326" s="1031" t="n"/>
      <c r="U326" s="39" t="inlineStr"/>
      <c r="V326" s="39" t="inlineStr"/>
      <c r="W326" s="40" t="inlineStr">
        <is>
          <t>кг</t>
        </is>
      </c>
      <c r="X326" s="1032" t="n">
        <v>0</v>
      </c>
      <c r="Y326" s="1033">
        <f>IFERROR(IF(X326="",0,CEILING((X326/$H326),1)*$H326),"")</f>
        <v/>
      </c>
      <c r="Z326" s="41">
        <f>IFERROR(IF(Y326=0,"",ROUNDUP(Y326/H326,0)*0.00651),"")</f>
        <v/>
      </c>
      <c r="AA326" s="68" t="inlineStr"/>
      <c r="AB326" s="69" t="inlineStr"/>
      <c r="AC326" s="414" t="inlineStr">
        <is>
          <t>ЕАЭС N RU Д-RU.РА09.В.38306/25</t>
        </is>
      </c>
      <c r="AG326" s="78" t="n"/>
      <c r="AJ326" s="84" t="inlineStr"/>
      <c r="AK326" s="84" t="n">
        <v>0</v>
      </c>
      <c r="BB326" s="415" t="inlineStr">
        <is>
          <t>КИ</t>
        </is>
      </c>
      <c r="BM326" s="78">
        <f>IFERROR(X326*I326/H326,"0")</f>
        <v/>
      </c>
      <c r="BN326" s="78">
        <f>IFERROR(Y326*I326/H326,"0")</f>
        <v/>
      </c>
      <c r="BO326" s="78">
        <f>IFERROR(1/J326*(X326/H326),"0")</f>
        <v/>
      </c>
      <c r="BP326" s="78">
        <f>IFERROR(1/J326*(Y326/H326),"0")</f>
        <v/>
      </c>
    </row>
    <row r="327" ht="27" customHeight="1">
      <c r="A327" s="63" t="inlineStr">
        <is>
          <t>SU002799</t>
        </is>
      </c>
      <c r="B327" s="63" t="inlineStr">
        <is>
          <t>P003217</t>
        </is>
      </c>
      <c r="C327" s="36" t="n">
        <v>4301051388</v>
      </c>
      <c r="D327" s="695" t="n">
        <v>4680115881211</v>
      </c>
      <c r="E327" s="989" t="n"/>
      <c r="F327" s="1028" t="n">
        <v>0.4</v>
      </c>
      <c r="G327" s="37" t="n">
        <v>6</v>
      </c>
      <c r="H327" s="1028" t="n">
        <v>2.4</v>
      </c>
      <c r="I327" s="1028" t="n">
        <v>2.58</v>
      </c>
      <c r="J327" s="37" t="n">
        <v>182</v>
      </c>
      <c r="K327" s="37" t="inlineStr">
        <is>
          <t>14</t>
        </is>
      </c>
      <c r="L327" s="37" t="inlineStr"/>
      <c r="M327" s="38" t="inlineStr">
        <is>
          <t>СК3</t>
        </is>
      </c>
      <c r="N327" s="38" t="n"/>
      <c r="O327" s="37" t="n">
        <v>45</v>
      </c>
      <c r="P327" s="1202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327" s="1030" t="n"/>
      <c r="R327" s="1030" t="n"/>
      <c r="S327" s="1030" t="n"/>
      <c r="T327" s="1031" t="n"/>
      <c r="U327" s="39" t="inlineStr"/>
      <c r="V327" s="39" t="inlineStr"/>
      <c r="W327" s="40" t="inlineStr">
        <is>
          <t>кг</t>
        </is>
      </c>
      <c r="X327" s="1032" t="n">
        <v>0</v>
      </c>
      <c r="Y327" s="1033">
        <f>IFERROR(IF(X327="",0,CEILING((X327/$H327),1)*$H327),"")</f>
        <v/>
      </c>
      <c r="Z327" s="41">
        <f>IFERROR(IF(Y327=0,"",ROUNDUP(Y327/H327,0)*0.00651),"")</f>
        <v/>
      </c>
      <c r="AA327" s="68" t="inlineStr"/>
      <c r="AB327" s="69" t="inlineStr"/>
      <c r="AC327" s="416" t="inlineStr">
        <is>
          <t>ЕАЭС N RU Д-RU.РА07.В.46813/25, ЕАЭС N RU Д-RU.РА09.В.38629/25</t>
        </is>
      </c>
      <c r="AG327" s="78" t="n"/>
      <c r="AJ327" s="84" t="inlineStr"/>
      <c r="AK327" s="84" t="n">
        <v>0</v>
      </c>
      <c r="BB327" s="417" t="inlineStr">
        <is>
          <t>КИ</t>
        </is>
      </c>
      <c r="BM327" s="78">
        <f>IFERROR(X327*I327/H327,"0")</f>
        <v/>
      </c>
      <c r="BN327" s="78">
        <f>IFERROR(Y327*I327/H327,"0")</f>
        <v/>
      </c>
      <c r="BO327" s="78">
        <f>IFERROR(1/J327*(X327/H327),"0")</f>
        <v/>
      </c>
      <c r="BP327" s="78">
        <f>IFERROR(1/J327*(Y327/H327),"0")</f>
        <v/>
      </c>
    </row>
    <row r="328">
      <c r="A328" s="704" t="n"/>
      <c r="B328" s="979" t="n"/>
      <c r="C328" s="979" t="n"/>
      <c r="D328" s="979" t="n"/>
      <c r="E328" s="979" t="n"/>
      <c r="F328" s="979" t="n"/>
      <c r="G328" s="979" t="n"/>
      <c r="H328" s="979" t="n"/>
      <c r="I328" s="979" t="n"/>
      <c r="J328" s="979" t="n"/>
      <c r="K328" s="979" t="n"/>
      <c r="L328" s="979" t="n"/>
      <c r="M328" s="979" t="n"/>
      <c r="N328" s="979" t="n"/>
      <c r="O328" s="1035" t="n"/>
      <c r="P328" s="1036" t="inlineStr">
        <is>
          <t>Итого</t>
        </is>
      </c>
      <c r="Q328" s="997" t="n"/>
      <c r="R328" s="997" t="n"/>
      <c r="S328" s="997" t="n"/>
      <c r="T328" s="997" t="n"/>
      <c r="U328" s="997" t="n"/>
      <c r="V328" s="998" t="n"/>
      <c r="W328" s="42" t="inlineStr">
        <is>
          <t>кор</t>
        </is>
      </c>
      <c r="X328" s="1037">
        <f>IFERROR(X325/H325,"0")+IFERROR(X326/H326,"0")+IFERROR(X327/H327,"0")</f>
        <v/>
      </c>
      <c r="Y328" s="1037">
        <f>IFERROR(Y325/H325,"0")+IFERROR(Y326/H326,"0")+IFERROR(Y327/H327,"0")</f>
        <v/>
      </c>
      <c r="Z328" s="1037">
        <f>IFERROR(IF(Z325="",0,Z325),"0")+IFERROR(IF(Z326="",0,Z326),"0")+IFERROR(IF(Z327="",0,Z327),"0")</f>
        <v/>
      </c>
      <c r="AA328" s="1038" t="n"/>
      <c r="AB328" s="1038" t="n"/>
      <c r="AC328" s="1038" t="n"/>
    </row>
    <row r="329">
      <c r="A329" s="979" t="n"/>
      <c r="B329" s="979" t="n"/>
      <c r="C329" s="979" t="n"/>
      <c r="D329" s="979" t="n"/>
      <c r="E329" s="979" t="n"/>
      <c r="F329" s="979" t="n"/>
      <c r="G329" s="979" t="n"/>
      <c r="H329" s="979" t="n"/>
      <c r="I329" s="979" t="n"/>
      <c r="J329" s="979" t="n"/>
      <c r="K329" s="979" t="n"/>
      <c r="L329" s="979" t="n"/>
      <c r="M329" s="979" t="n"/>
      <c r="N329" s="979" t="n"/>
      <c r="O329" s="1035" t="n"/>
      <c r="P329" s="1036" t="inlineStr">
        <is>
          <t>Итого</t>
        </is>
      </c>
      <c r="Q329" s="997" t="n"/>
      <c r="R329" s="997" t="n"/>
      <c r="S329" s="997" t="n"/>
      <c r="T329" s="997" t="n"/>
      <c r="U329" s="997" t="n"/>
      <c r="V329" s="998" t="n"/>
      <c r="W329" s="42" t="inlineStr">
        <is>
          <t>кг</t>
        </is>
      </c>
      <c r="X329" s="1037">
        <f>IFERROR(SUM(X325:X327),"0")</f>
        <v/>
      </c>
      <c r="Y329" s="1037">
        <f>IFERROR(SUM(Y325:Y327),"0")</f>
        <v/>
      </c>
      <c r="Z329" s="42" t="n"/>
      <c r="AA329" s="1038" t="n"/>
      <c r="AB329" s="1038" t="n"/>
      <c r="AC329" s="1038" t="n"/>
    </row>
    <row r="330" ht="16.5" customHeight="1">
      <c r="A330" s="693" t="inlineStr">
        <is>
          <t>Стародворская EDLP/EDPP</t>
        </is>
      </c>
      <c r="B330" s="979" t="n"/>
      <c r="C330" s="979" t="n"/>
      <c r="D330" s="979" t="n"/>
      <c r="E330" s="979" t="n"/>
      <c r="F330" s="979" t="n"/>
      <c r="G330" s="979" t="n"/>
      <c r="H330" s="979" t="n"/>
      <c r="I330" s="979" t="n"/>
      <c r="J330" s="979" t="n"/>
      <c r="K330" s="979" t="n"/>
      <c r="L330" s="979" t="n"/>
      <c r="M330" s="979" t="n"/>
      <c r="N330" s="979" t="n"/>
      <c r="O330" s="979" t="n"/>
      <c r="P330" s="979" t="n"/>
      <c r="Q330" s="979" t="n"/>
      <c r="R330" s="979" t="n"/>
      <c r="S330" s="979" t="n"/>
      <c r="T330" s="979" t="n"/>
      <c r="U330" s="979" t="n"/>
      <c r="V330" s="979" t="n"/>
      <c r="W330" s="979" t="n"/>
      <c r="X330" s="979" t="n"/>
      <c r="Y330" s="979" t="n"/>
      <c r="Z330" s="979" t="n"/>
      <c r="AA330" s="693" t="n"/>
      <c r="AB330" s="693" t="n"/>
      <c r="AC330" s="693" t="n"/>
    </row>
    <row r="331" ht="14.25" customHeight="1">
      <c r="A331" s="694" t="inlineStr">
        <is>
          <t>Копченые колбасы</t>
        </is>
      </c>
      <c r="B331" s="979" t="n"/>
      <c r="C331" s="979" t="n"/>
      <c r="D331" s="979" t="n"/>
      <c r="E331" s="979" t="n"/>
      <c r="F331" s="979" t="n"/>
      <c r="G331" s="979" t="n"/>
      <c r="H331" s="979" t="n"/>
      <c r="I331" s="979" t="n"/>
      <c r="J331" s="979" t="n"/>
      <c r="K331" s="979" t="n"/>
      <c r="L331" s="979" t="n"/>
      <c r="M331" s="979" t="n"/>
      <c r="N331" s="979" t="n"/>
      <c r="O331" s="979" t="n"/>
      <c r="P331" s="979" t="n"/>
      <c r="Q331" s="979" t="n"/>
      <c r="R331" s="979" t="n"/>
      <c r="S331" s="979" t="n"/>
      <c r="T331" s="979" t="n"/>
      <c r="U331" s="979" t="n"/>
      <c r="V331" s="979" t="n"/>
      <c r="W331" s="979" t="n"/>
      <c r="X331" s="979" t="n"/>
      <c r="Y331" s="979" t="n"/>
      <c r="Z331" s="979" t="n"/>
      <c r="AA331" s="694" t="n"/>
      <c r="AB331" s="694" t="n"/>
      <c r="AC331" s="694" t="n"/>
    </row>
    <row r="332" ht="27" customHeight="1">
      <c r="A332" s="63" t="inlineStr">
        <is>
          <t>SU003999</t>
        </is>
      </c>
      <c r="B332" s="63" t="inlineStr">
        <is>
          <t>P005146</t>
        </is>
      </c>
      <c r="C332" s="36" t="n">
        <v>4301031445</v>
      </c>
      <c r="D332" s="695" t="n">
        <v>4680115888319</v>
      </c>
      <c r="E332" s="989" t="n"/>
      <c r="F332" s="1028" t="n">
        <v>0.35</v>
      </c>
      <c r="G332" s="37" t="n">
        <v>6</v>
      </c>
      <c r="H332" s="1028" t="n">
        <v>2.1</v>
      </c>
      <c r="I332" s="1028" t="n">
        <v>2.23</v>
      </c>
      <c r="J332" s="37" t="n">
        <v>234</v>
      </c>
      <c r="K332" s="37" t="inlineStr">
        <is>
          <t>18</t>
        </is>
      </c>
      <c r="L332" s="37" t="inlineStr"/>
      <c r="M332" s="38" t="inlineStr">
        <is>
          <t>СК2</t>
        </is>
      </c>
      <c r="N332" s="38" t="n"/>
      <c r="O332" s="37" t="n">
        <v>45</v>
      </c>
      <c r="P332" s="1203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/>
      </c>
      <c r="Q332" s="1030" t="n"/>
      <c r="R332" s="1030" t="n"/>
      <c r="S332" s="1030" t="n"/>
      <c r="T332" s="1031" t="n"/>
      <c r="U332" s="39" t="inlineStr"/>
      <c r="V332" s="39" t="inlineStr"/>
      <c r="W332" s="40" t="inlineStr">
        <is>
          <t>кг</t>
        </is>
      </c>
      <c r="X332" s="1032" t="n">
        <v>0</v>
      </c>
      <c r="Y332" s="1033">
        <f>IFERROR(IF(X332="",0,CEILING((X332/$H332),1)*$H332),"")</f>
        <v/>
      </c>
      <c r="Z332" s="41">
        <f>IFERROR(IF(Y332=0,"",ROUNDUP(Y332/H332,0)*0.00502),"")</f>
        <v/>
      </c>
      <c r="AA332" s="68" t="inlineStr"/>
      <c r="AB332" s="69" t="inlineStr"/>
      <c r="AC332" s="418" t="inlineStr">
        <is>
          <t>ЕАЭС N RU Д-RU.РА01.В.16547/26</t>
        </is>
      </c>
      <c r="AG332" s="78" t="n"/>
      <c r="AJ332" s="84" t="inlineStr"/>
      <c r="AK332" s="84" t="n">
        <v>0</v>
      </c>
      <c r="BB332" s="419" t="inlineStr">
        <is>
          <t>КИ</t>
        </is>
      </c>
      <c r="BM332" s="78">
        <f>IFERROR(X332*I332/H332,"0")</f>
        <v/>
      </c>
      <c r="BN332" s="78">
        <f>IFERROR(Y332*I332/H332,"0")</f>
        <v/>
      </c>
      <c r="BO332" s="78">
        <f>IFERROR(1/J332*(X332/H332),"0")</f>
        <v/>
      </c>
      <c r="BP332" s="78">
        <f>IFERROR(1/J332*(Y332/H332),"0")</f>
        <v/>
      </c>
    </row>
    <row r="333" ht="27" customHeight="1">
      <c r="A333" s="63" t="inlineStr">
        <is>
          <t>SU003356</t>
        </is>
      </c>
      <c r="B333" s="63" t="inlineStr">
        <is>
          <t>P005424</t>
        </is>
      </c>
      <c r="C333" s="36" t="n">
        <v>4301031502</v>
      </c>
      <c r="D333" s="695" t="n">
        <v>4680115884700</v>
      </c>
      <c r="E333" s="989" t="n"/>
      <c r="F333" s="1028" t="n">
        <v>0.58</v>
      </c>
      <c r="G333" s="37" t="n">
        <v>4</v>
      </c>
      <c r="H333" s="1028" t="n">
        <v>2.32</v>
      </c>
      <c r="I333" s="1028" t="n">
        <v>2.42</v>
      </c>
      <c r="J333" s="37" t="n">
        <v>234</v>
      </c>
      <c r="K333" s="37" t="inlineStr">
        <is>
          <t>18</t>
        </is>
      </c>
      <c r="L333" s="37" t="inlineStr"/>
      <c r="M333" s="38" t="inlineStr">
        <is>
          <t>СК2</t>
        </is>
      </c>
      <c r="N333" s="38" t="n"/>
      <c r="O333" s="37" t="n">
        <v>40</v>
      </c>
      <c r="P333" s="1204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/>
      </c>
      <c r="Q333" s="1030" t="n"/>
      <c r="R333" s="1030" t="n"/>
      <c r="S333" s="1030" t="n"/>
      <c r="T333" s="1031" t="n"/>
      <c r="U333" s="39" t="inlineStr"/>
      <c r="V333" s="39" t="inlineStr"/>
      <c r="W333" s="40" t="inlineStr">
        <is>
          <t>кг</t>
        </is>
      </c>
      <c r="X333" s="1032" t="n">
        <v>0</v>
      </c>
      <c r="Y333" s="1033">
        <f>IFERROR(IF(X333="",0,CEILING((X333/$H333),1)*$H333),"")</f>
        <v/>
      </c>
      <c r="Z333" s="41">
        <f>IFERROR(IF(Y333=0,"",ROUNDUP(Y333/H333,0)*0.00502),"")</f>
        <v/>
      </c>
      <c r="AA333" s="68" t="inlineStr"/>
      <c r="AB333" s="69" t="inlineStr"/>
      <c r="AC333" s="420" t="inlineStr">
        <is>
          <t>ЕАЭС N RU Д-RU.РА01.В.52146/26</t>
        </is>
      </c>
      <c r="AG333" s="78" t="n"/>
      <c r="AJ333" s="84" t="inlineStr"/>
      <c r="AK333" s="84" t="n">
        <v>0</v>
      </c>
      <c r="BB333" s="421" t="inlineStr">
        <is>
          <t>КИ</t>
        </is>
      </c>
      <c r="BM333" s="78">
        <f>IFERROR(X333*I333/H333,"0")</f>
        <v/>
      </c>
      <c r="BN333" s="78">
        <f>IFERROR(Y333*I333/H333,"0")</f>
        <v/>
      </c>
      <c r="BO333" s="78">
        <f>IFERROR(1/J333*(X333/H333),"0")</f>
        <v/>
      </c>
      <c r="BP333" s="78">
        <f>IFERROR(1/J333*(Y333/H333),"0")</f>
        <v/>
      </c>
    </row>
    <row r="334" ht="27" customHeight="1">
      <c r="A334" s="63" t="inlineStr">
        <is>
          <t>SU002698</t>
        </is>
      </c>
      <c r="B334" s="63" t="inlineStr">
        <is>
          <t>P004231</t>
        </is>
      </c>
      <c r="C334" s="36" t="n">
        <v>4301031307</v>
      </c>
      <c r="D334" s="695" t="n">
        <v>4680115880344</v>
      </c>
      <c r="E334" s="989" t="n"/>
      <c r="F334" s="1028" t="n">
        <v>0.28</v>
      </c>
      <c r="G334" s="37" t="n">
        <v>6</v>
      </c>
      <c r="H334" s="1028" t="n">
        <v>1.68</v>
      </c>
      <c r="I334" s="1028" t="n">
        <v>1.78</v>
      </c>
      <c r="J334" s="37" t="n">
        <v>234</v>
      </c>
      <c r="K334" s="37" t="inlineStr">
        <is>
          <t>18</t>
        </is>
      </c>
      <c r="L334" s="37" t="inlineStr"/>
      <c r="M334" s="38" t="inlineStr">
        <is>
          <t>СК2</t>
        </is>
      </c>
      <c r="N334" s="38" t="n"/>
      <c r="O334" s="37" t="n">
        <v>40</v>
      </c>
      <c r="P334" s="1205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334" s="1030" t="n"/>
      <c r="R334" s="1030" t="n"/>
      <c r="S334" s="1030" t="n"/>
      <c r="T334" s="1031" t="n"/>
      <c r="U334" s="39" t="inlineStr"/>
      <c r="V334" s="39" t="inlineStr"/>
      <c r="W334" s="40" t="inlineStr">
        <is>
          <t>кг</t>
        </is>
      </c>
      <c r="X334" s="1032" t="n">
        <v>0</v>
      </c>
      <c r="Y334" s="1033">
        <f>IFERROR(IF(X334="",0,CEILING((X334/$H334),1)*$H334),"")</f>
        <v/>
      </c>
      <c r="Z334" s="41">
        <f>IFERROR(IF(Y334=0,"",ROUNDUP(Y334/H334,0)*0.00502),"")</f>
        <v/>
      </c>
      <c r="AA334" s="68" t="inlineStr"/>
      <c r="AB334" s="69" t="inlineStr"/>
      <c r="AC334" s="422" t="inlineStr">
        <is>
          <t>ЕАЭС N RU Д-RU.РА01.В.23455/26</t>
        </is>
      </c>
      <c r="AG334" s="78" t="n"/>
      <c r="AJ334" s="84" t="inlineStr"/>
      <c r="AK334" s="84" t="n">
        <v>0</v>
      </c>
      <c r="BB334" s="423" t="inlineStr">
        <is>
          <t>КИ</t>
        </is>
      </c>
      <c r="BM334" s="78">
        <f>IFERROR(X334*I334/H334,"0")</f>
        <v/>
      </c>
      <c r="BN334" s="78">
        <f>IFERROR(Y334*I334/H334,"0")</f>
        <v/>
      </c>
      <c r="BO334" s="78">
        <f>IFERROR(1/J334*(X334/H334),"0")</f>
        <v/>
      </c>
      <c r="BP334" s="78">
        <f>IFERROR(1/J334*(Y334/H334),"0")</f>
        <v/>
      </c>
    </row>
    <row r="335" ht="27" customHeight="1">
      <c r="A335" s="63" t="inlineStr">
        <is>
          <t>SU003942</t>
        </is>
      </c>
      <c r="B335" s="63" t="inlineStr">
        <is>
          <t>P005423</t>
        </is>
      </c>
      <c r="C335" s="36" t="n">
        <v>4301031501</v>
      </c>
      <c r="D335" s="695" t="n">
        <v>4680115886919</v>
      </c>
      <c r="E335" s="989" t="n"/>
      <c r="F335" s="1028" t="n">
        <v>0.4</v>
      </c>
      <c r="G335" s="37" t="n">
        <v>6</v>
      </c>
      <c r="H335" s="1028" t="n">
        <v>2.4</v>
      </c>
      <c r="I335" s="1028" t="n">
        <v>2.58</v>
      </c>
      <c r="J335" s="37" t="n">
        <v>182</v>
      </c>
      <c r="K335" s="37" t="inlineStr">
        <is>
          <t>14</t>
        </is>
      </c>
      <c r="L335" s="37" t="inlineStr"/>
      <c r="M335" s="38" t="inlineStr">
        <is>
          <t>СК2</t>
        </is>
      </c>
      <c r="N335" s="38" t="n"/>
      <c r="O335" s="37" t="n">
        <v>40</v>
      </c>
      <c r="P335" s="1206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/>
      </c>
      <c r="Q335" s="1030" t="n"/>
      <c r="R335" s="1030" t="n"/>
      <c r="S335" s="1030" t="n"/>
      <c r="T335" s="1031" t="n"/>
      <c r="U335" s="39" t="inlineStr"/>
      <c r="V335" s="39" t="inlineStr"/>
      <c r="W335" s="40" t="inlineStr">
        <is>
          <t>кг</t>
        </is>
      </c>
      <c r="X335" s="1032" t="n">
        <v>0</v>
      </c>
      <c r="Y335" s="1033">
        <f>IFERROR(IF(X335="",0,CEILING((X335/$H335),1)*$H335),"")</f>
        <v/>
      </c>
      <c r="Z335" s="41">
        <f>IFERROR(IF(Y335=0,"",ROUNDUP(Y335/H335,0)*0.00651),"")</f>
        <v/>
      </c>
      <c r="AA335" s="68" t="inlineStr"/>
      <c r="AB335" s="69" t="inlineStr"/>
      <c r="AC335" s="424" t="inlineStr">
        <is>
          <t>ЕАЭС N RU Д-RU.РА04.В.38656/25</t>
        </is>
      </c>
      <c r="AG335" s="78" t="n"/>
      <c r="AJ335" s="84" t="inlineStr"/>
      <c r="AK335" s="84" t="n">
        <v>0</v>
      </c>
      <c r="BB335" s="425" t="inlineStr">
        <is>
          <t>КИ</t>
        </is>
      </c>
      <c r="BM335" s="78">
        <f>IFERROR(X335*I335/H335,"0")</f>
        <v/>
      </c>
      <c r="BN335" s="78">
        <f>IFERROR(Y335*I335/H335,"0")</f>
        <v/>
      </c>
      <c r="BO335" s="78">
        <f>IFERROR(1/J335*(X335/H335),"0")</f>
        <v/>
      </c>
      <c r="BP335" s="78">
        <f>IFERROR(1/J335*(Y335/H335),"0")</f>
        <v/>
      </c>
    </row>
    <row r="336" ht="27" customHeight="1">
      <c r="A336" s="63" t="inlineStr">
        <is>
          <t>SU003050</t>
        </is>
      </c>
      <c r="B336" s="63" t="inlineStr">
        <is>
          <t>P003602</t>
        </is>
      </c>
      <c r="C336" s="36" t="n">
        <v>4301031246</v>
      </c>
      <c r="D336" s="695" t="n">
        <v>4680115883970</v>
      </c>
      <c r="E336" s="989" t="n"/>
      <c r="F336" s="1028" t="n">
        <v>0.28</v>
      </c>
      <c r="G336" s="37" t="n">
        <v>6</v>
      </c>
      <c r="H336" s="1028" t="n">
        <v>1.68</v>
      </c>
      <c r="I336" s="1028" t="n">
        <v>2.5</v>
      </c>
      <c r="J336" s="37" t="n">
        <v>234</v>
      </c>
      <c r="K336" s="37" t="inlineStr">
        <is>
          <t>18</t>
        </is>
      </c>
      <c r="L336" s="37" t="inlineStr"/>
      <c r="M336" s="38" t="inlineStr">
        <is>
          <t>СК2</t>
        </is>
      </c>
      <c r="N336" s="38" t="n"/>
      <c r="O336" s="37" t="n">
        <v>40</v>
      </c>
      <c r="P336" s="1207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/>
      </c>
      <c r="Q336" s="1030" t="n"/>
      <c r="R336" s="1030" t="n"/>
      <c r="S336" s="1030" t="n"/>
      <c r="T336" s="1031" t="n"/>
      <c r="U336" s="39" t="inlineStr"/>
      <c r="V336" s="39" t="inlineStr"/>
      <c r="W336" s="40" t="inlineStr">
        <is>
          <t>кг</t>
        </is>
      </c>
      <c r="X336" s="1032" t="n">
        <v>0</v>
      </c>
      <c r="Y336" s="1033">
        <f>IFERROR(IF(X336="",0,CEILING((X336/$H336),1)*$H336),"")</f>
        <v/>
      </c>
      <c r="Z336" s="41">
        <f>IFERROR(IF(Y336=0,"",ROUNDUP(Y336/H336,0)*0.00502),"")</f>
        <v/>
      </c>
      <c r="AA336" s="68" t="inlineStr"/>
      <c r="AB336" s="69" t="inlineStr"/>
      <c r="AC336" s="426" t="inlineStr">
        <is>
          <t>ЕАЭС N RU Д-RU.РА03.В.16772/26</t>
        </is>
      </c>
      <c r="AG336" s="78" t="n"/>
      <c r="AJ336" s="84" t="inlineStr"/>
      <c r="AK336" s="84" t="n">
        <v>0</v>
      </c>
      <c r="BB336" s="427" t="inlineStr">
        <is>
          <t>КИ</t>
        </is>
      </c>
      <c r="BM336" s="78">
        <f>IFERROR(X336*I336/H336,"0")</f>
        <v/>
      </c>
      <c r="BN336" s="78">
        <f>IFERROR(Y336*I336/H336,"0")</f>
        <v/>
      </c>
      <c r="BO336" s="78">
        <f>IFERROR(1/J336*(X336/H336),"0")</f>
        <v/>
      </c>
      <c r="BP336" s="78">
        <f>IFERROR(1/J336*(Y336/H336),"0")</f>
        <v/>
      </c>
    </row>
    <row r="337">
      <c r="A337" s="704" t="n"/>
      <c r="B337" s="979" t="n"/>
      <c r="C337" s="979" t="n"/>
      <c r="D337" s="979" t="n"/>
      <c r="E337" s="979" t="n"/>
      <c r="F337" s="979" t="n"/>
      <c r="G337" s="979" t="n"/>
      <c r="H337" s="979" t="n"/>
      <c r="I337" s="979" t="n"/>
      <c r="J337" s="979" t="n"/>
      <c r="K337" s="979" t="n"/>
      <c r="L337" s="979" t="n"/>
      <c r="M337" s="979" t="n"/>
      <c r="N337" s="979" t="n"/>
      <c r="O337" s="1035" t="n"/>
      <c r="P337" s="1036" t="inlineStr">
        <is>
          <t>Итого</t>
        </is>
      </c>
      <c r="Q337" s="997" t="n"/>
      <c r="R337" s="997" t="n"/>
      <c r="S337" s="997" t="n"/>
      <c r="T337" s="997" t="n"/>
      <c r="U337" s="997" t="n"/>
      <c r="V337" s="998" t="n"/>
      <c r="W337" s="42" t="inlineStr">
        <is>
          <t>кор</t>
        </is>
      </c>
      <c r="X337" s="1037">
        <f>IFERROR(X332/H332,"0")+IFERROR(X333/H333,"0")+IFERROR(X334/H334,"0")+IFERROR(X335/H335,"0")+IFERROR(X336/H336,"0")</f>
        <v/>
      </c>
      <c r="Y337" s="1037">
        <f>IFERROR(Y332/H332,"0")+IFERROR(Y333/H333,"0")+IFERROR(Y334/H334,"0")+IFERROR(Y335/H335,"0")+IFERROR(Y336/H336,"0")</f>
        <v/>
      </c>
      <c r="Z337" s="1037">
        <f>IFERROR(IF(Z332="",0,Z332),"0")+IFERROR(IF(Z333="",0,Z333),"0")+IFERROR(IF(Z334="",0,Z334),"0")+IFERROR(IF(Z335="",0,Z335),"0")+IFERROR(IF(Z336="",0,Z336),"0")</f>
        <v/>
      </c>
      <c r="AA337" s="1038" t="n"/>
      <c r="AB337" s="1038" t="n"/>
      <c r="AC337" s="1038" t="n"/>
    </row>
    <row r="338">
      <c r="A338" s="979" t="n"/>
      <c r="B338" s="979" t="n"/>
      <c r="C338" s="979" t="n"/>
      <c r="D338" s="979" t="n"/>
      <c r="E338" s="979" t="n"/>
      <c r="F338" s="979" t="n"/>
      <c r="G338" s="979" t="n"/>
      <c r="H338" s="979" t="n"/>
      <c r="I338" s="979" t="n"/>
      <c r="J338" s="979" t="n"/>
      <c r="K338" s="979" t="n"/>
      <c r="L338" s="979" t="n"/>
      <c r="M338" s="979" t="n"/>
      <c r="N338" s="979" t="n"/>
      <c r="O338" s="1035" t="n"/>
      <c r="P338" s="1036" t="inlineStr">
        <is>
          <t>Итого</t>
        </is>
      </c>
      <c r="Q338" s="997" t="n"/>
      <c r="R338" s="997" t="n"/>
      <c r="S338" s="997" t="n"/>
      <c r="T338" s="997" t="n"/>
      <c r="U338" s="997" t="n"/>
      <c r="V338" s="998" t="n"/>
      <c r="W338" s="42" t="inlineStr">
        <is>
          <t>кг</t>
        </is>
      </c>
      <c r="X338" s="1037">
        <f>IFERROR(SUM(X332:X336),"0")</f>
        <v/>
      </c>
      <c r="Y338" s="1037">
        <f>IFERROR(SUM(Y332:Y336),"0")</f>
        <v/>
      </c>
      <c r="Z338" s="42" t="n"/>
      <c r="AA338" s="1038" t="n"/>
      <c r="AB338" s="1038" t="n"/>
      <c r="AC338" s="1038" t="n"/>
    </row>
    <row r="339" ht="14.25" customHeight="1">
      <c r="A339" s="694" t="inlineStr">
        <is>
          <t>Сосиски</t>
        </is>
      </c>
      <c r="B339" s="979" t="n"/>
      <c r="C339" s="979" t="n"/>
      <c r="D339" s="979" t="n"/>
      <c r="E339" s="979" t="n"/>
      <c r="F339" s="979" t="n"/>
      <c r="G339" s="979" t="n"/>
      <c r="H339" s="979" t="n"/>
      <c r="I339" s="979" t="n"/>
      <c r="J339" s="979" t="n"/>
      <c r="K339" s="979" t="n"/>
      <c r="L339" s="979" t="n"/>
      <c r="M339" s="979" t="n"/>
      <c r="N339" s="979" t="n"/>
      <c r="O339" s="979" t="n"/>
      <c r="P339" s="979" t="n"/>
      <c r="Q339" s="979" t="n"/>
      <c r="R339" s="979" t="n"/>
      <c r="S339" s="979" t="n"/>
      <c r="T339" s="979" t="n"/>
      <c r="U339" s="979" t="n"/>
      <c r="V339" s="979" t="n"/>
      <c r="W339" s="979" t="n"/>
      <c r="X339" s="979" t="n"/>
      <c r="Y339" s="979" t="n"/>
      <c r="Z339" s="979" t="n"/>
      <c r="AA339" s="694" t="n"/>
      <c r="AB339" s="694" t="n"/>
      <c r="AC339" s="694" t="n"/>
    </row>
    <row r="340" ht="27" customHeight="1">
      <c r="A340" s="63" t="inlineStr">
        <is>
          <t>SU003340</t>
        </is>
      </c>
      <c r="B340" s="63" t="inlineStr">
        <is>
          <t>P004090</t>
        </is>
      </c>
      <c r="C340" s="36" t="n">
        <v>4301051782</v>
      </c>
      <c r="D340" s="695" t="n">
        <v>4680115884618</v>
      </c>
      <c r="E340" s="989" t="n"/>
      <c r="F340" s="1028" t="n">
        <v>0.6</v>
      </c>
      <c r="G340" s="37" t="n">
        <v>6</v>
      </c>
      <c r="H340" s="1028" t="n">
        <v>3.6</v>
      </c>
      <c r="I340" s="1028" t="n">
        <v>3.79</v>
      </c>
      <c r="J340" s="37" t="n">
        <v>132</v>
      </c>
      <c r="K340" s="37" t="inlineStr">
        <is>
          <t>12</t>
        </is>
      </c>
      <c r="L340" s="37" t="inlineStr"/>
      <c r="M340" s="38" t="inlineStr">
        <is>
          <t>СК3</t>
        </is>
      </c>
      <c r="N340" s="38" t="n"/>
      <c r="O340" s="37" t="n">
        <v>45</v>
      </c>
      <c r="P340" s="1208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340" s="1030" t="n"/>
      <c r="R340" s="1030" t="n"/>
      <c r="S340" s="1030" t="n"/>
      <c r="T340" s="1031" t="n"/>
      <c r="U340" s="39" t="inlineStr"/>
      <c r="V340" s="39" t="inlineStr"/>
      <c r="W340" s="40" t="inlineStr">
        <is>
          <t>кг</t>
        </is>
      </c>
      <c r="X340" s="1032" t="n">
        <v>0</v>
      </c>
      <c r="Y340" s="1033">
        <f>IFERROR(IF(X340="",0,CEILING((X340/$H340),1)*$H340),"")</f>
        <v/>
      </c>
      <c r="Z340" s="41">
        <f>IFERROR(IF(Y340=0,"",ROUNDUP(Y340/H340,0)*0.00902),"")</f>
        <v/>
      </c>
      <c r="AA340" s="68" t="inlineStr"/>
      <c r="AB340" s="69" t="inlineStr"/>
      <c r="AC340" s="428" t="inlineStr">
        <is>
          <t>ЕАЭС N RU Д-RU.РА03.В.17885/26, ЕАЭС N RU Д-RU.РА03.В.47009/25</t>
        </is>
      </c>
      <c r="AG340" s="78" t="n"/>
      <c r="AJ340" s="84" t="inlineStr"/>
      <c r="AK340" s="84" t="n">
        <v>0</v>
      </c>
      <c r="BB340" s="429" t="inlineStr">
        <is>
          <t>КИ</t>
        </is>
      </c>
      <c r="BM340" s="78">
        <f>IFERROR(X340*I340/H340,"0")</f>
        <v/>
      </c>
      <c r="BN340" s="78">
        <f>IFERROR(Y340*I340/H340,"0")</f>
        <v/>
      </c>
      <c r="BO340" s="78">
        <f>IFERROR(1/J340*(X340/H340),"0")</f>
        <v/>
      </c>
      <c r="BP340" s="78">
        <f>IFERROR(1/J340*(Y340/H340),"0")</f>
        <v/>
      </c>
    </row>
    <row r="341" ht="27" customHeight="1">
      <c r="A341" s="63" t="inlineStr">
        <is>
          <t>SU003962</t>
        </is>
      </c>
      <c r="B341" s="63" t="inlineStr">
        <is>
          <t>P005092</t>
        </is>
      </c>
      <c r="C341" s="36" t="n">
        <v>4301052057</v>
      </c>
      <c r="D341" s="695" t="n">
        <v>4680115887114</v>
      </c>
      <c r="E341" s="989" t="n"/>
      <c r="F341" s="1028" t="n">
        <v>0.55</v>
      </c>
      <c r="G341" s="37" t="n">
        <v>6</v>
      </c>
      <c r="H341" s="1028" t="n">
        <v>3.3</v>
      </c>
      <c r="I341" s="1028" t="n">
        <v>3.49</v>
      </c>
      <c r="J341" s="37" t="n">
        <v>132</v>
      </c>
      <c r="K341" s="37" t="inlineStr">
        <is>
          <t>12</t>
        </is>
      </c>
      <c r="L341" s="37" t="inlineStr"/>
      <c r="M341" s="38" t="inlineStr">
        <is>
          <t>СК3</t>
        </is>
      </c>
      <c r="N341" s="38" t="n"/>
      <c r="O341" s="37" t="n">
        <v>45</v>
      </c>
      <c r="P341" s="1209">
        <f>HYPERLINK("https://abi.ru/products/Охлажденные/Стародворье/Стародворская EDLP/EDPP/Сосиски/P005092/","Сосиски «Сливочные» Фикс.вес 0,55 п/а ТМ «Стародворье»")</f>
        <v/>
      </c>
      <c r="Q341" s="1030" t="n"/>
      <c r="R341" s="1030" t="n"/>
      <c r="S341" s="1030" t="n"/>
      <c r="T341" s="1031" t="n"/>
      <c r="U341" s="39" t="inlineStr"/>
      <c r="V341" s="39" t="inlineStr"/>
      <c r="W341" s="40" t="inlineStr">
        <is>
          <t>кг</t>
        </is>
      </c>
      <c r="X341" s="1032" t="n">
        <v>0</v>
      </c>
      <c r="Y341" s="1033">
        <f>IFERROR(IF(X341="",0,CEILING((X341/$H341),1)*$H341),"")</f>
        <v/>
      </c>
      <c r="Z341" s="41">
        <f>IFERROR(IF(Y341=0,"",ROUNDUP(Y341/H341,0)*0.00902),"")</f>
        <v/>
      </c>
      <c r="AA341" s="68" t="inlineStr"/>
      <c r="AB341" s="69" t="inlineStr"/>
      <c r="AC341" s="430" t="inlineStr">
        <is>
          <t>ЕАЭС N RU Д-RU.РА06.В.40336/25</t>
        </is>
      </c>
      <c r="AG341" s="78" t="n"/>
      <c r="AJ341" s="84" t="inlineStr"/>
      <c r="AK341" s="84" t="n">
        <v>0</v>
      </c>
      <c r="BB341" s="431" t="inlineStr">
        <is>
          <t>КИ</t>
        </is>
      </c>
      <c r="BM341" s="78">
        <f>IFERROR(X341*I341/H341,"0")</f>
        <v/>
      </c>
      <c r="BN341" s="78">
        <f>IFERROR(Y341*I341/H341,"0")</f>
        <v/>
      </c>
      <c r="BO341" s="78">
        <f>IFERROR(1/J341*(X341/H341),"0")</f>
        <v/>
      </c>
      <c r="BP341" s="78">
        <f>IFERROR(1/J341*(Y341/H341),"0")</f>
        <v/>
      </c>
    </row>
    <row r="342">
      <c r="A342" s="704" t="n"/>
      <c r="B342" s="979" t="n"/>
      <c r="C342" s="979" t="n"/>
      <c r="D342" s="979" t="n"/>
      <c r="E342" s="979" t="n"/>
      <c r="F342" s="979" t="n"/>
      <c r="G342" s="979" t="n"/>
      <c r="H342" s="979" t="n"/>
      <c r="I342" s="979" t="n"/>
      <c r="J342" s="979" t="n"/>
      <c r="K342" s="979" t="n"/>
      <c r="L342" s="979" t="n"/>
      <c r="M342" s="979" t="n"/>
      <c r="N342" s="979" t="n"/>
      <c r="O342" s="1035" t="n"/>
      <c r="P342" s="1036" t="inlineStr">
        <is>
          <t>Итого</t>
        </is>
      </c>
      <c r="Q342" s="997" t="n"/>
      <c r="R342" s="997" t="n"/>
      <c r="S342" s="997" t="n"/>
      <c r="T342" s="997" t="n"/>
      <c r="U342" s="997" t="n"/>
      <c r="V342" s="998" t="n"/>
      <c r="W342" s="42" t="inlineStr">
        <is>
          <t>кор</t>
        </is>
      </c>
      <c r="X342" s="1037">
        <f>IFERROR(X340/H340,"0")+IFERROR(X341/H341,"0")</f>
        <v/>
      </c>
      <c r="Y342" s="1037">
        <f>IFERROR(Y340/H340,"0")+IFERROR(Y341/H341,"0")</f>
        <v/>
      </c>
      <c r="Z342" s="1037">
        <f>IFERROR(IF(Z340="",0,Z340),"0")+IFERROR(IF(Z341="",0,Z341),"0")</f>
        <v/>
      </c>
      <c r="AA342" s="1038" t="n"/>
      <c r="AB342" s="1038" t="n"/>
      <c r="AC342" s="1038" t="n"/>
    </row>
    <row r="343">
      <c r="A343" s="979" t="n"/>
      <c r="B343" s="979" t="n"/>
      <c r="C343" s="979" t="n"/>
      <c r="D343" s="979" t="n"/>
      <c r="E343" s="979" t="n"/>
      <c r="F343" s="979" t="n"/>
      <c r="G343" s="979" t="n"/>
      <c r="H343" s="979" t="n"/>
      <c r="I343" s="979" t="n"/>
      <c r="J343" s="979" t="n"/>
      <c r="K343" s="979" t="n"/>
      <c r="L343" s="979" t="n"/>
      <c r="M343" s="979" t="n"/>
      <c r="N343" s="979" t="n"/>
      <c r="O343" s="1035" t="n"/>
      <c r="P343" s="1036" t="inlineStr">
        <is>
          <t>Итого</t>
        </is>
      </c>
      <c r="Q343" s="997" t="n"/>
      <c r="R343" s="997" t="n"/>
      <c r="S343" s="997" t="n"/>
      <c r="T343" s="997" t="n"/>
      <c r="U343" s="997" t="n"/>
      <c r="V343" s="998" t="n"/>
      <c r="W343" s="42" t="inlineStr">
        <is>
          <t>кг</t>
        </is>
      </c>
      <c r="X343" s="1037">
        <f>IFERROR(SUM(X340:X341),"0")</f>
        <v/>
      </c>
      <c r="Y343" s="1037">
        <f>IFERROR(SUM(Y340:Y341),"0")</f>
        <v/>
      </c>
      <c r="Z343" s="42" t="n"/>
      <c r="AA343" s="1038" t="n"/>
      <c r="AB343" s="1038" t="n"/>
      <c r="AC343" s="1038" t="n"/>
    </row>
    <row r="344" ht="16.5" customHeight="1">
      <c r="A344" s="693" t="inlineStr">
        <is>
          <t>Тамбовская в обвязке</t>
        </is>
      </c>
      <c r="B344" s="979" t="n"/>
      <c r="C344" s="979" t="n"/>
      <c r="D344" s="979" t="n"/>
      <c r="E344" s="979" t="n"/>
      <c r="F344" s="979" t="n"/>
      <c r="G344" s="979" t="n"/>
      <c r="H344" s="979" t="n"/>
      <c r="I344" s="979" t="n"/>
      <c r="J344" s="979" t="n"/>
      <c r="K344" s="979" t="n"/>
      <c r="L344" s="979" t="n"/>
      <c r="M344" s="979" t="n"/>
      <c r="N344" s="979" t="n"/>
      <c r="O344" s="979" t="n"/>
      <c r="P344" s="979" t="n"/>
      <c r="Q344" s="979" t="n"/>
      <c r="R344" s="979" t="n"/>
      <c r="S344" s="979" t="n"/>
      <c r="T344" s="979" t="n"/>
      <c r="U344" s="979" t="n"/>
      <c r="V344" s="979" t="n"/>
      <c r="W344" s="979" t="n"/>
      <c r="X344" s="979" t="n"/>
      <c r="Y344" s="979" t="n"/>
      <c r="Z344" s="979" t="n"/>
      <c r="AA344" s="693" t="n"/>
      <c r="AB344" s="693" t="n"/>
      <c r="AC344" s="693" t="n"/>
    </row>
    <row r="345" ht="14.25" customHeight="1">
      <c r="A345" s="694" t="inlineStr">
        <is>
          <t>Вареные колбасы</t>
        </is>
      </c>
      <c r="B345" s="979" t="n"/>
      <c r="C345" s="979" t="n"/>
      <c r="D345" s="979" t="n"/>
      <c r="E345" s="979" t="n"/>
      <c r="F345" s="979" t="n"/>
      <c r="G345" s="979" t="n"/>
      <c r="H345" s="979" t="n"/>
      <c r="I345" s="979" t="n"/>
      <c r="J345" s="979" t="n"/>
      <c r="K345" s="979" t="n"/>
      <c r="L345" s="979" t="n"/>
      <c r="M345" s="979" t="n"/>
      <c r="N345" s="979" t="n"/>
      <c r="O345" s="979" t="n"/>
      <c r="P345" s="979" t="n"/>
      <c r="Q345" s="979" t="n"/>
      <c r="R345" s="979" t="n"/>
      <c r="S345" s="979" t="n"/>
      <c r="T345" s="979" t="n"/>
      <c r="U345" s="979" t="n"/>
      <c r="V345" s="979" t="n"/>
      <c r="W345" s="979" t="n"/>
      <c r="X345" s="979" t="n"/>
      <c r="Y345" s="979" t="n"/>
      <c r="Z345" s="979" t="n"/>
      <c r="AA345" s="694" t="n"/>
      <c r="AB345" s="694" t="n"/>
      <c r="AC345" s="694" t="n"/>
    </row>
    <row r="346" ht="27" customHeight="1">
      <c r="A346" s="63" t="inlineStr">
        <is>
          <t>SU004103</t>
        </is>
      </c>
      <c r="B346" s="63" t="inlineStr">
        <is>
          <t>P005360</t>
        </is>
      </c>
      <c r="C346" s="36" t="n">
        <v>4301012324</v>
      </c>
      <c r="D346" s="695" t="n">
        <v>4680115887947</v>
      </c>
      <c r="E346" s="989" t="n"/>
      <c r="F346" s="1028" t="n">
        <v>1.3</v>
      </c>
      <c r="G346" s="37" t="n">
        <v>6</v>
      </c>
      <c r="H346" s="1028" t="n">
        <v>7.8</v>
      </c>
      <c r="I346" s="1028" t="n">
        <v>8.210000000000001</v>
      </c>
      <c r="J346" s="37" t="n">
        <v>64</v>
      </c>
      <c r="K346" s="37" t="inlineStr">
        <is>
          <t>8</t>
        </is>
      </c>
      <c r="L346" s="37" t="inlineStr"/>
      <c r="M346" s="38" t="inlineStr">
        <is>
          <t>СК3</t>
        </is>
      </c>
      <c r="N346" s="38" t="n"/>
      <c r="O346" s="37" t="n">
        <v>60</v>
      </c>
      <c r="P346" s="1210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/>
      </c>
      <c r="Q346" s="1030" t="n"/>
      <c r="R346" s="1030" t="n"/>
      <c r="S346" s="1030" t="n"/>
      <c r="T346" s="1031" t="n"/>
      <c r="U346" s="39" t="inlineStr"/>
      <c r="V346" s="39" t="inlineStr"/>
      <c r="W346" s="40" t="inlineStr">
        <is>
          <t>кг</t>
        </is>
      </c>
      <c r="X346" s="1032" t="n">
        <v>0</v>
      </c>
      <c r="Y346" s="1033">
        <f>IFERROR(IF(X346="",0,CEILING((X346/$H346),1)*$H346),"")</f>
        <v/>
      </c>
      <c r="Z346" s="41">
        <f>IFERROR(IF(Y346=0,"",ROUNDUP(Y346/H346,0)*0.01898),"")</f>
        <v/>
      </c>
      <c r="AA346" s="68" t="inlineStr"/>
      <c r="AB346" s="69" t="inlineStr"/>
      <c r="AC346" s="432" t="inlineStr">
        <is>
          <t>ЕАЭС N RU Д-RU.РА11.В.91964/25</t>
        </is>
      </c>
      <c r="AG346" s="78" t="n"/>
      <c r="AJ346" s="84" t="inlineStr"/>
      <c r="AK346" s="84" t="n">
        <v>0</v>
      </c>
      <c r="BB346" s="433" t="inlineStr">
        <is>
          <t>КИ</t>
        </is>
      </c>
      <c r="BM346" s="78">
        <f>IFERROR(X346*I346/H346,"0")</f>
        <v/>
      </c>
      <c r="BN346" s="78">
        <f>IFERROR(Y346*I346/H346,"0")</f>
        <v/>
      </c>
      <c r="BO346" s="78">
        <f>IFERROR(1/J346*(X346/H346),"0")</f>
        <v/>
      </c>
      <c r="BP346" s="78">
        <f>IFERROR(1/J346*(Y346/H346),"0")</f>
        <v/>
      </c>
    </row>
    <row r="347" ht="27" customHeight="1">
      <c r="A347" s="63" t="inlineStr">
        <is>
          <t>SU004104</t>
        </is>
      </c>
      <c r="B347" s="63" t="inlineStr">
        <is>
          <t>P005361</t>
        </is>
      </c>
      <c r="C347" s="36" t="n">
        <v>4301012325</v>
      </c>
      <c r="D347" s="695" t="n">
        <v>4680115887978</v>
      </c>
      <c r="E347" s="989" t="n"/>
      <c r="F347" s="1028" t="n">
        <v>1.3</v>
      </c>
      <c r="G347" s="37" t="n">
        <v>6</v>
      </c>
      <c r="H347" s="1028" t="n">
        <v>7.8</v>
      </c>
      <c r="I347" s="1028" t="n">
        <v>8.210000000000001</v>
      </c>
      <c r="J347" s="37" t="n">
        <v>64</v>
      </c>
      <c r="K347" s="37" t="inlineStr">
        <is>
          <t>8</t>
        </is>
      </c>
      <c r="L347" s="37" t="inlineStr"/>
      <c r="M347" s="38" t="inlineStr">
        <is>
          <t>СК3</t>
        </is>
      </c>
      <c r="N347" s="38" t="n"/>
      <c r="O347" s="37" t="n">
        <v>60</v>
      </c>
      <c r="P347" s="1211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/>
      </c>
      <c r="Q347" s="1030" t="n"/>
      <c r="R347" s="1030" t="n"/>
      <c r="S347" s="1030" t="n"/>
      <c r="T347" s="1031" t="n"/>
      <c r="U347" s="39" t="inlineStr"/>
      <c r="V347" s="39" t="inlineStr"/>
      <c r="W347" s="40" t="inlineStr">
        <is>
          <t>кг</t>
        </is>
      </c>
      <c r="X347" s="1032" t="n">
        <v>0</v>
      </c>
      <c r="Y347" s="1033">
        <f>IFERROR(IF(X347="",0,CEILING((X347/$H347),1)*$H347),"")</f>
        <v/>
      </c>
      <c r="Z347" s="41">
        <f>IFERROR(IF(Y347=0,"",ROUNDUP(Y347/H347,0)*0.01898),"")</f>
        <v/>
      </c>
      <c r="AA347" s="68" t="inlineStr"/>
      <c r="AB347" s="69" t="inlineStr"/>
      <c r="AC347" s="434" t="inlineStr">
        <is>
          <t>ЕАЭС N RU Д-RU.РА01.В.82649/26</t>
        </is>
      </c>
      <c r="AG347" s="78" t="n"/>
      <c r="AJ347" s="84" t="inlineStr"/>
      <c r="AK347" s="84" t="n">
        <v>0</v>
      </c>
      <c r="BB347" s="435" t="inlineStr">
        <is>
          <t>КИ</t>
        </is>
      </c>
      <c r="BM347" s="78">
        <f>IFERROR(X347*I347/H347,"0")</f>
        <v/>
      </c>
      <c r="BN347" s="78">
        <f>IFERROR(Y347*I347/H347,"0")</f>
        <v/>
      </c>
      <c r="BO347" s="78">
        <f>IFERROR(1/J347*(X347/H347),"0")</f>
        <v/>
      </c>
      <c r="BP347" s="78">
        <f>IFERROR(1/J347*(Y347/H347),"0")</f>
        <v/>
      </c>
    </row>
    <row r="348" ht="27" customHeight="1">
      <c r="A348" s="63" t="inlineStr">
        <is>
          <t>SU004106</t>
        </is>
      </c>
      <c r="B348" s="63" t="inlineStr">
        <is>
          <t>P005363</t>
        </is>
      </c>
      <c r="C348" s="36" t="n">
        <v>4301012327</v>
      </c>
      <c r="D348" s="695" t="n">
        <v>4680115887992</v>
      </c>
      <c r="E348" s="989" t="n"/>
      <c r="F348" s="1028" t="n">
        <v>1.3</v>
      </c>
      <c r="G348" s="37" t="n">
        <v>6</v>
      </c>
      <c r="H348" s="1028" t="n">
        <v>7.8</v>
      </c>
      <c r="I348" s="1028" t="n">
        <v>8.210000000000001</v>
      </c>
      <c r="J348" s="37" t="n">
        <v>64</v>
      </c>
      <c r="K348" s="37" t="inlineStr">
        <is>
          <t>8</t>
        </is>
      </c>
      <c r="L348" s="37" t="inlineStr"/>
      <c r="M348" s="38" t="inlineStr">
        <is>
          <t>СК3</t>
        </is>
      </c>
      <c r="N348" s="38" t="n"/>
      <c r="O348" s="37" t="n">
        <v>60</v>
      </c>
      <c r="P348" s="1212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/>
      </c>
      <c r="Q348" s="1030" t="n"/>
      <c r="R348" s="1030" t="n"/>
      <c r="S348" s="1030" t="n"/>
      <c r="T348" s="1031" t="n"/>
      <c r="U348" s="39" t="inlineStr"/>
      <c r="V348" s="39" t="inlineStr"/>
      <c r="W348" s="40" t="inlineStr">
        <is>
          <t>кг</t>
        </is>
      </c>
      <c r="X348" s="1032" t="n">
        <v>0</v>
      </c>
      <c r="Y348" s="1033">
        <f>IFERROR(IF(X348="",0,CEILING((X348/$H348),1)*$H348),"")</f>
        <v/>
      </c>
      <c r="Z348" s="41">
        <f>IFERROR(IF(Y348=0,"",ROUNDUP(Y348/H348,0)*0.01898),"")</f>
        <v/>
      </c>
      <c r="AA348" s="68" t="inlineStr"/>
      <c r="AB348" s="69" t="inlineStr"/>
      <c r="AC348" s="436" t="inlineStr">
        <is>
          <t>ЕАЭС N RU Д-RU.РА11.В.91844/25</t>
        </is>
      </c>
      <c r="AG348" s="78" t="n"/>
      <c r="AJ348" s="84" t="inlineStr"/>
      <c r="AK348" s="84" t="n">
        <v>0</v>
      </c>
      <c r="BB348" s="437" t="inlineStr">
        <is>
          <t>КИ</t>
        </is>
      </c>
      <c r="BM348" s="78">
        <f>IFERROR(X348*I348/H348,"0")</f>
        <v/>
      </c>
      <c r="BN348" s="78">
        <f>IFERROR(Y348*I348/H348,"0")</f>
        <v/>
      </c>
      <c r="BO348" s="78">
        <f>IFERROR(1/J348*(X348/H348),"0")</f>
        <v/>
      </c>
      <c r="BP348" s="78">
        <f>IFERROR(1/J348*(Y348/H348),"0")</f>
        <v/>
      </c>
    </row>
    <row r="349">
      <c r="A349" s="704" t="n"/>
      <c r="B349" s="979" t="n"/>
      <c r="C349" s="979" t="n"/>
      <c r="D349" s="979" t="n"/>
      <c r="E349" s="979" t="n"/>
      <c r="F349" s="979" t="n"/>
      <c r="G349" s="979" t="n"/>
      <c r="H349" s="979" t="n"/>
      <c r="I349" s="979" t="n"/>
      <c r="J349" s="979" t="n"/>
      <c r="K349" s="979" t="n"/>
      <c r="L349" s="979" t="n"/>
      <c r="M349" s="979" t="n"/>
      <c r="N349" s="979" t="n"/>
      <c r="O349" s="1035" t="n"/>
      <c r="P349" s="1036" t="inlineStr">
        <is>
          <t>Итого</t>
        </is>
      </c>
      <c r="Q349" s="997" t="n"/>
      <c r="R349" s="997" t="n"/>
      <c r="S349" s="997" t="n"/>
      <c r="T349" s="997" t="n"/>
      <c r="U349" s="997" t="n"/>
      <c r="V349" s="998" t="n"/>
      <c r="W349" s="42" t="inlineStr">
        <is>
          <t>кор</t>
        </is>
      </c>
      <c r="X349" s="1037">
        <f>IFERROR(X346/H346,"0")+IFERROR(X347/H347,"0")+IFERROR(X348/H348,"0")</f>
        <v/>
      </c>
      <c r="Y349" s="1037">
        <f>IFERROR(Y346/H346,"0")+IFERROR(Y347/H347,"0")+IFERROR(Y348/H348,"0")</f>
        <v/>
      </c>
      <c r="Z349" s="1037">
        <f>IFERROR(IF(Z346="",0,Z346),"0")+IFERROR(IF(Z347="",0,Z347),"0")+IFERROR(IF(Z348="",0,Z348),"0")</f>
        <v/>
      </c>
      <c r="AA349" s="1038" t="n"/>
      <c r="AB349" s="1038" t="n"/>
      <c r="AC349" s="1038" t="n"/>
    </row>
    <row r="350">
      <c r="A350" s="979" t="n"/>
      <c r="B350" s="979" t="n"/>
      <c r="C350" s="979" t="n"/>
      <c r="D350" s="979" t="n"/>
      <c r="E350" s="979" t="n"/>
      <c r="F350" s="979" t="n"/>
      <c r="G350" s="979" t="n"/>
      <c r="H350" s="979" t="n"/>
      <c r="I350" s="979" t="n"/>
      <c r="J350" s="979" t="n"/>
      <c r="K350" s="979" t="n"/>
      <c r="L350" s="979" t="n"/>
      <c r="M350" s="979" t="n"/>
      <c r="N350" s="979" t="n"/>
      <c r="O350" s="1035" t="n"/>
      <c r="P350" s="1036" t="inlineStr">
        <is>
          <t>Итого</t>
        </is>
      </c>
      <c r="Q350" s="997" t="n"/>
      <c r="R350" s="997" t="n"/>
      <c r="S350" s="997" t="n"/>
      <c r="T350" s="997" t="n"/>
      <c r="U350" s="997" t="n"/>
      <c r="V350" s="998" t="n"/>
      <c r="W350" s="42" t="inlineStr">
        <is>
          <t>кг</t>
        </is>
      </c>
      <c r="X350" s="1037">
        <f>IFERROR(SUM(X346:X348),"0")</f>
        <v/>
      </c>
      <c r="Y350" s="1037">
        <f>IFERROR(SUM(Y346:Y348),"0")</f>
        <v/>
      </c>
      <c r="Z350" s="42" t="n"/>
      <c r="AA350" s="1038" t="n"/>
      <c r="AB350" s="1038" t="n"/>
      <c r="AC350" s="1038" t="n"/>
    </row>
    <row r="351" ht="16.5" customHeight="1">
      <c r="A351" s="693" t="inlineStr">
        <is>
          <t>Бордо</t>
        </is>
      </c>
      <c r="B351" s="979" t="n"/>
      <c r="C351" s="979" t="n"/>
      <c r="D351" s="979" t="n"/>
      <c r="E351" s="979" t="n"/>
      <c r="F351" s="979" t="n"/>
      <c r="G351" s="979" t="n"/>
      <c r="H351" s="979" t="n"/>
      <c r="I351" s="979" t="n"/>
      <c r="J351" s="979" t="n"/>
      <c r="K351" s="979" t="n"/>
      <c r="L351" s="979" t="n"/>
      <c r="M351" s="979" t="n"/>
      <c r="N351" s="979" t="n"/>
      <c r="O351" s="979" t="n"/>
      <c r="P351" s="979" t="n"/>
      <c r="Q351" s="979" t="n"/>
      <c r="R351" s="979" t="n"/>
      <c r="S351" s="979" t="n"/>
      <c r="T351" s="979" t="n"/>
      <c r="U351" s="979" t="n"/>
      <c r="V351" s="979" t="n"/>
      <c r="W351" s="979" t="n"/>
      <c r="X351" s="979" t="n"/>
      <c r="Y351" s="979" t="n"/>
      <c r="Z351" s="979" t="n"/>
      <c r="AA351" s="693" t="n"/>
      <c r="AB351" s="693" t="n"/>
      <c r="AC351" s="693" t="n"/>
    </row>
    <row r="352" ht="14.25" customHeight="1">
      <c r="A352" s="694" t="inlineStr">
        <is>
          <t>Вареные колбасы</t>
        </is>
      </c>
      <c r="B352" s="979" t="n"/>
      <c r="C352" s="979" t="n"/>
      <c r="D352" s="979" t="n"/>
      <c r="E352" s="979" t="n"/>
      <c r="F352" s="979" t="n"/>
      <c r="G352" s="979" t="n"/>
      <c r="H352" s="979" t="n"/>
      <c r="I352" s="979" t="n"/>
      <c r="J352" s="979" t="n"/>
      <c r="K352" s="979" t="n"/>
      <c r="L352" s="979" t="n"/>
      <c r="M352" s="979" t="n"/>
      <c r="N352" s="979" t="n"/>
      <c r="O352" s="979" t="n"/>
      <c r="P352" s="979" t="n"/>
      <c r="Q352" s="979" t="n"/>
      <c r="R352" s="979" t="n"/>
      <c r="S352" s="979" t="n"/>
      <c r="T352" s="979" t="n"/>
      <c r="U352" s="979" t="n"/>
      <c r="V352" s="979" t="n"/>
      <c r="W352" s="979" t="n"/>
      <c r="X352" s="979" t="n"/>
      <c r="Y352" s="979" t="n"/>
      <c r="Z352" s="979" t="n"/>
      <c r="AA352" s="694" t="n"/>
      <c r="AB352" s="694" t="n"/>
      <c r="AC352" s="694" t="n"/>
    </row>
    <row r="353" ht="27" customHeight="1">
      <c r="A353" s="63" t="inlineStr">
        <is>
          <t>SU004009</t>
        </is>
      </c>
      <c r="B353" s="63" t="inlineStr">
        <is>
          <t>P005138</t>
        </is>
      </c>
      <c r="C353" s="36" t="n">
        <v>4301012235</v>
      </c>
      <c r="D353" s="695" t="n">
        <v>4680115887190</v>
      </c>
      <c r="E353" s="989" t="n"/>
      <c r="F353" s="1028" t="n">
        <v>1.35</v>
      </c>
      <c r="G353" s="37" t="n">
        <v>8</v>
      </c>
      <c r="H353" s="1028" t="n">
        <v>10.8</v>
      </c>
      <c r="I353" s="1028" t="n">
        <v>11.21</v>
      </c>
      <c r="J353" s="37" t="n">
        <v>64</v>
      </c>
      <c r="K353" s="37" t="inlineStr">
        <is>
          <t>8</t>
        </is>
      </c>
      <c r="L353" s="37" t="inlineStr"/>
      <c r="M353" s="38" t="inlineStr">
        <is>
          <t>СК1</t>
        </is>
      </c>
      <c r="N353" s="38" t="n"/>
      <c r="O353" s="37" t="n">
        <v>55</v>
      </c>
      <c r="P353" s="1213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/>
      </c>
      <c r="Q353" s="1030" t="n"/>
      <c r="R353" s="1030" t="n"/>
      <c r="S353" s="1030" t="n"/>
      <c r="T353" s="1031" t="n"/>
      <c r="U353" s="39" t="inlineStr"/>
      <c r="V353" s="39" t="inlineStr"/>
      <c r="W353" s="40" t="inlineStr">
        <is>
          <t>кг</t>
        </is>
      </c>
      <c r="X353" s="1032" t="n">
        <v>0</v>
      </c>
      <c r="Y353" s="1033">
        <f>IFERROR(IF(X353="",0,CEILING((X353/$H353),1)*$H353),"")</f>
        <v/>
      </c>
      <c r="Z353" s="41">
        <f>IFERROR(IF(Y353=0,"",ROUNDUP(Y353/H353,0)*0.01898),"")</f>
        <v/>
      </c>
      <c r="AA353" s="68" t="inlineStr"/>
      <c r="AB353" s="69" t="inlineStr"/>
      <c r="AC353" s="438" t="inlineStr">
        <is>
          <t>ЕАЭС N RU Д-RU.РА09.В.01730/25</t>
        </is>
      </c>
      <c r="AG353" s="78" t="n"/>
      <c r="AJ353" s="84" t="inlineStr"/>
      <c r="AK353" s="84" t="n">
        <v>0</v>
      </c>
      <c r="BB353" s="439" t="inlineStr">
        <is>
          <t>КИ</t>
        </is>
      </c>
      <c r="BM353" s="78">
        <f>IFERROR(X353*I353/H353,"0")</f>
        <v/>
      </c>
      <c r="BN353" s="78">
        <f>IFERROR(Y353*I353/H353,"0")</f>
        <v/>
      </c>
      <c r="BO353" s="78">
        <f>IFERROR(1/J353*(X353/H353),"0")</f>
        <v/>
      </c>
      <c r="BP353" s="78">
        <f>IFERROR(1/J353*(Y353/H353),"0")</f>
        <v/>
      </c>
    </row>
    <row r="354" ht="37.5" customHeight="1">
      <c r="A354" s="63" t="inlineStr">
        <is>
          <t>SU004007</t>
        </is>
      </c>
      <c r="B354" s="63" t="inlineStr">
        <is>
          <t>P005136</t>
        </is>
      </c>
      <c r="C354" s="36" t="n">
        <v>4301012233</v>
      </c>
      <c r="D354" s="695" t="n">
        <v>4680115887138</v>
      </c>
      <c r="E354" s="989" t="n"/>
      <c r="F354" s="1028" t="n">
        <v>1.35</v>
      </c>
      <c r="G354" s="37" t="n">
        <v>8</v>
      </c>
      <c r="H354" s="1028" t="n">
        <v>10.8</v>
      </c>
      <c r="I354" s="1028" t="n">
        <v>11.21</v>
      </c>
      <c r="J354" s="37" t="n">
        <v>64</v>
      </c>
      <c r="K354" s="37" t="inlineStr">
        <is>
          <t>8</t>
        </is>
      </c>
      <c r="L354" s="37" t="inlineStr"/>
      <c r="M354" s="38" t="inlineStr">
        <is>
          <t>СК1</t>
        </is>
      </c>
      <c r="N354" s="38" t="n"/>
      <c r="O354" s="37" t="n">
        <v>55</v>
      </c>
      <c r="P354" s="1214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/>
      </c>
      <c r="Q354" s="1030" t="n"/>
      <c r="R354" s="1030" t="n"/>
      <c r="S354" s="1030" t="n"/>
      <c r="T354" s="1031" t="n"/>
      <c r="U354" s="39" t="inlineStr"/>
      <c r="V354" s="39" t="inlineStr"/>
      <c r="W354" s="40" t="inlineStr">
        <is>
          <t>кг</t>
        </is>
      </c>
      <c r="X354" s="1032" t="n">
        <v>0</v>
      </c>
      <c r="Y354" s="1033">
        <f>IFERROR(IF(X354="",0,CEILING((X354/$H354),1)*$H354),"")</f>
        <v/>
      </c>
      <c r="Z354" s="41">
        <f>IFERROR(IF(Y354=0,"",ROUNDUP(Y354/H354,0)*0.01898),"")</f>
        <v/>
      </c>
      <c r="AA354" s="68" t="inlineStr"/>
      <c r="AB354" s="69" t="inlineStr"/>
      <c r="AC354" s="440" t="inlineStr">
        <is>
          <t>ЕАЭС N RU Д-RU.РА09.В.02072/25</t>
        </is>
      </c>
      <c r="AG354" s="78" t="n"/>
      <c r="AJ354" s="84" t="inlineStr"/>
      <c r="AK354" s="84" t="n">
        <v>0</v>
      </c>
      <c r="BB354" s="441" t="inlineStr">
        <is>
          <t>КИ</t>
        </is>
      </c>
      <c r="BM354" s="78">
        <f>IFERROR(X354*I354/H354,"0")</f>
        <v/>
      </c>
      <c r="BN354" s="78">
        <f>IFERROR(Y354*I354/H354,"0")</f>
        <v/>
      </c>
      <c r="BO354" s="78">
        <f>IFERROR(1/J354*(X354/H354),"0")</f>
        <v/>
      </c>
      <c r="BP354" s="78">
        <f>IFERROR(1/J354*(Y354/H354),"0")</f>
        <v/>
      </c>
    </row>
    <row r="355" ht="27" customHeight="1">
      <c r="A355" s="63" t="inlineStr">
        <is>
          <t>SU003392</t>
        </is>
      </c>
      <c r="B355" s="63" t="inlineStr">
        <is>
          <t>P004210</t>
        </is>
      </c>
      <c r="C355" s="36" t="n">
        <v>4301012016</v>
      </c>
      <c r="D355" s="695" t="n">
        <v>4680115885554</v>
      </c>
      <c r="E355" s="989" t="n"/>
      <c r="F355" s="1028" t="n">
        <v>1.35</v>
      </c>
      <c r="G355" s="37" t="n">
        <v>8</v>
      </c>
      <c r="H355" s="1028" t="n">
        <v>10.8</v>
      </c>
      <c r="I355" s="1028" t="n">
        <v>11.21</v>
      </c>
      <c r="J355" s="37" t="n">
        <v>64</v>
      </c>
      <c r="K355" s="37" t="inlineStr">
        <is>
          <t>8</t>
        </is>
      </c>
      <c r="L355" s="37" t="inlineStr"/>
      <c r="M355" s="38" t="inlineStr">
        <is>
          <t>СК3</t>
        </is>
      </c>
      <c r="N355" s="38" t="n"/>
      <c r="O355" s="37" t="n">
        <v>55</v>
      </c>
      <c r="P355" s="1215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55" s="1030" t="n"/>
      <c r="R355" s="1030" t="n"/>
      <c r="S355" s="1030" t="n"/>
      <c r="T355" s="1031" t="n"/>
      <c r="U355" s="39" t="inlineStr"/>
      <c r="V355" s="39" t="inlineStr"/>
      <c r="W355" s="40" t="inlineStr">
        <is>
          <t>кг</t>
        </is>
      </c>
      <c r="X355" s="1032" t="n">
        <v>0</v>
      </c>
      <c r="Y355" s="1033">
        <f>IFERROR(IF(X355="",0,CEILING((X355/$H355),1)*$H355),"")</f>
        <v/>
      </c>
      <c r="Z355" s="41">
        <f>IFERROR(IF(Y355=0,"",ROUNDUP(Y355/H355,0)*0.01898),"")</f>
        <v/>
      </c>
      <c r="AA355" s="68" t="inlineStr"/>
      <c r="AB355" s="69" t="inlineStr"/>
      <c r="AC355" s="442" t="inlineStr">
        <is>
          <t>ЕАЭС N RU Д-RU.РА01.В.51811/26, ЕАЭС N RU Д-RU.РА02.В.98175/26</t>
        </is>
      </c>
      <c r="AG355" s="78" t="n"/>
      <c r="AJ355" s="84" t="inlineStr"/>
      <c r="AK355" s="84" t="n">
        <v>0</v>
      </c>
      <c r="BB355" s="443" t="inlineStr">
        <is>
          <t>КИ</t>
        </is>
      </c>
      <c r="BM355" s="78">
        <f>IFERROR(X355*I355/H355,"0")</f>
        <v/>
      </c>
      <c r="BN355" s="78">
        <f>IFERROR(Y355*I355/H355,"0")</f>
        <v/>
      </c>
      <c r="BO355" s="78">
        <f>IFERROR(1/J355*(X355/H355),"0")</f>
        <v/>
      </c>
      <c r="BP355" s="78">
        <f>IFERROR(1/J355*(Y355/H355),"0")</f>
        <v/>
      </c>
    </row>
    <row r="356" ht="27" customHeight="1">
      <c r="A356" s="63" t="inlineStr">
        <is>
          <t>SU004010</t>
        </is>
      </c>
      <c r="B356" s="63" t="inlineStr">
        <is>
          <t>P005139</t>
        </is>
      </c>
      <c r="C356" s="36" t="n">
        <v>4301012236</v>
      </c>
      <c r="D356" s="695" t="n">
        <v>4680115887220</v>
      </c>
      <c r="E356" s="989" t="n"/>
      <c r="F356" s="1028" t="n">
        <v>0.4</v>
      </c>
      <c r="G356" s="37" t="n">
        <v>10</v>
      </c>
      <c r="H356" s="1028" t="n">
        <v>4</v>
      </c>
      <c r="I356" s="1028" t="n">
        <v>4.19</v>
      </c>
      <c r="J356" s="37" t="n">
        <v>132</v>
      </c>
      <c r="K356" s="37" t="inlineStr">
        <is>
          <t>12</t>
        </is>
      </c>
      <c r="L356" s="37" t="inlineStr"/>
      <c r="M356" s="38" t="inlineStr">
        <is>
          <t>СК1</t>
        </is>
      </c>
      <c r="N356" s="38" t="n"/>
      <c r="O356" s="37" t="n">
        <v>55</v>
      </c>
      <c r="P356" s="1216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/>
      </c>
      <c r="Q356" s="1030" t="n"/>
      <c r="R356" s="1030" t="n"/>
      <c r="S356" s="1030" t="n"/>
      <c r="T356" s="1031" t="n"/>
      <c r="U356" s="39" t="inlineStr"/>
      <c r="V356" s="39" t="inlineStr"/>
      <c r="W356" s="40" t="inlineStr">
        <is>
          <t>кг</t>
        </is>
      </c>
      <c r="X356" s="1032" t="n">
        <v>0</v>
      </c>
      <c r="Y356" s="1033">
        <f>IFERROR(IF(X356="",0,CEILING((X356/$H356),1)*$H356),"")</f>
        <v/>
      </c>
      <c r="Z356" s="41">
        <f>IFERROR(IF(Y356=0,"",ROUNDUP(Y356/H356,0)*0.00902),"")</f>
        <v/>
      </c>
      <c r="AA356" s="68" t="inlineStr"/>
      <c r="AB356" s="69" t="inlineStr"/>
      <c r="AC356" s="444" t="inlineStr">
        <is>
          <t>ЕАЭС N RU Д-RU.РА09.В.01730/25</t>
        </is>
      </c>
      <c r="AG356" s="78" t="n"/>
      <c r="AJ356" s="84" t="inlineStr"/>
      <c r="AK356" s="84" t="n">
        <v>0</v>
      </c>
      <c r="BB356" s="445" t="inlineStr">
        <is>
          <t>КИ</t>
        </is>
      </c>
      <c r="BM356" s="78">
        <f>IFERROR(X356*I356/H356,"0")</f>
        <v/>
      </c>
      <c r="BN356" s="78">
        <f>IFERROR(Y356*I356/H356,"0")</f>
        <v/>
      </c>
      <c r="BO356" s="78">
        <f>IFERROR(1/J356*(X356/H356),"0")</f>
        <v/>
      </c>
      <c r="BP356" s="78">
        <f>IFERROR(1/J356*(Y356/H356),"0")</f>
        <v/>
      </c>
    </row>
    <row r="357" ht="27" customHeight="1">
      <c r="A357" s="63" t="inlineStr">
        <is>
          <t>SU003393</t>
        </is>
      </c>
      <c r="B357" s="63" t="inlineStr">
        <is>
          <t>P004211</t>
        </is>
      </c>
      <c r="C357" s="36" t="n">
        <v>4301011859</v>
      </c>
      <c r="D357" s="695" t="n">
        <v>4680115885608</v>
      </c>
      <c r="E357" s="989" t="n"/>
      <c r="F357" s="1028" t="n">
        <v>0.4</v>
      </c>
      <c r="G357" s="37" t="n">
        <v>10</v>
      </c>
      <c r="H357" s="1028" t="n">
        <v>4</v>
      </c>
      <c r="I357" s="1028" t="n">
        <v>4.19</v>
      </c>
      <c r="J357" s="37" t="n">
        <v>132</v>
      </c>
      <c r="K357" s="37" t="inlineStr">
        <is>
          <t>12</t>
        </is>
      </c>
      <c r="L357" s="37" t="inlineStr"/>
      <c r="M357" s="38" t="inlineStr">
        <is>
          <t>СК1</t>
        </is>
      </c>
      <c r="N357" s="38" t="n"/>
      <c r="O357" s="37" t="n">
        <v>55</v>
      </c>
      <c r="P357" s="1217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57" s="1030" t="n"/>
      <c r="R357" s="1030" t="n"/>
      <c r="S357" s="1030" t="n"/>
      <c r="T357" s="1031" t="n"/>
      <c r="U357" s="39" t="inlineStr"/>
      <c r="V357" s="39" t="inlineStr"/>
      <c r="W357" s="40" t="inlineStr">
        <is>
          <t>кг</t>
        </is>
      </c>
      <c r="X357" s="1032" t="n">
        <v>0</v>
      </c>
      <c r="Y357" s="1033">
        <f>IFERROR(IF(X357="",0,CEILING((X357/$H357),1)*$H357),"")</f>
        <v/>
      </c>
      <c r="Z357" s="41">
        <f>IFERROR(IF(Y357=0,"",ROUNDUP(Y357/H357,0)*0.00902),"")</f>
        <v/>
      </c>
      <c r="AA357" s="68" t="inlineStr"/>
      <c r="AB357" s="69" t="inlineStr"/>
      <c r="AC357" s="446" t="inlineStr">
        <is>
          <t>ЕАЭС N RU Д-RU.РА01.В.51811/26</t>
        </is>
      </c>
      <c r="AG357" s="78" t="n"/>
      <c r="AJ357" s="84" t="inlineStr"/>
      <c r="AK357" s="84" t="n">
        <v>0</v>
      </c>
      <c r="BB357" s="447" t="inlineStr">
        <is>
          <t>КИ</t>
        </is>
      </c>
      <c r="BM357" s="78">
        <f>IFERROR(X357*I357/H357,"0")</f>
        <v/>
      </c>
      <c r="BN357" s="78">
        <f>IFERROR(Y357*I357/H357,"0")</f>
        <v/>
      </c>
      <c r="BO357" s="78">
        <f>IFERROR(1/J357*(X357/H357),"0")</f>
        <v/>
      </c>
      <c r="BP357" s="78">
        <f>IFERROR(1/J357*(Y357/H357),"0")</f>
        <v/>
      </c>
    </row>
    <row r="358">
      <c r="A358" s="704" t="n"/>
      <c r="B358" s="979" t="n"/>
      <c r="C358" s="979" t="n"/>
      <c r="D358" s="979" t="n"/>
      <c r="E358" s="979" t="n"/>
      <c r="F358" s="979" t="n"/>
      <c r="G358" s="979" t="n"/>
      <c r="H358" s="979" t="n"/>
      <c r="I358" s="979" t="n"/>
      <c r="J358" s="979" t="n"/>
      <c r="K358" s="979" t="n"/>
      <c r="L358" s="979" t="n"/>
      <c r="M358" s="979" t="n"/>
      <c r="N358" s="979" t="n"/>
      <c r="O358" s="1035" t="n"/>
      <c r="P358" s="1036" t="inlineStr">
        <is>
          <t>Итого</t>
        </is>
      </c>
      <c r="Q358" s="997" t="n"/>
      <c r="R358" s="997" t="n"/>
      <c r="S358" s="997" t="n"/>
      <c r="T358" s="997" t="n"/>
      <c r="U358" s="997" t="n"/>
      <c r="V358" s="998" t="n"/>
      <c r="W358" s="42" t="inlineStr">
        <is>
          <t>кор</t>
        </is>
      </c>
      <c r="X358" s="1037">
        <f>IFERROR(X353/H353,"0")+IFERROR(X354/H354,"0")+IFERROR(X355/H355,"0")+IFERROR(X356/H356,"0")+IFERROR(X357/H357,"0")</f>
        <v/>
      </c>
      <c r="Y358" s="1037">
        <f>IFERROR(Y353/H353,"0")+IFERROR(Y354/H354,"0")+IFERROR(Y355/H355,"0")+IFERROR(Y356/H356,"0")+IFERROR(Y357/H357,"0")</f>
        <v/>
      </c>
      <c r="Z358" s="1037">
        <f>IFERROR(IF(Z353="",0,Z353),"0")+IFERROR(IF(Z354="",0,Z354),"0")+IFERROR(IF(Z355="",0,Z355),"0")+IFERROR(IF(Z356="",0,Z356),"0")+IFERROR(IF(Z357="",0,Z357),"0")</f>
        <v/>
      </c>
      <c r="AA358" s="1038" t="n"/>
      <c r="AB358" s="1038" t="n"/>
      <c r="AC358" s="1038" t="n"/>
    </row>
    <row r="359">
      <c r="A359" s="979" t="n"/>
      <c r="B359" s="979" t="n"/>
      <c r="C359" s="979" t="n"/>
      <c r="D359" s="979" t="n"/>
      <c r="E359" s="979" t="n"/>
      <c r="F359" s="979" t="n"/>
      <c r="G359" s="979" t="n"/>
      <c r="H359" s="979" t="n"/>
      <c r="I359" s="979" t="n"/>
      <c r="J359" s="979" t="n"/>
      <c r="K359" s="979" t="n"/>
      <c r="L359" s="979" t="n"/>
      <c r="M359" s="979" t="n"/>
      <c r="N359" s="979" t="n"/>
      <c r="O359" s="1035" t="n"/>
      <c r="P359" s="1036" t="inlineStr">
        <is>
          <t>Итого</t>
        </is>
      </c>
      <c r="Q359" s="997" t="n"/>
      <c r="R359" s="997" t="n"/>
      <c r="S359" s="997" t="n"/>
      <c r="T359" s="997" t="n"/>
      <c r="U359" s="997" t="n"/>
      <c r="V359" s="998" t="n"/>
      <c r="W359" s="42" t="inlineStr">
        <is>
          <t>кг</t>
        </is>
      </c>
      <c r="X359" s="1037">
        <f>IFERROR(SUM(X353:X357),"0")</f>
        <v/>
      </c>
      <c r="Y359" s="1037">
        <f>IFERROR(SUM(Y353:Y357),"0")</f>
        <v/>
      </c>
      <c r="Z359" s="42" t="n"/>
      <c r="AA359" s="1038" t="n"/>
      <c r="AB359" s="1038" t="n"/>
      <c r="AC359" s="1038" t="n"/>
    </row>
    <row r="360" ht="14.25" customHeight="1">
      <c r="A360" s="694" t="inlineStr">
        <is>
          <t>Копченые колбасы</t>
        </is>
      </c>
      <c r="B360" s="979" t="n"/>
      <c r="C360" s="979" t="n"/>
      <c r="D360" s="979" t="n"/>
      <c r="E360" s="979" t="n"/>
      <c r="F360" s="979" t="n"/>
      <c r="G360" s="979" t="n"/>
      <c r="H360" s="979" t="n"/>
      <c r="I360" s="979" t="n"/>
      <c r="J360" s="979" t="n"/>
      <c r="K360" s="979" t="n"/>
      <c r="L360" s="979" t="n"/>
      <c r="M360" s="979" t="n"/>
      <c r="N360" s="979" t="n"/>
      <c r="O360" s="979" t="n"/>
      <c r="P360" s="979" t="n"/>
      <c r="Q360" s="979" t="n"/>
      <c r="R360" s="979" t="n"/>
      <c r="S360" s="979" t="n"/>
      <c r="T360" s="979" t="n"/>
      <c r="U360" s="979" t="n"/>
      <c r="V360" s="979" t="n"/>
      <c r="W360" s="979" t="n"/>
      <c r="X360" s="979" t="n"/>
      <c r="Y360" s="979" t="n"/>
      <c r="Z360" s="979" t="n"/>
      <c r="AA360" s="694" t="n"/>
      <c r="AB360" s="694" t="n"/>
      <c r="AC360" s="694" t="n"/>
    </row>
    <row r="361" ht="27" customHeight="1">
      <c r="A361" s="63" t="inlineStr">
        <is>
          <t>SU001820</t>
        </is>
      </c>
      <c r="B361" s="63" t="inlineStr">
        <is>
          <t>P001820</t>
        </is>
      </c>
      <c r="C361" s="36" t="n">
        <v>4301030878</v>
      </c>
      <c r="D361" s="695" t="n">
        <v>4607091387193</v>
      </c>
      <c r="E361" s="989" t="n"/>
      <c r="F361" s="1028" t="n">
        <v>0.7</v>
      </c>
      <c r="G361" s="37" t="n">
        <v>6</v>
      </c>
      <c r="H361" s="1028" t="n">
        <v>4.2</v>
      </c>
      <c r="I361" s="1028" t="n">
        <v>4.45</v>
      </c>
      <c r="J361" s="37" t="n">
        <v>132</v>
      </c>
      <c r="K361" s="37" t="inlineStr">
        <is>
          <t>12</t>
        </is>
      </c>
      <c r="L361" s="37" t="inlineStr"/>
      <c r="M361" s="38" t="inlineStr">
        <is>
          <t>СК2</t>
        </is>
      </c>
      <c r="N361" s="38" t="n"/>
      <c r="O361" s="37" t="n">
        <v>35</v>
      </c>
      <c r="P361" s="1218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61" s="1030" t="n"/>
      <c r="R361" s="1030" t="n"/>
      <c r="S361" s="1030" t="n"/>
      <c r="T361" s="1031" t="n"/>
      <c r="U361" s="39" t="inlineStr"/>
      <c r="V361" s="39" t="inlineStr"/>
      <c r="W361" s="40" t="inlineStr">
        <is>
          <t>кг</t>
        </is>
      </c>
      <c r="X361" s="1032" t="n">
        <v>0</v>
      </c>
      <c r="Y361" s="1033">
        <f>IFERROR(IF(X361="",0,CEILING((X361/$H361),1)*$H361),"")</f>
        <v/>
      </c>
      <c r="Z361" s="41">
        <f>IFERROR(IF(Y361=0,"",ROUNDUP(Y361/H361,0)*0.00902),"")</f>
        <v/>
      </c>
      <c r="AA361" s="68" t="inlineStr"/>
      <c r="AB361" s="69" t="inlineStr"/>
      <c r="AC361" s="448" t="inlineStr">
        <is>
          <t>ЕАЭС N RU Д-RU.РА01.В.54347/25</t>
        </is>
      </c>
      <c r="AG361" s="78" t="n"/>
      <c r="AJ361" s="84" t="inlineStr"/>
      <c r="AK361" s="84" t="n">
        <v>0</v>
      </c>
      <c r="BB361" s="449" t="inlineStr">
        <is>
          <t>КИ</t>
        </is>
      </c>
      <c r="BM361" s="78">
        <f>IFERROR(X361*I361/H361,"0")</f>
        <v/>
      </c>
      <c r="BN361" s="78">
        <f>IFERROR(Y361*I361/H361,"0")</f>
        <v/>
      </c>
      <c r="BO361" s="78">
        <f>IFERROR(1/J361*(X361/H361),"0")</f>
        <v/>
      </c>
      <c r="BP361" s="78">
        <f>IFERROR(1/J361*(Y361/H361),"0")</f>
        <v/>
      </c>
    </row>
    <row r="362" ht="27" customHeight="1">
      <c r="A362" s="63" t="inlineStr">
        <is>
          <t>SU001822</t>
        </is>
      </c>
      <c r="B362" s="63" t="inlineStr">
        <is>
          <t>P003013</t>
        </is>
      </c>
      <c r="C362" s="36" t="n">
        <v>4301031153</v>
      </c>
      <c r="D362" s="695" t="n">
        <v>4607091387230</v>
      </c>
      <c r="E362" s="989" t="n"/>
      <c r="F362" s="1028" t="n">
        <v>0.7</v>
      </c>
      <c r="G362" s="37" t="n">
        <v>6</v>
      </c>
      <c r="H362" s="1028" t="n">
        <v>4.2</v>
      </c>
      <c r="I362" s="1028" t="n">
        <v>4.45</v>
      </c>
      <c r="J362" s="37" t="n">
        <v>132</v>
      </c>
      <c r="K362" s="37" t="inlineStr">
        <is>
          <t>12</t>
        </is>
      </c>
      <c r="L362" s="37" t="inlineStr"/>
      <c r="M362" s="38" t="inlineStr">
        <is>
          <t>СК2</t>
        </is>
      </c>
      <c r="N362" s="38" t="n"/>
      <c r="O362" s="37" t="n">
        <v>40</v>
      </c>
      <c r="P362" s="1219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62" s="1030" t="n"/>
      <c r="R362" s="1030" t="n"/>
      <c r="S362" s="1030" t="n"/>
      <c r="T362" s="1031" t="n"/>
      <c r="U362" s="39" t="inlineStr"/>
      <c r="V362" s="39" t="inlineStr"/>
      <c r="W362" s="40" t="inlineStr">
        <is>
          <t>кг</t>
        </is>
      </c>
      <c r="X362" s="1032" t="n">
        <v>0</v>
      </c>
      <c r="Y362" s="1033">
        <f>IFERROR(IF(X362="",0,CEILING((X362/$H362),1)*$H362),"")</f>
        <v/>
      </c>
      <c r="Z362" s="41">
        <f>IFERROR(IF(Y362=0,"",ROUNDUP(Y362/H362,0)*0.00902),"")</f>
        <v/>
      </c>
      <c r="AA362" s="68" t="inlineStr"/>
      <c r="AB362" s="69" t="inlineStr"/>
      <c r="AC362" s="450" t="inlineStr">
        <is>
          <t>ЕАЭС N RU Д-RU.РА02.В.50456/26</t>
        </is>
      </c>
      <c r="AG362" s="78" t="n"/>
      <c r="AJ362" s="84" t="inlineStr"/>
      <c r="AK362" s="84" t="n">
        <v>0</v>
      </c>
      <c r="BB362" s="451" t="inlineStr">
        <is>
          <t>КИ</t>
        </is>
      </c>
      <c r="BM362" s="78">
        <f>IFERROR(X362*I362/H362,"0")</f>
        <v/>
      </c>
      <c r="BN362" s="78">
        <f>IFERROR(Y362*I362/H362,"0")</f>
        <v/>
      </c>
      <c r="BO362" s="78">
        <f>IFERROR(1/J362*(X362/H362),"0")</f>
        <v/>
      </c>
      <c r="BP362" s="78">
        <f>IFERROR(1/J362*(Y362/H362),"0")</f>
        <v/>
      </c>
    </row>
    <row r="363" ht="27" customHeight="1">
      <c r="A363" s="63" t="inlineStr">
        <is>
          <t>SU001801</t>
        </is>
      </c>
      <c r="B363" s="63" t="inlineStr">
        <is>
          <t>P003014</t>
        </is>
      </c>
      <c r="C363" s="36" t="n">
        <v>4301031154</v>
      </c>
      <c r="D363" s="695" t="n">
        <v>4607091387292</v>
      </c>
      <c r="E363" s="989" t="n"/>
      <c r="F363" s="1028" t="n">
        <v>0.73</v>
      </c>
      <c r="G363" s="37" t="n">
        <v>6</v>
      </c>
      <c r="H363" s="1028" t="n">
        <v>4.38</v>
      </c>
      <c r="I363" s="1028" t="n">
        <v>4.63</v>
      </c>
      <c r="J363" s="37" t="n">
        <v>132</v>
      </c>
      <c r="K363" s="37" t="inlineStr">
        <is>
          <t>12</t>
        </is>
      </c>
      <c r="L363" s="37" t="inlineStr"/>
      <c r="M363" s="38" t="inlineStr">
        <is>
          <t>СК2</t>
        </is>
      </c>
      <c r="N363" s="38" t="n"/>
      <c r="O363" s="37" t="n">
        <v>45</v>
      </c>
      <c r="P363" s="1220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63" s="1030" t="n"/>
      <c r="R363" s="1030" t="n"/>
      <c r="S363" s="1030" t="n"/>
      <c r="T363" s="1031" t="n"/>
      <c r="U363" s="39" t="inlineStr"/>
      <c r="V363" s="39" t="inlineStr"/>
      <c r="W363" s="40" t="inlineStr">
        <is>
          <t>кг</t>
        </is>
      </c>
      <c r="X363" s="1032" t="n">
        <v>0</v>
      </c>
      <c r="Y363" s="1033">
        <f>IFERROR(IF(X363="",0,CEILING((X363/$H363),1)*$H363),"")</f>
        <v/>
      </c>
      <c r="Z363" s="41">
        <f>IFERROR(IF(Y363=0,"",ROUNDUP(Y363/H363,0)*0.00902),"")</f>
        <v/>
      </c>
      <c r="AA363" s="68" t="inlineStr"/>
      <c r="AB363" s="69" t="inlineStr"/>
      <c r="AC363" s="452" t="inlineStr">
        <is>
          <t>ЕАЭС N RU Д-RU.РА08.В.55680/25</t>
        </is>
      </c>
      <c r="AG363" s="78" t="n"/>
      <c r="AJ363" s="84" t="inlineStr"/>
      <c r="AK363" s="84" t="n">
        <v>0</v>
      </c>
      <c r="BB363" s="453" t="inlineStr">
        <is>
          <t>КИ</t>
        </is>
      </c>
      <c r="BM363" s="78">
        <f>IFERROR(X363*I363/H363,"0")</f>
        <v/>
      </c>
      <c r="BN363" s="78">
        <f>IFERROR(Y363*I363/H363,"0")</f>
        <v/>
      </c>
      <c r="BO363" s="78">
        <f>IFERROR(1/J363*(X363/H363),"0")</f>
        <v/>
      </c>
      <c r="BP363" s="78">
        <f>IFERROR(1/J363*(Y363/H363),"0")</f>
        <v/>
      </c>
    </row>
    <row r="364" ht="27" customHeight="1">
      <c r="A364" s="63" t="inlineStr">
        <is>
          <t>SU002579</t>
        </is>
      </c>
      <c r="B364" s="63" t="inlineStr">
        <is>
          <t>P003012</t>
        </is>
      </c>
      <c r="C364" s="36" t="n">
        <v>4301031152</v>
      </c>
      <c r="D364" s="695" t="n">
        <v>4607091387285</v>
      </c>
      <c r="E364" s="989" t="n"/>
      <c r="F364" s="1028" t="n">
        <v>0.35</v>
      </c>
      <c r="G364" s="37" t="n">
        <v>6</v>
      </c>
      <c r="H364" s="1028" t="n">
        <v>2.1</v>
      </c>
      <c r="I364" s="1028" t="n">
        <v>2.23</v>
      </c>
      <c r="J364" s="37" t="n">
        <v>234</v>
      </c>
      <c r="K364" s="37" t="inlineStr">
        <is>
          <t>18</t>
        </is>
      </c>
      <c r="L364" s="37" t="inlineStr"/>
      <c r="M364" s="38" t="inlineStr">
        <is>
          <t>СК2</t>
        </is>
      </c>
      <c r="N364" s="38" t="n"/>
      <c r="O364" s="37" t="n">
        <v>40</v>
      </c>
      <c r="P364" s="1221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64" s="1030" t="n"/>
      <c r="R364" s="1030" t="n"/>
      <c r="S364" s="1030" t="n"/>
      <c r="T364" s="1031" t="n"/>
      <c r="U364" s="39" t="inlineStr"/>
      <c r="V364" s="39" t="inlineStr"/>
      <c r="W364" s="40" t="inlineStr">
        <is>
          <t>кг</t>
        </is>
      </c>
      <c r="X364" s="1032" t="n">
        <v>0</v>
      </c>
      <c r="Y364" s="1033">
        <f>IFERROR(IF(X364="",0,CEILING((X364/$H364),1)*$H364),"")</f>
        <v/>
      </c>
      <c r="Z364" s="41">
        <f>IFERROR(IF(Y364=0,"",ROUNDUP(Y364/H364,0)*0.00502),"")</f>
        <v/>
      </c>
      <c r="AA364" s="68" t="inlineStr"/>
      <c r="AB364" s="69" t="inlineStr"/>
      <c r="AC364" s="454" t="inlineStr">
        <is>
          <t>ЕАЭС N RU Д-RU.РА02.В.50456/26</t>
        </is>
      </c>
      <c r="AG364" s="78" t="n"/>
      <c r="AJ364" s="84" t="inlineStr"/>
      <c r="AK364" s="84" t="n">
        <v>0</v>
      </c>
      <c r="BB364" s="455" t="inlineStr">
        <is>
          <t>КИ</t>
        </is>
      </c>
      <c r="BM364" s="78">
        <f>IFERROR(X364*I364/H364,"0")</f>
        <v/>
      </c>
      <c r="BN364" s="78">
        <f>IFERROR(Y364*I364/H364,"0")</f>
        <v/>
      </c>
      <c r="BO364" s="78">
        <f>IFERROR(1/J364*(X364/H364),"0")</f>
        <v/>
      </c>
      <c r="BP364" s="78">
        <f>IFERROR(1/J364*(Y364/H364),"0")</f>
        <v/>
      </c>
    </row>
    <row r="365" ht="27" customHeight="1">
      <c r="A365" s="63" t="inlineStr">
        <is>
          <t>SU002617</t>
        </is>
      </c>
      <c r="B365" s="63" t="inlineStr">
        <is>
          <t>P004229</t>
        </is>
      </c>
      <c r="C365" s="36" t="n">
        <v>4301031305</v>
      </c>
      <c r="D365" s="695" t="n">
        <v>4607091389845</v>
      </c>
      <c r="E365" s="989" t="n"/>
      <c r="F365" s="1028" t="n">
        <v>0.35</v>
      </c>
      <c r="G365" s="37" t="n">
        <v>6</v>
      </c>
      <c r="H365" s="1028" t="n">
        <v>2.1</v>
      </c>
      <c r="I365" s="1028" t="n">
        <v>2.2</v>
      </c>
      <c r="J365" s="37" t="n">
        <v>234</v>
      </c>
      <c r="K365" s="37" t="inlineStr">
        <is>
          <t>18</t>
        </is>
      </c>
      <c r="L365" s="37" t="inlineStr"/>
      <c r="M365" s="38" t="inlineStr">
        <is>
          <t>СК2</t>
        </is>
      </c>
      <c r="N365" s="38" t="n"/>
      <c r="O365" s="37" t="n">
        <v>40</v>
      </c>
      <c r="P365" s="1222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/>
      </c>
      <c r="Q365" s="1030" t="n"/>
      <c r="R365" s="1030" t="n"/>
      <c r="S365" s="1030" t="n"/>
      <c r="T365" s="1031" t="n"/>
      <c r="U365" s="39" t="inlineStr"/>
      <c r="V365" s="39" t="inlineStr"/>
      <c r="W365" s="40" t="inlineStr">
        <is>
          <t>кг</t>
        </is>
      </c>
      <c r="X365" s="1032" t="n">
        <v>0</v>
      </c>
      <c r="Y365" s="1033">
        <f>IFERROR(IF(X365="",0,CEILING((X365/$H365),1)*$H365),"")</f>
        <v/>
      </c>
      <c r="Z365" s="41">
        <f>IFERROR(IF(Y365=0,"",ROUNDUP(Y365/H365,0)*0.00502),"")</f>
        <v/>
      </c>
      <c r="AA365" s="68" t="inlineStr"/>
      <c r="AB365" s="69" t="inlineStr"/>
      <c r="AC365" s="456" t="inlineStr">
        <is>
          <t>ЕАЭС N RU Д-RU.РА01.В.23406/26</t>
        </is>
      </c>
      <c r="AG365" s="78" t="n"/>
      <c r="AJ365" s="84" t="inlineStr"/>
      <c r="AK365" s="84" t="n">
        <v>0</v>
      </c>
      <c r="BB365" s="457" t="inlineStr">
        <is>
          <t>КИ</t>
        </is>
      </c>
      <c r="BM365" s="78">
        <f>IFERROR(X365*I365/H365,"0")</f>
        <v/>
      </c>
      <c r="BN365" s="78">
        <f>IFERROR(Y365*I365/H365,"0")</f>
        <v/>
      </c>
      <c r="BO365" s="78">
        <f>IFERROR(1/J365*(X365/H365),"0")</f>
        <v/>
      </c>
      <c r="BP365" s="78">
        <f>IFERROR(1/J365*(Y365/H365),"0")</f>
        <v/>
      </c>
    </row>
    <row r="366" ht="27" customHeight="1">
      <c r="A366" s="63" t="inlineStr">
        <is>
          <t>SU004054</t>
        </is>
      </c>
      <c r="B366" s="63" t="inlineStr">
        <is>
          <t>P005197</t>
        </is>
      </c>
      <c r="C366" s="36" t="n">
        <v>4301031460</v>
      </c>
      <c r="D366" s="695" t="n">
        <v>4680115887442</v>
      </c>
      <c r="E366" s="989" t="n"/>
      <c r="F366" s="1028" t="n">
        <v>0.73</v>
      </c>
      <c r="G366" s="37" t="n">
        <v>6</v>
      </c>
      <c r="H366" s="1028" t="n">
        <v>4.38</v>
      </c>
      <c r="I366" s="1028" t="n">
        <v>4.63</v>
      </c>
      <c r="J366" s="37" t="n">
        <v>132</v>
      </c>
      <c r="K366" s="37" t="inlineStr">
        <is>
          <t>12</t>
        </is>
      </c>
      <c r="L366" s="37" t="inlineStr"/>
      <c r="M366" s="38" t="inlineStr">
        <is>
          <t>СК2</t>
        </is>
      </c>
      <c r="N366" s="38" t="n"/>
      <c r="O366" s="37" t="n">
        <v>45</v>
      </c>
      <c r="P366" s="1223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/>
      </c>
      <c r="Q366" s="1030" t="n"/>
      <c r="R366" s="1030" t="n"/>
      <c r="S366" s="1030" t="n"/>
      <c r="T366" s="1031" t="n"/>
      <c r="U366" s="39" t="inlineStr"/>
      <c r="V366" s="39" t="inlineStr"/>
      <c r="W366" s="40" t="inlineStr">
        <is>
          <t>кг</t>
        </is>
      </c>
      <c r="X366" s="1032" t="n">
        <v>0</v>
      </c>
      <c r="Y366" s="1033">
        <f>IFERROR(IF(X366="",0,CEILING((X366/$H366),1)*$H366),"")</f>
        <v/>
      </c>
      <c r="Z366" s="41">
        <f>IFERROR(IF(Y366=0,"",ROUNDUP(Y366/H366,0)*0.00902),"")</f>
        <v/>
      </c>
      <c r="AA366" s="68" t="inlineStr"/>
      <c r="AB366" s="69" t="inlineStr"/>
      <c r="AC366" s="458" t="inlineStr">
        <is>
          <t>ЕАЭС N RU Д-RU.РА08.В.55680/25</t>
        </is>
      </c>
      <c r="AG366" s="78" t="n"/>
      <c r="AJ366" s="84" t="inlineStr"/>
      <c r="AK366" s="84" t="n">
        <v>0</v>
      </c>
      <c r="BB366" s="459" t="inlineStr">
        <is>
          <t>КИ</t>
        </is>
      </c>
      <c r="BM366" s="78">
        <f>IFERROR(X366*I366/H366,"0")</f>
        <v/>
      </c>
      <c r="BN366" s="78">
        <f>IFERROR(Y366*I366/H366,"0")</f>
        <v/>
      </c>
      <c r="BO366" s="78">
        <f>IFERROR(1/J366*(X366/H366),"0")</f>
        <v/>
      </c>
      <c r="BP366" s="78">
        <f>IFERROR(1/J366*(Y366/H366),"0")</f>
        <v/>
      </c>
    </row>
    <row r="367" ht="27" customHeight="1">
      <c r="A367" s="63" t="inlineStr">
        <is>
          <t>SU002252</t>
        </is>
      </c>
      <c r="B367" s="63" t="inlineStr">
        <is>
          <t>P002461</t>
        </is>
      </c>
      <c r="C367" s="36" t="n">
        <v>4301031066</v>
      </c>
      <c r="D367" s="695" t="n">
        <v>4607091383836</v>
      </c>
      <c r="E367" s="989" t="n"/>
      <c r="F367" s="1028" t="n">
        <v>0.3</v>
      </c>
      <c r="G367" s="37" t="n">
        <v>6</v>
      </c>
      <c r="H367" s="1028" t="n">
        <v>1.8</v>
      </c>
      <c r="I367" s="1028" t="n">
        <v>2.028</v>
      </c>
      <c r="J367" s="37" t="n">
        <v>182</v>
      </c>
      <c r="K367" s="37" t="inlineStr">
        <is>
          <t>14</t>
        </is>
      </c>
      <c r="L367" s="37" t="inlineStr"/>
      <c r="M367" s="38" t="inlineStr">
        <is>
          <t>СК2</t>
        </is>
      </c>
      <c r="N367" s="38" t="n"/>
      <c r="O367" s="37" t="n">
        <v>40</v>
      </c>
      <c r="P367" s="1224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/>
      </c>
      <c r="Q367" s="1030" t="n"/>
      <c r="R367" s="1030" t="n"/>
      <c r="S367" s="1030" t="n"/>
      <c r="T367" s="1031" t="n"/>
      <c r="U367" s="39" t="inlineStr"/>
      <c r="V367" s="39" t="inlineStr"/>
      <c r="W367" s="40" t="inlineStr">
        <is>
          <t>кг</t>
        </is>
      </c>
      <c r="X367" s="1032" t="n">
        <v>0</v>
      </c>
      <c r="Y367" s="1033">
        <f>IFERROR(IF(X367="",0,CEILING((X367/$H367),1)*$H367),"")</f>
        <v/>
      </c>
      <c r="Z367" s="41">
        <f>IFERROR(IF(Y367=0,"",ROUNDUP(Y367/H367,0)*0.00651),"")</f>
        <v/>
      </c>
      <c r="AA367" s="68" t="inlineStr"/>
      <c r="AB367" s="69" t="inlineStr"/>
      <c r="AC367" s="460" t="inlineStr">
        <is>
          <t>ЕАЭС N RU Д-RU.РА03.В.16220/26</t>
        </is>
      </c>
      <c r="AG367" s="78" t="n"/>
      <c r="AJ367" s="84" t="inlineStr"/>
      <c r="AK367" s="84" t="n">
        <v>0</v>
      </c>
      <c r="BB367" s="461" t="inlineStr">
        <is>
          <t>КИ</t>
        </is>
      </c>
      <c r="BM367" s="78">
        <f>IFERROR(X367*I367/H367,"0")</f>
        <v/>
      </c>
      <c r="BN367" s="78">
        <f>IFERROR(Y367*I367/H367,"0")</f>
        <v/>
      </c>
      <c r="BO367" s="78">
        <f>IFERROR(1/J367*(X367/H367),"0")</f>
        <v/>
      </c>
      <c r="BP367" s="78">
        <f>IFERROR(1/J367*(Y367/H367),"0")</f>
        <v/>
      </c>
    </row>
    <row r="368">
      <c r="A368" s="704" t="n"/>
      <c r="B368" s="979" t="n"/>
      <c r="C368" s="979" t="n"/>
      <c r="D368" s="979" t="n"/>
      <c r="E368" s="979" t="n"/>
      <c r="F368" s="979" t="n"/>
      <c r="G368" s="979" t="n"/>
      <c r="H368" s="979" t="n"/>
      <c r="I368" s="979" t="n"/>
      <c r="J368" s="979" t="n"/>
      <c r="K368" s="979" t="n"/>
      <c r="L368" s="979" t="n"/>
      <c r="M368" s="979" t="n"/>
      <c r="N368" s="979" t="n"/>
      <c r="O368" s="1035" t="n"/>
      <c r="P368" s="1036" t="inlineStr">
        <is>
          <t>Итого</t>
        </is>
      </c>
      <c r="Q368" s="997" t="n"/>
      <c r="R368" s="997" t="n"/>
      <c r="S368" s="997" t="n"/>
      <c r="T368" s="997" t="n"/>
      <c r="U368" s="997" t="n"/>
      <c r="V368" s="998" t="n"/>
      <c r="W368" s="42" t="inlineStr">
        <is>
          <t>кор</t>
        </is>
      </c>
      <c r="X368" s="1037">
        <f>IFERROR(X361/H361,"0")+IFERROR(X362/H362,"0")+IFERROR(X363/H363,"0")+IFERROR(X364/H364,"0")+IFERROR(X365/H365,"0")+IFERROR(X366/H366,"0")+IFERROR(X367/H367,"0")</f>
        <v/>
      </c>
      <c r="Y368" s="1037">
        <f>IFERROR(Y361/H361,"0")+IFERROR(Y362/H362,"0")+IFERROR(Y363/H363,"0")+IFERROR(Y364/H364,"0")+IFERROR(Y365/H365,"0")+IFERROR(Y366/H366,"0")+IFERROR(Y367/H367,"0")</f>
        <v/>
      </c>
      <c r="Z368" s="1037">
        <f>IFERROR(IF(Z361="",0,Z361),"0")+IFERROR(IF(Z362="",0,Z362),"0")+IFERROR(IF(Z363="",0,Z363),"0")+IFERROR(IF(Z364="",0,Z364),"0")+IFERROR(IF(Z365="",0,Z365),"0")+IFERROR(IF(Z366="",0,Z366),"0")+IFERROR(IF(Z367="",0,Z367),"0")</f>
        <v/>
      </c>
      <c r="AA368" s="1038" t="n"/>
      <c r="AB368" s="1038" t="n"/>
      <c r="AC368" s="1038" t="n"/>
    </row>
    <row r="369">
      <c r="A369" s="979" t="n"/>
      <c r="B369" s="979" t="n"/>
      <c r="C369" s="979" t="n"/>
      <c r="D369" s="979" t="n"/>
      <c r="E369" s="979" t="n"/>
      <c r="F369" s="979" t="n"/>
      <c r="G369" s="979" t="n"/>
      <c r="H369" s="979" t="n"/>
      <c r="I369" s="979" t="n"/>
      <c r="J369" s="979" t="n"/>
      <c r="K369" s="979" t="n"/>
      <c r="L369" s="979" t="n"/>
      <c r="M369" s="979" t="n"/>
      <c r="N369" s="979" t="n"/>
      <c r="O369" s="1035" t="n"/>
      <c r="P369" s="1036" t="inlineStr">
        <is>
          <t>Итого</t>
        </is>
      </c>
      <c r="Q369" s="997" t="n"/>
      <c r="R369" s="997" t="n"/>
      <c r="S369" s="997" t="n"/>
      <c r="T369" s="997" t="n"/>
      <c r="U369" s="997" t="n"/>
      <c r="V369" s="998" t="n"/>
      <c r="W369" s="42" t="inlineStr">
        <is>
          <t>кг</t>
        </is>
      </c>
      <c r="X369" s="1037">
        <f>IFERROR(SUM(X361:X367),"0")</f>
        <v/>
      </c>
      <c r="Y369" s="1037">
        <f>IFERROR(SUM(Y361:Y367),"0")</f>
        <v/>
      </c>
      <c r="Z369" s="42" t="n"/>
      <c r="AA369" s="1038" t="n"/>
      <c r="AB369" s="1038" t="n"/>
      <c r="AC369" s="1038" t="n"/>
    </row>
    <row r="370" ht="14.25" customHeight="1">
      <c r="A370" s="694" t="inlineStr">
        <is>
          <t>Сосиски</t>
        </is>
      </c>
      <c r="B370" s="979" t="n"/>
      <c r="C370" s="979" t="n"/>
      <c r="D370" s="979" t="n"/>
      <c r="E370" s="979" t="n"/>
      <c r="F370" s="979" t="n"/>
      <c r="G370" s="979" t="n"/>
      <c r="H370" s="979" t="n"/>
      <c r="I370" s="979" t="n"/>
      <c r="J370" s="979" t="n"/>
      <c r="K370" s="979" t="n"/>
      <c r="L370" s="979" t="n"/>
      <c r="M370" s="979" t="n"/>
      <c r="N370" s="979" t="n"/>
      <c r="O370" s="979" t="n"/>
      <c r="P370" s="979" t="n"/>
      <c r="Q370" s="979" t="n"/>
      <c r="R370" s="979" t="n"/>
      <c r="S370" s="979" t="n"/>
      <c r="T370" s="979" t="n"/>
      <c r="U370" s="979" t="n"/>
      <c r="V370" s="979" t="n"/>
      <c r="W370" s="979" t="n"/>
      <c r="X370" s="979" t="n"/>
      <c r="Y370" s="979" t="n"/>
      <c r="Z370" s="979" t="n"/>
      <c r="AA370" s="694" t="n"/>
      <c r="AB370" s="694" t="n"/>
      <c r="AC370" s="694" t="n"/>
    </row>
    <row r="371" ht="27" customHeight="1">
      <c r="A371" s="63" t="inlineStr">
        <is>
          <t>SU001340</t>
        </is>
      </c>
      <c r="B371" s="63" t="inlineStr">
        <is>
          <t>P002209</t>
        </is>
      </c>
      <c r="C371" s="36" t="n">
        <v>4301051100</v>
      </c>
      <c r="D371" s="695" t="n">
        <v>4607091387766</v>
      </c>
      <c r="E371" s="989" t="n"/>
      <c r="F371" s="1028" t="n">
        <v>1.3</v>
      </c>
      <c r="G371" s="37" t="n">
        <v>6</v>
      </c>
      <c r="H371" s="1028" t="n">
        <v>7.8</v>
      </c>
      <c r="I371" s="1028" t="n">
        <v>8.288</v>
      </c>
      <c r="J371" s="37" t="n">
        <v>64</v>
      </c>
      <c r="K371" s="37" t="inlineStr">
        <is>
          <t>8</t>
        </is>
      </c>
      <c r="L371" s="37" t="inlineStr"/>
      <c r="M371" s="38" t="inlineStr">
        <is>
          <t>СК3</t>
        </is>
      </c>
      <c r="N371" s="38" t="n"/>
      <c r="O371" s="37" t="n">
        <v>40</v>
      </c>
      <c r="P371" s="1225">
        <f>HYPERLINK("https://abi.ru/products/Охлажденные/Стародворье/Бордо/Сосиски/P002209/","Сосиски Ганноверские Бордо Весовые П/а мгс Баварушка")</f>
        <v/>
      </c>
      <c r="Q371" s="1030" t="n"/>
      <c r="R371" s="1030" t="n"/>
      <c r="S371" s="1030" t="n"/>
      <c r="T371" s="1031" t="n"/>
      <c r="U371" s="39" t="inlineStr"/>
      <c r="V371" s="39" t="inlineStr"/>
      <c r="W371" s="40" t="inlineStr">
        <is>
          <t>кг</t>
        </is>
      </c>
      <c r="X371" s="1032" t="n">
        <v>0</v>
      </c>
      <c r="Y371" s="1033">
        <f>IFERROR(IF(X371="",0,CEILING((X371/$H371),1)*$H371),"")</f>
        <v/>
      </c>
      <c r="Z371" s="41">
        <f>IFERROR(IF(Y371=0,"",ROUNDUP(Y371/H371,0)*0.01898),"")</f>
        <v/>
      </c>
      <c r="AA371" s="68" t="inlineStr"/>
      <c r="AB371" s="69" t="inlineStr"/>
      <c r="AC371" s="462" t="inlineStr">
        <is>
          <t>ЕАЭС N RU Д-RU.РА01.В.50365/26, ЕАЭС N RU Д-RU.РА02.В.87927/26</t>
        </is>
      </c>
      <c r="AG371" s="78" t="n"/>
      <c r="AJ371" s="84" t="inlineStr"/>
      <c r="AK371" s="84" t="n">
        <v>0</v>
      </c>
      <c r="BB371" s="463" t="inlineStr">
        <is>
          <t>КИ</t>
        </is>
      </c>
      <c r="BM371" s="78">
        <f>IFERROR(X371*I371/H371,"0")</f>
        <v/>
      </c>
      <c r="BN371" s="78">
        <f>IFERROR(Y371*I371/H371,"0")</f>
        <v/>
      </c>
      <c r="BO371" s="78">
        <f>IFERROR(1/J371*(X371/H371),"0")</f>
        <v/>
      </c>
      <c r="BP371" s="78">
        <f>IFERROR(1/J371*(Y371/H371),"0")</f>
        <v/>
      </c>
    </row>
    <row r="372" ht="27" customHeight="1">
      <c r="A372" s="63" t="inlineStr">
        <is>
          <t>SU001727</t>
        </is>
      </c>
      <c r="B372" s="63" t="inlineStr">
        <is>
          <t>P002205</t>
        </is>
      </c>
      <c r="C372" s="36" t="n">
        <v>4301051818</v>
      </c>
      <c r="D372" s="695" t="n">
        <v>4607091387957</v>
      </c>
      <c r="E372" s="989" t="n"/>
      <c r="F372" s="1028" t="n">
        <v>1.3</v>
      </c>
      <c r="G372" s="37" t="n">
        <v>6</v>
      </c>
      <c r="H372" s="1028" t="n">
        <v>7.8</v>
      </c>
      <c r="I372" s="1028" t="n">
        <v>8.294</v>
      </c>
      <c r="J372" s="37" t="n">
        <v>64</v>
      </c>
      <c r="K372" s="37" t="inlineStr">
        <is>
          <t>8</t>
        </is>
      </c>
      <c r="L372" s="37" t="inlineStr"/>
      <c r="M372" s="38" t="inlineStr">
        <is>
          <t>СК3</t>
        </is>
      </c>
      <c r="N372" s="38" t="n"/>
      <c r="O372" s="37" t="n">
        <v>40</v>
      </c>
      <c r="P372" s="1226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72" s="1030" t="n"/>
      <c r="R372" s="1030" t="n"/>
      <c r="S372" s="1030" t="n"/>
      <c r="T372" s="1031" t="n"/>
      <c r="U372" s="39" t="inlineStr"/>
      <c r="V372" s="39" t="inlineStr"/>
      <c r="W372" s="40" t="inlineStr">
        <is>
          <t>кг</t>
        </is>
      </c>
      <c r="X372" s="1032" t="n">
        <v>0</v>
      </c>
      <c r="Y372" s="1033">
        <f>IFERROR(IF(X372="",0,CEILING((X372/$H372),1)*$H372),"")</f>
        <v/>
      </c>
      <c r="Z372" s="41">
        <f>IFERROR(IF(Y372=0,"",ROUNDUP(Y372/H372,0)*0.01898),"")</f>
        <v/>
      </c>
      <c r="AA372" s="68" t="inlineStr"/>
      <c r="AB372" s="69" t="inlineStr"/>
      <c r="AC372" s="464" t="inlineStr">
        <is>
          <t>ЕАЭС N RU Д-RU.РА04.В.81906/25, ЕАЭС N RU Д-RU.РА08.В.82467/25</t>
        </is>
      </c>
      <c r="AG372" s="78" t="n"/>
      <c r="AJ372" s="84" t="inlineStr"/>
      <c r="AK372" s="84" t="n">
        <v>0</v>
      </c>
      <c r="BB372" s="465" t="inlineStr">
        <is>
          <t>КИ</t>
        </is>
      </c>
      <c r="BM372" s="78">
        <f>IFERROR(X372*I372/H372,"0")</f>
        <v/>
      </c>
      <c r="BN372" s="78">
        <f>IFERROR(Y372*I372/H372,"0")</f>
        <v/>
      </c>
      <c r="BO372" s="78">
        <f>IFERROR(1/J372*(X372/H372),"0")</f>
        <v/>
      </c>
      <c r="BP372" s="78">
        <f>IFERROR(1/J372*(Y372/H372),"0")</f>
        <v/>
      </c>
    </row>
    <row r="373" ht="27" customHeight="1">
      <c r="A373" s="63" t="inlineStr">
        <is>
          <t>SU001728</t>
        </is>
      </c>
      <c r="B373" s="63" t="inlineStr">
        <is>
          <t>P002207</t>
        </is>
      </c>
      <c r="C373" s="36" t="n">
        <v>4301051819</v>
      </c>
      <c r="D373" s="695" t="n">
        <v>4607091387964</v>
      </c>
      <c r="E373" s="989" t="n"/>
      <c r="F373" s="1028" t="n">
        <v>1.35</v>
      </c>
      <c r="G373" s="37" t="n">
        <v>6</v>
      </c>
      <c r="H373" s="1028" t="n">
        <v>8.1</v>
      </c>
      <c r="I373" s="1028" t="n">
        <v>8.576000000000001</v>
      </c>
      <c r="J373" s="37" t="n">
        <v>64</v>
      </c>
      <c r="K373" s="37" t="inlineStr">
        <is>
          <t>8</t>
        </is>
      </c>
      <c r="L373" s="37" t="inlineStr"/>
      <c r="M373" s="38" t="inlineStr">
        <is>
          <t>СК3</t>
        </is>
      </c>
      <c r="N373" s="38" t="n"/>
      <c r="O373" s="37" t="n">
        <v>40</v>
      </c>
      <c r="P373" s="1227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73" s="1030" t="n"/>
      <c r="R373" s="1030" t="n"/>
      <c r="S373" s="1030" t="n"/>
      <c r="T373" s="1031" t="n"/>
      <c r="U373" s="39" t="inlineStr"/>
      <c r="V373" s="39" t="inlineStr"/>
      <c r="W373" s="40" t="inlineStr">
        <is>
          <t>кг</t>
        </is>
      </c>
      <c r="X373" s="1032" t="n">
        <v>0</v>
      </c>
      <c r="Y373" s="1033">
        <f>IFERROR(IF(X373="",0,CEILING((X373/$H373),1)*$H373),"")</f>
        <v/>
      </c>
      <c r="Z373" s="41">
        <f>IFERROR(IF(Y373=0,"",ROUNDUP(Y373/H373,0)*0.01898),"")</f>
        <v/>
      </c>
      <c r="AA373" s="68" t="inlineStr"/>
      <c r="AB373" s="69" t="inlineStr"/>
      <c r="AC373" s="466" t="inlineStr">
        <is>
          <t>ЕАЭС N RU Д-RU.РА02.В.97454/26, ЕАЭС N RU Д-RU.РА03.В.07456/26</t>
        </is>
      </c>
      <c r="AG373" s="78" t="n"/>
      <c r="AJ373" s="84" t="inlineStr"/>
      <c r="AK373" s="84" t="n">
        <v>0</v>
      </c>
      <c r="BB373" s="467" t="inlineStr">
        <is>
          <t>КИ</t>
        </is>
      </c>
      <c r="BM373" s="78">
        <f>IFERROR(X373*I373/H373,"0")</f>
        <v/>
      </c>
      <c r="BN373" s="78">
        <f>IFERROR(Y373*I373/H373,"0")</f>
        <v/>
      </c>
      <c r="BO373" s="78">
        <f>IFERROR(1/J373*(X373/H373),"0")</f>
        <v/>
      </c>
      <c r="BP373" s="78">
        <f>IFERROR(1/J373*(Y373/H373),"0")</f>
        <v/>
      </c>
    </row>
    <row r="374" ht="27" customHeight="1">
      <c r="A374" s="63" t="inlineStr">
        <is>
          <t>SU003333</t>
        </is>
      </c>
      <c r="B374" s="63" t="inlineStr">
        <is>
          <t>P004082</t>
        </is>
      </c>
      <c r="C374" s="36" t="n">
        <v>4301051734</v>
      </c>
      <c r="D374" s="695" t="n">
        <v>4680115884588</v>
      </c>
      <c r="E374" s="989" t="n"/>
      <c r="F374" s="1028" t="n">
        <v>0.5</v>
      </c>
      <c r="G374" s="37" t="n">
        <v>6</v>
      </c>
      <c r="H374" s="1028" t="n">
        <v>3</v>
      </c>
      <c r="I374" s="1028" t="n">
        <v>3.246</v>
      </c>
      <c r="J374" s="37" t="n">
        <v>182</v>
      </c>
      <c r="K374" s="37" t="inlineStr">
        <is>
          <t>14</t>
        </is>
      </c>
      <c r="L374" s="37" t="inlineStr"/>
      <c r="M374" s="38" t="inlineStr">
        <is>
          <t>СК3</t>
        </is>
      </c>
      <c r="N374" s="38" t="n"/>
      <c r="O374" s="37" t="n">
        <v>40</v>
      </c>
      <c r="P374" s="1228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74" s="1030" t="n"/>
      <c r="R374" s="1030" t="n"/>
      <c r="S374" s="1030" t="n"/>
      <c r="T374" s="1031" t="n"/>
      <c r="U374" s="39" t="inlineStr"/>
      <c r="V374" s="39" t="inlineStr"/>
      <c r="W374" s="40" t="inlineStr">
        <is>
          <t>кг</t>
        </is>
      </c>
      <c r="X374" s="1032" t="n">
        <v>0</v>
      </c>
      <c r="Y374" s="1033">
        <f>IFERROR(IF(X374="",0,CEILING((X374/$H374),1)*$H374),"")</f>
        <v/>
      </c>
      <c r="Z374" s="41">
        <f>IFERROR(IF(Y374=0,"",ROUNDUP(Y374/H374,0)*0.00651),"")</f>
        <v/>
      </c>
      <c r="AA374" s="68" t="inlineStr"/>
      <c r="AB374" s="69" t="inlineStr"/>
      <c r="AC374" s="468" t="inlineStr">
        <is>
          <t>ЕАЭС N RU Д-RU.РА01.В.50365/26, ЕАЭС N RU Д-RU.РА02.В.87927/26</t>
        </is>
      </c>
      <c r="AG374" s="78" t="n"/>
      <c r="AJ374" s="84" t="inlineStr"/>
      <c r="AK374" s="84" t="n">
        <v>0</v>
      </c>
      <c r="BB374" s="469" t="inlineStr">
        <is>
          <t>КИ</t>
        </is>
      </c>
      <c r="BM374" s="78">
        <f>IFERROR(X374*I374/H374,"0")</f>
        <v/>
      </c>
      <c r="BN374" s="78">
        <f>IFERROR(Y374*I374/H374,"0")</f>
        <v/>
      </c>
      <c r="BO374" s="78">
        <f>IFERROR(1/J374*(X374/H374),"0")</f>
        <v/>
      </c>
      <c r="BP374" s="78">
        <f>IFERROR(1/J374*(Y374/H374),"0")</f>
        <v/>
      </c>
    </row>
    <row r="375">
      <c r="A375" s="704" t="n"/>
      <c r="B375" s="979" t="n"/>
      <c r="C375" s="979" t="n"/>
      <c r="D375" s="979" t="n"/>
      <c r="E375" s="979" t="n"/>
      <c r="F375" s="979" t="n"/>
      <c r="G375" s="979" t="n"/>
      <c r="H375" s="979" t="n"/>
      <c r="I375" s="979" t="n"/>
      <c r="J375" s="979" t="n"/>
      <c r="K375" s="979" t="n"/>
      <c r="L375" s="979" t="n"/>
      <c r="M375" s="979" t="n"/>
      <c r="N375" s="979" t="n"/>
      <c r="O375" s="1035" t="n"/>
      <c r="P375" s="1036" t="inlineStr">
        <is>
          <t>Итого</t>
        </is>
      </c>
      <c r="Q375" s="997" t="n"/>
      <c r="R375" s="997" t="n"/>
      <c r="S375" s="997" t="n"/>
      <c r="T375" s="997" t="n"/>
      <c r="U375" s="997" t="n"/>
      <c r="V375" s="998" t="n"/>
      <c r="W375" s="42" t="inlineStr">
        <is>
          <t>кор</t>
        </is>
      </c>
      <c r="X375" s="1037">
        <f>IFERROR(X371/H371,"0")+IFERROR(X372/H372,"0")+IFERROR(X373/H373,"0")+IFERROR(X374/H374,"0")</f>
        <v/>
      </c>
      <c r="Y375" s="1037">
        <f>IFERROR(Y371/H371,"0")+IFERROR(Y372/H372,"0")+IFERROR(Y373/H373,"0")+IFERROR(Y374/H374,"0")</f>
        <v/>
      </c>
      <c r="Z375" s="1037">
        <f>IFERROR(IF(Z371="",0,Z371),"0")+IFERROR(IF(Z372="",0,Z372),"0")+IFERROR(IF(Z373="",0,Z373),"0")+IFERROR(IF(Z374="",0,Z374),"0")</f>
        <v/>
      </c>
      <c r="AA375" s="1038" t="n"/>
      <c r="AB375" s="1038" t="n"/>
      <c r="AC375" s="1038" t="n"/>
    </row>
    <row r="376">
      <c r="A376" s="979" t="n"/>
      <c r="B376" s="979" t="n"/>
      <c r="C376" s="979" t="n"/>
      <c r="D376" s="979" t="n"/>
      <c r="E376" s="979" t="n"/>
      <c r="F376" s="979" t="n"/>
      <c r="G376" s="979" t="n"/>
      <c r="H376" s="979" t="n"/>
      <c r="I376" s="979" t="n"/>
      <c r="J376" s="979" t="n"/>
      <c r="K376" s="979" t="n"/>
      <c r="L376" s="979" t="n"/>
      <c r="M376" s="979" t="n"/>
      <c r="N376" s="979" t="n"/>
      <c r="O376" s="1035" t="n"/>
      <c r="P376" s="1036" t="inlineStr">
        <is>
          <t>Итого</t>
        </is>
      </c>
      <c r="Q376" s="997" t="n"/>
      <c r="R376" s="997" t="n"/>
      <c r="S376" s="997" t="n"/>
      <c r="T376" s="997" t="n"/>
      <c r="U376" s="997" t="n"/>
      <c r="V376" s="998" t="n"/>
      <c r="W376" s="42" t="inlineStr">
        <is>
          <t>кг</t>
        </is>
      </c>
      <c r="X376" s="1037">
        <f>IFERROR(SUM(X371:X374),"0")</f>
        <v/>
      </c>
      <c r="Y376" s="1037">
        <f>IFERROR(SUM(Y371:Y374),"0")</f>
        <v/>
      </c>
      <c r="Z376" s="42" t="n"/>
      <c r="AA376" s="1038" t="n"/>
      <c r="AB376" s="1038" t="n"/>
      <c r="AC376" s="1038" t="n"/>
    </row>
    <row r="377" ht="14.25" customHeight="1">
      <c r="A377" s="694" t="inlineStr">
        <is>
          <t>Сардельки</t>
        </is>
      </c>
      <c r="B377" s="979" t="n"/>
      <c r="C377" s="979" t="n"/>
      <c r="D377" s="979" t="n"/>
      <c r="E377" s="979" t="n"/>
      <c r="F377" s="979" t="n"/>
      <c r="G377" s="979" t="n"/>
      <c r="H377" s="979" t="n"/>
      <c r="I377" s="979" t="n"/>
      <c r="J377" s="979" t="n"/>
      <c r="K377" s="979" t="n"/>
      <c r="L377" s="979" t="n"/>
      <c r="M377" s="979" t="n"/>
      <c r="N377" s="979" t="n"/>
      <c r="O377" s="979" t="n"/>
      <c r="P377" s="979" t="n"/>
      <c r="Q377" s="979" t="n"/>
      <c r="R377" s="979" t="n"/>
      <c r="S377" s="979" t="n"/>
      <c r="T377" s="979" t="n"/>
      <c r="U377" s="979" t="n"/>
      <c r="V377" s="979" t="n"/>
      <c r="W377" s="979" t="n"/>
      <c r="X377" s="979" t="n"/>
      <c r="Y377" s="979" t="n"/>
      <c r="Z377" s="979" t="n"/>
      <c r="AA377" s="694" t="n"/>
      <c r="AB377" s="694" t="n"/>
      <c r="AC377" s="694" t="n"/>
    </row>
    <row r="378" ht="27" customHeight="1">
      <c r="A378" s="63" t="inlineStr">
        <is>
          <t>SU001051</t>
        </is>
      </c>
      <c r="B378" s="63" t="inlineStr">
        <is>
          <t>P003997</t>
        </is>
      </c>
      <c r="C378" s="36" t="n">
        <v>4301060387</v>
      </c>
      <c r="D378" s="695" t="n">
        <v>4607091380880</v>
      </c>
      <c r="E378" s="989" t="n"/>
      <c r="F378" s="1028" t="n">
        <v>1.4</v>
      </c>
      <c r="G378" s="37" t="n">
        <v>6</v>
      </c>
      <c r="H378" s="1028" t="n">
        <v>8.4</v>
      </c>
      <c r="I378" s="1028" t="n">
        <v>8.894</v>
      </c>
      <c r="J378" s="37" t="n">
        <v>64</v>
      </c>
      <c r="K378" s="37" t="inlineStr">
        <is>
          <t>8</t>
        </is>
      </c>
      <c r="L378" s="37" t="inlineStr"/>
      <c r="M378" s="38" t="inlineStr">
        <is>
          <t>СК3</t>
        </is>
      </c>
      <c r="N378" s="38" t="n"/>
      <c r="O378" s="37" t="n">
        <v>30</v>
      </c>
      <c r="P378" s="1229">
        <f>HYPERLINK("https://abi.ru/products/Охлажденные/Стародворье/Бордо/Сардельки/P003997/","Сардельки «Нежные» Весовые NDX мгс ТМ «Стародворье»")</f>
        <v/>
      </c>
      <c r="Q378" s="1030" t="n"/>
      <c r="R378" s="1030" t="n"/>
      <c r="S378" s="1030" t="n"/>
      <c r="T378" s="1031" t="n"/>
      <c r="U378" s="39" t="inlineStr"/>
      <c r="V378" s="39" t="inlineStr"/>
      <c r="W378" s="40" t="inlineStr">
        <is>
          <t>кг</t>
        </is>
      </c>
      <c r="X378" s="1032" t="n">
        <v>0</v>
      </c>
      <c r="Y378" s="1033">
        <f>IFERROR(IF(X378="",0,CEILING((X378/$H378),1)*$H378),"")</f>
        <v/>
      </c>
      <c r="Z378" s="41">
        <f>IFERROR(IF(Y378=0,"",ROUNDUP(Y378/H378,0)*0.01898),"")</f>
        <v/>
      </c>
      <c r="AA378" s="68" t="inlineStr"/>
      <c r="AB378" s="69" t="inlineStr"/>
      <c r="AC378" s="470" t="inlineStr">
        <is>
          <t>ЕАЭС N RU Д-RU.РА01.В.49740/26, ЕАЭС N RU Д-RU.РА01.В.49814/26</t>
        </is>
      </c>
      <c r="AG378" s="78" t="n"/>
      <c r="AJ378" s="84" t="inlineStr"/>
      <c r="AK378" s="84" t="n">
        <v>0</v>
      </c>
      <c r="BB378" s="471" t="inlineStr">
        <is>
          <t>КИ</t>
        </is>
      </c>
      <c r="BM378" s="78">
        <f>IFERROR(X378*I378/H378,"0")</f>
        <v/>
      </c>
      <c r="BN378" s="78">
        <f>IFERROR(Y378*I378/H378,"0")</f>
        <v/>
      </c>
      <c r="BO378" s="78">
        <f>IFERROR(1/J378*(X378/H378),"0")</f>
        <v/>
      </c>
      <c r="BP378" s="78">
        <f>IFERROR(1/J378*(Y378/H378),"0")</f>
        <v/>
      </c>
    </row>
    <row r="379" ht="27" customHeight="1">
      <c r="A379" s="63" t="inlineStr">
        <is>
          <t>SU000227</t>
        </is>
      </c>
      <c r="B379" s="63" t="inlineStr">
        <is>
          <t>P002536</t>
        </is>
      </c>
      <c r="C379" s="36" t="n">
        <v>4301060406</v>
      </c>
      <c r="D379" s="695" t="n">
        <v>4607091384482</v>
      </c>
      <c r="E379" s="989" t="n"/>
      <c r="F379" s="1028" t="n">
        <v>1.3</v>
      </c>
      <c r="G379" s="37" t="n">
        <v>6</v>
      </c>
      <c r="H379" s="1028" t="n">
        <v>7.8</v>
      </c>
      <c r="I379" s="1028" t="n">
        <v>8.294</v>
      </c>
      <c r="J379" s="37" t="n">
        <v>64</v>
      </c>
      <c r="K379" s="37" t="inlineStr">
        <is>
          <t>8</t>
        </is>
      </c>
      <c r="L379" s="37" t="inlineStr"/>
      <c r="M379" s="38" t="inlineStr">
        <is>
          <t>СК3</t>
        </is>
      </c>
      <c r="N379" s="38" t="n"/>
      <c r="O379" s="37" t="n">
        <v>30</v>
      </c>
      <c r="P379" s="1230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79" s="1030" t="n"/>
      <c r="R379" s="1030" t="n"/>
      <c r="S379" s="1030" t="n"/>
      <c r="T379" s="1031" t="n"/>
      <c r="U379" s="39" t="inlineStr"/>
      <c r="V379" s="39" t="inlineStr"/>
      <c r="W379" s="40" t="inlineStr">
        <is>
          <t>кг</t>
        </is>
      </c>
      <c r="X379" s="1032" t="n">
        <v>0</v>
      </c>
      <c r="Y379" s="1033">
        <f>IFERROR(IF(X379="",0,CEILING((X379/$H379),1)*$H379),"")</f>
        <v/>
      </c>
      <c r="Z379" s="41">
        <f>IFERROR(IF(Y379=0,"",ROUNDUP(Y379/H379,0)*0.01898),"")</f>
        <v/>
      </c>
      <c r="AA379" s="68" t="inlineStr"/>
      <c r="AB379" s="69" t="inlineStr"/>
      <c r="AC379" s="472" t="inlineStr">
        <is>
          <t>ЕАЭС N RU Д-RU.РА01.В.50205/26, ЕАЭС N RU Д-RU.РА03.В.24110/24</t>
        </is>
      </c>
      <c r="AG379" s="78" t="n"/>
      <c r="AJ379" s="84" t="inlineStr"/>
      <c r="AK379" s="84" t="n">
        <v>0</v>
      </c>
      <c r="BB379" s="473" t="inlineStr">
        <is>
          <t>КИ</t>
        </is>
      </c>
      <c r="BM379" s="78">
        <f>IFERROR(X379*I379/H379,"0")</f>
        <v/>
      </c>
      <c r="BN379" s="78">
        <f>IFERROR(Y379*I379/H379,"0")</f>
        <v/>
      </c>
      <c r="BO379" s="78">
        <f>IFERROR(1/J379*(X379/H379),"0")</f>
        <v/>
      </c>
      <c r="BP379" s="78">
        <f>IFERROR(1/J379*(Y379/H379),"0")</f>
        <v/>
      </c>
    </row>
    <row r="380" ht="16.5" customHeight="1">
      <c r="A380" s="63" t="inlineStr">
        <is>
          <t>SU001430</t>
        </is>
      </c>
      <c r="B380" s="63" t="inlineStr">
        <is>
          <t>P004913</t>
        </is>
      </c>
      <c r="C380" s="36" t="n">
        <v>4301060484</v>
      </c>
      <c r="D380" s="695" t="n">
        <v>4607091380897</v>
      </c>
      <c r="E380" s="989" t="n"/>
      <c r="F380" s="1028" t="n">
        <v>1.4</v>
      </c>
      <c r="G380" s="37" t="n">
        <v>6</v>
      </c>
      <c r="H380" s="1028" t="n">
        <v>8.4</v>
      </c>
      <c r="I380" s="1028" t="n">
        <v>8.894</v>
      </c>
      <c r="J380" s="37" t="n">
        <v>64</v>
      </c>
      <c r="K380" s="37" t="inlineStr">
        <is>
          <t>8</t>
        </is>
      </c>
      <c r="L380" s="37" t="inlineStr"/>
      <c r="M380" s="38" t="inlineStr">
        <is>
          <t>СК4</t>
        </is>
      </c>
      <c r="N380" s="38" t="n"/>
      <c r="O380" s="37" t="n">
        <v>30</v>
      </c>
      <c r="P380" s="1231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80" s="1030" t="n"/>
      <c r="R380" s="1030" t="n"/>
      <c r="S380" s="1030" t="n"/>
      <c r="T380" s="1031" t="n"/>
      <c r="U380" s="39" t="inlineStr"/>
      <c r="V380" s="39" t="inlineStr"/>
      <c r="W380" s="40" t="inlineStr">
        <is>
          <t>кг</t>
        </is>
      </c>
      <c r="X380" s="1032" t="n">
        <v>0</v>
      </c>
      <c r="Y380" s="1033">
        <f>IFERROR(IF(X380="",0,CEILING((X380/$H380),1)*$H380),"")</f>
        <v/>
      </c>
      <c r="Z380" s="41">
        <f>IFERROR(IF(Y380=0,"",ROUNDUP(Y380/H380,0)*0.01898),"")</f>
        <v/>
      </c>
      <c r="AA380" s="68" t="inlineStr"/>
      <c r="AB380" s="69" t="inlineStr"/>
      <c r="AC380" s="474" t="inlineStr">
        <is>
          <t>ЕАЭС N RU Д-RU.РА02.В.89320/26</t>
        </is>
      </c>
      <c r="AG380" s="78" t="n"/>
      <c r="AJ380" s="84" t="inlineStr"/>
      <c r="AK380" s="84" t="n">
        <v>0</v>
      </c>
      <c r="BB380" s="475" t="inlineStr">
        <is>
          <t>КИ</t>
        </is>
      </c>
      <c r="BM380" s="78">
        <f>IFERROR(X380*I380/H380,"0")</f>
        <v/>
      </c>
      <c r="BN380" s="78">
        <f>IFERROR(Y380*I380/H380,"0")</f>
        <v/>
      </c>
      <c r="BO380" s="78">
        <f>IFERROR(1/J380*(X380/H380),"0")</f>
        <v/>
      </c>
      <c r="BP380" s="78">
        <f>IFERROR(1/J380*(Y380/H380),"0")</f>
        <v/>
      </c>
    </row>
    <row r="381">
      <c r="A381" s="704" t="n"/>
      <c r="B381" s="979" t="n"/>
      <c r="C381" s="979" t="n"/>
      <c r="D381" s="979" t="n"/>
      <c r="E381" s="979" t="n"/>
      <c r="F381" s="979" t="n"/>
      <c r="G381" s="979" t="n"/>
      <c r="H381" s="979" t="n"/>
      <c r="I381" s="979" t="n"/>
      <c r="J381" s="979" t="n"/>
      <c r="K381" s="979" t="n"/>
      <c r="L381" s="979" t="n"/>
      <c r="M381" s="979" t="n"/>
      <c r="N381" s="979" t="n"/>
      <c r="O381" s="1035" t="n"/>
      <c r="P381" s="1036" t="inlineStr">
        <is>
          <t>Итого</t>
        </is>
      </c>
      <c r="Q381" s="997" t="n"/>
      <c r="R381" s="997" t="n"/>
      <c r="S381" s="997" t="n"/>
      <c r="T381" s="997" t="n"/>
      <c r="U381" s="997" t="n"/>
      <c r="V381" s="998" t="n"/>
      <c r="W381" s="42" t="inlineStr">
        <is>
          <t>кор</t>
        </is>
      </c>
      <c r="X381" s="1037">
        <f>IFERROR(X378/H378,"0")+IFERROR(X379/H379,"0")+IFERROR(X380/H380,"0")</f>
        <v/>
      </c>
      <c r="Y381" s="1037">
        <f>IFERROR(Y378/H378,"0")+IFERROR(Y379/H379,"0")+IFERROR(Y380/H380,"0")</f>
        <v/>
      </c>
      <c r="Z381" s="1037">
        <f>IFERROR(IF(Z378="",0,Z378),"0")+IFERROR(IF(Z379="",0,Z379),"0")+IFERROR(IF(Z380="",0,Z380),"0")</f>
        <v/>
      </c>
      <c r="AA381" s="1038" t="n"/>
      <c r="AB381" s="1038" t="n"/>
      <c r="AC381" s="1038" t="n"/>
    </row>
    <row r="382">
      <c r="A382" s="979" t="n"/>
      <c r="B382" s="979" t="n"/>
      <c r="C382" s="979" t="n"/>
      <c r="D382" s="979" t="n"/>
      <c r="E382" s="979" t="n"/>
      <c r="F382" s="979" t="n"/>
      <c r="G382" s="979" t="n"/>
      <c r="H382" s="979" t="n"/>
      <c r="I382" s="979" t="n"/>
      <c r="J382" s="979" t="n"/>
      <c r="K382" s="979" t="n"/>
      <c r="L382" s="979" t="n"/>
      <c r="M382" s="979" t="n"/>
      <c r="N382" s="979" t="n"/>
      <c r="O382" s="1035" t="n"/>
      <c r="P382" s="1036" t="inlineStr">
        <is>
          <t>Итого</t>
        </is>
      </c>
      <c r="Q382" s="997" t="n"/>
      <c r="R382" s="997" t="n"/>
      <c r="S382" s="997" t="n"/>
      <c r="T382" s="997" t="n"/>
      <c r="U382" s="997" t="n"/>
      <c r="V382" s="998" t="n"/>
      <c r="W382" s="42" t="inlineStr">
        <is>
          <t>кг</t>
        </is>
      </c>
      <c r="X382" s="1037">
        <f>IFERROR(SUM(X378:X380),"0")</f>
        <v/>
      </c>
      <c r="Y382" s="1037">
        <f>IFERROR(SUM(Y378:Y380),"0")</f>
        <v/>
      </c>
      <c r="Z382" s="42" t="n"/>
      <c r="AA382" s="1038" t="n"/>
      <c r="AB382" s="1038" t="n"/>
      <c r="AC382" s="1038" t="n"/>
    </row>
    <row r="383" ht="14.25" customHeight="1">
      <c r="A383" s="694" t="inlineStr">
        <is>
          <t>Сырокопченые колбасы</t>
        </is>
      </c>
      <c r="B383" s="979" t="n"/>
      <c r="C383" s="979" t="n"/>
      <c r="D383" s="979" t="n"/>
      <c r="E383" s="979" t="n"/>
      <c r="F383" s="979" t="n"/>
      <c r="G383" s="979" t="n"/>
      <c r="H383" s="979" t="n"/>
      <c r="I383" s="979" t="n"/>
      <c r="J383" s="979" t="n"/>
      <c r="K383" s="979" t="n"/>
      <c r="L383" s="979" t="n"/>
      <c r="M383" s="979" t="n"/>
      <c r="N383" s="979" t="n"/>
      <c r="O383" s="979" t="n"/>
      <c r="P383" s="979" t="n"/>
      <c r="Q383" s="979" t="n"/>
      <c r="R383" s="979" t="n"/>
      <c r="S383" s="979" t="n"/>
      <c r="T383" s="979" t="n"/>
      <c r="U383" s="979" t="n"/>
      <c r="V383" s="979" t="n"/>
      <c r="W383" s="979" t="n"/>
      <c r="X383" s="979" t="n"/>
      <c r="Y383" s="979" t="n"/>
      <c r="Z383" s="979" t="n"/>
      <c r="AA383" s="694" t="n"/>
      <c r="AB383" s="694" t="n"/>
      <c r="AC383" s="694" t="n"/>
    </row>
    <row r="384" ht="27" customHeight="1">
      <c r="A384" s="63" t="inlineStr">
        <is>
          <t>SU001921</t>
        </is>
      </c>
      <c r="B384" s="63" t="inlineStr">
        <is>
          <t>P001916</t>
        </is>
      </c>
      <c r="C384" s="36" t="n">
        <v>4301030235</v>
      </c>
      <c r="D384" s="695" t="n">
        <v>4607091388381</v>
      </c>
      <c r="E384" s="989" t="n"/>
      <c r="F384" s="1028" t="n">
        <v>0.38</v>
      </c>
      <c r="G384" s="37" t="n">
        <v>8</v>
      </c>
      <c r="H384" s="1028" t="n">
        <v>3.04</v>
      </c>
      <c r="I384" s="1028" t="n">
        <v>3.31</v>
      </c>
      <c r="J384" s="37" t="n">
        <v>132</v>
      </c>
      <c r="K384" s="37" t="inlineStr">
        <is>
          <t>12</t>
        </is>
      </c>
      <c r="L384" s="37" t="inlineStr"/>
      <c r="M384" s="38" t="inlineStr">
        <is>
          <t>АК</t>
        </is>
      </c>
      <c r="N384" s="38" t="n"/>
      <c r="O384" s="37" t="n">
        <v>180</v>
      </c>
      <c r="P384" s="1232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/>
      </c>
      <c r="Q384" s="1030" t="n"/>
      <c r="R384" s="1030" t="n"/>
      <c r="S384" s="1030" t="n"/>
      <c r="T384" s="1031" t="n"/>
      <c r="U384" s="39" t="inlineStr"/>
      <c r="V384" s="39" t="inlineStr"/>
      <c r="W384" s="40" t="inlineStr">
        <is>
          <t>кг</t>
        </is>
      </c>
      <c r="X384" s="1032" t="n">
        <v>0</v>
      </c>
      <c r="Y384" s="1033">
        <f>IFERROR(IF(X384="",0,CEILING((X384/$H384),1)*$H384),"")</f>
        <v/>
      </c>
      <c r="Z384" s="41">
        <f>IFERROR(IF(Y384=0,"",ROUNDUP(Y384/H384,0)*0.00902),"")</f>
        <v/>
      </c>
      <c r="AA384" s="68" t="inlineStr"/>
      <c r="AB384" s="69" t="inlineStr"/>
      <c r="AC384" s="476" t="inlineStr">
        <is>
          <t>ЕАЭС N RU Д-RU.РА01.В.12510/25</t>
        </is>
      </c>
      <c r="AG384" s="78" t="n"/>
      <c r="AJ384" s="84" t="inlineStr"/>
      <c r="AK384" s="84" t="n">
        <v>0</v>
      </c>
      <c r="BB384" s="477" t="inlineStr">
        <is>
          <t>КИ</t>
        </is>
      </c>
      <c r="BM384" s="78">
        <f>IFERROR(X384*I384/H384,"0")</f>
        <v/>
      </c>
      <c r="BN384" s="78">
        <f>IFERROR(Y384*I384/H384,"0")</f>
        <v/>
      </c>
      <c r="BO384" s="78">
        <f>IFERROR(1/J384*(X384/H384),"0")</f>
        <v/>
      </c>
      <c r="BP384" s="78">
        <f>IFERROR(1/J384*(Y384/H384),"0")</f>
        <v/>
      </c>
    </row>
    <row r="385" ht="27" customHeight="1">
      <c r="A385" s="63" t="inlineStr">
        <is>
          <t>SU001920</t>
        </is>
      </c>
      <c r="B385" s="63" t="inlineStr">
        <is>
          <t>P001900</t>
        </is>
      </c>
      <c r="C385" s="36" t="n">
        <v>4301030232</v>
      </c>
      <c r="D385" s="695" t="n">
        <v>4607091388374</v>
      </c>
      <c r="E385" s="989" t="n"/>
      <c r="F385" s="1028" t="n">
        <v>0.38</v>
      </c>
      <c r="G385" s="37" t="n">
        <v>8</v>
      </c>
      <c r="H385" s="1028" t="n">
        <v>3.04</v>
      </c>
      <c r="I385" s="1028" t="n">
        <v>3.27</v>
      </c>
      <c r="J385" s="37" t="n">
        <v>132</v>
      </c>
      <c r="K385" s="37" t="inlineStr">
        <is>
          <t>12</t>
        </is>
      </c>
      <c r="L385" s="37" t="inlineStr"/>
      <c r="M385" s="38" t="inlineStr">
        <is>
          <t>АК</t>
        </is>
      </c>
      <c r="N385" s="38" t="n"/>
      <c r="O385" s="37" t="n">
        <v>180</v>
      </c>
      <c r="P385" s="1233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/>
      </c>
      <c r="Q385" s="1030" t="n"/>
      <c r="R385" s="1030" t="n"/>
      <c r="S385" s="1030" t="n"/>
      <c r="T385" s="1031" t="n"/>
      <c r="U385" s="39" t="inlineStr"/>
      <c r="V385" s="39" t="inlineStr"/>
      <c r="W385" s="40" t="inlineStr">
        <is>
          <t>кг</t>
        </is>
      </c>
      <c r="X385" s="1032" t="n">
        <v>0</v>
      </c>
      <c r="Y385" s="1033">
        <f>IFERROR(IF(X385="",0,CEILING((X385/$H385),1)*$H385),"")</f>
        <v/>
      </c>
      <c r="Z385" s="41">
        <f>IFERROR(IF(Y385=0,"",ROUNDUP(Y385/H385,0)*0.00902),"")</f>
        <v/>
      </c>
      <c r="AA385" s="68" t="inlineStr"/>
      <c r="AB385" s="69" t="inlineStr"/>
      <c r="AC385" s="478" t="inlineStr">
        <is>
          <t>ЕАЭС N RU Д-RU.РА01.В.12510/25</t>
        </is>
      </c>
      <c r="AG385" s="78" t="n"/>
      <c r="AJ385" s="84" t="inlineStr"/>
      <c r="AK385" s="84" t="n">
        <v>0</v>
      </c>
      <c r="BB385" s="479" t="inlineStr">
        <is>
          <t>КИ</t>
        </is>
      </c>
      <c r="BM385" s="78">
        <f>IFERROR(X385*I385/H385,"0")</f>
        <v/>
      </c>
      <c r="BN385" s="78">
        <f>IFERROR(Y385*I385/H385,"0")</f>
        <v/>
      </c>
      <c r="BO385" s="78">
        <f>IFERROR(1/J385*(X385/H385),"0")</f>
        <v/>
      </c>
      <c r="BP385" s="78">
        <f>IFERROR(1/J385*(Y385/H385),"0")</f>
        <v/>
      </c>
    </row>
    <row r="386" ht="27" customHeight="1">
      <c r="A386" s="63" t="inlineStr">
        <is>
          <t>SU002092</t>
        </is>
      </c>
      <c r="B386" s="63" t="inlineStr">
        <is>
          <t>P002290</t>
        </is>
      </c>
      <c r="C386" s="36" t="n">
        <v>4301032015</v>
      </c>
      <c r="D386" s="695" t="n">
        <v>4607091383102</v>
      </c>
      <c r="E386" s="989" t="n"/>
      <c r="F386" s="1028" t="n">
        <v>0.17</v>
      </c>
      <c r="G386" s="37" t="n">
        <v>15</v>
      </c>
      <c r="H386" s="1028" t="n">
        <v>2.55</v>
      </c>
      <c r="I386" s="1028" t="n">
        <v>2.955</v>
      </c>
      <c r="J386" s="37" t="n">
        <v>182</v>
      </c>
      <c r="K386" s="37" t="inlineStr">
        <is>
          <t>14</t>
        </is>
      </c>
      <c r="L386" s="37" t="inlineStr"/>
      <c r="M386" s="38" t="inlineStr">
        <is>
          <t>АК</t>
        </is>
      </c>
      <c r="N386" s="38" t="n"/>
      <c r="O386" s="37" t="n">
        <v>180</v>
      </c>
      <c r="P386" s="1234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86" s="1030" t="n"/>
      <c r="R386" s="1030" t="n"/>
      <c r="S386" s="1030" t="n"/>
      <c r="T386" s="1031" t="n"/>
      <c r="U386" s="39" t="inlineStr"/>
      <c r="V386" s="39" t="inlineStr"/>
      <c r="W386" s="40" t="inlineStr">
        <is>
          <t>кг</t>
        </is>
      </c>
      <c r="X386" s="1032" t="n">
        <v>0</v>
      </c>
      <c r="Y386" s="1033">
        <f>IFERROR(IF(X386="",0,CEILING((X386/$H386),1)*$H386),"")</f>
        <v/>
      </c>
      <c r="Z386" s="41">
        <f>IFERROR(IF(Y386=0,"",ROUNDUP(Y386/H386,0)*0.00651),"")</f>
        <v/>
      </c>
      <c r="AA386" s="68" t="inlineStr"/>
      <c r="AB386" s="69" t="inlineStr"/>
      <c r="AC386" s="480" t="inlineStr">
        <is>
          <t>ЕАЭС N RU Д-RU.РА01.В.12510/25</t>
        </is>
      </c>
      <c r="AG386" s="78" t="n"/>
      <c r="AJ386" s="84" t="inlineStr"/>
      <c r="AK386" s="84" t="n">
        <v>0</v>
      </c>
      <c r="BB386" s="481" t="inlineStr">
        <is>
          <t>КИ</t>
        </is>
      </c>
      <c r="BM386" s="78">
        <f>IFERROR(X386*I386/H386,"0")</f>
        <v/>
      </c>
      <c r="BN386" s="78">
        <f>IFERROR(Y386*I386/H386,"0")</f>
        <v/>
      </c>
      <c r="BO386" s="78">
        <f>IFERROR(1/J386*(X386/H386),"0")</f>
        <v/>
      </c>
      <c r="BP386" s="78">
        <f>IFERROR(1/J386*(Y386/H386),"0")</f>
        <v/>
      </c>
    </row>
    <row r="387" ht="27" customHeight="1">
      <c r="A387" s="63" t="inlineStr">
        <is>
          <t>SU001869</t>
        </is>
      </c>
      <c r="B387" s="63" t="inlineStr">
        <is>
          <t>P001909</t>
        </is>
      </c>
      <c r="C387" s="36" t="n">
        <v>4301030233</v>
      </c>
      <c r="D387" s="695" t="n">
        <v>4607091388404</v>
      </c>
      <c r="E387" s="989" t="n"/>
      <c r="F387" s="1028" t="n">
        <v>0.17</v>
      </c>
      <c r="G387" s="37" t="n">
        <v>15</v>
      </c>
      <c r="H387" s="1028" t="n">
        <v>2.55</v>
      </c>
      <c r="I387" s="1028" t="n">
        <v>2.88</v>
      </c>
      <c r="J387" s="37" t="n">
        <v>182</v>
      </c>
      <c r="K387" s="37" t="inlineStr">
        <is>
          <t>14</t>
        </is>
      </c>
      <c r="L387" s="37" t="inlineStr"/>
      <c r="M387" s="38" t="inlineStr">
        <is>
          <t>АК</t>
        </is>
      </c>
      <c r="N387" s="38" t="n"/>
      <c r="O387" s="37" t="n">
        <v>180</v>
      </c>
      <c r="P387" s="1235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87" s="1030" t="n"/>
      <c r="R387" s="1030" t="n"/>
      <c r="S387" s="1030" t="n"/>
      <c r="T387" s="1031" t="n"/>
      <c r="U387" s="39" t="inlineStr"/>
      <c r="V387" s="39" t="inlineStr"/>
      <c r="W387" s="40" t="inlineStr">
        <is>
          <t>кг</t>
        </is>
      </c>
      <c r="X387" s="1032" t="n">
        <v>0</v>
      </c>
      <c r="Y387" s="1033">
        <f>IFERROR(IF(X387="",0,CEILING((X387/$H387),1)*$H387),"")</f>
        <v/>
      </c>
      <c r="Z387" s="41">
        <f>IFERROR(IF(Y387=0,"",ROUNDUP(Y387/H387,0)*0.00651),"")</f>
        <v/>
      </c>
      <c r="AA387" s="68" t="inlineStr"/>
      <c r="AB387" s="69" t="inlineStr"/>
      <c r="AC387" s="482" t="inlineStr">
        <is>
          <t>ЕАЭС N RU Д-RU.РА01.В.12510/25</t>
        </is>
      </c>
      <c r="AG387" s="78" t="n"/>
      <c r="AJ387" s="84" t="inlineStr"/>
      <c r="AK387" s="84" t="n">
        <v>0</v>
      </c>
      <c r="BB387" s="483" t="inlineStr">
        <is>
          <t>КИ</t>
        </is>
      </c>
      <c r="BM387" s="78">
        <f>IFERROR(X387*I387/H387,"0")</f>
        <v/>
      </c>
      <c r="BN387" s="78">
        <f>IFERROR(Y387*I387/H387,"0")</f>
        <v/>
      </c>
      <c r="BO387" s="78">
        <f>IFERROR(1/J387*(X387/H387),"0")</f>
        <v/>
      </c>
      <c r="BP387" s="78">
        <f>IFERROR(1/J387*(Y387/H387),"0")</f>
        <v/>
      </c>
    </row>
    <row r="388">
      <c r="A388" s="704" t="n"/>
      <c r="B388" s="979" t="n"/>
      <c r="C388" s="979" t="n"/>
      <c r="D388" s="979" t="n"/>
      <c r="E388" s="979" t="n"/>
      <c r="F388" s="979" t="n"/>
      <c r="G388" s="979" t="n"/>
      <c r="H388" s="979" t="n"/>
      <c r="I388" s="979" t="n"/>
      <c r="J388" s="979" t="n"/>
      <c r="K388" s="979" t="n"/>
      <c r="L388" s="979" t="n"/>
      <c r="M388" s="979" t="n"/>
      <c r="N388" s="979" t="n"/>
      <c r="O388" s="1035" t="n"/>
      <c r="P388" s="1036" t="inlineStr">
        <is>
          <t>Итого</t>
        </is>
      </c>
      <c r="Q388" s="997" t="n"/>
      <c r="R388" s="997" t="n"/>
      <c r="S388" s="997" t="n"/>
      <c r="T388" s="997" t="n"/>
      <c r="U388" s="997" t="n"/>
      <c r="V388" s="998" t="n"/>
      <c r="W388" s="42" t="inlineStr">
        <is>
          <t>кор</t>
        </is>
      </c>
      <c r="X388" s="1037">
        <f>IFERROR(X384/H384,"0")+IFERROR(X385/H385,"0")+IFERROR(X386/H386,"0")+IFERROR(X387/H387,"0")</f>
        <v/>
      </c>
      <c r="Y388" s="1037">
        <f>IFERROR(Y384/H384,"0")+IFERROR(Y385/H385,"0")+IFERROR(Y386/H386,"0")+IFERROR(Y387/H387,"0")</f>
        <v/>
      </c>
      <c r="Z388" s="1037">
        <f>IFERROR(IF(Z384="",0,Z384),"0")+IFERROR(IF(Z385="",0,Z385),"0")+IFERROR(IF(Z386="",0,Z386),"0")+IFERROR(IF(Z387="",0,Z387),"0")</f>
        <v/>
      </c>
      <c r="AA388" s="1038" t="n"/>
      <c r="AB388" s="1038" t="n"/>
      <c r="AC388" s="1038" t="n"/>
    </row>
    <row r="389">
      <c r="A389" s="979" t="n"/>
      <c r="B389" s="979" t="n"/>
      <c r="C389" s="979" t="n"/>
      <c r="D389" s="979" t="n"/>
      <c r="E389" s="979" t="n"/>
      <c r="F389" s="979" t="n"/>
      <c r="G389" s="979" t="n"/>
      <c r="H389" s="979" t="n"/>
      <c r="I389" s="979" t="n"/>
      <c r="J389" s="979" t="n"/>
      <c r="K389" s="979" t="n"/>
      <c r="L389" s="979" t="n"/>
      <c r="M389" s="979" t="n"/>
      <c r="N389" s="979" t="n"/>
      <c r="O389" s="1035" t="n"/>
      <c r="P389" s="1036" t="inlineStr">
        <is>
          <t>Итого</t>
        </is>
      </c>
      <c r="Q389" s="997" t="n"/>
      <c r="R389" s="997" t="n"/>
      <c r="S389" s="997" t="n"/>
      <c r="T389" s="997" t="n"/>
      <c r="U389" s="997" t="n"/>
      <c r="V389" s="998" t="n"/>
      <c r="W389" s="42" t="inlineStr">
        <is>
          <t>кг</t>
        </is>
      </c>
      <c r="X389" s="1037">
        <f>IFERROR(SUM(X384:X387),"0")</f>
        <v/>
      </c>
      <c r="Y389" s="1037">
        <f>IFERROR(SUM(Y384:Y387),"0")</f>
        <v/>
      </c>
      <c r="Z389" s="42" t="n"/>
      <c r="AA389" s="1038" t="n"/>
      <c r="AB389" s="1038" t="n"/>
      <c r="AC389" s="1038" t="n"/>
    </row>
    <row r="390" ht="14.25" customHeight="1">
      <c r="A390" s="694" t="inlineStr">
        <is>
          <t>Паштеты</t>
        </is>
      </c>
      <c r="B390" s="979" t="n"/>
      <c r="C390" s="979" t="n"/>
      <c r="D390" s="979" t="n"/>
      <c r="E390" s="979" t="n"/>
      <c r="F390" s="979" t="n"/>
      <c r="G390" s="979" t="n"/>
      <c r="H390" s="979" t="n"/>
      <c r="I390" s="979" t="n"/>
      <c r="J390" s="979" t="n"/>
      <c r="K390" s="979" t="n"/>
      <c r="L390" s="979" t="n"/>
      <c r="M390" s="979" t="n"/>
      <c r="N390" s="979" t="n"/>
      <c r="O390" s="979" t="n"/>
      <c r="P390" s="979" t="n"/>
      <c r="Q390" s="979" t="n"/>
      <c r="R390" s="979" t="n"/>
      <c r="S390" s="979" t="n"/>
      <c r="T390" s="979" t="n"/>
      <c r="U390" s="979" t="n"/>
      <c r="V390" s="979" t="n"/>
      <c r="W390" s="979" t="n"/>
      <c r="X390" s="979" t="n"/>
      <c r="Y390" s="979" t="n"/>
      <c r="Z390" s="979" t="n"/>
      <c r="AA390" s="694" t="n"/>
      <c r="AB390" s="694" t="n"/>
      <c r="AC390" s="694" t="n"/>
    </row>
    <row r="391" ht="16.5" customHeight="1">
      <c r="A391" s="63" t="inlineStr">
        <is>
          <t>SU002841</t>
        </is>
      </c>
      <c r="B391" s="63" t="inlineStr">
        <is>
          <t>P003253</t>
        </is>
      </c>
      <c r="C391" s="36" t="n">
        <v>4301180007</v>
      </c>
      <c r="D391" s="695" t="n">
        <v>4680115881808</v>
      </c>
      <c r="E391" s="989" t="n"/>
      <c r="F391" s="1028" t="n">
        <v>0.1</v>
      </c>
      <c r="G391" s="37" t="n">
        <v>20</v>
      </c>
      <c r="H391" s="1028" t="n">
        <v>2</v>
      </c>
      <c r="I391" s="1028" t="n">
        <v>2.24</v>
      </c>
      <c r="J391" s="37" t="n">
        <v>238</v>
      </c>
      <c r="K391" s="37" t="inlineStr">
        <is>
          <t>14</t>
        </is>
      </c>
      <c r="L391" s="37" t="inlineStr"/>
      <c r="M391" s="38" t="inlineStr">
        <is>
          <t>РК</t>
        </is>
      </c>
      <c r="N391" s="38" t="n"/>
      <c r="O391" s="37" t="n">
        <v>731</v>
      </c>
      <c r="P391" s="1236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391" s="1030" t="n"/>
      <c r="R391" s="1030" t="n"/>
      <c r="S391" s="1030" t="n"/>
      <c r="T391" s="1031" t="n"/>
      <c r="U391" s="39" t="inlineStr"/>
      <c r="V391" s="39" t="inlineStr"/>
      <c r="W391" s="40" t="inlineStr">
        <is>
          <t>кг</t>
        </is>
      </c>
      <c r="X391" s="1032" t="n">
        <v>0</v>
      </c>
      <c r="Y391" s="1033">
        <f>IFERROR(IF(X391="",0,CEILING((X391/$H391),1)*$H391),"")</f>
        <v/>
      </c>
      <c r="Z391" s="41">
        <f>IFERROR(IF(Y391=0,"",ROUNDUP(Y391/H391,0)*0.00474),"")</f>
        <v/>
      </c>
      <c r="AA391" s="68" t="inlineStr"/>
      <c r="AB391" s="69" t="inlineStr"/>
      <c r="AC391" s="484" t="inlineStr">
        <is>
          <t>ЕАЭС N RU Д-RU.РА04.В.53299/22</t>
        </is>
      </c>
      <c r="AG391" s="78" t="n"/>
      <c r="AJ391" s="84" t="inlineStr"/>
      <c r="AK391" s="84" t="n">
        <v>0</v>
      </c>
      <c r="BB391" s="485" t="inlineStr">
        <is>
          <t>КИ</t>
        </is>
      </c>
      <c r="BM391" s="78">
        <f>IFERROR(X391*I391/H391,"0")</f>
        <v/>
      </c>
      <c r="BN391" s="78">
        <f>IFERROR(Y391*I391/H391,"0")</f>
        <v/>
      </c>
      <c r="BO391" s="78">
        <f>IFERROR(1/J391*(X391/H391),"0")</f>
        <v/>
      </c>
      <c r="BP391" s="78">
        <f>IFERROR(1/J391*(Y391/H391),"0")</f>
        <v/>
      </c>
    </row>
    <row r="392" ht="27" customHeight="1">
      <c r="A392" s="63" t="inlineStr">
        <is>
          <t>SU002840</t>
        </is>
      </c>
      <c r="B392" s="63" t="inlineStr">
        <is>
          <t>P003252</t>
        </is>
      </c>
      <c r="C392" s="36" t="n">
        <v>4301180006</v>
      </c>
      <c r="D392" s="695" t="n">
        <v>4680115881822</v>
      </c>
      <c r="E392" s="989" t="n"/>
      <c r="F392" s="1028" t="n">
        <v>0.1</v>
      </c>
      <c r="G392" s="37" t="n">
        <v>20</v>
      </c>
      <c r="H392" s="1028" t="n">
        <v>2</v>
      </c>
      <c r="I392" s="1028" t="n">
        <v>2.24</v>
      </c>
      <c r="J392" s="37" t="n">
        <v>238</v>
      </c>
      <c r="K392" s="37" t="inlineStr">
        <is>
          <t>14</t>
        </is>
      </c>
      <c r="L392" s="37" t="inlineStr"/>
      <c r="M392" s="38" t="inlineStr">
        <is>
          <t>РК</t>
        </is>
      </c>
      <c r="N392" s="38" t="n"/>
      <c r="O392" s="37" t="n">
        <v>731</v>
      </c>
      <c r="P392" s="1237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392" s="1030" t="n"/>
      <c r="R392" s="1030" t="n"/>
      <c r="S392" s="1030" t="n"/>
      <c r="T392" s="1031" t="n"/>
      <c r="U392" s="39" t="inlineStr"/>
      <c r="V392" s="39" t="inlineStr"/>
      <c r="W392" s="40" t="inlineStr">
        <is>
          <t>кг</t>
        </is>
      </c>
      <c r="X392" s="1032" t="n">
        <v>0</v>
      </c>
      <c r="Y392" s="1033">
        <f>IFERROR(IF(X392="",0,CEILING((X392/$H392),1)*$H392),"")</f>
        <v/>
      </c>
      <c r="Z392" s="41">
        <f>IFERROR(IF(Y392=0,"",ROUNDUP(Y392/H392,0)*0.00474),"")</f>
        <v/>
      </c>
      <c r="AA392" s="68" t="inlineStr"/>
      <c r="AB392" s="69" t="inlineStr"/>
      <c r="AC392" s="486" t="inlineStr">
        <is>
          <t>ЕАЭС N RU Д-RU.РА04.В.53299/22</t>
        </is>
      </c>
      <c r="AG392" s="78" t="n"/>
      <c r="AJ392" s="84" t="inlineStr"/>
      <c r="AK392" s="84" t="n">
        <v>0</v>
      </c>
      <c r="BB392" s="487" t="inlineStr">
        <is>
          <t>КИ</t>
        </is>
      </c>
      <c r="BM392" s="78">
        <f>IFERROR(X392*I392/H392,"0")</f>
        <v/>
      </c>
      <c r="BN392" s="78">
        <f>IFERROR(Y392*I392/H392,"0")</f>
        <v/>
      </c>
      <c r="BO392" s="78">
        <f>IFERROR(1/J392*(X392/H392),"0")</f>
        <v/>
      </c>
      <c r="BP392" s="78">
        <f>IFERROR(1/J392*(Y392/H392),"0")</f>
        <v/>
      </c>
    </row>
    <row r="393" ht="27" customHeight="1">
      <c r="A393" s="63" t="inlineStr">
        <is>
          <t>SU002368</t>
        </is>
      </c>
      <c r="B393" s="63" t="inlineStr">
        <is>
          <t>P002648</t>
        </is>
      </c>
      <c r="C393" s="36" t="n">
        <v>4301180001</v>
      </c>
      <c r="D393" s="695" t="n">
        <v>4680115880016</v>
      </c>
      <c r="E393" s="989" t="n"/>
      <c r="F393" s="1028" t="n">
        <v>0.1</v>
      </c>
      <c r="G393" s="37" t="n">
        <v>20</v>
      </c>
      <c r="H393" s="1028" t="n">
        <v>2</v>
      </c>
      <c r="I393" s="1028" t="n">
        <v>2.24</v>
      </c>
      <c r="J393" s="37" t="n">
        <v>238</v>
      </c>
      <c r="K393" s="37" t="inlineStr">
        <is>
          <t>14</t>
        </is>
      </c>
      <c r="L393" s="37" t="inlineStr"/>
      <c r="M393" s="38" t="inlineStr">
        <is>
          <t>РК</t>
        </is>
      </c>
      <c r="N393" s="38" t="n"/>
      <c r="O393" s="37" t="n">
        <v>731</v>
      </c>
      <c r="P393" s="1238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393" s="1030" t="n"/>
      <c r="R393" s="1030" t="n"/>
      <c r="S393" s="1030" t="n"/>
      <c r="T393" s="1031" t="n"/>
      <c r="U393" s="39" t="inlineStr"/>
      <c r="V393" s="39" t="inlineStr"/>
      <c r="W393" s="40" t="inlineStr">
        <is>
          <t>кг</t>
        </is>
      </c>
      <c r="X393" s="1032" t="n">
        <v>0</v>
      </c>
      <c r="Y393" s="1033">
        <f>IFERROR(IF(X393="",0,CEILING((X393/$H393),1)*$H393),"")</f>
        <v/>
      </c>
      <c r="Z393" s="41">
        <f>IFERROR(IF(Y393=0,"",ROUNDUP(Y393/H393,0)*0.00474),"")</f>
        <v/>
      </c>
      <c r="AA393" s="68" t="inlineStr"/>
      <c r="AB393" s="69" t="inlineStr"/>
      <c r="AC393" s="488" t="inlineStr">
        <is>
          <t>ЕАЭС N RU Д-RU.РА04.В.53299/22</t>
        </is>
      </c>
      <c r="AG393" s="78" t="n"/>
      <c r="AJ393" s="84" t="inlineStr"/>
      <c r="AK393" s="84" t="n">
        <v>0</v>
      </c>
      <c r="BB393" s="489" t="inlineStr">
        <is>
          <t>КИ</t>
        </is>
      </c>
      <c r="BM393" s="78">
        <f>IFERROR(X393*I393/H393,"0")</f>
        <v/>
      </c>
      <c r="BN393" s="78">
        <f>IFERROR(Y393*I393/H393,"0")</f>
        <v/>
      </c>
      <c r="BO393" s="78">
        <f>IFERROR(1/J393*(X393/H393),"0")</f>
        <v/>
      </c>
      <c r="BP393" s="78">
        <f>IFERROR(1/J393*(Y393/H393),"0")</f>
        <v/>
      </c>
    </row>
    <row r="394">
      <c r="A394" s="704" t="n"/>
      <c r="B394" s="979" t="n"/>
      <c r="C394" s="979" t="n"/>
      <c r="D394" s="979" t="n"/>
      <c r="E394" s="979" t="n"/>
      <c r="F394" s="979" t="n"/>
      <c r="G394" s="979" t="n"/>
      <c r="H394" s="979" t="n"/>
      <c r="I394" s="979" t="n"/>
      <c r="J394" s="979" t="n"/>
      <c r="K394" s="979" t="n"/>
      <c r="L394" s="979" t="n"/>
      <c r="M394" s="979" t="n"/>
      <c r="N394" s="979" t="n"/>
      <c r="O394" s="1035" t="n"/>
      <c r="P394" s="1036" t="inlineStr">
        <is>
          <t>Итого</t>
        </is>
      </c>
      <c r="Q394" s="997" t="n"/>
      <c r="R394" s="997" t="n"/>
      <c r="S394" s="997" t="n"/>
      <c r="T394" s="997" t="n"/>
      <c r="U394" s="997" t="n"/>
      <c r="V394" s="998" t="n"/>
      <c r="W394" s="42" t="inlineStr">
        <is>
          <t>кор</t>
        </is>
      </c>
      <c r="X394" s="1037">
        <f>IFERROR(X391/H391,"0")+IFERROR(X392/H392,"0")+IFERROR(X393/H393,"0")</f>
        <v/>
      </c>
      <c r="Y394" s="1037">
        <f>IFERROR(Y391/H391,"0")+IFERROR(Y392/H392,"0")+IFERROR(Y393/H393,"0")</f>
        <v/>
      </c>
      <c r="Z394" s="1037">
        <f>IFERROR(IF(Z391="",0,Z391),"0")+IFERROR(IF(Z392="",0,Z392),"0")+IFERROR(IF(Z393="",0,Z393),"0")</f>
        <v/>
      </c>
      <c r="AA394" s="1038" t="n"/>
      <c r="AB394" s="1038" t="n"/>
      <c r="AC394" s="1038" t="n"/>
    </row>
    <row r="395">
      <c r="A395" s="979" t="n"/>
      <c r="B395" s="979" t="n"/>
      <c r="C395" s="979" t="n"/>
      <c r="D395" s="979" t="n"/>
      <c r="E395" s="979" t="n"/>
      <c r="F395" s="979" t="n"/>
      <c r="G395" s="979" t="n"/>
      <c r="H395" s="979" t="n"/>
      <c r="I395" s="979" t="n"/>
      <c r="J395" s="979" t="n"/>
      <c r="K395" s="979" t="n"/>
      <c r="L395" s="979" t="n"/>
      <c r="M395" s="979" t="n"/>
      <c r="N395" s="979" t="n"/>
      <c r="O395" s="1035" t="n"/>
      <c r="P395" s="1036" t="inlineStr">
        <is>
          <t>Итого</t>
        </is>
      </c>
      <c r="Q395" s="997" t="n"/>
      <c r="R395" s="997" t="n"/>
      <c r="S395" s="997" t="n"/>
      <c r="T395" s="997" t="n"/>
      <c r="U395" s="997" t="n"/>
      <c r="V395" s="998" t="n"/>
      <c r="W395" s="42" t="inlineStr">
        <is>
          <t>кг</t>
        </is>
      </c>
      <c r="X395" s="1037">
        <f>IFERROR(SUM(X391:X393),"0")</f>
        <v/>
      </c>
      <c r="Y395" s="1037">
        <f>IFERROR(SUM(Y391:Y393),"0")</f>
        <v/>
      </c>
      <c r="Z395" s="42" t="n"/>
      <c r="AA395" s="1038" t="n"/>
      <c r="AB395" s="1038" t="n"/>
      <c r="AC395" s="1038" t="n"/>
    </row>
    <row r="396" ht="14.25" customHeight="1">
      <c r="A396" s="694" t="inlineStr">
        <is>
          <t>Консервы</t>
        </is>
      </c>
      <c r="B396" s="979" t="n"/>
      <c r="C396" s="979" t="n"/>
      <c r="D396" s="979" t="n"/>
      <c r="E396" s="979" t="n"/>
      <c r="F396" s="979" t="n"/>
      <c r="G396" s="979" t="n"/>
      <c r="H396" s="979" t="n"/>
      <c r="I396" s="979" t="n"/>
      <c r="J396" s="979" t="n"/>
      <c r="K396" s="979" t="n"/>
      <c r="L396" s="979" t="n"/>
      <c r="M396" s="979" t="n"/>
      <c r="N396" s="979" t="n"/>
      <c r="O396" s="979" t="n"/>
      <c r="P396" s="979" t="n"/>
      <c r="Q396" s="979" t="n"/>
      <c r="R396" s="979" t="n"/>
      <c r="S396" s="979" t="n"/>
      <c r="T396" s="979" t="n"/>
      <c r="U396" s="979" t="n"/>
      <c r="V396" s="979" t="n"/>
      <c r="W396" s="979" t="n"/>
      <c r="X396" s="979" t="n"/>
      <c r="Y396" s="979" t="n"/>
      <c r="Z396" s="979" t="n"/>
      <c r="AA396" s="694" t="n"/>
      <c r="AB396" s="694" t="n"/>
      <c r="AC396" s="694" t="n"/>
    </row>
    <row r="397" ht="27" customHeight="1">
      <c r="A397" s="63" t="inlineStr">
        <is>
          <t>SU004146</t>
        </is>
      </c>
      <c r="B397" s="63" t="inlineStr">
        <is>
          <t>P005419</t>
        </is>
      </c>
      <c r="C397" s="36" t="n">
        <v>4301220003</v>
      </c>
      <c r="D397" s="695" t="n">
        <v>4680115888678</v>
      </c>
      <c r="E397" s="989" t="n"/>
      <c r="F397" s="1028" t="n">
        <v>0.25</v>
      </c>
      <c r="G397" s="37" t="n">
        <v>12</v>
      </c>
      <c r="H397" s="1028" t="n">
        <v>3</v>
      </c>
      <c r="I397" s="1028" t="n">
        <v>3.22</v>
      </c>
      <c r="J397" s="37" t="n">
        <v>224</v>
      </c>
      <c r="K397" s="37" t="inlineStr">
        <is>
          <t>14</t>
        </is>
      </c>
      <c r="L397" s="37" t="inlineStr"/>
      <c r="M397" s="38" t="inlineStr">
        <is>
          <t>РК</t>
        </is>
      </c>
      <c r="N397" s="38" t="n"/>
      <c r="O397" s="37" t="n">
        <v>1095</v>
      </c>
      <c r="P397" s="1239">
        <f>HYPERLINK("https://abi.ru/products/Охлажденные/Стародворье/Бордо/Консервы/P005419/","Консервы «Буженина в пряном маринаде» Фикс.вес 0,25 ТМ «Стародворье»")</f>
        <v/>
      </c>
      <c r="Q397" s="1030" t="n"/>
      <c r="R397" s="1030" t="n"/>
      <c r="S397" s="1030" t="n"/>
      <c r="T397" s="1031" t="n"/>
      <c r="U397" s="39" t="inlineStr"/>
      <c r="V397" s="39" t="inlineStr"/>
      <c r="W397" s="40" t="inlineStr">
        <is>
          <t>кг</t>
        </is>
      </c>
      <c r="X397" s="1032" t="n">
        <v>0</v>
      </c>
      <c r="Y397" s="1033">
        <f>IFERROR(IF(X397="",0,CEILING((X397/$H397),1)*$H397),"")</f>
        <v/>
      </c>
      <c r="Z397" s="41">
        <f>IFERROR(IF(Y397=0,"",ROUNDUP(Y397/H397,0)*0.0045),"")</f>
        <v/>
      </c>
      <c r="AA397" s="68" t="inlineStr"/>
      <c r="AB397" s="69" t="inlineStr">
        <is>
          <t>Новинка</t>
        </is>
      </c>
      <c r="AC397" s="490" t="inlineStr">
        <is>
          <t>ЕАЭС N RU Д-RU.РА04.В.59130/26</t>
        </is>
      </c>
      <c r="AG397" s="78" t="n"/>
      <c r="AJ397" s="84" t="inlineStr"/>
      <c r="AK397" s="84" t="n">
        <v>0</v>
      </c>
      <c r="BB397" s="491" t="inlineStr">
        <is>
          <t>КИ</t>
        </is>
      </c>
      <c r="BM397" s="78">
        <f>IFERROR(X397*I397/H397,"0")</f>
        <v/>
      </c>
      <c r="BN397" s="78">
        <f>IFERROR(Y397*I397/H397,"0")</f>
        <v/>
      </c>
      <c r="BO397" s="78">
        <f>IFERROR(1/J397*(X397/H397),"0")</f>
        <v/>
      </c>
      <c r="BP397" s="78">
        <f>IFERROR(1/J397*(Y397/H397),"0")</f>
        <v/>
      </c>
    </row>
    <row r="398" ht="27" customHeight="1">
      <c r="A398" s="63" t="inlineStr">
        <is>
          <t>SU004144</t>
        </is>
      </c>
      <c r="B398" s="63" t="inlineStr">
        <is>
          <t>P005417</t>
        </is>
      </c>
      <c r="C398" s="36" t="n">
        <v>4301220001</v>
      </c>
      <c r="D398" s="695" t="n">
        <v>4680115888654</v>
      </c>
      <c r="E398" s="989" t="n"/>
      <c r="F398" s="1028" t="n">
        <v>0.325</v>
      </c>
      <c r="G398" s="37" t="n">
        <v>12</v>
      </c>
      <c r="H398" s="1028" t="n">
        <v>3.9</v>
      </c>
      <c r="I398" s="1028" t="n">
        <v>4.17</v>
      </c>
      <c r="J398" s="37" t="n">
        <v>144</v>
      </c>
      <c r="K398" s="37" t="inlineStr">
        <is>
          <t>12</t>
        </is>
      </c>
      <c r="L398" s="37" t="inlineStr"/>
      <c r="M398" s="38" t="inlineStr">
        <is>
          <t>РК</t>
        </is>
      </c>
      <c r="N398" s="38" t="n"/>
      <c r="O398" s="37" t="n">
        <v>1095</v>
      </c>
      <c r="P398" s="1240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/>
      </c>
      <c r="Q398" s="1030" t="n"/>
      <c r="R398" s="1030" t="n"/>
      <c r="S398" s="1030" t="n"/>
      <c r="T398" s="1031" t="n"/>
      <c r="U398" s="39" t="inlineStr"/>
      <c r="V398" s="39" t="inlineStr"/>
      <c r="W398" s="40" t="inlineStr">
        <is>
          <t>кг</t>
        </is>
      </c>
      <c r="X398" s="1032" t="n">
        <v>0</v>
      </c>
      <c r="Y398" s="1033">
        <f>IFERROR(IF(X398="",0,CEILING((X398/$H398),1)*$H398),"")</f>
        <v/>
      </c>
      <c r="Z398" s="41">
        <f>IFERROR(IF(Y398=0,"",ROUNDUP(Y398/H398,0)*0.006),"")</f>
        <v/>
      </c>
      <c r="AA398" s="68" t="inlineStr"/>
      <c r="AB398" s="69" t="inlineStr">
        <is>
          <t>Новинка</t>
        </is>
      </c>
      <c r="AC398" s="492" t="inlineStr">
        <is>
          <t>ЕАЭС N RU Д-RU.РА04.В.16148/26</t>
        </is>
      </c>
      <c r="AG398" s="78" t="n"/>
      <c r="AJ398" s="84" t="inlineStr"/>
      <c r="AK398" s="84" t="n">
        <v>0</v>
      </c>
      <c r="BB398" s="493" t="inlineStr">
        <is>
          <t>КИ</t>
        </is>
      </c>
      <c r="BM398" s="78">
        <f>IFERROR(X398*I398/H398,"0")</f>
        <v/>
      </c>
      <c r="BN398" s="78">
        <f>IFERROR(Y398*I398/H398,"0")</f>
        <v/>
      </c>
      <c r="BO398" s="78">
        <f>IFERROR(1/J398*(X398/H398),"0")</f>
        <v/>
      </c>
      <c r="BP398" s="78">
        <f>IFERROR(1/J398*(Y398/H398),"0")</f>
        <v/>
      </c>
    </row>
    <row r="399" ht="27" customHeight="1">
      <c r="A399" s="63" t="inlineStr">
        <is>
          <t>SU004145</t>
        </is>
      </c>
      <c r="B399" s="63" t="inlineStr">
        <is>
          <t>P005418</t>
        </is>
      </c>
      <c r="C399" s="36" t="n">
        <v>4301220002</v>
      </c>
      <c r="D399" s="695" t="n">
        <v>4680115888753</v>
      </c>
      <c r="E399" s="989" t="n"/>
      <c r="F399" s="1028" t="n">
        <v>0.25</v>
      </c>
      <c r="G399" s="37" t="n">
        <v>12</v>
      </c>
      <c r="H399" s="1028" t="n">
        <v>3</v>
      </c>
      <c r="I399" s="1028" t="n">
        <v>3.22</v>
      </c>
      <c r="J399" s="37" t="n">
        <v>224</v>
      </c>
      <c r="K399" s="37" t="inlineStr">
        <is>
          <t>14</t>
        </is>
      </c>
      <c r="L399" s="37" t="inlineStr"/>
      <c r="M399" s="38" t="inlineStr">
        <is>
          <t>РК</t>
        </is>
      </c>
      <c r="N399" s="38" t="n"/>
      <c r="O399" s="37" t="n">
        <v>1095</v>
      </c>
      <c r="P399" s="1241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/>
      </c>
      <c r="Q399" s="1030" t="n"/>
      <c r="R399" s="1030" t="n"/>
      <c r="S399" s="1030" t="n"/>
      <c r="T399" s="1031" t="n"/>
      <c r="U399" s="39" t="inlineStr"/>
      <c r="V399" s="39" t="inlineStr"/>
      <c r="W399" s="40" t="inlineStr">
        <is>
          <t>кг</t>
        </is>
      </c>
      <c r="X399" s="1032" t="n">
        <v>0</v>
      </c>
      <c r="Y399" s="1033">
        <f>IFERROR(IF(X399="",0,CEILING((X399/$H399),1)*$H399),"")</f>
        <v/>
      </c>
      <c r="Z399" s="41">
        <f>IFERROR(IF(Y399=0,"",ROUNDUP(Y399/H399,0)*0.0045),"")</f>
        <v/>
      </c>
      <c r="AA399" s="68" t="inlineStr"/>
      <c r="AB399" s="69" t="inlineStr">
        <is>
          <t>Новинка</t>
        </is>
      </c>
      <c r="AC399" s="494" t="inlineStr">
        <is>
          <t>ЕАЭС N RU Д-RU.РА04.В.59130/26</t>
        </is>
      </c>
      <c r="AG399" s="78" t="n"/>
      <c r="AJ399" s="84" t="inlineStr"/>
      <c r="AK399" s="84" t="n">
        <v>0</v>
      </c>
      <c r="BB399" s="495" t="inlineStr">
        <is>
          <t>КИ</t>
        </is>
      </c>
      <c r="BM399" s="78">
        <f>IFERROR(X399*I399/H399,"0")</f>
        <v/>
      </c>
      <c r="BN399" s="78">
        <f>IFERROR(Y399*I399/H399,"0")</f>
        <v/>
      </c>
      <c r="BO399" s="78">
        <f>IFERROR(1/J399*(X399/H399),"0")</f>
        <v/>
      </c>
      <c r="BP399" s="78">
        <f>IFERROR(1/J399*(Y399/H399),"0")</f>
        <v/>
      </c>
    </row>
    <row r="400">
      <c r="A400" s="704" t="n"/>
      <c r="B400" s="979" t="n"/>
      <c r="C400" s="979" t="n"/>
      <c r="D400" s="979" t="n"/>
      <c r="E400" s="979" t="n"/>
      <c r="F400" s="979" t="n"/>
      <c r="G400" s="979" t="n"/>
      <c r="H400" s="979" t="n"/>
      <c r="I400" s="979" t="n"/>
      <c r="J400" s="979" t="n"/>
      <c r="K400" s="979" t="n"/>
      <c r="L400" s="979" t="n"/>
      <c r="M400" s="979" t="n"/>
      <c r="N400" s="979" t="n"/>
      <c r="O400" s="1035" t="n"/>
      <c r="P400" s="1036" t="inlineStr">
        <is>
          <t>Итого</t>
        </is>
      </c>
      <c r="Q400" s="997" t="n"/>
      <c r="R400" s="997" t="n"/>
      <c r="S400" s="997" t="n"/>
      <c r="T400" s="997" t="n"/>
      <c r="U400" s="997" t="n"/>
      <c r="V400" s="998" t="n"/>
      <c r="W400" s="42" t="inlineStr">
        <is>
          <t>кор</t>
        </is>
      </c>
      <c r="X400" s="1037">
        <f>IFERROR(X397/H397,"0")+IFERROR(X398/H398,"0")+IFERROR(X399/H399,"0")</f>
        <v/>
      </c>
      <c r="Y400" s="1037">
        <f>IFERROR(Y397/H397,"0")+IFERROR(Y398/H398,"0")+IFERROR(Y399/H399,"0")</f>
        <v/>
      </c>
      <c r="Z400" s="1037">
        <f>IFERROR(IF(Z397="",0,Z397),"0")+IFERROR(IF(Z398="",0,Z398),"0")+IFERROR(IF(Z399="",0,Z399),"0")</f>
        <v/>
      </c>
      <c r="AA400" s="1038" t="n"/>
      <c r="AB400" s="1038" t="n"/>
      <c r="AC400" s="1038" t="n"/>
    </row>
    <row r="401">
      <c r="A401" s="979" t="n"/>
      <c r="B401" s="979" t="n"/>
      <c r="C401" s="979" t="n"/>
      <c r="D401" s="979" t="n"/>
      <c r="E401" s="979" t="n"/>
      <c r="F401" s="979" t="n"/>
      <c r="G401" s="979" t="n"/>
      <c r="H401" s="979" t="n"/>
      <c r="I401" s="979" t="n"/>
      <c r="J401" s="979" t="n"/>
      <c r="K401" s="979" t="n"/>
      <c r="L401" s="979" t="n"/>
      <c r="M401" s="979" t="n"/>
      <c r="N401" s="979" t="n"/>
      <c r="O401" s="1035" t="n"/>
      <c r="P401" s="1036" t="inlineStr">
        <is>
          <t>Итого</t>
        </is>
      </c>
      <c r="Q401" s="997" t="n"/>
      <c r="R401" s="997" t="n"/>
      <c r="S401" s="997" t="n"/>
      <c r="T401" s="997" t="n"/>
      <c r="U401" s="997" t="n"/>
      <c r="V401" s="998" t="n"/>
      <c r="W401" s="42" t="inlineStr">
        <is>
          <t>кг</t>
        </is>
      </c>
      <c r="X401" s="1037">
        <f>IFERROR(SUM(X397:X399),"0")</f>
        <v/>
      </c>
      <c r="Y401" s="1037">
        <f>IFERROR(SUM(Y397:Y399),"0")</f>
        <v/>
      </c>
      <c r="Z401" s="42" t="n"/>
      <c r="AA401" s="1038" t="n"/>
      <c r="AB401" s="1038" t="n"/>
      <c r="AC401" s="1038" t="n"/>
    </row>
    <row r="402" ht="16.5" customHeight="1">
      <c r="A402" s="693" t="inlineStr">
        <is>
          <t>Бавария</t>
        </is>
      </c>
      <c r="B402" s="979" t="n"/>
      <c r="C402" s="979" t="n"/>
      <c r="D402" s="979" t="n"/>
      <c r="E402" s="979" t="n"/>
      <c r="F402" s="979" t="n"/>
      <c r="G402" s="979" t="n"/>
      <c r="H402" s="979" t="n"/>
      <c r="I402" s="979" t="n"/>
      <c r="J402" s="979" t="n"/>
      <c r="K402" s="979" t="n"/>
      <c r="L402" s="979" t="n"/>
      <c r="M402" s="979" t="n"/>
      <c r="N402" s="979" t="n"/>
      <c r="O402" s="979" t="n"/>
      <c r="P402" s="979" t="n"/>
      <c r="Q402" s="979" t="n"/>
      <c r="R402" s="979" t="n"/>
      <c r="S402" s="979" t="n"/>
      <c r="T402" s="979" t="n"/>
      <c r="U402" s="979" t="n"/>
      <c r="V402" s="979" t="n"/>
      <c r="W402" s="979" t="n"/>
      <c r="X402" s="979" t="n"/>
      <c r="Y402" s="979" t="n"/>
      <c r="Z402" s="979" t="n"/>
      <c r="AA402" s="693" t="n"/>
      <c r="AB402" s="693" t="n"/>
      <c r="AC402" s="693" t="n"/>
    </row>
    <row r="403" ht="14.25" customHeight="1">
      <c r="A403" s="694" t="inlineStr">
        <is>
          <t>Сосиски</t>
        </is>
      </c>
      <c r="B403" s="979" t="n"/>
      <c r="C403" s="979" t="n"/>
      <c r="D403" s="979" t="n"/>
      <c r="E403" s="979" t="n"/>
      <c r="F403" s="979" t="n"/>
      <c r="G403" s="979" t="n"/>
      <c r="H403" s="979" t="n"/>
      <c r="I403" s="979" t="n"/>
      <c r="J403" s="979" t="n"/>
      <c r="K403" s="979" t="n"/>
      <c r="L403" s="979" t="n"/>
      <c r="M403" s="979" t="n"/>
      <c r="N403" s="979" t="n"/>
      <c r="O403" s="979" t="n"/>
      <c r="P403" s="979" t="n"/>
      <c r="Q403" s="979" t="n"/>
      <c r="R403" s="979" t="n"/>
      <c r="S403" s="979" t="n"/>
      <c r="T403" s="979" t="n"/>
      <c r="U403" s="979" t="n"/>
      <c r="V403" s="979" t="n"/>
      <c r="W403" s="979" t="n"/>
      <c r="X403" s="979" t="n"/>
      <c r="Y403" s="979" t="n"/>
      <c r="Z403" s="979" t="n"/>
      <c r="AA403" s="694" t="n"/>
      <c r="AB403" s="694" t="n"/>
      <c r="AC403" s="694" t="n"/>
    </row>
    <row r="404" ht="27" customHeight="1">
      <c r="A404" s="63" t="inlineStr">
        <is>
          <t>SU001835</t>
        </is>
      </c>
      <c r="B404" s="63" t="inlineStr">
        <is>
          <t>P002202</t>
        </is>
      </c>
      <c r="C404" s="36" t="n">
        <v>4301051489</v>
      </c>
      <c r="D404" s="695" t="n">
        <v>4607091387919</v>
      </c>
      <c r="E404" s="989" t="n"/>
      <c r="F404" s="1028" t="n">
        <v>1.35</v>
      </c>
      <c r="G404" s="37" t="n">
        <v>6</v>
      </c>
      <c r="H404" s="1028" t="n">
        <v>8.1</v>
      </c>
      <c r="I404" s="1028" t="n">
        <v>8.593999999999999</v>
      </c>
      <c r="J404" s="37" t="n">
        <v>64</v>
      </c>
      <c r="K404" s="37" t="inlineStr">
        <is>
          <t>8</t>
        </is>
      </c>
      <c r="L404" s="37" t="inlineStr"/>
      <c r="M404" s="38" t="inlineStr">
        <is>
          <t>СК4</t>
        </is>
      </c>
      <c r="N404" s="38" t="n"/>
      <c r="O404" s="37" t="n">
        <v>45</v>
      </c>
      <c r="P404" s="1242">
        <f>HYPERLINK("https://abi.ru/products/Охлажденные/Стародворье/Бавария/Сосиски/P002202/","Сосиски Баварские Бавария Весовые П/а мгс Стародворье")</f>
        <v/>
      </c>
      <c r="Q404" s="1030" t="n"/>
      <c r="R404" s="1030" t="n"/>
      <c r="S404" s="1030" t="n"/>
      <c r="T404" s="1031" t="n"/>
      <c r="U404" s="39" t="inlineStr"/>
      <c r="V404" s="39" t="inlineStr"/>
      <c r="W404" s="40" t="inlineStr">
        <is>
          <t>кг</t>
        </is>
      </c>
      <c r="X404" s="1032" t="n">
        <v>0</v>
      </c>
      <c r="Y404" s="1033">
        <f>IFERROR(IF(X404="",0,CEILING((X404/$H404),1)*$H404),"")</f>
        <v/>
      </c>
      <c r="Z404" s="41">
        <f>IFERROR(IF(Y404=0,"",ROUNDUP(Y404/H404,0)*0.01898),"")</f>
        <v/>
      </c>
      <c r="AA404" s="68" t="inlineStr"/>
      <c r="AB404" s="69" t="inlineStr"/>
      <c r="AC404" s="496" t="inlineStr">
        <is>
          <t>ЕАЭС N RU Д-RU.РА03.В.21237/26, ЕАЭС N RU Д-RU.РА11.В.38696/25</t>
        </is>
      </c>
      <c r="AG404" s="78" t="n"/>
      <c r="AJ404" s="84" t="inlineStr"/>
      <c r="AK404" s="84" t="n">
        <v>0</v>
      </c>
      <c r="BB404" s="497" t="inlineStr">
        <is>
          <t>КИ</t>
        </is>
      </c>
      <c r="BM404" s="78">
        <f>IFERROR(X404*I404/H404,"0")</f>
        <v/>
      </c>
      <c r="BN404" s="78">
        <f>IFERROR(Y404*I404/H404,"0")</f>
        <v/>
      </c>
      <c r="BO404" s="78">
        <f>IFERROR(1/J404*(X404/H404),"0")</f>
        <v/>
      </c>
      <c r="BP404" s="78">
        <f>IFERROR(1/J404*(Y404/H404),"0")</f>
        <v/>
      </c>
    </row>
    <row r="405" ht="27" customHeight="1">
      <c r="A405" s="63" t="inlineStr">
        <is>
          <t>SU003167</t>
        </is>
      </c>
      <c r="B405" s="63" t="inlineStr">
        <is>
          <t>P003363</t>
        </is>
      </c>
      <c r="C405" s="36" t="n">
        <v>4301051461</v>
      </c>
      <c r="D405" s="695" t="n">
        <v>4680115883604</v>
      </c>
      <c r="E405" s="989" t="n"/>
      <c r="F405" s="1028" t="n">
        <v>0.35</v>
      </c>
      <c r="G405" s="37" t="n">
        <v>6</v>
      </c>
      <c r="H405" s="1028" t="n">
        <v>2.1</v>
      </c>
      <c r="I405" s="1028" t="n">
        <v>2.352</v>
      </c>
      <c r="J405" s="37" t="n">
        <v>182</v>
      </c>
      <c r="K405" s="37" t="inlineStr">
        <is>
          <t>14</t>
        </is>
      </c>
      <c r="L405" s="37" t="inlineStr"/>
      <c r="M405" s="38" t="inlineStr">
        <is>
          <t>СК3</t>
        </is>
      </c>
      <c r="N405" s="38" t="n"/>
      <c r="O405" s="37" t="n">
        <v>45</v>
      </c>
      <c r="P405" s="1243">
        <f>HYPERLINK("https://abi.ru/products/Охлажденные/Стародворье/Бавария/Сосиски/P003363/","Сосиски «Баварские» Фикс.вес 0,35 П/а ТМ «Стародворье»")</f>
        <v/>
      </c>
      <c r="Q405" s="1030" t="n"/>
      <c r="R405" s="1030" t="n"/>
      <c r="S405" s="1030" t="n"/>
      <c r="T405" s="1031" t="n"/>
      <c r="U405" s="39" t="inlineStr"/>
      <c r="V405" s="39" t="inlineStr"/>
      <c r="W405" s="40" t="inlineStr">
        <is>
          <t>кг</t>
        </is>
      </c>
      <c r="X405" s="1032" t="n">
        <v>0</v>
      </c>
      <c r="Y405" s="1033">
        <f>IFERROR(IF(X405="",0,CEILING((X405/$H405),1)*$H405),"")</f>
        <v/>
      </c>
      <c r="Z405" s="41">
        <f>IFERROR(IF(Y405=0,"",ROUNDUP(Y405/H405,0)*0.00651),"")</f>
        <v/>
      </c>
      <c r="AA405" s="68" t="inlineStr"/>
      <c r="AB405" s="69" t="inlineStr"/>
      <c r="AC405" s="498" t="inlineStr">
        <is>
          <t>ЕАЭС N RU Д-RU.РА03.В.17858/26, ЕАЭС N RU Д-RU.РА03.В.17919/26</t>
        </is>
      </c>
      <c r="AG405" s="78" t="n"/>
      <c r="AJ405" s="84" t="inlineStr"/>
      <c r="AK405" s="84" t="n">
        <v>0</v>
      </c>
      <c r="BB405" s="499" t="inlineStr">
        <is>
          <t>КИ</t>
        </is>
      </c>
      <c r="BM405" s="78">
        <f>IFERROR(X405*I405/H405,"0")</f>
        <v/>
      </c>
      <c r="BN405" s="78">
        <f>IFERROR(Y405*I405/H405,"0")</f>
        <v/>
      </c>
      <c r="BO405" s="78">
        <f>IFERROR(1/J405*(X405/H405),"0")</f>
        <v/>
      </c>
      <c r="BP405" s="78">
        <f>IFERROR(1/J405*(Y405/H405),"0")</f>
        <v/>
      </c>
    </row>
    <row r="406" ht="27" customHeight="1">
      <c r="A406" s="63" t="inlineStr">
        <is>
          <t>SU003168</t>
        </is>
      </c>
      <c r="B406" s="63" t="inlineStr">
        <is>
          <t>P003364</t>
        </is>
      </c>
      <c r="C406" s="36" t="n">
        <v>4301051864</v>
      </c>
      <c r="D406" s="695" t="n">
        <v>4680115883567</v>
      </c>
      <c r="E406" s="989" t="n"/>
      <c r="F406" s="1028" t="n">
        <v>0.35</v>
      </c>
      <c r="G406" s="37" t="n">
        <v>6</v>
      </c>
      <c r="H406" s="1028" t="n">
        <v>2.1</v>
      </c>
      <c r="I406" s="1028" t="n">
        <v>2.34</v>
      </c>
      <c r="J406" s="37" t="n">
        <v>182</v>
      </c>
      <c r="K406" s="37" t="inlineStr">
        <is>
          <t>14</t>
        </is>
      </c>
      <c r="L406" s="37" t="inlineStr"/>
      <c r="M406" s="38" t="inlineStr">
        <is>
          <t>СК4</t>
        </is>
      </c>
      <c r="N406" s="38" t="n"/>
      <c r="O406" s="37" t="n">
        <v>40</v>
      </c>
      <c r="P406" s="1244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406" s="1030" t="n"/>
      <c r="R406" s="1030" t="n"/>
      <c r="S406" s="1030" t="n"/>
      <c r="T406" s="1031" t="n"/>
      <c r="U406" s="39" t="inlineStr"/>
      <c r="V406" s="39" t="inlineStr"/>
      <c r="W406" s="40" t="inlineStr">
        <is>
          <t>кг</t>
        </is>
      </c>
      <c r="X406" s="1032" t="n">
        <v>0</v>
      </c>
      <c r="Y406" s="1033">
        <f>IFERROR(IF(X406="",0,CEILING((X406/$H406),1)*$H406),"")</f>
        <v/>
      </c>
      <c r="Z406" s="41">
        <f>IFERROR(IF(Y406=0,"",ROUNDUP(Y406/H406,0)*0.00651),"")</f>
        <v/>
      </c>
      <c r="AA406" s="68" t="inlineStr"/>
      <c r="AB406" s="69" t="inlineStr"/>
      <c r="AC406" s="500" t="inlineStr">
        <is>
          <t>ЕАЭС N RU Д-RU.РА03.В.16893/26, ЕАЭС N RU Д-RU.РА04.В.80100/25</t>
        </is>
      </c>
      <c r="AG406" s="78" t="n"/>
      <c r="AJ406" s="84" t="inlineStr"/>
      <c r="AK406" s="84" t="n">
        <v>0</v>
      </c>
      <c r="BB406" s="501" t="inlineStr">
        <is>
          <t>КИ</t>
        </is>
      </c>
      <c r="BM406" s="78">
        <f>IFERROR(X406*I406/H406,"0")</f>
        <v/>
      </c>
      <c r="BN406" s="78">
        <f>IFERROR(Y406*I406/H406,"0")</f>
        <v/>
      </c>
      <c r="BO406" s="78">
        <f>IFERROR(1/J406*(X406/H406),"0")</f>
        <v/>
      </c>
      <c r="BP406" s="78">
        <f>IFERROR(1/J406*(Y406/H406),"0")</f>
        <v/>
      </c>
    </row>
    <row r="407">
      <c r="A407" s="704" t="n"/>
      <c r="B407" s="979" t="n"/>
      <c r="C407" s="979" t="n"/>
      <c r="D407" s="979" t="n"/>
      <c r="E407" s="979" t="n"/>
      <c r="F407" s="979" t="n"/>
      <c r="G407" s="979" t="n"/>
      <c r="H407" s="979" t="n"/>
      <c r="I407" s="979" t="n"/>
      <c r="J407" s="979" t="n"/>
      <c r="K407" s="979" t="n"/>
      <c r="L407" s="979" t="n"/>
      <c r="M407" s="979" t="n"/>
      <c r="N407" s="979" t="n"/>
      <c r="O407" s="1035" t="n"/>
      <c r="P407" s="1036" t="inlineStr">
        <is>
          <t>Итого</t>
        </is>
      </c>
      <c r="Q407" s="997" t="n"/>
      <c r="R407" s="997" t="n"/>
      <c r="S407" s="997" t="n"/>
      <c r="T407" s="997" t="n"/>
      <c r="U407" s="997" t="n"/>
      <c r="V407" s="998" t="n"/>
      <c r="W407" s="42" t="inlineStr">
        <is>
          <t>кор</t>
        </is>
      </c>
      <c r="X407" s="1037">
        <f>IFERROR(X404/H404,"0")+IFERROR(X405/H405,"0")+IFERROR(X406/H406,"0")</f>
        <v/>
      </c>
      <c r="Y407" s="1037">
        <f>IFERROR(Y404/H404,"0")+IFERROR(Y405/H405,"0")+IFERROR(Y406/H406,"0")</f>
        <v/>
      </c>
      <c r="Z407" s="1037">
        <f>IFERROR(IF(Z404="",0,Z404),"0")+IFERROR(IF(Z405="",0,Z405),"0")+IFERROR(IF(Z406="",0,Z406),"0")</f>
        <v/>
      </c>
      <c r="AA407" s="1038" t="n"/>
      <c r="AB407" s="1038" t="n"/>
      <c r="AC407" s="1038" t="n"/>
    </row>
    <row r="408">
      <c r="A408" s="979" t="n"/>
      <c r="B408" s="979" t="n"/>
      <c r="C408" s="979" t="n"/>
      <c r="D408" s="979" t="n"/>
      <c r="E408" s="979" t="n"/>
      <c r="F408" s="979" t="n"/>
      <c r="G408" s="979" t="n"/>
      <c r="H408" s="979" t="n"/>
      <c r="I408" s="979" t="n"/>
      <c r="J408" s="979" t="n"/>
      <c r="K408" s="979" t="n"/>
      <c r="L408" s="979" t="n"/>
      <c r="M408" s="979" t="n"/>
      <c r="N408" s="979" t="n"/>
      <c r="O408" s="1035" t="n"/>
      <c r="P408" s="1036" t="inlineStr">
        <is>
          <t>Итого</t>
        </is>
      </c>
      <c r="Q408" s="997" t="n"/>
      <c r="R408" s="997" t="n"/>
      <c r="S408" s="997" t="n"/>
      <c r="T408" s="997" t="n"/>
      <c r="U408" s="997" t="n"/>
      <c r="V408" s="998" t="n"/>
      <c r="W408" s="42" t="inlineStr">
        <is>
          <t>кг</t>
        </is>
      </c>
      <c r="X408" s="1037">
        <f>IFERROR(SUM(X404:X406),"0")</f>
        <v/>
      </c>
      <c r="Y408" s="1037">
        <f>IFERROR(SUM(Y404:Y406),"0")</f>
        <v/>
      </c>
      <c r="Z408" s="42" t="n"/>
      <c r="AA408" s="1038" t="n"/>
      <c r="AB408" s="1038" t="n"/>
      <c r="AC408" s="1038" t="n"/>
    </row>
    <row r="409" ht="27.75" customHeight="1">
      <c r="A409" s="692" t="inlineStr">
        <is>
          <t>Особый рецепт</t>
        </is>
      </c>
      <c r="B409" s="1027" t="n"/>
      <c r="C409" s="1027" t="n"/>
      <c r="D409" s="1027" t="n"/>
      <c r="E409" s="1027" t="n"/>
      <c r="F409" s="1027" t="n"/>
      <c r="G409" s="1027" t="n"/>
      <c r="H409" s="1027" t="n"/>
      <c r="I409" s="1027" t="n"/>
      <c r="J409" s="1027" t="n"/>
      <c r="K409" s="1027" t="n"/>
      <c r="L409" s="1027" t="n"/>
      <c r="M409" s="1027" t="n"/>
      <c r="N409" s="1027" t="n"/>
      <c r="O409" s="1027" t="n"/>
      <c r="P409" s="1027" t="n"/>
      <c r="Q409" s="1027" t="n"/>
      <c r="R409" s="1027" t="n"/>
      <c r="S409" s="1027" t="n"/>
      <c r="T409" s="1027" t="n"/>
      <c r="U409" s="1027" t="n"/>
      <c r="V409" s="1027" t="n"/>
      <c r="W409" s="1027" t="n"/>
      <c r="X409" s="1027" t="n"/>
      <c r="Y409" s="1027" t="n"/>
      <c r="Z409" s="1027" t="n"/>
      <c r="AA409" s="54" t="n"/>
      <c r="AB409" s="54" t="n"/>
      <c r="AC409" s="54" t="n"/>
    </row>
    <row r="410" ht="16.5" customHeight="1">
      <c r="A410" s="693" t="inlineStr">
        <is>
          <t>Особая</t>
        </is>
      </c>
      <c r="B410" s="979" t="n"/>
      <c r="C410" s="979" t="n"/>
      <c r="D410" s="979" t="n"/>
      <c r="E410" s="979" t="n"/>
      <c r="F410" s="979" t="n"/>
      <c r="G410" s="979" t="n"/>
      <c r="H410" s="979" t="n"/>
      <c r="I410" s="979" t="n"/>
      <c r="J410" s="979" t="n"/>
      <c r="K410" s="979" t="n"/>
      <c r="L410" s="979" t="n"/>
      <c r="M410" s="979" t="n"/>
      <c r="N410" s="979" t="n"/>
      <c r="O410" s="979" t="n"/>
      <c r="P410" s="979" t="n"/>
      <c r="Q410" s="979" t="n"/>
      <c r="R410" s="979" t="n"/>
      <c r="S410" s="979" t="n"/>
      <c r="T410" s="979" t="n"/>
      <c r="U410" s="979" t="n"/>
      <c r="V410" s="979" t="n"/>
      <c r="W410" s="979" t="n"/>
      <c r="X410" s="979" t="n"/>
      <c r="Y410" s="979" t="n"/>
      <c r="Z410" s="979" t="n"/>
      <c r="AA410" s="693" t="n"/>
      <c r="AB410" s="693" t="n"/>
      <c r="AC410" s="693" t="n"/>
    </row>
    <row r="411" ht="14.25" customHeight="1">
      <c r="A411" s="694" t="inlineStr">
        <is>
          <t>Вареные колбасы</t>
        </is>
      </c>
      <c r="B411" s="979" t="n"/>
      <c r="C411" s="979" t="n"/>
      <c r="D411" s="979" t="n"/>
      <c r="E411" s="979" t="n"/>
      <c r="F411" s="979" t="n"/>
      <c r="G411" s="979" t="n"/>
      <c r="H411" s="979" t="n"/>
      <c r="I411" s="979" t="n"/>
      <c r="J411" s="979" t="n"/>
      <c r="K411" s="979" t="n"/>
      <c r="L411" s="979" t="n"/>
      <c r="M411" s="979" t="n"/>
      <c r="N411" s="979" t="n"/>
      <c r="O411" s="979" t="n"/>
      <c r="P411" s="979" t="n"/>
      <c r="Q411" s="979" t="n"/>
      <c r="R411" s="979" t="n"/>
      <c r="S411" s="979" t="n"/>
      <c r="T411" s="979" t="n"/>
      <c r="U411" s="979" t="n"/>
      <c r="V411" s="979" t="n"/>
      <c r="W411" s="979" t="n"/>
      <c r="X411" s="979" t="n"/>
      <c r="Y411" s="979" t="n"/>
      <c r="Z411" s="979" t="n"/>
      <c r="AA411" s="694" t="n"/>
      <c r="AB411" s="694" t="n"/>
      <c r="AC411" s="694" t="n"/>
    </row>
    <row r="412" ht="27" customHeight="1">
      <c r="A412" s="63" t="inlineStr">
        <is>
          <t>SU004131</t>
        </is>
      </c>
      <c r="B412" s="63" t="inlineStr">
        <is>
          <t>P005388</t>
        </is>
      </c>
      <c r="C412" s="36" t="n">
        <v>4301012332</v>
      </c>
      <c r="D412" s="695" t="n">
        <v>4680115888401</v>
      </c>
      <c r="E412" s="989" t="n"/>
      <c r="F412" s="1028" t="n">
        <v>2.5</v>
      </c>
      <c r="G412" s="37" t="n">
        <v>6</v>
      </c>
      <c r="H412" s="1028" t="n">
        <v>15</v>
      </c>
      <c r="I412" s="1028" t="n">
        <v>15.47</v>
      </c>
      <c r="J412" s="37" t="n">
        <v>48</v>
      </c>
      <c r="K412" s="37" t="inlineStr">
        <is>
          <t>8</t>
        </is>
      </c>
      <c r="L412" s="37" t="inlineStr"/>
      <c r="M412" s="38" t="inlineStr">
        <is>
          <t>СК4</t>
        </is>
      </c>
      <c r="N412" s="38" t="n"/>
      <c r="O412" s="37" t="n">
        <v>60</v>
      </c>
      <c r="P412" s="1245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/>
      </c>
      <c r="Q412" s="1030" t="n"/>
      <c r="R412" s="1030" t="n"/>
      <c r="S412" s="1030" t="n"/>
      <c r="T412" s="1031" t="n"/>
      <c r="U412" s="39" t="inlineStr"/>
      <c r="V412" s="39" t="inlineStr"/>
      <c r="W412" s="40" t="inlineStr">
        <is>
          <t>кг</t>
        </is>
      </c>
      <c r="X412" s="1032" t="n">
        <v>0</v>
      </c>
      <c r="Y412" s="1033">
        <f>IFERROR(IF(X412="",0,CEILING((X412/$H412),1)*$H412),"")</f>
        <v/>
      </c>
      <c r="Z412" s="41">
        <f>IFERROR(IF(Y412=0,"",ROUNDUP(Y412/H412,0)*0.02175),"")</f>
        <v/>
      </c>
      <c r="AA412" s="68" t="inlineStr"/>
      <c r="AB412" s="69" t="inlineStr"/>
      <c r="AC412" s="502" t="inlineStr">
        <is>
          <t>ЕАЭС N RU Д-RU.РА02.В.09568/26</t>
        </is>
      </c>
      <c r="AG412" s="78" t="n"/>
      <c r="AJ412" s="84" t="inlineStr"/>
      <c r="AK412" s="84" t="n">
        <v>0</v>
      </c>
      <c r="BB412" s="503" t="inlineStr">
        <is>
          <t>КИ</t>
        </is>
      </c>
      <c r="BM412" s="78">
        <f>IFERROR(X412*I412/H412,"0")</f>
        <v/>
      </c>
      <c r="BN412" s="78">
        <f>IFERROR(Y412*I412/H412,"0")</f>
        <v/>
      </c>
      <c r="BO412" s="78">
        <f>IFERROR(1/J412*(X412/H412),"0")</f>
        <v/>
      </c>
      <c r="BP412" s="78">
        <f>IFERROR(1/J412*(Y412/H412),"0")</f>
        <v/>
      </c>
    </row>
    <row r="413" ht="37.5" customHeight="1">
      <c r="A413" s="63" t="inlineStr">
        <is>
          <t>SU003422</t>
        </is>
      </c>
      <c r="B413" s="63" t="inlineStr">
        <is>
          <t>P004256</t>
        </is>
      </c>
      <c r="C413" s="36" t="n">
        <v>4301011869</v>
      </c>
      <c r="D413" s="695" t="n">
        <v>4680115884847</v>
      </c>
      <c r="E413" s="989" t="n"/>
      <c r="F413" s="1028" t="n">
        <v>2.5</v>
      </c>
      <c r="G413" s="37" t="n">
        <v>6</v>
      </c>
      <c r="H413" s="1028" t="n">
        <v>15</v>
      </c>
      <c r="I413" s="1028" t="n">
        <v>15.47</v>
      </c>
      <c r="J413" s="37" t="n">
        <v>48</v>
      </c>
      <c r="K413" s="37" t="inlineStr">
        <is>
          <t>8</t>
        </is>
      </c>
      <c r="L413" s="37" t="inlineStr"/>
      <c r="M413" s="38" t="inlineStr">
        <is>
          <t>СК2</t>
        </is>
      </c>
      <c r="N413" s="38" t="n"/>
      <c r="O413" s="37" t="n">
        <v>60</v>
      </c>
      <c r="P413" s="1246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413" s="1030" t="n"/>
      <c r="R413" s="1030" t="n"/>
      <c r="S413" s="1030" t="n"/>
      <c r="T413" s="1031" t="n"/>
      <c r="U413" s="39" t="inlineStr"/>
      <c r="V413" s="39" t="inlineStr"/>
      <c r="W413" s="40" t="inlineStr">
        <is>
          <t>кг</t>
        </is>
      </c>
      <c r="X413" s="1032" t="n">
        <v>2000</v>
      </c>
      <c r="Y413" s="1033">
        <f>IFERROR(IF(X413="",0,CEILING((X413/$H413),1)*$H413),"")</f>
        <v/>
      </c>
      <c r="Z413" s="41">
        <f>IFERROR(IF(Y413=0,"",ROUNDUP(Y413/H413,0)*0.02175),"")</f>
        <v/>
      </c>
      <c r="AA413" s="68" t="inlineStr"/>
      <c r="AB413" s="69" t="inlineStr"/>
      <c r="AC413" s="504" t="inlineStr">
        <is>
          <t>ЕАЭС N RU Д-RU.РА08.В.47937/25, ЕАЭС N RU Д-RU.РА08.В.48219/25, ЕАЭС N RU Д-RU.РА08.В.48410/25</t>
        </is>
      </c>
      <c r="AG413" s="78" t="n"/>
      <c r="AJ413" s="84" t="inlineStr"/>
      <c r="AK413" s="84" t="n">
        <v>0</v>
      </c>
      <c r="BB413" s="505" t="inlineStr">
        <is>
          <t>КИ</t>
        </is>
      </c>
      <c r="BM413" s="78">
        <f>IFERROR(X413*I413/H413,"0")</f>
        <v/>
      </c>
      <c r="BN413" s="78">
        <f>IFERROR(Y413*I413/H413,"0")</f>
        <v/>
      </c>
      <c r="BO413" s="78">
        <f>IFERROR(1/J413*(X413/H413),"0")</f>
        <v/>
      </c>
      <c r="BP413" s="78">
        <f>IFERROR(1/J413*(Y413/H413),"0")</f>
        <v/>
      </c>
    </row>
    <row r="414" ht="27" customHeight="1">
      <c r="A414" s="63" t="inlineStr">
        <is>
          <t>SU003423</t>
        </is>
      </c>
      <c r="B414" s="63" t="inlineStr">
        <is>
          <t>P004257</t>
        </is>
      </c>
      <c r="C414" s="36" t="n">
        <v>4301012083</v>
      </c>
      <c r="D414" s="695" t="n">
        <v>4680115884854</v>
      </c>
      <c r="E414" s="989" t="n"/>
      <c r="F414" s="1028" t="n">
        <v>2.5</v>
      </c>
      <c r="G414" s="37" t="n">
        <v>6</v>
      </c>
      <c r="H414" s="1028" t="n">
        <v>15</v>
      </c>
      <c r="I414" s="1028" t="n">
        <v>15.47</v>
      </c>
      <c r="J414" s="37" t="n">
        <v>48</v>
      </c>
      <c r="K414" s="37" t="inlineStr">
        <is>
          <t>8</t>
        </is>
      </c>
      <c r="L414" s="37" t="inlineStr"/>
      <c r="M414" s="38" t="inlineStr">
        <is>
          <t>СК1</t>
        </is>
      </c>
      <c r="N414" s="38" t="n"/>
      <c r="O414" s="37" t="n">
        <v>60</v>
      </c>
      <c r="P414" s="1247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414" s="1030" t="n"/>
      <c r="R414" s="1030" t="n"/>
      <c r="S414" s="1030" t="n"/>
      <c r="T414" s="1031" t="n"/>
      <c r="U414" s="39" t="inlineStr"/>
      <c r="V414" s="39" t="inlineStr"/>
      <c r="W414" s="40" t="inlineStr">
        <is>
          <t>кг</t>
        </is>
      </c>
      <c r="X414" s="1032" t="n">
        <v>0</v>
      </c>
      <c r="Y414" s="1033">
        <f>IFERROR(IF(X414="",0,CEILING((X414/$H414),1)*$H414),"")</f>
        <v/>
      </c>
      <c r="Z414" s="41">
        <f>IFERROR(IF(Y414=0,"",ROUNDUP(Y414/H414,0)*0.02175),"")</f>
        <v/>
      </c>
      <c r="AA414" s="68" t="inlineStr"/>
      <c r="AB414" s="69" t="inlineStr"/>
      <c r="AC414" s="506" t="inlineStr">
        <is>
          <t>ЕАЭС N RU Д-RU.РА08.В.48516/25</t>
        </is>
      </c>
      <c r="AG414" s="78" t="n"/>
      <c r="AJ414" s="84" t="inlineStr"/>
      <c r="AK414" s="84" t="n">
        <v>0</v>
      </c>
      <c r="BB414" s="507" t="inlineStr">
        <is>
          <t>КИ</t>
        </is>
      </c>
      <c r="BM414" s="78">
        <f>IFERROR(X414*I414/H414,"0")</f>
        <v/>
      </c>
      <c r="BN414" s="78">
        <f>IFERROR(Y414*I414/H414,"0")</f>
        <v/>
      </c>
      <c r="BO414" s="78">
        <f>IFERROR(1/J414*(X414/H414),"0")</f>
        <v/>
      </c>
      <c r="BP414" s="78">
        <f>IFERROR(1/J414*(Y414/H414),"0")</f>
        <v/>
      </c>
    </row>
    <row r="415" ht="27" customHeight="1">
      <c r="A415" s="63" t="inlineStr">
        <is>
          <t>SU003420</t>
        </is>
      </c>
      <c r="B415" s="63" t="inlineStr">
        <is>
          <t>P004252</t>
        </is>
      </c>
      <c r="C415" s="36" t="n">
        <v>4301011867</v>
      </c>
      <c r="D415" s="695" t="n">
        <v>4680115884830</v>
      </c>
      <c r="E415" s="989" t="n"/>
      <c r="F415" s="1028" t="n">
        <v>2.5</v>
      </c>
      <c r="G415" s="37" t="n">
        <v>6</v>
      </c>
      <c r="H415" s="1028" t="n">
        <v>15</v>
      </c>
      <c r="I415" s="1028" t="n">
        <v>15.47</v>
      </c>
      <c r="J415" s="37" t="n">
        <v>48</v>
      </c>
      <c r="K415" s="37" t="inlineStr">
        <is>
          <t>8</t>
        </is>
      </c>
      <c r="L415" s="37" t="inlineStr"/>
      <c r="M415" s="38" t="inlineStr">
        <is>
          <t>СК2</t>
        </is>
      </c>
      <c r="N415" s="38" t="n"/>
      <c r="O415" s="37" t="n">
        <v>60</v>
      </c>
      <c r="P415" s="1248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415" s="1030" t="n"/>
      <c r="R415" s="1030" t="n"/>
      <c r="S415" s="1030" t="n"/>
      <c r="T415" s="1031" t="n"/>
      <c r="U415" s="39" t="inlineStr"/>
      <c r="V415" s="39" t="inlineStr"/>
      <c r="W415" s="40" t="inlineStr">
        <is>
          <t>кг</t>
        </is>
      </c>
      <c r="X415" s="1032" t="n">
        <v>1600</v>
      </c>
      <c r="Y415" s="1033">
        <f>IFERROR(IF(X415="",0,CEILING((X415/$H415),1)*$H415),"")</f>
        <v/>
      </c>
      <c r="Z415" s="41">
        <f>IFERROR(IF(Y415=0,"",ROUNDUP(Y415/H415,0)*0.02175),"")</f>
        <v/>
      </c>
      <c r="AA415" s="68" t="inlineStr"/>
      <c r="AB415" s="69" t="inlineStr"/>
      <c r="AC415" s="508" t="inlineStr">
        <is>
          <t>ЕАЭС N RU Д-RU.РА09.В.21652/25, ЕАЭС N RU Д-RU.РА11.В.72187/25</t>
        </is>
      </c>
      <c r="AG415" s="78" t="n"/>
      <c r="AJ415" s="84" t="inlineStr"/>
      <c r="AK415" s="84" t="n">
        <v>0</v>
      </c>
      <c r="BB415" s="509" t="inlineStr">
        <is>
          <t>КИ</t>
        </is>
      </c>
      <c r="BM415" s="78">
        <f>IFERROR(X415*I415/H415,"0")</f>
        <v/>
      </c>
      <c r="BN415" s="78">
        <f>IFERROR(Y415*I415/H415,"0")</f>
        <v/>
      </c>
      <c r="BO415" s="78">
        <f>IFERROR(1/J415*(X415/H415),"0")</f>
        <v/>
      </c>
      <c r="BP415" s="78">
        <f>IFERROR(1/J415*(Y415/H415),"0")</f>
        <v/>
      </c>
    </row>
    <row r="416" ht="27" customHeight="1">
      <c r="A416" s="63" t="inlineStr">
        <is>
          <t>SU004238</t>
        </is>
      </c>
      <c r="B416" s="63" t="inlineStr">
        <is>
          <t>P005467</t>
        </is>
      </c>
      <c r="C416" s="36" t="n">
        <v>4301012356</v>
      </c>
      <c r="D416" s="695" t="n">
        <v>4680115889231</v>
      </c>
      <c r="E416" s="989" t="n"/>
      <c r="F416" s="1028" t="n">
        <v>2.5</v>
      </c>
      <c r="G416" s="37" t="n">
        <v>6</v>
      </c>
      <c r="H416" s="1028" t="n">
        <v>15</v>
      </c>
      <c r="I416" s="1028" t="n">
        <v>15.47</v>
      </c>
      <c r="J416" s="37" t="n">
        <v>48</v>
      </c>
      <c r="K416" s="37" t="inlineStr">
        <is>
          <t>8</t>
        </is>
      </c>
      <c r="L416" s="37" t="inlineStr"/>
      <c r="M416" s="38" t="inlineStr">
        <is>
          <t>СК4</t>
        </is>
      </c>
      <c r="N416" s="38" t="n"/>
      <c r="O416" s="37" t="n">
        <v>60</v>
      </c>
      <c r="P416" s="1249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/>
      </c>
      <c r="Q416" s="1030" t="n"/>
      <c r="R416" s="1030" t="n"/>
      <c r="S416" s="1030" t="n"/>
      <c r="T416" s="1031" t="n"/>
      <c r="U416" s="39" t="inlineStr"/>
      <c r="V416" s="39" t="inlineStr"/>
      <c r="W416" s="40" t="inlineStr">
        <is>
          <t>кг</t>
        </is>
      </c>
      <c r="X416" s="1032" t="n">
        <v>400</v>
      </c>
      <c r="Y416" s="1033">
        <f>IFERROR(IF(X416="",0,CEILING((X416/$H416),1)*$H416),"")</f>
        <v/>
      </c>
      <c r="Z416" s="41">
        <f>IFERROR(IF(Y416=0,"",ROUNDUP(Y416/H416,0)*0.02175),"")</f>
        <v/>
      </c>
      <c r="AA416" s="68" t="inlineStr"/>
      <c r="AB416" s="69" t="inlineStr"/>
      <c r="AC416" s="510" t="inlineStr">
        <is>
          <t>ЕАЭС N RU Д-RU.РА05.В.11079/26</t>
        </is>
      </c>
      <c r="AG416" s="78" t="n"/>
      <c r="AJ416" s="84" t="inlineStr"/>
      <c r="AK416" s="84" t="n">
        <v>0</v>
      </c>
      <c r="BB416" s="511" t="inlineStr">
        <is>
          <t>КИ</t>
        </is>
      </c>
      <c r="BM416" s="78">
        <f>IFERROR(X416*I416/H416,"0")</f>
        <v/>
      </c>
      <c r="BN416" s="78">
        <f>IFERROR(Y416*I416/H416,"0")</f>
        <v/>
      </c>
      <c r="BO416" s="78">
        <f>IFERROR(1/J416*(X416/H416),"0")</f>
        <v/>
      </c>
      <c r="BP416" s="78">
        <f>IFERROR(1/J416*(Y416/H416),"0")</f>
        <v/>
      </c>
    </row>
    <row r="417" ht="27" customHeight="1">
      <c r="A417" s="63" t="inlineStr">
        <is>
          <t>SU002787</t>
        </is>
      </c>
      <c r="B417" s="63" t="inlineStr">
        <is>
          <t>P003189</t>
        </is>
      </c>
      <c r="C417" s="36" t="n">
        <v>4301011433</v>
      </c>
      <c r="D417" s="695" t="n">
        <v>4680115882638</v>
      </c>
      <c r="E417" s="989" t="n"/>
      <c r="F417" s="1028" t="n">
        <v>0.4</v>
      </c>
      <c r="G417" s="37" t="n">
        <v>10</v>
      </c>
      <c r="H417" s="1028" t="n">
        <v>4</v>
      </c>
      <c r="I417" s="1028" t="n">
        <v>4.19</v>
      </c>
      <c r="J417" s="37" t="n">
        <v>132</v>
      </c>
      <c r="K417" s="37" t="inlineStr">
        <is>
          <t>12</t>
        </is>
      </c>
      <c r="L417" s="37" t="inlineStr"/>
      <c r="M417" s="38" t="inlineStr">
        <is>
          <t>СК1</t>
        </is>
      </c>
      <c r="N417" s="38" t="n"/>
      <c r="O417" s="37" t="n">
        <v>90</v>
      </c>
      <c r="P417" s="1250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417" s="1030" t="n"/>
      <c r="R417" s="1030" t="n"/>
      <c r="S417" s="1030" t="n"/>
      <c r="T417" s="1031" t="n"/>
      <c r="U417" s="39" t="inlineStr"/>
      <c r="V417" s="39" t="inlineStr"/>
      <c r="W417" s="40" t="inlineStr">
        <is>
          <t>кг</t>
        </is>
      </c>
      <c r="X417" s="1032" t="n">
        <v>0</v>
      </c>
      <c r="Y417" s="1033">
        <f>IFERROR(IF(X417="",0,CEILING((X417/$H417),1)*$H417),"")</f>
        <v/>
      </c>
      <c r="Z417" s="41">
        <f>IFERROR(IF(Y417=0,"",ROUNDUP(Y417/H417,0)*0.00902),"")</f>
        <v/>
      </c>
      <c r="AA417" s="68" t="inlineStr"/>
      <c r="AB417" s="69" t="inlineStr"/>
      <c r="AC417" s="512" t="inlineStr">
        <is>
          <t>ЕАЭС N RU Д-RU.РА05.В.17033/23</t>
        </is>
      </c>
      <c r="AG417" s="78" t="n"/>
      <c r="AJ417" s="84" t="inlineStr"/>
      <c r="AK417" s="84" t="n">
        <v>0</v>
      </c>
      <c r="BB417" s="513" t="inlineStr">
        <is>
          <t>КИ</t>
        </is>
      </c>
      <c r="BM417" s="78">
        <f>IFERROR(X417*I417/H417,"0")</f>
        <v/>
      </c>
      <c r="BN417" s="78">
        <f>IFERROR(Y417*I417/H417,"0")</f>
        <v/>
      </c>
      <c r="BO417" s="78">
        <f>IFERROR(1/J417*(X417/H417),"0")</f>
        <v/>
      </c>
      <c r="BP417" s="78">
        <f>IFERROR(1/J417*(Y417/H417),"0")</f>
        <v/>
      </c>
    </row>
    <row r="418" ht="27" customHeight="1">
      <c r="A418" s="63" t="inlineStr">
        <is>
          <t>SU003432</t>
        </is>
      </c>
      <c r="B418" s="63" t="inlineStr">
        <is>
          <t>P004347</t>
        </is>
      </c>
      <c r="C418" s="36" t="n">
        <v>4301011952</v>
      </c>
      <c r="D418" s="695" t="n">
        <v>4680115884922</v>
      </c>
      <c r="E418" s="989" t="n"/>
      <c r="F418" s="1028" t="n">
        <v>0.5</v>
      </c>
      <c r="G418" s="37" t="n">
        <v>10</v>
      </c>
      <c r="H418" s="1028" t="n">
        <v>5</v>
      </c>
      <c r="I418" s="1028" t="n">
        <v>5.19</v>
      </c>
      <c r="J418" s="37" t="n">
        <v>132</v>
      </c>
      <c r="K418" s="37" t="inlineStr">
        <is>
          <t>12</t>
        </is>
      </c>
      <c r="L418" s="37" t="inlineStr"/>
      <c r="M418" s="38" t="inlineStr">
        <is>
          <t>СК2</t>
        </is>
      </c>
      <c r="N418" s="38" t="n"/>
      <c r="O418" s="37" t="n">
        <v>60</v>
      </c>
      <c r="P418" s="1251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418" s="1030" t="n"/>
      <c r="R418" s="1030" t="n"/>
      <c r="S418" s="1030" t="n"/>
      <c r="T418" s="1031" t="n"/>
      <c r="U418" s="39" t="inlineStr"/>
      <c r="V418" s="39" t="inlineStr"/>
      <c r="W418" s="40" t="inlineStr">
        <is>
          <t>кг</t>
        </is>
      </c>
      <c r="X418" s="1032" t="n">
        <v>0</v>
      </c>
      <c r="Y418" s="1033">
        <f>IFERROR(IF(X418="",0,CEILING((X418/$H418),1)*$H418),"")</f>
        <v/>
      </c>
      <c r="Z418" s="41">
        <f>IFERROR(IF(Y418=0,"",ROUNDUP(Y418/H418,0)*0.00902),"")</f>
        <v/>
      </c>
      <c r="AA418" s="68" t="inlineStr"/>
      <c r="AB418" s="69" t="inlineStr"/>
      <c r="AC418" s="514" t="inlineStr">
        <is>
          <t>ЕАЭС N RU Д-RU.РА02.В.61635/24, ЕАЭС N RU Д-RU.РА08.В.48516/25</t>
        </is>
      </c>
      <c r="AG418" s="78" t="n"/>
      <c r="AJ418" s="84" t="inlineStr"/>
      <c r="AK418" s="84" t="n">
        <v>0</v>
      </c>
      <c r="BB418" s="515" t="inlineStr">
        <is>
          <t>КИ</t>
        </is>
      </c>
      <c r="BM418" s="78">
        <f>IFERROR(X418*I418/H418,"0")</f>
        <v/>
      </c>
      <c r="BN418" s="78">
        <f>IFERROR(Y418*I418/H418,"0")</f>
        <v/>
      </c>
      <c r="BO418" s="78">
        <f>IFERROR(1/J418*(X418/H418),"0")</f>
        <v/>
      </c>
      <c r="BP418" s="78">
        <f>IFERROR(1/J418*(Y418/H418),"0")</f>
        <v/>
      </c>
    </row>
    <row r="419" ht="37.5" customHeight="1">
      <c r="A419" s="63" t="inlineStr">
        <is>
          <t>SU003421</t>
        </is>
      </c>
      <c r="B419" s="63" t="inlineStr">
        <is>
          <t>P004253</t>
        </is>
      </c>
      <c r="C419" s="36" t="n">
        <v>4301011868</v>
      </c>
      <c r="D419" s="695" t="n">
        <v>4680115884861</v>
      </c>
      <c r="E419" s="989" t="n"/>
      <c r="F419" s="1028" t="n">
        <v>0.5</v>
      </c>
      <c r="G419" s="37" t="n">
        <v>10</v>
      </c>
      <c r="H419" s="1028" t="n">
        <v>5</v>
      </c>
      <c r="I419" s="1028" t="n">
        <v>5.19</v>
      </c>
      <c r="J419" s="37" t="n">
        <v>132</v>
      </c>
      <c r="K419" s="37" t="inlineStr">
        <is>
          <t>12</t>
        </is>
      </c>
      <c r="L419" s="37" t="inlineStr"/>
      <c r="M419" s="38" t="inlineStr">
        <is>
          <t>СК2</t>
        </is>
      </c>
      <c r="N419" s="38" t="n"/>
      <c r="O419" s="37" t="n">
        <v>60</v>
      </c>
      <c r="P419" s="1252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419" s="1030" t="n"/>
      <c r="R419" s="1030" t="n"/>
      <c r="S419" s="1030" t="n"/>
      <c r="T419" s="1031" t="n"/>
      <c r="U419" s="39" t="inlineStr"/>
      <c r="V419" s="39" t="inlineStr"/>
      <c r="W419" s="40" t="inlineStr">
        <is>
          <t>кг</t>
        </is>
      </c>
      <c r="X419" s="1032" t="n">
        <v>0</v>
      </c>
      <c r="Y419" s="1033">
        <f>IFERROR(IF(X419="",0,CEILING((X419/$H419),1)*$H419),"")</f>
        <v/>
      </c>
      <c r="Z419" s="41">
        <f>IFERROR(IF(Y419=0,"",ROUNDUP(Y419/H419,0)*0.00902),"")</f>
        <v/>
      </c>
      <c r="AA419" s="68" t="inlineStr"/>
      <c r="AB419" s="69" t="inlineStr"/>
      <c r="AC419" s="516" t="inlineStr">
        <is>
          <t>ЕАЭС N RU Д-RU.РА03.В.08506/26, ЕАЭС N RU Д-RU.РА09.В.21652/25, ЕАЭС N RU Д-RU.РА11.В.72187/25</t>
        </is>
      </c>
      <c r="AG419" s="78" t="n"/>
      <c r="AJ419" s="84" t="inlineStr"/>
      <c r="AK419" s="84" t="n">
        <v>0</v>
      </c>
      <c r="BB419" s="517" t="inlineStr">
        <is>
          <t>КИ</t>
        </is>
      </c>
      <c r="BM419" s="78">
        <f>IFERROR(X419*I419/H419,"0")</f>
        <v/>
      </c>
      <c r="BN419" s="78">
        <f>IFERROR(Y419*I419/H419,"0")</f>
        <v/>
      </c>
      <c r="BO419" s="78">
        <f>IFERROR(1/J419*(X419/H419),"0")</f>
        <v/>
      </c>
      <c r="BP419" s="78">
        <f>IFERROR(1/J419*(Y419/H419),"0")</f>
        <v/>
      </c>
    </row>
    <row r="420">
      <c r="A420" s="704" t="n"/>
      <c r="B420" s="979" t="n"/>
      <c r="C420" s="979" t="n"/>
      <c r="D420" s="979" t="n"/>
      <c r="E420" s="979" t="n"/>
      <c r="F420" s="979" t="n"/>
      <c r="G420" s="979" t="n"/>
      <c r="H420" s="979" t="n"/>
      <c r="I420" s="979" t="n"/>
      <c r="J420" s="979" t="n"/>
      <c r="K420" s="979" t="n"/>
      <c r="L420" s="979" t="n"/>
      <c r="M420" s="979" t="n"/>
      <c r="N420" s="979" t="n"/>
      <c r="O420" s="1035" t="n"/>
      <c r="P420" s="1036" t="inlineStr">
        <is>
          <t>Итого</t>
        </is>
      </c>
      <c r="Q420" s="997" t="n"/>
      <c r="R420" s="997" t="n"/>
      <c r="S420" s="997" t="n"/>
      <c r="T420" s="997" t="n"/>
      <c r="U420" s="997" t="n"/>
      <c r="V420" s="998" t="n"/>
      <c r="W420" s="42" t="inlineStr">
        <is>
          <t>кор</t>
        </is>
      </c>
      <c r="X420" s="1037">
        <f>IFERROR(X412/H412,"0")+IFERROR(X413/H413,"0")+IFERROR(X414/H414,"0")+IFERROR(X415/H415,"0")+IFERROR(X416/H416,"0")+IFERROR(X417/H417,"0")+IFERROR(X418/H418,"0")+IFERROR(X419/H419,"0")</f>
        <v/>
      </c>
      <c r="Y420" s="1037">
        <f>IFERROR(Y412/H412,"0")+IFERROR(Y413/H413,"0")+IFERROR(Y414/H414,"0")+IFERROR(Y415/H415,"0")+IFERROR(Y416/H416,"0")+IFERROR(Y417/H417,"0")+IFERROR(Y418/H418,"0")+IFERROR(Y419/H419,"0")</f>
        <v/>
      </c>
      <c r="Z420" s="103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/>
      </c>
      <c r="AA420" s="1038" t="n"/>
      <c r="AB420" s="1038" t="n"/>
      <c r="AC420" s="1038" t="n"/>
    </row>
    <row r="421">
      <c r="A421" s="979" t="n"/>
      <c r="B421" s="979" t="n"/>
      <c r="C421" s="979" t="n"/>
      <c r="D421" s="979" t="n"/>
      <c r="E421" s="979" t="n"/>
      <c r="F421" s="979" t="n"/>
      <c r="G421" s="979" t="n"/>
      <c r="H421" s="979" t="n"/>
      <c r="I421" s="979" t="n"/>
      <c r="J421" s="979" t="n"/>
      <c r="K421" s="979" t="n"/>
      <c r="L421" s="979" t="n"/>
      <c r="M421" s="979" t="n"/>
      <c r="N421" s="979" t="n"/>
      <c r="O421" s="1035" t="n"/>
      <c r="P421" s="1036" t="inlineStr">
        <is>
          <t>Итого</t>
        </is>
      </c>
      <c r="Q421" s="997" t="n"/>
      <c r="R421" s="997" t="n"/>
      <c r="S421" s="997" t="n"/>
      <c r="T421" s="997" t="n"/>
      <c r="U421" s="997" t="n"/>
      <c r="V421" s="998" t="n"/>
      <c r="W421" s="42" t="inlineStr">
        <is>
          <t>кг</t>
        </is>
      </c>
      <c r="X421" s="1037">
        <f>IFERROR(SUM(X412:X419),"0")</f>
        <v/>
      </c>
      <c r="Y421" s="1037">
        <f>IFERROR(SUM(Y412:Y419),"0")</f>
        <v/>
      </c>
      <c r="Z421" s="42" t="n"/>
      <c r="AA421" s="1038" t="n"/>
      <c r="AB421" s="1038" t="n"/>
      <c r="AC421" s="1038" t="n"/>
    </row>
    <row r="422" ht="14.25" customHeight="1">
      <c r="A422" s="694" t="inlineStr">
        <is>
          <t>Ветчины</t>
        </is>
      </c>
      <c r="B422" s="979" t="n"/>
      <c r="C422" s="979" t="n"/>
      <c r="D422" s="979" t="n"/>
      <c r="E422" s="979" t="n"/>
      <c r="F422" s="979" t="n"/>
      <c r="G422" s="979" t="n"/>
      <c r="H422" s="979" t="n"/>
      <c r="I422" s="979" t="n"/>
      <c r="J422" s="979" t="n"/>
      <c r="K422" s="979" t="n"/>
      <c r="L422" s="979" t="n"/>
      <c r="M422" s="979" t="n"/>
      <c r="N422" s="979" t="n"/>
      <c r="O422" s="979" t="n"/>
      <c r="P422" s="979" t="n"/>
      <c r="Q422" s="979" t="n"/>
      <c r="R422" s="979" t="n"/>
      <c r="S422" s="979" t="n"/>
      <c r="T422" s="979" t="n"/>
      <c r="U422" s="979" t="n"/>
      <c r="V422" s="979" t="n"/>
      <c r="W422" s="979" t="n"/>
      <c r="X422" s="979" t="n"/>
      <c r="Y422" s="979" t="n"/>
      <c r="Z422" s="979" t="n"/>
      <c r="AA422" s="694" t="n"/>
      <c r="AB422" s="694" t="n"/>
      <c r="AC422" s="694" t="n"/>
    </row>
    <row r="423" ht="27" customHeight="1">
      <c r="A423" s="63" t="inlineStr">
        <is>
          <t>SU000126</t>
        </is>
      </c>
      <c r="B423" s="63" t="inlineStr">
        <is>
          <t>P002555</t>
        </is>
      </c>
      <c r="C423" s="36" t="n">
        <v>4301020178</v>
      </c>
      <c r="D423" s="695" t="n">
        <v>4607091383980</v>
      </c>
      <c r="E423" s="989" t="n"/>
      <c r="F423" s="1028" t="n">
        <v>2.5</v>
      </c>
      <c r="G423" s="37" t="n">
        <v>6</v>
      </c>
      <c r="H423" s="1028" t="n">
        <v>15</v>
      </c>
      <c r="I423" s="1028" t="n">
        <v>15.47</v>
      </c>
      <c r="J423" s="37" t="n">
        <v>48</v>
      </c>
      <c r="K423" s="37" t="inlineStr">
        <is>
          <t>8</t>
        </is>
      </c>
      <c r="L423" s="37" t="inlineStr"/>
      <c r="M423" s="38" t="inlineStr">
        <is>
          <t>СК1</t>
        </is>
      </c>
      <c r="N423" s="38" t="n"/>
      <c r="O423" s="37" t="n">
        <v>50</v>
      </c>
      <c r="P423" s="1253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423" s="1030" t="n"/>
      <c r="R423" s="1030" t="n"/>
      <c r="S423" s="1030" t="n"/>
      <c r="T423" s="1031" t="n"/>
      <c r="U423" s="39" t="inlineStr"/>
      <c r="V423" s="39" t="inlineStr"/>
      <c r="W423" s="40" t="inlineStr">
        <is>
          <t>кг</t>
        </is>
      </c>
      <c r="X423" s="1032" t="n">
        <v>0</v>
      </c>
      <c r="Y423" s="1033">
        <f>IFERROR(IF(X423="",0,CEILING((X423/$H423),1)*$H423),"")</f>
        <v/>
      </c>
      <c r="Z423" s="41">
        <f>IFERROR(IF(Y423=0,"",ROUNDUP(Y423/H423,0)*0.02175),"")</f>
        <v/>
      </c>
      <c r="AA423" s="68" t="inlineStr"/>
      <c r="AB423" s="69" t="inlineStr"/>
      <c r="AC423" s="518" t="inlineStr">
        <is>
          <t>ЕАЭС N RU Д-RU.РА03.В.02703/25</t>
        </is>
      </c>
      <c r="AG423" s="78" t="n"/>
      <c r="AJ423" s="84" t="inlineStr"/>
      <c r="AK423" s="84" t="n">
        <v>0</v>
      </c>
      <c r="BB423" s="519" t="inlineStr">
        <is>
          <t>КИ</t>
        </is>
      </c>
      <c r="BM423" s="78">
        <f>IFERROR(X423*I423/H423,"0")</f>
        <v/>
      </c>
      <c r="BN423" s="78">
        <f>IFERROR(Y423*I423/H423,"0")</f>
        <v/>
      </c>
      <c r="BO423" s="78">
        <f>IFERROR(1/J423*(X423/H423),"0")</f>
        <v/>
      </c>
      <c r="BP423" s="78">
        <f>IFERROR(1/J423*(Y423/H423),"0")</f>
        <v/>
      </c>
    </row>
    <row r="424" ht="27" customHeight="1">
      <c r="A424" s="63" t="inlineStr">
        <is>
          <t>SU003686</t>
        </is>
      </c>
      <c r="B424" s="63" t="inlineStr">
        <is>
          <t>P004675</t>
        </is>
      </c>
      <c r="C424" s="36" t="n">
        <v>4301020355</v>
      </c>
      <c r="D424" s="695" t="n">
        <v>4680115888425</v>
      </c>
      <c r="E424" s="989" t="n"/>
      <c r="F424" s="1028" t="n">
        <v>2.5</v>
      </c>
      <c r="G424" s="37" t="n">
        <v>6</v>
      </c>
      <c r="H424" s="1028" t="n">
        <v>15</v>
      </c>
      <c r="I424" s="1028" t="n">
        <v>15.47</v>
      </c>
      <c r="J424" s="37" t="n">
        <v>48</v>
      </c>
      <c r="K424" s="37" t="inlineStr">
        <is>
          <t>8</t>
        </is>
      </c>
      <c r="L424" s="37" t="inlineStr"/>
      <c r="M424" s="38" t="inlineStr">
        <is>
          <t>СК1</t>
        </is>
      </c>
      <c r="N424" s="38" t="n"/>
      <c r="O424" s="37" t="n">
        <v>50</v>
      </c>
      <c r="P424" s="1254">
        <f>HYPERLINK("https://abi.ru/products/Охлажденные/Особый рецепт/Особая/Ветчины/P004675/","Ветчины «Нежная с индейкой» Весовой п/а ТМ «Особый рецепт»")</f>
        <v/>
      </c>
      <c r="Q424" s="1030" t="n"/>
      <c r="R424" s="1030" t="n"/>
      <c r="S424" s="1030" t="n"/>
      <c r="T424" s="1031" t="n"/>
      <c r="U424" s="39" t="inlineStr"/>
      <c r="V424" s="39" t="inlineStr"/>
      <c r="W424" s="40" t="inlineStr">
        <is>
          <t>кг</t>
        </is>
      </c>
      <c r="X424" s="1032" t="n">
        <v>0</v>
      </c>
      <c r="Y424" s="1033">
        <f>IFERROR(IF(X424="",0,CEILING((X424/$H424),1)*$H424),"")</f>
        <v/>
      </c>
      <c r="Z424" s="41">
        <f>IFERROR(IF(Y424=0,"",ROUNDUP(Y424/H424,0)*0.02175),"")</f>
        <v/>
      </c>
      <c r="AA424" s="68" t="inlineStr"/>
      <c r="AB424" s="69" t="inlineStr"/>
      <c r="AC424" s="520" t="inlineStr">
        <is>
          <t>ЕАЭС N RU Д-RU.РА02.В.10046/26</t>
        </is>
      </c>
      <c r="AG424" s="78" t="n"/>
      <c r="AJ424" s="84" t="inlineStr"/>
      <c r="AK424" s="84" t="n">
        <v>0</v>
      </c>
      <c r="BB424" s="521" t="inlineStr">
        <is>
          <t>КИ</t>
        </is>
      </c>
      <c r="BM424" s="78">
        <f>IFERROR(X424*I424/H424,"0")</f>
        <v/>
      </c>
      <c r="BN424" s="78">
        <f>IFERROR(Y424*I424/H424,"0")</f>
        <v/>
      </c>
      <c r="BO424" s="78">
        <f>IFERROR(1/J424*(X424/H424),"0")</f>
        <v/>
      </c>
      <c r="BP424" s="78">
        <f>IFERROR(1/J424*(Y424/H424),"0")</f>
        <v/>
      </c>
    </row>
    <row r="425" ht="27" customHeight="1">
      <c r="A425" s="63" t="inlineStr">
        <is>
          <t>SU002027</t>
        </is>
      </c>
      <c r="B425" s="63" t="inlineStr">
        <is>
          <t>P002556</t>
        </is>
      </c>
      <c r="C425" s="36" t="n">
        <v>4301020179</v>
      </c>
      <c r="D425" s="695" t="n">
        <v>4607091384178</v>
      </c>
      <c r="E425" s="989" t="n"/>
      <c r="F425" s="1028" t="n">
        <v>0.4</v>
      </c>
      <c r="G425" s="37" t="n">
        <v>10</v>
      </c>
      <c r="H425" s="1028" t="n">
        <v>4</v>
      </c>
      <c r="I425" s="1028" t="n">
        <v>4.19</v>
      </c>
      <c r="J425" s="37" t="n">
        <v>132</v>
      </c>
      <c r="K425" s="37" t="inlineStr">
        <is>
          <t>12</t>
        </is>
      </c>
      <c r="L425" s="37" t="inlineStr"/>
      <c r="M425" s="38" t="inlineStr">
        <is>
          <t>СК1</t>
        </is>
      </c>
      <c r="N425" s="38" t="n"/>
      <c r="O425" s="37" t="n">
        <v>50</v>
      </c>
      <c r="P425" s="1255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425" s="1030" t="n"/>
      <c r="R425" s="1030" t="n"/>
      <c r="S425" s="1030" t="n"/>
      <c r="T425" s="1031" t="n"/>
      <c r="U425" s="39" t="inlineStr"/>
      <c r="V425" s="39" t="inlineStr"/>
      <c r="W425" s="40" t="inlineStr">
        <is>
          <t>кг</t>
        </is>
      </c>
      <c r="X425" s="1032" t="n">
        <v>0</v>
      </c>
      <c r="Y425" s="1033">
        <f>IFERROR(IF(X425="",0,CEILING((X425/$H425),1)*$H425),"")</f>
        <v/>
      </c>
      <c r="Z425" s="41">
        <f>IFERROR(IF(Y425=0,"",ROUNDUP(Y425/H425,0)*0.00902),"")</f>
        <v/>
      </c>
      <c r="AA425" s="68" t="inlineStr"/>
      <c r="AB425" s="69" t="inlineStr"/>
      <c r="AC425" s="522" t="inlineStr">
        <is>
          <t>ЕАЭС N RU Д-RU.РА03.В.02703/25, ЕАЭС № RU Д- RU.АБ75.В.01032/20</t>
        </is>
      </c>
      <c r="AG425" s="78" t="n"/>
      <c r="AJ425" s="84" t="inlineStr"/>
      <c r="AK425" s="84" t="n">
        <v>0</v>
      </c>
      <c r="BB425" s="523" t="inlineStr">
        <is>
          <t>КИ</t>
        </is>
      </c>
      <c r="BM425" s="78">
        <f>IFERROR(X425*I425/H425,"0")</f>
        <v/>
      </c>
      <c r="BN425" s="78">
        <f>IFERROR(Y425*I425/H425,"0")</f>
        <v/>
      </c>
      <c r="BO425" s="78">
        <f>IFERROR(1/J425*(X425/H425),"0")</f>
        <v/>
      </c>
      <c r="BP425" s="78">
        <f>IFERROR(1/J425*(Y425/H425),"0")</f>
        <v/>
      </c>
    </row>
    <row r="426">
      <c r="A426" s="704" t="n"/>
      <c r="B426" s="979" t="n"/>
      <c r="C426" s="979" t="n"/>
      <c r="D426" s="979" t="n"/>
      <c r="E426" s="979" t="n"/>
      <c r="F426" s="979" t="n"/>
      <c r="G426" s="979" t="n"/>
      <c r="H426" s="979" t="n"/>
      <c r="I426" s="979" t="n"/>
      <c r="J426" s="979" t="n"/>
      <c r="K426" s="979" t="n"/>
      <c r="L426" s="979" t="n"/>
      <c r="M426" s="979" t="n"/>
      <c r="N426" s="979" t="n"/>
      <c r="O426" s="1035" t="n"/>
      <c r="P426" s="1036" t="inlineStr">
        <is>
          <t>Итого</t>
        </is>
      </c>
      <c r="Q426" s="997" t="n"/>
      <c r="R426" s="997" t="n"/>
      <c r="S426" s="997" t="n"/>
      <c r="T426" s="997" t="n"/>
      <c r="U426" s="997" t="n"/>
      <c r="V426" s="998" t="n"/>
      <c r="W426" s="42" t="inlineStr">
        <is>
          <t>кор</t>
        </is>
      </c>
      <c r="X426" s="1037">
        <f>IFERROR(X423/H423,"0")+IFERROR(X424/H424,"0")+IFERROR(X425/H425,"0")</f>
        <v/>
      </c>
      <c r="Y426" s="1037">
        <f>IFERROR(Y423/H423,"0")+IFERROR(Y424/H424,"0")+IFERROR(Y425/H425,"0")</f>
        <v/>
      </c>
      <c r="Z426" s="1037">
        <f>IFERROR(IF(Z423="",0,Z423),"0")+IFERROR(IF(Z424="",0,Z424),"0")+IFERROR(IF(Z425="",0,Z425),"0")</f>
        <v/>
      </c>
      <c r="AA426" s="1038" t="n"/>
      <c r="AB426" s="1038" t="n"/>
      <c r="AC426" s="1038" t="n"/>
    </row>
    <row r="427">
      <c r="A427" s="979" t="n"/>
      <c r="B427" s="979" t="n"/>
      <c r="C427" s="979" t="n"/>
      <c r="D427" s="979" t="n"/>
      <c r="E427" s="979" t="n"/>
      <c r="F427" s="979" t="n"/>
      <c r="G427" s="979" t="n"/>
      <c r="H427" s="979" t="n"/>
      <c r="I427" s="979" t="n"/>
      <c r="J427" s="979" t="n"/>
      <c r="K427" s="979" t="n"/>
      <c r="L427" s="979" t="n"/>
      <c r="M427" s="979" t="n"/>
      <c r="N427" s="979" t="n"/>
      <c r="O427" s="1035" t="n"/>
      <c r="P427" s="1036" t="inlineStr">
        <is>
          <t>Итого</t>
        </is>
      </c>
      <c r="Q427" s="997" t="n"/>
      <c r="R427" s="997" t="n"/>
      <c r="S427" s="997" t="n"/>
      <c r="T427" s="997" t="n"/>
      <c r="U427" s="997" t="n"/>
      <c r="V427" s="998" t="n"/>
      <c r="W427" s="42" t="inlineStr">
        <is>
          <t>кг</t>
        </is>
      </c>
      <c r="X427" s="1037">
        <f>IFERROR(SUM(X423:X425),"0")</f>
        <v/>
      </c>
      <c r="Y427" s="1037">
        <f>IFERROR(SUM(Y423:Y425),"0")</f>
        <v/>
      </c>
      <c r="Z427" s="42" t="n"/>
      <c r="AA427" s="1038" t="n"/>
      <c r="AB427" s="1038" t="n"/>
      <c r="AC427" s="1038" t="n"/>
    </row>
    <row r="428" ht="14.25" customHeight="1">
      <c r="A428" s="694" t="inlineStr">
        <is>
          <t>Сосиски</t>
        </is>
      </c>
      <c r="B428" s="979" t="n"/>
      <c r="C428" s="979" t="n"/>
      <c r="D428" s="979" t="n"/>
      <c r="E428" s="979" t="n"/>
      <c r="F428" s="979" t="n"/>
      <c r="G428" s="979" t="n"/>
      <c r="H428" s="979" t="n"/>
      <c r="I428" s="979" t="n"/>
      <c r="J428" s="979" t="n"/>
      <c r="K428" s="979" t="n"/>
      <c r="L428" s="979" t="n"/>
      <c r="M428" s="979" t="n"/>
      <c r="N428" s="979" t="n"/>
      <c r="O428" s="979" t="n"/>
      <c r="P428" s="979" t="n"/>
      <c r="Q428" s="979" t="n"/>
      <c r="R428" s="979" t="n"/>
      <c r="S428" s="979" t="n"/>
      <c r="T428" s="979" t="n"/>
      <c r="U428" s="979" t="n"/>
      <c r="V428" s="979" t="n"/>
      <c r="W428" s="979" t="n"/>
      <c r="X428" s="979" t="n"/>
      <c r="Y428" s="979" t="n"/>
      <c r="Z428" s="979" t="n"/>
      <c r="AA428" s="694" t="n"/>
      <c r="AB428" s="694" t="n"/>
      <c r="AC428" s="694" t="n"/>
    </row>
    <row r="429" ht="16.5" customHeight="1">
      <c r="A429" s="63" t="inlineStr">
        <is>
          <t>SU004239</t>
        </is>
      </c>
      <c r="B429" s="63" t="inlineStr">
        <is>
          <t>P005503</t>
        </is>
      </c>
      <c r="C429" s="36" t="n">
        <v>4301052220</v>
      </c>
      <c r="D429" s="695" t="n">
        <v>4680115889538</v>
      </c>
      <c r="E429" s="989" t="n"/>
      <c r="F429" s="1028" t="n">
        <v>0.8</v>
      </c>
      <c r="G429" s="37" t="n">
        <v>6</v>
      </c>
      <c r="H429" s="1028" t="n">
        <v>4.8</v>
      </c>
      <c r="I429" s="1028" t="n">
        <v>5.216</v>
      </c>
      <c r="J429" s="37" t="n">
        <v>104</v>
      </c>
      <c r="K429" s="37" t="inlineStr">
        <is>
          <t>8</t>
        </is>
      </c>
      <c r="L429" s="37" t="inlineStr"/>
      <c r="M429" s="38" t="inlineStr">
        <is>
          <t>СК3</t>
        </is>
      </c>
      <c r="N429" s="38" t="n"/>
      <c r="O429" s="37" t="n">
        <v>45</v>
      </c>
      <c r="P429" s="1256">
        <f>HYPERLINK("https://abi.ru/products/Охлажденные/Особый рецепт/Особая/Сосиски/P005503/","Сосиски «Сливочные» Весовой п/а ТМ «Особый рецепт»")</f>
        <v/>
      </c>
      <c r="Q429" s="1030" t="n"/>
      <c r="R429" s="1030" t="n"/>
      <c r="S429" s="1030" t="n"/>
      <c r="T429" s="1031" t="n"/>
      <c r="U429" s="39" t="inlineStr"/>
      <c r="V429" s="39" t="inlineStr"/>
      <c r="W429" s="40" t="inlineStr">
        <is>
          <t>кг</t>
        </is>
      </c>
      <c r="X429" s="1032" t="n">
        <v>0</v>
      </c>
      <c r="Y429" s="1033">
        <f>IFERROR(IF(X429="",0,CEILING((X429/$H429),1)*$H429),"")</f>
        <v/>
      </c>
      <c r="Z429" s="41">
        <f>IFERROR(IF(Y429=0,"",ROUNDUP(Y429/H429,0)*0.01196),"")</f>
        <v/>
      </c>
      <c r="AA429" s="68" t="inlineStr"/>
      <c r="AB429" s="69" t="inlineStr">
        <is>
          <t>Новинка</t>
        </is>
      </c>
      <c r="AC429" s="524" t="inlineStr">
        <is>
          <t>ЕАЭС N RU Д-RU.РА04.В.31445/26</t>
        </is>
      </c>
      <c r="AG429" s="78" t="n"/>
      <c r="AJ429" s="84" t="inlineStr"/>
      <c r="AK429" s="84" t="n">
        <v>0</v>
      </c>
      <c r="BB429" s="525" t="inlineStr">
        <is>
          <t>КИ</t>
        </is>
      </c>
      <c r="BM429" s="78">
        <f>IFERROR(X429*I429/H429,"0")</f>
        <v/>
      </c>
      <c r="BN429" s="78">
        <f>IFERROR(Y429*I429/H429,"0")</f>
        <v/>
      </c>
      <c r="BO429" s="78">
        <f>IFERROR(1/J429*(X429/H429),"0")</f>
        <v/>
      </c>
      <c r="BP429" s="78">
        <f>IFERROR(1/J429*(Y429/H429),"0")</f>
        <v/>
      </c>
    </row>
    <row r="430" ht="27" customHeight="1">
      <c r="A430" s="63" t="inlineStr">
        <is>
          <t>SU003161</t>
        </is>
      </c>
      <c r="B430" s="63" t="inlineStr">
        <is>
          <t>P004847</t>
        </is>
      </c>
      <c r="C430" s="36" t="n">
        <v>4301051903</v>
      </c>
      <c r="D430" s="695" t="n">
        <v>4607091383928</v>
      </c>
      <c r="E430" s="989" t="n"/>
      <c r="F430" s="1028" t="n">
        <v>1.5</v>
      </c>
      <c r="G430" s="37" t="n">
        <v>6</v>
      </c>
      <c r="H430" s="1028" t="n">
        <v>9</v>
      </c>
      <c r="I430" s="1028" t="n">
        <v>9.5</v>
      </c>
      <c r="J430" s="37" t="n">
        <v>64</v>
      </c>
      <c r="K430" s="37" t="inlineStr">
        <is>
          <t>8</t>
        </is>
      </c>
      <c r="L430" s="37" t="inlineStr"/>
      <c r="M430" s="38" t="inlineStr">
        <is>
          <t>СК3</t>
        </is>
      </c>
      <c r="N430" s="38" t="n"/>
      <c r="O430" s="37" t="n">
        <v>40</v>
      </c>
      <c r="P430" s="1257">
        <f>HYPERLINK("https://abi.ru/products/Охлажденные/Особый рецепт/Особая/Сосиски/P004847/","Сосиски «Датские» Весовой п/а ТМ «Особый рецепт»")</f>
        <v/>
      </c>
      <c r="Q430" s="1030" t="n"/>
      <c r="R430" s="1030" t="n"/>
      <c r="S430" s="1030" t="n"/>
      <c r="T430" s="1031" t="n"/>
      <c r="U430" s="39" t="inlineStr"/>
      <c r="V430" s="39" t="inlineStr"/>
      <c r="W430" s="40" t="inlineStr">
        <is>
          <t>кг</t>
        </is>
      </c>
      <c r="X430" s="1032" t="n">
        <v>0</v>
      </c>
      <c r="Y430" s="1033">
        <f>IFERROR(IF(X430="",0,CEILING((X430/$H430),1)*$H430),"")</f>
        <v/>
      </c>
      <c r="Z430" s="41">
        <f>IFERROR(IF(Y430=0,"",ROUNDUP(Y430/H430,0)*0.01898),"")</f>
        <v/>
      </c>
      <c r="AA430" s="68" t="inlineStr"/>
      <c r="AB430" s="69" t="inlineStr"/>
      <c r="AC430" s="526" t="inlineStr">
        <is>
          <t>ЕАЭС N RU Д-RU.РА09.В.23245/25, ЕАЭС N RU Д-RU.РА09.В.23811/25</t>
        </is>
      </c>
      <c r="AG430" s="78" t="n"/>
      <c r="AJ430" s="84" t="inlineStr"/>
      <c r="AK430" s="84" t="n">
        <v>0</v>
      </c>
      <c r="BB430" s="527" t="inlineStr">
        <is>
          <t>КИ</t>
        </is>
      </c>
      <c r="BM430" s="78">
        <f>IFERROR(X430*I430/H430,"0")</f>
        <v/>
      </c>
      <c r="BN430" s="78">
        <f>IFERROR(Y430*I430/H430,"0")</f>
        <v/>
      </c>
      <c r="BO430" s="78">
        <f>IFERROR(1/J430*(X430/H430),"0")</f>
        <v/>
      </c>
      <c r="BP430" s="78">
        <f>IFERROR(1/J430*(Y430/H430),"0")</f>
        <v/>
      </c>
    </row>
    <row r="431" ht="27" customHeight="1">
      <c r="A431" s="63" t="inlineStr">
        <is>
          <t>SU000246</t>
        </is>
      </c>
      <c r="B431" s="63" t="inlineStr">
        <is>
          <t>P004843</t>
        </is>
      </c>
      <c r="C431" s="36" t="n">
        <v>4301051897</v>
      </c>
      <c r="D431" s="695" t="n">
        <v>4607091384260</v>
      </c>
      <c r="E431" s="989" t="n"/>
      <c r="F431" s="1028" t="n">
        <v>1.5</v>
      </c>
      <c r="G431" s="37" t="n">
        <v>6</v>
      </c>
      <c r="H431" s="1028" t="n">
        <v>9</v>
      </c>
      <c r="I431" s="1028" t="n">
        <v>9.494</v>
      </c>
      <c r="J431" s="37" t="n">
        <v>64</v>
      </c>
      <c r="K431" s="37" t="inlineStr">
        <is>
          <t>8</t>
        </is>
      </c>
      <c r="L431" s="37" t="inlineStr"/>
      <c r="M431" s="38" t="inlineStr">
        <is>
          <t>СК3</t>
        </is>
      </c>
      <c r="N431" s="38" t="n"/>
      <c r="O431" s="37" t="n">
        <v>40</v>
      </c>
      <c r="P431" s="1258">
        <f>HYPERLINK("https://abi.ru/products/Охлажденные/Особый рецепт/Особая/Сосиски/P004843/","Сосиски «Молочные оригинальные» Весовой п/а ТМ «Особый рецепт»")</f>
        <v/>
      </c>
      <c r="Q431" s="1030" t="n"/>
      <c r="R431" s="1030" t="n"/>
      <c r="S431" s="1030" t="n"/>
      <c r="T431" s="1031" t="n"/>
      <c r="U431" s="39" t="inlineStr"/>
      <c r="V431" s="39" t="inlineStr"/>
      <c r="W431" s="40" t="inlineStr">
        <is>
          <t>кг</t>
        </is>
      </c>
      <c r="X431" s="1032" t="n">
        <v>0</v>
      </c>
      <c r="Y431" s="1033">
        <f>IFERROR(IF(X431="",0,CEILING((X431/$H431),1)*$H431),"")</f>
        <v/>
      </c>
      <c r="Z431" s="41">
        <f>IFERROR(IF(Y431=0,"",ROUNDUP(Y431/H431,0)*0.01898),"")</f>
        <v/>
      </c>
      <c r="AA431" s="68" t="inlineStr"/>
      <c r="AB431" s="69" t="inlineStr"/>
      <c r="AC431" s="528" t="inlineStr">
        <is>
          <t>ЕАЭС N RU Д-RU.РА03.В.02278/26, ЕАЭС N RU Д-RU.РА11.В.65862/25</t>
        </is>
      </c>
      <c r="AG431" s="78" t="n"/>
      <c r="AJ431" s="84" t="inlineStr"/>
      <c r="AK431" s="84" t="n">
        <v>0</v>
      </c>
      <c r="BB431" s="529" t="inlineStr">
        <is>
          <t>КИ</t>
        </is>
      </c>
      <c r="BM431" s="78">
        <f>IFERROR(X431*I431/H431,"0")</f>
        <v/>
      </c>
      <c r="BN431" s="78">
        <f>IFERROR(Y431*I431/H431,"0")</f>
        <v/>
      </c>
      <c r="BO431" s="78">
        <f>IFERROR(1/J431*(X431/H431),"0")</f>
        <v/>
      </c>
      <c r="BP431" s="78">
        <f>IFERROR(1/J431*(Y431/H431),"0")</f>
        <v/>
      </c>
    </row>
    <row r="432">
      <c r="A432" s="704" t="n"/>
      <c r="B432" s="979" t="n"/>
      <c r="C432" s="979" t="n"/>
      <c r="D432" s="979" t="n"/>
      <c r="E432" s="979" t="n"/>
      <c r="F432" s="979" t="n"/>
      <c r="G432" s="979" t="n"/>
      <c r="H432" s="979" t="n"/>
      <c r="I432" s="979" t="n"/>
      <c r="J432" s="979" t="n"/>
      <c r="K432" s="979" t="n"/>
      <c r="L432" s="979" t="n"/>
      <c r="M432" s="979" t="n"/>
      <c r="N432" s="979" t="n"/>
      <c r="O432" s="1035" t="n"/>
      <c r="P432" s="1036" t="inlineStr">
        <is>
          <t>Итого</t>
        </is>
      </c>
      <c r="Q432" s="997" t="n"/>
      <c r="R432" s="997" t="n"/>
      <c r="S432" s="997" t="n"/>
      <c r="T432" s="997" t="n"/>
      <c r="U432" s="997" t="n"/>
      <c r="V432" s="998" t="n"/>
      <c r="W432" s="42" t="inlineStr">
        <is>
          <t>кор</t>
        </is>
      </c>
      <c r="X432" s="1037">
        <f>IFERROR(X429/H429,"0")+IFERROR(X430/H430,"0")+IFERROR(X431/H431,"0")</f>
        <v/>
      </c>
      <c r="Y432" s="1037">
        <f>IFERROR(Y429/H429,"0")+IFERROR(Y430/H430,"0")+IFERROR(Y431/H431,"0")</f>
        <v/>
      </c>
      <c r="Z432" s="1037">
        <f>IFERROR(IF(Z429="",0,Z429),"0")+IFERROR(IF(Z430="",0,Z430),"0")+IFERROR(IF(Z431="",0,Z431),"0")</f>
        <v/>
      </c>
      <c r="AA432" s="1038" t="n"/>
      <c r="AB432" s="1038" t="n"/>
      <c r="AC432" s="1038" t="n"/>
    </row>
    <row r="433">
      <c r="A433" s="979" t="n"/>
      <c r="B433" s="979" t="n"/>
      <c r="C433" s="979" t="n"/>
      <c r="D433" s="979" t="n"/>
      <c r="E433" s="979" t="n"/>
      <c r="F433" s="979" t="n"/>
      <c r="G433" s="979" t="n"/>
      <c r="H433" s="979" t="n"/>
      <c r="I433" s="979" t="n"/>
      <c r="J433" s="979" t="n"/>
      <c r="K433" s="979" t="n"/>
      <c r="L433" s="979" t="n"/>
      <c r="M433" s="979" t="n"/>
      <c r="N433" s="979" t="n"/>
      <c r="O433" s="1035" t="n"/>
      <c r="P433" s="1036" t="inlineStr">
        <is>
          <t>Итого</t>
        </is>
      </c>
      <c r="Q433" s="997" t="n"/>
      <c r="R433" s="997" t="n"/>
      <c r="S433" s="997" t="n"/>
      <c r="T433" s="997" t="n"/>
      <c r="U433" s="997" t="n"/>
      <c r="V433" s="998" t="n"/>
      <c r="W433" s="42" t="inlineStr">
        <is>
          <t>кг</t>
        </is>
      </c>
      <c r="X433" s="1037">
        <f>IFERROR(SUM(X429:X431),"0")</f>
        <v/>
      </c>
      <c r="Y433" s="1037">
        <f>IFERROR(SUM(Y429:Y431),"0")</f>
        <v/>
      </c>
      <c r="Z433" s="42" t="n"/>
      <c r="AA433" s="1038" t="n"/>
      <c r="AB433" s="1038" t="n"/>
      <c r="AC433" s="1038" t="n"/>
    </row>
    <row r="434" ht="14.25" customHeight="1">
      <c r="A434" s="694" t="inlineStr">
        <is>
          <t>Сардельки</t>
        </is>
      </c>
      <c r="B434" s="979" t="n"/>
      <c r="C434" s="979" t="n"/>
      <c r="D434" s="979" t="n"/>
      <c r="E434" s="979" t="n"/>
      <c r="F434" s="979" t="n"/>
      <c r="G434" s="979" t="n"/>
      <c r="H434" s="979" t="n"/>
      <c r="I434" s="979" t="n"/>
      <c r="J434" s="979" t="n"/>
      <c r="K434" s="979" t="n"/>
      <c r="L434" s="979" t="n"/>
      <c r="M434" s="979" t="n"/>
      <c r="N434" s="979" t="n"/>
      <c r="O434" s="979" t="n"/>
      <c r="P434" s="979" t="n"/>
      <c r="Q434" s="979" t="n"/>
      <c r="R434" s="979" t="n"/>
      <c r="S434" s="979" t="n"/>
      <c r="T434" s="979" t="n"/>
      <c r="U434" s="979" t="n"/>
      <c r="V434" s="979" t="n"/>
      <c r="W434" s="979" t="n"/>
      <c r="X434" s="979" t="n"/>
      <c r="Y434" s="979" t="n"/>
      <c r="Z434" s="979" t="n"/>
      <c r="AA434" s="694" t="n"/>
      <c r="AB434" s="694" t="n"/>
      <c r="AC434" s="694" t="n"/>
    </row>
    <row r="435" ht="27" customHeight="1">
      <c r="A435" s="63" t="inlineStr">
        <is>
          <t>SU004240</t>
        </is>
      </c>
      <c r="B435" s="63" t="inlineStr">
        <is>
          <t>P005506</t>
        </is>
      </c>
      <c r="C435" s="36" t="n">
        <v>4301060537</v>
      </c>
      <c r="D435" s="695" t="n">
        <v>4680115889545</v>
      </c>
      <c r="E435" s="989" t="n"/>
      <c r="F435" s="1028" t="n">
        <v>0.7</v>
      </c>
      <c r="G435" s="37" t="n">
        <v>6</v>
      </c>
      <c r="H435" s="1028" t="n">
        <v>4.2</v>
      </c>
      <c r="I435" s="1028" t="n">
        <v>4.616</v>
      </c>
      <c r="J435" s="37" t="n">
        <v>104</v>
      </c>
      <c r="K435" s="37" t="inlineStr">
        <is>
          <t>8</t>
        </is>
      </c>
      <c r="L435" s="37" t="inlineStr"/>
      <c r="M435" s="38" t="inlineStr">
        <is>
          <t>СК3</t>
        </is>
      </c>
      <c r="N435" s="38" t="n"/>
      <c r="O435" s="37" t="n">
        <v>30</v>
      </c>
      <c r="P435" s="1259">
        <f>HYPERLINK("https://abi.ru/products/Охлажденные/Особый рецепт/Особая/Сардельки/P005506/","Сардельки «Сливочные» Весовой NDX ТМ «Особый рецепт»")</f>
        <v/>
      </c>
      <c r="Q435" s="1030" t="n"/>
      <c r="R435" s="1030" t="n"/>
      <c r="S435" s="1030" t="n"/>
      <c r="T435" s="1031" t="n"/>
      <c r="U435" s="39" t="inlineStr"/>
      <c r="V435" s="39" t="inlineStr"/>
      <c r="W435" s="40" t="inlineStr">
        <is>
          <t>кг</t>
        </is>
      </c>
      <c r="X435" s="1032" t="n">
        <v>0</v>
      </c>
      <c r="Y435" s="1033">
        <f>IFERROR(IF(X435="",0,CEILING((X435/$H435),1)*$H435),"")</f>
        <v/>
      </c>
      <c r="Z435" s="41">
        <f>IFERROR(IF(Y435=0,"",ROUNDUP(Y435/H435,0)*0.01196),"")</f>
        <v/>
      </c>
      <c r="AA435" s="68" t="inlineStr"/>
      <c r="AB435" s="69" t="inlineStr">
        <is>
          <t>Новинка</t>
        </is>
      </c>
      <c r="AC435" s="530" t="inlineStr">
        <is>
          <t>ЕАЭС N RU Д-RU.РА04.В.31713/26, ЕАЭС N RU Д-RU.РА04.В.31783/26</t>
        </is>
      </c>
      <c r="AG435" s="78" t="n"/>
      <c r="AJ435" s="84" t="inlineStr"/>
      <c r="AK435" s="84" t="n">
        <v>0</v>
      </c>
      <c r="BB435" s="531" t="inlineStr">
        <is>
          <t>КИ</t>
        </is>
      </c>
      <c r="BM435" s="78">
        <f>IFERROR(X435*I435/H435,"0")</f>
        <v/>
      </c>
      <c r="BN435" s="78">
        <f>IFERROR(Y435*I435/H435,"0")</f>
        <v/>
      </c>
      <c r="BO435" s="78">
        <f>IFERROR(1/J435*(X435/H435),"0")</f>
        <v/>
      </c>
      <c r="BP435" s="78">
        <f>IFERROR(1/J435*(Y435/H435),"0")</f>
        <v/>
      </c>
    </row>
    <row r="436" ht="16.5" customHeight="1">
      <c r="A436" s="63" t="inlineStr">
        <is>
          <t>SU002287</t>
        </is>
      </c>
      <c r="B436" s="63" t="inlineStr">
        <is>
          <t>P005080</t>
        </is>
      </c>
      <c r="C436" s="36" t="n">
        <v>4301060524</v>
      </c>
      <c r="D436" s="695" t="n">
        <v>4607091384673</v>
      </c>
      <c r="E436" s="989" t="n"/>
      <c r="F436" s="1028" t="n">
        <v>1.5</v>
      </c>
      <c r="G436" s="37" t="n">
        <v>6</v>
      </c>
      <c r="H436" s="1028" t="n">
        <v>9</v>
      </c>
      <c r="I436" s="1028" t="n">
        <v>9.494</v>
      </c>
      <c r="J436" s="37" t="n">
        <v>64</v>
      </c>
      <c r="K436" s="37" t="inlineStr">
        <is>
          <t>8</t>
        </is>
      </c>
      <c r="L436" s="37" t="inlineStr"/>
      <c r="M436" s="38" t="inlineStr">
        <is>
          <t>СК3</t>
        </is>
      </c>
      <c r="N436" s="38" t="n"/>
      <c r="O436" s="37" t="n">
        <v>40</v>
      </c>
      <c r="P436" s="1260">
        <f>HYPERLINK("https://abi.ru/products/Охлажденные/Особый рецепт/Особая/Сардельки/P005080/","Сардельки «Сочные» Весовой п/а ТМ «Особый рецепт»")</f>
        <v/>
      </c>
      <c r="Q436" s="1030" t="n"/>
      <c r="R436" s="1030" t="n"/>
      <c r="S436" s="1030" t="n"/>
      <c r="T436" s="1031" t="n"/>
      <c r="U436" s="39" t="inlineStr"/>
      <c r="V436" s="39" t="inlineStr"/>
      <c r="W436" s="40" t="inlineStr">
        <is>
          <t>кг</t>
        </is>
      </c>
      <c r="X436" s="1032" t="n">
        <v>0</v>
      </c>
      <c r="Y436" s="1033">
        <f>IFERROR(IF(X436="",0,CEILING((X436/$H436),1)*$H436),"")</f>
        <v/>
      </c>
      <c r="Z436" s="41">
        <f>IFERROR(IF(Y436=0,"",ROUNDUP(Y436/H436,0)*0.01898),"")</f>
        <v/>
      </c>
      <c r="AA436" s="68" t="inlineStr"/>
      <c r="AB436" s="69" t="inlineStr"/>
      <c r="AC436" s="532" t="inlineStr">
        <is>
          <t>ЕАЭС N RU Д-RU.РА11.В.38897/25</t>
        </is>
      </c>
      <c r="AG436" s="78" t="n"/>
      <c r="AJ436" s="84" t="inlineStr"/>
      <c r="AK436" s="84" t="n">
        <v>0</v>
      </c>
      <c r="BB436" s="533" t="inlineStr">
        <is>
          <t>КИ</t>
        </is>
      </c>
      <c r="BM436" s="78">
        <f>IFERROR(X436*I436/H436,"0")</f>
        <v/>
      </c>
      <c r="BN436" s="78">
        <f>IFERROR(Y436*I436/H436,"0")</f>
        <v/>
      </c>
      <c r="BO436" s="78">
        <f>IFERROR(1/J436*(X436/H436),"0")</f>
        <v/>
      </c>
      <c r="BP436" s="78">
        <f>IFERROR(1/J436*(Y436/H436),"0")</f>
        <v/>
      </c>
    </row>
    <row r="437">
      <c r="A437" s="704" t="n"/>
      <c r="B437" s="979" t="n"/>
      <c r="C437" s="979" t="n"/>
      <c r="D437" s="979" t="n"/>
      <c r="E437" s="979" t="n"/>
      <c r="F437" s="979" t="n"/>
      <c r="G437" s="979" t="n"/>
      <c r="H437" s="979" t="n"/>
      <c r="I437" s="979" t="n"/>
      <c r="J437" s="979" t="n"/>
      <c r="K437" s="979" t="n"/>
      <c r="L437" s="979" t="n"/>
      <c r="M437" s="979" t="n"/>
      <c r="N437" s="979" t="n"/>
      <c r="O437" s="1035" t="n"/>
      <c r="P437" s="1036" t="inlineStr">
        <is>
          <t>Итого</t>
        </is>
      </c>
      <c r="Q437" s="997" t="n"/>
      <c r="R437" s="997" t="n"/>
      <c r="S437" s="997" t="n"/>
      <c r="T437" s="997" t="n"/>
      <c r="U437" s="997" t="n"/>
      <c r="V437" s="998" t="n"/>
      <c r="W437" s="42" t="inlineStr">
        <is>
          <t>кор</t>
        </is>
      </c>
      <c r="X437" s="1037">
        <f>IFERROR(X435/H435,"0")+IFERROR(X436/H436,"0")</f>
        <v/>
      </c>
      <c r="Y437" s="1037">
        <f>IFERROR(Y435/H435,"0")+IFERROR(Y436/H436,"0")</f>
        <v/>
      </c>
      <c r="Z437" s="1037">
        <f>IFERROR(IF(Z435="",0,Z435),"0")+IFERROR(IF(Z436="",0,Z436),"0")</f>
        <v/>
      </c>
      <c r="AA437" s="1038" t="n"/>
      <c r="AB437" s="1038" t="n"/>
      <c r="AC437" s="1038" t="n"/>
    </row>
    <row r="438">
      <c r="A438" s="979" t="n"/>
      <c r="B438" s="979" t="n"/>
      <c r="C438" s="979" t="n"/>
      <c r="D438" s="979" t="n"/>
      <c r="E438" s="979" t="n"/>
      <c r="F438" s="979" t="n"/>
      <c r="G438" s="979" t="n"/>
      <c r="H438" s="979" t="n"/>
      <c r="I438" s="979" t="n"/>
      <c r="J438" s="979" t="n"/>
      <c r="K438" s="979" t="n"/>
      <c r="L438" s="979" t="n"/>
      <c r="M438" s="979" t="n"/>
      <c r="N438" s="979" t="n"/>
      <c r="O438" s="1035" t="n"/>
      <c r="P438" s="1036" t="inlineStr">
        <is>
          <t>Итого</t>
        </is>
      </c>
      <c r="Q438" s="997" t="n"/>
      <c r="R438" s="997" t="n"/>
      <c r="S438" s="997" t="n"/>
      <c r="T438" s="997" t="n"/>
      <c r="U438" s="997" t="n"/>
      <c r="V438" s="998" t="n"/>
      <c r="W438" s="42" t="inlineStr">
        <is>
          <t>кг</t>
        </is>
      </c>
      <c r="X438" s="1037">
        <f>IFERROR(SUM(X435:X436),"0")</f>
        <v/>
      </c>
      <c r="Y438" s="1037">
        <f>IFERROR(SUM(Y435:Y436),"0")</f>
        <v/>
      </c>
      <c r="Z438" s="42" t="n"/>
      <c r="AA438" s="1038" t="n"/>
      <c r="AB438" s="1038" t="n"/>
      <c r="AC438" s="1038" t="n"/>
    </row>
    <row r="439" ht="16.5" customHeight="1">
      <c r="A439" s="693" t="inlineStr">
        <is>
          <t>Особая Без свинины</t>
        </is>
      </c>
      <c r="B439" s="979" t="n"/>
      <c r="C439" s="979" t="n"/>
      <c r="D439" s="979" t="n"/>
      <c r="E439" s="979" t="n"/>
      <c r="F439" s="979" t="n"/>
      <c r="G439" s="979" t="n"/>
      <c r="H439" s="979" t="n"/>
      <c r="I439" s="979" t="n"/>
      <c r="J439" s="979" t="n"/>
      <c r="K439" s="979" t="n"/>
      <c r="L439" s="979" t="n"/>
      <c r="M439" s="979" t="n"/>
      <c r="N439" s="979" t="n"/>
      <c r="O439" s="979" t="n"/>
      <c r="P439" s="979" t="n"/>
      <c r="Q439" s="979" t="n"/>
      <c r="R439" s="979" t="n"/>
      <c r="S439" s="979" t="n"/>
      <c r="T439" s="979" t="n"/>
      <c r="U439" s="979" t="n"/>
      <c r="V439" s="979" t="n"/>
      <c r="W439" s="979" t="n"/>
      <c r="X439" s="979" t="n"/>
      <c r="Y439" s="979" t="n"/>
      <c r="Z439" s="979" t="n"/>
      <c r="AA439" s="693" t="n"/>
      <c r="AB439" s="693" t="n"/>
      <c r="AC439" s="693" t="n"/>
    </row>
    <row r="440" ht="14.25" customHeight="1">
      <c r="A440" s="694" t="inlineStr">
        <is>
          <t>Вареные колбасы</t>
        </is>
      </c>
      <c r="B440" s="979" t="n"/>
      <c r="C440" s="979" t="n"/>
      <c r="D440" s="979" t="n"/>
      <c r="E440" s="979" t="n"/>
      <c r="F440" s="979" t="n"/>
      <c r="G440" s="979" t="n"/>
      <c r="H440" s="979" t="n"/>
      <c r="I440" s="979" t="n"/>
      <c r="J440" s="979" t="n"/>
      <c r="K440" s="979" t="n"/>
      <c r="L440" s="979" t="n"/>
      <c r="M440" s="979" t="n"/>
      <c r="N440" s="979" t="n"/>
      <c r="O440" s="979" t="n"/>
      <c r="P440" s="979" t="n"/>
      <c r="Q440" s="979" t="n"/>
      <c r="R440" s="979" t="n"/>
      <c r="S440" s="979" t="n"/>
      <c r="T440" s="979" t="n"/>
      <c r="U440" s="979" t="n"/>
      <c r="V440" s="979" t="n"/>
      <c r="W440" s="979" t="n"/>
      <c r="X440" s="979" t="n"/>
      <c r="Y440" s="979" t="n"/>
      <c r="Z440" s="979" t="n"/>
      <c r="AA440" s="694" t="n"/>
      <c r="AB440" s="694" t="n"/>
      <c r="AC440" s="694" t="n"/>
    </row>
    <row r="441" ht="27" customHeight="1">
      <c r="A441" s="63" t="inlineStr">
        <is>
          <t>SU003425</t>
        </is>
      </c>
      <c r="B441" s="63" t="inlineStr">
        <is>
          <t>P004273</t>
        </is>
      </c>
      <c r="C441" s="36" t="n">
        <v>4301011875</v>
      </c>
      <c r="D441" s="695" t="n">
        <v>4680115884885</v>
      </c>
      <c r="E441" s="989" t="n"/>
      <c r="F441" s="1028" t="n">
        <v>0.8</v>
      </c>
      <c r="G441" s="37" t="n">
        <v>15</v>
      </c>
      <c r="H441" s="1028" t="n">
        <v>12</v>
      </c>
      <c r="I441" s="1028" t="n">
        <v>12.41</v>
      </c>
      <c r="J441" s="37" t="n">
        <v>64</v>
      </c>
      <c r="K441" s="37" t="inlineStr">
        <is>
          <t>8</t>
        </is>
      </c>
      <c r="L441" s="37" t="inlineStr"/>
      <c r="M441" s="38" t="inlineStr">
        <is>
          <t>СК2</t>
        </is>
      </c>
      <c r="N441" s="38" t="n"/>
      <c r="O441" s="37" t="n">
        <v>60</v>
      </c>
      <c r="P441" s="1261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41" s="1030" t="n"/>
      <c r="R441" s="1030" t="n"/>
      <c r="S441" s="1030" t="n"/>
      <c r="T441" s="1031" t="n"/>
      <c r="U441" s="39" t="inlineStr"/>
      <c r="V441" s="39" t="inlineStr"/>
      <c r="W441" s="40" t="inlineStr">
        <is>
          <t>кг</t>
        </is>
      </c>
      <c r="X441" s="1032" t="n">
        <v>0</v>
      </c>
      <c r="Y441" s="1033">
        <f>IFERROR(IF(X441="",0,CEILING((X441/$H441),1)*$H441),"")</f>
        <v/>
      </c>
      <c r="Z441" s="41">
        <f>IFERROR(IF(Y441=0,"",ROUNDUP(Y441/H441,0)*0.01898),"")</f>
        <v/>
      </c>
      <c r="AA441" s="68" t="inlineStr"/>
      <c r="AB441" s="69" t="inlineStr"/>
      <c r="AC441" s="534" t="inlineStr">
        <is>
          <t>ЕАЭС N RU Д-RU.РА08.В.72086/25, ЕАЭС N RU Д-RU.РА09.В.20743/25</t>
        </is>
      </c>
      <c r="AG441" s="78" t="n"/>
      <c r="AJ441" s="84" t="inlineStr"/>
      <c r="AK441" s="84" t="n">
        <v>0</v>
      </c>
      <c r="BB441" s="535" t="inlineStr">
        <is>
          <t>КИ</t>
        </is>
      </c>
      <c r="BM441" s="78">
        <f>IFERROR(X441*I441/H441,"0")</f>
        <v/>
      </c>
      <c r="BN441" s="78">
        <f>IFERROR(Y441*I441/H441,"0")</f>
        <v/>
      </c>
      <c r="BO441" s="78">
        <f>IFERROR(1/J441*(X441/H441),"0")</f>
        <v/>
      </c>
      <c r="BP441" s="78">
        <f>IFERROR(1/J441*(Y441/H441),"0")</f>
        <v/>
      </c>
    </row>
    <row r="442" ht="37.5" customHeight="1">
      <c r="A442" s="63" t="inlineStr">
        <is>
          <t>SU003426</t>
        </is>
      </c>
      <c r="B442" s="63" t="inlineStr">
        <is>
          <t>P004258</t>
        </is>
      </c>
      <c r="C442" s="36" t="n">
        <v>4301011871</v>
      </c>
      <c r="D442" s="695" t="n">
        <v>4680115884908</v>
      </c>
      <c r="E442" s="989" t="n"/>
      <c r="F442" s="1028" t="n">
        <v>0.4</v>
      </c>
      <c r="G442" s="37" t="n">
        <v>10</v>
      </c>
      <c r="H442" s="1028" t="n">
        <v>4</v>
      </c>
      <c r="I442" s="1028" t="n">
        <v>4.19</v>
      </c>
      <c r="J442" s="37" t="n">
        <v>132</v>
      </c>
      <c r="K442" s="37" t="inlineStr">
        <is>
          <t>12</t>
        </is>
      </c>
      <c r="L442" s="37" t="inlineStr"/>
      <c r="M442" s="38" t="inlineStr">
        <is>
          <t>СК2</t>
        </is>
      </c>
      <c r="N442" s="38" t="n"/>
      <c r="O442" s="37" t="n">
        <v>60</v>
      </c>
      <c r="P442" s="1262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42" s="1030" t="n"/>
      <c r="R442" s="1030" t="n"/>
      <c r="S442" s="1030" t="n"/>
      <c r="T442" s="1031" t="n"/>
      <c r="U442" s="39" t="inlineStr"/>
      <c r="V442" s="39" t="inlineStr"/>
      <c r="W442" s="40" t="inlineStr">
        <is>
          <t>кг</t>
        </is>
      </c>
      <c r="X442" s="1032" t="n">
        <v>0</v>
      </c>
      <c r="Y442" s="1033">
        <f>IFERROR(IF(X442="",0,CEILING((X442/$H442),1)*$H442),"")</f>
        <v/>
      </c>
      <c r="Z442" s="41">
        <f>IFERROR(IF(Y442=0,"",ROUNDUP(Y442/H442,0)*0.00902),"")</f>
        <v/>
      </c>
      <c r="AA442" s="68" t="inlineStr"/>
      <c r="AB442" s="69" t="inlineStr"/>
      <c r="AC442" s="536" t="inlineStr">
        <is>
          <t>ЕАЭС N RU Д-RU.РА08.В.72086/25, ЕАЭС N RU Д-RU.РА09.В.20743/25</t>
        </is>
      </c>
      <c r="AG442" s="78" t="n"/>
      <c r="AJ442" s="84" t="inlineStr"/>
      <c r="AK442" s="84" t="n">
        <v>0</v>
      </c>
      <c r="BB442" s="537" t="inlineStr">
        <is>
          <t>КИ</t>
        </is>
      </c>
      <c r="BM442" s="78">
        <f>IFERROR(X442*I442/H442,"0")</f>
        <v/>
      </c>
      <c r="BN442" s="78">
        <f>IFERROR(Y442*I442/H442,"0")</f>
        <v/>
      </c>
      <c r="BO442" s="78">
        <f>IFERROR(1/J442*(X442/H442),"0")</f>
        <v/>
      </c>
      <c r="BP442" s="78">
        <f>IFERROR(1/J442*(Y442/H442),"0")</f>
        <v/>
      </c>
    </row>
    <row r="443">
      <c r="A443" s="704" t="n"/>
      <c r="B443" s="979" t="n"/>
      <c r="C443" s="979" t="n"/>
      <c r="D443" s="979" t="n"/>
      <c r="E443" s="979" t="n"/>
      <c r="F443" s="979" t="n"/>
      <c r="G443" s="979" t="n"/>
      <c r="H443" s="979" t="n"/>
      <c r="I443" s="979" t="n"/>
      <c r="J443" s="979" t="n"/>
      <c r="K443" s="979" t="n"/>
      <c r="L443" s="979" t="n"/>
      <c r="M443" s="979" t="n"/>
      <c r="N443" s="979" t="n"/>
      <c r="O443" s="1035" t="n"/>
      <c r="P443" s="1036" t="inlineStr">
        <is>
          <t>Итого</t>
        </is>
      </c>
      <c r="Q443" s="997" t="n"/>
      <c r="R443" s="997" t="n"/>
      <c r="S443" s="997" t="n"/>
      <c r="T443" s="997" t="n"/>
      <c r="U443" s="997" t="n"/>
      <c r="V443" s="998" t="n"/>
      <c r="W443" s="42" t="inlineStr">
        <is>
          <t>кор</t>
        </is>
      </c>
      <c r="X443" s="1037">
        <f>IFERROR(X441/H441,"0")+IFERROR(X442/H442,"0")</f>
        <v/>
      </c>
      <c r="Y443" s="1037">
        <f>IFERROR(Y441/H441,"0")+IFERROR(Y442/H442,"0")</f>
        <v/>
      </c>
      <c r="Z443" s="1037">
        <f>IFERROR(IF(Z441="",0,Z441),"0")+IFERROR(IF(Z442="",0,Z442),"0")</f>
        <v/>
      </c>
      <c r="AA443" s="1038" t="n"/>
      <c r="AB443" s="1038" t="n"/>
      <c r="AC443" s="1038" t="n"/>
    </row>
    <row r="444">
      <c r="A444" s="979" t="n"/>
      <c r="B444" s="979" t="n"/>
      <c r="C444" s="979" t="n"/>
      <c r="D444" s="979" t="n"/>
      <c r="E444" s="979" t="n"/>
      <c r="F444" s="979" t="n"/>
      <c r="G444" s="979" t="n"/>
      <c r="H444" s="979" t="n"/>
      <c r="I444" s="979" t="n"/>
      <c r="J444" s="979" t="n"/>
      <c r="K444" s="979" t="n"/>
      <c r="L444" s="979" t="n"/>
      <c r="M444" s="979" t="n"/>
      <c r="N444" s="979" t="n"/>
      <c r="O444" s="1035" t="n"/>
      <c r="P444" s="1036" t="inlineStr">
        <is>
          <t>Итого</t>
        </is>
      </c>
      <c r="Q444" s="997" t="n"/>
      <c r="R444" s="997" t="n"/>
      <c r="S444" s="997" t="n"/>
      <c r="T444" s="997" t="n"/>
      <c r="U444" s="997" t="n"/>
      <c r="V444" s="998" t="n"/>
      <c r="W444" s="42" t="inlineStr">
        <is>
          <t>кг</t>
        </is>
      </c>
      <c r="X444" s="1037">
        <f>IFERROR(SUM(X441:X442),"0")</f>
        <v/>
      </c>
      <c r="Y444" s="1037">
        <f>IFERROR(SUM(Y441:Y442),"0")</f>
        <v/>
      </c>
      <c r="Z444" s="42" t="n"/>
      <c r="AA444" s="1038" t="n"/>
      <c r="AB444" s="1038" t="n"/>
      <c r="AC444" s="1038" t="n"/>
    </row>
    <row r="445" ht="14.25" customHeight="1">
      <c r="A445" s="694" t="inlineStr">
        <is>
          <t>Копченые колбасы</t>
        </is>
      </c>
      <c r="B445" s="979" t="n"/>
      <c r="C445" s="979" t="n"/>
      <c r="D445" s="979" t="n"/>
      <c r="E445" s="979" t="n"/>
      <c r="F445" s="979" t="n"/>
      <c r="G445" s="979" t="n"/>
      <c r="H445" s="979" t="n"/>
      <c r="I445" s="979" t="n"/>
      <c r="J445" s="979" t="n"/>
      <c r="K445" s="979" t="n"/>
      <c r="L445" s="979" t="n"/>
      <c r="M445" s="979" t="n"/>
      <c r="N445" s="979" t="n"/>
      <c r="O445" s="979" t="n"/>
      <c r="P445" s="979" t="n"/>
      <c r="Q445" s="979" t="n"/>
      <c r="R445" s="979" t="n"/>
      <c r="S445" s="979" t="n"/>
      <c r="T445" s="979" t="n"/>
      <c r="U445" s="979" t="n"/>
      <c r="V445" s="979" t="n"/>
      <c r="W445" s="979" t="n"/>
      <c r="X445" s="979" t="n"/>
      <c r="Y445" s="979" t="n"/>
      <c r="Z445" s="979" t="n"/>
      <c r="AA445" s="694" t="n"/>
      <c r="AB445" s="694" t="n"/>
      <c r="AC445" s="694" t="n"/>
    </row>
    <row r="446" ht="27" customHeight="1">
      <c r="A446" s="63" t="inlineStr">
        <is>
          <t>SU002360</t>
        </is>
      </c>
      <c r="B446" s="63" t="inlineStr">
        <is>
          <t>P005172</t>
        </is>
      </c>
      <c r="C446" s="36" t="n">
        <v>4301031457</v>
      </c>
      <c r="D446" s="695" t="n">
        <v>4607091384802</v>
      </c>
      <c r="E446" s="989" t="n"/>
      <c r="F446" s="1028" t="n">
        <v>0.7</v>
      </c>
      <c r="G446" s="37" t="n">
        <v>6</v>
      </c>
      <c r="H446" s="1028" t="n">
        <v>4.2</v>
      </c>
      <c r="I446" s="1028" t="n">
        <v>4.45</v>
      </c>
      <c r="J446" s="37" t="n">
        <v>132</v>
      </c>
      <c r="K446" s="37" t="inlineStr">
        <is>
          <t>12</t>
        </is>
      </c>
      <c r="L446" s="37" t="inlineStr"/>
      <c r="M446" s="38" t="inlineStr">
        <is>
          <t>СК2</t>
        </is>
      </c>
      <c r="N446" s="38" t="n"/>
      <c r="O446" s="37" t="n">
        <v>50</v>
      </c>
      <c r="P446" s="1263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/>
      </c>
      <c r="Q446" s="1030" t="n"/>
      <c r="R446" s="1030" t="n"/>
      <c r="S446" s="1030" t="n"/>
      <c r="T446" s="1031" t="n"/>
      <c r="U446" s="39" t="inlineStr"/>
      <c r="V446" s="39" t="inlineStr"/>
      <c r="W446" s="40" t="inlineStr">
        <is>
          <t>кг</t>
        </is>
      </c>
      <c r="X446" s="1032" t="n">
        <v>0</v>
      </c>
      <c r="Y446" s="1033">
        <f>IFERROR(IF(X446="",0,CEILING((X446/$H446),1)*$H446),"")</f>
        <v/>
      </c>
      <c r="Z446" s="41">
        <f>IFERROR(IF(Y446=0,"",ROUNDUP(Y446/H446,0)*0.00902),"")</f>
        <v/>
      </c>
      <c r="AA446" s="68" t="inlineStr"/>
      <c r="AB446" s="69" t="inlineStr"/>
      <c r="AC446" s="538" t="inlineStr">
        <is>
          <t>ЕАЭС N RU Д-RU.РА02.В.61652/24</t>
        </is>
      </c>
      <c r="AG446" s="78" t="n"/>
      <c r="AJ446" s="84" t="inlineStr"/>
      <c r="AK446" s="84" t="n">
        <v>0</v>
      </c>
      <c r="BB446" s="539" t="inlineStr">
        <is>
          <t>КИ</t>
        </is>
      </c>
      <c r="BM446" s="78">
        <f>IFERROR(X446*I446/H446,"0")</f>
        <v/>
      </c>
      <c r="BN446" s="78">
        <f>IFERROR(Y446*I446/H446,"0")</f>
        <v/>
      </c>
      <c r="BO446" s="78">
        <f>IFERROR(1/J446*(X446/H446),"0")</f>
        <v/>
      </c>
      <c r="BP446" s="78">
        <f>IFERROR(1/J446*(Y446/H446),"0")</f>
        <v/>
      </c>
    </row>
    <row r="447">
      <c r="A447" s="704" t="n"/>
      <c r="B447" s="979" t="n"/>
      <c r="C447" s="979" t="n"/>
      <c r="D447" s="979" t="n"/>
      <c r="E447" s="979" t="n"/>
      <c r="F447" s="979" t="n"/>
      <c r="G447" s="979" t="n"/>
      <c r="H447" s="979" t="n"/>
      <c r="I447" s="979" t="n"/>
      <c r="J447" s="979" t="n"/>
      <c r="K447" s="979" t="n"/>
      <c r="L447" s="979" t="n"/>
      <c r="M447" s="979" t="n"/>
      <c r="N447" s="979" t="n"/>
      <c r="O447" s="1035" t="n"/>
      <c r="P447" s="1036" t="inlineStr">
        <is>
          <t>Итого</t>
        </is>
      </c>
      <c r="Q447" s="997" t="n"/>
      <c r="R447" s="997" t="n"/>
      <c r="S447" s="997" t="n"/>
      <c r="T447" s="997" t="n"/>
      <c r="U447" s="997" t="n"/>
      <c r="V447" s="998" t="n"/>
      <c r="W447" s="42" t="inlineStr">
        <is>
          <t>кор</t>
        </is>
      </c>
      <c r="X447" s="1037">
        <f>IFERROR(X446/H446,"0")</f>
        <v/>
      </c>
      <c r="Y447" s="1037">
        <f>IFERROR(Y446/H446,"0")</f>
        <v/>
      </c>
      <c r="Z447" s="1037">
        <f>IFERROR(IF(Z446="",0,Z446),"0")</f>
        <v/>
      </c>
      <c r="AA447" s="1038" t="n"/>
      <c r="AB447" s="1038" t="n"/>
      <c r="AC447" s="1038" t="n"/>
    </row>
    <row r="448">
      <c r="A448" s="979" t="n"/>
      <c r="B448" s="979" t="n"/>
      <c r="C448" s="979" t="n"/>
      <c r="D448" s="979" t="n"/>
      <c r="E448" s="979" t="n"/>
      <c r="F448" s="979" t="n"/>
      <c r="G448" s="979" t="n"/>
      <c r="H448" s="979" t="n"/>
      <c r="I448" s="979" t="n"/>
      <c r="J448" s="979" t="n"/>
      <c r="K448" s="979" t="n"/>
      <c r="L448" s="979" t="n"/>
      <c r="M448" s="979" t="n"/>
      <c r="N448" s="979" t="n"/>
      <c r="O448" s="1035" t="n"/>
      <c r="P448" s="1036" t="inlineStr">
        <is>
          <t>Итого</t>
        </is>
      </c>
      <c r="Q448" s="997" t="n"/>
      <c r="R448" s="997" t="n"/>
      <c r="S448" s="997" t="n"/>
      <c r="T448" s="997" t="n"/>
      <c r="U448" s="997" t="n"/>
      <c r="V448" s="998" t="n"/>
      <c r="W448" s="42" t="inlineStr">
        <is>
          <t>кг</t>
        </is>
      </c>
      <c r="X448" s="1037">
        <f>IFERROR(SUM(X446:X446),"0")</f>
        <v/>
      </c>
      <c r="Y448" s="1037">
        <f>IFERROR(SUM(Y446:Y446),"0")</f>
        <v/>
      </c>
      <c r="Z448" s="42" t="n"/>
      <c r="AA448" s="1038" t="n"/>
      <c r="AB448" s="1038" t="n"/>
      <c r="AC448" s="1038" t="n"/>
    </row>
    <row r="449" ht="14.25" customHeight="1">
      <c r="A449" s="694" t="inlineStr">
        <is>
          <t>Сосиски</t>
        </is>
      </c>
      <c r="B449" s="979" t="n"/>
      <c r="C449" s="979" t="n"/>
      <c r="D449" s="979" t="n"/>
      <c r="E449" s="979" t="n"/>
      <c r="F449" s="979" t="n"/>
      <c r="G449" s="979" t="n"/>
      <c r="H449" s="979" t="n"/>
      <c r="I449" s="979" t="n"/>
      <c r="J449" s="979" t="n"/>
      <c r="K449" s="979" t="n"/>
      <c r="L449" s="979" t="n"/>
      <c r="M449" s="979" t="n"/>
      <c r="N449" s="979" t="n"/>
      <c r="O449" s="979" t="n"/>
      <c r="P449" s="979" t="n"/>
      <c r="Q449" s="979" t="n"/>
      <c r="R449" s="979" t="n"/>
      <c r="S449" s="979" t="n"/>
      <c r="T449" s="979" t="n"/>
      <c r="U449" s="979" t="n"/>
      <c r="V449" s="979" t="n"/>
      <c r="W449" s="979" t="n"/>
      <c r="X449" s="979" t="n"/>
      <c r="Y449" s="979" t="n"/>
      <c r="Z449" s="979" t="n"/>
      <c r="AA449" s="694" t="n"/>
      <c r="AB449" s="694" t="n"/>
      <c r="AC449" s="694" t="n"/>
    </row>
    <row r="450" ht="27" customHeight="1">
      <c r="A450" s="63" t="inlineStr">
        <is>
          <t>SU002074</t>
        </is>
      </c>
      <c r="B450" s="63" t="inlineStr">
        <is>
          <t>P004844</t>
        </is>
      </c>
      <c r="C450" s="36" t="n">
        <v>4301051899</v>
      </c>
      <c r="D450" s="695" t="n">
        <v>4607091384246</v>
      </c>
      <c r="E450" s="989" t="n"/>
      <c r="F450" s="1028" t="n">
        <v>1.5</v>
      </c>
      <c r="G450" s="37" t="n">
        <v>6</v>
      </c>
      <c r="H450" s="1028" t="n">
        <v>9</v>
      </c>
      <c r="I450" s="1028" t="n">
        <v>9.494</v>
      </c>
      <c r="J450" s="37" t="n">
        <v>64</v>
      </c>
      <c r="K450" s="37" t="inlineStr">
        <is>
          <t>8</t>
        </is>
      </c>
      <c r="L450" s="37" t="inlineStr"/>
      <c r="M450" s="38" t="inlineStr">
        <is>
          <t>СК3</t>
        </is>
      </c>
      <c r="N450" s="38" t="n"/>
      <c r="O450" s="37" t="n">
        <v>40</v>
      </c>
      <c r="P450" s="1264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50" s="1030" t="n"/>
      <c r="R450" s="1030" t="n"/>
      <c r="S450" s="1030" t="n"/>
      <c r="T450" s="1031" t="n"/>
      <c r="U450" s="39" t="inlineStr"/>
      <c r="V450" s="39" t="inlineStr"/>
      <c r="W450" s="40" t="inlineStr">
        <is>
          <t>кг</t>
        </is>
      </c>
      <c r="X450" s="1032" t="n">
        <v>0</v>
      </c>
      <c r="Y450" s="1033">
        <f>IFERROR(IF(X450="",0,CEILING((X450/$H450),1)*$H450),"")</f>
        <v/>
      </c>
      <c r="Z450" s="41">
        <f>IFERROR(IF(Y450=0,"",ROUNDUP(Y450/H450,0)*0.01898),"")</f>
        <v/>
      </c>
      <c r="AA450" s="68" t="inlineStr"/>
      <c r="AB450" s="69" t="inlineStr"/>
      <c r="AC450" s="540" t="inlineStr">
        <is>
          <t>ЕАЭС N RU Д-RU.РА09.В.24006/25, ЕАЭС N RU Д-RU.РА09.В.26911/25</t>
        </is>
      </c>
      <c r="AG450" s="78" t="n"/>
      <c r="AJ450" s="84" t="inlineStr"/>
      <c r="AK450" s="84" t="n">
        <v>0</v>
      </c>
      <c r="BB450" s="541" t="inlineStr">
        <is>
          <t>КИ</t>
        </is>
      </c>
      <c r="BM450" s="78">
        <f>IFERROR(X450*I450/H450,"0")</f>
        <v/>
      </c>
      <c r="BN450" s="78">
        <f>IFERROR(Y450*I450/H450,"0")</f>
        <v/>
      </c>
      <c r="BO450" s="78">
        <f>IFERROR(1/J450*(X450/H450),"0")</f>
        <v/>
      </c>
      <c r="BP450" s="78">
        <f>IFERROR(1/J450*(Y450/H450),"0")</f>
        <v/>
      </c>
    </row>
    <row r="451" ht="27" customHeight="1">
      <c r="A451" s="63" t="inlineStr">
        <is>
          <t>SU002205</t>
        </is>
      </c>
      <c r="B451" s="63" t="inlineStr">
        <is>
          <t>P003969</t>
        </is>
      </c>
      <c r="C451" s="36" t="n">
        <v>4301051660</v>
      </c>
      <c r="D451" s="695" t="n">
        <v>4607091384253</v>
      </c>
      <c r="E451" s="989" t="n"/>
      <c r="F451" s="1028" t="n">
        <v>0.4</v>
      </c>
      <c r="G451" s="37" t="n">
        <v>6</v>
      </c>
      <c r="H451" s="1028" t="n">
        <v>2.4</v>
      </c>
      <c r="I451" s="1028" t="n">
        <v>2.664</v>
      </c>
      <c r="J451" s="37" t="n">
        <v>182</v>
      </c>
      <c r="K451" s="37" t="inlineStr">
        <is>
          <t>14</t>
        </is>
      </c>
      <c r="L451" s="37" t="inlineStr"/>
      <c r="M451" s="38" t="inlineStr">
        <is>
          <t>СК3</t>
        </is>
      </c>
      <c r="N451" s="38" t="n"/>
      <c r="O451" s="37" t="n">
        <v>40</v>
      </c>
      <c r="P451" s="1265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51" s="1030" t="n"/>
      <c r="R451" s="1030" t="n"/>
      <c r="S451" s="1030" t="n"/>
      <c r="T451" s="1031" t="n"/>
      <c r="U451" s="39" t="inlineStr"/>
      <c r="V451" s="39" t="inlineStr"/>
      <c r="W451" s="40" t="inlineStr">
        <is>
          <t>кг</t>
        </is>
      </c>
      <c r="X451" s="1032" t="n">
        <v>0</v>
      </c>
      <c r="Y451" s="1033">
        <f>IFERROR(IF(X451="",0,CEILING((X451/$H451),1)*$H451),"")</f>
        <v/>
      </c>
      <c r="Z451" s="41">
        <f>IFERROR(IF(Y451=0,"",ROUNDUP(Y451/H451,0)*0.00651),"")</f>
        <v/>
      </c>
      <c r="AA451" s="68" t="inlineStr"/>
      <c r="AB451" s="69" t="inlineStr"/>
      <c r="AC451" s="542" t="inlineStr">
        <is>
          <t>ЕАЭС N RU Д-RU.РА09.В.24006/25, ЕАЭС N RU Д-RU.РА09.В.26911/25</t>
        </is>
      </c>
      <c r="AG451" s="78" t="n"/>
      <c r="AJ451" s="84" t="inlineStr"/>
      <c r="AK451" s="84" t="n">
        <v>0</v>
      </c>
      <c r="BB451" s="543" t="inlineStr">
        <is>
          <t>КИ</t>
        </is>
      </c>
      <c r="BM451" s="78">
        <f>IFERROR(X451*I451/H451,"0")</f>
        <v/>
      </c>
      <c r="BN451" s="78">
        <f>IFERROR(Y451*I451/H451,"0")</f>
        <v/>
      </c>
      <c r="BO451" s="78">
        <f>IFERROR(1/J451*(X451/H451),"0")</f>
        <v/>
      </c>
      <c r="BP451" s="78">
        <f>IFERROR(1/J451*(Y451/H451),"0")</f>
        <v/>
      </c>
    </row>
    <row r="452" ht="27" customHeight="1">
      <c r="A452" s="63" t="inlineStr">
        <is>
          <t>SU002205</t>
        </is>
      </c>
      <c r="B452" s="63" t="inlineStr">
        <is>
          <t>P005198</t>
        </is>
      </c>
      <c r="C452" s="36" t="n">
        <v>4301052069</v>
      </c>
      <c r="D452" s="695" t="n">
        <v>4607091384253</v>
      </c>
      <c r="E452" s="989" t="n"/>
      <c r="F452" s="1028" t="n">
        <v>0.4</v>
      </c>
      <c r="G452" s="37" t="n">
        <v>6</v>
      </c>
      <c r="H452" s="1028" t="n">
        <v>2.4</v>
      </c>
      <c r="I452" s="1028" t="n">
        <v>2.664</v>
      </c>
      <c r="J452" s="37" t="n">
        <v>182</v>
      </c>
      <c r="K452" s="37" t="inlineStr">
        <is>
          <t>14</t>
        </is>
      </c>
      <c r="L452" s="37" t="inlineStr"/>
      <c r="M452" s="38" t="inlineStr">
        <is>
          <t>СК3</t>
        </is>
      </c>
      <c r="N452" s="38" t="n"/>
      <c r="O452" s="37" t="n">
        <v>40</v>
      </c>
      <c r="P452" s="1266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/>
      </c>
      <c r="Q452" s="1030" t="n"/>
      <c r="R452" s="1030" t="n"/>
      <c r="S452" s="1030" t="n"/>
      <c r="T452" s="1031" t="n"/>
      <c r="U452" s="39" t="inlineStr"/>
      <c r="V452" s="39" t="inlineStr"/>
      <c r="W452" s="40" t="inlineStr">
        <is>
          <t>кг</t>
        </is>
      </c>
      <c r="X452" s="1032" t="n">
        <v>0</v>
      </c>
      <c r="Y452" s="1033">
        <f>IFERROR(IF(X452="",0,CEILING((X452/$H452),1)*$H452),"")</f>
        <v/>
      </c>
      <c r="Z452" s="41">
        <f>IFERROR(IF(Y452=0,"",ROUNDUP(Y452/H452,0)*0.00651),"")</f>
        <v/>
      </c>
      <c r="AA452" s="68" t="inlineStr"/>
      <c r="AB452" s="69" t="inlineStr"/>
      <c r="AC452" s="544" t="inlineStr">
        <is>
          <t>ЕАЭС N RU Д-RU.РА09.В.35629/22</t>
        </is>
      </c>
      <c r="AG452" s="78" t="n"/>
      <c r="AJ452" s="84" t="inlineStr"/>
      <c r="AK452" s="84" t="n">
        <v>0</v>
      </c>
      <c r="BB452" s="545" t="inlineStr">
        <is>
          <t>КИ</t>
        </is>
      </c>
      <c r="BM452" s="78">
        <f>IFERROR(X452*I452/H452,"0")</f>
        <v/>
      </c>
      <c r="BN452" s="78">
        <f>IFERROR(Y452*I452/H452,"0")</f>
        <v/>
      </c>
      <c r="BO452" s="78">
        <f>IFERROR(1/J452*(X452/H452),"0")</f>
        <v/>
      </c>
      <c r="BP452" s="78">
        <f>IFERROR(1/J452*(Y452/H452),"0")</f>
        <v/>
      </c>
    </row>
    <row r="453">
      <c r="A453" s="704" t="n"/>
      <c r="B453" s="979" t="n"/>
      <c r="C453" s="979" t="n"/>
      <c r="D453" s="979" t="n"/>
      <c r="E453" s="979" t="n"/>
      <c r="F453" s="979" t="n"/>
      <c r="G453" s="979" t="n"/>
      <c r="H453" s="979" t="n"/>
      <c r="I453" s="979" t="n"/>
      <c r="J453" s="979" t="n"/>
      <c r="K453" s="979" t="n"/>
      <c r="L453" s="979" t="n"/>
      <c r="M453" s="979" t="n"/>
      <c r="N453" s="979" t="n"/>
      <c r="O453" s="1035" t="n"/>
      <c r="P453" s="1036" t="inlineStr">
        <is>
          <t>Итого</t>
        </is>
      </c>
      <c r="Q453" s="997" t="n"/>
      <c r="R453" s="997" t="n"/>
      <c r="S453" s="997" t="n"/>
      <c r="T453" s="997" t="n"/>
      <c r="U453" s="997" t="n"/>
      <c r="V453" s="998" t="n"/>
      <c r="W453" s="42" t="inlineStr">
        <is>
          <t>кор</t>
        </is>
      </c>
      <c r="X453" s="1037">
        <f>IFERROR(X450/H450,"0")+IFERROR(X451/H451,"0")+IFERROR(X452/H452,"0")</f>
        <v/>
      </c>
      <c r="Y453" s="1037">
        <f>IFERROR(Y450/H450,"0")+IFERROR(Y451/H451,"0")+IFERROR(Y452/H452,"0")</f>
        <v/>
      </c>
      <c r="Z453" s="1037">
        <f>IFERROR(IF(Z450="",0,Z450),"0")+IFERROR(IF(Z451="",0,Z451),"0")+IFERROR(IF(Z452="",0,Z452),"0")</f>
        <v/>
      </c>
      <c r="AA453" s="1038" t="n"/>
      <c r="AB453" s="1038" t="n"/>
      <c r="AC453" s="1038" t="n"/>
    </row>
    <row r="454">
      <c r="A454" s="979" t="n"/>
      <c r="B454" s="979" t="n"/>
      <c r="C454" s="979" t="n"/>
      <c r="D454" s="979" t="n"/>
      <c r="E454" s="979" t="n"/>
      <c r="F454" s="979" t="n"/>
      <c r="G454" s="979" t="n"/>
      <c r="H454" s="979" t="n"/>
      <c r="I454" s="979" t="n"/>
      <c r="J454" s="979" t="n"/>
      <c r="K454" s="979" t="n"/>
      <c r="L454" s="979" t="n"/>
      <c r="M454" s="979" t="n"/>
      <c r="N454" s="979" t="n"/>
      <c r="O454" s="1035" t="n"/>
      <c r="P454" s="1036" t="inlineStr">
        <is>
          <t>Итого</t>
        </is>
      </c>
      <c r="Q454" s="997" t="n"/>
      <c r="R454" s="997" t="n"/>
      <c r="S454" s="997" t="n"/>
      <c r="T454" s="997" t="n"/>
      <c r="U454" s="997" t="n"/>
      <c r="V454" s="998" t="n"/>
      <c r="W454" s="42" t="inlineStr">
        <is>
          <t>кг</t>
        </is>
      </c>
      <c r="X454" s="1037">
        <f>IFERROR(SUM(X450:X452),"0")</f>
        <v/>
      </c>
      <c r="Y454" s="1037">
        <f>IFERROR(SUM(Y450:Y452),"0")</f>
        <v/>
      </c>
      <c r="Z454" s="42" t="n"/>
      <c r="AA454" s="1038" t="n"/>
      <c r="AB454" s="1038" t="n"/>
      <c r="AC454" s="1038" t="n"/>
    </row>
    <row r="455" ht="27.75" customHeight="1">
      <c r="A455" s="692" t="inlineStr">
        <is>
          <t>Баварушка</t>
        </is>
      </c>
      <c r="B455" s="1027" t="n"/>
      <c r="C455" s="1027" t="n"/>
      <c r="D455" s="1027" t="n"/>
      <c r="E455" s="1027" t="n"/>
      <c r="F455" s="1027" t="n"/>
      <c r="G455" s="1027" t="n"/>
      <c r="H455" s="1027" t="n"/>
      <c r="I455" s="1027" t="n"/>
      <c r="J455" s="1027" t="n"/>
      <c r="K455" s="1027" t="n"/>
      <c r="L455" s="1027" t="n"/>
      <c r="M455" s="1027" t="n"/>
      <c r="N455" s="1027" t="n"/>
      <c r="O455" s="1027" t="n"/>
      <c r="P455" s="1027" t="n"/>
      <c r="Q455" s="1027" t="n"/>
      <c r="R455" s="1027" t="n"/>
      <c r="S455" s="1027" t="n"/>
      <c r="T455" s="1027" t="n"/>
      <c r="U455" s="1027" t="n"/>
      <c r="V455" s="1027" t="n"/>
      <c r="W455" s="1027" t="n"/>
      <c r="X455" s="1027" t="n"/>
      <c r="Y455" s="1027" t="n"/>
      <c r="Z455" s="1027" t="n"/>
      <c r="AA455" s="54" t="n"/>
      <c r="AB455" s="54" t="n"/>
      <c r="AC455" s="54" t="n"/>
    </row>
    <row r="456" ht="16.5" customHeight="1">
      <c r="A456" s="693" t="inlineStr">
        <is>
          <t>Филейбургская</t>
        </is>
      </c>
      <c r="B456" s="979" t="n"/>
      <c r="C456" s="979" t="n"/>
      <c r="D456" s="979" t="n"/>
      <c r="E456" s="979" t="n"/>
      <c r="F456" s="979" t="n"/>
      <c r="G456" s="979" t="n"/>
      <c r="H456" s="979" t="n"/>
      <c r="I456" s="979" t="n"/>
      <c r="J456" s="979" t="n"/>
      <c r="K456" s="979" t="n"/>
      <c r="L456" s="979" t="n"/>
      <c r="M456" s="979" t="n"/>
      <c r="N456" s="979" t="n"/>
      <c r="O456" s="979" t="n"/>
      <c r="P456" s="979" t="n"/>
      <c r="Q456" s="979" t="n"/>
      <c r="R456" s="979" t="n"/>
      <c r="S456" s="979" t="n"/>
      <c r="T456" s="979" t="n"/>
      <c r="U456" s="979" t="n"/>
      <c r="V456" s="979" t="n"/>
      <c r="W456" s="979" t="n"/>
      <c r="X456" s="979" t="n"/>
      <c r="Y456" s="979" t="n"/>
      <c r="Z456" s="979" t="n"/>
      <c r="AA456" s="693" t="n"/>
      <c r="AB456" s="693" t="n"/>
      <c r="AC456" s="693" t="n"/>
    </row>
    <row r="457" ht="14.25" customHeight="1">
      <c r="A457" s="694" t="inlineStr">
        <is>
          <t>Копченые колбасы</t>
        </is>
      </c>
      <c r="B457" s="979" t="n"/>
      <c r="C457" s="979" t="n"/>
      <c r="D457" s="979" t="n"/>
      <c r="E457" s="979" t="n"/>
      <c r="F457" s="979" t="n"/>
      <c r="G457" s="979" t="n"/>
      <c r="H457" s="979" t="n"/>
      <c r="I457" s="979" t="n"/>
      <c r="J457" s="979" t="n"/>
      <c r="K457" s="979" t="n"/>
      <c r="L457" s="979" t="n"/>
      <c r="M457" s="979" t="n"/>
      <c r="N457" s="979" t="n"/>
      <c r="O457" s="979" t="n"/>
      <c r="P457" s="979" t="n"/>
      <c r="Q457" s="979" t="n"/>
      <c r="R457" s="979" t="n"/>
      <c r="S457" s="979" t="n"/>
      <c r="T457" s="979" t="n"/>
      <c r="U457" s="979" t="n"/>
      <c r="V457" s="979" t="n"/>
      <c r="W457" s="979" t="n"/>
      <c r="X457" s="979" t="n"/>
      <c r="Y457" s="979" t="n"/>
      <c r="Z457" s="979" t="n"/>
      <c r="AA457" s="694" t="n"/>
      <c r="AB457" s="694" t="n"/>
      <c r="AC457" s="694" t="n"/>
    </row>
    <row r="458" ht="27" customHeight="1">
      <c r="A458" s="63" t="inlineStr">
        <is>
          <t>SU002614</t>
        </is>
      </c>
      <c r="B458" s="63" t="inlineStr">
        <is>
          <t>P004898</t>
        </is>
      </c>
      <c r="C458" s="36" t="n">
        <v>4301031405</v>
      </c>
      <c r="D458" s="695" t="n">
        <v>4680115886100</v>
      </c>
      <c r="E458" s="989" t="n"/>
      <c r="F458" s="1028" t="n">
        <v>0.9</v>
      </c>
      <c r="G458" s="37" t="n">
        <v>6</v>
      </c>
      <c r="H458" s="1028" t="n">
        <v>5.4</v>
      </c>
      <c r="I458" s="1028" t="n">
        <v>5.59</v>
      </c>
      <c r="J458" s="37" t="n">
        <v>132</v>
      </c>
      <c r="K458" s="37" t="inlineStr">
        <is>
          <t>12</t>
        </is>
      </c>
      <c r="L458" s="37" t="inlineStr"/>
      <c r="M458" s="38" t="inlineStr">
        <is>
          <t>СК2</t>
        </is>
      </c>
      <c r="N458" s="38" t="n"/>
      <c r="O458" s="37" t="n">
        <v>50</v>
      </c>
      <c r="P458" s="1267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/>
      </c>
      <c r="Q458" s="1030" t="n"/>
      <c r="R458" s="1030" t="n"/>
      <c r="S458" s="1030" t="n"/>
      <c r="T458" s="1031" t="n"/>
      <c r="U458" s="39" t="inlineStr"/>
      <c r="V458" s="39" t="inlineStr"/>
      <c r="W458" s="40" t="inlineStr">
        <is>
          <t>кг</t>
        </is>
      </c>
      <c r="X458" s="1032" t="n">
        <v>0</v>
      </c>
      <c r="Y458" s="1033">
        <f>IFERROR(IF(X458="",0,CEILING((X458/$H458),1)*$H458),"")</f>
        <v/>
      </c>
      <c r="Z458" s="41">
        <f>IFERROR(IF(Y458=0,"",ROUNDUP(Y458/H458,0)*0.00902),"")</f>
        <v/>
      </c>
      <c r="AA458" s="68" t="inlineStr"/>
      <c r="AB458" s="69" t="inlineStr"/>
      <c r="AC458" s="546" t="inlineStr">
        <is>
          <t>ЕАЭС N RU Д-RU.РА11.В.30785/25</t>
        </is>
      </c>
      <c r="AG458" s="78" t="n"/>
      <c r="AJ458" s="84" t="inlineStr"/>
      <c r="AK458" s="84" t="n">
        <v>0</v>
      </c>
      <c r="BB458" s="547" t="inlineStr">
        <is>
          <t>КИ</t>
        </is>
      </c>
      <c r="BM458" s="78">
        <f>IFERROR(X458*I458/H458,"0")</f>
        <v/>
      </c>
      <c r="BN458" s="78">
        <f>IFERROR(Y458*I458/H458,"0")</f>
        <v/>
      </c>
      <c r="BO458" s="78">
        <f>IFERROR(1/J458*(X458/H458),"0")</f>
        <v/>
      </c>
      <c r="BP458" s="78">
        <f>IFERROR(1/J458*(Y458/H458),"0")</f>
        <v/>
      </c>
    </row>
    <row r="459" ht="27" customHeight="1">
      <c r="A459" s="63" t="inlineStr">
        <is>
          <t>SU002613</t>
        </is>
      </c>
      <c r="B459" s="63" t="inlineStr">
        <is>
          <t>P004895</t>
        </is>
      </c>
      <c r="C459" s="36" t="n">
        <v>4301031402</v>
      </c>
      <c r="D459" s="695" t="n">
        <v>4680115886124</v>
      </c>
      <c r="E459" s="989" t="n"/>
      <c r="F459" s="1028" t="n">
        <v>0.9</v>
      </c>
      <c r="G459" s="37" t="n">
        <v>6</v>
      </c>
      <c r="H459" s="1028" t="n">
        <v>5.4</v>
      </c>
      <c r="I459" s="1028" t="n">
        <v>5.59</v>
      </c>
      <c r="J459" s="37" t="n">
        <v>132</v>
      </c>
      <c r="K459" s="37" t="inlineStr">
        <is>
          <t>12</t>
        </is>
      </c>
      <c r="L459" s="37" t="inlineStr"/>
      <c r="M459" s="38" t="inlineStr">
        <is>
          <t>СК2</t>
        </is>
      </c>
      <c r="N459" s="38" t="n"/>
      <c r="O459" s="37" t="n">
        <v>50</v>
      </c>
      <c r="P459" s="1268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/>
      </c>
      <c r="Q459" s="1030" t="n"/>
      <c r="R459" s="1030" t="n"/>
      <c r="S459" s="1030" t="n"/>
      <c r="T459" s="1031" t="n"/>
      <c r="U459" s="39" t="inlineStr"/>
      <c r="V459" s="39" t="inlineStr"/>
      <c r="W459" s="40" t="inlineStr">
        <is>
          <t>кг</t>
        </is>
      </c>
      <c r="X459" s="1032" t="n">
        <v>0</v>
      </c>
      <c r="Y459" s="1033">
        <f>IFERROR(IF(X459="",0,CEILING((X459/$H459),1)*$H459),"")</f>
        <v/>
      </c>
      <c r="Z459" s="41">
        <f>IFERROR(IF(Y459=0,"",ROUNDUP(Y459/H459,0)*0.00902),"")</f>
        <v/>
      </c>
      <c r="AA459" s="68" t="inlineStr"/>
      <c r="AB459" s="69" t="inlineStr"/>
      <c r="AC459" s="548" t="inlineStr">
        <is>
          <t>ЕАЭС N RU Д-RU.РА02.В.47033/26</t>
        </is>
      </c>
      <c r="AG459" s="78" t="n"/>
      <c r="AJ459" s="84" t="inlineStr"/>
      <c r="AK459" s="84" t="n">
        <v>0</v>
      </c>
      <c r="BB459" s="549" t="inlineStr">
        <is>
          <t>КИ</t>
        </is>
      </c>
      <c r="BM459" s="78">
        <f>IFERROR(X459*I459/H459,"0")</f>
        <v/>
      </c>
      <c r="BN459" s="78">
        <f>IFERROR(Y459*I459/H459,"0")</f>
        <v/>
      </c>
      <c r="BO459" s="78">
        <f>IFERROR(1/J459*(X459/H459),"0")</f>
        <v/>
      </c>
      <c r="BP459" s="78">
        <f>IFERROR(1/J459*(Y459/H459),"0")</f>
        <v/>
      </c>
    </row>
    <row r="460" ht="27" customHeight="1">
      <c r="A460" s="63" t="inlineStr">
        <is>
          <t>SU002538</t>
        </is>
      </c>
      <c r="B460" s="63" t="inlineStr">
        <is>
          <t>P004517</t>
        </is>
      </c>
      <c r="C460" s="36" t="n">
        <v>4301031362</v>
      </c>
      <c r="D460" s="695" t="n">
        <v>4607091384338</v>
      </c>
      <c r="E460" s="989" t="n"/>
      <c r="F460" s="1028" t="n">
        <v>0.35</v>
      </c>
      <c r="G460" s="37" t="n">
        <v>6</v>
      </c>
      <c r="H460" s="1028" t="n">
        <v>2.1</v>
      </c>
      <c r="I460" s="1028" t="n">
        <v>2.23</v>
      </c>
      <c r="J460" s="37" t="n">
        <v>234</v>
      </c>
      <c r="K460" s="37" t="inlineStr">
        <is>
          <t>18</t>
        </is>
      </c>
      <c r="L460" s="37" t="inlineStr"/>
      <c r="M460" s="38" t="inlineStr">
        <is>
          <t>СК2</t>
        </is>
      </c>
      <c r="N460" s="38" t="n"/>
      <c r="O460" s="37" t="n">
        <v>50</v>
      </c>
      <c r="P460" s="1269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60" s="1030" t="n"/>
      <c r="R460" s="1030" t="n"/>
      <c r="S460" s="1030" t="n"/>
      <c r="T460" s="1031" t="n"/>
      <c r="U460" s="39" t="inlineStr"/>
      <c r="V460" s="39" t="inlineStr"/>
      <c r="W460" s="40" t="inlineStr">
        <is>
          <t>кг</t>
        </is>
      </c>
      <c r="X460" s="1032" t="n">
        <v>0</v>
      </c>
      <c r="Y460" s="1033">
        <f>IFERROR(IF(X460="",0,CEILING((X460/$H460),1)*$H460),"")</f>
        <v/>
      </c>
      <c r="Z460" s="41">
        <f>IFERROR(IF(Y460=0,"",ROUNDUP(Y460/H460,0)*0.00502),"")</f>
        <v/>
      </c>
      <c r="AA460" s="68" t="inlineStr"/>
      <c r="AB460" s="69" t="inlineStr"/>
      <c r="AC460" s="550" t="inlineStr">
        <is>
          <t>ЕАЭС N RU Д-RU.РА11.В.30785/25</t>
        </is>
      </c>
      <c r="AG460" s="78" t="n"/>
      <c r="AJ460" s="84" t="inlineStr"/>
      <c r="AK460" s="84" t="n">
        <v>0</v>
      </c>
      <c r="BB460" s="551" t="inlineStr">
        <is>
          <t>КИ</t>
        </is>
      </c>
      <c r="BM460" s="78">
        <f>IFERROR(X460*I460/H460,"0")</f>
        <v/>
      </c>
      <c r="BN460" s="78">
        <f>IFERROR(Y460*I460/H460,"0")</f>
        <v/>
      </c>
      <c r="BO460" s="78">
        <f>IFERROR(1/J460*(X460/H460),"0")</f>
        <v/>
      </c>
      <c r="BP460" s="78">
        <f>IFERROR(1/J460*(Y460/H460),"0")</f>
        <v/>
      </c>
    </row>
    <row r="461" ht="27" customHeight="1">
      <c r="A461" s="63" t="inlineStr">
        <is>
          <t>SU003080</t>
        </is>
      </c>
      <c r="B461" s="63" t="inlineStr">
        <is>
          <t>P004525</t>
        </is>
      </c>
      <c r="C461" s="36" t="n">
        <v>4301031364</v>
      </c>
      <c r="D461" s="695" t="n">
        <v>4680115883161</v>
      </c>
      <c r="E461" s="989" t="n"/>
      <c r="F461" s="1028" t="n">
        <v>0.28</v>
      </c>
      <c r="G461" s="37" t="n">
        <v>6</v>
      </c>
      <c r="H461" s="1028" t="n">
        <v>1.68</v>
      </c>
      <c r="I461" s="1028" t="n">
        <v>1.81</v>
      </c>
      <c r="J461" s="37" t="n">
        <v>234</v>
      </c>
      <c r="K461" s="37" t="inlineStr">
        <is>
          <t>18</t>
        </is>
      </c>
      <c r="L461" s="37" t="inlineStr"/>
      <c r="M461" s="38" t="inlineStr">
        <is>
          <t>СК2</t>
        </is>
      </c>
      <c r="N461" s="38" t="n"/>
      <c r="O461" s="37" t="n">
        <v>50</v>
      </c>
      <c r="P461" s="1270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/>
      </c>
      <c r="Q461" s="1030" t="n"/>
      <c r="R461" s="1030" t="n"/>
      <c r="S461" s="1030" t="n"/>
      <c r="T461" s="1031" t="n"/>
      <c r="U461" s="39" t="inlineStr"/>
      <c r="V461" s="39" t="inlineStr"/>
      <c r="W461" s="40" t="inlineStr">
        <is>
          <t>кг</t>
        </is>
      </c>
      <c r="X461" s="1032" t="n">
        <v>0</v>
      </c>
      <c r="Y461" s="1033">
        <f>IFERROR(IF(X461="",0,CEILING((X461/$H461),1)*$H461),"")</f>
        <v/>
      </c>
      <c r="Z461" s="41">
        <f>IFERROR(IF(Y461=0,"",ROUNDUP(Y461/H461,0)*0.00502),"")</f>
        <v/>
      </c>
      <c r="AA461" s="68" t="inlineStr"/>
      <c r="AB461" s="69" t="inlineStr"/>
      <c r="AC461" s="552" t="inlineStr">
        <is>
          <t>ЕАЭС N RU Д-RU.РА01.В.80532/26</t>
        </is>
      </c>
      <c r="AG461" s="78" t="n"/>
      <c r="AJ461" s="84" t="inlineStr"/>
      <c r="AK461" s="84" t="n">
        <v>0</v>
      </c>
      <c r="BB461" s="553" t="inlineStr">
        <is>
          <t>КИ</t>
        </is>
      </c>
      <c r="BM461" s="78">
        <f>IFERROR(X461*I461/H461,"0")</f>
        <v/>
      </c>
      <c r="BN461" s="78">
        <f>IFERROR(Y461*I461/H461,"0")</f>
        <v/>
      </c>
      <c r="BO461" s="78">
        <f>IFERROR(1/J461*(X461/H461),"0")</f>
        <v/>
      </c>
      <c r="BP461" s="78">
        <f>IFERROR(1/J461*(Y461/H461),"0")</f>
        <v/>
      </c>
    </row>
    <row r="462" ht="27" customHeight="1">
      <c r="A462" s="63" t="inlineStr">
        <is>
          <t>SU002606</t>
        </is>
      </c>
      <c r="B462" s="63" t="inlineStr">
        <is>
          <t>P004521</t>
        </is>
      </c>
      <c r="C462" s="36" t="n">
        <v>4301031358</v>
      </c>
      <c r="D462" s="695" t="n">
        <v>4607091389531</v>
      </c>
      <c r="E462" s="989" t="n"/>
      <c r="F462" s="1028" t="n">
        <v>0.35</v>
      </c>
      <c r="G462" s="37" t="n">
        <v>6</v>
      </c>
      <c r="H462" s="1028" t="n">
        <v>2.1</v>
      </c>
      <c r="I462" s="1028" t="n">
        <v>2.23</v>
      </c>
      <c r="J462" s="37" t="n">
        <v>234</v>
      </c>
      <c r="K462" s="37" t="inlineStr">
        <is>
          <t>18</t>
        </is>
      </c>
      <c r="L462" s="37" t="inlineStr"/>
      <c r="M462" s="38" t="inlineStr">
        <is>
          <t>СК2</t>
        </is>
      </c>
      <c r="N462" s="38" t="n"/>
      <c r="O462" s="37" t="n">
        <v>50</v>
      </c>
      <c r="P462" s="1271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62" s="1030" t="n"/>
      <c r="R462" s="1030" t="n"/>
      <c r="S462" s="1030" t="n"/>
      <c r="T462" s="1031" t="n"/>
      <c r="U462" s="39" t="inlineStr"/>
      <c r="V462" s="39" t="inlineStr"/>
      <c r="W462" s="40" t="inlineStr">
        <is>
          <t>кг</t>
        </is>
      </c>
      <c r="X462" s="1032" t="n">
        <v>0</v>
      </c>
      <c r="Y462" s="1033">
        <f>IFERROR(IF(X462="",0,CEILING((X462/$H462),1)*$H462),"")</f>
        <v/>
      </c>
      <c r="Z462" s="41">
        <f>IFERROR(IF(Y462=0,"",ROUNDUP(Y462/H462,0)*0.00502),"")</f>
        <v/>
      </c>
      <c r="AA462" s="68" t="inlineStr"/>
      <c r="AB462" s="69" t="inlineStr"/>
      <c r="AC462" s="554" t="inlineStr">
        <is>
          <t>ЕАЭС N RU Д-RU.РА02.В.39101/26</t>
        </is>
      </c>
      <c r="AG462" s="78" t="n"/>
      <c r="AJ462" s="84" t="inlineStr"/>
      <c r="AK462" s="84" t="n">
        <v>0</v>
      </c>
      <c r="BB462" s="555" t="inlineStr">
        <is>
          <t>КИ</t>
        </is>
      </c>
      <c r="BM462" s="78">
        <f>IFERROR(X462*I462/H462,"0")</f>
        <v/>
      </c>
      <c r="BN462" s="78">
        <f>IFERROR(Y462*I462/H462,"0")</f>
        <v/>
      </c>
      <c r="BO462" s="78">
        <f>IFERROR(1/J462*(X462/H462),"0")</f>
        <v/>
      </c>
      <c r="BP462" s="78">
        <f>IFERROR(1/J462*(Y462/H462),"0")</f>
        <v/>
      </c>
    </row>
    <row r="463" ht="37.5" customHeight="1">
      <c r="A463" s="63" t="inlineStr">
        <is>
          <t>SU002603</t>
        </is>
      </c>
      <c r="B463" s="63" t="inlineStr">
        <is>
          <t>P004519</t>
        </is>
      </c>
      <c r="C463" s="36" t="n">
        <v>4301031360</v>
      </c>
      <c r="D463" s="695" t="n">
        <v>4607091384345</v>
      </c>
      <c r="E463" s="989" t="n"/>
      <c r="F463" s="1028" t="n">
        <v>0.35</v>
      </c>
      <c r="G463" s="37" t="n">
        <v>6</v>
      </c>
      <c r="H463" s="1028" t="n">
        <v>2.1</v>
      </c>
      <c r="I463" s="1028" t="n">
        <v>2.23</v>
      </c>
      <c r="J463" s="37" t="n">
        <v>234</v>
      </c>
      <c r="K463" s="37" t="inlineStr">
        <is>
          <t>18</t>
        </is>
      </c>
      <c r="L463" s="37" t="inlineStr"/>
      <c r="M463" s="38" t="inlineStr">
        <is>
          <t>СК2</t>
        </is>
      </c>
      <c r="N463" s="38" t="n"/>
      <c r="O463" s="37" t="n">
        <v>50</v>
      </c>
      <c r="P463" s="1272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63" s="1030" t="n"/>
      <c r="R463" s="1030" t="n"/>
      <c r="S463" s="1030" t="n"/>
      <c r="T463" s="1031" t="n"/>
      <c r="U463" s="39" t="inlineStr"/>
      <c r="V463" s="39" t="inlineStr"/>
      <c r="W463" s="40" t="inlineStr">
        <is>
          <t>кг</t>
        </is>
      </c>
      <c r="X463" s="1032" t="n">
        <v>0</v>
      </c>
      <c r="Y463" s="1033">
        <f>IFERROR(IF(X463="",0,CEILING((X463/$H463),1)*$H463),"")</f>
        <v/>
      </c>
      <c r="Z463" s="41">
        <f>IFERROR(IF(Y463=0,"",ROUNDUP(Y463/H463,0)*0.00502),"")</f>
        <v/>
      </c>
      <c r="AA463" s="68" t="inlineStr"/>
      <c r="AB463" s="69" t="inlineStr"/>
      <c r="AC463" s="556" t="inlineStr">
        <is>
          <t>ЕАЭС N RU Д-RU.РА01.В.80532/26</t>
        </is>
      </c>
      <c r="AG463" s="78" t="n"/>
      <c r="AJ463" s="84" t="inlineStr"/>
      <c r="AK463" s="84" t="n">
        <v>0</v>
      </c>
      <c r="BB463" s="557" t="inlineStr">
        <is>
          <t>КИ</t>
        </is>
      </c>
      <c r="BM463" s="78">
        <f>IFERROR(X463*I463/H463,"0")</f>
        <v/>
      </c>
      <c r="BN463" s="78">
        <f>IFERROR(Y463*I463/H463,"0")</f>
        <v/>
      </c>
      <c r="BO463" s="78">
        <f>IFERROR(1/J463*(X463/H463),"0")</f>
        <v/>
      </c>
      <c r="BP463" s="78">
        <f>IFERROR(1/J463*(Y463/H463),"0")</f>
        <v/>
      </c>
    </row>
    <row r="464">
      <c r="A464" s="704" t="n"/>
      <c r="B464" s="979" t="n"/>
      <c r="C464" s="979" t="n"/>
      <c r="D464" s="979" t="n"/>
      <c r="E464" s="979" t="n"/>
      <c r="F464" s="979" t="n"/>
      <c r="G464" s="979" t="n"/>
      <c r="H464" s="979" t="n"/>
      <c r="I464" s="979" t="n"/>
      <c r="J464" s="979" t="n"/>
      <c r="K464" s="979" t="n"/>
      <c r="L464" s="979" t="n"/>
      <c r="M464" s="979" t="n"/>
      <c r="N464" s="979" t="n"/>
      <c r="O464" s="1035" t="n"/>
      <c r="P464" s="1036" t="inlineStr">
        <is>
          <t>Итого</t>
        </is>
      </c>
      <c r="Q464" s="997" t="n"/>
      <c r="R464" s="997" t="n"/>
      <c r="S464" s="997" t="n"/>
      <c r="T464" s="997" t="n"/>
      <c r="U464" s="997" t="n"/>
      <c r="V464" s="998" t="n"/>
      <c r="W464" s="42" t="inlineStr">
        <is>
          <t>кор</t>
        </is>
      </c>
      <c r="X464" s="1037">
        <f>IFERROR(X458/H458,"0")+IFERROR(X459/H459,"0")+IFERROR(X460/H460,"0")+IFERROR(X461/H461,"0")+IFERROR(X462/H462,"0")+IFERROR(X463/H463,"0")</f>
        <v/>
      </c>
      <c r="Y464" s="1037">
        <f>IFERROR(Y458/H458,"0")+IFERROR(Y459/H459,"0")+IFERROR(Y460/H460,"0")+IFERROR(Y461/H461,"0")+IFERROR(Y462/H462,"0")+IFERROR(Y463/H463,"0")</f>
        <v/>
      </c>
      <c r="Z464" s="1037">
        <f>IFERROR(IF(Z458="",0,Z458),"0")+IFERROR(IF(Z459="",0,Z459),"0")+IFERROR(IF(Z460="",0,Z460),"0")+IFERROR(IF(Z461="",0,Z461),"0")+IFERROR(IF(Z462="",0,Z462),"0")+IFERROR(IF(Z463="",0,Z463),"0")</f>
        <v/>
      </c>
      <c r="AA464" s="1038" t="n"/>
      <c r="AB464" s="1038" t="n"/>
      <c r="AC464" s="1038" t="n"/>
    </row>
    <row r="465">
      <c r="A465" s="979" t="n"/>
      <c r="B465" s="979" t="n"/>
      <c r="C465" s="979" t="n"/>
      <c r="D465" s="979" t="n"/>
      <c r="E465" s="979" t="n"/>
      <c r="F465" s="979" t="n"/>
      <c r="G465" s="979" t="n"/>
      <c r="H465" s="979" t="n"/>
      <c r="I465" s="979" t="n"/>
      <c r="J465" s="979" t="n"/>
      <c r="K465" s="979" t="n"/>
      <c r="L465" s="979" t="n"/>
      <c r="M465" s="979" t="n"/>
      <c r="N465" s="979" t="n"/>
      <c r="O465" s="1035" t="n"/>
      <c r="P465" s="1036" t="inlineStr">
        <is>
          <t>Итого</t>
        </is>
      </c>
      <c r="Q465" s="997" t="n"/>
      <c r="R465" s="997" t="n"/>
      <c r="S465" s="997" t="n"/>
      <c r="T465" s="997" t="n"/>
      <c r="U465" s="997" t="n"/>
      <c r="V465" s="998" t="n"/>
      <c r="W465" s="42" t="inlineStr">
        <is>
          <t>кг</t>
        </is>
      </c>
      <c r="X465" s="1037">
        <f>IFERROR(SUM(X458:X463),"0")</f>
        <v/>
      </c>
      <c r="Y465" s="1037">
        <f>IFERROR(SUM(Y458:Y463),"0")</f>
        <v/>
      </c>
      <c r="Z465" s="42" t="n"/>
      <c r="AA465" s="1038" t="n"/>
      <c r="AB465" s="1038" t="n"/>
      <c r="AC465" s="1038" t="n"/>
    </row>
    <row r="466" ht="14.25" customHeight="1">
      <c r="A466" s="694" t="inlineStr">
        <is>
          <t>Сосиски</t>
        </is>
      </c>
      <c r="B466" s="979" t="n"/>
      <c r="C466" s="979" t="n"/>
      <c r="D466" s="979" t="n"/>
      <c r="E466" s="979" t="n"/>
      <c r="F466" s="979" t="n"/>
      <c r="G466" s="979" t="n"/>
      <c r="H466" s="979" t="n"/>
      <c r="I466" s="979" t="n"/>
      <c r="J466" s="979" t="n"/>
      <c r="K466" s="979" t="n"/>
      <c r="L466" s="979" t="n"/>
      <c r="M466" s="979" t="n"/>
      <c r="N466" s="979" t="n"/>
      <c r="O466" s="979" t="n"/>
      <c r="P466" s="979" t="n"/>
      <c r="Q466" s="979" t="n"/>
      <c r="R466" s="979" t="n"/>
      <c r="S466" s="979" t="n"/>
      <c r="T466" s="979" t="n"/>
      <c r="U466" s="979" t="n"/>
      <c r="V466" s="979" t="n"/>
      <c r="W466" s="979" t="n"/>
      <c r="X466" s="979" t="n"/>
      <c r="Y466" s="979" t="n"/>
      <c r="Z466" s="979" t="n"/>
      <c r="AA466" s="694" t="n"/>
      <c r="AB466" s="694" t="n"/>
      <c r="AC466" s="694" t="n"/>
    </row>
    <row r="467" ht="27" customHeight="1">
      <c r="A467" s="63" t="inlineStr">
        <is>
          <t>SU002285</t>
        </is>
      </c>
      <c r="B467" s="63" t="inlineStr">
        <is>
          <t>P002969</t>
        </is>
      </c>
      <c r="C467" s="36" t="n">
        <v>4301051284</v>
      </c>
      <c r="D467" s="695" t="n">
        <v>4607091384352</v>
      </c>
      <c r="E467" s="989" t="n"/>
      <c r="F467" s="1028" t="n">
        <v>0.6</v>
      </c>
      <c r="G467" s="37" t="n">
        <v>4</v>
      </c>
      <c r="H467" s="1028" t="n">
        <v>2.4</v>
      </c>
      <c r="I467" s="1028" t="n">
        <v>2.626</v>
      </c>
      <c r="J467" s="37" t="n">
        <v>132</v>
      </c>
      <c r="K467" s="37" t="inlineStr">
        <is>
          <t>12</t>
        </is>
      </c>
      <c r="L467" s="37" t="inlineStr"/>
      <c r="M467" s="38" t="inlineStr">
        <is>
          <t>СК3</t>
        </is>
      </c>
      <c r="N467" s="38" t="n"/>
      <c r="O467" s="37" t="n">
        <v>45</v>
      </c>
      <c r="P467" s="1273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67" s="1030" t="n"/>
      <c r="R467" s="1030" t="n"/>
      <c r="S467" s="1030" t="n"/>
      <c r="T467" s="1031" t="n"/>
      <c r="U467" s="39" t="inlineStr"/>
      <c r="V467" s="39" t="inlineStr"/>
      <c r="W467" s="40" t="inlineStr">
        <is>
          <t>кг</t>
        </is>
      </c>
      <c r="X467" s="1032" t="n">
        <v>0</v>
      </c>
      <c r="Y467" s="1033">
        <f>IFERROR(IF(X467="",0,CEILING((X467/$H467),1)*$H467),"")</f>
        <v/>
      </c>
      <c r="Z467" s="41">
        <f>IFERROR(IF(Y467=0,"",ROUNDUP(Y467/H467,0)*0.00902),"")</f>
        <v/>
      </c>
      <c r="AA467" s="68" t="inlineStr"/>
      <c r="AB467" s="69" t="inlineStr"/>
      <c r="AC467" s="558" t="inlineStr">
        <is>
          <t>ЕАЭС N RU Д-RU.РА10.В.31132/25</t>
        </is>
      </c>
      <c r="AG467" s="78" t="n"/>
      <c r="AJ467" s="84" t="inlineStr"/>
      <c r="AK467" s="84" t="n">
        <v>0</v>
      </c>
      <c r="BB467" s="559" t="inlineStr">
        <is>
          <t>КИ</t>
        </is>
      </c>
      <c r="BM467" s="78">
        <f>IFERROR(X467*I467/H467,"0")</f>
        <v/>
      </c>
      <c r="BN467" s="78">
        <f>IFERROR(Y467*I467/H467,"0")</f>
        <v/>
      </c>
      <c r="BO467" s="78">
        <f>IFERROR(1/J467*(X467/H467),"0")</f>
        <v/>
      </c>
      <c r="BP467" s="78">
        <f>IFERROR(1/J467*(Y467/H467),"0")</f>
        <v/>
      </c>
    </row>
    <row r="468" ht="27" customHeight="1">
      <c r="A468" s="63" t="inlineStr">
        <is>
          <t>SU002557</t>
        </is>
      </c>
      <c r="B468" s="63" t="inlineStr">
        <is>
          <t>P003318</t>
        </is>
      </c>
      <c r="C468" s="36" t="n">
        <v>4301051431</v>
      </c>
      <c r="D468" s="695" t="n">
        <v>4607091389654</v>
      </c>
      <c r="E468" s="989" t="n"/>
      <c r="F468" s="1028" t="n">
        <v>0.33</v>
      </c>
      <c r="G468" s="37" t="n">
        <v>6</v>
      </c>
      <c r="H468" s="1028" t="n">
        <v>1.98</v>
      </c>
      <c r="I468" s="1028" t="n">
        <v>2.238</v>
      </c>
      <c r="J468" s="37" t="n">
        <v>182</v>
      </c>
      <c r="K468" s="37" t="inlineStr">
        <is>
          <t>14</t>
        </is>
      </c>
      <c r="L468" s="37" t="inlineStr"/>
      <c r="M468" s="38" t="inlineStr">
        <is>
          <t>СК3</t>
        </is>
      </c>
      <c r="N468" s="38" t="n"/>
      <c r="O468" s="37" t="n">
        <v>45</v>
      </c>
      <c r="P468" s="1274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68" s="1030" t="n"/>
      <c r="R468" s="1030" t="n"/>
      <c r="S468" s="1030" t="n"/>
      <c r="T468" s="1031" t="n"/>
      <c r="U468" s="39" t="inlineStr"/>
      <c r="V468" s="39" t="inlineStr"/>
      <c r="W468" s="40" t="inlineStr">
        <is>
          <t>кг</t>
        </is>
      </c>
      <c r="X468" s="1032" t="n">
        <v>0</v>
      </c>
      <c r="Y468" s="1033">
        <f>IFERROR(IF(X468="",0,CEILING((X468/$H468),1)*$H468),"")</f>
        <v/>
      </c>
      <c r="Z468" s="41">
        <f>IFERROR(IF(Y468=0,"",ROUNDUP(Y468/H468,0)*0.00651),"")</f>
        <v/>
      </c>
      <c r="AA468" s="68" t="inlineStr"/>
      <c r="AB468" s="69" t="inlineStr"/>
      <c r="AC468" s="560" t="inlineStr">
        <is>
          <t>ЕАЭС N RU Д-RU.РА07.В.45058/25</t>
        </is>
      </c>
      <c r="AG468" s="78" t="n"/>
      <c r="AJ468" s="84" t="inlineStr"/>
      <c r="AK468" s="84" t="n">
        <v>0</v>
      </c>
      <c r="BB468" s="561" t="inlineStr">
        <is>
          <t>КИ</t>
        </is>
      </c>
      <c r="BM468" s="78">
        <f>IFERROR(X468*I468/H468,"0")</f>
        <v/>
      </c>
      <c r="BN468" s="78">
        <f>IFERROR(Y468*I468/H468,"0")</f>
        <v/>
      </c>
      <c r="BO468" s="78">
        <f>IFERROR(1/J468*(X468/H468),"0")</f>
        <v/>
      </c>
      <c r="BP468" s="78">
        <f>IFERROR(1/J468*(Y468/H468),"0")</f>
        <v/>
      </c>
    </row>
    <row r="469">
      <c r="A469" s="704" t="n"/>
      <c r="B469" s="979" t="n"/>
      <c r="C469" s="979" t="n"/>
      <c r="D469" s="979" t="n"/>
      <c r="E469" s="979" t="n"/>
      <c r="F469" s="979" t="n"/>
      <c r="G469" s="979" t="n"/>
      <c r="H469" s="979" t="n"/>
      <c r="I469" s="979" t="n"/>
      <c r="J469" s="979" t="n"/>
      <c r="K469" s="979" t="n"/>
      <c r="L469" s="979" t="n"/>
      <c r="M469" s="979" t="n"/>
      <c r="N469" s="979" t="n"/>
      <c r="O469" s="1035" t="n"/>
      <c r="P469" s="1036" t="inlineStr">
        <is>
          <t>Итого</t>
        </is>
      </c>
      <c r="Q469" s="997" t="n"/>
      <c r="R469" s="997" t="n"/>
      <c r="S469" s="997" t="n"/>
      <c r="T469" s="997" t="n"/>
      <c r="U469" s="997" t="n"/>
      <c r="V469" s="998" t="n"/>
      <c r="W469" s="42" t="inlineStr">
        <is>
          <t>кор</t>
        </is>
      </c>
      <c r="X469" s="1037">
        <f>IFERROR(X467/H467,"0")+IFERROR(X468/H468,"0")</f>
        <v/>
      </c>
      <c r="Y469" s="1037">
        <f>IFERROR(Y467/H467,"0")+IFERROR(Y468/H468,"0")</f>
        <v/>
      </c>
      <c r="Z469" s="1037">
        <f>IFERROR(IF(Z467="",0,Z467),"0")+IFERROR(IF(Z468="",0,Z468),"0")</f>
        <v/>
      </c>
      <c r="AA469" s="1038" t="n"/>
      <c r="AB469" s="1038" t="n"/>
      <c r="AC469" s="1038" t="n"/>
    </row>
    <row r="470">
      <c r="A470" s="979" t="n"/>
      <c r="B470" s="979" t="n"/>
      <c r="C470" s="979" t="n"/>
      <c r="D470" s="979" t="n"/>
      <c r="E470" s="979" t="n"/>
      <c r="F470" s="979" t="n"/>
      <c r="G470" s="979" t="n"/>
      <c r="H470" s="979" t="n"/>
      <c r="I470" s="979" t="n"/>
      <c r="J470" s="979" t="n"/>
      <c r="K470" s="979" t="n"/>
      <c r="L470" s="979" t="n"/>
      <c r="M470" s="979" t="n"/>
      <c r="N470" s="979" t="n"/>
      <c r="O470" s="1035" t="n"/>
      <c r="P470" s="1036" t="inlineStr">
        <is>
          <t>Итого</t>
        </is>
      </c>
      <c r="Q470" s="997" t="n"/>
      <c r="R470" s="997" t="n"/>
      <c r="S470" s="997" t="n"/>
      <c r="T470" s="997" t="n"/>
      <c r="U470" s="997" t="n"/>
      <c r="V470" s="998" t="n"/>
      <c r="W470" s="42" t="inlineStr">
        <is>
          <t>кг</t>
        </is>
      </c>
      <c r="X470" s="1037">
        <f>IFERROR(SUM(X467:X468),"0")</f>
        <v/>
      </c>
      <c r="Y470" s="1037">
        <f>IFERROR(SUM(Y467:Y468),"0")</f>
        <v/>
      </c>
      <c r="Z470" s="42" t="n"/>
      <c r="AA470" s="1038" t="n"/>
      <c r="AB470" s="1038" t="n"/>
      <c r="AC470" s="1038" t="n"/>
    </row>
    <row r="471" ht="16.5" customHeight="1">
      <c r="A471" s="693" t="inlineStr">
        <is>
          <t>Балыкбургская</t>
        </is>
      </c>
      <c r="B471" s="979" t="n"/>
      <c r="C471" s="979" t="n"/>
      <c r="D471" s="979" t="n"/>
      <c r="E471" s="979" t="n"/>
      <c r="F471" s="979" t="n"/>
      <c r="G471" s="979" t="n"/>
      <c r="H471" s="979" t="n"/>
      <c r="I471" s="979" t="n"/>
      <c r="J471" s="979" t="n"/>
      <c r="K471" s="979" t="n"/>
      <c r="L471" s="979" t="n"/>
      <c r="M471" s="979" t="n"/>
      <c r="N471" s="979" t="n"/>
      <c r="O471" s="979" t="n"/>
      <c r="P471" s="979" t="n"/>
      <c r="Q471" s="979" t="n"/>
      <c r="R471" s="979" t="n"/>
      <c r="S471" s="979" t="n"/>
      <c r="T471" s="979" t="n"/>
      <c r="U471" s="979" t="n"/>
      <c r="V471" s="979" t="n"/>
      <c r="W471" s="979" t="n"/>
      <c r="X471" s="979" t="n"/>
      <c r="Y471" s="979" t="n"/>
      <c r="Z471" s="979" t="n"/>
      <c r="AA471" s="693" t="n"/>
      <c r="AB471" s="693" t="n"/>
      <c r="AC471" s="693" t="n"/>
    </row>
    <row r="472" ht="14.25" customHeight="1">
      <c r="A472" s="694" t="inlineStr">
        <is>
          <t>Ветчины</t>
        </is>
      </c>
      <c r="B472" s="979" t="n"/>
      <c r="C472" s="979" t="n"/>
      <c r="D472" s="979" t="n"/>
      <c r="E472" s="979" t="n"/>
      <c r="F472" s="979" t="n"/>
      <c r="G472" s="979" t="n"/>
      <c r="H472" s="979" t="n"/>
      <c r="I472" s="979" t="n"/>
      <c r="J472" s="979" t="n"/>
      <c r="K472" s="979" t="n"/>
      <c r="L472" s="979" t="n"/>
      <c r="M472" s="979" t="n"/>
      <c r="N472" s="979" t="n"/>
      <c r="O472" s="979" t="n"/>
      <c r="P472" s="979" t="n"/>
      <c r="Q472" s="979" t="n"/>
      <c r="R472" s="979" t="n"/>
      <c r="S472" s="979" t="n"/>
      <c r="T472" s="979" t="n"/>
      <c r="U472" s="979" t="n"/>
      <c r="V472" s="979" t="n"/>
      <c r="W472" s="979" t="n"/>
      <c r="X472" s="979" t="n"/>
      <c r="Y472" s="979" t="n"/>
      <c r="Z472" s="979" t="n"/>
      <c r="AA472" s="694" t="n"/>
      <c r="AB472" s="694" t="n"/>
      <c r="AC472" s="694" t="n"/>
    </row>
    <row r="473" ht="27" customHeight="1">
      <c r="A473" s="63" t="inlineStr">
        <is>
          <t>SU003500</t>
        </is>
      </c>
      <c r="B473" s="63" t="inlineStr">
        <is>
          <t>P004400</t>
        </is>
      </c>
      <c r="C473" s="36" t="n">
        <v>4301020416</v>
      </c>
      <c r="D473" s="695" t="n">
        <v>4680115885240</v>
      </c>
      <c r="E473" s="989" t="n"/>
      <c r="F473" s="1028" t="n">
        <v>0.35</v>
      </c>
      <c r="G473" s="37" t="n">
        <v>6</v>
      </c>
      <c r="H473" s="1028" t="n">
        <v>2.1</v>
      </c>
      <c r="I473" s="1028" t="n">
        <v>2.31</v>
      </c>
      <c r="J473" s="37" t="n">
        <v>182</v>
      </c>
      <c r="K473" s="37" t="inlineStr">
        <is>
          <t>14</t>
        </is>
      </c>
      <c r="L473" s="37" t="inlineStr"/>
      <c r="M473" s="38" t="inlineStr">
        <is>
          <t>СК2</t>
        </is>
      </c>
      <c r="N473" s="38" t="n"/>
      <c r="O473" s="37" t="n">
        <v>40</v>
      </c>
      <c r="P473" s="1275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73" s="1030" t="n"/>
      <c r="R473" s="1030" t="n"/>
      <c r="S473" s="1030" t="n"/>
      <c r="T473" s="1031" t="n"/>
      <c r="U473" s="39" t="inlineStr"/>
      <c r="V473" s="39" t="inlineStr"/>
      <c r="W473" s="40" t="inlineStr">
        <is>
          <t>кг</t>
        </is>
      </c>
      <c r="X473" s="1032" t="n">
        <v>0</v>
      </c>
      <c r="Y473" s="1033">
        <f>IFERROR(IF(X473="",0,CEILING((X473/$H473),1)*$H473),"")</f>
        <v/>
      </c>
      <c r="Z473" s="41">
        <f>IFERROR(IF(Y473=0,"",ROUNDUP(Y473/H473,0)*0.00651),"")</f>
        <v/>
      </c>
      <c r="AA473" s="68" t="inlineStr"/>
      <c r="AB473" s="69" t="inlineStr"/>
      <c r="AC473" s="562" t="inlineStr">
        <is>
          <t>ЕАЭС N RU Д-RU.РА04.В.08736/24</t>
        </is>
      </c>
      <c r="AG473" s="78" t="n"/>
      <c r="AJ473" s="84" t="inlineStr"/>
      <c r="AK473" s="84" t="n">
        <v>0</v>
      </c>
      <c r="BB473" s="563" t="inlineStr">
        <is>
          <t>КИ</t>
        </is>
      </c>
      <c r="BM473" s="78">
        <f>IFERROR(X473*I473/H473,"0")</f>
        <v/>
      </c>
      <c r="BN473" s="78">
        <f>IFERROR(Y473*I473/H473,"0")</f>
        <v/>
      </c>
      <c r="BO473" s="78">
        <f>IFERROR(1/J473*(X473/H473),"0")</f>
        <v/>
      </c>
      <c r="BP473" s="78">
        <f>IFERROR(1/J473*(Y473/H473),"0")</f>
        <v/>
      </c>
    </row>
    <row r="474">
      <c r="A474" s="704" t="n"/>
      <c r="B474" s="979" t="n"/>
      <c r="C474" s="979" t="n"/>
      <c r="D474" s="979" t="n"/>
      <c r="E474" s="979" t="n"/>
      <c r="F474" s="979" t="n"/>
      <c r="G474" s="979" t="n"/>
      <c r="H474" s="979" t="n"/>
      <c r="I474" s="979" t="n"/>
      <c r="J474" s="979" t="n"/>
      <c r="K474" s="979" t="n"/>
      <c r="L474" s="979" t="n"/>
      <c r="M474" s="979" t="n"/>
      <c r="N474" s="979" t="n"/>
      <c r="O474" s="1035" t="n"/>
      <c r="P474" s="1036" t="inlineStr">
        <is>
          <t>Итого</t>
        </is>
      </c>
      <c r="Q474" s="997" t="n"/>
      <c r="R474" s="997" t="n"/>
      <c r="S474" s="997" t="n"/>
      <c r="T474" s="997" t="n"/>
      <c r="U474" s="997" t="n"/>
      <c r="V474" s="998" t="n"/>
      <c r="W474" s="42" t="inlineStr">
        <is>
          <t>кор</t>
        </is>
      </c>
      <c r="X474" s="1037">
        <f>IFERROR(X473/H473,"0")</f>
        <v/>
      </c>
      <c r="Y474" s="1037">
        <f>IFERROR(Y473/H473,"0")</f>
        <v/>
      </c>
      <c r="Z474" s="1037">
        <f>IFERROR(IF(Z473="",0,Z473),"0")</f>
        <v/>
      </c>
      <c r="AA474" s="1038" t="n"/>
      <c r="AB474" s="1038" t="n"/>
      <c r="AC474" s="1038" t="n"/>
    </row>
    <row r="475">
      <c r="A475" s="979" t="n"/>
      <c r="B475" s="979" t="n"/>
      <c r="C475" s="979" t="n"/>
      <c r="D475" s="979" t="n"/>
      <c r="E475" s="979" t="n"/>
      <c r="F475" s="979" t="n"/>
      <c r="G475" s="979" t="n"/>
      <c r="H475" s="979" t="n"/>
      <c r="I475" s="979" t="n"/>
      <c r="J475" s="979" t="n"/>
      <c r="K475" s="979" t="n"/>
      <c r="L475" s="979" t="n"/>
      <c r="M475" s="979" t="n"/>
      <c r="N475" s="979" t="n"/>
      <c r="O475" s="1035" t="n"/>
      <c r="P475" s="1036" t="inlineStr">
        <is>
          <t>Итого</t>
        </is>
      </c>
      <c r="Q475" s="997" t="n"/>
      <c r="R475" s="997" t="n"/>
      <c r="S475" s="997" t="n"/>
      <c r="T475" s="997" t="n"/>
      <c r="U475" s="997" t="n"/>
      <c r="V475" s="998" t="n"/>
      <c r="W475" s="42" t="inlineStr">
        <is>
          <t>кг</t>
        </is>
      </c>
      <c r="X475" s="1037">
        <f>IFERROR(SUM(X473:X473),"0")</f>
        <v/>
      </c>
      <c r="Y475" s="1037">
        <f>IFERROR(SUM(Y473:Y473),"0")</f>
        <v/>
      </c>
      <c r="Z475" s="42" t="n"/>
      <c r="AA475" s="1038" t="n"/>
      <c r="AB475" s="1038" t="n"/>
      <c r="AC475" s="1038" t="n"/>
    </row>
    <row r="476" ht="14.25" customHeight="1">
      <c r="A476" s="694" t="inlineStr">
        <is>
          <t>Копченые колбасы</t>
        </is>
      </c>
      <c r="B476" s="979" t="n"/>
      <c r="C476" s="979" t="n"/>
      <c r="D476" s="979" t="n"/>
      <c r="E476" s="979" t="n"/>
      <c r="F476" s="979" t="n"/>
      <c r="G476" s="979" t="n"/>
      <c r="H476" s="979" t="n"/>
      <c r="I476" s="979" t="n"/>
      <c r="J476" s="979" t="n"/>
      <c r="K476" s="979" t="n"/>
      <c r="L476" s="979" t="n"/>
      <c r="M476" s="979" t="n"/>
      <c r="N476" s="979" t="n"/>
      <c r="O476" s="979" t="n"/>
      <c r="P476" s="979" t="n"/>
      <c r="Q476" s="979" t="n"/>
      <c r="R476" s="979" t="n"/>
      <c r="S476" s="979" t="n"/>
      <c r="T476" s="979" t="n"/>
      <c r="U476" s="979" t="n"/>
      <c r="V476" s="979" t="n"/>
      <c r="W476" s="979" t="n"/>
      <c r="X476" s="979" t="n"/>
      <c r="Y476" s="979" t="n"/>
      <c r="Z476" s="979" t="n"/>
      <c r="AA476" s="694" t="n"/>
      <c r="AB476" s="694" t="n"/>
      <c r="AC476" s="694" t="n"/>
    </row>
    <row r="477" ht="27" customHeight="1">
      <c r="A477" s="63" t="inlineStr">
        <is>
          <t>SU002612</t>
        </is>
      </c>
      <c r="B477" s="63" t="inlineStr">
        <is>
          <t>P004896</t>
        </is>
      </c>
      <c r="C477" s="36" t="n">
        <v>4301031407</v>
      </c>
      <c r="D477" s="695" t="n">
        <v>4680115886094</v>
      </c>
      <c r="E477" s="989" t="n"/>
      <c r="F477" s="1028" t="n">
        <v>0.9</v>
      </c>
      <c r="G477" s="37" t="n">
        <v>6</v>
      </c>
      <c r="H477" s="1028" t="n">
        <v>5.4</v>
      </c>
      <c r="I477" s="1028" t="n">
        <v>5.59</v>
      </c>
      <c r="J477" s="37" t="n">
        <v>132</v>
      </c>
      <c r="K477" s="37" t="inlineStr">
        <is>
          <t>12</t>
        </is>
      </c>
      <c r="L477" s="37" t="inlineStr"/>
      <c r="M477" s="38" t="inlineStr">
        <is>
          <t>СК2</t>
        </is>
      </c>
      <c r="N477" s="38" t="n"/>
      <c r="O477" s="37" t="n">
        <v>50</v>
      </c>
      <c r="P477" s="1276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/>
      </c>
      <c r="Q477" s="1030" t="n"/>
      <c r="R477" s="1030" t="n"/>
      <c r="S477" s="1030" t="n"/>
      <c r="T477" s="1031" t="n"/>
      <c r="U477" s="39" t="inlineStr"/>
      <c r="V477" s="39" t="inlineStr"/>
      <c r="W477" s="40" t="inlineStr">
        <is>
          <t>кг</t>
        </is>
      </c>
      <c r="X477" s="1032" t="n">
        <v>0</v>
      </c>
      <c r="Y477" s="1033">
        <f>IFERROR(IF(X477="",0,CEILING((X477/$H477),1)*$H477),"")</f>
        <v/>
      </c>
      <c r="Z477" s="41">
        <f>IFERROR(IF(Y477=0,"",ROUNDUP(Y477/H477,0)*0.00902),"")</f>
        <v/>
      </c>
      <c r="AA477" s="68" t="inlineStr"/>
      <c r="AB477" s="69" t="inlineStr"/>
      <c r="AC477" s="564" t="inlineStr">
        <is>
          <t>ЕАЭС N RU Д-RU.РА02.В.38950/26</t>
        </is>
      </c>
      <c r="AG477" s="78" t="n"/>
      <c r="AJ477" s="84" t="inlineStr"/>
      <c r="AK477" s="84" t="n">
        <v>0</v>
      </c>
      <c r="BB477" s="565" t="inlineStr">
        <is>
          <t>КИ</t>
        </is>
      </c>
      <c r="BM477" s="78">
        <f>IFERROR(X477*I477/H477,"0")</f>
        <v/>
      </c>
      <c r="BN477" s="78">
        <f>IFERROR(Y477*I477/H477,"0")</f>
        <v/>
      </c>
      <c r="BO477" s="78">
        <f>IFERROR(1/J477*(X477/H477),"0")</f>
        <v/>
      </c>
      <c r="BP477" s="78">
        <f>IFERROR(1/J477*(Y477/H477),"0")</f>
        <v/>
      </c>
    </row>
    <row r="478" ht="27" customHeight="1">
      <c r="A478" s="63" t="inlineStr">
        <is>
          <t>SU002726</t>
        </is>
      </c>
      <c r="B478" s="63" t="inlineStr">
        <is>
          <t>P004546</t>
        </is>
      </c>
      <c r="C478" s="36" t="n">
        <v>4301031373</v>
      </c>
      <c r="D478" s="695" t="n">
        <v>4680115880771</v>
      </c>
      <c r="E478" s="989" t="n"/>
      <c r="F478" s="1028" t="n">
        <v>0.28</v>
      </c>
      <c r="G478" s="37" t="n">
        <v>6</v>
      </c>
      <c r="H478" s="1028" t="n">
        <v>1.68</v>
      </c>
      <c r="I478" s="1028" t="n">
        <v>1.81</v>
      </c>
      <c r="J478" s="37" t="n">
        <v>234</v>
      </c>
      <c r="K478" s="37" t="inlineStr">
        <is>
          <t>18</t>
        </is>
      </c>
      <c r="L478" s="37" t="inlineStr"/>
      <c r="M478" s="38" t="inlineStr">
        <is>
          <t>СК2</t>
        </is>
      </c>
      <c r="N478" s="38" t="n"/>
      <c r="O478" s="37" t="n">
        <v>50</v>
      </c>
      <c r="P478" s="1277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/>
      </c>
      <c r="Q478" s="1030" t="n"/>
      <c r="R478" s="1030" t="n"/>
      <c r="S478" s="1030" t="n"/>
      <c r="T478" s="1031" t="n"/>
      <c r="U478" s="39" t="inlineStr"/>
      <c r="V478" s="39" t="inlineStr"/>
      <c r="W478" s="40" t="inlineStr">
        <is>
          <t>кг</t>
        </is>
      </c>
      <c r="X478" s="1032" t="n">
        <v>0</v>
      </c>
      <c r="Y478" s="1033">
        <f>IFERROR(IF(X478="",0,CEILING((X478/$H478),1)*$H478),"")</f>
        <v/>
      </c>
      <c r="Z478" s="41">
        <f>IFERROR(IF(Y478=0,"",ROUNDUP(Y478/H478,0)*0.00502),"")</f>
        <v/>
      </c>
      <c r="AA478" s="68" t="inlineStr"/>
      <c r="AB478" s="69" t="inlineStr"/>
      <c r="AC478" s="566" t="inlineStr">
        <is>
          <t>ЕАЭС N RU Д-RU.РА03.В.99806/26</t>
        </is>
      </c>
      <c r="AG478" s="78" t="n"/>
      <c r="AJ478" s="84" t="inlineStr"/>
      <c r="AK478" s="84" t="n">
        <v>0</v>
      </c>
      <c r="BB478" s="567" t="inlineStr">
        <is>
          <t>КИ</t>
        </is>
      </c>
      <c r="BM478" s="78">
        <f>IFERROR(X478*I478/H478,"0")</f>
        <v/>
      </c>
      <c r="BN478" s="78">
        <f>IFERROR(Y478*I478/H478,"0")</f>
        <v/>
      </c>
      <c r="BO478" s="78">
        <f>IFERROR(1/J478*(X478/H478),"0")</f>
        <v/>
      </c>
      <c r="BP478" s="78">
        <f>IFERROR(1/J478*(Y478/H478),"0")</f>
        <v/>
      </c>
    </row>
    <row r="479" ht="27" customHeight="1">
      <c r="A479" s="63" t="inlineStr">
        <is>
          <t>SU002604</t>
        </is>
      </c>
      <c r="B479" s="63" t="inlineStr">
        <is>
          <t>P004520</t>
        </is>
      </c>
      <c r="C479" s="36" t="n">
        <v>4301031359</v>
      </c>
      <c r="D479" s="695" t="n">
        <v>4607091389500</v>
      </c>
      <c r="E479" s="989" t="n"/>
      <c r="F479" s="1028" t="n">
        <v>0.35</v>
      </c>
      <c r="G479" s="37" t="n">
        <v>6</v>
      </c>
      <c r="H479" s="1028" t="n">
        <v>2.1</v>
      </c>
      <c r="I479" s="1028" t="n">
        <v>2.23</v>
      </c>
      <c r="J479" s="37" t="n">
        <v>234</v>
      </c>
      <c r="K479" s="37" t="inlineStr">
        <is>
          <t>18</t>
        </is>
      </c>
      <c r="L479" s="37" t="inlineStr"/>
      <c r="M479" s="38" t="inlineStr">
        <is>
          <t>СК2</t>
        </is>
      </c>
      <c r="N479" s="38" t="n"/>
      <c r="O479" s="37" t="n">
        <v>50</v>
      </c>
      <c r="P479" s="1278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79" s="1030" t="n"/>
      <c r="R479" s="1030" t="n"/>
      <c r="S479" s="1030" t="n"/>
      <c r="T479" s="1031" t="n"/>
      <c r="U479" s="39" t="inlineStr"/>
      <c r="V479" s="39" t="inlineStr"/>
      <c r="W479" s="40" t="inlineStr">
        <is>
          <t>кг</t>
        </is>
      </c>
      <c r="X479" s="1032" t="n">
        <v>0</v>
      </c>
      <c r="Y479" s="1033">
        <f>IFERROR(IF(X479="",0,CEILING((X479/$H479),1)*$H479),"")</f>
        <v/>
      </c>
      <c r="Z479" s="41">
        <f>IFERROR(IF(Y479=0,"",ROUNDUP(Y479/H479,0)*0.00502),"")</f>
        <v/>
      </c>
      <c r="AA479" s="68" t="inlineStr"/>
      <c r="AB479" s="69" t="inlineStr"/>
      <c r="AC479" s="568" t="inlineStr">
        <is>
          <t>ЕАЭС N RU Д-RU.РА03.В.99806/26</t>
        </is>
      </c>
      <c r="AG479" s="78" t="n"/>
      <c r="AJ479" s="84" t="inlineStr"/>
      <c r="AK479" s="84" t="n">
        <v>0</v>
      </c>
      <c r="BB479" s="569" t="inlineStr">
        <is>
          <t>КИ</t>
        </is>
      </c>
      <c r="BM479" s="78">
        <f>IFERROR(X479*I479/H479,"0")</f>
        <v/>
      </c>
      <c r="BN479" s="78">
        <f>IFERROR(Y479*I479/H479,"0")</f>
        <v/>
      </c>
      <c r="BO479" s="78">
        <f>IFERROR(1/J479*(X479/H479),"0")</f>
        <v/>
      </c>
      <c r="BP479" s="78">
        <f>IFERROR(1/J479*(Y479/H479),"0")</f>
        <v/>
      </c>
    </row>
    <row r="480">
      <c r="A480" s="704" t="n"/>
      <c r="B480" s="979" t="n"/>
      <c r="C480" s="979" t="n"/>
      <c r="D480" s="979" t="n"/>
      <c r="E480" s="979" t="n"/>
      <c r="F480" s="979" t="n"/>
      <c r="G480" s="979" t="n"/>
      <c r="H480" s="979" t="n"/>
      <c r="I480" s="979" t="n"/>
      <c r="J480" s="979" t="n"/>
      <c r="K480" s="979" t="n"/>
      <c r="L480" s="979" t="n"/>
      <c r="M480" s="979" t="n"/>
      <c r="N480" s="979" t="n"/>
      <c r="O480" s="1035" t="n"/>
      <c r="P480" s="1036" t="inlineStr">
        <is>
          <t>Итого</t>
        </is>
      </c>
      <c r="Q480" s="997" t="n"/>
      <c r="R480" s="997" t="n"/>
      <c r="S480" s="997" t="n"/>
      <c r="T480" s="997" t="n"/>
      <c r="U480" s="997" t="n"/>
      <c r="V480" s="998" t="n"/>
      <c r="W480" s="42" t="inlineStr">
        <is>
          <t>кор</t>
        </is>
      </c>
      <c r="X480" s="1037">
        <f>IFERROR(X477/H477,"0")+IFERROR(X478/H478,"0")+IFERROR(X479/H479,"0")</f>
        <v/>
      </c>
      <c r="Y480" s="1037">
        <f>IFERROR(Y477/H477,"0")+IFERROR(Y478/H478,"0")+IFERROR(Y479/H479,"0")</f>
        <v/>
      </c>
      <c r="Z480" s="1037">
        <f>IFERROR(IF(Z477="",0,Z477),"0")+IFERROR(IF(Z478="",0,Z478),"0")+IFERROR(IF(Z479="",0,Z479),"0")</f>
        <v/>
      </c>
      <c r="AA480" s="1038" t="n"/>
      <c r="AB480" s="1038" t="n"/>
      <c r="AC480" s="1038" t="n"/>
    </row>
    <row r="481">
      <c r="A481" s="979" t="n"/>
      <c r="B481" s="979" t="n"/>
      <c r="C481" s="979" t="n"/>
      <c r="D481" s="979" t="n"/>
      <c r="E481" s="979" t="n"/>
      <c r="F481" s="979" t="n"/>
      <c r="G481" s="979" t="n"/>
      <c r="H481" s="979" t="n"/>
      <c r="I481" s="979" t="n"/>
      <c r="J481" s="979" t="n"/>
      <c r="K481" s="979" t="n"/>
      <c r="L481" s="979" t="n"/>
      <c r="M481" s="979" t="n"/>
      <c r="N481" s="979" t="n"/>
      <c r="O481" s="1035" t="n"/>
      <c r="P481" s="1036" t="inlineStr">
        <is>
          <t>Итого</t>
        </is>
      </c>
      <c r="Q481" s="997" t="n"/>
      <c r="R481" s="997" t="n"/>
      <c r="S481" s="997" t="n"/>
      <c r="T481" s="997" t="n"/>
      <c r="U481" s="997" t="n"/>
      <c r="V481" s="998" t="n"/>
      <c r="W481" s="42" t="inlineStr">
        <is>
          <t>кг</t>
        </is>
      </c>
      <c r="X481" s="1037">
        <f>IFERROR(SUM(X477:X479),"0")</f>
        <v/>
      </c>
      <c r="Y481" s="1037">
        <f>IFERROR(SUM(Y477:Y479),"0")</f>
        <v/>
      </c>
      <c r="Z481" s="42" t="n"/>
      <c r="AA481" s="1038" t="n"/>
      <c r="AB481" s="1038" t="n"/>
      <c r="AC481" s="1038" t="n"/>
    </row>
    <row r="482" ht="27.75" customHeight="1">
      <c r="A482" s="692" t="inlineStr">
        <is>
          <t>Дугушка</t>
        </is>
      </c>
      <c r="B482" s="1027" t="n"/>
      <c r="C482" s="1027" t="n"/>
      <c r="D482" s="1027" t="n"/>
      <c r="E482" s="1027" t="n"/>
      <c r="F482" s="1027" t="n"/>
      <c r="G482" s="1027" t="n"/>
      <c r="H482" s="1027" t="n"/>
      <c r="I482" s="1027" t="n"/>
      <c r="J482" s="1027" t="n"/>
      <c r="K482" s="1027" t="n"/>
      <c r="L482" s="1027" t="n"/>
      <c r="M482" s="1027" t="n"/>
      <c r="N482" s="1027" t="n"/>
      <c r="O482" s="1027" t="n"/>
      <c r="P482" s="1027" t="n"/>
      <c r="Q482" s="1027" t="n"/>
      <c r="R482" s="1027" t="n"/>
      <c r="S482" s="1027" t="n"/>
      <c r="T482" s="1027" t="n"/>
      <c r="U482" s="1027" t="n"/>
      <c r="V482" s="1027" t="n"/>
      <c r="W482" s="1027" t="n"/>
      <c r="X482" s="1027" t="n"/>
      <c r="Y482" s="1027" t="n"/>
      <c r="Z482" s="1027" t="n"/>
      <c r="AA482" s="54" t="n"/>
      <c r="AB482" s="54" t="n"/>
      <c r="AC482" s="54" t="n"/>
    </row>
    <row r="483" ht="16.5" customHeight="1">
      <c r="A483" s="693" t="inlineStr">
        <is>
          <t>Дугушка</t>
        </is>
      </c>
      <c r="B483" s="979" t="n"/>
      <c r="C483" s="979" t="n"/>
      <c r="D483" s="979" t="n"/>
      <c r="E483" s="979" t="n"/>
      <c r="F483" s="979" t="n"/>
      <c r="G483" s="979" t="n"/>
      <c r="H483" s="979" t="n"/>
      <c r="I483" s="979" t="n"/>
      <c r="J483" s="979" t="n"/>
      <c r="K483" s="979" t="n"/>
      <c r="L483" s="979" t="n"/>
      <c r="M483" s="979" t="n"/>
      <c r="N483" s="979" t="n"/>
      <c r="O483" s="979" t="n"/>
      <c r="P483" s="979" t="n"/>
      <c r="Q483" s="979" t="n"/>
      <c r="R483" s="979" t="n"/>
      <c r="S483" s="979" t="n"/>
      <c r="T483" s="979" t="n"/>
      <c r="U483" s="979" t="n"/>
      <c r="V483" s="979" t="n"/>
      <c r="W483" s="979" t="n"/>
      <c r="X483" s="979" t="n"/>
      <c r="Y483" s="979" t="n"/>
      <c r="Z483" s="979" t="n"/>
      <c r="AA483" s="693" t="n"/>
      <c r="AB483" s="693" t="n"/>
      <c r="AC483" s="693" t="n"/>
    </row>
    <row r="484" ht="14.25" customHeight="1">
      <c r="A484" s="694" t="inlineStr">
        <is>
          <t>Вареные колбасы</t>
        </is>
      </c>
      <c r="B484" s="979" t="n"/>
      <c r="C484" s="979" t="n"/>
      <c r="D484" s="979" t="n"/>
      <c r="E484" s="979" t="n"/>
      <c r="F484" s="979" t="n"/>
      <c r="G484" s="979" t="n"/>
      <c r="H484" s="979" t="n"/>
      <c r="I484" s="979" t="n"/>
      <c r="J484" s="979" t="n"/>
      <c r="K484" s="979" t="n"/>
      <c r="L484" s="979" t="n"/>
      <c r="M484" s="979" t="n"/>
      <c r="N484" s="979" t="n"/>
      <c r="O484" s="979" t="n"/>
      <c r="P484" s="979" t="n"/>
      <c r="Q484" s="979" t="n"/>
      <c r="R484" s="979" t="n"/>
      <c r="S484" s="979" t="n"/>
      <c r="T484" s="979" t="n"/>
      <c r="U484" s="979" t="n"/>
      <c r="V484" s="979" t="n"/>
      <c r="W484" s="979" t="n"/>
      <c r="X484" s="979" t="n"/>
      <c r="Y484" s="979" t="n"/>
      <c r="Z484" s="979" t="n"/>
      <c r="AA484" s="694" t="n"/>
      <c r="AB484" s="694" t="n"/>
      <c r="AC484" s="694" t="n"/>
    </row>
    <row r="485" ht="27" customHeight="1">
      <c r="A485" s="63" t="inlineStr">
        <is>
          <t>SU002011</t>
        </is>
      </c>
      <c r="B485" s="63" t="inlineStr">
        <is>
          <t>P004028</t>
        </is>
      </c>
      <c r="C485" s="36" t="n">
        <v>4301011769</v>
      </c>
      <c r="D485" s="695" t="n">
        <v>4607091389067</v>
      </c>
      <c r="E485" s="989" t="n"/>
      <c r="F485" s="1028" t="n">
        <v>0.88</v>
      </c>
      <c r="G485" s="37" t="n">
        <v>6</v>
      </c>
      <c r="H485" s="1028" t="n">
        <v>5.28</v>
      </c>
      <c r="I485" s="1028" t="n">
        <v>5.63</v>
      </c>
      <c r="J485" s="37" t="n">
        <v>104</v>
      </c>
      <c r="K485" s="37" t="inlineStr">
        <is>
          <t>8</t>
        </is>
      </c>
      <c r="L485" s="37" t="inlineStr"/>
      <c r="M485" s="38" t="inlineStr">
        <is>
          <t>СК3</t>
        </is>
      </c>
      <c r="N485" s="38" t="n"/>
      <c r="O485" s="37" t="n">
        <v>60</v>
      </c>
      <c r="P485" s="1279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85" s="1030" t="n"/>
      <c r="R485" s="1030" t="n"/>
      <c r="S485" s="1030" t="n"/>
      <c r="T485" s="1031" t="n"/>
      <c r="U485" s="39" t="inlineStr"/>
      <c r="V485" s="39" t="inlineStr"/>
      <c r="W485" s="40" t="inlineStr">
        <is>
          <t>кг</t>
        </is>
      </c>
      <c r="X485" s="1032" t="n">
        <v>0</v>
      </c>
      <c r="Y485" s="1033">
        <f>IFERROR(IF(X485="",0,CEILING((X485/$H485),1)*$H485),"")</f>
        <v/>
      </c>
      <c r="Z485" s="41">
        <f>IFERROR(IF(Y485=0,"",ROUNDUP(Y485/H485,0)*0.01196),"")</f>
        <v/>
      </c>
      <c r="AA485" s="68" t="inlineStr"/>
      <c r="AB485" s="69" t="inlineStr"/>
      <c r="AC485" s="570" t="inlineStr">
        <is>
          <t>ЕАЭС N RU Д-RU.РА08.В.45907/25</t>
        </is>
      </c>
      <c r="AG485" s="78" t="n"/>
      <c r="AJ485" s="84" t="inlineStr"/>
      <c r="AK485" s="84" t="n">
        <v>0</v>
      </c>
      <c r="BB485" s="571" t="inlineStr">
        <is>
          <t>КИ</t>
        </is>
      </c>
      <c r="BM485" s="78">
        <f>IFERROR(X485*I485/H485,"0")</f>
        <v/>
      </c>
      <c r="BN485" s="78">
        <f>IFERROR(Y485*I485/H485,"0")</f>
        <v/>
      </c>
      <c r="BO485" s="78">
        <f>IFERROR(1/J485*(X485/H485),"0")</f>
        <v/>
      </c>
      <c r="BP485" s="78">
        <f>IFERROR(1/J485*(Y485/H485),"0")</f>
        <v/>
      </c>
    </row>
    <row r="486" ht="16.5" customHeight="1">
      <c r="A486" s="63" t="inlineStr">
        <is>
          <t>SU004309</t>
        </is>
      </c>
      <c r="B486" s="63" t="inlineStr">
        <is>
          <t>P005632</t>
        </is>
      </c>
      <c r="C486" s="36" t="n">
        <v>4301012380</v>
      </c>
      <c r="D486" s="695" t="n">
        <v>4680115889576</v>
      </c>
      <c r="E486" s="989" t="n"/>
      <c r="F486" s="1028" t="n">
        <v>0.88</v>
      </c>
      <c r="G486" s="37" t="n">
        <v>6</v>
      </c>
      <c r="H486" s="1028" t="n">
        <v>5.28</v>
      </c>
      <c r="I486" s="1028" t="n">
        <v>5.63</v>
      </c>
      <c r="J486" s="37" t="n">
        <v>104</v>
      </c>
      <c r="K486" s="37" t="inlineStr">
        <is>
          <t>8</t>
        </is>
      </c>
      <c r="L486" s="37" t="inlineStr"/>
      <c r="M486" s="38" t="inlineStr">
        <is>
          <t>СК1</t>
        </is>
      </c>
      <c r="N486" s="38" t="n"/>
      <c r="O486" s="37" t="n">
        <v>60</v>
      </c>
      <c r="P486" s="1280">
        <f>HYPERLINK("https://abi.ru/products/Охлажденные/Дугушка/Дугушка/Вареные колбасы/P005632/","Вареные колбасы «Дугушка» Весовой п/а ТМ «Стародворье»")</f>
        <v/>
      </c>
      <c r="Q486" s="1030" t="n"/>
      <c r="R486" s="1030" t="n"/>
      <c r="S486" s="1030" t="n"/>
      <c r="T486" s="1031" t="n"/>
      <c r="U486" s="39" t="inlineStr"/>
      <c r="V486" s="39" t="inlineStr"/>
      <c r="W486" s="40" t="inlineStr">
        <is>
          <t>кг</t>
        </is>
      </c>
      <c r="X486" s="1032" t="n">
        <v>0</v>
      </c>
      <c r="Y486" s="1033">
        <f>IFERROR(IF(X486="",0,CEILING((X486/$H486),1)*$H486),"")</f>
        <v/>
      </c>
      <c r="Z486" s="41">
        <f>IFERROR(IF(Y486=0,"",ROUNDUP(Y486/H486,0)*0.01196),"")</f>
        <v/>
      </c>
      <c r="AA486" s="68" t="inlineStr"/>
      <c r="AB486" s="69" t="inlineStr"/>
      <c r="AC486" s="572" t="inlineStr">
        <is>
          <t>ЕАЭС N RU Д-RU.РА02.В.94367/26</t>
        </is>
      </c>
      <c r="AG486" s="78" t="n"/>
      <c r="AJ486" s="84" t="inlineStr"/>
      <c r="AK486" s="84" t="n">
        <v>0</v>
      </c>
      <c r="BB486" s="573" t="inlineStr">
        <is>
          <t>КИ</t>
        </is>
      </c>
      <c r="BM486" s="78">
        <f>IFERROR(X486*I486/H486,"0")</f>
        <v/>
      </c>
      <c r="BN486" s="78">
        <f>IFERROR(Y486*I486/H486,"0")</f>
        <v/>
      </c>
      <c r="BO486" s="78">
        <f>IFERROR(1/J486*(X486/H486),"0")</f>
        <v/>
      </c>
      <c r="BP486" s="78">
        <f>IFERROR(1/J486*(Y486/H486),"0")</f>
        <v/>
      </c>
    </row>
    <row r="487" ht="27" customHeight="1">
      <c r="A487" s="63" t="inlineStr">
        <is>
          <t>SU002182</t>
        </is>
      </c>
      <c r="B487" s="63" t="inlineStr">
        <is>
          <t>P004406</t>
        </is>
      </c>
      <c r="C487" s="36" t="n">
        <v>4301011961</v>
      </c>
      <c r="D487" s="695" t="n">
        <v>4680115885271</v>
      </c>
      <c r="E487" s="989" t="n"/>
      <c r="F487" s="1028" t="n">
        <v>0.88</v>
      </c>
      <c r="G487" s="37" t="n">
        <v>6</v>
      </c>
      <c r="H487" s="1028" t="n">
        <v>5.28</v>
      </c>
      <c r="I487" s="1028" t="n">
        <v>5.63</v>
      </c>
      <c r="J487" s="37" t="n">
        <v>104</v>
      </c>
      <c r="K487" s="37" t="inlineStr">
        <is>
          <t>8</t>
        </is>
      </c>
      <c r="L487" s="37" t="inlineStr"/>
      <c r="M487" s="38" t="inlineStr">
        <is>
          <t>СК1</t>
        </is>
      </c>
      <c r="N487" s="38" t="n"/>
      <c r="O487" s="37" t="n">
        <v>60</v>
      </c>
      <c r="P487" s="1281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487" s="1030" t="n"/>
      <c r="R487" s="1030" t="n"/>
      <c r="S487" s="1030" t="n"/>
      <c r="T487" s="1031" t="n"/>
      <c r="U487" s="39" t="inlineStr"/>
      <c r="V487" s="39" t="inlineStr"/>
      <c r="W487" s="40" t="inlineStr">
        <is>
          <t>кг</t>
        </is>
      </c>
      <c r="X487" s="1032" t="n">
        <v>0</v>
      </c>
      <c r="Y487" s="1033">
        <f>IFERROR(IF(X487="",0,CEILING((X487/$H487),1)*$H487),"")</f>
        <v/>
      </c>
      <c r="Z487" s="41">
        <f>IFERROR(IF(Y487=0,"",ROUNDUP(Y487/H487,0)*0.01196),"")</f>
        <v/>
      </c>
      <c r="AA487" s="68" t="inlineStr"/>
      <c r="AB487" s="69" t="inlineStr"/>
      <c r="AC487" s="574" t="inlineStr">
        <is>
          <t>ЕАЭС N RU Д-RU.РА01.В.49910/26</t>
        </is>
      </c>
      <c r="AG487" s="78" t="n"/>
      <c r="AJ487" s="84" t="inlineStr"/>
      <c r="AK487" s="84" t="n">
        <v>0</v>
      </c>
      <c r="BB487" s="575" t="inlineStr">
        <is>
          <t>КИ</t>
        </is>
      </c>
      <c r="BM487" s="78">
        <f>IFERROR(X487*I487/H487,"0")</f>
        <v/>
      </c>
      <c r="BN487" s="78">
        <f>IFERROR(Y487*I487/H487,"0")</f>
        <v/>
      </c>
      <c r="BO487" s="78">
        <f>IFERROR(1/J487*(X487/H487),"0")</f>
        <v/>
      </c>
      <c r="BP487" s="78">
        <f>IFERROR(1/J487*(Y487/H487),"0")</f>
        <v/>
      </c>
    </row>
    <row r="488" ht="27" customHeight="1">
      <c r="A488" s="63" t="inlineStr">
        <is>
          <t>SU002634</t>
        </is>
      </c>
      <c r="B488" s="63" t="inlineStr">
        <is>
          <t>P002989</t>
        </is>
      </c>
      <c r="C488" s="36" t="n">
        <v>4301011369</v>
      </c>
      <c r="D488" s="695" t="n">
        <v>4680115885226</v>
      </c>
      <c r="E488" s="989" t="n"/>
      <c r="F488" s="1028" t="n">
        <v>0.88</v>
      </c>
      <c r="G488" s="37" t="n">
        <v>6</v>
      </c>
      <c r="H488" s="1028" t="n">
        <v>5.28</v>
      </c>
      <c r="I488" s="1028" t="n">
        <v>5.63</v>
      </c>
      <c r="J488" s="37" t="n">
        <v>104</v>
      </c>
      <c r="K488" s="37" t="inlineStr">
        <is>
          <t>8</t>
        </is>
      </c>
      <c r="L488" s="37" t="inlineStr"/>
      <c r="M488" s="38" t="inlineStr">
        <is>
          <t>СК1</t>
        </is>
      </c>
      <c r="N488" s="38" t="n"/>
      <c r="O488" s="37" t="n">
        <v>60</v>
      </c>
      <c r="P488" s="1282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488" s="1030" t="n"/>
      <c r="R488" s="1030" t="n"/>
      <c r="S488" s="1030" t="n"/>
      <c r="T488" s="1031" t="n"/>
      <c r="U488" s="39" t="inlineStr"/>
      <c r="V488" s="39" t="inlineStr"/>
      <c r="W488" s="40" t="inlineStr">
        <is>
          <t>кг</t>
        </is>
      </c>
      <c r="X488" s="1032" t="n">
        <v>0</v>
      </c>
      <c r="Y488" s="1033">
        <f>IFERROR(IF(X488="",0,CEILING((X488/$H488),1)*$H488),"")</f>
        <v/>
      </c>
      <c r="Z488" s="41">
        <f>IFERROR(IF(Y488=0,"",ROUNDUP(Y488/H488,0)*0.01196),"")</f>
        <v/>
      </c>
      <c r="AA488" s="68" t="inlineStr"/>
      <c r="AB488" s="69" t="inlineStr"/>
      <c r="AC488" s="576" t="inlineStr">
        <is>
          <t>ЕАЭС N RU Д-RU.РА01.В.50299/26</t>
        </is>
      </c>
      <c r="AG488" s="78" t="n"/>
      <c r="AJ488" s="84" t="inlineStr"/>
      <c r="AK488" s="84" t="n">
        <v>0</v>
      </c>
      <c r="BB488" s="577" t="inlineStr">
        <is>
          <t>КИ</t>
        </is>
      </c>
      <c r="BM488" s="78">
        <f>IFERROR(X488*I488/H488,"0")</f>
        <v/>
      </c>
      <c r="BN488" s="78">
        <f>IFERROR(Y488*I488/H488,"0")</f>
        <v/>
      </c>
      <c r="BO488" s="78">
        <f>IFERROR(1/J488*(X488/H488),"0")</f>
        <v/>
      </c>
      <c r="BP488" s="78">
        <f>IFERROR(1/J488*(Y488/H488),"0")</f>
        <v/>
      </c>
    </row>
    <row r="489" ht="16.5" customHeight="1">
      <c r="A489" s="63" t="inlineStr">
        <is>
          <t>SU002998</t>
        </is>
      </c>
      <c r="B489" s="63" t="inlineStr">
        <is>
          <t>P004033</t>
        </is>
      </c>
      <c r="C489" s="36" t="n">
        <v>4301011797</v>
      </c>
      <c r="D489" s="695" t="n">
        <v>4680115884502</v>
      </c>
      <c r="E489" s="989" t="n"/>
      <c r="F489" s="1028" t="n">
        <v>0.88</v>
      </c>
      <c r="G489" s="37" t="n">
        <v>6</v>
      </c>
      <c r="H489" s="1028" t="n">
        <v>5.28</v>
      </c>
      <c r="I489" s="1028" t="n">
        <v>5.63</v>
      </c>
      <c r="J489" s="37" t="n">
        <v>104</v>
      </c>
      <c r="K489" s="37" t="inlineStr">
        <is>
          <t>8</t>
        </is>
      </c>
      <c r="L489" s="37" t="inlineStr"/>
      <c r="M489" s="38" t="inlineStr">
        <is>
          <t>СК3</t>
        </is>
      </c>
      <c r="N489" s="38" t="n"/>
      <c r="O489" s="37" t="n">
        <v>60</v>
      </c>
      <c r="P489" s="1283">
        <f>HYPERLINK("https://abi.ru/products/Охлажденные/Дугушка/Дугушка/Вареные колбасы/P004033/","Вареные колбасы «Молочная ГОСТ» Весовой п/а ТМ «Дугушка»")</f>
        <v/>
      </c>
      <c r="Q489" s="1030" t="n"/>
      <c r="R489" s="1030" t="n"/>
      <c r="S489" s="1030" t="n"/>
      <c r="T489" s="1031" t="n"/>
      <c r="U489" s="39" t="inlineStr"/>
      <c r="V489" s="39" t="inlineStr"/>
      <c r="W489" s="40" t="inlineStr">
        <is>
          <t>кг</t>
        </is>
      </c>
      <c r="X489" s="1032" t="n">
        <v>0</v>
      </c>
      <c r="Y489" s="1033">
        <f>IFERROR(IF(X489="",0,CEILING((X489/$H489),1)*$H489),"")</f>
        <v/>
      </c>
      <c r="Z489" s="41">
        <f>IFERROR(IF(Y489=0,"",ROUNDUP(Y489/H489,0)*0.01196),"")</f>
        <v/>
      </c>
      <c r="AA489" s="68" t="inlineStr"/>
      <c r="AB489" s="69" t="inlineStr"/>
      <c r="AC489" s="578" t="inlineStr">
        <is>
          <t>ЕАЭС N RU Д-RU.РА03.В.87123/25</t>
        </is>
      </c>
      <c r="AG489" s="78" t="n"/>
      <c r="AJ489" s="84" t="inlineStr"/>
      <c r="AK489" s="84" t="n">
        <v>0</v>
      </c>
      <c r="BB489" s="579" t="inlineStr">
        <is>
          <t>КИ</t>
        </is>
      </c>
      <c r="BM489" s="78">
        <f>IFERROR(X489*I489/H489,"0")</f>
        <v/>
      </c>
      <c r="BN489" s="78">
        <f>IFERROR(Y489*I489/H489,"0")</f>
        <v/>
      </c>
      <c r="BO489" s="78">
        <f>IFERROR(1/J489*(X489/H489),"0")</f>
        <v/>
      </c>
      <c r="BP489" s="78">
        <f>IFERROR(1/J489*(Y489/H489),"0")</f>
        <v/>
      </c>
    </row>
    <row r="490" ht="27" customHeight="1">
      <c r="A490" s="63" t="inlineStr">
        <is>
          <t>SU002010</t>
        </is>
      </c>
      <c r="B490" s="63" t="inlineStr">
        <is>
          <t>P004030</t>
        </is>
      </c>
      <c r="C490" s="36" t="n">
        <v>4301011771</v>
      </c>
      <c r="D490" s="695" t="n">
        <v>4607091389104</v>
      </c>
      <c r="E490" s="989" t="n"/>
      <c r="F490" s="1028" t="n">
        <v>0.88</v>
      </c>
      <c r="G490" s="37" t="n">
        <v>6</v>
      </c>
      <c r="H490" s="1028" t="n">
        <v>5.28</v>
      </c>
      <c r="I490" s="1028" t="n">
        <v>5.63</v>
      </c>
      <c r="J490" s="37" t="n">
        <v>104</v>
      </c>
      <c r="K490" s="37" t="inlineStr">
        <is>
          <t>8</t>
        </is>
      </c>
      <c r="L490" s="37" t="inlineStr"/>
      <c r="M490" s="38" t="inlineStr">
        <is>
          <t>СК1</t>
        </is>
      </c>
      <c r="N490" s="38" t="n"/>
      <c r="O490" s="37" t="n">
        <v>60</v>
      </c>
      <c r="P490" s="1284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490" s="1030" t="n"/>
      <c r="R490" s="1030" t="n"/>
      <c r="S490" s="1030" t="n"/>
      <c r="T490" s="1031" t="n"/>
      <c r="U490" s="39" t="inlineStr"/>
      <c r="V490" s="39" t="inlineStr"/>
      <c r="W490" s="40" t="inlineStr">
        <is>
          <t>кг</t>
        </is>
      </c>
      <c r="X490" s="1032" t="n">
        <v>0</v>
      </c>
      <c r="Y490" s="1033">
        <f>IFERROR(IF(X490="",0,CEILING((X490/$H490),1)*$H490),"")</f>
        <v/>
      </c>
      <c r="Z490" s="41">
        <f>IFERROR(IF(Y490=0,"",ROUNDUP(Y490/H490,0)*0.01196),"")</f>
        <v/>
      </c>
      <c r="AA490" s="68" t="inlineStr"/>
      <c r="AB490" s="69" t="inlineStr"/>
      <c r="AC490" s="580" t="inlineStr">
        <is>
          <t>ЕАЭС N RU Д-RU.РА07.В.46175/25</t>
        </is>
      </c>
      <c r="AG490" s="78" t="n"/>
      <c r="AJ490" s="84" t="inlineStr"/>
      <c r="AK490" s="84" t="n">
        <v>0</v>
      </c>
      <c r="BB490" s="581" t="inlineStr">
        <is>
          <t>КИ</t>
        </is>
      </c>
      <c r="BM490" s="78">
        <f>IFERROR(X490*I490/H490,"0")</f>
        <v/>
      </c>
      <c r="BN490" s="78">
        <f>IFERROR(Y490*I490/H490,"0")</f>
        <v/>
      </c>
      <c r="BO490" s="78">
        <f>IFERROR(1/J490*(X490/H490),"0")</f>
        <v/>
      </c>
      <c r="BP490" s="78">
        <f>IFERROR(1/J490*(Y490/H490),"0")</f>
        <v/>
      </c>
    </row>
    <row r="491" ht="27" customHeight="1">
      <c r="A491" s="63" t="inlineStr">
        <is>
          <t>SU003847</t>
        </is>
      </c>
      <c r="B491" s="63" t="inlineStr">
        <is>
          <t>P004917</t>
        </is>
      </c>
      <c r="C491" s="36" t="n">
        <v>4301012125</v>
      </c>
      <c r="D491" s="695" t="n">
        <v>4680115886391</v>
      </c>
      <c r="E491" s="989" t="n"/>
      <c r="F491" s="1028" t="n">
        <v>0.4</v>
      </c>
      <c r="G491" s="37" t="n">
        <v>6</v>
      </c>
      <c r="H491" s="1028" t="n">
        <v>2.4</v>
      </c>
      <c r="I491" s="1028" t="n">
        <v>2.58</v>
      </c>
      <c r="J491" s="37" t="n">
        <v>182</v>
      </c>
      <c r="K491" s="37" t="inlineStr">
        <is>
          <t>14</t>
        </is>
      </c>
      <c r="L491" s="37" t="inlineStr"/>
      <c r="M491" s="38" t="inlineStr">
        <is>
          <t>СК3</t>
        </is>
      </c>
      <c r="N491" s="38" t="n"/>
      <c r="O491" s="37" t="n">
        <v>60</v>
      </c>
      <c r="P491" s="1285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/>
      </c>
      <c r="Q491" s="1030" t="n"/>
      <c r="R491" s="1030" t="n"/>
      <c r="S491" s="1030" t="n"/>
      <c r="T491" s="1031" t="n"/>
      <c r="U491" s="39" t="inlineStr"/>
      <c r="V491" s="39" t="inlineStr"/>
      <c r="W491" s="40" t="inlineStr">
        <is>
          <t>кг</t>
        </is>
      </c>
      <c r="X491" s="1032" t="n">
        <v>0</v>
      </c>
      <c r="Y491" s="1033">
        <f>IFERROR(IF(X491="",0,CEILING((X491/$H491),1)*$H491),"")</f>
        <v/>
      </c>
      <c r="Z491" s="41">
        <f>IFERROR(IF(Y491=0,"",ROUNDUP(Y491/H491,0)*0.00651),"")</f>
        <v/>
      </c>
      <c r="AA491" s="68" t="inlineStr"/>
      <c r="AB491" s="69" t="inlineStr"/>
      <c r="AC491" s="582" t="inlineStr">
        <is>
          <t>ЕАЭС N RU Д-RU.РА08.В.45907/25</t>
        </is>
      </c>
      <c r="AG491" s="78" t="n"/>
      <c r="AJ491" s="84" t="inlineStr"/>
      <c r="AK491" s="84" t="n">
        <v>0</v>
      </c>
      <c r="BB491" s="583" t="inlineStr">
        <is>
          <t>КИ</t>
        </is>
      </c>
      <c r="BM491" s="78">
        <f>IFERROR(X491*I491/H491,"0")</f>
        <v/>
      </c>
      <c r="BN491" s="78">
        <f>IFERROR(Y491*I491/H491,"0")</f>
        <v/>
      </c>
      <c r="BO491" s="78">
        <f>IFERROR(1/J491*(X491/H491),"0")</f>
        <v/>
      </c>
      <c r="BP491" s="78">
        <f>IFERROR(1/J491*(Y491/H491),"0")</f>
        <v/>
      </c>
    </row>
    <row r="492" ht="27" customHeight="1">
      <c r="A492" s="63" t="inlineStr">
        <is>
          <t>SU002632</t>
        </is>
      </c>
      <c r="B492" s="63" t="inlineStr">
        <is>
          <t>P004689</t>
        </is>
      </c>
      <c r="C492" s="36" t="n">
        <v>4301012048</v>
      </c>
      <c r="D492" s="695" t="n">
        <v>4680115880603</v>
      </c>
      <c r="E492" s="989" t="n"/>
      <c r="F492" s="1028" t="n">
        <v>0.6</v>
      </c>
      <c r="G492" s="37" t="n">
        <v>8</v>
      </c>
      <c r="H492" s="1028" t="n">
        <v>4.8</v>
      </c>
      <c r="I492" s="1028" t="n">
        <v>6.91</v>
      </c>
      <c r="J492" s="37" t="n">
        <v>132</v>
      </c>
      <c r="K492" s="37" t="inlineStr">
        <is>
          <t>12</t>
        </is>
      </c>
      <c r="L492" s="37" t="inlineStr"/>
      <c r="M492" s="38" t="inlineStr">
        <is>
          <t>СК3</t>
        </is>
      </c>
      <c r="N492" s="38" t="n"/>
      <c r="O492" s="37" t="n">
        <v>60</v>
      </c>
      <c r="P492" s="1286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492" s="1030" t="n"/>
      <c r="R492" s="1030" t="n"/>
      <c r="S492" s="1030" t="n"/>
      <c r="T492" s="1031" t="n"/>
      <c r="U492" s="39" t="inlineStr"/>
      <c r="V492" s="39" t="inlineStr"/>
      <c r="W492" s="40" t="inlineStr">
        <is>
          <t>кг</t>
        </is>
      </c>
      <c r="X492" s="1032" t="n">
        <v>0</v>
      </c>
      <c r="Y492" s="1033">
        <f>IFERROR(IF(X492="",0,CEILING((X492/$H492),1)*$H492),"")</f>
        <v/>
      </c>
      <c r="Z492" s="41">
        <f>IFERROR(IF(Y492=0,"",ROUNDUP(Y492/H492,0)*0.00902),"")</f>
        <v/>
      </c>
      <c r="AA492" s="68" t="inlineStr"/>
      <c r="AB492" s="69" t="inlineStr"/>
      <c r="AC492" s="584" t="inlineStr">
        <is>
          <t>ЕАЭС N RU Д-RU.РА08.В.45907/25</t>
        </is>
      </c>
      <c r="AG492" s="78" t="n"/>
      <c r="AJ492" s="84" t="inlineStr"/>
      <c r="AK492" s="84" t="n">
        <v>0</v>
      </c>
      <c r="BB492" s="585" t="inlineStr">
        <is>
          <t>КИ</t>
        </is>
      </c>
      <c r="BM492" s="78">
        <f>IFERROR(X492*I492/H492,"0")</f>
        <v/>
      </c>
      <c r="BN492" s="78">
        <f>IFERROR(Y492*I492/H492,"0")</f>
        <v/>
      </c>
      <c r="BO492" s="78">
        <f>IFERROR(1/J492*(X492/H492),"0")</f>
        <v/>
      </c>
      <c r="BP492" s="78">
        <f>IFERROR(1/J492*(Y492/H492),"0")</f>
        <v/>
      </c>
    </row>
    <row r="493" ht="27" customHeight="1">
      <c r="A493" s="63" t="inlineStr">
        <is>
          <t>SU002631</t>
        </is>
      </c>
      <c r="B493" s="63" t="inlineStr">
        <is>
          <t>P004688</t>
        </is>
      </c>
      <c r="C493" s="36" t="n">
        <v>4301012034</v>
      </c>
      <c r="D493" s="695" t="n">
        <v>4607091389982</v>
      </c>
      <c r="E493" s="989" t="n"/>
      <c r="F493" s="1028" t="n">
        <v>0.6</v>
      </c>
      <c r="G493" s="37" t="n">
        <v>8</v>
      </c>
      <c r="H493" s="1028" t="n">
        <v>4.8</v>
      </c>
      <c r="I493" s="1028" t="n">
        <v>6.91</v>
      </c>
      <c r="J493" s="37" t="n">
        <v>132</v>
      </c>
      <c r="K493" s="37" t="inlineStr">
        <is>
          <t>12</t>
        </is>
      </c>
      <c r="L493" s="37" t="inlineStr"/>
      <c r="M493" s="38" t="inlineStr">
        <is>
          <t>СК1</t>
        </is>
      </c>
      <c r="N493" s="38" t="n"/>
      <c r="O493" s="37" t="n">
        <v>60</v>
      </c>
      <c r="P493" s="1287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493" s="1030" t="n"/>
      <c r="R493" s="1030" t="n"/>
      <c r="S493" s="1030" t="n"/>
      <c r="T493" s="1031" t="n"/>
      <c r="U493" s="39" t="inlineStr"/>
      <c r="V493" s="39" t="inlineStr"/>
      <c r="W493" s="40" t="inlineStr">
        <is>
          <t>кг</t>
        </is>
      </c>
      <c r="X493" s="1032" t="n">
        <v>0</v>
      </c>
      <c r="Y493" s="1033">
        <f>IFERROR(IF(X493="",0,CEILING((X493/$H493),1)*$H493),"")</f>
        <v/>
      </c>
      <c r="Z493" s="41">
        <f>IFERROR(IF(Y493=0,"",ROUNDUP(Y493/H493,0)*0.00902),"")</f>
        <v/>
      </c>
      <c r="AA493" s="68" t="inlineStr"/>
      <c r="AB493" s="69" t="inlineStr"/>
      <c r="AC493" s="586" t="inlineStr">
        <is>
          <t>ЕАЭС N RU Д-RU.РА07.В.46175/25</t>
        </is>
      </c>
      <c r="AG493" s="78" t="n"/>
      <c r="AJ493" s="84" t="inlineStr"/>
      <c r="AK493" s="84" t="n">
        <v>0</v>
      </c>
      <c r="BB493" s="587" t="inlineStr">
        <is>
          <t>КИ</t>
        </is>
      </c>
      <c r="BM493" s="78">
        <f>IFERROR(X493*I493/H493,"0")</f>
        <v/>
      </c>
      <c r="BN493" s="78">
        <f>IFERROR(Y493*I493/H493,"0")</f>
        <v/>
      </c>
      <c r="BO493" s="78">
        <f>IFERROR(1/J493*(X493/H493),"0")</f>
        <v/>
      </c>
      <c r="BP493" s="78">
        <f>IFERROR(1/J493*(Y493/H493),"0")</f>
        <v/>
      </c>
    </row>
    <row r="494">
      <c r="A494" s="704" t="n"/>
      <c r="B494" s="979" t="n"/>
      <c r="C494" s="979" t="n"/>
      <c r="D494" s="979" t="n"/>
      <c r="E494" s="979" t="n"/>
      <c r="F494" s="979" t="n"/>
      <c r="G494" s="979" t="n"/>
      <c r="H494" s="979" t="n"/>
      <c r="I494" s="979" t="n"/>
      <c r="J494" s="979" t="n"/>
      <c r="K494" s="979" t="n"/>
      <c r="L494" s="979" t="n"/>
      <c r="M494" s="979" t="n"/>
      <c r="N494" s="979" t="n"/>
      <c r="O494" s="1035" t="n"/>
      <c r="P494" s="1036" t="inlineStr">
        <is>
          <t>Итого</t>
        </is>
      </c>
      <c r="Q494" s="997" t="n"/>
      <c r="R494" s="997" t="n"/>
      <c r="S494" s="997" t="n"/>
      <c r="T494" s="997" t="n"/>
      <c r="U494" s="997" t="n"/>
      <c r="V494" s="998" t="n"/>
      <c r="W494" s="42" t="inlineStr">
        <is>
          <t>кор</t>
        </is>
      </c>
      <c r="X494" s="1037">
        <f>IFERROR(X485/H485,"0")+IFERROR(X486/H486,"0")+IFERROR(X487/H487,"0")+IFERROR(X488/H488,"0")+IFERROR(X489/H489,"0")+IFERROR(X490/H490,"0")+IFERROR(X491/H491,"0")+IFERROR(X492/H492,"0")+IFERROR(X493/H493,"0")</f>
        <v/>
      </c>
      <c r="Y494" s="1037">
        <f>IFERROR(Y485/H485,"0")+IFERROR(Y486/H486,"0")+IFERROR(Y487/H487,"0")+IFERROR(Y488/H488,"0")+IFERROR(Y489/H489,"0")+IFERROR(Y490/H490,"0")+IFERROR(Y491/H491,"0")+IFERROR(Y492/H492,"0")+IFERROR(Y493/H493,"0")</f>
        <v/>
      </c>
      <c r="Z494" s="103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/>
      </c>
      <c r="AA494" s="1038" t="n"/>
      <c r="AB494" s="1038" t="n"/>
      <c r="AC494" s="1038" t="n"/>
    </row>
    <row r="495">
      <c r="A495" s="979" t="n"/>
      <c r="B495" s="979" t="n"/>
      <c r="C495" s="979" t="n"/>
      <c r="D495" s="979" t="n"/>
      <c r="E495" s="979" t="n"/>
      <c r="F495" s="979" t="n"/>
      <c r="G495" s="979" t="n"/>
      <c r="H495" s="979" t="n"/>
      <c r="I495" s="979" t="n"/>
      <c r="J495" s="979" t="n"/>
      <c r="K495" s="979" t="n"/>
      <c r="L495" s="979" t="n"/>
      <c r="M495" s="979" t="n"/>
      <c r="N495" s="979" t="n"/>
      <c r="O495" s="1035" t="n"/>
      <c r="P495" s="1036" t="inlineStr">
        <is>
          <t>Итого</t>
        </is>
      </c>
      <c r="Q495" s="997" t="n"/>
      <c r="R495" s="997" t="n"/>
      <c r="S495" s="997" t="n"/>
      <c r="T495" s="997" t="n"/>
      <c r="U495" s="997" t="n"/>
      <c r="V495" s="998" t="n"/>
      <c r="W495" s="42" t="inlineStr">
        <is>
          <t>кг</t>
        </is>
      </c>
      <c r="X495" s="1037">
        <f>IFERROR(SUM(X485:X493),"0")</f>
        <v/>
      </c>
      <c r="Y495" s="1037">
        <f>IFERROR(SUM(Y485:Y493),"0")</f>
        <v/>
      </c>
      <c r="Z495" s="42" t="n"/>
      <c r="AA495" s="1038" t="n"/>
      <c r="AB495" s="1038" t="n"/>
      <c r="AC495" s="1038" t="n"/>
    </row>
    <row r="496" ht="14.25" customHeight="1">
      <c r="A496" s="694" t="inlineStr">
        <is>
          <t>Ветчины</t>
        </is>
      </c>
      <c r="B496" s="979" t="n"/>
      <c r="C496" s="979" t="n"/>
      <c r="D496" s="979" t="n"/>
      <c r="E496" s="979" t="n"/>
      <c r="F496" s="979" t="n"/>
      <c r="G496" s="979" t="n"/>
      <c r="H496" s="979" t="n"/>
      <c r="I496" s="979" t="n"/>
      <c r="J496" s="979" t="n"/>
      <c r="K496" s="979" t="n"/>
      <c r="L496" s="979" t="n"/>
      <c r="M496" s="979" t="n"/>
      <c r="N496" s="979" t="n"/>
      <c r="O496" s="979" t="n"/>
      <c r="P496" s="979" t="n"/>
      <c r="Q496" s="979" t="n"/>
      <c r="R496" s="979" t="n"/>
      <c r="S496" s="979" t="n"/>
      <c r="T496" s="979" t="n"/>
      <c r="U496" s="979" t="n"/>
      <c r="V496" s="979" t="n"/>
      <c r="W496" s="979" t="n"/>
      <c r="X496" s="979" t="n"/>
      <c r="Y496" s="979" t="n"/>
      <c r="Z496" s="979" t="n"/>
      <c r="AA496" s="694" t="n"/>
      <c r="AB496" s="694" t="n"/>
      <c r="AC496" s="694" t="n"/>
    </row>
    <row r="497" ht="16.5" customHeight="1">
      <c r="A497" s="63" t="inlineStr">
        <is>
          <t>SU002035</t>
        </is>
      </c>
      <c r="B497" s="63" t="inlineStr">
        <is>
          <t>P004460</t>
        </is>
      </c>
      <c r="C497" s="36" t="n">
        <v>4301020334</v>
      </c>
      <c r="D497" s="695" t="n">
        <v>4607091388930</v>
      </c>
      <c r="E497" s="989" t="n"/>
      <c r="F497" s="1028" t="n">
        <v>0.88</v>
      </c>
      <c r="G497" s="37" t="n">
        <v>6</v>
      </c>
      <c r="H497" s="1028" t="n">
        <v>5.28</v>
      </c>
      <c r="I497" s="1028" t="n">
        <v>5.63</v>
      </c>
      <c r="J497" s="37" t="n">
        <v>104</v>
      </c>
      <c r="K497" s="37" t="inlineStr">
        <is>
          <t>8</t>
        </is>
      </c>
      <c r="L497" s="37" t="inlineStr"/>
      <c r="M497" s="38" t="inlineStr">
        <is>
          <t>СК3</t>
        </is>
      </c>
      <c r="N497" s="38" t="n"/>
      <c r="O497" s="37" t="n">
        <v>70</v>
      </c>
      <c r="P497" s="1288">
        <f>HYPERLINK("https://abi.ru/products/Охлажденные/Дугушка/Дугушка/Ветчины/P004460/","Ветчины Дугушка Дугушка Вес б/о Дугушка")</f>
        <v/>
      </c>
      <c r="Q497" s="1030" t="n"/>
      <c r="R497" s="1030" t="n"/>
      <c r="S497" s="1030" t="n"/>
      <c r="T497" s="1031" t="n"/>
      <c r="U497" s="39" t="inlineStr"/>
      <c r="V497" s="39" t="inlineStr"/>
      <c r="W497" s="40" t="inlineStr">
        <is>
          <t>кг</t>
        </is>
      </c>
      <c r="X497" s="1032" t="n">
        <v>0</v>
      </c>
      <c r="Y497" s="1033">
        <f>IFERROR(IF(X497="",0,CEILING((X497/$H497),1)*$H497),"")</f>
        <v/>
      </c>
      <c r="Z497" s="41">
        <f>IFERROR(IF(Y497=0,"",ROUNDUP(Y497/H497,0)*0.01196),"")</f>
        <v/>
      </c>
      <c r="AA497" s="68" t="inlineStr"/>
      <c r="AB497" s="69" t="inlineStr"/>
      <c r="AC497" s="588" t="inlineStr">
        <is>
          <t>ЕАЭС N RU Д-RU.РА03.В.04088/26</t>
        </is>
      </c>
      <c r="AG497" s="78" t="n"/>
      <c r="AJ497" s="84" t="inlineStr"/>
      <c r="AK497" s="84" t="n">
        <v>0</v>
      </c>
      <c r="BB497" s="589" t="inlineStr">
        <is>
          <t>КИ</t>
        </is>
      </c>
      <c r="BM497" s="78">
        <f>IFERROR(X497*I497/H497,"0")</f>
        <v/>
      </c>
      <c r="BN497" s="78">
        <f>IFERROR(Y497*I497/H497,"0")</f>
        <v/>
      </c>
      <c r="BO497" s="78">
        <f>IFERROR(1/J497*(X497/H497),"0")</f>
        <v/>
      </c>
      <c r="BP497" s="78">
        <f>IFERROR(1/J497*(Y497/H497),"0")</f>
        <v/>
      </c>
    </row>
    <row r="498" ht="16.5" customHeight="1">
      <c r="A498" s="63" t="inlineStr">
        <is>
          <t>SU003742</t>
        </is>
      </c>
      <c r="B498" s="63" t="inlineStr">
        <is>
          <t>P004757</t>
        </is>
      </c>
      <c r="C498" s="36" t="n">
        <v>4301020374</v>
      </c>
      <c r="D498" s="695" t="n">
        <v>4680115886407</v>
      </c>
      <c r="E498" s="989" t="n"/>
      <c r="F498" s="1028" t="n">
        <v>0.4</v>
      </c>
      <c r="G498" s="37" t="n">
        <v>6</v>
      </c>
      <c r="H498" s="1028" t="n">
        <v>2.4</v>
      </c>
      <c r="I498" s="1028" t="n">
        <v>2.58</v>
      </c>
      <c r="J498" s="37" t="n">
        <v>182</v>
      </c>
      <c r="K498" s="37" t="inlineStr">
        <is>
          <t>14</t>
        </is>
      </c>
      <c r="L498" s="37" t="inlineStr"/>
      <c r="M498" s="38" t="inlineStr">
        <is>
          <t>СК1</t>
        </is>
      </c>
      <c r="N498" s="38" t="n"/>
      <c r="O498" s="37" t="n">
        <v>70</v>
      </c>
      <c r="P498" s="1289">
        <f>HYPERLINK("https://abi.ru/products/Охлажденные/Дугушка/Дугушка/Ветчины/P004757/","Ветчины «Дугушка» Фикс.вес 0,4 полиамид ТМ «Стародворье»")</f>
        <v/>
      </c>
      <c r="Q498" s="1030" t="n"/>
      <c r="R498" s="1030" t="n"/>
      <c r="S498" s="1030" t="n"/>
      <c r="T498" s="1031" t="n"/>
      <c r="U498" s="39" t="inlineStr"/>
      <c r="V498" s="39" t="inlineStr"/>
      <c r="W498" s="40" t="inlineStr">
        <is>
          <t>кг</t>
        </is>
      </c>
      <c r="X498" s="1032" t="n">
        <v>0</v>
      </c>
      <c r="Y498" s="1033">
        <f>IFERROR(IF(X498="",0,CEILING((X498/$H498),1)*$H498),"")</f>
        <v/>
      </c>
      <c r="Z498" s="41">
        <f>IFERROR(IF(Y498=0,"",ROUNDUP(Y498/H498,0)*0.00651),"")</f>
        <v/>
      </c>
      <c r="AA498" s="68" t="inlineStr"/>
      <c r="AB498" s="69" t="inlineStr"/>
      <c r="AC498" s="590" t="inlineStr">
        <is>
          <t>ЕАЭС N RU Д-RU.РА03.В.04088/26</t>
        </is>
      </c>
      <c r="AG498" s="78" t="n"/>
      <c r="AJ498" s="84" t="inlineStr"/>
      <c r="AK498" s="84" t="n">
        <v>0</v>
      </c>
      <c r="BB498" s="591" t="inlineStr">
        <is>
          <t>КИ</t>
        </is>
      </c>
      <c r="BM498" s="78">
        <f>IFERROR(X498*I498/H498,"0")</f>
        <v/>
      </c>
      <c r="BN498" s="78">
        <f>IFERROR(Y498*I498/H498,"0")</f>
        <v/>
      </c>
      <c r="BO498" s="78">
        <f>IFERROR(1/J498*(X498/H498),"0")</f>
        <v/>
      </c>
      <c r="BP498" s="78">
        <f>IFERROR(1/J498*(Y498/H498),"0")</f>
        <v/>
      </c>
    </row>
    <row r="499" ht="16.5" customHeight="1">
      <c r="A499" s="63" t="inlineStr">
        <is>
          <t>SU002643</t>
        </is>
      </c>
      <c r="B499" s="63" t="inlineStr">
        <is>
          <t>P004923</t>
        </is>
      </c>
      <c r="C499" s="36" t="n">
        <v>4301020385</v>
      </c>
      <c r="D499" s="695" t="n">
        <v>4680115880054</v>
      </c>
      <c r="E499" s="989" t="n"/>
      <c r="F499" s="1028" t="n">
        <v>0.6</v>
      </c>
      <c r="G499" s="37" t="n">
        <v>8</v>
      </c>
      <c r="H499" s="1028" t="n">
        <v>4.8</v>
      </c>
      <c r="I499" s="1028" t="n">
        <v>6.91</v>
      </c>
      <c r="J499" s="37" t="n">
        <v>132</v>
      </c>
      <c r="K499" s="37" t="inlineStr">
        <is>
          <t>12</t>
        </is>
      </c>
      <c r="L499" s="37" t="inlineStr"/>
      <c r="M499" s="38" t="inlineStr">
        <is>
          <t>СК1</t>
        </is>
      </c>
      <c r="N499" s="38" t="n"/>
      <c r="O499" s="37" t="n">
        <v>70</v>
      </c>
      <c r="P499" s="1290">
        <f>HYPERLINK("https://abi.ru/products/Охлажденные/Дугушка/Дугушка/Ветчины/P004923/","Ветчины «Дугушка» Фикс.вес 0,6 полиамид ТМ «Дугушка»")</f>
        <v/>
      </c>
      <c r="Q499" s="1030" t="n"/>
      <c r="R499" s="1030" t="n"/>
      <c r="S499" s="1030" t="n"/>
      <c r="T499" s="1031" t="n"/>
      <c r="U499" s="39" t="inlineStr"/>
      <c r="V499" s="39" t="inlineStr"/>
      <c r="W499" s="40" t="inlineStr">
        <is>
          <t>кг</t>
        </is>
      </c>
      <c r="X499" s="1032" t="n">
        <v>0</v>
      </c>
      <c r="Y499" s="1033">
        <f>IFERROR(IF(X499="",0,CEILING((X499/$H499),1)*$H499),"")</f>
        <v/>
      </c>
      <c r="Z499" s="41">
        <f>IFERROR(IF(Y499=0,"",ROUNDUP(Y499/H499,0)*0.00902),"")</f>
        <v/>
      </c>
      <c r="AA499" s="68" t="inlineStr"/>
      <c r="AB499" s="69" t="inlineStr"/>
      <c r="AC499" s="592" t="inlineStr">
        <is>
          <t>ЕАЭС N RU Д-RU.РА03.В.04088/26</t>
        </is>
      </c>
      <c r="AG499" s="78" t="n"/>
      <c r="AJ499" s="84" t="inlineStr"/>
      <c r="AK499" s="84" t="n">
        <v>0</v>
      </c>
      <c r="BB499" s="593" t="inlineStr">
        <is>
          <t>КИ</t>
        </is>
      </c>
      <c r="BM499" s="78">
        <f>IFERROR(X499*I499/H499,"0")</f>
        <v/>
      </c>
      <c r="BN499" s="78">
        <f>IFERROR(Y499*I499/H499,"0")</f>
        <v/>
      </c>
      <c r="BO499" s="78">
        <f>IFERROR(1/J499*(X499/H499),"0")</f>
        <v/>
      </c>
      <c r="BP499" s="78">
        <f>IFERROR(1/J499*(Y499/H499),"0")</f>
        <v/>
      </c>
    </row>
    <row r="500">
      <c r="A500" s="704" t="n"/>
      <c r="B500" s="979" t="n"/>
      <c r="C500" s="979" t="n"/>
      <c r="D500" s="979" t="n"/>
      <c r="E500" s="979" t="n"/>
      <c r="F500" s="979" t="n"/>
      <c r="G500" s="979" t="n"/>
      <c r="H500" s="979" t="n"/>
      <c r="I500" s="979" t="n"/>
      <c r="J500" s="979" t="n"/>
      <c r="K500" s="979" t="n"/>
      <c r="L500" s="979" t="n"/>
      <c r="M500" s="979" t="n"/>
      <c r="N500" s="979" t="n"/>
      <c r="O500" s="1035" t="n"/>
      <c r="P500" s="1036" t="inlineStr">
        <is>
          <t>Итого</t>
        </is>
      </c>
      <c r="Q500" s="997" t="n"/>
      <c r="R500" s="997" t="n"/>
      <c r="S500" s="997" t="n"/>
      <c r="T500" s="997" t="n"/>
      <c r="U500" s="997" t="n"/>
      <c r="V500" s="998" t="n"/>
      <c r="W500" s="42" t="inlineStr">
        <is>
          <t>кор</t>
        </is>
      </c>
      <c r="X500" s="1037">
        <f>IFERROR(X497/H497,"0")+IFERROR(X498/H498,"0")+IFERROR(X499/H499,"0")</f>
        <v/>
      </c>
      <c r="Y500" s="1037">
        <f>IFERROR(Y497/H497,"0")+IFERROR(Y498/H498,"0")+IFERROR(Y499/H499,"0")</f>
        <v/>
      </c>
      <c r="Z500" s="1037">
        <f>IFERROR(IF(Z497="",0,Z497),"0")+IFERROR(IF(Z498="",0,Z498),"0")+IFERROR(IF(Z499="",0,Z499),"0")</f>
        <v/>
      </c>
      <c r="AA500" s="1038" t="n"/>
      <c r="AB500" s="1038" t="n"/>
      <c r="AC500" s="1038" t="n"/>
    </row>
    <row r="501">
      <c r="A501" s="979" t="n"/>
      <c r="B501" s="979" t="n"/>
      <c r="C501" s="979" t="n"/>
      <c r="D501" s="979" t="n"/>
      <c r="E501" s="979" t="n"/>
      <c r="F501" s="979" t="n"/>
      <c r="G501" s="979" t="n"/>
      <c r="H501" s="979" t="n"/>
      <c r="I501" s="979" t="n"/>
      <c r="J501" s="979" t="n"/>
      <c r="K501" s="979" t="n"/>
      <c r="L501" s="979" t="n"/>
      <c r="M501" s="979" t="n"/>
      <c r="N501" s="979" t="n"/>
      <c r="O501" s="1035" t="n"/>
      <c r="P501" s="1036" t="inlineStr">
        <is>
          <t>Итого</t>
        </is>
      </c>
      <c r="Q501" s="997" t="n"/>
      <c r="R501" s="997" t="n"/>
      <c r="S501" s="997" t="n"/>
      <c r="T501" s="997" t="n"/>
      <c r="U501" s="997" t="n"/>
      <c r="V501" s="998" t="n"/>
      <c r="W501" s="42" t="inlineStr">
        <is>
          <t>кг</t>
        </is>
      </c>
      <c r="X501" s="1037">
        <f>IFERROR(SUM(X497:X499),"0")</f>
        <v/>
      </c>
      <c r="Y501" s="1037">
        <f>IFERROR(SUM(Y497:Y499),"0")</f>
        <v/>
      </c>
      <c r="Z501" s="42" t="n"/>
      <c r="AA501" s="1038" t="n"/>
      <c r="AB501" s="1038" t="n"/>
      <c r="AC501" s="1038" t="n"/>
    </row>
    <row r="502" ht="14.25" customHeight="1">
      <c r="A502" s="694" t="inlineStr">
        <is>
          <t>Копченые колбасы</t>
        </is>
      </c>
      <c r="B502" s="979" t="n"/>
      <c r="C502" s="979" t="n"/>
      <c r="D502" s="979" t="n"/>
      <c r="E502" s="979" t="n"/>
      <c r="F502" s="979" t="n"/>
      <c r="G502" s="979" t="n"/>
      <c r="H502" s="979" t="n"/>
      <c r="I502" s="979" t="n"/>
      <c r="J502" s="979" t="n"/>
      <c r="K502" s="979" t="n"/>
      <c r="L502" s="979" t="n"/>
      <c r="M502" s="979" t="n"/>
      <c r="N502" s="979" t="n"/>
      <c r="O502" s="979" t="n"/>
      <c r="P502" s="979" t="n"/>
      <c r="Q502" s="979" t="n"/>
      <c r="R502" s="979" t="n"/>
      <c r="S502" s="979" t="n"/>
      <c r="T502" s="979" t="n"/>
      <c r="U502" s="979" t="n"/>
      <c r="V502" s="979" t="n"/>
      <c r="W502" s="979" t="n"/>
      <c r="X502" s="979" t="n"/>
      <c r="Y502" s="979" t="n"/>
      <c r="Z502" s="979" t="n"/>
      <c r="AA502" s="694" t="n"/>
      <c r="AB502" s="694" t="n"/>
      <c r="AC502" s="694" t="n"/>
    </row>
    <row r="503" ht="27" customHeight="1">
      <c r="A503" s="63" t="inlineStr">
        <is>
          <t>SU002150</t>
        </is>
      </c>
      <c r="B503" s="63" t="inlineStr">
        <is>
          <t>P004465</t>
        </is>
      </c>
      <c r="C503" s="36" t="n">
        <v>4301031349</v>
      </c>
      <c r="D503" s="695" t="n">
        <v>4680115883116</v>
      </c>
      <c r="E503" s="989" t="n"/>
      <c r="F503" s="1028" t="n">
        <v>0.88</v>
      </c>
      <c r="G503" s="37" t="n">
        <v>6</v>
      </c>
      <c r="H503" s="1028" t="n">
        <v>5.28</v>
      </c>
      <c r="I503" s="1028" t="n">
        <v>5.63</v>
      </c>
      <c r="J503" s="37" t="n">
        <v>104</v>
      </c>
      <c r="K503" s="37" t="inlineStr">
        <is>
          <t>8</t>
        </is>
      </c>
      <c r="L503" s="37" t="inlineStr"/>
      <c r="M503" s="38" t="inlineStr">
        <is>
          <t>СК1</t>
        </is>
      </c>
      <c r="N503" s="38" t="n"/>
      <c r="O503" s="37" t="n">
        <v>70</v>
      </c>
      <c r="P503" s="1291">
        <f>HYPERLINK("https://abi.ru/products/Охлажденные/Дугушка/Дугушка/Копченые колбасы/P004465/","В/к колбасы «Рубленая Запеченная» Весовые Вектор ТМ «Дугушка»")</f>
        <v/>
      </c>
      <c r="Q503" s="1030" t="n"/>
      <c r="R503" s="1030" t="n"/>
      <c r="S503" s="1030" t="n"/>
      <c r="T503" s="1031" t="n"/>
      <c r="U503" s="39" t="inlineStr"/>
      <c r="V503" s="39" t="inlineStr"/>
      <c r="W503" s="40" t="inlineStr">
        <is>
          <t>кг</t>
        </is>
      </c>
      <c r="X503" s="1032" t="n">
        <v>0</v>
      </c>
      <c r="Y503" s="1033">
        <f>IFERROR(IF(X503="",0,CEILING((X503/$H503),1)*$H503),"")</f>
        <v/>
      </c>
      <c r="Z503" s="41">
        <f>IFERROR(IF(Y503=0,"",ROUNDUP(Y503/H503,0)*0.01196),"")</f>
        <v/>
      </c>
      <c r="AA503" s="68" t="inlineStr"/>
      <c r="AB503" s="69" t="inlineStr"/>
      <c r="AC503" s="594" t="inlineStr">
        <is>
          <t>ЕАЭС N RU Д-RU.РА09.В.59606/25</t>
        </is>
      </c>
      <c r="AG503" s="78" t="n"/>
      <c r="AJ503" s="84" t="inlineStr"/>
      <c r="AK503" s="84" t="n">
        <v>0</v>
      </c>
      <c r="BB503" s="595" t="inlineStr">
        <is>
          <t>КИ</t>
        </is>
      </c>
      <c r="BM503" s="78">
        <f>IFERROR(X503*I503/H503,"0")</f>
        <v/>
      </c>
      <c r="BN503" s="78">
        <f>IFERROR(Y503*I503/H503,"0")</f>
        <v/>
      </c>
      <c r="BO503" s="78">
        <f>IFERROR(1/J503*(X503/H503),"0")</f>
        <v/>
      </c>
      <c r="BP503" s="78">
        <f>IFERROR(1/J503*(Y503/H503),"0")</f>
        <v/>
      </c>
    </row>
    <row r="504" ht="27" customHeight="1">
      <c r="A504" s="63" t="inlineStr">
        <is>
          <t>SU002158</t>
        </is>
      </c>
      <c r="B504" s="63" t="inlineStr">
        <is>
          <t>P004466</t>
        </is>
      </c>
      <c r="C504" s="36" t="n">
        <v>4301031350</v>
      </c>
      <c r="D504" s="695" t="n">
        <v>4680115883093</v>
      </c>
      <c r="E504" s="989" t="n"/>
      <c r="F504" s="1028" t="n">
        <v>0.88</v>
      </c>
      <c r="G504" s="37" t="n">
        <v>6</v>
      </c>
      <c r="H504" s="1028" t="n">
        <v>5.28</v>
      </c>
      <c r="I504" s="1028" t="n">
        <v>5.63</v>
      </c>
      <c r="J504" s="37" t="n">
        <v>104</v>
      </c>
      <c r="K504" s="37" t="inlineStr">
        <is>
          <t>8</t>
        </is>
      </c>
      <c r="L504" s="37" t="inlineStr"/>
      <c r="M504" s="38" t="inlineStr">
        <is>
          <t>СК2</t>
        </is>
      </c>
      <c r="N504" s="38" t="n"/>
      <c r="O504" s="37" t="n">
        <v>70</v>
      </c>
      <c r="P504" s="1292">
        <f>HYPERLINK("https://abi.ru/products/Охлажденные/Дугушка/Дугушка/Копченые колбасы/P004466/","В/к колбасы «Салями Запеченая» Весовые ТМ «Дугушка»")</f>
        <v/>
      </c>
      <c r="Q504" s="1030" t="n"/>
      <c r="R504" s="1030" t="n"/>
      <c r="S504" s="1030" t="n"/>
      <c r="T504" s="1031" t="n"/>
      <c r="U504" s="39" t="inlineStr"/>
      <c r="V504" s="39" t="inlineStr"/>
      <c r="W504" s="40" t="inlineStr">
        <is>
          <t>кг</t>
        </is>
      </c>
      <c r="X504" s="1032" t="n">
        <v>0</v>
      </c>
      <c r="Y504" s="1033">
        <f>IFERROR(IF(X504="",0,CEILING((X504/$H504),1)*$H504),"")</f>
        <v/>
      </c>
      <c r="Z504" s="41">
        <f>IFERROR(IF(Y504=0,"",ROUNDUP(Y504/H504,0)*0.01196),"")</f>
        <v/>
      </c>
      <c r="AA504" s="68" t="inlineStr"/>
      <c r="AB504" s="69" t="inlineStr"/>
      <c r="AC504" s="596" t="inlineStr">
        <is>
          <t>ЕАЭС N RU Д-RU.РА02.В.80229/26</t>
        </is>
      </c>
      <c r="AG504" s="78" t="n"/>
      <c r="AJ504" s="84" t="inlineStr"/>
      <c r="AK504" s="84" t="n">
        <v>0</v>
      </c>
      <c r="BB504" s="597" t="inlineStr">
        <is>
          <t>КИ</t>
        </is>
      </c>
      <c r="BM504" s="78">
        <f>IFERROR(X504*I504/H504,"0")</f>
        <v/>
      </c>
      <c r="BN504" s="78">
        <f>IFERROR(Y504*I504/H504,"0")</f>
        <v/>
      </c>
      <c r="BO504" s="78">
        <f>IFERROR(1/J504*(X504/H504),"0")</f>
        <v/>
      </c>
      <c r="BP504" s="78">
        <f>IFERROR(1/J504*(Y504/H504),"0")</f>
        <v/>
      </c>
    </row>
    <row r="505" ht="27" customHeight="1">
      <c r="A505" s="63" t="inlineStr">
        <is>
          <t>SU002151</t>
        </is>
      </c>
      <c r="B505" s="63" t="inlineStr">
        <is>
          <t>P004470</t>
        </is>
      </c>
      <c r="C505" s="36" t="n">
        <v>4301031353</v>
      </c>
      <c r="D505" s="695" t="n">
        <v>4680115883109</v>
      </c>
      <c r="E505" s="989" t="n"/>
      <c r="F505" s="1028" t="n">
        <v>0.88</v>
      </c>
      <c r="G505" s="37" t="n">
        <v>6</v>
      </c>
      <c r="H505" s="1028" t="n">
        <v>5.28</v>
      </c>
      <c r="I505" s="1028" t="n">
        <v>5.63</v>
      </c>
      <c r="J505" s="37" t="n">
        <v>104</v>
      </c>
      <c r="K505" s="37" t="inlineStr">
        <is>
          <t>8</t>
        </is>
      </c>
      <c r="L505" s="37" t="inlineStr"/>
      <c r="M505" s="38" t="inlineStr">
        <is>
          <t>СК2</t>
        </is>
      </c>
      <c r="N505" s="38" t="n"/>
      <c r="O505" s="37" t="n">
        <v>70</v>
      </c>
      <c r="P505" s="1293">
        <f>HYPERLINK("https://abi.ru/products/Охлажденные/Дугушка/Дугушка/Копченые колбасы/P004470/","В/к колбасы «Сервелат Запеченный» Весовые Вектор ТМ «Дугушка»")</f>
        <v/>
      </c>
      <c r="Q505" s="1030" t="n"/>
      <c r="R505" s="1030" t="n"/>
      <c r="S505" s="1030" t="n"/>
      <c r="T505" s="1031" t="n"/>
      <c r="U505" s="39" t="inlineStr"/>
      <c r="V505" s="39" t="inlineStr"/>
      <c r="W505" s="40" t="inlineStr">
        <is>
          <t>кг</t>
        </is>
      </c>
      <c r="X505" s="1032" t="n">
        <v>0</v>
      </c>
      <c r="Y505" s="1033">
        <f>IFERROR(IF(X505="",0,CEILING((X505/$H505),1)*$H505),"")</f>
        <v/>
      </c>
      <c r="Z505" s="41">
        <f>IFERROR(IF(Y505=0,"",ROUNDUP(Y505/H505,0)*0.01196),"")</f>
        <v/>
      </c>
      <c r="AA505" s="68" t="inlineStr"/>
      <c r="AB505" s="69" t="inlineStr"/>
      <c r="AC505" s="598" t="inlineStr">
        <is>
          <t>ЕАЭС N RU Д-RU.РА02.В.80013/26</t>
        </is>
      </c>
      <c r="AG505" s="78" t="n"/>
      <c r="AJ505" s="84" t="inlineStr"/>
      <c r="AK505" s="84" t="n">
        <v>0</v>
      </c>
      <c r="BB505" s="599" t="inlineStr">
        <is>
          <t>КИ</t>
        </is>
      </c>
      <c r="BM505" s="78">
        <f>IFERROR(X505*I505/H505,"0")</f>
        <v/>
      </c>
      <c r="BN505" s="78">
        <f>IFERROR(Y505*I505/H505,"0")</f>
        <v/>
      </c>
      <c r="BO505" s="78">
        <f>IFERROR(1/J505*(X505/H505),"0")</f>
        <v/>
      </c>
      <c r="BP505" s="78">
        <f>IFERROR(1/J505*(Y505/H505),"0")</f>
        <v/>
      </c>
    </row>
    <row r="506" ht="27" customHeight="1">
      <c r="A506" s="63" t="inlineStr">
        <is>
          <t>SU002916</t>
        </is>
      </c>
      <c r="B506" s="63" t="inlineStr">
        <is>
          <t>P004934</t>
        </is>
      </c>
      <c r="C506" s="36" t="n">
        <v>4301031419</v>
      </c>
      <c r="D506" s="695" t="n">
        <v>4680115882072</v>
      </c>
      <c r="E506" s="989" t="n"/>
      <c r="F506" s="1028" t="n">
        <v>0.6</v>
      </c>
      <c r="G506" s="37" t="n">
        <v>8</v>
      </c>
      <c r="H506" s="1028" t="n">
        <v>4.8</v>
      </c>
      <c r="I506" s="1028" t="n">
        <v>6.91</v>
      </c>
      <c r="J506" s="37" t="n">
        <v>132</v>
      </c>
      <c r="K506" s="37" t="inlineStr">
        <is>
          <t>12</t>
        </is>
      </c>
      <c r="L506" s="37" t="inlineStr"/>
      <c r="M506" s="38" t="inlineStr">
        <is>
          <t>СК1</t>
        </is>
      </c>
      <c r="N506" s="38" t="n"/>
      <c r="O506" s="37" t="n">
        <v>70</v>
      </c>
      <c r="P506" s="1294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/>
      </c>
      <c r="Q506" s="1030" t="n"/>
      <c r="R506" s="1030" t="n"/>
      <c r="S506" s="1030" t="n"/>
      <c r="T506" s="1031" t="n"/>
      <c r="U506" s="39" t="inlineStr"/>
      <c r="V506" s="39" t="inlineStr"/>
      <c r="W506" s="40" t="inlineStr">
        <is>
          <t>кг</t>
        </is>
      </c>
      <c r="X506" s="1032" t="n">
        <v>0</v>
      </c>
      <c r="Y506" s="1033">
        <f>IFERROR(IF(X506="",0,CEILING((X506/$H506),1)*$H506),"")</f>
        <v/>
      </c>
      <c r="Z506" s="41">
        <f>IFERROR(IF(Y506=0,"",ROUNDUP(Y506/H506,0)*0.00902),"")</f>
        <v/>
      </c>
      <c r="AA506" s="68" t="inlineStr"/>
      <c r="AB506" s="69" t="inlineStr"/>
      <c r="AC506" s="600" t="inlineStr">
        <is>
          <t>ЕАЭС N RU Д-RU.РА09.В.59606/25</t>
        </is>
      </c>
      <c r="AG506" s="78" t="n"/>
      <c r="AJ506" s="84" t="inlineStr"/>
      <c r="AK506" s="84" t="n">
        <v>0</v>
      </c>
      <c r="BB506" s="601" t="inlineStr">
        <is>
          <t>КИ</t>
        </is>
      </c>
      <c r="BM506" s="78">
        <f>IFERROR(X506*I506/H506,"0")</f>
        <v/>
      </c>
      <c r="BN506" s="78">
        <f>IFERROR(Y506*I506/H506,"0")</f>
        <v/>
      </c>
      <c r="BO506" s="78">
        <f>IFERROR(1/J506*(X506/H506),"0")</f>
        <v/>
      </c>
      <c r="BP506" s="78">
        <f>IFERROR(1/J506*(Y506/H506),"0")</f>
        <v/>
      </c>
    </row>
    <row r="507" ht="27" customHeight="1">
      <c r="A507" s="63" t="inlineStr">
        <is>
          <t>SU002919</t>
        </is>
      </c>
      <c r="B507" s="63" t="inlineStr">
        <is>
          <t>P004469</t>
        </is>
      </c>
      <c r="C507" s="36" t="n">
        <v>4301031352</v>
      </c>
      <c r="D507" s="695" t="n">
        <v>4680115882102</v>
      </c>
      <c r="E507" s="989" t="n"/>
      <c r="F507" s="1028" t="n">
        <v>0.6</v>
      </c>
      <c r="G507" s="37" t="n">
        <v>6</v>
      </c>
      <c r="H507" s="1028" t="n">
        <v>3.6</v>
      </c>
      <c r="I507" s="1028" t="n">
        <v>3.79</v>
      </c>
      <c r="J507" s="37" t="n">
        <v>132</v>
      </c>
      <c r="K507" s="37" t="inlineStr">
        <is>
          <t>12</t>
        </is>
      </c>
      <c r="L507" s="37" t="inlineStr"/>
      <c r="M507" s="38" t="inlineStr">
        <is>
          <t>СК2</t>
        </is>
      </c>
      <c r="N507" s="38" t="n"/>
      <c r="O507" s="37" t="n">
        <v>70</v>
      </c>
      <c r="P507" s="1295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/>
      </c>
      <c r="Q507" s="1030" t="n"/>
      <c r="R507" s="1030" t="n"/>
      <c r="S507" s="1030" t="n"/>
      <c r="T507" s="1031" t="n"/>
      <c r="U507" s="39" t="inlineStr"/>
      <c r="V507" s="39" t="inlineStr"/>
      <c r="W507" s="40" t="inlineStr">
        <is>
          <t>кг</t>
        </is>
      </c>
      <c r="X507" s="1032" t="n">
        <v>0</v>
      </c>
      <c r="Y507" s="1033">
        <f>IFERROR(IF(X507="",0,CEILING((X507/$H507),1)*$H507),"")</f>
        <v/>
      </c>
      <c r="Z507" s="41">
        <f>IFERROR(IF(Y507=0,"",ROUNDUP(Y507/H507,0)*0.00902),"")</f>
        <v/>
      </c>
      <c r="AA507" s="68" t="inlineStr"/>
      <c r="AB507" s="69" t="inlineStr"/>
      <c r="AC507" s="602" t="inlineStr">
        <is>
          <t>ЕАЭС N RU Д-RU.РА02.В.80229/26</t>
        </is>
      </c>
      <c r="AG507" s="78" t="n"/>
      <c r="AJ507" s="84" t="inlineStr"/>
      <c r="AK507" s="84" t="n">
        <v>0</v>
      </c>
      <c r="BB507" s="603" t="inlineStr">
        <is>
          <t>КИ</t>
        </is>
      </c>
      <c r="BM507" s="78">
        <f>IFERROR(X507*I507/H507,"0")</f>
        <v/>
      </c>
      <c r="BN507" s="78">
        <f>IFERROR(Y507*I507/H507,"0")</f>
        <v/>
      </c>
      <c r="BO507" s="78">
        <f>IFERROR(1/J507*(X507/H507),"0")</f>
        <v/>
      </c>
      <c r="BP507" s="78">
        <f>IFERROR(1/J507*(Y507/H507),"0")</f>
        <v/>
      </c>
    </row>
    <row r="508" ht="27" customHeight="1">
      <c r="A508" s="63" t="inlineStr">
        <is>
          <t>SU002919</t>
        </is>
      </c>
      <c r="B508" s="63" t="inlineStr">
        <is>
          <t>P004930</t>
        </is>
      </c>
      <c r="C508" s="36" t="n">
        <v>4301031418</v>
      </c>
      <c r="D508" s="695" t="n">
        <v>4680115882102</v>
      </c>
      <c r="E508" s="989" t="n"/>
      <c r="F508" s="1028" t="n">
        <v>0.6</v>
      </c>
      <c r="G508" s="37" t="n">
        <v>8</v>
      </c>
      <c r="H508" s="1028" t="n">
        <v>4.8</v>
      </c>
      <c r="I508" s="1028" t="n">
        <v>6.67</v>
      </c>
      <c r="J508" s="37" t="n">
        <v>132</v>
      </c>
      <c r="K508" s="37" t="inlineStr">
        <is>
          <t>12</t>
        </is>
      </c>
      <c r="L508" s="37" t="inlineStr"/>
      <c r="M508" s="38" t="inlineStr">
        <is>
          <t>СК2</t>
        </is>
      </c>
      <c r="N508" s="38" t="n"/>
      <c r="O508" s="37" t="n">
        <v>70</v>
      </c>
      <c r="P508" s="1296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/>
      </c>
      <c r="Q508" s="1030" t="n"/>
      <c r="R508" s="1030" t="n"/>
      <c r="S508" s="1030" t="n"/>
      <c r="T508" s="1031" t="n"/>
      <c r="U508" s="39" t="inlineStr"/>
      <c r="V508" s="39" t="inlineStr"/>
      <c r="W508" s="40" t="inlineStr">
        <is>
          <t>кг</t>
        </is>
      </c>
      <c r="X508" s="1032" t="n">
        <v>0</v>
      </c>
      <c r="Y508" s="1033">
        <f>IFERROR(IF(X508="",0,CEILING((X508/$H508),1)*$H508),"")</f>
        <v/>
      </c>
      <c r="Z508" s="41">
        <f>IFERROR(IF(Y508=0,"",ROUNDUP(Y508/H508,0)*0.00902),"")</f>
        <v/>
      </c>
      <c r="AA508" s="68" t="inlineStr"/>
      <c r="AB508" s="69" t="inlineStr"/>
      <c r="AC508" s="604" t="inlineStr">
        <is>
          <t>ЕАЭС N RU Д-RU.РА02.В.80229/26</t>
        </is>
      </c>
      <c r="AG508" s="78" t="n"/>
      <c r="AJ508" s="84" t="inlineStr"/>
      <c r="AK508" s="84" t="n">
        <v>0</v>
      </c>
      <c r="BB508" s="605" t="inlineStr">
        <is>
          <t>КИ</t>
        </is>
      </c>
      <c r="BM508" s="78">
        <f>IFERROR(X508*I508/H508,"0")</f>
        <v/>
      </c>
      <c r="BN508" s="78">
        <f>IFERROR(Y508*I508/H508,"0")</f>
        <v/>
      </c>
      <c r="BO508" s="78">
        <f>IFERROR(1/J508*(X508/H508),"0")</f>
        <v/>
      </c>
      <c r="BP508" s="78">
        <f>IFERROR(1/J508*(Y508/H508),"0")</f>
        <v/>
      </c>
    </row>
    <row r="509" ht="27" customHeight="1">
      <c r="A509" s="63" t="inlineStr">
        <is>
          <t>SU002918</t>
        </is>
      </c>
      <c r="B509" s="63" t="inlineStr">
        <is>
          <t>P004929</t>
        </is>
      </c>
      <c r="C509" s="36" t="n">
        <v>4301031417</v>
      </c>
      <c r="D509" s="695" t="n">
        <v>4680115882096</v>
      </c>
      <c r="E509" s="989" t="n"/>
      <c r="F509" s="1028" t="n">
        <v>0.6</v>
      </c>
      <c r="G509" s="37" t="n">
        <v>8</v>
      </c>
      <c r="H509" s="1028" t="n">
        <v>4.8</v>
      </c>
      <c r="I509" s="1028" t="n">
        <v>6.67</v>
      </c>
      <c r="J509" s="37" t="n">
        <v>132</v>
      </c>
      <c r="K509" s="37" t="inlineStr">
        <is>
          <t>12</t>
        </is>
      </c>
      <c r="L509" s="37" t="inlineStr"/>
      <c r="M509" s="38" t="inlineStr">
        <is>
          <t>СК2</t>
        </is>
      </c>
      <c r="N509" s="38" t="n"/>
      <c r="O509" s="37" t="n">
        <v>70</v>
      </c>
      <c r="P509" s="1297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/>
      </c>
      <c r="Q509" s="1030" t="n"/>
      <c r="R509" s="1030" t="n"/>
      <c r="S509" s="1030" t="n"/>
      <c r="T509" s="1031" t="n"/>
      <c r="U509" s="39" t="inlineStr"/>
      <c r="V509" s="39" t="inlineStr"/>
      <c r="W509" s="40" t="inlineStr">
        <is>
          <t>кг</t>
        </is>
      </c>
      <c r="X509" s="1032" t="n">
        <v>0</v>
      </c>
      <c r="Y509" s="1033">
        <f>IFERROR(IF(X509="",0,CEILING((X509/$H509),1)*$H509),"")</f>
        <v/>
      </c>
      <c r="Z509" s="41">
        <f>IFERROR(IF(Y509=0,"",ROUNDUP(Y509/H509,0)*0.00902),"")</f>
        <v/>
      </c>
      <c r="AA509" s="68" t="inlineStr"/>
      <c r="AB509" s="69" t="inlineStr"/>
      <c r="AC509" s="606" t="inlineStr">
        <is>
          <t>ЕАЭС N RU Д-RU.РА02.В.80013/26</t>
        </is>
      </c>
      <c r="AG509" s="78" t="n"/>
      <c r="AJ509" s="84" t="inlineStr"/>
      <c r="AK509" s="84" t="n">
        <v>0</v>
      </c>
      <c r="BB509" s="607" t="inlineStr">
        <is>
          <t>КИ</t>
        </is>
      </c>
      <c r="BM509" s="78">
        <f>IFERROR(X509*I509/H509,"0")</f>
        <v/>
      </c>
      <c r="BN509" s="78">
        <f>IFERROR(Y509*I509/H509,"0")</f>
        <v/>
      </c>
      <c r="BO509" s="78">
        <f>IFERROR(1/J509*(X509/H509),"0")</f>
        <v/>
      </c>
      <c r="BP509" s="78">
        <f>IFERROR(1/J509*(Y509/H509),"0")</f>
        <v/>
      </c>
    </row>
    <row r="510">
      <c r="A510" s="704" t="n"/>
      <c r="B510" s="979" t="n"/>
      <c r="C510" s="979" t="n"/>
      <c r="D510" s="979" t="n"/>
      <c r="E510" s="979" t="n"/>
      <c r="F510" s="979" t="n"/>
      <c r="G510" s="979" t="n"/>
      <c r="H510" s="979" t="n"/>
      <c r="I510" s="979" t="n"/>
      <c r="J510" s="979" t="n"/>
      <c r="K510" s="979" t="n"/>
      <c r="L510" s="979" t="n"/>
      <c r="M510" s="979" t="n"/>
      <c r="N510" s="979" t="n"/>
      <c r="O510" s="1035" t="n"/>
      <c r="P510" s="1036" t="inlineStr">
        <is>
          <t>Итого</t>
        </is>
      </c>
      <c r="Q510" s="997" t="n"/>
      <c r="R510" s="997" t="n"/>
      <c r="S510" s="997" t="n"/>
      <c r="T510" s="997" t="n"/>
      <c r="U510" s="997" t="n"/>
      <c r="V510" s="998" t="n"/>
      <c r="W510" s="42" t="inlineStr">
        <is>
          <t>кор</t>
        </is>
      </c>
      <c r="X510" s="1037">
        <f>IFERROR(X503/H503,"0")+IFERROR(X504/H504,"0")+IFERROR(X505/H505,"0")+IFERROR(X506/H506,"0")+IFERROR(X507/H507,"0")+IFERROR(X508/H508,"0")+IFERROR(X509/H509,"0")</f>
        <v/>
      </c>
      <c r="Y510" s="1037">
        <f>IFERROR(Y503/H503,"0")+IFERROR(Y504/H504,"0")+IFERROR(Y505/H505,"0")+IFERROR(Y506/H506,"0")+IFERROR(Y507/H507,"0")+IFERROR(Y508/H508,"0")+IFERROR(Y509/H509,"0")</f>
        <v/>
      </c>
      <c r="Z510" s="1037">
        <f>IFERROR(IF(Z503="",0,Z503),"0")+IFERROR(IF(Z504="",0,Z504),"0")+IFERROR(IF(Z505="",0,Z505),"0")+IFERROR(IF(Z506="",0,Z506),"0")+IFERROR(IF(Z507="",0,Z507),"0")+IFERROR(IF(Z508="",0,Z508),"0")+IFERROR(IF(Z509="",0,Z509),"0")</f>
        <v/>
      </c>
      <c r="AA510" s="1038" t="n"/>
      <c r="AB510" s="1038" t="n"/>
      <c r="AC510" s="1038" t="n"/>
    </row>
    <row r="511">
      <c r="A511" s="979" t="n"/>
      <c r="B511" s="979" t="n"/>
      <c r="C511" s="979" t="n"/>
      <c r="D511" s="979" t="n"/>
      <c r="E511" s="979" t="n"/>
      <c r="F511" s="979" t="n"/>
      <c r="G511" s="979" t="n"/>
      <c r="H511" s="979" t="n"/>
      <c r="I511" s="979" t="n"/>
      <c r="J511" s="979" t="n"/>
      <c r="K511" s="979" t="n"/>
      <c r="L511" s="979" t="n"/>
      <c r="M511" s="979" t="n"/>
      <c r="N511" s="979" t="n"/>
      <c r="O511" s="1035" t="n"/>
      <c r="P511" s="1036" t="inlineStr">
        <is>
          <t>Итого</t>
        </is>
      </c>
      <c r="Q511" s="997" t="n"/>
      <c r="R511" s="997" t="n"/>
      <c r="S511" s="997" t="n"/>
      <c r="T511" s="997" t="n"/>
      <c r="U511" s="997" t="n"/>
      <c r="V511" s="998" t="n"/>
      <c r="W511" s="42" t="inlineStr">
        <is>
          <t>кг</t>
        </is>
      </c>
      <c r="X511" s="1037">
        <f>IFERROR(SUM(X503:X509),"0")</f>
        <v/>
      </c>
      <c r="Y511" s="1037">
        <f>IFERROR(SUM(Y503:Y509),"0")</f>
        <v/>
      </c>
      <c r="Z511" s="42" t="n"/>
      <c r="AA511" s="1038" t="n"/>
      <c r="AB511" s="1038" t="n"/>
      <c r="AC511" s="1038" t="n"/>
    </row>
    <row r="512" ht="27.75" customHeight="1">
      <c r="A512" s="692" t="inlineStr">
        <is>
          <t>Зареченские продукты</t>
        </is>
      </c>
      <c r="B512" s="1027" t="n"/>
      <c r="C512" s="1027" t="n"/>
      <c r="D512" s="1027" t="n"/>
      <c r="E512" s="1027" t="n"/>
      <c r="F512" s="1027" t="n"/>
      <c r="G512" s="1027" t="n"/>
      <c r="H512" s="1027" t="n"/>
      <c r="I512" s="1027" t="n"/>
      <c r="J512" s="1027" t="n"/>
      <c r="K512" s="1027" t="n"/>
      <c r="L512" s="1027" t="n"/>
      <c r="M512" s="1027" t="n"/>
      <c r="N512" s="1027" t="n"/>
      <c r="O512" s="1027" t="n"/>
      <c r="P512" s="1027" t="n"/>
      <c r="Q512" s="1027" t="n"/>
      <c r="R512" s="1027" t="n"/>
      <c r="S512" s="1027" t="n"/>
      <c r="T512" s="1027" t="n"/>
      <c r="U512" s="1027" t="n"/>
      <c r="V512" s="1027" t="n"/>
      <c r="W512" s="1027" t="n"/>
      <c r="X512" s="1027" t="n"/>
      <c r="Y512" s="1027" t="n"/>
      <c r="Z512" s="1027" t="n"/>
      <c r="AA512" s="54" t="n"/>
      <c r="AB512" s="54" t="n"/>
      <c r="AC512" s="54" t="n"/>
    </row>
    <row r="513" ht="16.5" customHeight="1">
      <c r="A513" s="693" t="inlineStr">
        <is>
          <t>Зареченские продукты</t>
        </is>
      </c>
      <c r="B513" s="979" t="n"/>
      <c r="C513" s="979" t="n"/>
      <c r="D513" s="979" t="n"/>
      <c r="E513" s="979" t="n"/>
      <c r="F513" s="979" t="n"/>
      <c r="G513" s="979" t="n"/>
      <c r="H513" s="979" t="n"/>
      <c r="I513" s="979" t="n"/>
      <c r="J513" s="979" t="n"/>
      <c r="K513" s="979" t="n"/>
      <c r="L513" s="979" t="n"/>
      <c r="M513" s="979" t="n"/>
      <c r="N513" s="979" t="n"/>
      <c r="O513" s="979" t="n"/>
      <c r="P513" s="979" t="n"/>
      <c r="Q513" s="979" t="n"/>
      <c r="R513" s="979" t="n"/>
      <c r="S513" s="979" t="n"/>
      <c r="T513" s="979" t="n"/>
      <c r="U513" s="979" t="n"/>
      <c r="V513" s="979" t="n"/>
      <c r="W513" s="979" t="n"/>
      <c r="X513" s="979" t="n"/>
      <c r="Y513" s="979" t="n"/>
      <c r="Z513" s="979" t="n"/>
      <c r="AA513" s="693" t="n"/>
      <c r="AB513" s="693" t="n"/>
      <c r="AC513" s="693" t="n"/>
    </row>
    <row r="514" ht="14.25" customHeight="1">
      <c r="A514" s="694" t="inlineStr">
        <is>
          <t>Вареные колбасы</t>
        </is>
      </c>
      <c r="B514" s="979" t="n"/>
      <c r="C514" s="979" t="n"/>
      <c r="D514" s="979" t="n"/>
      <c r="E514" s="979" t="n"/>
      <c r="F514" s="979" t="n"/>
      <c r="G514" s="979" t="n"/>
      <c r="H514" s="979" t="n"/>
      <c r="I514" s="979" t="n"/>
      <c r="J514" s="979" t="n"/>
      <c r="K514" s="979" t="n"/>
      <c r="L514" s="979" t="n"/>
      <c r="M514" s="979" t="n"/>
      <c r="N514" s="979" t="n"/>
      <c r="O514" s="979" t="n"/>
      <c r="P514" s="979" t="n"/>
      <c r="Q514" s="979" t="n"/>
      <c r="R514" s="979" t="n"/>
      <c r="S514" s="979" t="n"/>
      <c r="T514" s="979" t="n"/>
      <c r="U514" s="979" t="n"/>
      <c r="V514" s="979" t="n"/>
      <c r="W514" s="979" t="n"/>
      <c r="X514" s="979" t="n"/>
      <c r="Y514" s="979" t="n"/>
      <c r="Z514" s="979" t="n"/>
      <c r="AA514" s="694" t="n"/>
      <c r="AB514" s="694" t="n"/>
      <c r="AC514" s="694" t="n"/>
    </row>
    <row r="515" ht="27" customHeight="1">
      <c r="A515" s="63" t="inlineStr">
        <is>
          <t>SU002808</t>
        </is>
      </c>
      <c r="B515" s="63" t="inlineStr">
        <is>
          <t>P003582</t>
        </is>
      </c>
      <c r="C515" s="36" t="n">
        <v>4301011584</v>
      </c>
      <c r="D515" s="695" t="n">
        <v>4640242180564</v>
      </c>
      <c r="E515" s="989" t="n"/>
      <c r="F515" s="1028" t="n">
        <v>1.5</v>
      </c>
      <c r="G515" s="37" t="n">
        <v>8</v>
      </c>
      <c r="H515" s="1028" t="n">
        <v>12</v>
      </c>
      <c r="I515" s="1028" t="n">
        <v>12.41</v>
      </c>
      <c r="J515" s="37" t="n">
        <v>64</v>
      </c>
      <c r="K515" s="37" t="inlineStr">
        <is>
          <t>8</t>
        </is>
      </c>
      <c r="L515" s="37" t="inlineStr"/>
      <c r="M515" s="38" t="inlineStr">
        <is>
          <t>СК1</t>
        </is>
      </c>
      <c r="N515" s="38" t="n"/>
      <c r="O515" s="37" t="n">
        <v>50</v>
      </c>
      <c r="P515" s="1298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/>
      </c>
      <c r="Q515" s="1030" t="n"/>
      <c r="R515" s="1030" t="n"/>
      <c r="S515" s="1030" t="n"/>
      <c r="T515" s="1031" t="n"/>
      <c r="U515" s="39" t="inlineStr"/>
      <c r="V515" s="39" t="inlineStr"/>
      <c r="W515" s="40" t="inlineStr">
        <is>
          <t>кг</t>
        </is>
      </c>
      <c r="X515" s="1032" t="n">
        <v>0</v>
      </c>
      <c r="Y515" s="1033">
        <f>IFERROR(IF(X515="",0,CEILING((X515/$H515),1)*$H515),"")</f>
        <v/>
      </c>
      <c r="Z515" s="41">
        <f>IFERROR(IF(Y515=0,"",ROUNDUP(Y515/H515,0)*0.01898),"")</f>
        <v/>
      </c>
      <c r="AA515" s="68" t="inlineStr"/>
      <c r="AB515" s="69" t="inlineStr"/>
      <c r="AC515" s="608" t="inlineStr">
        <is>
          <t>ЕАЭС N RU Д-RU.РА05.В.95257/23</t>
        </is>
      </c>
      <c r="AG515" s="78" t="n"/>
      <c r="AJ515" s="84" t="inlineStr"/>
      <c r="AK515" s="84" t="n">
        <v>0</v>
      </c>
      <c r="BB515" s="609" t="inlineStr">
        <is>
          <t>КИ</t>
        </is>
      </c>
      <c r="BM515" s="78">
        <f>IFERROR(X515*I515/H515,"0")</f>
        <v/>
      </c>
      <c r="BN515" s="78">
        <f>IFERROR(Y515*I515/H515,"0")</f>
        <v/>
      </c>
      <c r="BO515" s="78">
        <f>IFERROR(1/J515*(X515/H515),"0")</f>
        <v/>
      </c>
      <c r="BP515" s="78">
        <f>IFERROR(1/J515*(Y515/H515),"0")</f>
        <v/>
      </c>
    </row>
    <row r="516">
      <c r="A516" s="704" t="n"/>
      <c r="B516" s="979" t="n"/>
      <c r="C516" s="979" t="n"/>
      <c r="D516" s="979" t="n"/>
      <c r="E516" s="979" t="n"/>
      <c r="F516" s="979" t="n"/>
      <c r="G516" s="979" t="n"/>
      <c r="H516" s="979" t="n"/>
      <c r="I516" s="979" t="n"/>
      <c r="J516" s="979" t="n"/>
      <c r="K516" s="979" t="n"/>
      <c r="L516" s="979" t="n"/>
      <c r="M516" s="979" t="n"/>
      <c r="N516" s="979" t="n"/>
      <c r="O516" s="1035" t="n"/>
      <c r="P516" s="1036" t="inlineStr">
        <is>
          <t>Итого</t>
        </is>
      </c>
      <c r="Q516" s="997" t="n"/>
      <c r="R516" s="997" t="n"/>
      <c r="S516" s="997" t="n"/>
      <c r="T516" s="997" t="n"/>
      <c r="U516" s="997" t="n"/>
      <c r="V516" s="998" t="n"/>
      <c r="W516" s="42" t="inlineStr">
        <is>
          <t>кор</t>
        </is>
      </c>
      <c r="X516" s="1037">
        <f>IFERROR(X515/H515,"0")</f>
        <v/>
      </c>
      <c r="Y516" s="1037">
        <f>IFERROR(Y515/H515,"0")</f>
        <v/>
      </c>
      <c r="Z516" s="1037">
        <f>IFERROR(IF(Z515="",0,Z515),"0")</f>
        <v/>
      </c>
      <c r="AA516" s="1038" t="n"/>
      <c r="AB516" s="1038" t="n"/>
      <c r="AC516" s="1038" t="n"/>
    </row>
    <row r="517">
      <c r="A517" s="979" t="n"/>
      <c r="B517" s="979" t="n"/>
      <c r="C517" s="979" t="n"/>
      <c r="D517" s="979" t="n"/>
      <c r="E517" s="979" t="n"/>
      <c r="F517" s="979" t="n"/>
      <c r="G517" s="979" t="n"/>
      <c r="H517" s="979" t="n"/>
      <c r="I517" s="979" t="n"/>
      <c r="J517" s="979" t="n"/>
      <c r="K517" s="979" t="n"/>
      <c r="L517" s="979" t="n"/>
      <c r="M517" s="979" t="n"/>
      <c r="N517" s="979" t="n"/>
      <c r="O517" s="1035" t="n"/>
      <c r="P517" s="1036" t="inlineStr">
        <is>
          <t>Итого</t>
        </is>
      </c>
      <c r="Q517" s="997" t="n"/>
      <c r="R517" s="997" t="n"/>
      <c r="S517" s="997" t="n"/>
      <c r="T517" s="997" t="n"/>
      <c r="U517" s="997" t="n"/>
      <c r="V517" s="998" t="n"/>
      <c r="W517" s="42" t="inlineStr">
        <is>
          <t>кг</t>
        </is>
      </c>
      <c r="X517" s="1037">
        <f>IFERROR(SUM(X515:X515),"0")</f>
        <v/>
      </c>
      <c r="Y517" s="1037">
        <f>IFERROR(SUM(Y515:Y515),"0")</f>
        <v/>
      </c>
      <c r="Z517" s="42" t="n"/>
      <c r="AA517" s="1038" t="n"/>
      <c r="AB517" s="1038" t="n"/>
      <c r="AC517" s="1038" t="n"/>
    </row>
    <row r="518" ht="14.25" customHeight="1">
      <c r="A518" s="694" t="inlineStr">
        <is>
          <t>Ветчины</t>
        </is>
      </c>
      <c r="B518" s="979" t="n"/>
      <c r="C518" s="979" t="n"/>
      <c r="D518" s="979" t="n"/>
      <c r="E518" s="979" t="n"/>
      <c r="F518" s="979" t="n"/>
      <c r="G518" s="979" t="n"/>
      <c r="H518" s="979" t="n"/>
      <c r="I518" s="979" t="n"/>
      <c r="J518" s="979" t="n"/>
      <c r="K518" s="979" t="n"/>
      <c r="L518" s="979" t="n"/>
      <c r="M518" s="979" t="n"/>
      <c r="N518" s="979" t="n"/>
      <c r="O518" s="979" t="n"/>
      <c r="P518" s="979" t="n"/>
      <c r="Q518" s="979" t="n"/>
      <c r="R518" s="979" t="n"/>
      <c r="S518" s="979" t="n"/>
      <c r="T518" s="979" t="n"/>
      <c r="U518" s="979" t="n"/>
      <c r="V518" s="979" t="n"/>
      <c r="W518" s="979" t="n"/>
      <c r="X518" s="979" t="n"/>
      <c r="Y518" s="979" t="n"/>
      <c r="Z518" s="979" t="n"/>
      <c r="AA518" s="694" t="n"/>
      <c r="AB518" s="694" t="n"/>
      <c r="AC518" s="694" t="n"/>
    </row>
    <row r="519" ht="27" customHeight="1">
      <c r="A519" s="63" t="inlineStr">
        <is>
          <t>SU002806</t>
        </is>
      </c>
      <c r="B519" s="63" t="inlineStr">
        <is>
          <t>P005012</t>
        </is>
      </c>
      <c r="C519" s="36" t="n">
        <v>4301020400</v>
      </c>
      <c r="D519" s="695" t="n">
        <v>4640242180519</v>
      </c>
      <c r="E519" s="989" t="n"/>
      <c r="F519" s="1028" t="n">
        <v>1.5</v>
      </c>
      <c r="G519" s="37" t="n">
        <v>8</v>
      </c>
      <c r="H519" s="1028" t="n">
        <v>12</v>
      </c>
      <c r="I519" s="1028" t="n">
        <v>12.41</v>
      </c>
      <c r="J519" s="37" t="n">
        <v>64</v>
      </c>
      <c r="K519" s="37" t="inlineStr">
        <is>
          <t>8</t>
        </is>
      </c>
      <c r="L519" s="37" t="inlineStr"/>
      <c r="M519" s="38" t="inlineStr">
        <is>
          <t>СК1</t>
        </is>
      </c>
      <c r="N519" s="38" t="n"/>
      <c r="O519" s="37" t="n">
        <v>50</v>
      </c>
      <c r="P519" s="1299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/>
      </c>
      <c r="Q519" s="1030" t="n"/>
      <c r="R519" s="1030" t="n"/>
      <c r="S519" s="1030" t="n"/>
      <c r="T519" s="1031" t="n"/>
      <c r="U519" s="39" t="inlineStr"/>
      <c r="V519" s="39" t="inlineStr"/>
      <c r="W519" s="40" t="inlineStr">
        <is>
          <t>кг</t>
        </is>
      </c>
      <c r="X519" s="1032" t="n">
        <v>0</v>
      </c>
      <c r="Y519" s="1033">
        <f>IFERROR(IF(X519="",0,CEILING((X519/$H519),1)*$H519),"")</f>
        <v/>
      </c>
      <c r="Z519" s="41">
        <f>IFERROR(IF(Y519=0,"",ROUNDUP(Y519/H519,0)*0.01898),"")</f>
        <v/>
      </c>
      <c r="AA519" s="68" t="inlineStr"/>
      <c r="AB519" s="69" t="inlineStr"/>
      <c r="AC519" s="610" t="inlineStr">
        <is>
          <t>ЕАЭС N RU Д-RU.РА11.В.93951/24</t>
        </is>
      </c>
      <c r="AG519" s="78" t="n"/>
      <c r="AJ519" s="84" t="inlineStr"/>
      <c r="AK519" s="84" t="n">
        <v>0</v>
      </c>
      <c r="BB519" s="611" t="inlineStr">
        <is>
          <t>КИ</t>
        </is>
      </c>
      <c r="BM519" s="78">
        <f>IFERROR(X519*I519/H519,"0")</f>
        <v/>
      </c>
      <c r="BN519" s="78">
        <f>IFERROR(Y519*I519/H519,"0")</f>
        <v/>
      </c>
      <c r="BO519" s="78">
        <f>IFERROR(1/J519*(X519/H519),"0")</f>
        <v/>
      </c>
      <c r="BP519" s="78">
        <f>IFERROR(1/J519*(Y519/H519),"0")</f>
        <v/>
      </c>
    </row>
    <row r="520">
      <c r="A520" s="704" t="n"/>
      <c r="B520" s="979" t="n"/>
      <c r="C520" s="979" t="n"/>
      <c r="D520" s="979" t="n"/>
      <c r="E520" s="979" t="n"/>
      <c r="F520" s="979" t="n"/>
      <c r="G520" s="979" t="n"/>
      <c r="H520" s="979" t="n"/>
      <c r="I520" s="979" t="n"/>
      <c r="J520" s="979" t="n"/>
      <c r="K520" s="979" t="n"/>
      <c r="L520" s="979" t="n"/>
      <c r="M520" s="979" t="n"/>
      <c r="N520" s="979" t="n"/>
      <c r="O520" s="1035" t="n"/>
      <c r="P520" s="1036" t="inlineStr">
        <is>
          <t>Итого</t>
        </is>
      </c>
      <c r="Q520" s="997" t="n"/>
      <c r="R520" s="997" t="n"/>
      <c r="S520" s="997" t="n"/>
      <c r="T520" s="997" t="n"/>
      <c r="U520" s="997" t="n"/>
      <c r="V520" s="998" t="n"/>
      <c r="W520" s="42" t="inlineStr">
        <is>
          <t>кор</t>
        </is>
      </c>
      <c r="X520" s="1037">
        <f>IFERROR(X519/H519,"0")</f>
        <v/>
      </c>
      <c r="Y520" s="1037">
        <f>IFERROR(Y519/H519,"0")</f>
        <v/>
      </c>
      <c r="Z520" s="1037">
        <f>IFERROR(IF(Z519="",0,Z519),"0")</f>
        <v/>
      </c>
      <c r="AA520" s="1038" t="n"/>
      <c r="AB520" s="1038" t="n"/>
      <c r="AC520" s="1038" t="n"/>
    </row>
    <row r="521">
      <c r="A521" s="979" t="n"/>
      <c r="B521" s="979" t="n"/>
      <c r="C521" s="979" t="n"/>
      <c r="D521" s="979" t="n"/>
      <c r="E521" s="979" t="n"/>
      <c r="F521" s="979" t="n"/>
      <c r="G521" s="979" t="n"/>
      <c r="H521" s="979" t="n"/>
      <c r="I521" s="979" t="n"/>
      <c r="J521" s="979" t="n"/>
      <c r="K521" s="979" t="n"/>
      <c r="L521" s="979" t="n"/>
      <c r="M521" s="979" t="n"/>
      <c r="N521" s="979" t="n"/>
      <c r="O521" s="1035" t="n"/>
      <c r="P521" s="1036" t="inlineStr">
        <is>
          <t>Итого</t>
        </is>
      </c>
      <c r="Q521" s="997" t="n"/>
      <c r="R521" s="997" t="n"/>
      <c r="S521" s="997" t="n"/>
      <c r="T521" s="997" t="n"/>
      <c r="U521" s="997" t="n"/>
      <c r="V521" s="998" t="n"/>
      <c r="W521" s="42" t="inlineStr">
        <is>
          <t>кг</t>
        </is>
      </c>
      <c r="X521" s="1037">
        <f>IFERROR(SUM(X519:X519),"0")</f>
        <v/>
      </c>
      <c r="Y521" s="1037">
        <f>IFERROR(SUM(Y519:Y519),"0")</f>
        <v/>
      </c>
      <c r="Z521" s="42" t="n"/>
      <c r="AA521" s="1038" t="n"/>
      <c r="AB521" s="1038" t="n"/>
      <c r="AC521" s="1038" t="n"/>
    </row>
    <row r="522" ht="14.25" customHeight="1">
      <c r="A522" s="694" t="inlineStr">
        <is>
          <t>Копченые колбасы</t>
        </is>
      </c>
      <c r="B522" s="979" t="n"/>
      <c r="C522" s="979" t="n"/>
      <c r="D522" s="979" t="n"/>
      <c r="E522" s="979" t="n"/>
      <c r="F522" s="979" t="n"/>
      <c r="G522" s="979" t="n"/>
      <c r="H522" s="979" t="n"/>
      <c r="I522" s="979" t="n"/>
      <c r="J522" s="979" t="n"/>
      <c r="K522" s="979" t="n"/>
      <c r="L522" s="979" t="n"/>
      <c r="M522" s="979" t="n"/>
      <c r="N522" s="979" t="n"/>
      <c r="O522" s="979" t="n"/>
      <c r="P522" s="979" t="n"/>
      <c r="Q522" s="979" t="n"/>
      <c r="R522" s="979" t="n"/>
      <c r="S522" s="979" t="n"/>
      <c r="T522" s="979" t="n"/>
      <c r="U522" s="979" t="n"/>
      <c r="V522" s="979" t="n"/>
      <c r="W522" s="979" t="n"/>
      <c r="X522" s="979" t="n"/>
      <c r="Y522" s="979" t="n"/>
      <c r="Z522" s="979" t="n"/>
      <c r="AA522" s="694" t="n"/>
      <c r="AB522" s="694" t="n"/>
      <c r="AC522" s="694" t="n"/>
    </row>
    <row r="523" ht="27" customHeight="1">
      <c r="A523" s="63" t="inlineStr">
        <is>
          <t>SU002809</t>
        </is>
      </c>
      <c r="B523" s="63" t="inlineStr">
        <is>
          <t>P005250</t>
        </is>
      </c>
      <c r="C523" s="36" t="n">
        <v>4301031467</v>
      </c>
      <c r="D523" s="695" t="n">
        <v>4640242180595</v>
      </c>
      <c r="E523" s="989" t="n"/>
      <c r="F523" s="1028" t="n">
        <v>0.8</v>
      </c>
      <c r="G523" s="37" t="n">
        <v>6</v>
      </c>
      <c r="H523" s="1028" t="n">
        <v>4.8</v>
      </c>
      <c r="I523" s="1028" t="n">
        <v>5.05</v>
      </c>
      <c r="J523" s="37" t="n">
        <v>132</v>
      </c>
      <c r="K523" s="37" t="inlineStr">
        <is>
          <t>12</t>
        </is>
      </c>
      <c r="L523" s="37" t="inlineStr"/>
      <c r="M523" s="38" t="inlineStr">
        <is>
          <t>СК2</t>
        </is>
      </c>
      <c r="N523" s="38" t="n"/>
      <c r="O523" s="37" t="n">
        <v>40</v>
      </c>
      <c r="P523" s="1300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/>
      </c>
      <c r="Q523" s="1030" t="n"/>
      <c r="R523" s="1030" t="n"/>
      <c r="S523" s="1030" t="n"/>
      <c r="T523" s="1031" t="n"/>
      <c r="U523" s="39" t="inlineStr"/>
      <c r="V523" s="39" t="inlineStr"/>
      <c r="W523" s="40" t="inlineStr">
        <is>
          <t>кг</t>
        </is>
      </c>
      <c r="X523" s="1032" t="n">
        <v>0</v>
      </c>
      <c r="Y523" s="1033">
        <f>IFERROR(IF(X523="",0,CEILING((X523/$H523),1)*$H523),"")</f>
        <v/>
      </c>
      <c r="Z523" s="41">
        <f>IFERROR(IF(Y523=0,"",ROUNDUP(Y523/H523,0)*0.00902),"")</f>
        <v/>
      </c>
      <c r="AA523" s="68" t="inlineStr"/>
      <c r="AB523" s="69" t="inlineStr"/>
      <c r="AC523" s="612" t="inlineStr">
        <is>
          <t>ЕАЭС N RU Д-RU.РА11.В.92741/24</t>
        </is>
      </c>
      <c r="AG523" s="78" t="n"/>
      <c r="AJ523" s="84" t="inlineStr"/>
      <c r="AK523" s="84" t="n">
        <v>0</v>
      </c>
      <c r="BB523" s="613" t="inlineStr">
        <is>
          <t>КИ</t>
        </is>
      </c>
      <c r="BM523" s="78">
        <f>IFERROR(X523*I523/H523,"0")</f>
        <v/>
      </c>
      <c r="BN523" s="78">
        <f>IFERROR(Y523*I523/H523,"0")</f>
        <v/>
      </c>
      <c r="BO523" s="78">
        <f>IFERROR(1/J523*(X523/H523),"0")</f>
        <v/>
      </c>
      <c r="BP523" s="78">
        <f>IFERROR(1/J523*(Y523/H523),"0")</f>
        <v/>
      </c>
    </row>
    <row r="524" ht="27" customHeight="1">
      <c r="A524" s="63" t="inlineStr">
        <is>
          <t>SU002809</t>
        </is>
      </c>
      <c r="B524" s="63" t="inlineStr">
        <is>
          <t>P005407</t>
        </is>
      </c>
      <c r="C524" s="36" t="n">
        <v>4301031500</v>
      </c>
      <c r="D524" s="695" t="n">
        <v>4640242180595</v>
      </c>
      <c r="E524" s="989" t="n"/>
      <c r="F524" s="1028" t="n">
        <v>0.7</v>
      </c>
      <c r="G524" s="37" t="n">
        <v>6</v>
      </c>
      <c r="H524" s="1028" t="n">
        <v>4.2</v>
      </c>
      <c r="I524" s="1028" t="n">
        <v>4.45</v>
      </c>
      <c r="J524" s="37" t="n">
        <v>132</v>
      </c>
      <c r="K524" s="37" t="inlineStr">
        <is>
          <t>12</t>
        </is>
      </c>
      <c r="L524" s="37" t="inlineStr"/>
      <c r="M524" s="38" t="inlineStr">
        <is>
          <t>СК2</t>
        </is>
      </c>
      <c r="N524" s="38" t="n"/>
      <c r="O524" s="37" t="n">
        <v>40</v>
      </c>
      <c r="P524" s="1301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/>
      </c>
      <c r="Q524" s="1030" t="n"/>
      <c r="R524" s="1030" t="n"/>
      <c r="S524" s="1030" t="n"/>
      <c r="T524" s="1031" t="n"/>
      <c r="U524" s="39" t="inlineStr"/>
      <c r="V524" s="39" t="inlineStr"/>
      <c r="W524" s="40" t="inlineStr">
        <is>
          <t>кг</t>
        </is>
      </c>
      <c r="X524" s="1032" t="n">
        <v>0</v>
      </c>
      <c r="Y524" s="1033">
        <f>IFERROR(IF(X524="",0,CEILING((X524/$H524),1)*$H524),"")</f>
        <v/>
      </c>
      <c r="Z524" s="41">
        <f>IFERROR(IF(Y524=0,"",ROUNDUP(Y524/H524,0)*0.00902),"")</f>
        <v/>
      </c>
      <c r="AA524" s="68" t="inlineStr"/>
      <c r="AB524" s="69" t="inlineStr"/>
      <c r="AC524" s="614" t="inlineStr">
        <is>
          <t>ЕАЭС N RU Д-RU.РА01.В.02454/26</t>
        </is>
      </c>
      <c r="AG524" s="78" t="n"/>
      <c r="AJ524" s="84" t="inlineStr"/>
      <c r="AK524" s="84" t="n">
        <v>0</v>
      </c>
      <c r="BB524" s="615" t="inlineStr">
        <is>
          <t>КИ</t>
        </is>
      </c>
      <c r="BM524" s="78">
        <f>IFERROR(X524*I524/H524,"0")</f>
        <v/>
      </c>
      <c r="BN524" s="78">
        <f>IFERROR(Y524*I524/H524,"0")</f>
        <v/>
      </c>
      <c r="BO524" s="78">
        <f>IFERROR(1/J524*(X524/H524),"0")</f>
        <v/>
      </c>
      <c r="BP524" s="78">
        <f>IFERROR(1/J524*(Y524/H524),"0")</f>
        <v/>
      </c>
    </row>
    <row r="525">
      <c r="A525" s="704" t="n"/>
      <c r="B525" s="979" t="n"/>
      <c r="C525" s="979" t="n"/>
      <c r="D525" s="979" t="n"/>
      <c r="E525" s="979" t="n"/>
      <c r="F525" s="979" t="n"/>
      <c r="G525" s="979" t="n"/>
      <c r="H525" s="979" t="n"/>
      <c r="I525" s="979" t="n"/>
      <c r="J525" s="979" t="n"/>
      <c r="K525" s="979" t="n"/>
      <c r="L525" s="979" t="n"/>
      <c r="M525" s="979" t="n"/>
      <c r="N525" s="979" t="n"/>
      <c r="O525" s="1035" t="n"/>
      <c r="P525" s="1036" t="inlineStr">
        <is>
          <t>Итого</t>
        </is>
      </c>
      <c r="Q525" s="997" t="n"/>
      <c r="R525" s="997" t="n"/>
      <c r="S525" s="997" t="n"/>
      <c r="T525" s="997" t="n"/>
      <c r="U525" s="997" t="n"/>
      <c r="V525" s="998" t="n"/>
      <c r="W525" s="42" t="inlineStr">
        <is>
          <t>кор</t>
        </is>
      </c>
      <c r="X525" s="1037">
        <f>IFERROR(X523/H523,"0")+IFERROR(X524/H524,"0")</f>
        <v/>
      </c>
      <c r="Y525" s="1037">
        <f>IFERROR(Y523/H523,"0")+IFERROR(Y524/H524,"0")</f>
        <v/>
      </c>
      <c r="Z525" s="1037">
        <f>IFERROR(IF(Z523="",0,Z523),"0")+IFERROR(IF(Z524="",0,Z524),"0")</f>
        <v/>
      </c>
      <c r="AA525" s="1038" t="n"/>
      <c r="AB525" s="1038" t="n"/>
      <c r="AC525" s="1038" t="n"/>
    </row>
    <row r="526">
      <c r="A526" s="979" t="n"/>
      <c r="B526" s="979" t="n"/>
      <c r="C526" s="979" t="n"/>
      <c r="D526" s="979" t="n"/>
      <c r="E526" s="979" t="n"/>
      <c r="F526" s="979" t="n"/>
      <c r="G526" s="979" t="n"/>
      <c r="H526" s="979" t="n"/>
      <c r="I526" s="979" t="n"/>
      <c r="J526" s="979" t="n"/>
      <c r="K526" s="979" t="n"/>
      <c r="L526" s="979" t="n"/>
      <c r="M526" s="979" t="n"/>
      <c r="N526" s="979" t="n"/>
      <c r="O526" s="1035" t="n"/>
      <c r="P526" s="1036" t="inlineStr">
        <is>
          <t>Итого</t>
        </is>
      </c>
      <c r="Q526" s="997" t="n"/>
      <c r="R526" s="997" t="n"/>
      <c r="S526" s="997" t="n"/>
      <c r="T526" s="997" t="n"/>
      <c r="U526" s="997" t="n"/>
      <c r="V526" s="998" t="n"/>
      <c r="W526" s="42" t="inlineStr">
        <is>
          <t>кг</t>
        </is>
      </c>
      <c r="X526" s="1037">
        <f>IFERROR(SUM(X523:X524),"0")</f>
        <v/>
      </c>
      <c r="Y526" s="1037">
        <f>IFERROR(SUM(Y523:Y524),"0")</f>
        <v/>
      </c>
      <c r="Z526" s="42" t="n"/>
      <c r="AA526" s="1038" t="n"/>
      <c r="AB526" s="1038" t="n"/>
      <c r="AC526" s="1038" t="n"/>
    </row>
    <row r="527" ht="14.25" customHeight="1">
      <c r="A527" s="694" t="inlineStr">
        <is>
          <t>Сосиски</t>
        </is>
      </c>
      <c r="B527" s="979" t="n"/>
      <c r="C527" s="979" t="n"/>
      <c r="D527" s="979" t="n"/>
      <c r="E527" s="979" t="n"/>
      <c r="F527" s="979" t="n"/>
      <c r="G527" s="979" t="n"/>
      <c r="H527" s="979" t="n"/>
      <c r="I527" s="979" t="n"/>
      <c r="J527" s="979" t="n"/>
      <c r="K527" s="979" t="n"/>
      <c r="L527" s="979" t="n"/>
      <c r="M527" s="979" t="n"/>
      <c r="N527" s="979" t="n"/>
      <c r="O527" s="979" t="n"/>
      <c r="P527" s="979" t="n"/>
      <c r="Q527" s="979" t="n"/>
      <c r="R527" s="979" t="n"/>
      <c r="S527" s="979" t="n"/>
      <c r="T527" s="979" t="n"/>
      <c r="U527" s="979" t="n"/>
      <c r="V527" s="979" t="n"/>
      <c r="W527" s="979" t="n"/>
      <c r="X527" s="979" t="n"/>
      <c r="Y527" s="979" t="n"/>
      <c r="Z527" s="979" t="n"/>
      <c r="AA527" s="694" t="n"/>
      <c r="AB527" s="694" t="n"/>
      <c r="AC527" s="694" t="n"/>
    </row>
    <row r="528" ht="27" customHeight="1">
      <c r="A528" s="63" t="inlineStr">
        <is>
          <t>SU002655</t>
        </is>
      </c>
      <c r="B528" s="63" t="inlineStr">
        <is>
          <t>P004991</t>
        </is>
      </c>
      <c r="C528" s="36" t="n">
        <v>4301052043</v>
      </c>
      <c r="D528" s="695" t="n">
        <v>4640242180533</v>
      </c>
      <c r="E528" s="989" t="n"/>
      <c r="F528" s="1028" t="n">
        <v>1.5</v>
      </c>
      <c r="G528" s="37" t="n">
        <v>6</v>
      </c>
      <c r="H528" s="1028" t="n">
        <v>9</v>
      </c>
      <c r="I528" s="1028" t="n">
        <v>9.494</v>
      </c>
      <c r="J528" s="37" t="n">
        <v>64</v>
      </c>
      <c r="K528" s="37" t="inlineStr">
        <is>
          <t>8</t>
        </is>
      </c>
      <c r="L528" s="37" t="inlineStr"/>
      <c r="M528" s="38" t="inlineStr">
        <is>
          <t>СК3</t>
        </is>
      </c>
      <c r="N528" s="38" t="n"/>
      <c r="O528" s="37" t="n">
        <v>45</v>
      </c>
      <c r="P528" s="1302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/>
      </c>
      <c r="Q528" s="1030" t="n"/>
      <c r="R528" s="1030" t="n"/>
      <c r="S528" s="1030" t="n"/>
      <c r="T528" s="1031" t="n"/>
      <c r="U528" s="39" t="inlineStr"/>
      <c r="V528" s="39" t="inlineStr"/>
      <c r="W528" s="40" t="inlineStr">
        <is>
          <t>кг</t>
        </is>
      </c>
      <c r="X528" s="1032" t="n">
        <v>0</v>
      </c>
      <c r="Y528" s="1033">
        <f>IFERROR(IF(X528="",0,CEILING((X528/$H528),1)*$H528),"")</f>
        <v/>
      </c>
      <c r="Z528" s="41">
        <f>IFERROR(IF(Y528=0,"",ROUNDUP(Y528/H528,0)*0.01898),"")</f>
        <v/>
      </c>
      <c r="AA528" s="68" t="inlineStr"/>
      <c r="AB528" s="69" t="inlineStr"/>
      <c r="AC528" s="616" t="inlineStr">
        <is>
          <t>ЕАЭС N RU Д-RU.РА05.В.94085/23</t>
        </is>
      </c>
      <c r="AG528" s="78" t="n"/>
      <c r="AJ528" s="84" t="inlineStr"/>
      <c r="AK528" s="84" t="n">
        <v>0</v>
      </c>
      <c r="BB528" s="617" t="inlineStr">
        <is>
          <t>КИ</t>
        </is>
      </c>
      <c r="BM528" s="78">
        <f>IFERROR(X528*I528/H528,"0")</f>
        <v/>
      </c>
      <c r="BN528" s="78">
        <f>IFERROR(Y528*I528/H528,"0")</f>
        <v/>
      </c>
      <c r="BO528" s="78">
        <f>IFERROR(1/J528*(X528/H528),"0")</f>
        <v/>
      </c>
      <c r="BP528" s="78">
        <f>IFERROR(1/J528*(Y528/H528),"0")</f>
        <v/>
      </c>
    </row>
    <row r="529">
      <c r="A529" s="704" t="n"/>
      <c r="B529" s="979" t="n"/>
      <c r="C529" s="979" t="n"/>
      <c r="D529" s="979" t="n"/>
      <c r="E529" s="979" t="n"/>
      <c r="F529" s="979" t="n"/>
      <c r="G529" s="979" t="n"/>
      <c r="H529" s="979" t="n"/>
      <c r="I529" s="979" t="n"/>
      <c r="J529" s="979" t="n"/>
      <c r="K529" s="979" t="n"/>
      <c r="L529" s="979" t="n"/>
      <c r="M529" s="979" t="n"/>
      <c r="N529" s="979" t="n"/>
      <c r="O529" s="1035" t="n"/>
      <c r="P529" s="1036" t="inlineStr">
        <is>
          <t>Итого</t>
        </is>
      </c>
      <c r="Q529" s="997" t="n"/>
      <c r="R529" s="997" t="n"/>
      <c r="S529" s="997" t="n"/>
      <c r="T529" s="997" t="n"/>
      <c r="U529" s="997" t="n"/>
      <c r="V529" s="998" t="n"/>
      <c r="W529" s="42" t="inlineStr">
        <is>
          <t>кор</t>
        </is>
      </c>
      <c r="X529" s="1037">
        <f>IFERROR(X528/H528,"0")</f>
        <v/>
      </c>
      <c r="Y529" s="1037">
        <f>IFERROR(Y528/H528,"0")</f>
        <v/>
      </c>
      <c r="Z529" s="1037">
        <f>IFERROR(IF(Z528="",0,Z528),"0")</f>
        <v/>
      </c>
      <c r="AA529" s="1038" t="n"/>
      <c r="AB529" s="1038" t="n"/>
      <c r="AC529" s="1038" t="n"/>
    </row>
    <row r="530">
      <c r="A530" s="979" t="n"/>
      <c r="B530" s="979" t="n"/>
      <c r="C530" s="979" t="n"/>
      <c r="D530" s="979" t="n"/>
      <c r="E530" s="979" t="n"/>
      <c r="F530" s="979" t="n"/>
      <c r="G530" s="979" t="n"/>
      <c r="H530" s="979" t="n"/>
      <c r="I530" s="979" t="n"/>
      <c r="J530" s="979" t="n"/>
      <c r="K530" s="979" t="n"/>
      <c r="L530" s="979" t="n"/>
      <c r="M530" s="979" t="n"/>
      <c r="N530" s="979" t="n"/>
      <c r="O530" s="1035" t="n"/>
      <c r="P530" s="1036" t="inlineStr">
        <is>
          <t>Итого</t>
        </is>
      </c>
      <c r="Q530" s="997" t="n"/>
      <c r="R530" s="997" t="n"/>
      <c r="S530" s="997" t="n"/>
      <c r="T530" s="997" t="n"/>
      <c r="U530" s="997" t="n"/>
      <c r="V530" s="998" t="n"/>
      <c r="W530" s="42" t="inlineStr">
        <is>
          <t>кг</t>
        </is>
      </c>
      <c r="X530" s="1037">
        <f>IFERROR(SUM(X528:X528),"0")</f>
        <v/>
      </c>
      <c r="Y530" s="1037">
        <f>IFERROR(SUM(Y528:Y528),"0")</f>
        <v/>
      </c>
      <c r="Z530" s="42" t="n"/>
      <c r="AA530" s="1038" t="n"/>
      <c r="AB530" s="1038" t="n"/>
      <c r="AC530" s="1038" t="n"/>
    </row>
    <row r="531" ht="14.25" customHeight="1">
      <c r="A531" s="694" t="inlineStr">
        <is>
          <t>Сардельки</t>
        </is>
      </c>
      <c r="B531" s="979" t="n"/>
      <c r="C531" s="979" t="n"/>
      <c r="D531" s="979" t="n"/>
      <c r="E531" s="979" t="n"/>
      <c r="F531" s="979" t="n"/>
      <c r="G531" s="979" t="n"/>
      <c r="H531" s="979" t="n"/>
      <c r="I531" s="979" t="n"/>
      <c r="J531" s="979" t="n"/>
      <c r="K531" s="979" t="n"/>
      <c r="L531" s="979" t="n"/>
      <c r="M531" s="979" t="n"/>
      <c r="N531" s="979" t="n"/>
      <c r="O531" s="979" t="n"/>
      <c r="P531" s="979" t="n"/>
      <c r="Q531" s="979" t="n"/>
      <c r="R531" s="979" t="n"/>
      <c r="S531" s="979" t="n"/>
      <c r="T531" s="979" t="n"/>
      <c r="U531" s="979" t="n"/>
      <c r="V531" s="979" t="n"/>
      <c r="W531" s="979" t="n"/>
      <c r="X531" s="979" t="n"/>
      <c r="Y531" s="979" t="n"/>
      <c r="Z531" s="979" t="n"/>
      <c r="AA531" s="694" t="n"/>
      <c r="AB531" s="694" t="n"/>
      <c r="AC531" s="694" t="n"/>
    </row>
    <row r="532" ht="27" customHeight="1">
      <c r="A532" s="63" t="inlineStr">
        <is>
          <t>SU002970</t>
        </is>
      </c>
      <c r="B532" s="63" t="inlineStr">
        <is>
          <t>P005413</t>
        </is>
      </c>
      <c r="C532" s="36" t="n">
        <v>4301060535</v>
      </c>
      <c r="D532" s="695" t="n">
        <v>4640242180120</v>
      </c>
      <c r="E532" s="989" t="n"/>
      <c r="F532" s="1028" t="n">
        <v>1.5</v>
      </c>
      <c r="G532" s="37" t="n">
        <v>6</v>
      </c>
      <c r="H532" s="1028" t="n">
        <v>9</v>
      </c>
      <c r="I532" s="1028" t="n">
        <v>9.41</v>
      </c>
      <c r="J532" s="37" t="n">
        <v>64</v>
      </c>
      <c r="K532" s="37" t="inlineStr">
        <is>
          <t>8</t>
        </is>
      </c>
      <c r="L532" s="37" t="inlineStr"/>
      <c r="M532" s="38" t="inlineStr">
        <is>
          <t>СК3</t>
        </is>
      </c>
      <c r="N532" s="38" t="n"/>
      <c r="O532" s="37" t="n">
        <v>40</v>
      </c>
      <c r="P532" s="1303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/>
      </c>
      <c r="Q532" s="1030" t="n"/>
      <c r="R532" s="1030" t="n"/>
      <c r="S532" s="1030" t="n"/>
      <c r="T532" s="1031" t="n"/>
      <c r="U532" s="39" t="inlineStr"/>
      <c r="V532" s="39" t="inlineStr"/>
      <c r="W532" s="40" t="inlineStr">
        <is>
          <t>кг</t>
        </is>
      </c>
      <c r="X532" s="1032" t="n">
        <v>0</v>
      </c>
      <c r="Y532" s="1033">
        <f>IFERROR(IF(X532="",0,CEILING((X532/$H532),1)*$H532),"")</f>
        <v/>
      </c>
      <c r="Z532" s="41">
        <f>IFERROR(IF(Y532=0,"",ROUNDUP(Y532/H532,0)*0.01898),"")</f>
        <v/>
      </c>
      <c r="AA532" s="68" t="inlineStr"/>
      <c r="AB532" s="69" t="inlineStr"/>
      <c r="AC532" s="618" t="inlineStr">
        <is>
          <t>ЕАЭС N RU Д-RU.РА03.В.14135/26</t>
        </is>
      </c>
      <c r="AG532" s="78" t="n"/>
      <c r="AJ532" s="84" t="inlineStr"/>
      <c r="AK532" s="84" t="n">
        <v>0</v>
      </c>
      <c r="BB532" s="619" t="inlineStr">
        <is>
          <t>КИ</t>
        </is>
      </c>
      <c r="BM532" s="78">
        <f>IFERROR(X532*I532/H532,"0")</f>
        <v/>
      </c>
      <c r="BN532" s="78">
        <f>IFERROR(Y532*I532/H532,"0")</f>
        <v/>
      </c>
      <c r="BO532" s="78">
        <f>IFERROR(1/J532*(X532/H532),"0")</f>
        <v/>
      </c>
      <c r="BP532" s="78">
        <f>IFERROR(1/J532*(Y532/H532),"0")</f>
        <v/>
      </c>
    </row>
    <row r="533" ht="27" customHeight="1">
      <c r="A533" s="63" t="inlineStr">
        <is>
          <t>SU002971</t>
        </is>
      </c>
      <c r="B533" s="63" t="inlineStr">
        <is>
          <t>P005414</t>
        </is>
      </c>
      <c r="C533" s="36" t="n">
        <v>4301060536</v>
      </c>
      <c r="D533" s="695" t="n">
        <v>4640242180137</v>
      </c>
      <c r="E533" s="989" t="n"/>
      <c r="F533" s="1028" t="n">
        <v>1.5</v>
      </c>
      <c r="G533" s="37" t="n">
        <v>6</v>
      </c>
      <c r="H533" s="1028" t="n">
        <v>9</v>
      </c>
      <c r="I533" s="1028" t="n">
        <v>9.41</v>
      </c>
      <c r="J533" s="37" t="n">
        <v>64</v>
      </c>
      <c r="K533" s="37" t="inlineStr">
        <is>
          <t>8</t>
        </is>
      </c>
      <c r="L533" s="37" t="inlineStr"/>
      <c r="M533" s="38" t="inlineStr">
        <is>
          <t>СК3</t>
        </is>
      </c>
      <c r="N533" s="38" t="n"/>
      <c r="O533" s="37" t="n">
        <v>40</v>
      </c>
      <c r="P533" s="1304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/>
      </c>
      <c r="Q533" s="1030" t="n"/>
      <c r="R533" s="1030" t="n"/>
      <c r="S533" s="1030" t="n"/>
      <c r="T533" s="1031" t="n"/>
      <c r="U533" s="39" t="inlineStr"/>
      <c r="V533" s="39" t="inlineStr"/>
      <c r="W533" s="40" t="inlineStr">
        <is>
          <t>кг</t>
        </is>
      </c>
      <c r="X533" s="1032" t="n">
        <v>0</v>
      </c>
      <c r="Y533" s="1033">
        <f>IFERROR(IF(X533="",0,CEILING((X533/$H533),1)*$H533),"")</f>
        <v/>
      </c>
      <c r="Z533" s="41">
        <f>IFERROR(IF(Y533=0,"",ROUNDUP(Y533/H533,0)*0.01898),"")</f>
        <v/>
      </c>
      <c r="AA533" s="68" t="inlineStr"/>
      <c r="AB533" s="69" t="inlineStr"/>
      <c r="AC533" s="620" t="inlineStr">
        <is>
          <t>ЕАЭС N RU Д-RU.РА03.В.14244/26</t>
        </is>
      </c>
      <c r="AG533" s="78" t="n"/>
      <c r="AJ533" s="84" t="inlineStr"/>
      <c r="AK533" s="84" t="n">
        <v>0</v>
      </c>
      <c r="BB533" s="621" t="inlineStr">
        <is>
          <t>КИ</t>
        </is>
      </c>
      <c r="BM533" s="78">
        <f>IFERROR(X533*I533/H533,"0")</f>
        <v/>
      </c>
      <c r="BN533" s="78">
        <f>IFERROR(Y533*I533/H533,"0")</f>
        <v/>
      </c>
      <c r="BO533" s="78">
        <f>IFERROR(1/J533*(X533/H533),"0")</f>
        <v/>
      </c>
      <c r="BP533" s="78">
        <f>IFERROR(1/J533*(Y533/H533),"0")</f>
        <v/>
      </c>
    </row>
    <row r="534">
      <c r="A534" s="704" t="n"/>
      <c r="B534" s="979" t="n"/>
      <c r="C534" s="979" t="n"/>
      <c r="D534" s="979" t="n"/>
      <c r="E534" s="979" t="n"/>
      <c r="F534" s="979" t="n"/>
      <c r="G534" s="979" t="n"/>
      <c r="H534" s="979" t="n"/>
      <c r="I534" s="979" t="n"/>
      <c r="J534" s="979" t="n"/>
      <c r="K534" s="979" t="n"/>
      <c r="L534" s="979" t="n"/>
      <c r="M534" s="979" t="n"/>
      <c r="N534" s="979" t="n"/>
      <c r="O534" s="1035" t="n"/>
      <c r="P534" s="1036" t="inlineStr">
        <is>
          <t>Итого</t>
        </is>
      </c>
      <c r="Q534" s="997" t="n"/>
      <c r="R534" s="997" t="n"/>
      <c r="S534" s="997" t="n"/>
      <c r="T534" s="997" t="n"/>
      <c r="U534" s="997" t="n"/>
      <c r="V534" s="998" t="n"/>
      <c r="W534" s="42" t="inlineStr">
        <is>
          <t>кор</t>
        </is>
      </c>
      <c r="X534" s="1037">
        <f>IFERROR(X532/H532,"0")+IFERROR(X533/H533,"0")</f>
        <v/>
      </c>
      <c r="Y534" s="1037">
        <f>IFERROR(Y532/H532,"0")+IFERROR(Y533/H533,"0")</f>
        <v/>
      </c>
      <c r="Z534" s="1037">
        <f>IFERROR(IF(Z532="",0,Z532),"0")+IFERROR(IF(Z533="",0,Z533),"0")</f>
        <v/>
      </c>
      <c r="AA534" s="1038" t="n"/>
      <c r="AB534" s="1038" t="n"/>
      <c r="AC534" s="1038" t="n"/>
    </row>
    <row r="535">
      <c r="A535" s="979" t="n"/>
      <c r="B535" s="979" t="n"/>
      <c r="C535" s="979" t="n"/>
      <c r="D535" s="979" t="n"/>
      <c r="E535" s="979" t="n"/>
      <c r="F535" s="979" t="n"/>
      <c r="G535" s="979" t="n"/>
      <c r="H535" s="979" t="n"/>
      <c r="I535" s="979" t="n"/>
      <c r="J535" s="979" t="n"/>
      <c r="K535" s="979" t="n"/>
      <c r="L535" s="979" t="n"/>
      <c r="M535" s="979" t="n"/>
      <c r="N535" s="979" t="n"/>
      <c r="O535" s="1035" t="n"/>
      <c r="P535" s="1036" t="inlineStr">
        <is>
          <t>Итого</t>
        </is>
      </c>
      <c r="Q535" s="997" t="n"/>
      <c r="R535" s="997" t="n"/>
      <c r="S535" s="997" t="n"/>
      <c r="T535" s="997" t="n"/>
      <c r="U535" s="997" t="n"/>
      <c r="V535" s="998" t="n"/>
      <c r="W535" s="42" t="inlineStr">
        <is>
          <t>кг</t>
        </is>
      </c>
      <c r="X535" s="1037">
        <f>IFERROR(SUM(X532:X533),"0")</f>
        <v/>
      </c>
      <c r="Y535" s="1037">
        <f>IFERROR(SUM(Y532:Y533),"0")</f>
        <v/>
      </c>
      <c r="Z535" s="42" t="n"/>
      <c r="AA535" s="1038" t="n"/>
      <c r="AB535" s="1038" t="n"/>
      <c r="AC535" s="1038" t="n"/>
    </row>
    <row r="536" ht="16.5" customHeight="1">
      <c r="A536" s="693" t="inlineStr">
        <is>
          <t>Зареченские продукты Светофор</t>
        </is>
      </c>
      <c r="B536" s="979" t="n"/>
      <c r="C536" s="979" t="n"/>
      <c r="D536" s="979" t="n"/>
      <c r="E536" s="979" t="n"/>
      <c r="F536" s="979" t="n"/>
      <c r="G536" s="979" t="n"/>
      <c r="H536" s="979" t="n"/>
      <c r="I536" s="979" t="n"/>
      <c r="J536" s="979" t="n"/>
      <c r="K536" s="979" t="n"/>
      <c r="L536" s="979" t="n"/>
      <c r="M536" s="979" t="n"/>
      <c r="N536" s="979" t="n"/>
      <c r="O536" s="979" t="n"/>
      <c r="P536" s="979" t="n"/>
      <c r="Q536" s="979" t="n"/>
      <c r="R536" s="979" t="n"/>
      <c r="S536" s="979" t="n"/>
      <c r="T536" s="979" t="n"/>
      <c r="U536" s="979" t="n"/>
      <c r="V536" s="979" t="n"/>
      <c r="W536" s="979" t="n"/>
      <c r="X536" s="979" t="n"/>
      <c r="Y536" s="979" t="n"/>
      <c r="Z536" s="979" t="n"/>
      <c r="AA536" s="693" t="n"/>
      <c r="AB536" s="693" t="n"/>
      <c r="AC536" s="693" t="n"/>
    </row>
    <row r="537" ht="14.25" customHeight="1">
      <c r="A537" s="694" t="inlineStr">
        <is>
          <t>Ветчины</t>
        </is>
      </c>
      <c r="B537" s="979" t="n"/>
      <c r="C537" s="979" t="n"/>
      <c r="D537" s="979" t="n"/>
      <c r="E537" s="979" t="n"/>
      <c r="F537" s="979" t="n"/>
      <c r="G537" s="979" t="n"/>
      <c r="H537" s="979" t="n"/>
      <c r="I537" s="979" t="n"/>
      <c r="J537" s="979" t="n"/>
      <c r="K537" s="979" t="n"/>
      <c r="L537" s="979" t="n"/>
      <c r="M537" s="979" t="n"/>
      <c r="N537" s="979" t="n"/>
      <c r="O537" s="979" t="n"/>
      <c r="P537" s="979" t="n"/>
      <c r="Q537" s="979" t="n"/>
      <c r="R537" s="979" t="n"/>
      <c r="S537" s="979" t="n"/>
      <c r="T537" s="979" t="n"/>
      <c r="U537" s="979" t="n"/>
      <c r="V537" s="979" t="n"/>
      <c r="W537" s="979" t="n"/>
      <c r="X537" s="979" t="n"/>
      <c r="Y537" s="979" t="n"/>
      <c r="Z537" s="979" t="n"/>
      <c r="AA537" s="694" t="n"/>
      <c r="AB537" s="694" t="n"/>
      <c r="AC537" s="694" t="n"/>
    </row>
    <row r="538" ht="27" customHeight="1">
      <c r="A538" s="63" t="inlineStr">
        <is>
          <t>SU002967</t>
        </is>
      </c>
      <c r="B538" s="63" t="inlineStr">
        <is>
          <t>P005390</t>
        </is>
      </c>
      <c r="C538" s="36" t="n">
        <v>4301020428</v>
      </c>
      <c r="D538" s="695" t="n">
        <v>4640242180090</v>
      </c>
      <c r="E538" s="989" t="n"/>
      <c r="F538" s="1028" t="n">
        <v>1.5</v>
      </c>
      <c r="G538" s="37" t="n">
        <v>8</v>
      </c>
      <c r="H538" s="1028" t="n">
        <v>12</v>
      </c>
      <c r="I538" s="1028" t="n">
        <v>12.41</v>
      </c>
      <c r="J538" s="37" t="n">
        <v>64</v>
      </c>
      <c r="K538" s="37" t="inlineStr">
        <is>
          <t>8</t>
        </is>
      </c>
      <c r="L538" s="37" t="inlineStr"/>
      <c r="M538" s="38" t="inlineStr">
        <is>
          <t>СК1</t>
        </is>
      </c>
      <c r="N538" s="38" t="n"/>
      <c r="O538" s="37" t="n">
        <v>50</v>
      </c>
      <c r="P538" s="1305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/>
      </c>
      <c r="Q538" s="1030" t="n"/>
      <c r="R538" s="1030" t="n"/>
      <c r="S538" s="1030" t="n"/>
      <c r="T538" s="1031" t="n"/>
      <c r="U538" s="39" t="inlineStr"/>
      <c r="V538" s="39" t="inlineStr"/>
      <c r="W538" s="40" t="inlineStr">
        <is>
          <t>кг</t>
        </is>
      </c>
      <c r="X538" s="1032" t="n">
        <v>0</v>
      </c>
      <c r="Y538" s="1033">
        <f>IFERROR(IF(X538="",0,CEILING((X538/$H538),1)*$H538),"")</f>
        <v/>
      </c>
      <c r="Z538" s="41">
        <f>IFERROR(IF(Y538=0,"",ROUNDUP(Y538/H538,0)*0.01898),"")</f>
        <v/>
      </c>
      <c r="AA538" s="68" t="inlineStr"/>
      <c r="AB538" s="69" t="inlineStr"/>
      <c r="AC538" s="622" t="inlineStr">
        <is>
          <t>ЕАЭС N RU Д-RU.РА10.В.43047/24</t>
        </is>
      </c>
      <c r="AG538" s="78" t="n"/>
      <c r="AJ538" s="84" t="inlineStr"/>
      <c r="AK538" s="84" t="n">
        <v>0</v>
      </c>
      <c r="BB538" s="623" t="inlineStr">
        <is>
          <t>КИ</t>
        </is>
      </c>
      <c r="BM538" s="78">
        <f>IFERROR(X538*I538/H538,"0")</f>
        <v/>
      </c>
      <c r="BN538" s="78">
        <f>IFERROR(Y538*I538/H538,"0")</f>
        <v/>
      </c>
      <c r="BO538" s="78">
        <f>IFERROR(1/J538*(X538/H538),"0")</f>
        <v/>
      </c>
      <c r="BP538" s="78">
        <f>IFERROR(1/J538*(Y538/H538),"0")</f>
        <v/>
      </c>
    </row>
    <row r="539">
      <c r="A539" s="704" t="n"/>
      <c r="B539" s="979" t="n"/>
      <c r="C539" s="979" t="n"/>
      <c r="D539" s="979" t="n"/>
      <c r="E539" s="979" t="n"/>
      <c r="F539" s="979" t="n"/>
      <c r="G539" s="979" t="n"/>
      <c r="H539" s="979" t="n"/>
      <c r="I539" s="979" t="n"/>
      <c r="J539" s="979" t="n"/>
      <c r="K539" s="979" t="n"/>
      <c r="L539" s="979" t="n"/>
      <c r="M539" s="979" t="n"/>
      <c r="N539" s="979" t="n"/>
      <c r="O539" s="1035" t="n"/>
      <c r="P539" s="1036" t="inlineStr">
        <is>
          <t>Итого</t>
        </is>
      </c>
      <c r="Q539" s="997" t="n"/>
      <c r="R539" s="997" t="n"/>
      <c r="S539" s="997" t="n"/>
      <c r="T539" s="997" t="n"/>
      <c r="U539" s="997" t="n"/>
      <c r="V539" s="998" t="n"/>
      <c r="W539" s="42" t="inlineStr">
        <is>
          <t>кор</t>
        </is>
      </c>
      <c r="X539" s="1037">
        <f>IFERROR(X538/H538,"0")</f>
        <v/>
      </c>
      <c r="Y539" s="1037">
        <f>IFERROR(Y538/H538,"0")</f>
        <v/>
      </c>
      <c r="Z539" s="1037">
        <f>IFERROR(IF(Z538="",0,Z538),"0")</f>
        <v/>
      </c>
      <c r="AA539" s="1038" t="n"/>
      <c r="AB539" s="1038" t="n"/>
      <c r="AC539" s="1038" t="n"/>
    </row>
    <row r="540">
      <c r="A540" s="979" t="n"/>
      <c r="B540" s="979" t="n"/>
      <c r="C540" s="979" t="n"/>
      <c r="D540" s="979" t="n"/>
      <c r="E540" s="979" t="n"/>
      <c r="F540" s="979" t="n"/>
      <c r="G540" s="979" t="n"/>
      <c r="H540" s="979" t="n"/>
      <c r="I540" s="979" t="n"/>
      <c r="J540" s="979" t="n"/>
      <c r="K540" s="979" t="n"/>
      <c r="L540" s="979" t="n"/>
      <c r="M540" s="979" t="n"/>
      <c r="N540" s="979" t="n"/>
      <c r="O540" s="1035" t="n"/>
      <c r="P540" s="1036" t="inlineStr">
        <is>
          <t>Итого</t>
        </is>
      </c>
      <c r="Q540" s="997" t="n"/>
      <c r="R540" s="997" t="n"/>
      <c r="S540" s="997" t="n"/>
      <c r="T540" s="997" t="n"/>
      <c r="U540" s="997" t="n"/>
      <c r="V540" s="998" t="n"/>
      <c r="W540" s="42" t="inlineStr">
        <is>
          <t>кг</t>
        </is>
      </c>
      <c r="X540" s="1037">
        <f>IFERROR(SUM(X538:X538),"0")</f>
        <v/>
      </c>
      <c r="Y540" s="1037">
        <f>IFERROR(SUM(Y538:Y538),"0")</f>
        <v/>
      </c>
      <c r="Z540" s="42" t="n"/>
      <c r="AA540" s="1038" t="n"/>
      <c r="AB540" s="1038" t="n"/>
      <c r="AC540" s="1038" t="n"/>
    </row>
    <row r="541" ht="15" customHeight="1">
      <c r="A541" s="975" t="n"/>
      <c r="B541" s="979" t="n"/>
      <c r="C541" s="979" t="n"/>
      <c r="D541" s="979" t="n"/>
      <c r="E541" s="979" t="n"/>
      <c r="F541" s="979" t="n"/>
      <c r="G541" s="979" t="n"/>
      <c r="H541" s="979" t="n"/>
      <c r="I541" s="979" t="n"/>
      <c r="J541" s="979" t="n"/>
      <c r="K541" s="979" t="n"/>
      <c r="L541" s="979" t="n"/>
      <c r="M541" s="979" t="n"/>
      <c r="N541" s="979" t="n"/>
      <c r="O541" s="986" t="n"/>
      <c r="P541" s="1306" t="inlineStr">
        <is>
          <t>ИТОГО НЕТТО</t>
        </is>
      </c>
      <c r="Q541" s="980" t="n"/>
      <c r="R541" s="980" t="n"/>
      <c r="S541" s="980" t="n"/>
      <c r="T541" s="980" t="n"/>
      <c r="U541" s="980" t="n"/>
      <c r="V541" s="981" t="n"/>
      <c r="W541" s="42" t="inlineStr">
        <is>
          <t>кг</t>
        </is>
      </c>
      <c r="X541" s="103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/>
      </c>
      <c r="Y541" s="103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/>
      </c>
      <c r="Z541" s="42" t="n"/>
      <c r="AA541" s="1038" t="n"/>
      <c r="AB541" s="1038" t="n"/>
      <c r="AC541" s="1038" t="n"/>
    </row>
    <row r="542">
      <c r="A542" s="979" t="n"/>
      <c r="B542" s="979" t="n"/>
      <c r="C542" s="979" t="n"/>
      <c r="D542" s="979" t="n"/>
      <c r="E542" s="979" t="n"/>
      <c r="F542" s="979" t="n"/>
      <c r="G542" s="979" t="n"/>
      <c r="H542" s="979" t="n"/>
      <c r="I542" s="979" t="n"/>
      <c r="J542" s="979" t="n"/>
      <c r="K542" s="979" t="n"/>
      <c r="L542" s="979" t="n"/>
      <c r="M542" s="979" t="n"/>
      <c r="N542" s="979" t="n"/>
      <c r="O542" s="986" t="n"/>
      <c r="P542" s="1306" t="inlineStr">
        <is>
          <t>ИТОГО БРУТТО</t>
        </is>
      </c>
      <c r="Q542" s="980" t="n"/>
      <c r="R542" s="980" t="n"/>
      <c r="S542" s="980" t="n"/>
      <c r="T542" s="980" t="n"/>
      <c r="U542" s="980" t="n"/>
      <c r="V542" s="981" t="n"/>
      <c r="W542" s="42" t="inlineStr">
        <is>
          <t>кг</t>
        </is>
      </c>
      <c r="X542" s="1037">
        <f>IFERROR(SUM(BM22:BM538),"0")</f>
        <v/>
      </c>
      <c r="Y542" s="1037">
        <f>IFERROR(SUM(BN22:BN538),"0")</f>
        <v/>
      </c>
      <c r="Z542" s="42" t="n"/>
      <c r="AA542" s="1038" t="n"/>
      <c r="AB542" s="1038" t="n"/>
      <c r="AC542" s="1038" t="n"/>
    </row>
    <row r="543">
      <c r="A543" s="979" t="n"/>
      <c r="B543" s="979" t="n"/>
      <c r="C543" s="979" t="n"/>
      <c r="D543" s="979" t="n"/>
      <c r="E543" s="979" t="n"/>
      <c r="F543" s="979" t="n"/>
      <c r="G543" s="979" t="n"/>
      <c r="H543" s="979" t="n"/>
      <c r="I543" s="979" t="n"/>
      <c r="J543" s="979" t="n"/>
      <c r="K543" s="979" t="n"/>
      <c r="L543" s="979" t="n"/>
      <c r="M543" s="979" t="n"/>
      <c r="N543" s="979" t="n"/>
      <c r="O543" s="986" t="n"/>
      <c r="P543" s="1306" t="inlineStr">
        <is>
          <t>Кол-во паллет</t>
        </is>
      </c>
      <c r="Q543" s="980" t="n"/>
      <c r="R543" s="980" t="n"/>
      <c r="S543" s="980" t="n"/>
      <c r="T543" s="980" t="n"/>
      <c r="U543" s="980" t="n"/>
      <c r="V543" s="981" t="n"/>
      <c r="W543" s="42" t="inlineStr">
        <is>
          <t>шт</t>
        </is>
      </c>
      <c r="X543" s="44">
        <f>ROUNDUP(SUM(BO22:BO538),0)</f>
        <v/>
      </c>
      <c r="Y543" s="44">
        <f>ROUNDUP(SUM(BP22:BP538),0)</f>
        <v/>
      </c>
      <c r="Z543" s="42" t="n"/>
      <c r="AA543" s="1038" t="n"/>
      <c r="AB543" s="1038" t="n"/>
      <c r="AC543" s="1038" t="n"/>
    </row>
    <row r="544">
      <c r="A544" s="979" t="n"/>
      <c r="B544" s="979" t="n"/>
      <c r="C544" s="979" t="n"/>
      <c r="D544" s="979" t="n"/>
      <c r="E544" s="979" t="n"/>
      <c r="F544" s="979" t="n"/>
      <c r="G544" s="979" t="n"/>
      <c r="H544" s="979" t="n"/>
      <c r="I544" s="979" t="n"/>
      <c r="J544" s="979" t="n"/>
      <c r="K544" s="979" t="n"/>
      <c r="L544" s="979" t="n"/>
      <c r="M544" s="979" t="n"/>
      <c r="N544" s="979" t="n"/>
      <c r="O544" s="986" t="n"/>
      <c r="P544" s="1306" t="inlineStr">
        <is>
          <t>Вес брутто  с паллетами</t>
        </is>
      </c>
      <c r="Q544" s="980" t="n"/>
      <c r="R544" s="980" t="n"/>
      <c r="S544" s="980" t="n"/>
      <c r="T544" s="980" t="n"/>
      <c r="U544" s="980" t="n"/>
      <c r="V544" s="981" t="n"/>
      <c r="W544" s="42" t="inlineStr">
        <is>
          <t>кг</t>
        </is>
      </c>
      <c r="X544" s="1037">
        <f>GrossWeightTotal+PalletQtyTotal*25</f>
        <v/>
      </c>
      <c r="Y544" s="1037">
        <f>GrossWeightTotalR+PalletQtyTotalR*25</f>
        <v/>
      </c>
      <c r="Z544" s="42" t="n"/>
      <c r="AA544" s="1038" t="n"/>
      <c r="AB544" s="1038" t="n"/>
      <c r="AC544" s="1038" t="n"/>
    </row>
    <row r="545">
      <c r="A545" s="979" t="n"/>
      <c r="B545" s="979" t="n"/>
      <c r="C545" s="979" t="n"/>
      <c r="D545" s="979" t="n"/>
      <c r="E545" s="979" t="n"/>
      <c r="F545" s="979" t="n"/>
      <c r="G545" s="979" t="n"/>
      <c r="H545" s="979" t="n"/>
      <c r="I545" s="979" t="n"/>
      <c r="J545" s="979" t="n"/>
      <c r="K545" s="979" t="n"/>
      <c r="L545" s="979" t="n"/>
      <c r="M545" s="979" t="n"/>
      <c r="N545" s="979" t="n"/>
      <c r="O545" s="986" t="n"/>
      <c r="P545" s="1306" t="inlineStr">
        <is>
          <t>Кол-во коробок</t>
        </is>
      </c>
      <c r="Q545" s="980" t="n"/>
      <c r="R545" s="980" t="n"/>
      <c r="S545" s="980" t="n"/>
      <c r="T545" s="980" t="n"/>
      <c r="U545" s="980" t="n"/>
      <c r="V545" s="981" t="n"/>
      <c r="W545" s="42" t="inlineStr">
        <is>
          <t>шт</t>
        </is>
      </c>
      <c r="X545" s="103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/>
      </c>
      <c r="Y545" s="103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/>
      </c>
      <c r="Z545" s="42" t="n"/>
      <c r="AA545" s="1038" t="n"/>
      <c r="AB545" s="1038" t="n"/>
      <c r="AC545" s="1038" t="n"/>
    </row>
    <row r="546" ht="14.25" customHeight="1">
      <c r="A546" s="979" t="n"/>
      <c r="B546" s="979" t="n"/>
      <c r="C546" s="979" t="n"/>
      <c r="D546" s="979" t="n"/>
      <c r="E546" s="979" t="n"/>
      <c r="F546" s="979" t="n"/>
      <c r="G546" s="979" t="n"/>
      <c r="H546" s="979" t="n"/>
      <c r="I546" s="979" t="n"/>
      <c r="J546" s="979" t="n"/>
      <c r="K546" s="979" t="n"/>
      <c r="L546" s="979" t="n"/>
      <c r="M546" s="979" t="n"/>
      <c r="N546" s="979" t="n"/>
      <c r="O546" s="986" t="n"/>
      <c r="P546" s="1306" t="inlineStr">
        <is>
          <t>Объем заказа</t>
        </is>
      </c>
      <c r="Q546" s="980" t="n"/>
      <c r="R546" s="980" t="n"/>
      <c r="S546" s="980" t="n"/>
      <c r="T546" s="980" t="n"/>
      <c r="U546" s="980" t="n"/>
      <c r="V546" s="981" t="n"/>
      <c r="W546" s="45" t="inlineStr">
        <is>
          <t>м3</t>
        </is>
      </c>
      <c r="X546" s="42" t="n"/>
      <c r="Y546" s="42" t="n"/>
      <c r="Z546" s="42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/>
      </c>
      <c r="AA546" s="1038" t="n"/>
      <c r="AB546" s="1038" t="n"/>
      <c r="AC546" s="1038" t="n"/>
    </row>
    <row r="547" ht="13.5" customHeight="1" thickBot="1"/>
    <row r="548" ht="27" customHeight="1" thickBot="1" thickTop="1">
      <c r="A548" s="46" t="inlineStr">
        <is>
          <t>ТОРГОВАЯ МАРКА</t>
        </is>
      </c>
      <c r="B548" s="978" t="inlineStr">
        <is>
          <t>Ядрена копоть</t>
        </is>
      </c>
      <c r="C548" s="978" t="inlineStr">
        <is>
          <t>Горячая штучка</t>
        </is>
      </c>
      <c r="D548" s="978" t="inlineStr">
        <is>
          <t>Вязанка</t>
        </is>
      </c>
      <c r="E548" s="1307" t="n"/>
      <c r="F548" s="1307" t="n"/>
      <c r="G548" s="1307" t="n"/>
      <c r="H548" s="1307" t="n"/>
      <c r="I548" s="1307" t="n"/>
      <c r="J548" s="1308" t="n"/>
      <c r="K548" s="978" t="inlineStr">
        <is>
          <t>Стародворье</t>
        </is>
      </c>
      <c r="L548" s="1307" t="n"/>
      <c r="M548" s="1307" t="n"/>
      <c r="N548" s="1307" t="n"/>
      <c r="O548" s="1307" t="n"/>
      <c r="P548" s="1307" t="n"/>
      <c r="Q548" s="1307" t="n"/>
      <c r="R548" s="1307" t="n"/>
      <c r="S548" s="1307" t="n"/>
      <c r="T548" s="1307" t="n"/>
      <c r="U548" s="1308" t="n"/>
      <c r="V548" s="978" t="inlineStr">
        <is>
          <t>Особый рецепт</t>
        </is>
      </c>
      <c r="W548" s="1308" t="n"/>
      <c r="X548" s="978" t="inlineStr">
        <is>
          <t>Баварушка</t>
        </is>
      </c>
      <c r="Y548" s="1308" t="n"/>
      <c r="Z548" s="978" t="inlineStr">
        <is>
          <t>Дугушка</t>
        </is>
      </c>
      <c r="AA548" s="978" t="inlineStr">
        <is>
          <t>Зареченские продукты</t>
        </is>
      </c>
      <c r="AB548" s="1308" t="n"/>
      <c r="AC548" s="60" t="n"/>
      <c r="AF548" s="979" t="n"/>
    </row>
    <row r="549" ht="14.25" customHeight="1" thickTop="1">
      <c r="A549" s="976" t="inlineStr">
        <is>
          <t>СЕРИЯ</t>
        </is>
      </c>
      <c r="B549" s="978" t="inlineStr">
        <is>
          <t>Ядрена копоть</t>
        </is>
      </c>
      <c r="C549" s="978" t="inlineStr">
        <is>
          <t>Горячая штучка КИ</t>
        </is>
      </c>
      <c r="D549" s="978" t="inlineStr">
        <is>
          <t>ГОСТ</t>
        </is>
      </c>
      <c r="E549" s="978" t="inlineStr">
        <is>
          <t>Филейская</t>
        </is>
      </c>
      <c r="F549" s="978" t="inlineStr">
        <is>
          <t>Молокуша</t>
        </is>
      </c>
      <c r="G549" s="978" t="inlineStr">
        <is>
          <t>Сливушка</t>
        </is>
      </c>
      <c r="H549" s="978" t="inlineStr">
        <is>
          <t>Халяль</t>
        </is>
      </c>
      <c r="I549" s="978" t="inlineStr">
        <is>
          <t>Хайперсы</t>
        </is>
      </c>
      <c r="J549" s="978" t="inlineStr">
        <is>
          <t>Вязанка</t>
        </is>
      </c>
      <c r="K549" s="978" t="inlineStr">
        <is>
          <t>Золоченная в печи</t>
        </is>
      </c>
      <c r="L549" s="978" t="inlineStr">
        <is>
          <t>Мясорубская</t>
        </is>
      </c>
      <c r="M549" s="978" t="inlineStr">
        <is>
          <t>Сочинка</t>
        </is>
      </c>
      <c r="N549" s="979" t="n"/>
      <c r="O549" s="978" t="inlineStr">
        <is>
          <t>Стародворская</t>
        </is>
      </c>
      <c r="P549" s="978" t="inlineStr">
        <is>
          <t>Филедворская по-стародворски</t>
        </is>
      </c>
      <c r="Q549" s="978" t="inlineStr">
        <is>
          <t>Сочинка по-баварски</t>
        </is>
      </c>
      <c r="R549" s="978" t="inlineStr">
        <is>
          <t>Стародворская EDLP/EDPP</t>
        </is>
      </c>
      <c r="S549" s="978" t="inlineStr">
        <is>
          <t>Тамбовская в обвязке</t>
        </is>
      </c>
      <c r="T549" s="978" t="inlineStr">
        <is>
          <t>Бордо</t>
        </is>
      </c>
      <c r="U549" s="978" t="inlineStr">
        <is>
          <t>Бавария</t>
        </is>
      </c>
      <c r="V549" s="978" t="inlineStr">
        <is>
          <t>Особая</t>
        </is>
      </c>
      <c r="W549" s="978" t="inlineStr">
        <is>
          <t>Особая Без свинины</t>
        </is>
      </c>
      <c r="X549" s="978" t="inlineStr">
        <is>
          <t>Филейбургская</t>
        </is>
      </c>
      <c r="Y549" s="978" t="inlineStr">
        <is>
          <t>Балыкбургская</t>
        </is>
      </c>
      <c r="Z549" s="978" t="inlineStr">
        <is>
          <t>Дугушка</t>
        </is>
      </c>
      <c r="AA549" s="978" t="inlineStr">
        <is>
          <t>Зареченские продукты</t>
        </is>
      </c>
      <c r="AB549" s="978" t="inlineStr">
        <is>
          <t>Зареченские продукты Светофор</t>
        </is>
      </c>
      <c r="AC549" s="60" t="n"/>
      <c r="AF549" s="979" t="n"/>
    </row>
    <row r="550" ht="13.5" customHeight="1" thickBot="1">
      <c r="A550" s="1309" t="n"/>
      <c r="B550" s="1310" t="n"/>
      <c r="C550" s="1310" t="n"/>
      <c r="D550" s="1310" t="n"/>
      <c r="E550" s="1310" t="n"/>
      <c r="F550" s="1310" t="n"/>
      <c r="G550" s="1310" t="n"/>
      <c r="H550" s="1310" t="n"/>
      <c r="I550" s="1310" t="n"/>
      <c r="J550" s="1310" t="n"/>
      <c r="K550" s="1310" t="n"/>
      <c r="L550" s="1310" t="n"/>
      <c r="M550" s="1310" t="n"/>
      <c r="N550" s="979" t="n"/>
      <c r="O550" s="1310" t="n"/>
      <c r="P550" s="1310" t="n"/>
      <c r="Q550" s="1310" t="n"/>
      <c r="R550" s="1310" t="n"/>
      <c r="S550" s="1310" t="n"/>
      <c r="T550" s="1310" t="n"/>
      <c r="U550" s="1310" t="n"/>
      <c r="V550" s="1310" t="n"/>
      <c r="W550" s="1310" t="n"/>
      <c r="X550" s="1310" t="n"/>
      <c r="Y550" s="1310" t="n"/>
      <c r="Z550" s="1310" t="n"/>
      <c r="AA550" s="1310" t="n"/>
      <c r="AB550" s="1310" t="n"/>
      <c r="AC550" s="60" t="n"/>
      <c r="AF550" s="979" t="n"/>
    </row>
    <row r="551" ht="18" customHeight="1" thickBot="1" thickTop="1">
      <c r="A551" s="46" t="inlineStr">
        <is>
          <t>ИТОГО, кг</t>
        </is>
      </c>
      <c r="B551" s="52">
        <f>IFERROR(Y22*1,"0")+IFERROR(Y23*1,"0")+IFERROR(Y27*1,"0")+IFERROR(Y28*1,"0")+IFERROR(Y29*1,"0")+IFERROR(Y30*1,"0")+IFERROR(Y31*1,"0")+IFERROR(Y35*1,"0")</f>
        <v/>
      </c>
      <c r="C551" s="52">
        <f>IFERROR(Y41*1,"0")+IFERROR(Y42*1,"0")+IFERROR(Y43*1,"0")+IFERROR(Y44*1,"0")+IFERROR(Y45*1,"0")</f>
        <v/>
      </c>
      <c r="D551" s="52">
        <f>IFERROR(Y51*1,"0")+IFERROR(Y52*1,"0")+IFERROR(Y53*1,"0")+IFERROR(Y54*1,"0")</f>
        <v/>
      </c>
      <c r="E55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/>
      </c>
      <c r="F551" s="52">
        <f>IFERROR(Y88*1,"0")+IFERROR(Y89*1,"0")+IFERROR(Y90*1,"0")+IFERROR(Y91*1,"0")+IFERROR(Y95*1,"0")+IFERROR(Y96*1,"0")+IFERROR(Y97*1,"0")+IFERROR(Y98*1,"0")</f>
        <v/>
      </c>
      <c r="G55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/>
      </c>
      <c r="H551" s="52">
        <f>IFERROR(Y132*1,"0")+IFERROR(Y133*1,"0")+IFERROR(Y137*1,"0")+IFERROR(Y138*1,"0")+IFERROR(Y142*1,"0")+IFERROR(Y143*1,"0")</f>
        <v/>
      </c>
      <c r="I551" s="52">
        <f>IFERROR(Y148*1,"0")+IFERROR(Y149*1,"0")+IFERROR(Y150*1,"0")+IFERROR(Y151*1,"0")</f>
        <v/>
      </c>
      <c r="J551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/>
      </c>
      <c r="K551" s="52">
        <f>IFERROR(Y198*1,"0")+IFERROR(Y199*1,"0")+IFERROR(Y200*1,"0")+IFERROR(Y201*1,"0")+IFERROR(Y202*1,"0")+IFERROR(Y203*1,"0")+IFERROR(Y204*1,"0")</f>
        <v/>
      </c>
      <c r="L551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/>
      </c>
      <c r="M551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/>
      </c>
      <c r="N551" s="979" t="n"/>
      <c r="O551" s="52">
        <f>IFERROR(Y291*1,"0")+IFERROR(Y292*1,"0")+IFERROR(Y293*1,"0")+IFERROR(Y294*1,"0")+IFERROR(Y295*1,"0")+IFERROR(Y296*1,"0")+IFERROR(Y297*1,"0")+IFERROR(Y301*1,"0")+IFERROR(Y305*1,"0")+IFERROR(Y309*1,"0")+IFERROR(Y310*1,"0")+IFERROR(Y311*1,"0")</f>
        <v/>
      </c>
      <c r="P551" s="52">
        <f>IFERROR(Y316*1,"0")+IFERROR(Y317*1,"0")+IFERROR(Y318*1,"0")+IFERROR(Y319*1,"0")+IFERROR(Y320*1,"0")</f>
        <v/>
      </c>
      <c r="Q551" s="52">
        <f>IFERROR(Y325*1,"0")+IFERROR(Y326*1,"0")+IFERROR(Y327*1,"0")</f>
        <v/>
      </c>
      <c r="R551" s="52">
        <f>IFERROR(Y332*1,"0")+IFERROR(Y333*1,"0")+IFERROR(Y334*1,"0")+IFERROR(Y335*1,"0")+IFERROR(Y336*1,"0")+IFERROR(Y340*1,"0")+IFERROR(Y341*1,"0")</f>
        <v/>
      </c>
      <c r="S551" s="52">
        <f>IFERROR(Y346*1,"0")+IFERROR(Y347*1,"0")+IFERROR(Y348*1,"0")</f>
        <v/>
      </c>
      <c r="T551" s="52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/>
      </c>
      <c r="U551" s="52">
        <f>IFERROR(Y404*1,"0")+IFERROR(Y405*1,"0")+IFERROR(Y406*1,"0")</f>
        <v/>
      </c>
      <c r="V551" s="52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/>
      </c>
      <c r="W551" s="52">
        <f>IFERROR(Y441*1,"0")+IFERROR(Y442*1,"0")+IFERROR(Y446*1,"0")+IFERROR(Y450*1,"0")+IFERROR(Y451*1,"0")+IFERROR(Y452*1,"0")</f>
        <v/>
      </c>
      <c r="X551" s="52">
        <f>IFERROR(Y458*1,"0")+IFERROR(Y459*1,"0")+IFERROR(Y460*1,"0")+IFERROR(Y461*1,"0")+IFERROR(Y462*1,"0")+IFERROR(Y463*1,"0")+IFERROR(Y467*1,"0")+IFERROR(Y468*1,"0")</f>
        <v/>
      </c>
      <c r="Y551" s="52">
        <f>IFERROR(Y473*1,"0")+IFERROR(Y477*1,"0")+IFERROR(Y478*1,"0")+IFERROR(Y479*1,"0")</f>
        <v/>
      </c>
      <c r="Z551" s="52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/>
      </c>
      <c r="AA551" s="52">
        <f>IFERROR(Y515*1,"0")+IFERROR(Y519*1,"0")+IFERROR(Y523*1,"0")+IFERROR(Y524*1,"0")+IFERROR(Y528*1,"0")+IFERROR(Y532*1,"0")+IFERROR(Y533*1,"0")</f>
        <v/>
      </c>
      <c r="AB551" s="52">
        <f>IFERROR(Y538*1,"0")</f>
        <v/>
      </c>
      <c r="AC551" s="60" t="n"/>
      <c r="AF551" s="979" t="n"/>
    </row>
    <row r="552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JBRlqCX98Wzc18hHB63XOQ==" formatRows="1" sort="0" spinCount="100000" hashValue="qr077H0Y/sYsoGodk96e+4+fctx9vX2xALuS1qwNjpnHCIoZ4uuoyhR984hj+3+Kh2qPCIweUEAnObau22waOw=="/>
  <autoFilter ref="A18:AF546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969"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P235:V235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A434:Z434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D417:E417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P52:T52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Q9:R9"/>
    <mergeCell ref="P267:V2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P467:T467"/>
    <mergeCell ref="P442:T442"/>
    <mergeCell ref="A534:O535"/>
    <mergeCell ref="A328:O329"/>
    <mergeCell ref="P298:V298"/>
    <mergeCell ref="P369:V369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A537:Z537"/>
    <mergeCell ref="P128:V128"/>
    <mergeCell ref="A17:A18"/>
    <mergeCell ref="K17:K18"/>
    <mergeCell ref="A74:O75"/>
    <mergeCell ref="P493:T493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P53:T53"/>
    <mergeCell ref="D167:E167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63:E63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P306:V306"/>
    <mergeCell ref="D52:E52"/>
    <mergeCell ref="P110:V110"/>
    <mergeCell ref="D27:E27"/>
    <mergeCell ref="P408:V408"/>
    <mergeCell ref="A67:O68"/>
    <mergeCell ref="D325:E325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460:E460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P519:T519"/>
    <mergeCell ref="D391:E391"/>
    <mergeCell ref="D220:E220"/>
    <mergeCell ref="A394:O395"/>
    <mergeCell ref="A195:Z195"/>
    <mergeCell ref="P122:T122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D538:E538"/>
    <mergeCell ref="P138:T138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V549:V550"/>
    <mergeCell ref="D275:E275"/>
    <mergeCell ref="P425:T425"/>
    <mergeCell ref="X549:X550"/>
    <mergeCell ref="D104:E104"/>
    <mergeCell ref="A349:O350"/>
    <mergeCell ref="D340:E340"/>
    <mergeCell ref="D533:E533"/>
    <mergeCell ref="T6:U9"/>
    <mergeCell ref="Q10:R10"/>
    <mergeCell ref="P368:V368"/>
    <mergeCell ref="D41:E41"/>
    <mergeCell ref="P296:T296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D335:E335"/>
    <mergeCell ref="A375:O376"/>
    <mergeCell ref="D201:E201"/>
    <mergeCell ref="D188:E188"/>
    <mergeCell ref="D424:E424"/>
    <mergeCell ref="P224:T224"/>
    <mergeCell ref="P491:T491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P51:T51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490:E490"/>
    <mergeCell ref="D346:E346"/>
    <mergeCell ref="D477:E477"/>
    <mergeCell ref="P77:T77"/>
    <mergeCell ref="P204:T204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441:T441"/>
    <mergeCell ref="D362:E362"/>
    <mergeCell ref="D51:E51"/>
    <mergeCell ref="P506:T506"/>
    <mergeCell ref="P477:T47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H17:H18"/>
    <mergeCell ref="P261:T261"/>
    <mergeCell ref="P532:T532"/>
    <mergeCell ref="P503:T503"/>
    <mergeCell ref="P332:T332"/>
    <mergeCell ref="P217:T217"/>
    <mergeCell ref="P459:T459"/>
    <mergeCell ref="D204:E204"/>
    <mergeCell ref="D198:E198"/>
    <mergeCell ref="A146:Z146"/>
    <mergeCell ref="D296:E296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P487:T487"/>
    <mergeCell ref="A235:O236"/>
    <mergeCell ref="P318:T318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P398:T398"/>
    <mergeCell ref="D319:E319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P35:T35"/>
    <mergeCell ref="A529:O530"/>
    <mergeCell ref="A466:Z466"/>
    <mergeCell ref="P399:T399"/>
    <mergeCell ref="P333:T333"/>
    <mergeCell ref="P184:V184"/>
    <mergeCell ref="A152:O153"/>
    <mergeCell ref="G17:G18"/>
    <mergeCell ref="P242:V242"/>
    <mergeCell ref="P407:V407"/>
    <mergeCell ref="A403:Z403"/>
    <mergeCell ref="P382:V382"/>
    <mergeCell ref="A207:Z207"/>
    <mergeCell ref="P188:T188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A9:C9"/>
    <mergeCell ref="D373:E373"/>
    <mergeCell ref="D202:E202"/>
    <mergeCell ref="P112:T112"/>
    <mergeCell ref="D294:E294"/>
    <mergeCell ref="P348:T348"/>
    <mergeCell ref="D231:E231"/>
    <mergeCell ref="P337:V337"/>
    <mergeCell ref="P32:V32"/>
    <mergeCell ref="P474:V474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A400:O401"/>
    <mergeCell ref="P270:T270"/>
    <mergeCell ref="P214:T214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P107:T107"/>
    <mergeCell ref="A128:O129"/>
    <mergeCell ref="D386:E38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62:T62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A130:Z130"/>
    <mergeCell ref="P376:V376"/>
    <mergeCell ref="P205:V205"/>
    <mergeCell ref="D528:E528"/>
    <mergeCell ref="D310:E310"/>
    <mergeCell ref="P364:T364"/>
    <mergeCell ref="D503:E503"/>
    <mergeCell ref="A245:O246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181:T181"/>
    <mergeCell ref="P357:T357"/>
    <mergeCell ref="D29:E29"/>
    <mergeCell ref="D23:E23"/>
    <mergeCell ref="P515:T515"/>
    <mergeCell ref="D265:E265"/>
    <mergeCell ref="D216:E216"/>
    <mergeCell ref="A134:O135"/>
    <mergeCell ref="A20:Z20"/>
    <mergeCell ref="D452:E452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A536:Z536"/>
    <mergeCell ref="D468:E468"/>
    <mergeCell ref="D341:E341"/>
    <mergeCell ref="P303:V303"/>
    <mergeCell ref="D170:E170"/>
    <mergeCell ref="P72:T72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P499:T499"/>
    <mergeCell ref="D171:E171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P185:V185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U17:V17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P505:T505"/>
    <mergeCell ref="A428:Z428"/>
    <mergeCell ref="A57:Z57"/>
    <mergeCell ref="D121:E121"/>
    <mergeCell ref="D192:E192"/>
    <mergeCell ref="A99:O100"/>
    <mergeCell ref="P507:T507"/>
    <mergeCell ref="D42:E42"/>
    <mergeCell ref="P363:T363"/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</mergeCells>
  <conditionalFormatting sqref="A8:N8 A9:C10 H10:N10 J9:N9 P9:R13">
    <cfRule type="expression" priority="13" dxfId="1" stopIfTrue="1">
      <formula>IF($V$5="самовывоз",1,0)</formula>
    </cfRule>
  </conditionalFormatting>
  <conditionalFormatting sqref="H9:I9">
    <cfRule type="expression" priority="6" dxfId="1" stopIfTrue="1">
      <formula>IF($V$5="самовывоз",1,0)</formula>
    </cfRule>
  </conditionalFormatting>
  <conditionalFormatting sqref="F9:G9">
    <cfRule type="expression" priority="5" dxfId="1" stopIfTrue="1">
      <formula>IF($V$5="самовывоз",1,0)</formula>
    </cfRule>
  </conditionalFormatting>
  <conditionalFormatting sqref="F10:G10">
    <cfRule type="expression" priority="4" dxfId="1" stopIfTrue="1">
      <formula>IF($V$5="самовывоз",1,0)</formula>
    </cfRule>
  </conditionalFormatting>
  <conditionalFormatting sqref="D9:E9">
    <cfRule type="expression" priority="3" dxfId="1" stopIfTrue="1">
      <formula>IF($V$5="самовывоз",1,0)</formula>
    </cfRule>
  </conditionalFormatting>
  <conditionalFormatting sqref="D10:E10">
    <cfRule type="expression" priority="2" dxfId="1" stopIfTrue="1">
      <formula>IF($V$5="самовывоз",1,0)</formula>
    </cfRule>
  </conditionalFormatting>
  <conditionalFormatting sqref="P5:R6 P8:R8">
    <cfRule type="expression" priority="1" dxfId="0" stopIfTrue="1">
      <formula>IF($V$5="доставка",1,0)</formula>
    </cfRule>
  </conditionalFormatting>
  <dataValidations xWindow="697" yWindow="616" count="17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CHOOSE($D$7,UnloadAdressList0001,UnloadAdressList0002,UnloadAdressList0003,UnloadAdressList0004,UnloadAdressList0005,UnloadAdressList0006,UnloadAdressList0007)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НВ, ООО 9001015535, Запорожская обл, Трояны с.,</t>
        </is>
      </c>
      <c r="C6" s="53" t="inlineStr">
        <is>
          <t>596383_4</t>
        </is>
      </c>
      <c r="D6" s="53" t="inlineStr">
        <is>
          <t>1</t>
        </is>
      </c>
      <c r="E6" s="53" t="inlineStr"/>
    </row>
    <row r="7">
      <c r="B7" s="53" t="inlineStr">
        <is>
          <t>НВ, ООО 9001015535, Луганская Народная Респ, Комиссара Санюка (Каменнобродский р-н) ул, д. 50,</t>
        </is>
      </c>
      <c r="C7" s="53" t="inlineStr">
        <is>
          <t>596383_5</t>
        </is>
      </c>
      <c r="D7" s="53" t="inlineStr">
        <is>
          <t>2</t>
        </is>
      </c>
      <c r="E7" s="53" t="inlineStr"/>
    </row>
    <row r="8">
      <c r="B8" s="53" t="inlineStr">
        <is>
          <t>НВ, ООО 9001015535, Донецкая Народная Респ, Охотская ул, д. 79А,</t>
        </is>
      </c>
      <c r="C8" s="53" t="inlineStr">
        <is>
          <t>596383_6</t>
        </is>
      </c>
      <c r="D8" s="53" t="inlineStr">
        <is>
          <t>3</t>
        </is>
      </c>
      <c r="E8" s="53" t="inlineStr"/>
    </row>
    <row r="9">
      <c r="B9" s="53" t="inlineStr">
        <is>
          <t>НВ, ООО 9001015535, Запорожская обл, Мелитополь г, Полевая ул, д. 3, стр А,</t>
        </is>
      </c>
      <c r="C9" s="53" t="inlineStr">
        <is>
          <t>596383_7</t>
        </is>
      </c>
      <c r="D9" s="53" t="inlineStr">
        <is>
          <t>4</t>
        </is>
      </c>
      <c r="E9" s="53" t="inlineStr"/>
    </row>
    <row r="10">
      <c r="B10" s="53" t="inlineStr">
        <is>
          <t>НВ, ООО 9001015535, Донецкая Народная Респ, Чаадаева ул, д. 1,</t>
        </is>
      </c>
      <c r="C10" s="53" t="inlineStr">
        <is>
          <t>596383_8</t>
        </is>
      </c>
      <c r="D10" s="53" t="inlineStr">
        <is>
          <t>5</t>
        </is>
      </c>
      <c r="E10" s="53" t="inlineStr"/>
    </row>
    <row r="11">
      <c r="B11" s="53" t="inlineStr">
        <is>
          <t>НВ, ООО 9001015535, Луганская Народная Респ, Рабочая ул, д. 10А,</t>
        </is>
      </c>
      <c r="C11" s="53" t="inlineStr">
        <is>
          <t>596383_9</t>
        </is>
      </c>
      <c r="D11" s="53" t="inlineStr">
        <is>
          <t>6</t>
        </is>
      </c>
      <c r="E11" s="53" t="inlineStr"/>
    </row>
    <row r="12">
      <c r="B12" s="53" t="inlineStr">
        <is>
          <t>НВ, ООО 9001015535, Запорожская обл, Мелитополь г, Семёновка с., Северный переезд ул, стр 3,</t>
        </is>
      </c>
      <c r="C12" s="53" t="inlineStr">
        <is>
          <t>596383_10</t>
        </is>
      </c>
      <c r="D12" s="53" t="inlineStr">
        <is>
          <t>7</t>
        </is>
      </c>
      <c r="E12" s="53" t="inlineStr"/>
    </row>
    <row r="14">
      <c r="B14" s="53" t="inlineStr">
        <is>
          <t>272151Российская Федерация, Запорожская обл, Бердянский р-н, Трояны с.,</t>
        </is>
      </c>
      <c r="C14" s="53" t="inlineStr">
        <is>
          <t>596383_4</t>
        </is>
      </c>
      <c r="D14" s="53" t="inlineStr"/>
      <c r="E14" s="53" t="inlineStr"/>
    </row>
    <row r="16">
      <c r="B16" s="53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6" s="53" t="inlineStr">
        <is>
          <t>596383_5</t>
        </is>
      </c>
      <c r="D16" s="53" t="inlineStr"/>
      <c r="E16" s="53" t="inlineStr"/>
    </row>
    <row r="18">
      <c r="B18" s="53" t="inlineStr">
        <is>
          <t>283092Российская Федерация, Донецкая Народная Респ, Донецк г, Охотская ул, д. 79А,</t>
        </is>
      </c>
      <c r="C18" s="53" t="inlineStr">
        <is>
          <t>596383_6</t>
        </is>
      </c>
      <c r="D18" s="53" t="inlineStr"/>
      <c r="E18" s="53" t="inlineStr"/>
    </row>
    <row r="20">
      <c r="B20" s="53" t="inlineStr">
        <is>
          <t>272302Российская Федерация, Запорожская обл, Мелитополь г, Полевая ул, д. 3, стр А,</t>
        </is>
      </c>
      <c r="C20" s="53" t="inlineStr">
        <is>
          <t>596383_7</t>
        </is>
      </c>
      <c r="D20" s="53" t="inlineStr"/>
      <c r="E20" s="53" t="inlineStr"/>
    </row>
    <row r="22">
      <c r="B22" s="53" t="inlineStr">
        <is>
          <t>283032Российская Федерация, Донецкая Народная Респ, Донецк г, Чаадаева ул, д. 1,</t>
        </is>
      </c>
      <c r="C22" s="53" t="inlineStr">
        <is>
          <t>596383_8</t>
        </is>
      </c>
      <c r="D22" s="53" t="inlineStr"/>
      <c r="E22" s="53" t="inlineStr"/>
    </row>
    <row r="24">
      <c r="B24" s="53" t="inlineStr">
        <is>
          <t>291002Российская Федерация, Луганская Народная Респ, Луганск г, Рабочая ул, д. 10А,</t>
        </is>
      </c>
      <c r="C24" s="53" t="inlineStr">
        <is>
          <t>596383_9</t>
        </is>
      </c>
      <c r="D24" s="53" t="inlineStr"/>
      <c r="E24" s="53" t="inlineStr"/>
    </row>
    <row r="26">
      <c r="B26" s="53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26" s="53" t="inlineStr">
        <is>
          <t>596383_10</t>
        </is>
      </c>
      <c r="D26" s="53" t="inlineStr"/>
      <c r="E26" s="53" t="inlineStr"/>
    </row>
    <row r="28">
      <c r="B28" s="53" t="inlineStr">
        <is>
          <t>CFR</t>
        </is>
      </c>
      <c r="C28" s="53" t="inlineStr"/>
      <c r="D28" s="53" t="inlineStr"/>
      <c r="E28" s="53" t="inlineStr"/>
    </row>
    <row r="29">
      <c r="B29" s="53" t="inlineStr">
        <is>
          <t>CIF</t>
        </is>
      </c>
      <c r="C29" s="53" t="inlineStr"/>
      <c r="D29" s="53" t="inlineStr"/>
      <c r="E29" s="53" t="inlineStr"/>
    </row>
    <row r="30">
      <c r="B30" s="53" t="inlineStr">
        <is>
          <t>CIP</t>
        </is>
      </c>
      <c r="C30" s="53" t="inlineStr"/>
      <c r="D30" s="53" t="inlineStr"/>
      <c r="E30" s="53" t="inlineStr"/>
    </row>
    <row r="31">
      <c r="B31" s="53" t="inlineStr">
        <is>
          <t>CPT</t>
        </is>
      </c>
      <c r="C31" s="53" t="inlineStr"/>
      <c r="D31" s="53" t="inlineStr"/>
      <c r="E31" s="53" t="inlineStr"/>
    </row>
    <row r="32">
      <c r="B32" s="53" t="inlineStr">
        <is>
          <t>DAP</t>
        </is>
      </c>
      <c r="C32" s="53" t="inlineStr"/>
      <c r="D32" s="53" t="inlineStr"/>
      <c r="E32" s="53" t="inlineStr"/>
    </row>
    <row r="33">
      <c r="B33" s="53" t="inlineStr">
        <is>
          <t>DAT</t>
        </is>
      </c>
      <c r="C33" s="53" t="inlineStr"/>
      <c r="D33" s="53" t="inlineStr"/>
      <c r="E33" s="53" t="inlineStr"/>
    </row>
    <row r="34">
      <c r="B34" s="53" t="inlineStr">
        <is>
          <t>DDP</t>
        </is>
      </c>
      <c r="C34" s="53" t="inlineStr"/>
      <c r="D34" s="53" t="inlineStr"/>
      <c r="E34" s="53" t="inlineStr"/>
    </row>
    <row r="35">
      <c r="B35" s="53" t="inlineStr">
        <is>
          <t>EXW</t>
        </is>
      </c>
      <c r="C35" s="53" t="inlineStr"/>
      <c r="D35" s="53" t="inlineStr"/>
      <c r="E35" s="53" t="inlineStr"/>
    </row>
    <row r="36">
      <c r="B36" s="53" t="inlineStr">
        <is>
          <t>FAS</t>
        </is>
      </c>
      <c r="C36" s="53" t="inlineStr"/>
      <c r="D36" s="53" t="inlineStr"/>
      <c r="E36" s="53" t="inlineStr"/>
    </row>
    <row r="37">
      <c r="B37" s="53" t="inlineStr">
        <is>
          <t>FCA</t>
        </is>
      </c>
      <c r="C37" s="53" t="inlineStr"/>
      <c r="D37" s="53" t="inlineStr"/>
      <c r="E37" s="53" t="inlineStr"/>
    </row>
    <row r="38">
      <c r="B38" s="53" t="inlineStr">
        <is>
          <t>FOB</t>
        </is>
      </c>
      <c r="C38" s="53" t="inlineStr"/>
      <c r="D38" s="53" t="inlineStr"/>
      <c r="E38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92k6rWK/ZZqrNY2RQEwvkw==" formatRows="1" sort="0" spinCount="100000" hashValue="HrPr52DUzWE8QPRK/OaHghKCqMJJ7LggXln78gVrcTi+ypvrnNPTYb9MwFJe96kUqHiaMYgfz88yJBvoq1L/Q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2026-07-18T02:17:55Z</dcterms:modified>
  <cp:lastModifiedBy>Uaer4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