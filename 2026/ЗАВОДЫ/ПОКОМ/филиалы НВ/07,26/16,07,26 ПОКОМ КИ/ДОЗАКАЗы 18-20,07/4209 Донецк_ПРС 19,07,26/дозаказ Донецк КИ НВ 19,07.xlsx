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55B2A12-D280-48CA-BAB6-39D54FDAE9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Y407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S551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Y159" i="1"/>
  <c r="X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5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4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79" i="1" l="1"/>
  <c r="Z534" i="1"/>
  <c r="Z256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BP167" i="1"/>
  <c r="BN167" i="1"/>
  <c r="Z167" i="1"/>
  <c r="BP171" i="1"/>
  <c r="BN171" i="1"/>
  <c r="Z171" i="1"/>
  <c r="Z178" i="1" s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Z235" i="1" s="1"/>
  <c r="BP234" i="1"/>
  <c r="BN234" i="1"/>
  <c r="Z234" i="1"/>
  <c r="Y236" i="1"/>
  <c r="Y241" i="1"/>
  <c r="BP238" i="1"/>
  <c r="BN238" i="1"/>
  <c r="Z238" i="1"/>
  <c r="BP255" i="1"/>
  <c r="BN255" i="1"/>
  <c r="Z255" i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Z287" i="1"/>
  <c r="BP354" i="1"/>
  <c r="BN354" i="1"/>
  <c r="Z354" i="1"/>
  <c r="Z358" i="1" s="1"/>
  <c r="Y358" i="1"/>
  <c r="BP362" i="1"/>
  <c r="BN362" i="1"/>
  <c r="Z362" i="1"/>
  <c r="Y368" i="1"/>
  <c r="BP366" i="1"/>
  <c r="BN366" i="1"/>
  <c r="Z366" i="1"/>
  <c r="Z400" i="1"/>
  <c r="BP398" i="1"/>
  <c r="BN398" i="1"/>
  <c r="Z398" i="1"/>
  <c r="Y400" i="1"/>
  <c r="F551" i="1"/>
  <c r="H9" i="1"/>
  <c r="B551" i="1"/>
  <c r="X542" i="1"/>
  <c r="X544" i="1" s="1"/>
  <c r="X543" i="1"/>
  <c r="Z23" i="1"/>
  <c r="Z24" i="1" s="1"/>
  <c r="BN23" i="1"/>
  <c r="Y24" i="1"/>
  <c r="X541" i="1"/>
  <c r="Z27" i="1"/>
  <c r="Z32" i="1" s="1"/>
  <c r="BN27" i="1"/>
  <c r="BP27" i="1"/>
  <c r="Y543" i="1" s="1"/>
  <c r="Z29" i="1"/>
  <c r="BN29" i="1"/>
  <c r="Y542" i="1" s="1"/>
  <c r="Y544" i="1" s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51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BN78" i="1"/>
  <c r="Z82" i="1"/>
  <c r="Z84" i="1" s="1"/>
  <c r="BN82" i="1"/>
  <c r="BP82" i="1"/>
  <c r="Z89" i="1"/>
  <c r="Z92" i="1" s="1"/>
  <c r="BN89" i="1"/>
  <c r="Z91" i="1"/>
  <c r="BN91" i="1"/>
  <c r="Z95" i="1"/>
  <c r="Z99" i="1" s="1"/>
  <c r="BN95" i="1"/>
  <c r="BP95" i="1"/>
  <c r="Z97" i="1"/>
  <c r="BN97" i="1"/>
  <c r="G551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Z124" i="1" s="1"/>
  <c r="BN120" i="1"/>
  <c r="BP120" i="1"/>
  <c r="Z122" i="1"/>
  <c r="BN122" i="1"/>
  <c r="H551" i="1"/>
  <c r="Y134" i="1"/>
  <c r="Y139" i="1"/>
  <c r="BP143" i="1"/>
  <c r="BN143" i="1"/>
  <c r="Z143" i="1"/>
  <c r="Z144" i="1" s="1"/>
  <c r="Y145" i="1"/>
  <c r="I551" i="1"/>
  <c r="Y153" i="1"/>
  <c r="BP148" i="1"/>
  <c r="BN148" i="1"/>
  <c r="Z148" i="1"/>
  <c r="Z152" i="1" s="1"/>
  <c r="Y152" i="1"/>
  <c r="Z159" i="1"/>
  <c r="BP157" i="1"/>
  <c r="BN157" i="1"/>
  <c r="Z157" i="1"/>
  <c r="Y178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BP203" i="1"/>
  <c r="BN203" i="1"/>
  <c r="Z203" i="1"/>
  <c r="Z205" i="1" s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Y256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3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Z337" i="1" s="1"/>
  <c r="BP336" i="1"/>
  <c r="BN336" i="1"/>
  <c r="Z336" i="1"/>
  <c r="Y338" i="1"/>
  <c r="Y343" i="1"/>
  <c r="BP340" i="1"/>
  <c r="BN340" i="1"/>
  <c r="Z340" i="1"/>
  <c r="Z342" i="1" s="1"/>
  <c r="Y342" i="1"/>
  <c r="BP374" i="1"/>
  <c r="BN374" i="1"/>
  <c r="Z374" i="1"/>
  <c r="Y376" i="1"/>
  <c r="Y381" i="1"/>
  <c r="BP378" i="1"/>
  <c r="BN378" i="1"/>
  <c r="Z378" i="1"/>
  <c r="Y382" i="1"/>
  <c r="BP386" i="1"/>
  <c r="BN386" i="1"/>
  <c r="Z386" i="1"/>
  <c r="BP413" i="1"/>
  <c r="BN413" i="1"/>
  <c r="Z413" i="1"/>
  <c r="BP417" i="1"/>
  <c r="BN417" i="1"/>
  <c r="Z417" i="1"/>
  <c r="Z420" i="1" s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AA551" i="1"/>
  <c r="Y535" i="1"/>
  <c r="AB551" i="1"/>
  <c r="Y539" i="1"/>
  <c r="BP538" i="1"/>
  <c r="BN538" i="1"/>
  <c r="Z538" i="1"/>
  <c r="Z539" i="1" s="1"/>
  <c r="Y540" i="1"/>
  <c r="W551" i="1"/>
  <c r="J551" i="1"/>
  <c r="Y160" i="1"/>
  <c r="K551" i="1"/>
  <c r="Y206" i="1"/>
  <c r="L551" i="1"/>
  <c r="Y211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Y288" i="1"/>
  <c r="Y298" i="1"/>
  <c r="BP291" i="1"/>
  <c r="BN291" i="1"/>
  <c r="Z291" i="1"/>
  <c r="Z298" i="1" s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Z349" i="1"/>
  <c r="BP347" i="1"/>
  <c r="BN347" i="1"/>
  <c r="Z347" i="1"/>
  <c r="BP356" i="1"/>
  <c r="BN356" i="1"/>
  <c r="Z356" i="1"/>
  <c r="Y369" i="1"/>
  <c r="BP364" i="1"/>
  <c r="BN364" i="1"/>
  <c r="Z364" i="1"/>
  <c r="Z368" i="1" s="1"/>
  <c r="BP372" i="1"/>
  <c r="BN372" i="1"/>
  <c r="Z372" i="1"/>
  <c r="BP380" i="1"/>
  <c r="BN380" i="1"/>
  <c r="Z380" i="1"/>
  <c r="Y389" i="1"/>
  <c r="BP384" i="1"/>
  <c r="BN384" i="1"/>
  <c r="Z384" i="1"/>
  <c r="Z388" i="1" s="1"/>
  <c r="Y388" i="1"/>
  <c r="Z394" i="1"/>
  <c r="BP392" i="1"/>
  <c r="BN392" i="1"/>
  <c r="Z392" i="1"/>
  <c r="Y401" i="1"/>
  <c r="BP405" i="1"/>
  <c r="BN405" i="1"/>
  <c r="Z405" i="1"/>
  <c r="Z407" i="1" s="1"/>
  <c r="BP415" i="1"/>
  <c r="BN415" i="1"/>
  <c r="Z415" i="1"/>
  <c r="O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510" i="1" l="1"/>
  <c r="Z453" i="1"/>
  <c r="Z432" i="1"/>
  <c r="Y545" i="1"/>
  <c r="Z241" i="1"/>
  <c r="Y541" i="1"/>
  <c r="Z494" i="1"/>
  <c r="Z464" i="1"/>
  <c r="Z375" i="1"/>
  <c r="Z321" i="1"/>
  <c r="Z282" i="1"/>
  <c r="Z480" i="1"/>
  <c r="Z381" i="1"/>
  <c r="Z312" i="1"/>
  <c r="Z117" i="1"/>
  <c r="Z546" i="1" s="1"/>
  <c r="Z267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<sst xmlns="http://schemas.openxmlformats.org/spreadsheetml/2006/main" count="2448" uniqueCount="889">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</sst>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topLeftCell="A524" zoomScaleNormal="100" zoomScaleSheetLayoutView="100" workbookViewId="0">
      <selection activeCell="Z547" sqref="Z547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300</v>
      </c>
      <c r="Y88" s="616">
        <f>IFERROR(IF(X88="",0,CEILING((X88/$H88),1)*$H88),"")</f>
        <v>302.40000000000003</v>
      </c>
      <c r="Z88" s="36">
        <f>IFERROR(IF(Y88=0,"",ROUNDUP(Y88/H88,0)*0.01898),"")</f>
        <v>0.53144000000000002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311.38888888888891</v>
      </c>
      <c r="BN88" s="64">
        <f>IFERROR(Y88*I88/H88,"0")</f>
        <v>313.88</v>
      </c>
      <c r="BO88" s="64">
        <f>IFERROR(1/J88*(X88/H88),"0")</f>
        <v>0.43402777777777773</v>
      </c>
      <c r="BP88" s="64">
        <f>IFERROR(1/J88*(Y88/H88),"0")</f>
        <v>0.4375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27.777777777777775</v>
      </c>
      <c r="Y92" s="617">
        <f>IFERROR(Y88/H88,"0")+IFERROR(Y89/H89,"0")+IFERROR(Y90/H90,"0")+IFERROR(Y91/H91,"0")</f>
        <v>28</v>
      </c>
      <c r="Z92" s="617">
        <f>IFERROR(IF(Z88="",0,Z88),"0")+IFERROR(IF(Z89="",0,Z89),"0")+IFERROR(IF(Z90="",0,Z90),"0")+IFERROR(IF(Z91="",0,Z91),"0")</f>
        <v>0.53144000000000002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300</v>
      </c>
      <c r="Y93" s="617">
        <f>IFERROR(SUM(Y88:Y91),"0")</f>
        <v>302.40000000000003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1400</v>
      </c>
      <c r="Y413" s="616">
        <f t="shared" si="47"/>
        <v>1410</v>
      </c>
      <c r="Z413" s="36">
        <f>IFERROR(IF(Y413=0,"",ROUNDUP(Y413/H413,0)*0.02175),"")</f>
        <v>2.0444999999999998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1443.8666666666666</v>
      </c>
      <c r="BN413" s="64">
        <f t="shared" si="49"/>
        <v>1454.18</v>
      </c>
      <c r="BO413" s="64">
        <f t="shared" si="50"/>
        <v>1.9444444444444442</v>
      </c>
      <c r="BP413" s="64">
        <f t="shared" si="51"/>
        <v>1.9583333333333333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1400</v>
      </c>
      <c r="Y415" s="616">
        <f t="shared" si="47"/>
        <v>1410</v>
      </c>
      <c r="Z415" s="36">
        <f>IFERROR(IF(Y415=0,"",ROUNDUP(Y415/H415,0)*0.02175),"")</f>
        <v>2.0444999999999998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1443.8666666666666</v>
      </c>
      <c r="BN415" s="64">
        <f t="shared" si="49"/>
        <v>1454.18</v>
      </c>
      <c r="BO415" s="64">
        <f t="shared" si="50"/>
        <v>1.9444444444444442</v>
      </c>
      <c r="BP415" s="64">
        <f t="shared" si="51"/>
        <v>1.9583333333333333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900</v>
      </c>
      <c r="Y416" s="616">
        <f t="shared" si="47"/>
        <v>900</v>
      </c>
      <c r="Z416" s="36">
        <f>IFERROR(IF(Y416=0,"",ROUNDUP(Y416/H416,0)*0.02175),"")</f>
        <v>1.3049999999999999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928.2</v>
      </c>
      <c r="BN416" s="64">
        <f t="shared" si="49"/>
        <v>928.2</v>
      </c>
      <c r="BO416" s="64">
        <f t="shared" si="50"/>
        <v>1.25</v>
      </c>
      <c r="BP416" s="64">
        <f t="shared" si="51"/>
        <v>1.25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246.66666666666666</v>
      </c>
      <c r="Y420" s="617">
        <f>IFERROR(Y412/H412,"0")+IFERROR(Y413/H413,"0")+IFERROR(Y414/H414,"0")+IFERROR(Y415/H415,"0")+IFERROR(Y416/H416,"0")+IFERROR(Y417/H417,"0")+IFERROR(Y418/H418,"0")+IFERROR(Y419/H419,"0")</f>
        <v>248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5.3939999999999992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3700</v>
      </c>
      <c r="Y421" s="617">
        <f>IFERROR(SUM(Y412:Y419),"0")</f>
        <v>3720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4000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4022.4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4127.3222222222221</v>
      </c>
      <c r="Y542" s="617">
        <f>IFERROR(SUM(BN22:BN538),"0")</f>
        <v>4150.4399999999996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6</v>
      </c>
      <c r="Y543" s="38">
        <f>ROUNDUP(SUM(BP22:BP538),0)</f>
        <v>6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4277.3222222222221</v>
      </c>
      <c r="Y544" s="617">
        <f>GrossWeightTotalR+PalletQtyTotalR*25</f>
        <v>4300.4399999999996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274.44444444444446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276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5.9254399999999992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302.40000000000003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3720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2026-07-17T13:55:43Z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