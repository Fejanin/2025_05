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2A80DB4-86E2-4186-99CC-2AADF71390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Y279" i="1" s="1"/>
  <c r="P269" i="1"/>
  <c r="BP268" i="1"/>
  <c r="BO268" i="1"/>
  <c r="BN268" i="1"/>
  <c r="BM268" i="1"/>
  <c r="Z268" i="1"/>
  <c r="Z278" i="1" s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Y249" i="1"/>
  <c r="X249" i="1"/>
  <c r="Z248" i="1"/>
  <c r="X248" i="1"/>
  <c r="BO247" i="1"/>
  <c r="BM247" i="1"/>
  <c r="Z247" i="1"/>
  <c r="Y247" i="1"/>
  <c r="P247" i="1"/>
  <c r="X243" i="1"/>
  <c r="Z242" i="1"/>
  <c r="X242" i="1"/>
  <c r="BO241" i="1"/>
  <c r="BM241" i="1"/>
  <c r="Z241" i="1"/>
  <c r="Y241" i="1"/>
  <c r="Y243" i="1" s="1"/>
  <c r="P241" i="1"/>
  <c r="Y239" i="1"/>
  <c r="X239" i="1"/>
  <c r="Z238" i="1"/>
  <c r="X238" i="1"/>
  <c r="BO237" i="1"/>
  <c r="BM237" i="1"/>
  <c r="Z237" i="1"/>
  <c r="Y237" i="1"/>
  <c r="P237" i="1"/>
  <c r="X233" i="1"/>
  <c r="Z232" i="1"/>
  <c r="X232" i="1"/>
  <c r="BO231" i="1"/>
  <c r="BM231" i="1"/>
  <c r="Z231" i="1"/>
  <c r="Y231" i="1"/>
  <c r="Y233" i="1" s="1"/>
  <c r="P231" i="1"/>
  <c r="Y227" i="1"/>
  <c r="X227" i="1"/>
  <c r="Z226" i="1"/>
  <c r="X226" i="1"/>
  <c r="BO225" i="1"/>
  <c r="BM225" i="1"/>
  <c r="Z225" i="1"/>
  <c r="Y225" i="1"/>
  <c r="P225" i="1"/>
  <c r="X222" i="1"/>
  <c r="Z221" i="1"/>
  <c r="X221" i="1"/>
  <c r="BO220" i="1"/>
  <c r="BM220" i="1"/>
  <c r="Z220" i="1"/>
  <c r="Y220" i="1"/>
  <c r="Y222" i="1" s="1"/>
  <c r="P220" i="1"/>
  <c r="Y217" i="1"/>
  <c r="X217" i="1"/>
  <c r="Z216" i="1"/>
  <c r="X216" i="1"/>
  <c r="BO215" i="1"/>
  <c r="BM215" i="1"/>
  <c r="Z215" i="1"/>
  <c r="Y215" i="1"/>
  <c r="P215" i="1"/>
  <c r="BP214" i="1"/>
  <c r="BO214" i="1"/>
  <c r="BN214" i="1"/>
  <c r="BM214" i="1"/>
  <c r="Z214" i="1"/>
  <c r="Y214" i="1"/>
  <c r="Y216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Y211" i="1" s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6" i="1" s="1"/>
  <c r="P93" i="1"/>
  <c r="X90" i="1"/>
  <c r="Z89" i="1"/>
  <c r="X89" i="1"/>
  <c r="BO88" i="1"/>
  <c r="BM88" i="1"/>
  <c r="Z88" i="1"/>
  <c r="Y88" i="1"/>
  <c r="Y89" i="1" s="1"/>
  <c r="P88" i="1"/>
  <c r="X85" i="1"/>
  <c r="X84" i="1"/>
  <c r="BO83" i="1"/>
  <c r="BM83" i="1"/>
  <c r="Z83" i="1"/>
  <c r="Y83" i="1"/>
  <c r="BP83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8" i="1"/>
  <c r="Z67" i="1"/>
  <c r="X67" i="1"/>
  <c r="BO66" i="1"/>
  <c r="BM66" i="1"/>
  <c r="Z66" i="1"/>
  <c r="Y66" i="1"/>
  <c r="Y67" i="1" s="1"/>
  <c r="P66" i="1"/>
  <c r="X64" i="1"/>
  <c r="Z63" i="1"/>
  <c r="X63" i="1"/>
  <c r="BO62" i="1"/>
  <c r="BM62" i="1"/>
  <c r="Z62" i="1"/>
  <c r="Y62" i="1"/>
  <c r="Y63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P55" i="1"/>
  <c r="BP54" i="1"/>
  <c r="BO54" i="1"/>
  <c r="BN54" i="1"/>
  <c r="BM54" i="1"/>
  <c r="Z54" i="1"/>
  <c r="Z58" i="1" s="1"/>
  <c r="Y54" i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Z50" i="1" s="1"/>
  <c r="Y47" i="1"/>
  <c r="P47" i="1"/>
  <c r="X44" i="1"/>
  <c r="Y43" i="1"/>
  <c r="X43" i="1"/>
  <c r="BP42" i="1"/>
  <c r="BO42" i="1"/>
  <c r="BN42" i="1"/>
  <c r="BM42" i="1"/>
  <c r="Z42" i="1"/>
  <c r="Y42" i="1"/>
  <c r="P42" i="1"/>
  <c r="BO41" i="1"/>
  <c r="BN41" i="1"/>
  <c r="BM41" i="1"/>
  <c r="Z41" i="1"/>
  <c r="Z43" i="1" s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6" i="1" s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1" i="1" s="1"/>
  <c r="P22" i="1"/>
  <c r="H10" i="1"/>
  <c r="A9" i="1"/>
  <c r="F10" i="1" s="1"/>
  <c r="D7" i="1"/>
  <c r="Q6" i="1"/>
  <c r="P2" i="1"/>
  <c r="H9" i="1" l="1"/>
  <c r="A10" i="1"/>
  <c r="X281" i="1"/>
  <c r="X282" i="1"/>
  <c r="BN23" i="1"/>
  <c r="BN25" i="1"/>
  <c r="BN27" i="1"/>
  <c r="BN29" i="1"/>
  <c r="Y30" i="1"/>
  <c r="X280" i="1"/>
  <c r="BN34" i="1"/>
  <c r="BP34" i="1"/>
  <c r="Y282" i="1" s="1"/>
  <c r="Y37" i="1"/>
  <c r="Y280" i="1" s="1"/>
  <c r="Y44" i="1"/>
  <c r="BP41" i="1"/>
  <c r="Y51" i="1"/>
  <c r="Y58" i="1"/>
  <c r="F9" i="1"/>
  <c r="J9" i="1"/>
  <c r="BP48" i="1"/>
  <c r="BN48" i="1"/>
  <c r="Y50" i="1"/>
  <c r="BP55" i="1"/>
  <c r="BN55" i="1"/>
  <c r="Y281" i="1" s="1"/>
  <c r="Y283" i="1" s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Z285" i="1" s="1"/>
  <c r="Y184" i="1"/>
  <c r="Y185" i="1"/>
  <c r="Y189" i="1"/>
  <c r="BP188" i="1"/>
  <c r="BN188" i="1"/>
  <c r="Z198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B293" i="1" l="1"/>
  <c r="Y284" i="1"/>
  <c r="A293" i="1" s="1"/>
  <c r="X283" i="1"/>
  <c r="C293" i="1" l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<sst xmlns="http://schemas.openxmlformats.org/spreadsheetml/2006/main" count="1292" uniqueCount="417">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</sst>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7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259.20000000000005</v>
      </c>
      <c r="Y31" s="280">
        <f>IFERROR(SUMPRODUCT(Y22:Y29*H22:H29),"0")</f>
        <v>259.20000000000005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262.8</v>
      </c>
      <c r="BN54" s="67">
        <f>IFERROR(Y54*I54,"0")</f>
        <v>262.8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36</v>
      </c>
      <c r="Y55" s="27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262.29599999999999</v>
      </c>
      <c r="BN55" s="67">
        <f>IFERROR(Y55*I55,"0")</f>
        <v>262.29599999999999</v>
      </c>
      <c r="BO55" s="67">
        <f>IFERROR(X55/J55,"0")</f>
        <v>0.42857142857142855</v>
      </c>
      <c r="BP55" s="67">
        <f>IFERROR(Y55/J55,"0")</f>
        <v>0.42857142857142855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72</v>
      </c>
      <c r="Y58" s="280">
        <f>IFERROR(SUM(Y54:Y57),"0")</f>
        <v>72</v>
      </c>
      <c r="Z58" s="280">
        <f>IFERROR(IF(Z54="",0,Z54),"0")+IFERROR(IF(Z55="",0,Z55),"0")+IFERROR(IF(Z56="",0,Z56),"0")+IFERROR(IF(Z57="",0,Z57),"0")</f>
        <v>1.1160000000000001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504</v>
      </c>
      <c r="Y59" s="280">
        <f>IFERROR(SUMPRODUCT(Y54:Y57*H54:H57),"0")</f>
        <v>504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96</v>
      </c>
      <c r="Y83" s="279">
        <f>IFERROR(IF(X83="","",X83),"")</f>
        <v>96</v>
      </c>
      <c r="Z83" s="36">
        <f>IFERROR(IF(X83="","",X83*0.00866),"")</f>
        <v>0.83135999999999988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500.46719999999993</v>
      </c>
      <c r="BN83" s="67">
        <f>IFERROR(Y83*I83,"0")</f>
        <v>500.46719999999993</v>
      </c>
      <c r="BO83" s="67">
        <f>IFERROR(X83/J83,"0")</f>
        <v>0.66666666666666663</v>
      </c>
      <c r="BP83" s="67">
        <f>IFERROR(Y83/J83,"0")</f>
        <v>0.66666666666666663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96</v>
      </c>
      <c r="Y84" s="280">
        <f>IFERROR(SUM(Y82:Y83),"0")</f>
        <v>96</v>
      </c>
      <c r="Z84" s="280">
        <f>IFERROR(IF(Z82="",0,Z82),"0")+IFERROR(IF(Z83="",0,Z83),"0")</f>
        <v>0.83135999999999988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480</v>
      </c>
      <c r="Y85" s="280">
        <f>IFERROR(SUMPRODUCT(Y82:Y83*H82:H83),"0")</f>
        <v>480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14</v>
      </c>
      <c r="Y99" s="279">
        <f t="shared" ref="Y99:Y104" si="6">IFERROR(IF(X99="","",X99),"")</f>
        <v>14</v>
      </c>
      <c r="Z99" s="36">
        <f t="shared" ref="Z99:Z104" si="7">IFERROR(IF(X99="","",X99*0.01788),"")</f>
        <v>0.25031999999999999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50.170400000000001</v>
      </c>
      <c r="BN99" s="67">
        <f t="shared" ref="BN99:BN104" si="9">IFERROR(Y99*I99,"0")</f>
        <v>50.170400000000001</v>
      </c>
      <c r="BO99" s="67">
        <f t="shared" ref="BO99:BO104" si="10">IFERROR(X99/J99,"0")</f>
        <v>0.2</v>
      </c>
      <c r="BP99" s="67">
        <f t="shared" ref="BP99:BP104" si="11">IFERROR(Y99/J99,"0")</f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42</v>
      </c>
      <c r="Y100" s="279">
        <f t="shared" si="6"/>
        <v>42</v>
      </c>
      <c r="Z100" s="36">
        <f t="shared" si="7"/>
        <v>0.75095999999999996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14</v>
      </c>
      <c r="Y101" s="279">
        <f t="shared" si="6"/>
        <v>14</v>
      </c>
      <c r="Z101" s="36">
        <f t="shared" si="7"/>
        <v>0.25031999999999999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50.170400000000001</v>
      </c>
      <c r="BN101" s="67">
        <f t="shared" si="9"/>
        <v>50.170400000000001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56</v>
      </c>
      <c r="Y102" s="279">
        <f t="shared" si="6"/>
        <v>56</v>
      </c>
      <c r="Z102" s="36">
        <f t="shared" si="7"/>
        <v>1.0012799999999999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200.6816</v>
      </c>
      <c r="BN102" s="67">
        <f t="shared" si="9"/>
        <v>200.6816</v>
      </c>
      <c r="BO102" s="67">
        <f t="shared" si="10"/>
        <v>0.8</v>
      </c>
      <c r="BP102" s="67">
        <f t="shared" si="11"/>
        <v>0.8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140</v>
      </c>
      <c r="Y105" s="280">
        <f>IFERROR(SUM(Y99:Y104),"0")</f>
        <v>140</v>
      </c>
      <c r="Z105" s="280">
        <f>IFERROR(IF(Z99="",0,Z99),"0")+IFERROR(IF(Z100="",0,Z100),"0")+IFERROR(IF(Z101="",0,Z101),"0")+IFERROR(IF(Z102="",0,Z102),"0")+IFERROR(IF(Z103="",0,Z103),"0")+IFERROR(IF(Z104="",0,Z104),"0")</f>
        <v>2.5031999999999996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416.64</v>
      </c>
      <c r="Y106" s="280">
        <f>IFERROR(SUMPRODUCT(Y99:Y104*H99:H104),"0")</f>
        <v>416.64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56</v>
      </c>
      <c r="Y110" s="279">
        <f>IFERROR(IF(X110="","",X110),"")</f>
        <v>56</v>
      </c>
      <c r="Z110" s="36">
        <f>IFERROR(IF(X110="","",X110*0.01788),"")</f>
        <v>1.0012799999999999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237.66399999999999</v>
      </c>
      <c r="BN110" s="67">
        <f>IFERROR(Y110*I110,"0")</f>
        <v>237.66399999999999</v>
      </c>
      <c r="BO110" s="67">
        <f>IFERROR(X110/J110,"0")</f>
        <v>0.8</v>
      </c>
      <c r="BP110" s="67">
        <f>IFERROR(Y110/J110,"0")</f>
        <v>0.8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56</v>
      </c>
      <c r="Y111" s="280">
        <f>IFERROR(SUM(Y109:Y110),"0")</f>
        <v>56</v>
      </c>
      <c r="Z111" s="280">
        <f>IFERROR(IF(Z109="",0,Z109),"0")+IFERROR(IF(Z110="",0,Z110),"0")</f>
        <v>1.0012799999999999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201.6</v>
      </c>
      <c r="Y112" s="280">
        <f>IFERROR(SUMPRODUCT(Y109:Y110*H109:H110),"0")</f>
        <v>201.6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24</v>
      </c>
      <c r="Y115" s="279">
        <f t="shared" ref="Y115:Y121" si="12">IFERROR(IF(X115="","",X115),"")</f>
        <v>24</v>
      </c>
      <c r="Z115" s="36">
        <f t="shared" ref="Z115:Z121" si="13">IFERROR(IF(X115="","",X115*0.0155),"")</f>
        <v>0.372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174.72</v>
      </c>
      <c r="BN115" s="67">
        <f t="shared" ref="BN115:BN121" si="15">IFERROR(Y115*I115,"0")</f>
        <v>174.72</v>
      </c>
      <c r="BO115" s="67">
        <f t="shared" ref="BO115:BO121" si="16">IFERROR(X115/J115,"0")</f>
        <v>0.2857142857142857</v>
      </c>
      <c r="BP115" s="67">
        <f t="shared" ref="BP115:BP121" si="17">IFERROR(Y115/J115,"0")</f>
        <v>0.2857142857142857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12</v>
      </c>
      <c r="Y117" s="279">
        <f t="shared" si="12"/>
        <v>12</v>
      </c>
      <c r="Z117" s="36">
        <f t="shared" si="13"/>
        <v>0.186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80.635199999999998</v>
      </c>
      <c r="BN117" s="67">
        <f t="shared" si="15"/>
        <v>80.635199999999998</v>
      </c>
      <c r="BO117" s="67">
        <f t="shared" si="16"/>
        <v>0.14285714285714285</v>
      </c>
      <c r="BP117" s="67">
        <f t="shared" si="17"/>
        <v>0.14285714285714285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60</v>
      </c>
      <c r="Y118" s="279">
        <f t="shared" si="12"/>
        <v>60</v>
      </c>
      <c r="Z118" s="36">
        <f t="shared" si="13"/>
        <v>0.92999999999999994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438</v>
      </c>
      <c r="BN118" s="67">
        <f t="shared" si="15"/>
        <v>438</v>
      </c>
      <c r="BO118" s="67">
        <f t="shared" si="16"/>
        <v>0.7142857142857143</v>
      </c>
      <c r="BP118" s="67">
        <f t="shared" si="17"/>
        <v>0.7142857142857143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60</v>
      </c>
      <c r="Y120" s="279">
        <f t="shared" si="12"/>
        <v>60</v>
      </c>
      <c r="Z120" s="36">
        <f t="shared" si="13"/>
        <v>0.92999999999999994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403.17599999999999</v>
      </c>
      <c r="BN120" s="67">
        <f t="shared" si="15"/>
        <v>403.17599999999999</v>
      </c>
      <c r="BO120" s="67">
        <f t="shared" si="16"/>
        <v>0.7142857142857143</v>
      </c>
      <c r="BP120" s="67">
        <f t="shared" si="17"/>
        <v>0.7142857142857143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108</v>
      </c>
      <c r="Y121" s="279">
        <f t="shared" si="12"/>
        <v>108</v>
      </c>
      <c r="Z121" s="36">
        <f t="shared" si="13"/>
        <v>1.6739999999999999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788.4</v>
      </c>
      <c r="BN121" s="67">
        <f t="shared" si="15"/>
        <v>788.4</v>
      </c>
      <c r="BO121" s="67">
        <f t="shared" si="16"/>
        <v>1.2857142857142858</v>
      </c>
      <c r="BP121" s="67">
        <f t="shared" si="17"/>
        <v>1.2857142857142858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264</v>
      </c>
      <c r="Y122" s="280">
        <f>IFERROR(SUM(Y115:Y121),"0")</f>
        <v>264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4.0920000000000005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1804.8</v>
      </c>
      <c r="Y123" s="280">
        <f>IFERROR(SUMPRODUCT(Y115:Y121*H115:H121),"0")</f>
        <v>1804.8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0</v>
      </c>
      <c r="Y138" s="280">
        <f>IFERROR(SUM(Y134:Y137),"0")</f>
        <v>0</v>
      </c>
      <c r="Z138" s="280">
        <f>IFERROR(IF(Z134="",0,Z134),"0")+IFERROR(IF(Z135="",0,Z135),"0")+IFERROR(IF(Z136="",0,Z136),"0")+IFERROR(IF(Z137="",0,Z137),"0")</f>
        <v>0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0</v>
      </c>
      <c r="Y139" s="280">
        <f>IFERROR(SUMPRODUCT(Y134:Y137*H134:H137),"0")</f>
        <v>0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70</v>
      </c>
      <c r="Y148" s="279">
        <f>IFERROR(IF(X148="","",X148),"")</f>
        <v>70</v>
      </c>
      <c r="Z148" s="36">
        <f>IFERROR(IF(X148="","",X148*0.01788),"")</f>
        <v>1.2516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259.25200000000001</v>
      </c>
      <c r="BN148" s="67">
        <f>IFERROR(Y148*I148,"0")</f>
        <v>259.25200000000001</v>
      </c>
      <c r="BO148" s="67">
        <f>IFERROR(X148/J148,"0")</f>
        <v>1</v>
      </c>
      <c r="BP148" s="67">
        <f>IFERROR(Y148/J148,"0")</f>
        <v>1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70</v>
      </c>
      <c r="Y149" s="279">
        <f>IFERROR(IF(X149="","",X149),"")</f>
        <v>70</v>
      </c>
      <c r="Z149" s="36">
        <f>IFERROR(IF(X149="","",X149*0.01788),"")</f>
        <v>1.2516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259.25200000000001</v>
      </c>
      <c r="BN149" s="67">
        <f>IFERROR(Y149*I149,"0")</f>
        <v>259.25200000000001</v>
      </c>
      <c r="BO149" s="67">
        <f>IFERROR(X149/J149,"0")</f>
        <v>1</v>
      </c>
      <c r="BP149" s="67">
        <f>IFERROR(Y149/J149,"0")</f>
        <v>1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140</v>
      </c>
      <c r="Y150" s="280">
        <f>IFERROR(SUM(Y148:Y149),"0")</f>
        <v>140</v>
      </c>
      <c r="Z150" s="280">
        <f>IFERROR(IF(Z148="",0,Z148),"0")+IFERROR(IF(Z149="",0,Z149),"0")</f>
        <v>2.5032000000000001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420</v>
      </c>
      <c r="Y151" s="280">
        <f>IFERROR(SUMPRODUCT(Y148:Y149*H148:H149),"0")</f>
        <v>420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14</v>
      </c>
      <c r="Y155" s="279">
        <f>IFERROR(IF(X155="","",X155),"")</f>
        <v>14</v>
      </c>
      <c r="Z155" s="36">
        <f>IFERROR(IF(X155="","",X155*0.01788),"")</f>
        <v>0.25031999999999999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51.850399999999993</v>
      </c>
      <c r="BN155" s="67">
        <f>IFERROR(Y155*I155,"0")</f>
        <v>51.850399999999993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14</v>
      </c>
      <c r="Y156" s="280">
        <f>IFERROR(SUM(Y154:Y155),"0")</f>
        <v>14</v>
      </c>
      <c r="Z156" s="280">
        <f>IFERROR(IF(Z154="",0,Z154),"0")+IFERROR(IF(Z155="",0,Z155),"0")</f>
        <v>0.25031999999999999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42</v>
      </c>
      <c r="Y157" s="280">
        <f>IFERROR(SUMPRODUCT(Y154:Y155*H154:H155),"0")</f>
        <v>42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0</v>
      </c>
      <c r="Y161" s="279">
        <f>IFERROR(IF(X161="","",X161),"")</f>
        <v>0</v>
      </c>
      <c r="Z161" s="36">
        <f>IFERROR(IF(X161="","",X161*0.01788),"")</f>
        <v>0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0</v>
      </c>
      <c r="Y162" s="280">
        <f>IFERROR(SUM(Y160:Y161),"0")</f>
        <v>0</v>
      </c>
      <c r="Z162" s="280">
        <f>IFERROR(IF(Z160="",0,Z160),"0")+IFERROR(IF(Z161="",0,Z161),"0")</f>
        <v>0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0</v>
      </c>
      <c r="Y163" s="280">
        <f>IFERROR(SUMPRODUCT(Y160:Y161*H160:H161),"0")</f>
        <v>0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0</v>
      </c>
      <c r="Y176" s="279">
        <f>IFERROR(IF(X176="","",X176),"")</f>
        <v>0</v>
      </c>
      <c r="Z176" s="36">
        <f>IFERROR(IF(X176="","",X176*0.00941),"")</f>
        <v>0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0</v>
      </c>
      <c r="Y177" s="280">
        <f>IFERROR(SUM(Y176:Y176),"0")</f>
        <v>0</v>
      </c>
      <c r="Z177" s="280">
        <f>IFERROR(IF(Z176="",0,Z176),"0")</f>
        <v>0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0</v>
      </c>
      <c r="Y178" s="280">
        <f>IFERROR(SUMPRODUCT(Y176:Y176*H176:H176),"0")</f>
        <v>0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0</v>
      </c>
      <c r="Y194" s="279">
        <f>IFERROR(IF(X194="","",X194),"")</f>
        <v>0</v>
      </c>
      <c r="Z194" s="36">
        <f>IFERROR(IF(X194="","",X194*0.01788),"")</f>
        <v>0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56</v>
      </c>
      <c r="Y195" s="279">
        <f>IFERROR(IF(X195="","",X195),"")</f>
        <v>56</v>
      </c>
      <c r="Z195" s="36">
        <f>IFERROR(IF(X195="","",X195*0.01788),"")</f>
        <v>1.0012799999999999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189.72800000000001</v>
      </c>
      <c r="BN195" s="67">
        <f>IFERROR(Y195*I195,"0")</f>
        <v>189.72800000000001</v>
      </c>
      <c r="BO195" s="67">
        <f>IFERROR(X195/J195,"0")</f>
        <v>0.8</v>
      </c>
      <c r="BP195" s="67">
        <f>IFERROR(Y195/J195,"0")</f>
        <v>0.8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42</v>
      </c>
      <c r="Y196" s="279">
        <f>IFERROR(IF(X196="","",X196),"")</f>
        <v>42</v>
      </c>
      <c r="Z196" s="36">
        <f>IFERROR(IF(X196="","",X196*0.01788),"")</f>
        <v>0.75095999999999996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156.91200000000001</v>
      </c>
      <c r="BN196" s="67">
        <f>IFERROR(Y196*I196,"0")</f>
        <v>156.91200000000001</v>
      </c>
      <c r="BO196" s="67">
        <f>IFERROR(X196/J196,"0")</f>
        <v>0.6</v>
      </c>
      <c r="BP196" s="67">
        <f>IFERROR(Y196/J196,"0")</f>
        <v>0.6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98</v>
      </c>
      <c r="Y198" s="280">
        <f>IFERROR(SUM(Y194:Y197),"0")</f>
        <v>98</v>
      </c>
      <c r="Z198" s="280">
        <f>IFERROR(IF(Z194="",0,Z194),"0")+IFERROR(IF(Z195="",0,Z195),"0")+IFERROR(IF(Z196="",0,Z196),"0")+IFERROR(IF(Z197="",0,Z197),"0")</f>
        <v>1.75224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294</v>
      </c>
      <c r="Y199" s="280">
        <f>IFERROR(SUMPRODUCT(Y194:Y197*H194:H197),"0")</f>
        <v>294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60</v>
      </c>
      <c r="Y220" s="279">
        <f>IFERROR(IF(X220="","",X220),"")</f>
        <v>60</v>
      </c>
      <c r="Z220" s="36">
        <f>IFERROR(IF(X220="","",X220*0.0155),"")</f>
        <v>0.92999999999999994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313.8</v>
      </c>
      <c r="BN220" s="67">
        <f>IFERROR(Y220*I220,"0")</f>
        <v>313.8</v>
      </c>
      <c r="BO220" s="67">
        <f>IFERROR(X220/J220,"0")</f>
        <v>0.7142857142857143</v>
      </c>
      <c r="BP220" s="67">
        <f>IFERROR(Y220/J220,"0")</f>
        <v>0.7142857142857143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60</v>
      </c>
      <c r="Y221" s="280">
        <f>IFERROR(SUM(Y220:Y220),"0")</f>
        <v>60</v>
      </c>
      <c r="Z221" s="280">
        <f>IFERROR(IF(Z220="",0,Z220),"0")</f>
        <v>0.92999999999999994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300</v>
      </c>
      <c r="Y222" s="280">
        <f>IFERROR(SUMPRODUCT(Y220:Y220*H220:H220),"0")</f>
        <v>300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24</v>
      </c>
      <c r="Y258" s="279">
        <f>IFERROR(IF(X258="","",X258),"")</f>
        <v>24</v>
      </c>
      <c r="Z258" s="36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108</v>
      </c>
      <c r="Y263" s="279">
        <f>IFERROR(IF(X263="","",X263),"")</f>
        <v>108</v>
      </c>
      <c r="Z263" s="36">
        <f>IFERROR(IF(X263="","",X263*0.0155),"")</f>
        <v>1.6739999999999999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565.38</v>
      </c>
      <c r="BN263" s="67">
        <f>IFERROR(Y263*I263,"0")</f>
        <v>565.38</v>
      </c>
      <c r="BO263" s="67">
        <f>IFERROR(X263/J263,"0")</f>
        <v>1.2857142857142858</v>
      </c>
      <c r="BP263" s="67">
        <f>IFERROR(Y263/J263,"0")</f>
        <v>1.2857142857142858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108</v>
      </c>
      <c r="Y265" s="280">
        <f>IFERROR(SUM(Y262:Y264),"0")</f>
        <v>108</v>
      </c>
      <c r="Z265" s="280">
        <f>IFERROR(IF(Z262="",0,Z262),"0")+IFERROR(IF(Z263="",0,Z263),"0")+IFERROR(IF(Z264="",0,Z264),"0")</f>
        <v>1.6739999999999999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540</v>
      </c>
      <c r="Y266" s="280">
        <f>IFERROR(SUMPRODUCT(Y262:Y264*H262:H264),"0")</f>
        <v>540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24</v>
      </c>
      <c r="Y269" s="279">
        <f t="shared" si="18"/>
        <v>24</v>
      </c>
      <c r="Z269" s="36">
        <f>IFERROR(IF(X269="","",X269*0.0155),"")</f>
        <v>0.372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125.52000000000001</v>
      </c>
      <c r="BN269" s="67">
        <f t="shared" si="20"/>
        <v>125.52000000000001</v>
      </c>
      <c r="BO269" s="67">
        <f t="shared" si="21"/>
        <v>0.2857142857142857</v>
      </c>
      <c r="BP269" s="67">
        <f t="shared" si="22"/>
        <v>0.2857142857142857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14</v>
      </c>
      <c r="Y271" s="279">
        <f t="shared" si="18"/>
        <v>14</v>
      </c>
      <c r="Z271" s="36">
        <f t="shared" ref="Z271:Z276" si="23">IFERROR(IF(X271="","",X271*0.00936),"")</f>
        <v>0.13103999999999999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44.688000000000002</v>
      </c>
      <c r="BN271" s="67">
        <f t="shared" si="20"/>
        <v>44.688000000000002</v>
      </c>
      <c r="BO271" s="67">
        <f t="shared" si="21"/>
        <v>0.1111111111111111</v>
      </c>
      <c r="BP271" s="67">
        <f t="shared" si="22"/>
        <v>0.1111111111111111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38</v>
      </c>
      <c r="Y278" s="280">
        <f>IFERROR(SUM(Y268:Y277),"0")</f>
        <v>38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0.50303999999999993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162</v>
      </c>
      <c r="Y279" s="280">
        <f>IFERROR(SUMPRODUCT(Y268:Y277*H268:H277),"0")</f>
        <v>162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5568.24</v>
      </c>
      <c r="Y280" s="280">
        <f>IFERROR(Y31+Y37+Y44+Y51+Y59+Y64+Y68+Y73+Y79+Y85+Y90+Y96+Y106+Y112+Y123+Y127+Y131+Y139+Y145+Y151+Y157+Y163+Y168+Y173+Y178+Y185+Y190+Y199+Y205+Y211+Y217+Y222+Y227+Y233+Y239+Y243+Y249+Y256+Y260+Y266+Y279,"0")</f>
        <v>5568.24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6047.5176000000019</v>
      </c>
      <c r="Y281" s="280">
        <f>IFERROR(SUM(BN22:BN277),"0")</f>
        <v>6047.5176000000019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15</v>
      </c>
      <c r="Y282" s="38">
        <f>ROUNDUP(SUM(BP22:BP277),0)</f>
        <v>15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6422.5176000000019</v>
      </c>
      <c r="Y283" s="280">
        <f>GrossWeightTotalR+PalletQtyTotalR*25</f>
        <v>6422.5176000000019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1146</v>
      </c>
      <c r="Y284" s="280">
        <f>IFERROR(Y30+Y36+Y43+Y50+Y58+Y63+Y67+Y72+Y78+Y84+Y89+Y95+Y105+Y111+Y122+Y126+Y130+Y138+Y144+Y150+Y156+Y162+Y167+Y172+Y177+Y184+Y189+Y198+Y204+Y210+Y216+Y221+Y226+Y232+Y238+Y242+Y248+Y255+Y259+Y265+Y278,"0")</f>
        <v>1146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18.086639999999999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259.20000000000005</v>
      </c>
      <c r="C290" s="46">
        <f>IFERROR(X34*H34,"0")+IFERROR(X35*H35,"0")</f>
        <v>0</v>
      </c>
      <c r="D290" s="46">
        <f>IFERROR(X41*H41,"0")+IFERROR(X42*H42,"0")</f>
        <v>0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504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480</v>
      </c>
      <c r="I290" s="46">
        <f>IFERROR(X88*H88,"0")</f>
        <v>0</v>
      </c>
      <c r="J290" s="46">
        <f>IFERROR(X93*H93,"0")+IFERROR(X94*H94,"0")</f>
        <v>0</v>
      </c>
      <c r="K290" s="46">
        <f>IFERROR(X99*H99,"0")+IFERROR(X100*H100,"0")+IFERROR(X101*H101,"0")+IFERROR(X102*H102,"0")+IFERROR(X103*H103,"0")+IFERROR(X104*H104,"0")</f>
        <v>416.64</v>
      </c>
      <c r="L290" s="46">
        <f>IFERROR(X109*H109,"0")+IFERROR(X110*H110,"0")</f>
        <v>201.6</v>
      </c>
      <c r="M290" s="46">
        <f>IFERROR(X115*H115,"0")+IFERROR(X116*H116,"0")+IFERROR(X117*H117,"0")+IFERROR(X118*H118,"0")+IFERROR(X119*H119,"0")+IFERROR(X120*H120,"0")+IFERROR(X121*H121,"0")+IFERROR(X125*H125,"0")+IFERROR(X129*H129,"0")</f>
        <v>1804.8</v>
      </c>
      <c r="N290" s="276"/>
      <c r="O290" s="46">
        <f>IFERROR(X134*H134,"0")+IFERROR(X135*H135,"0")+IFERROR(X136*H136,"0")+IFERROR(X137*H137,"0")+IFERROR(X141*H141,"0")+IFERROR(X142*H142,"0")+IFERROR(X143*H143,"0")</f>
        <v>0</v>
      </c>
      <c r="P290" s="46">
        <f>IFERROR(X148*H148,"0")+IFERROR(X149*H149,"0")</f>
        <v>420</v>
      </c>
      <c r="Q290" s="46">
        <f>IFERROR(X154*H154,"0")+IFERROR(X155*H155,"0")</f>
        <v>42</v>
      </c>
      <c r="R290" s="46">
        <f>IFERROR(X160*H160,"0")+IFERROR(X161*H161,"0")</f>
        <v>0</v>
      </c>
      <c r="S290" s="46">
        <f>IFERROR(X166*H166,"0")</f>
        <v>0</v>
      </c>
      <c r="T290" s="46">
        <f>IFERROR(X171*H171,"0")</f>
        <v>0</v>
      </c>
      <c r="U290" s="46">
        <f>IFERROR(X176*H176,"0")</f>
        <v>0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294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300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846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3348</v>
      </c>
      <c r="B293" s="60">
        <f>SUMPRODUCT(--(BB:BB="ПГП"),--(W:W="кор"),H:H,Y:Y)+SUMPRODUCT(--(BB:BB="ПГП"),--(W:W="кг"),Y:Y)</f>
        <v>2220.2399999999998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