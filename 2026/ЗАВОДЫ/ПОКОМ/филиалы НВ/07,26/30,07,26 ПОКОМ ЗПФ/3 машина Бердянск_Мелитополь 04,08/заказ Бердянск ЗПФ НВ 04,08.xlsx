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DA5208BC-D18A-4B5D-AACD-28F382A92F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Y279" i="1" s="1"/>
  <c r="P269" i="1"/>
  <c r="BP268" i="1"/>
  <c r="BO268" i="1"/>
  <c r="BN268" i="1"/>
  <c r="BM268" i="1"/>
  <c r="Z268" i="1"/>
  <c r="Z278" i="1" s="1"/>
  <c r="Y268" i="1"/>
  <c r="Y278" i="1" s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Z265" i="1" s="1"/>
  <c r="Y262" i="1"/>
  <c r="Y266" i="1" s="1"/>
  <c r="P262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X249" i="1"/>
  <c r="Z248" i="1"/>
  <c r="X248" i="1"/>
  <c r="BO247" i="1"/>
  <c r="BM247" i="1"/>
  <c r="Z247" i="1"/>
  <c r="Y247" i="1"/>
  <c r="P247" i="1"/>
  <c r="X243" i="1"/>
  <c r="Z242" i="1"/>
  <c r="X242" i="1"/>
  <c r="BO241" i="1"/>
  <c r="BM241" i="1"/>
  <c r="Z241" i="1"/>
  <c r="Y241" i="1"/>
  <c r="Y243" i="1" s="1"/>
  <c r="P241" i="1"/>
  <c r="X239" i="1"/>
  <c r="Z238" i="1"/>
  <c r="X238" i="1"/>
  <c r="BO237" i="1"/>
  <c r="BM237" i="1"/>
  <c r="Z237" i="1"/>
  <c r="Y237" i="1"/>
  <c r="P237" i="1"/>
  <c r="X233" i="1"/>
  <c r="Z232" i="1"/>
  <c r="X232" i="1"/>
  <c r="BO231" i="1"/>
  <c r="BM231" i="1"/>
  <c r="Z231" i="1"/>
  <c r="Y231" i="1"/>
  <c r="Y233" i="1" s="1"/>
  <c r="P231" i="1"/>
  <c r="X227" i="1"/>
  <c r="Z226" i="1"/>
  <c r="X226" i="1"/>
  <c r="BO225" i="1"/>
  <c r="BM225" i="1"/>
  <c r="Z225" i="1"/>
  <c r="Y225" i="1"/>
  <c r="P225" i="1"/>
  <c r="X222" i="1"/>
  <c r="Z221" i="1"/>
  <c r="X221" i="1"/>
  <c r="BO220" i="1"/>
  <c r="BM220" i="1"/>
  <c r="Z220" i="1"/>
  <c r="Y220" i="1"/>
  <c r="Y222" i="1" s="1"/>
  <c r="P220" i="1"/>
  <c r="Y217" i="1"/>
  <c r="X217" i="1"/>
  <c r="Z216" i="1"/>
  <c r="X216" i="1"/>
  <c r="BO215" i="1"/>
  <c r="BM215" i="1"/>
  <c r="Z215" i="1"/>
  <c r="Y215" i="1"/>
  <c r="P215" i="1"/>
  <c r="BP214" i="1"/>
  <c r="BO214" i="1"/>
  <c r="BN214" i="1"/>
  <c r="BM214" i="1"/>
  <c r="Z214" i="1"/>
  <c r="Y214" i="1"/>
  <c r="Y216" i="1" s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BP207" i="1"/>
  <c r="BO207" i="1"/>
  <c r="BN207" i="1"/>
  <c r="BM207" i="1"/>
  <c r="Z207" i="1"/>
  <c r="Z210" i="1" s="1"/>
  <c r="Y207" i="1"/>
  <c r="P207" i="1"/>
  <c r="X205" i="1"/>
  <c r="Y204" i="1"/>
  <c r="X204" i="1"/>
  <c r="BP203" i="1"/>
  <c r="BO203" i="1"/>
  <c r="BN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0" i="1"/>
  <c r="X190" i="1"/>
  <c r="Z189" i="1"/>
  <c r="X189" i="1"/>
  <c r="BO188" i="1"/>
  <c r="BM188" i="1"/>
  <c r="Z188" i="1"/>
  <c r="Y188" i="1"/>
  <c r="P188" i="1"/>
  <c r="X185" i="1"/>
  <c r="X184" i="1"/>
  <c r="BO183" i="1"/>
  <c r="BM183" i="1"/>
  <c r="Z183" i="1"/>
  <c r="Y183" i="1"/>
  <c r="P183" i="1"/>
  <c r="BP182" i="1"/>
  <c r="BO182" i="1"/>
  <c r="BN182" i="1"/>
  <c r="BM182" i="1"/>
  <c r="Z182" i="1"/>
  <c r="Z184" i="1" s="1"/>
  <c r="Y182" i="1"/>
  <c r="P182" i="1"/>
  <c r="X178" i="1"/>
  <c r="Y177" i="1"/>
  <c r="X177" i="1"/>
  <c r="BP176" i="1"/>
  <c r="BO176" i="1"/>
  <c r="BN176" i="1"/>
  <c r="BM176" i="1"/>
  <c r="Z176" i="1"/>
  <c r="Z177" i="1" s="1"/>
  <c r="Y176" i="1"/>
  <c r="Y178" i="1" s="1"/>
  <c r="P176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BP154" i="1"/>
  <c r="BO154" i="1"/>
  <c r="BN154" i="1"/>
  <c r="BM154" i="1"/>
  <c r="Z154" i="1"/>
  <c r="Y154" i="1"/>
  <c r="Y156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8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P109" i="1"/>
  <c r="X106" i="1"/>
  <c r="X105" i="1"/>
  <c r="BO104" i="1"/>
  <c r="BM104" i="1"/>
  <c r="Z104" i="1"/>
  <c r="Y104" i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P100" i="1"/>
  <c r="BP99" i="1"/>
  <c r="BO99" i="1"/>
  <c r="BN99" i="1"/>
  <c r="BM99" i="1"/>
  <c r="Z99" i="1"/>
  <c r="Z105" i="1" s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Y93" i="1"/>
  <c r="P93" i="1"/>
  <c r="Y90" i="1"/>
  <c r="X90" i="1"/>
  <c r="Z89" i="1"/>
  <c r="X89" i="1"/>
  <c r="BO88" i="1"/>
  <c r="BM88" i="1"/>
  <c r="Z88" i="1"/>
  <c r="Y88" i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P76" i="1"/>
  <c r="BP75" i="1"/>
  <c r="BO75" i="1"/>
  <c r="BN75" i="1"/>
  <c r="BM75" i="1"/>
  <c r="Z75" i="1"/>
  <c r="Z78" i="1" s="1"/>
  <c r="Y75" i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Y70" i="1"/>
  <c r="P70" i="1"/>
  <c r="Y68" i="1"/>
  <c r="X68" i="1"/>
  <c r="Z67" i="1"/>
  <c r="X67" i="1"/>
  <c r="BO66" i="1"/>
  <c r="BM66" i="1"/>
  <c r="Z66" i="1"/>
  <c r="Y66" i="1"/>
  <c r="P66" i="1"/>
  <c r="X64" i="1"/>
  <c r="Z63" i="1"/>
  <c r="X63" i="1"/>
  <c r="BO62" i="1"/>
  <c r="BM62" i="1"/>
  <c r="Z62" i="1"/>
  <c r="Y62" i="1"/>
  <c r="P62" i="1"/>
  <c r="Y59" i="1"/>
  <c r="X59" i="1"/>
  <c r="Z58" i="1"/>
  <c r="X58" i="1"/>
  <c r="BO57" i="1"/>
  <c r="BM57" i="1"/>
  <c r="Z57" i="1"/>
  <c r="Y57" i="1"/>
  <c r="P57" i="1"/>
  <c r="BP56" i="1"/>
  <c r="BO56" i="1"/>
  <c r="BN56" i="1"/>
  <c r="BM56" i="1"/>
  <c r="Z56" i="1"/>
  <c r="Y56" i="1"/>
  <c r="P56" i="1"/>
  <c r="BO55" i="1"/>
  <c r="BM55" i="1"/>
  <c r="Z55" i="1"/>
  <c r="Y55" i="1"/>
  <c r="P55" i="1"/>
  <c r="BP54" i="1"/>
  <c r="BO54" i="1"/>
  <c r="BN54" i="1"/>
  <c r="BM54" i="1"/>
  <c r="Z54" i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Z50" i="1" s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4" i="1" s="1"/>
  <c r="P41" i="1"/>
  <c r="X37" i="1"/>
  <c r="X36" i="1"/>
  <c r="BO35" i="1"/>
  <c r="BM35" i="1"/>
  <c r="Z35" i="1"/>
  <c r="Y35" i="1"/>
  <c r="BP35" i="1" s="1"/>
  <c r="P35" i="1"/>
  <c r="BP34" i="1"/>
  <c r="BO34" i="1"/>
  <c r="BN34" i="1"/>
  <c r="BM34" i="1"/>
  <c r="Z34" i="1"/>
  <c r="Z36" i="1" s="1"/>
  <c r="Y34" i="1"/>
  <c r="Y36" i="1" s="1"/>
  <c r="P34" i="1"/>
  <c r="X31" i="1"/>
  <c r="X280" i="1" s="1"/>
  <c r="X30" i="1"/>
  <c r="X284" i="1" s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2" i="1" s="1"/>
  <c r="BM22" i="1"/>
  <c r="X281" i="1" s="1"/>
  <c r="X283" i="1" s="1"/>
  <c r="Z22" i="1"/>
  <c r="Z30" i="1" s="1"/>
  <c r="Y22" i="1"/>
  <c r="Y31" i="1" s="1"/>
  <c r="P22" i="1"/>
  <c r="H10" i="1"/>
  <c r="A9" i="1"/>
  <c r="F10" i="1" s="1"/>
  <c r="D7" i="1"/>
  <c r="Q6" i="1"/>
  <c r="P2" i="1"/>
  <c r="Y30" i="1" l="1"/>
  <c r="Y37" i="1"/>
  <c r="Y280" i="1" s="1"/>
  <c r="Y43" i="1"/>
  <c r="Y63" i="1"/>
  <c r="BP62" i="1"/>
  <c r="BN62" i="1"/>
  <c r="Y73" i="1"/>
  <c r="BP70" i="1"/>
  <c r="BN70" i="1"/>
  <c r="Y72" i="1"/>
  <c r="BP76" i="1"/>
  <c r="BN76" i="1"/>
  <c r="Y78" i="1"/>
  <c r="BP83" i="1"/>
  <c r="BN83" i="1"/>
  <c r="Y96" i="1"/>
  <c r="BP93" i="1"/>
  <c r="BN93" i="1"/>
  <c r="Y95" i="1"/>
  <c r="BP100" i="1"/>
  <c r="BN100" i="1"/>
  <c r="BP102" i="1"/>
  <c r="BN102" i="1"/>
  <c r="BP104" i="1"/>
  <c r="BN104" i="1"/>
  <c r="H9" i="1"/>
  <c r="A10" i="1"/>
  <c r="F9" i="1"/>
  <c r="J9" i="1"/>
  <c r="BN22" i="1"/>
  <c r="BP22" i="1"/>
  <c r="BN24" i="1"/>
  <c r="BN26" i="1"/>
  <c r="BN28" i="1"/>
  <c r="BN35" i="1"/>
  <c r="BN41" i="1"/>
  <c r="BP41" i="1"/>
  <c r="Y51" i="1"/>
  <c r="BN48" i="1"/>
  <c r="Y50" i="1"/>
  <c r="BP55" i="1"/>
  <c r="BN55" i="1"/>
  <c r="BP57" i="1"/>
  <c r="BN57" i="1"/>
  <c r="Y64" i="1"/>
  <c r="Y67" i="1"/>
  <c r="BP66" i="1"/>
  <c r="BN66" i="1"/>
  <c r="Z72" i="1"/>
  <c r="Z285" i="1" s="1"/>
  <c r="Y79" i="1"/>
  <c r="Y84" i="1"/>
  <c r="Y85" i="1"/>
  <c r="Y89" i="1"/>
  <c r="BP88" i="1"/>
  <c r="BN88" i="1"/>
  <c r="Z95" i="1"/>
  <c r="Y105" i="1"/>
  <c r="Y106" i="1"/>
  <c r="Y112" i="1"/>
  <c r="BP109" i="1"/>
  <c r="BN109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Z255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5" i="1"/>
  <c r="Y189" i="1"/>
  <c r="BP188" i="1"/>
  <c r="BN188" i="1"/>
  <c r="Z198" i="1"/>
  <c r="Y211" i="1"/>
  <c r="Y221" i="1"/>
  <c r="BP220" i="1"/>
  <c r="BN220" i="1"/>
  <c r="Y227" i="1"/>
  <c r="Y232" i="1"/>
  <c r="BP231" i="1"/>
  <c r="BN231" i="1"/>
  <c r="Y239" i="1"/>
  <c r="Y242" i="1"/>
  <c r="BP241" i="1"/>
  <c r="BN241" i="1"/>
  <c r="Y249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Y281" i="1" l="1"/>
  <c r="Y282" i="1"/>
  <c r="Y284" i="1"/>
  <c r="Y283" i="1" l="1"/>
  <c r="C293" i="1" s="1"/>
  <c r="B293" i="1"/>
  <c r="A293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<sst xmlns="http://schemas.openxmlformats.org/spreadsheetml/2006/main" count="1292" uniqueCount="417">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</sst>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7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302"/>
      <c r="F1" s="302"/>
      <c r="G1" s="12" t="s">
        <v>1</v>
      </c>
      <c r="H1" s="329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9" t="s">
        <v>8</v>
      </c>
      <c r="B5" s="331"/>
      <c r="C5" s="332"/>
      <c r="D5" s="337"/>
      <c r="E5" s="338"/>
      <c r="F5" s="450" t="s">
        <v>9</v>
      </c>
      <c r="G5" s="332"/>
      <c r="H5" s="337"/>
      <c r="I5" s="417"/>
      <c r="J5" s="417"/>
      <c r="K5" s="417"/>
      <c r="L5" s="417"/>
      <c r="M5" s="338"/>
      <c r="N5" s="61"/>
      <c r="P5" s="24" t="s">
        <v>10</v>
      </c>
      <c r="Q5" s="459">
        <v>46230</v>
      </c>
      <c r="R5" s="358"/>
      <c r="T5" s="383" t="s">
        <v>11</v>
      </c>
      <c r="U5" s="384"/>
      <c r="V5" s="386" t="s">
        <v>12</v>
      </c>
      <c r="W5" s="358"/>
      <c r="AB5" s="51"/>
      <c r="AC5" s="51"/>
      <c r="AD5" s="51"/>
      <c r="AE5" s="51"/>
    </row>
    <row r="6" spans="1:32" s="272" customFormat="1" ht="24" customHeight="1" x14ac:dyDescent="0.2">
      <c r="A6" s="359" t="s">
        <v>13</v>
      </c>
      <c r="B6" s="331"/>
      <c r="C6" s="332"/>
      <c r="D6" s="419"/>
      <c r="E6" s="420"/>
      <c r="F6" s="420"/>
      <c r="G6" s="420"/>
      <c r="H6" s="420"/>
      <c r="I6" s="420"/>
      <c r="J6" s="420"/>
      <c r="K6" s="420"/>
      <c r="L6" s="420"/>
      <c r="M6" s="358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388" t="s">
        <v>15</v>
      </c>
      <c r="U6" s="384"/>
      <c r="V6" s="407" t="s">
        <v>16</v>
      </c>
      <c r="W6" s="313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6"/>
      <c r="U7" s="384"/>
      <c r="V7" s="408"/>
      <c r="W7" s="409"/>
      <c r="AB7" s="51"/>
      <c r="AC7" s="51"/>
      <c r="AD7" s="51"/>
      <c r="AE7" s="51"/>
    </row>
    <row r="8" spans="1:32" s="272" customFormat="1" ht="25.5" customHeight="1" x14ac:dyDescent="0.2">
      <c r="A8" s="471" t="s">
        <v>17</v>
      </c>
      <c r="B8" s="290"/>
      <c r="C8" s="291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5">
        <v>0.41666666666666669</v>
      </c>
      <c r="R8" s="320"/>
      <c r="T8" s="296"/>
      <c r="U8" s="384"/>
      <c r="V8" s="408"/>
      <c r="W8" s="409"/>
      <c r="AB8" s="51"/>
      <c r="AC8" s="51"/>
      <c r="AD8" s="51"/>
      <c r="AE8" s="51"/>
    </row>
    <row r="9" spans="1:32" s="272" customFormat="1" ht="39.950000000000003" customHeight="1" x14ac:dyDescent="0.2">
      <c r="A9" s="3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71"/>
      <c r="E9" s="288"/>
      <c r="F9" s="3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5"/>
      <c r="R9" s="356"/>
      <c r="T9" s="296"/>
      <c r="U9" s="384"/>
      <c r="V9" s="410"/>
      <c r="W9" s="411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71"/>
      <c r="E10" s="288"/>
      <c r="F10" s="3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05" t="str">
        <f>IFERROR(VLOOKUP($D$10,Proxy,2,FALSE),"")</f>
        <v/>
      </c>
      <c r="I10" s="296"/>
      <c r="J10" s="296"/>
      <c r="K10" s="296"/>
      <c r="L10" s="296"/>
      <c r="M10" s="296"/>
      <c r="N10" s="271"/>
      <c r="P10" s="26" t="s">
        <v>20</v>
      </c>
      <c r="Q10" s="389"/>
      <c r="R10" s="390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27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2" t="s">
        <v>27</v>
      </c>
      <c r="B12" s="331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2"/>
      <c r="N12" s="65"/>
      <c r="P12" s="24" t="s">
        <v>28</v>
      </c>
      <c r="Q12" s="365"/>
      <c r="R12" s="320"/>
      <c r="S12" s="23"/>
      <c r="U12" s="24"/>
      <c r="V12" s="302"/>
      <c r="W12" s="296"/>
      <c r="AB12" s="51"/>
      <c r="AC12" s="51"/>
      <c r="AD12" s="51"/>
      <c r="AE12" s="51"/>
    </row>
    <row r="13" spans="1:32" s="272" customFormat="1" ht="23.25" customHeight="1" x14ac:dyDescent="0.2">
      <c r="A13" s="382" t="s">
        <v>29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2"/>
      <c r="N13" s="65"/>
      <c r="O13" s="26"/>
      <c r="P13" s="26" t="s">
        <v>30</v>
      </c>
      <c r="Q13" s="427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2" t="s">
        <v>31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5" t="s">
        <v>32</v>
      </c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2"/>
      <c r="N15" s="66"/>
      <c r="P15" s="376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7"/>
      <c r="Q16" s="377"/>
      <c r="R16" s="377"/>
      <c r="S16" s="377"/>
      <c r="T16" s="3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68" t="s">
        <v>36</v>
      </c>
      <c r="D17" s="309" t="s">
        <v>37</v>
      </c>
      <c r="E17" s="348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7"/>
      <c r="R17" s="347"/>
      <c r="S17" s="347"/>
      <c r="T17" s="348"/>
      <c r="U17" s="468" t="s">
        <v>49</v>
      </c>
      <c r="V17" s="332"/>
      <c r="W17" s="309" t="s">
        <v>50</v>
      </c>
      <c r="X17" s="309" t="s">
        <v>51</v>
      </c>
      <c r="Y17" s="469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9"/>
      <c r="E18" s="351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10"/>
      <c r="X18" s="310"/>
      <c r="Y18" s="470"/>
      <c r="Z18" s="416"/>
      <c r="AA18" s="404"/>
      <c r="AB18" s="404"/>
      <c r="AC18" s="404"/>
      <c r="AD18" s="447"/>
      <c r="AE18" s="448"/>
      <c r="AF18" s="449"/>
      <c r="AG18" s="69"/>
      <c r="BD18" s="68"/>
    </row>
    <row r="19" spans="1:68" ht="27.75" customHeight="1" x14ac:dyDescent="0.2">
      <c r="A19" s="305" t="s">
        <v>61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48"/>
      <c r="AB19" s="48"/>
      <c r="AC19" s="48"/>
    </row>
    <row r="20" spans="1:68" ht="16.5" customHeight="1" x14ac:dyDescent="0.25">
      <c r="A20" s="300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customHeight="1" x14ac:dyDescent="0.25">
      <c r="A21" s="295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93">
        <v>4620207491508</v>
      </c>
      <c r="E22" s="294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3">
        <v>4620207491256</v>
      </c>
      <c r="E23" s="294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93">
        <v>4620207491713</v>
      </c>
      <c r="E24" s="294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3">
        <v>4620207491720</v>
      </c>
      <c r="E25" s="294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93">
        <v>4607111035912</v>
      </c>
      <c r="E26" s="294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3">
        <v>4607111035929</v>
      </c>
      <c r="E27" s="294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93">
        <v>4607111035882</v>
      </c>
      <c r="E28" s="294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3">
        <v>4607111035905</v>
      </c>
      <c r="E29" s="294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8">
        <v>24</v>
      </c>
      <c r="Y29" s="279">
        <f t="shared" si="0"/>
        <v>24</v>
      </c>
      <c r="Z29" s="36">
        <f t="shared" si="1"/>
        <v>0.372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179.28</v>
      </c>
      <c r="BN29" s="67">
        <f t="shared" si="3"/>
        <v>179.28</v>
      </c>
      <c r="BO29" s="67">
        <f t="shared" si="4"/>
        <v>0.2857142857142857</v>
      </c>
      <c r="BP29" s="67">
        <f t="shared" si="5"/>
        <v>0.2857142857142857</v>
      </c>
    </row>
    <row r="30" spans="1:68" x14ac:dyDescent="0.2">
      <c r="A30" s="298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9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9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172.8</v>
      </c>
      <c r="Y31" s="280">
        <f>IFERROR(SUMPRODUCT(Y22:Y29*H22:H29),"0")</f>
        <v>172.8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customHeight="1" x14ac:dyDescent="0.25">
      <c r="A33" s="295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93">
        <v>4607111039019</v>
      </c>
      <c r="E34" s="294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93">
        <v>4607111038708</v>
      </c>
      <c r="E35" s="294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8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9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9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5" t="s">
        <v>95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48"/>
      <c r="AB38" s="48"/>
      <c r="AC38" s="48"/>
    </row>
    <row r="39" spans="1:68" ht="16.5" customHeight="1" x14ac:dyDescent="0.25">
      <c r="A39" s="300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customHeight="1" x14ac:dyDescent="0.25">
      <c r="A40" s="295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3">
        <v>4607111036537</v>
      </c>
      <c r="E41" s="294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8">
        <v>140</v>
      </c>
      <c r="Y41" s="279">
        <f>IFERROR(IF(X41="","",X41),"")</f>
        <v>140</v>
      </c>
      <c r="Z41" s="36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3">
        <v>4607111036605</v>
      </c>
      <c r="E42" s="294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8">
        <v>28</v>
      </c>
      <c r="Y42" s="279">
        <f>IFERROR(IF(X42="","",X42),"")</f>
        <v>28</v>
      </c>
      <c r="Z42" s="36">
        <f>IFERROR(IF(X42="","",X42*0.00941),"")</f>
        <v>0.26347999999999999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53.810400000000001</v>
      </c>
      <c r="BN42" s="67">
        <f>IFERROR(Y42*I42,"0")</f>
        <v>53.810400000000001</v>
      </c>
      <c r="BO42" s="67">
        <f>IFERROR(X42/J42,"0")</f>
        <v>0.2</v>
      </c>
      <c r="BP42" s="67">
        <f>IFERROR(Y42/J42,"0")</f>
        <v>0.2</v>
      </c>
    </row>
    <row r="43" spans="1:68" x14ac:dyDescent="0.2">
      <c r="A43" s="298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9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168</v>
      </c>
      <c r="Y43" s="280">
        <f>IFERROR(SUM(Y41:Y42),"0")</f>
        <v>168</v>
      </c>
      <c r="Z43" s="280">
        <f>IFERROR(IF(Z41="",0,Z41),"0")+IFERROR(IF(Z42="",0,Z42),"0")</f>
        <v>1.5808799999999998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9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252</v>
      </c>
      <c r="Y44" s="280">
        <f>IFERROR(SUMPRODUCT(Y41:Y42*H41:H42),"0")</f>
        <v>252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customHeight="1" x14ac:dyDescent="0.25">
      <c r="A46" s="295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3">
        <v>4620207490075</v>
      </c>
      <c r="E47" s="294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8">
        <v>12</v>
      </c>
      <c r="Y47" s="27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3">
        <v>4620207490174</v>
      </c>
      <c r="E48" s="294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93">
        <v>4620207490044</v>
      </c>
      <c r="E49" s="294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68</v>
      </c>
      <c r="X49" s="278">
        <v>12</v>
      </c>
      <c r="Y49" s="279">
        <f>IFERROR(IF(X49="","",X49),"")</f>
        <v>12</v>
      </c>
      <c r="Z49" s="36">
        <f>IFERROR(IF(X49="","",X49*0.0155),"")</f>
        <v>0.186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70.44</v>
      </c>
      <c r="BN49" s="67">
        <f>IFERROR(Y49*I49,"0")</f>
        <v>70.44</v>
      </c>
      <c r="BO49" s="67">
        <f>IFERROR(X49/J49,"0")</f>
        <v>0.14285714285714285</v>
      </c>
      <c r="BP49" s="67">
        <f>IFERROR(Y49/J49,"0")</f>
        <v>0.14285714285714285</v>
      </c>
    </row>
    <row r="50" spans="1:68" x14ac:dyDescent="0.2">
      <c r="A50" s="298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9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24</v>
      </c>
      <c r="Y50" s="280">
        <f>IFERROR(SUM(Y47:Y49),"0")</f>
        <v>24</v>
      </c>
      <c r="Z50" s="280">
        <f>IFERROR(IF(Z47="",0,Z47),"0")+IFERROR(IF(Z48="",0,Z48),"0")+IFERROR(IF(Z49="",0,Z49),"0")</f>
        <v>0.372</v>
      </c>
      <c r="AA50" s="281"/>
      <c r="AB50" s="281"/>
      <c r="AC50" s="281"/>
    </row>
    <row r="51" spans="1:68" x14ac:dyDescent="0.2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9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134.39999999999998</v>
      </c>
      <c r="Y51" s="280">
        <f>IFERROR(SUMPRODUCT(Y47:Y49*H47:H49),"0")</f>
        <v>134.39999999999998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3"/>
      <c r="AB52" s="273"/>
      <c r="AC52" s="273"/>
    </row>
    <row r="53" spans="1:68" ht="14.25" customHeight="1" x14ac:dyDescent="0.25">
      <c r="A53" s="295" t="s">
        <v>62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93">
        <v>4607111039385</v>
      </c>
      <c r="E54" s="294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262.8</v>
      </c>
      <c r="BN54" s="67">
        <f>IFERROR(Y54*I54,"0")</f>
        <v>262.8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93">
        <v>4607111038982</v>
      </c>
      <c r="E55" s="294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8">
        <v>60</v>
      </c>
      <c r="Y55" s="279">
        <f>IFERROR(IF(X55="","",X55),"")</f>
        <v>60</v>
      </c>
      <c r="Z55" s="36">
        <f>IFERROR(IF(X55="","",X55*0.0155),"")</f>
        <v>0.92999999999999994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437.15999999999997</v>
      </c>
      <c r="BN55" s="67">
        <f>IFERROR(Y55*I55,"0")</f>
        <v>437.15999999999997</v>
      </c>
      <c r="BO55" s="67">
        <f>IFERROR(X55/J55,"0")</f>
        <v>0.7142857142857143</v>
      </c>
      <c r="BP55" s="67">
        <f>IFERROR(Y55/J55,"0")</f>
        <v>0.7142857142857143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93">
        <v>4607111039354</v>
      </c>
      <c r="E56" s="294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93">
        <v>4607111039330</v>
      </c>
      <c r="E57" s="294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8">
        <v>24</v>
      </c>
      <c r="Y57" s="279">
        <f>IFERROR(IF(X57="","",X57),"")</f>
        <v>24</v>
      </c>
      <c r="Z57" s="36">
        <f>IFERROR(IF(X57="","",X57*0.0155),"")</f>
        <v>0.372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175.2</v>
      </c>
      <c r="BN57" s="67">
        <f>IFERROR(Y57*I57,"0")</f>
        <v>175.2</v>
      </c>
      <c r="BO57" s="67">
        <f>IFERROR(X57/J57,"0")</f>
        <v>0.2857142857142857</v>
      </c>
      <c r="BP57" s="67">
        <f>IFERROR(Y57/J57,"0")</f>
        <v>0.2857142857142857</v>
      </c>
    </row>
    <row r="58" spans="1:68" x14ac:dyDescent="0.2">
      <c r="A58" s="29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9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120</v>
      </c>
      <c r="Y58" s="280">
        <f>IFERROR(SUM(Y54:Y57),"0")</f>
        <v>120</v>
      </c>
      <c r="Z58" s="280">
        <f>IFERROR(IF(Z54="",0,Z54),"0")+IFERROR(IF(Z55="",0,Z55),"0")+IFERROR(IF(Z56="",0,Z56),"0")+IFERROR(IF(Z57="",0,Z57),"0")</f>
        <v>1.8599999999999999</v>
      </c>
      <c r="AA58" s="281"/>
      <c r="AB58" s="281"/>
      <c r="AC58" s="281"/>
    </row>
    <row r="59" spans="1:68" x14ac:dyDescent="0.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9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840</v>
      </c>
      <c r="Y59" s="280">
        <f>IFERROR(SUMPRODUCT(Y54:Y57*H54:H57),"0")</f>
        <v>840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3"/>
      <c r="AB60" s="273"/>
      <c r="AC60" s="273"/>
    </row>
    <row r="61" spans="1:68" ht="14.25" customHeight="1" x14ac:dyDescent="0.25">
      <c r="A61" s="295" t="s">
        <v>62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93">
        <v>4620207490822</v>
      </c>
      <c r="E62" s="294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8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9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9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5" t="s">
        <v>97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93">
        <v>4607111039712</v>
      </c>
      <c r="E66" s="294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8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9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9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5" t="s">
        <v>135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93">
        <v>4607111037008</v>
      </c>
      <c r="E70" s="294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93">
        <v>4607111037398</v>
      </c>
      <c r="E71" s="294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8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9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9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93">
        <v>4607111039705</v>
      </c>
      <c r="E75" s="294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93">
        <v>4607111039729</v>
      </c>
      <c r="E76" s="294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93">
        <v>4620207490228</v>
      </c>
      <c r="E77" s="294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68</v>
      </c>
      <c r="X77" s="278">
        <v>28</v>
      </c>
      <c r="Y77" s="279">
        <f>IFERROR(IF(X77="","",X77),"")</f>
        <v>28</v>
      </c>
      <c r="Z77" s="36">
        <f>IFERROR(IF(X77="","",X77*0.00941),"")</f>
        <v>0.26347999999999999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43.68</v>
      </c>
      <c r="BN77" s="67">
        <f>IFERROR(Y77*I77,"0")</f>
        <v>43.68</v>
      </c>
      <c r="BO77" s="67">
        <f>IFERROR(X77/J77,"0")</f>
        <v>0.2</v>
      </c>
      <c r="BP77" s="67">
        <f>IFERROR(Y77/J77,"0")</f>
        <v>0.2</v>
      </c>
    </row>
    <row r="78" spans="1:68" x14ac:dyDescent="0.2">
      <c r="A78" s="298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9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28</v>
      </c>
      <c r="Y78" s="280">
        <f>IFERROR(SUM(Y75:Y77),"0")</f>
        <v>28</v>
      </c>
      <c r="Z78" s="280">
        <f>IFERROR(IF(Z75="",0,Z75),"0")+IFERROR(IF(Z76="",0,Z76),"0")+IFERROR(IF(Z77="",0,Z77),"0")</f>
        <v>0.26347999999999999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9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33.6</v>
      </c>
      <c r="Y79" s="280">
        <f>IFERROR(SUMPRODUCT(Y75:Y77*H75:H77),"0")</f>
        <v>33.6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customHeight="1" x14ac:dyDescent="0.25">
      <c r="A81" s="295" t="s">
        <v>62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93">
        <v>4607111037411</v>
      </c>
      <c r="E82" s="294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93">
        <v>4607111036728</v>
      </c>
      <c r="E83" s="294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68</v>
      </c>
      <c r="X83" s="278">
        <v>204</v>
      </c>
      <c r="Y83" s="279">
        <f>IFERROR(IF(X83="","",X83),"")</f>
        <v>204</v>
      </c>
      <c r="Z83" s="36">
        <f>IFERROR(IF(X83="","",X83*0.00866),"")</f>
        <v>1.7666399999999998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1063.4928</v>
      </c>
      <c r="BN83" s="67">
        <f>IFERROR(Y83*I83,"0")</f>
        <v>1063.4928</v>
      </c>
      <c r="BO83" s="67">
        <f>IFERROR(X83/J83,"0")</f>
        <v>1.4166666666666667</v>
      </c>
      <c r="BP83" s="67">
        <f>IFERROR(Y83/J83,"0")</f>
        <v>1.4166666666666667</v>
      </c>
    </row>
    <row r="84" spans="1:68" x14ac:dyDescent="0.2">
      <c r="A84" s="298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9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204</v>
      </c>
      <c r="Y84" s="280">
        <f>IFERROR(SUM(Y82:Y83),"0")</f>
        <v>204</v>
      </c>
      <c r="Z84" s="280">
        <f>IFERROR(IF(Z82="",0,Z82),"0")+IFERROR(IF(Z83="",0,Z83),"0")</f>
        <v>1.7666399999999998</v>
      </c>
      <c r="AA84" s="281"/>
      <c r="AB84" s="281"/>
      <c r="AC84" s="281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9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1020</v>
      </c>
      <c r="Y85" s="280">
        <f>IFERROR(SUMPRODUCT(Y82:Y83*H82:H83),"0")</f>
        <v>1020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3"/>
      <c r="AB86" s="273"/>
      <c r="AC86" s="273"/>
    </row>
    <row r="87" spans="1:68" ht="14.25" customHeight="1" x14ac:dyDescent="0.25">
      <c r="A87" s="295" t="s">
        <v>141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93">
        <v>4607111033659</v>
      </c>
      <c r="E88" s="294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98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9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9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customHeight="1" x14ac:dyDescent="0.25">
      <c r="A92" s="295" t="s">
        <v>161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93">
        <v>4607111034120</v>
      </c>
      <c r="E93" s="294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8">
        <v>56</v>
      </c>
      <c r="Y93" s="279">
        <f>IFERROR(IF(X93="","",X93),"")</f>
        <v>56</v>
      </c>
      <c r="Z93" s="36">
        <f>IFERROR(IF(X93="","",X93*0.01788),"")</f>
        <v>1.0012799999999999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241.00160000000002</v>
      </c>
      <c r="BN93" s="67">
        <f>IFERROR(Y93*I93,"0")</f>
        <v>241.00160000000002</v>
      </c>
      <c r="BO93" s="67">
        <f>IFERROR(X93/J93,"0")</f>
        <v>0.8</v>
      </c>
      <c r="BP93" s="67">
        <f>IFERROR(Y93/J93,"0")</f>
        <v>0.8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93">
        <v>4607111034137</v>
      </c>
      <c r="E94" s="294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8">
        <v>56</v>
      </c>
      <c r="Y94" s="279">
        <f>IFERROR(IF(X94="","",X94),"")</f>
        <v>56</v>
      </c>
      <c r="Z94" s="36">
        <f>IFERROR(IF(X94="","",X94*0.01788),"")</f>
        <v>1.0012799999999999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241.00160000000002</v>
      </c>
      <c r="BN94" s="67">
        <f>IFERROR(Y94*I94,"0")</f>
        <v>241.00160000000002</v>
      </c>
      <c r="BO94" s="67">
        <f>IFERROR(X94/J94,"0")</f>
        <v>0.8</v>
      </c>
      <c r="BP94" s="67">
        <f>IFERROR(Y94/J94,"0")</f>
        <v>0.8</v>
      </c>
    </row>
    <row r="95" spans="1:68" x14ac:dyDescent="0.2">
      <c r="A95" s="298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9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112</v>
      </c>
      <c r="Y95" s="280">
        <f>IFERROR(SUM(Y93:Y94),"0")</f>
        <v>112</v>
      </c>
      <c r="Z95" s="280">
        <f>IFERROR(IF(Z93="",0,Z93),"0")+IFERROR(IF(Z94="",0,Z94),"0")</f>
        <v>2.0025599999999999</v>
      </c>
      <c r="AA95" s="281"/>
      <c r="AB95" s="281"/>
      <c r="AC95" s="281"/>
    </row>
    <row r="96" spans="1:68" x14ac:dyDescent="0.2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9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403.2</v>
      </c>
      <c r="Y96" s="280">
        <f>IFERROR(SUMPRODUCT(Y93:Y94*H93:H94),"0")</f>
        <v>403.2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73"/>
      <c r="AB97" s="273"/>
      <c r="AC97" s="273"/>
    </row>
    <row r="98" spans="1:68" ht="14.25" customHeight="1" x14ac:dyDescent="0.25">
      <c r="A98" s="295" t="s">
        <v>141</v>
      </c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93">
        <v>4620207491027</v>
      </c>
      <c r="E99" s="294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68</v>
      </c>
      <c r="X99" s="278">
        <v>42</v>
      </c>
      <c r="Y99" s="279">
        <f t="shared" ref="Y99:Y104" si="6">IFERROR(IF(X99="","",X99),"")</f>
        <v>42</v>
      </c>
      <c r="Z99" s="36">
        <f t="shared" ref="Z99:Z104" si="7">IFERROR(IF(X99="","",X99*0.01788),"")</f>
        <v>0.75095999999999996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150.5112</v>
      </c>
      <c r="BN99" s="67">
        <f t="shared" ref="BN99:BN104" si="9">IFERROR(Y99*I99,"0")</f>
        <v>150.5112</v>
      </c>
      <c r="BO99" s="67">
        <f t="shared" ref="BO99:BO104" si="10">IFERROR(X99/J99,"0")</f>
        <v>0.6</v>
      </c>
      <c r="BP99" s="67">
        <f t="shared" ref="BP99:BP104" si="11">IFERROR(Y99/J99,"0")</f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93">
        <v>4620207491003</v>
      </c>
      <c r="E100" s="294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68</v>
      </c>
      <c r="X100" s="278">
        <v>70</v>
      </c>
      <c r="Y100" s="279">
        <f t="shared" si="6"/>
        <v>70</v>
      </c>
      <c r="Z100" s="36">
        <f t="shared" si="7"/>
        <v>1.2516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93">
        <v>4620207491034</v>
      </c>
      <c r="E101" s="294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8">
        <v>28</v>
      </c>
      <c r="Y101" s="279">
        <f t="shared" si="6"/>
        <v>28</v>
      </c>
      <c r="Z101" s="36">
        <f t="shared" si="7"/>
        <v>0.50063999999999997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100.3408</v>
      </c>
      <c r="BN101" s="67">
        <f t="shared" si="9"/>
        <v>100.3408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93">
        <v>4620207491010</v>
      </c>
      <c r="E102" s="294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8">
        <v>84</v>
      </c>
      <c r="Y102" s="279">
        <f t="shared" si="6"/>
        <v>84</v>
      </c>
      <c r="Z102" s="36">
        <f t="shared" si="7"/>
        <v>1.5019199999999999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301.0224</v>
      </c>
      <c r="BN102" s="67">
        <f t="shared" si="9"/>
        <v>301.0224</v>
      </c>
      <c r="BO102" s="67">
        <f t="shared" si="10"/>
        <v>1.2</v>
      </c>
      <c r="BP102" s="67">
        <f t="shared" si="11"/>
        <v>1.2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93">
        <v>4607111035028</v>
      </c>
      <c r="E103" s="294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68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93">
        <v>4607111036407</v>
      </c>
      <c r="E104" s="294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8">
        <v>28</v>
      </c>
      <c r="Y104" s="279">
        <f t="shared" si="6"/>
        <v>28</v>
      </c>
      <c r="Z104" s="36">
        <f t="shared" si="7"/>
        <v>0.50063999999999997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126.81760000000001</v>
      </c>
      <c r="BN104" s="67">
        <f t="shared" si="9"/>
        <v>126.81760000000001</v>
      </c>
      <c r="BO104" s="67">
        <f t="shared" si="10"/>
        <v>0.4</v>
      </c>
      <c r="BP104" s="67">
        <f t="shared" si="11"/>
        <v>0.4</v>
      </c>
    </row>
    <row r="105" spans="1:68" x14ac:dyDescent="0.2">
      <c r="A105" s="298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9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266</v>
      </c>
      <c r="Y105" s="280">
        <f>IFERROR(SUM(Y99:Y104),"0")</f>
        <v>266</v>
      </c>
      <c r="Z105" s="280">
        <f>IFERROR(IF(Z99="",0,Z99),"0")+IFERROR(IF(Z100="",0,Z100),"0")+IFERROR(IF(Z101="",0,Z101),"0")+IFERROR(IF(Z102="",0,Z102),"0")+IFERROR(IF(Z103="",0,Z103),"0")+IFERROR(IF(Z104="",0,Z104),"0")</f>
        <v>4.7560799999999999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9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816.48</v>
      </c>
      <c r="Y106" s="280">
        <f>IFERROR(SUMPRODUCT(Y99:Y104*H99:H104),"0")</f>
        <v>816.48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customHeight="1" x14ac:dyDescent="0.25">
      <c r="A108" s="295" t="s">
        <v>135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93">
        <v>4607025784012</v>
      </c>
      <c r="E109" s="294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68</v>
      </c>
      <c r="X109" s="278">
        <v>14</v>
      </c>
      <c r="Y109" s="279">
        <f>IFERROR(IF(X109="","",X109),"")</f>
        <v>14</v>
      </c>
      <c r="Z109" s="36">
        <f>IFERROR(IF(X109="","",X109*0.00936),"")</f>
        <v>0.13103999999999999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34.876800000000003</v>
      </c>
      <c r="BN109" s="67">
        <f>IFERROR(Y109*I109,"0")</f>
        <v>34.876800000000003</v>
      </c>
      <c r="BO109" s="67">
        <f>IFERROR(X109/J109,"0")</f>
        <v>0.1111111111111111</v>
      </c>
      <c r="BP109" s="67">
        <f>IFERROR(Y109/J109,"0")</f>
        <v>0.1111111111111111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93">
        <v>4607025784319</v>
      </c>
      <c r="E110" s="294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8">
        <v>14</v>
      </c>
      <c r="Y110" s="279">
        <f>IFERROR(IF(X110="","",X110),"")</f>
        <v>14</v>
      </c>
      <c r="Z110" s="36">
        <f>IFERROR(IF(X110="","",X110*0.01788),"")</f>
        <v>0.25031999999999999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59.415999999999997</v>
      </c>
      <c r="BN110" s="67">
        <f>IFERROR(Y110*I110,"0")</f>
        <v>59.415999999999997</v>
      </c>
      <c r="BO110" s="67">
        <f>IFERROR(X110/J110,"0")</f>
        <v>0.2</v>
      </c>
      <c r="BP110" s="67">
        <f>IFERROR(Y110/J110,"0")</f>
        <v>0.2</v>
      </c>
    </row>
    <row r="111" spans="1:68" x14ac:dyDescent="0.2">
      <c r="A111" s="298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9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28</v>
      </c>
      <c r="Y111" s="280">
        <f>IFERROR(SUM(Y109:Y110),"0")</f>
        <v>28</v>
      </c>
      <c r="Z111" s="280">
        <f>IFERROR(IF(Z109="",0,Z109),"0")+IFERROR(IF(Z110="",0,Z110),"0")</f>
        <v>0.38135999999999998</v>
      </c>
      <c r="AA111" s="281"/>
      <c r="AB111" s="281"/>
      <c r="AC111" s="281"/>
    </row>
    <row r="112" spans="1:68" x14ac:dyDescent="0.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9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80.64</v>
      </c>
      <c r="Y112" s="280">
        <f>IFERROR(SUMPRODUCT(Y109:Y110*H109:H110),"0")</f>
        <v>80.64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73"/>
      <c r="AB113" s="273"/>
      <c r="AC113" s="273"/>
    </row>
    <row r="114" spans="1:68" ht="14.25" customHeight="1" x14ac:dyDescent="0.25">
      <c r="A114" s="295" t="s">
        <v>62</v>
      </c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93">
        <v>4620207491157</v>
      </c>
      <c r="E115" s="294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8">
        <v>36</v>
      </c>
      <c r="Y115" s="279">
        <f t="shared" ref="Y115:Y121" si="12">IFERROR(IF(X115="","",X115),"")</f>
        <v>36</v>
      </c>
      <c r="Z115" s="36">
        <f t="shared" ref="Z115:Z121" si="13">IFERROR(IF(X115="","",X115*0.0155),"")</f>
        <v>0.55800000000000005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262.08</v>
      </c>
      <c r="BN115" s="67">
        <f t="shared" ref="BN115:BN121" si="15">IFERROR(Y115*I115,"0")</f>
        <v>262.08</v>
      </c>
      <c r="BO115" s="67">
        <f t="shared" ref="BO115:BO121" si="16">IFERROR(X115/J115,"0")</f>
        <v>0.42857142857142855</v>
      </c>
      <c r="BP115" s="67">
        <f t="shared" ref="BP115:BP121" si="17">IFERROR(Y115/J115,"0")</f>
        <v>0.42857142857142855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93">
        <v>4620207491393</v>
      </c>
      <c r="E116" s="294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93">
        <v>4607111039262</v>
      </c>
      <c r="E117" s="294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8">
        <v>36</v>
      </c>
      <c r="Y117" s="279">
        <f t="shared" si="12"/>
        <v>36</v>
      </c>
      <c r="Z117" s="36">
        <f t="shared" si="13"/>
        <v>0.55800000000000005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241.90559999999999</v>
      </c>
      <c r="BN117" s="67">
        <f t="shared" si="15"/>
        <v>241.90559999999999</v>
      </c>
      <c r="BO117" s="67">
        <f t="shared" si="16"/>
        <v>0.42857142857142855</v>
      </c>
      <c r="BP117" s="67">
        <f t="shared" si="17"/>
        <v>0.42857142857142855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93">
        <v>4607111039248</v>
      </c>
      <c r="E118" s="294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68</v>
      </c>
      <c r="X118" s="278">
        <v>132</v>
      </c>
      <c r="Y118" s="279">
        <f t="shared" si="12"/>
        <v>132</v>
      </c>
      <c r="Z118" s="36">
        <f t="shared" si="13"/>
        <v>2.0459999999999998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963.6</v>
      </c>
      <c r="BN118" s="67">
        <f t="shared" si="15"/>
        <v>963.6</v>
      </c>
      <c r="BO118" s="67">
        <f t="shared" si="16"/>
        <v>1.5714285714285714</v>
      </c>
      <c r="BP118" s="67">
        <f t="shared" si="17"/>
        <v>1.5714285714285714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93">
        <v>4607111037145</v>
      </c>
      <c r="E119" s="294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93">
        <v>4607111039293</v>
      </c>
      <c r="E120" s="294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8">
        <v>72</v>
      </c>
      <c r="Y120" s="279">
        <f t="shared" si="12"/>
        <v>72</v>
      </c>
      <c r="Z120" s="36">
        <f t="shared" si="13"/>
        <v>1.1160000000000001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483.81119999999999</v>
      </c>
      <c r="BN120" s="67">
        <f t="shared" si="15"/>
        <v>483.81119999999999</v>
      </c>
      <c r="BO120" s="67">
        <f t="shared" si="16"/>
        <v>0.8571428571428571</v>
      </c>
      <c r="BP120" s="67">
        <f t="shared" si="17"/>
        <v>0.8571428571428571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93">
        <v>4607111039279</v>
      </c>
      <c r="E121" s="294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8">
        <v>132</v>
      </c>
      <c r="Y121" s="279">
        <f t="shared" si="12"/>
        <v>132</v>
      </c>
      <c r="Z121" s="36">
        <f t="shared" si="13"/>
        <v>2.0459999999999998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963.6</v>
      </c>
      <c r="BN121" s="67">
        <f t="shared" si="15"/>
        <v>963.6</v>
      </c>
      <c r="BO121" s="67">
        <f t="shared" si="16"/>
        <v>1.5714285714285714</v>
      </c>
      <c r="BP121" s="67">
        <f t="shared" si="17"/>
        <v>1.5714285714285714</v>
      </c>
    </row>
    <row r="122" spans="1:68" x14ac:dyDescent="0.2">
      <c r="A122" s="298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9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408</v>
      </c>
      <c r="Y122" s="280">
        <f>IFERROR(SUM(Y115:Y121),"0")</f>
        <v>408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6.3239999999999998</v>
      </c>
      <c r="AA122" s="281"/>
      <c r="AB122" s="281"/>
      <c r="AC122" s="281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9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2791.2</v>
      </c>
      <c r="Y123" s="280">
        <f>IFERROR(SUMPRODUCT(Y115:Y121*H115:H121),"0")</f>
        <v>2791.2</v>
      </c>
      <c r="Z123" s="37"/>
      <c r="AA123" s="281"/>
      <c r="AB123" s="281"/>
      <c r="AC123" s="281"/>
    </row>
    <row r="124" spans="1:68" ht="14.25" customHeight="1" x14ac:dyDescent="0.25">
      <c r="A124" s="295" t="s">
        <v>141</v>
      </c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93">
        <v>4620207490983</v>
      </c>
      <c r="E125" s="294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8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9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9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5" t="s">
        <v>210</v>
      </c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93">
        <v>4620207491140</v>
      </c>
      <c r="E129" s="294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8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9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9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73"/>
      <c r="AB132" s="273"/>
      <c r="AC132" s="273"/>
    </row>
    <row r="133" spans="1:68" ht="14.25" customHeight="1" x14ac:dyDescent="0.25">
      <c r="A133" s="295" t="s">
        <v>141</v>
      </c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4301135848</v>
      </c>
      <c r="D134" s="293">
        <v>4620207491799</v>
      </c>
      <c r="E134" s="294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293">
        <v>4620207491492</v>
      </c>
      <c r="E135" s="294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3"/>
      <c r="R135" s="283"/>
      <c r="S135" s="283"/>
      <c r="T135" s="284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4301190118</v>
      </c>
      <c r="D136" s="293">
        <v>4620207491461</v>
      </c>
      <c r="E136" s="294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93">
        <v>4620207491485</v>
      </c>
      <c r="E137" s="294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8">
        <v>56</v>
      </c>
      <c r="Y137" s="279">
        <f>IFERROR(IF(X137="","",X137),"")</f>
        <v>56</v>
      </c>
      <c r="Z137" s="36">
        <f>IFERROR(IF(X137="","",X137*0.00941),"")</f>
        <v>0.52695999999999998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100.8</v>
      </c>
      <c r="BN137" s="67">
        <f>IFERROR(Y137*I137,"0")</f>
        <v>100.8</v>
      </c>
      <c r="BO137" s="67">
        <f>IFERROR(X137/J137,"0")</f>
        <v>0.4</v>
      </c>
      <c r="BP137" s="67">
        <f>IFERROR(Y137/J137,"0")</f>
        <v>0.4</v>
      </c>
    </row>
    <row r="138" spans="1:68" x14ac:dyDescent="0.2">
      <c r="A138" s="298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9"/>
      <c r="P138" s="289" t="s">
        <v>87</v>
      </c>
      <c r="Q138" s="290"/>
      <c r="R138" s="290"/>
      <c r="S138" s="290"/>
      <c r="T138" s="290"/>
      <c r="U138" s="290"/>
      <c r="V138" s="291"/>
      <c r="W138" s="37" t="s">
        <v>68</v>
      </c>
      <c r="X138" s="280">
        <f>IFERROR(SUM(X134:X137),"0")</f>
        <v>56</v>
      </c>
      <c r="Y138" s="280">
        <f>IFERROR(SUM(Y134:Y137),"0")</f>
        <v>56</v>
      </c>
      <c r="Z138" s="280">
        <f>IFERROR(IF(Z134="",0,Z134),"0")+IFERROR(IF(Z135="",0,Z135),"0")+IFERROR(IF(Z136="",0,Z136),"0")+IFERROR(IF(Z137="",0,Z137),"0")</f>
        <v>0.52695999999999998</v>
      </c>
      <c r="AA138" s="281"/>
      <c r="AB138" s="281"/>
      <c r="AC138" s="281"/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9"/>
      <c r="P139" s="289" t="s">
        <v>87</v>
      </c>
      <c r="Q139" s="290"/>
      <c r="R139" s="290"/>
      <c r="S139" s="290"/>
      <c r="T139" s="290"/>
      <c r="U139" s="290"/>
      <c r="V139" s="291"/>
      <c r="W139" s="37" t="s">
        <v>88</v>
      </c>
      <c r="X139" s="280">
        <f>IFERROR(SUMPRODUCT(X134:X137*H134:H137),"0")</f>
        <v>77.28</v>
      </c>
      <c r="Y139" s="280">
        <f>IFERROR(SUMPRODUCT(Y134:Y137*H134:H137),"0")</f>
        <v>77.28</v>
      </c>
      <c r="Z139" s="37"/>
      <c r="AA139" s="281"/>
      <c r="AB139" s="281"/>
      <c r="AC139" s="281"/>
    </row>
    <row r="140" spans="1:68" ht="14.25" customHeight="1" x14ac:dyDescent="0.25">
      <c r="A140" s="295" t="s">
        <v>224</v>
      </c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93">
        <v>4620207491386</v>
      </c>
      <c r="E141" s="294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68</v>
      </c>
      <c r="X141" s="278">
        <v>14</v>
      </c>
      <c r="Y141" s="279">
        <f>IFERROR(IF(X141="","",X141),"")</f>
        <v>14</v>
      </c>
      <c r="Z141" s="36">
        <f>IFERROR(IF(X141="","",X141*0.00941),"")</f>
        <v>0.13174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19.571999999999999</v>
      </c>
      <c r="BN141" s="67">
        <f>IFERROR(Y141*I141,"0")</f>
        <v>19.571999999999999</v>
      </c>
      <c r="BO141" s="67">
        <f>IFERROR(X141/J141,"0")</f>
        <v>0.1</v>
      </c>
      <c r="BP141" s="67">
        <f>IFERROR(Y141/J141,"0")</f>
        <v>0.1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293">
        <v>4620207491362</v>
      </c>
      <c r="E142" s="294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93">
        <v>4620207491379</v>
      </c>
      <c r="E143" s="294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8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9"/>
      <c r="P144" s="289" t="s">
        <v>87</v>
      </c>
      <c r="Q144" s="290"/>
      <c r="R144" s="290"/>
      <c r="S144" s="290"/>
      <c r="T144" s="290"/>
      <c r="U144" s="290"/>
      <c r="V144" s="291"/>
      <c r="W144" s="37" t="s">
        <v>68</v>
      </c>
      <c r="X144" s="280">
        <f>IFERROR(SUM(X141:X143),"0")</f>
        <v>14</v>
      </c>
      <c r="Y144" s="280">
        <f>IFERROR(SUM(Y141:Y143),"0")</f>
        <v>14</v>
      </c>
      <c r="Z144" s="280">
        <f>IFERROR(IF(Z141="",0,Z141),"0")+IFERROR(IF(Z142="",0,Z142),"0")+IFERROR(IF(Z143="",0,Z143),"0")</f>
        <v>0.13174</v>
      </c>
      <c r="AA144" s="281"/>
      <c r="AB144" s="281"/>
      <c r="AC144" s="281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9"/>
      <c r="P145" s="289" t="s">
        <v>87</v>
      </c>
      <c r="Q145" s="290"/>
      <c r="R145" s="290"/>
      <c r="S145" s="290"/>
      <c r="T145" s="290"/>
      <c r="U145" s="290"/>
      <c r="V145" s="291"/>
      <c r="W145" s="37" t="s">
        <v>88</v>
      </c>
      <c r="X145" s="280">
        <f>IFERROR(SUMPRODUCT(X141:X143*H141:H143),"0")</f>
        <v>15.120000000000001</v>
      </c>
      <c r="Y145" s="280">
        <f>IFERROR(SUMPRODUCT(Y141:Y143*H141:H143),"0")</f>
        <v>15.120000000000001</v>
      </c>
      <c r="Z145" s="37"/>
      <c r="AA145" s="281"/>
      <c r="AB145" s="281"/>
      <c r="AC145" s="281"/>
    </row>
    <row r="146" spans="1:68" ht="16.5" customHeight="1" x14ac:dyDescent="0.25">
      <c r="A146" s="300" t="s">
        <v>232</v>
      </c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73"/>
      <c r="AB146" s="273"/>
      <c r="AC146" s="273"/>
    </row>
    <row r="147" spans="1:68" ht="14.25" customHeight="1" x14ac:dyDescent="0.25">
      <c r="A147" s="295" t="s">
        <v>141</v>
      </c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93">
        <v>4607111034014</v>
      </c>
      <c r="E148" s="294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68</v>
      </c>
      <c r="X148" s="278">
        <v>84</v>
      </c>
      <c r="Y148" s="279">
        <f>IFERROR(IF(X148="","",X148),"")</f>
        <v>84</v>
      </c>
      <c r="Z148" s="36">
        <f>IFERROR(IF(X148="","",X148*0.01788),"")</f>
        <v>1.5019199999999999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311.10239999999999</v>
      </c>
      <c r="BN148" s="67">
        <f>IFERROR(Y148*I148,"0")</f>
        <v>311.10239999999999</v>
      </c>
      <c r="BO148" s="67">
        <f>IFERROR(X148/J148,"0")</f>
        <v>1.2</v>
      </c>
      <c r="BP148" s="67">
        <f>IFERROR(Y148/J148,"0")</f>
        <v>1.2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93">
        <v>4607111033994</v>
      </c>
      <c r="E149" s="294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8">
        <v>168</v>
      </c>
      <c r="Y149" s="279">
        <f>IFERROR(IF(X149="","",X149),"")</f>
        <v>168</v>
      </c>
      <c r="Z149" s="36">
        <f>IFERROR(IF(X149="","",X149*0.01788),"")</f>
        <v>3.0038399999999998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622.20479999999998</v>
      </c>
      <c r="BN149" s="67">
        <f>IFERROR(Y149*I149,"0")</f>
        <v>622.20479999999998</v>
      </c>
      <c r="BO149" s="67">
        <f>IFERROR(X149/J149,"0")</f>
        <v>2.4</v>
      </c>
      <c r="BP149" s="67">
        <f>IFERROR(Y149/J149,"0")</f>
        <v>2.4</v>
      </c>
    </row>
    <row r="150" spans="1:68" x14ac:dyDescent="0.2">
      <c r="A150" s="298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9"/>
      <c r="P150" s="289" t="s">
        <v>87</v>
      </c>
      <c r="Q150" s="290"/>
      <c r="R150" s="290"/>
      <c r="S150" s="290"/>
      <c r="T150" s="290"/>
      <c r="U150" s="290"/>
      <c r="V150" s="291"/>
      <c r="W150" s="37" t="s">
        <v>68</v>
      </c>
      <c r="X150" s="280">
        <f>IFERROR(SUM(X148:X149),"0")</f>
        <v>252</v>
      </c>
      <c r="Y150" s="280">
        <f>IFERROR(SUM(Y148:Y149),"0")</f>
        <v>252</v>
      </c>
      <c r="Z150" s="280">
        <f>IFERROR(IF(Z148="",0,Z148),"0")+IFERROR(IF(Z149="",0,Z149),"0")</f>
        <v>4.5057599999999995</v>
      </c>
      <c r="AA150" s="281"/>
      <c r="AB150" s="281"/>
      <c r="AC150" s="281"/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9"/>
      <c r="P151" s="289" t="s">
        <v>87</v>
      </c>
      <c r="Q151" s="290"/>
      <c r="R151" s="290"/>
      <c r="S151" s="290"/>
      <c r="T151" s="290"/>
      <c r="U151" s="290"/>
      <c r="V151" s="291"/>
      <c r="W151" s="37" t="s">
        <v>88</v>
      </c>
      <c r="X151" s="280">
        <f>IFERROR(SUMPRODUCT(X148:X149*H148:H149),"0")</f>
        <v>756</v>
      </c>
      <c r="Y151" s="280">
        <f>IFERROR(SUMPRODUCT(Y148:Y149*H148:H149),"0")</f>
        <v>756</v>
      </c>
      <c r="Z151" s="37"/>
      <c r="AA151" s="281"/>
      <c r="AB151" s="281"/>
      <c r="AC151" s="281"/>
    </row>
    <row r="152" spans="1:68" ht="16.5" customHeight="1" x14ac:dyDescent="0.25">
      <c r="A152" s="300" t="s">
        <v>238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73"/>
      <c r="AB152" s="273"/>
      <c r="AC152" s="273"/>
    </row>
    <row r="153" spans="1:68" ht="14.25" customHeight="1" x14ac:dyDescent="0.25">
      <c r="A153" s="295" t="s">
        <v>141</v>
      </c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93">
        <v>4607111039095</v>
      </c>
      <c r="E154" s="294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3"/>
      <c r="R154" s="283"/>
      <c r="S154" s="283"/>
      <c r="T154" s="284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93">
        <v>4607111034199</v>
      </c>
      <c r="E155" s="294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8">
        <v>126</v>
      </c>
      <c r="Y155" s="279">
        <f>IFERROR(IF(X155="","",X155),"")</f>
        <v>126</v>
      </c>
      <c r="Z155" s="36">
        <f>IFERROR(IF(X155="","",X155*0.01788),"")</f>
        <v>2.2528800000000002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466.65359999999998</v>
      </c>
      <c r="BN155" s="67">
        <f>IFERROR(Y155*I155,"0")</f>
        <v>466.65359999999998</v>
      </c>
      <c r="BO155" s="67">
        <f>IFERROR(X155/J155,"0")</f>
        <v>1.8</v>
      </c>
      <c r="BP155" s="67">
        <f>IFERROR(Y155/J155,"0")</f>
        <v>1.8</v>
      </c>
    </row>
    <row r="156" spans="1:68" x14ac:dyDescent="0.2">
      <c r="A156" s="298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9"/>
      <c r="P156" s="289" t="s">
        <v>87</v>
      </c>
      <c r="Q156" s="290"/>
      <c r="R156" s="290"/>
      <c r="S156" s="290"/>
      <c r="T156" s="290"/>
      <c r="U156" s="290"/>
      <c r="V156" s="291"/>
      <c r="W156" s="37" t="s">
        <v>68</v>
      </c>
      <c r="X156" s="280">
        <f>IFERROR(SUM(X154:X155),"0")</f>
        <v>126</v>
      </c>
      <c r="Y156" s="280">
        <f>IFERROR(SUM(Y154:Y155),"0")</f>
        <v>126</v>
      </c>
      <c r="Z156" s="280">
        <f>IFERROR(IF(Z154="",0,Z154),"0")+IFERROR(IF(Z155="",0,Z155),"0")</f>
        <v>2.2528800000000002</v>
      </c>
      <c r="AA156" s="281"/>
      <c r="AB156" s="281"/>
      <c r="AC156" s="281"/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9"/>
      <c r="P157" s="289" t="s">
        <v>87</v>
      </c>
      <c r="Q157" s="290"/>
      <c r="R157" s="290"/>
      <c r="S157" s="290"/>
      <c r="T157" s="290"/>
      <c r="U157" s="290"/>
      <c r="V157" s="291"/>
      <c r="W157" s="37" t="s">
        <v>88</v>
      </c>
      <c r="X157" s="280">
        <f>IFERROR(SUMPRODUCT(X154:X155*H154:H155),"0")</f>
        <v>378</v>
      </c>
      <c r="Y157" s="280">
        <f>IFERROR(SUMPRODUCT(Y154:Y155*H154:H155),"0")</f>
        <v>378</v>
      </c>
      <c r="Z157" s="37"/>
      <c r="AA157" s="281"/>
      <c r="AB157" s="281"/>
      <c r="AC157" s="281"/>
    </row>
    <row r="158" spans="1:68" ht="16.5" customHeight="1" x14ac:dyDescent="0.25">
      <c r="A158" s="300" t="s">
        <v>245</v>
      </c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73"/>
      <c r="AB158" s="273"/>
      <c r="AC158" s="273"/>
    </row>
    <row r="159" spans="1:68" ht="14.25" customHeight="1" x14ac:dyDescent="0.25">
      <c r="A159" s="295" t="s">
        <v>141</v>
      </c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293">
        <v>4620207490914</v>
      </c>
      <c r="E160" s="294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68</v>
      </c>
      <c r="X160" s="278">
        <v>70</v>
      </c>
      <c r="Y160" s="279">
        <f>IFERROR(IF(X160="","",X160),"")</f>
        <v>70</v>
      </c>
      <c r="Z160" s="36">
        <f>IFERROR(IF(X160="","",X160*0.01788),"")</f>
        <v>1.2516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187.60000000000002</v>
      </c>
      <c r="BN160" s="67">
        <f>IFERROR(Y160*I160,"0")</f>
        <v>187.60000000000002</v>
      </c>
      <c r="BO160" s="67">
        <f>IFERROR(X160/J160,"0")</f>
        <v>1</v>
      </c>
      <c r="BP160" s="67">
        <f>IFERROR(Y160/J160,"0")</f>
        <v>1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93">
        <v>4620207490853</v>
      </c>
      <c r="E161" s="294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8">
        <v>14</v>
      </c>
      <c r="Y161" s="279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37.520000000000003</v>
      </c>
      <c r="BN161" s="67">
        <f>IFERROR(Y161*I161,"0")</f>
        <v>37.520000000000003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298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9"/>
      <c r="P162" s="289" t="s">
        <v>87</v>
      </c>
      <c r="Q162" s="290"/>
      <c r="R162" s="290"/>
      <c r="S162" s="290"/>
      <c r="T162" s="290"/>
      <c r="U162" s="290"/>
      <c r="V162" s="291"/>
      <c r="W162" s="37" t="s">
        <v>68</v>
      </c>
      <c r="X162" s="280">
        <f>IFERROR(SUM(X160:X161),"0")</f>
        <v>84</v>
      </c>
      <c r="Y162" s="280">
        <f>IFERROR(SUM(Y160:Y161),"0")</f>
        <v>84</v>
      </c>
      <c r="Z162" s="280">
        <f>IFERROR(IF(Z160="",0,Z160),"0")+IFERROR(IF(Z161="",0,Z161),"0")</f>
        <v>1.5019200000000001</v>
      </c>
      <c r="AA162" s="281"/>
      <c r="AB162" s="281"/>
      <c r="AC162" s="281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9"/>
      <c r="P163" s="289" t="s">
        <v>87</v>
      </c>
      <c r="Q163" s="290"/>
      <c r="R163" s="290"/>
      <c r="S163" s="290"/>
      <c r="T163" s="290"/>
      <c r="U163" s="290"/>
      <c r="V163" s="291"/>
      <c r="W163" s="37" t="s">
        <v>88</v>
      </c>
      <c r="X163" s="280">
        <f>IFERROR(SUMPRODUCT(X160:X161*H160:H161),"0")</f>
        <v>201.6</v>
      </c>
      <c r="Y163" s="280">
        <f>IFERROR(SUMPRODUCT(Y160:Y161*H160:H161),"0")</f>
        <v>201.6</v>
      </c>
      <c r="Z163" s="37"/>
      <c r="AA163" s="281"/>
      <c r="AB163" s="281"/>
      <c r="AC163" s="281"/>
    </row>
    <row r="164" spans="1:68" ht="16.5" customHeight="1" x14ac:dyDescent="0.25">
      <c r="A164" s="300" t="s">
        <v>250</v>
      </c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73"/>
      <c r="AB164" s="273"/>
      <c r="AC164" s="273"/>
    </row>
    <row r="165" spans="1:68" ht="14.25" customHeight="1" x14ac:dyDescent="0.25">
      <c r="A165" s="295" t="s">
        <v>141</v>
      </c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293">
        <v>4607111035806</v>
      </c>
      <c r="E166" s="294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8">
        <v>28</v>
      </c>
      <c r="Y166" s="279">
        <f>IFERROR(IF(X166="","",X166),"")</f>
        <v>28</v>
      </c>
      <c r="Z166" s="36">
        <f>IFERROR(IF(X166="","",X166*0.01788),"")</f>
        <v>0.50063999999999997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103.70079999999999</v>
      </c>
      <c r="BN166" s="67">
        <f>IFERROR(Y166*I166,"0")</f>
        <v>103.70079999999999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98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9"/>
      <c r="P167" s="289" t="s">
        <v>87</v>
      </c>
      <c r="Q167" s="290"/>
      <c r="R167" s="290"/>
      <c r="S167" s="290"/>
      <c r="T167" s="290"/>
      <c r="U167" s="290"/>
      <c r="V167" s="291"/>
      <c r="W167" s="37" t="s">
        <v>68</v>
      </c>
      <c r="X167" s="280">
        <f>IFERROR(SUM(X166:X166),"0")</f>
        <v>28</v>
      </c>
      <c r="Y167" s="280">
        <f>IFERROR(SUM(Y166:Y166),"0")</f>
        <v>28</v>
      </c>
      <c r="Z167" s="280">
        <f>IFERROR(IF(Z166="",0,Z166),"0")</f>
        <v>0.50063999999999997</v>
      </c>
      <c r="AA167" s="281"/>
      <c r="AB167" s="281"/>
      <c r="AC167" s="281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9"/>
      <c r="P168" s="289" t="s">
        <v>87</v>
      </c>
      <c r="Q168" s="290"/>
      <c r="R168" s="290"/>
      <c r="S168" s="290"/>
      <c r="T168" s="290"/>
      <c r="U168" s="290"/>
      <c r="V168" s="291"/>
      <c r="W168" s="37" t="s">
        <v>88</v>
      </c>
      <c r="X168" s="280">
        <f>IFERROR(SUMPRODUCT(X166:X166*H166:H166),"0")</f>
        <v>84</v>
      </c>
      <c r="Y168" s="280">
        <f>IFERROR(SUMPRODUCT(Y166:Y166*H166:H166),"0")</f>
        <v>84</v>
      </c>
      <c r="Z168" s="37"/>
      <c r="AA168" s="281"/>
      <c r="AB168" s="281"/>
      <c r="AC168" s="281"/>
    </row>
    <row r="169" spans="1:68" ht="16.5" customHeight="1" x14ac:dyDescent="0.25">
      <c r="A169" s="300" t="s">
        <v>254</v>
      </c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73"/>
      <c r="AB169" s="273"/>
      <c r="AC169" s="273"/>
    </row>
    <row r="170" spans="1:68" ht="14.25" customHeight="1" x14ac:dyDescent="0.25">
      <c r="A170" s="295" t="s">
        <v>141</v>
      </c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293">
        <v>4607111039613</v>
      </c>
      <c r="E171" s="294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298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9"/>
      <c r="P172" s="289" t="s">
        <v>87</v>
      </c>
      <c r="Q172" s="290"/>
      <c r="R172" s="290"/>
      <c r="S172" s="290"/>
      <c r="T172" s="290"/>
      <c r="U172" s="290"/>
      <c r="V172" s="291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9"/>
      <c r="P173" s="289" t="s">
        <v>87</v>
      </c>
      <c r="Q173" s="290"/>
      <c r="R173" s="290"/>
      <c r="S173" s="290"/>
      <c r="T173" s="290"/>
      <c r="U173" s="290"/>
      <c r="V173" s="291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customHeight="1" x14ac:dyDescent="0.25">
      <c r="A174" s="300" t="s">
        <v>257</v>
      </c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73"/>
      <c r="AB174" s="273"/>
      <c r="AC174" s="273"/>
    </row>
    <row r="175" spans="1:68" ht="14.25" customHeight="1" x14ac:dyDescent="0.25">
      <c r="A175" s="295" t="s">
        <v>141</v>
      </c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93">
        <v>4607111036568</v>
      </c>
      <c r="E176" s="294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3"/>
      <c r="R176" s="283"/>
      <c r="S176" s="283"/>
      <c r="T176" s="284"/>
      <c r="U176" s="34"/>
      <c r="V176" s="34"/>
      <c r="W176" s="35" t="s">
        <v>68</v>
      </c>
      <c r="X176" s="278">
        <v>112</v>
      </c>
      <c r="Y176" s="279">
        <f>IFERROR(IF(X176="","",X176),"")</f>
        <v>112</v>
      </c>
      <c r="Z176" s="36">
        <f>IFERROR(IF(X176="","",X176*0.00941),"")</f>
        <v>1.05392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235.40159999999997</v>
      </c>
      <c r="BN176" s="67">
        <f>IFERROR(Y176*I176,"0")</f>
        <v>235.40159999999997</v>
      </c>
      <c r="BO176" s="67">
        <f>IFERROR(X176/J176,"0")</f>
        <v>0.8</v>
      </c>
      <c r="BP176" s="67">
        <f>IFERROR(Y176/J176,"0")</f>
        <v>0.8</v>
      </c>
    </row>
    <row r="177" spans="1:68" x14ac:dyDescent="0.2">
      <c r="A177" s="298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9"/>
      <c r="P177" s="289" t="s">
        <v>87</v>
      </c>
      <c r="Q177" s="290"/>
      <c r="R177" s="290"/>
      <c r="S177" s="290"/>
      <c r="T177" s="290"/>
      <c r="U177" s="290"/>
      <c r="V177" s="291"/>
      <c r="W177" s="37" t="s">
        <v>68</v>
      </c>
      <c r="X177" s="280">
        <f>IFERROR(SUM(X176:X176),"0")</f>
        <v>112</v>
      </c>
      <c r="Y177" s="280">
        <f>IFERROR(SUM(Y176:Y176),"0")</f>
        <v>112</v>
      </c>
      <c r="Z177" s="280">
        <f>IFERROR(IF(Z176="",0,Z176),"0")</f>
        <v>1.05392</v>
      </c>
      <c r="AA177" s="281"/>
      <c r="AB177" s="281"/>
      <c r="AC177" s="281"/>
    </row>
    <row r="178" spans="1:68" x14ac:dyDescent="0.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9"/>
      <c r="P178" s="289" t="s">
        <v>87</v>
      </c>
      <c r="Q178" s="290"/>
      <c r="R178" s="290"/>
      <c r="S178" s="290"/>
      <c r="T178" s="290"/>
      <c r="U178" s="290"/>
      <c r="V178" s="291"/>
      <c r="W178" s="37" t="s">
        <v>88</v>
      </c>
      <c r="X178" s="280">
        <f>IFERROR(SUMPRODUCT(X176:X176*H176:H176),"0")</f>
        <v>188.16</v>
      </c>
      <c r="Y178" s="280">
        <f>IFERROR(SUMPRODUCT(Y176:Y176*H176:H176),"0")</f>
        <v>188.16</v>
      </c>
      <c r="Z178" s="37"/>
      <c r="AA178" s="281"/>
      <c r="AB178" s="281"/>
      <c r="AC178" s="281"/>
    </row>
    <row r="179" spans="1:68" ht="27.75" customHeight="1" x14ac:dyDescent="0.2">
      <c r="A179" s="305" t="s">
        <v>261</v>
      </c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48"/>
      <c r="AB179" s="48"/>
      <c r="AC179" s="48"/>
    </row>
    <row r="180" spans="1:68" ht="16.5" customHeight="1" x14ac:dyDescent="0.25">
      <c r="A180" s="300" t="s">
        <v>262</v>
      </c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73"/>
      <c r="AB180" s="273"/>
      <c r="AC180" s="273"/>
    </row>
    <row r="181" spans="1:68" ht="14.25" customHeight="1" x14ac:dyDescent="0.25">
      <c r="A181" s="295" t="s">
        <v>62</v>
      </c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74"/>
      <c r="AB181" s="274"/>
      <c r="AC181" s="274"/>
    </row>
    <row r="182" spans="1:68" ht="16.5" customHeight="1" x14ac:dyDescent="0.25">
      <c r="A182" s="54" t="s">
        <v>263</v>
      </c>
      <c r="B182" s="54" t="s">
        <v>264</v>
      </c>
      <c r="C182" s="31">
        <v>4301071062</v>
      </c>
      <c r="D182" s="293">
        <v>4607111036384</v>
      </c>
      <c r="E182" s="294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3"/>
      <c r="R182" s="283"/>
      <c r="S182" s="283"/>
      <c r="T182" s="284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93">
        <v>4607111036216</v>
      </c>
      <c r="E183" s="294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3"/>
      <c r="R183" s="283"/>
      <c r="S183" s="283"/>
      <c r="T183" s="284"/>
      <c r="U183" s="34"/>
      <c r="V183" s="34"/>
      <c r="W183" s="35" t="s">
        <v>68</v>
      </c>
      <c r="X183" s="278">
        <v>0</v>
      </c>
      <c r="Y183" s="279">
        <f>IFERROR(IF(X183="","",X183),"")</f>
        <v>0</v>
      </c>
      <c r="Z183" s="36">
        <f>IFERROR(IF(X183="","",X183*0.00866),"")</f>
        <v>0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98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9"/>
      <c r="P184" s="289" t="s">
        <v>87</v>
      </c>
      <c r="Q184" s="290"/>
      <c r="R184" s="290"/>
      <c r="S184" s="290"/>
      <c r="T184" s="290"/>
      <c r="U184" s="290"/>
      <c r="V184" s="291"/>
      <c r="W184" s="37" t="s">
        <v>68</v>
      </c>
      <c r="X184" s="280">
        <f>IFERROR(SUM(X182:X183),"0")</f>
        <v>0</v>
      </c>
      <c r="Y184" s="280">
        <f>IFERROR(SUM(Y182:Y183),"0")</f>
        <v>0</v>
      </c>
      <c r="Z184" s="280">
        <f>IFERROR(IF(Z182="",0,Z182),"0")+IFERROR(IF(Z183="",0,Z183),"0")</f>
        <v>0</v>
      </c>
      <c r="AA184" s="281"/>
      <c r="AB184" s="281"/>
      <c r="AC184" s="281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9"/>
      <c r="P185" s="289" t="s">
        <v>87</v>
      </c>
      <c r="Q185" s="290"/>
      <c r="R185" s="290"/>
      <c r="S185" s="290"/>
      <c r="T185" s="290"/>
      <c r="U185" s="290"/>
      <c r="V185" s="291"/>
      <c r="W185" s="37" t="s">
        <v>88</v>
      </c>
      <c r="X185" s="280">
        <f>IFERROR(SUMPRODUCT(X182:X183*H182:H183),"0")</f>
        <v>0</v>
      </c>
      <c r="Y185" s="280">
        <f>IFERROR(SUMPRODUCT(Y182:Y183*H182:H183),"0")</f>
        <v>0</v>
      </c>
      <c r="Z185" s="37"/>
      <c r="AA185" s="281"/>
      <c r="AB185" s="281"/>
      <c r="AC185" s="281"/>
    </row>
    <row r="186" spans="1:68" ht="16.5" customHeight="1" x14ac:dyDescent="0.25">
      <c r="A186" s="300" t="s">
        <v>269</v>
      </c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73"/>
      <c r="AB186" s="273"/>
      <c r="AC186" s="273"/>
    </row>
    <row r="187" spans="1:68" ht="14.25" customHeight="1" x14ac:dyDescent="0.25">
      <c r="A187" s="295" t="s">
        <v>62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4"/>
      <c r="AB187" s="274"/>
      <c r="AC187" s="274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293">
        <v>4620207491737</v>
      </c>
      <c r="E188" s="294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3"/>
      <c r="R188" s="283"/>
      <c r="S188" s="283"/>
      <c r="T188" s="284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x14ac:dyDescent="0.2">
      <c r="A189" s="298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9"/>
      <c r="P189" s="289" t="s">
        <v>87</v>
      </c>
      <c r="Q189" s="290"/>
      <c r="R189" s="290"/>
      <c r="S189" s="290"/>
      <c r="T189" s="290"/>
      <c r="U189" s="290"/>
      <c r="V189" s="291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x14ac:dyDescent="0.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9"/>
      <c r="P190" s="289" t="s">
        <v>87</v>
      </c>
      <c r="Q190" s="290"/>
      <c r="R190" s="290"/>
      <c r="S190" s="290"/>
      <c r="T190" s="290"/>
      <c r="U190" s="290"/>
      <c r="V190" s="291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customHeight="1" x14ac:dyDescent="0.2">
      <c r="A191" s="305" t="s">
        <v>272</v>
      </c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48"/>
      <c r="AB191" s="48"/>
      <c r="AC191" s="48"/>
    </row>
    <row r="192" spans="1:68" ht="16.5" customHeight="1" x14ac:dyDescent="0.25">
      <c r="A192" s="300" t="s">
        <v>273</v>
      </c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73"/>
      <c r="AB192" s="273"/>
      <c r="AC192" s="273"/>
    </row>
    <row r="193" spans="1:68" ht="14.25" customHeight="1" x14ac:dyDescent="0.25">
      <c r="A193" s="295" t="s">
        <v>97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93">
        <v>4607111035691</v>
      </c>
      <c r="E194" s="294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3"/>
      <c r="R194" s="283"/>
      <c r="S194" s="283"/>
      <c r="T194" s="284"/>
      <c r="U194" s="34"/>
      <c r="V194" s="34"/>
      <c r="W194" s="35" t="s">
        <v>68</v>
      </c>
      <c r="X194" s="278">
        <v>70</v>
      </c>
      <c r="Y194" s="279">
        <f>IFERROR(IF(X194="","",X194),"")</f>
        <v>70</v>
      </c>
      <c r="Z194" s="36">
        <f>IFERROR(IF(X194="","",X194*0.01788),"")</f>
        <v>1.2516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237.16</v>
      </c>
      <c r="BN194" s="67">
        <f>IFERROR(Y194*I194,"0")</f>
        <v>237.16</v>
      </c>
      <c r="BO194" s="67">
        <f>IFERROR(X194/J194,"0")</f>
        <v>1</v>
      </c>
      <c r="BP194" s="67">
        <f>IFERROR(Y194/J194,"0")</f>
        <v>1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93">
        <v>4607111035721</v>
      </c>
      <c r="E195" s="294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6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3"/>
      <c r="R195" s="283"/>
      <c r="S195" s="283"/>
      <c r="T195" s="284"/>
      <c r="U195" s="34"/>
      <c r="V195" s="34"/>
      <c r="W195" s="35" t="s">
        <v>68</v>
      </c>
      <c r="X195" s="278">
        <v>28</v>
      </c>
      <c r="Y195" s="279">
        <f>IFERROR(IF(X195="","",X195),"")</f>
        <v>28</v>
      </c>
      <c r="Z195" s="36">
        <f>IFERROR(IF(X195="","",X195*0.01788),"")</f>
        <v>0.50063999999999997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94.864000000000004</v>
      </c>
      <c r="BN195" s="67">
        <f>IFERROR(Y195*I195,"0")</f>
        <v>94.864000000000004</v>
      </c>
      <c r="BO195" s="67">
        <f>IFERROR(X195/J195,"0")</f>
        <v>0.4</v>
      </c>
      <c r="BP195" s="67">
        <f>IFERROR(Y195/J195,"0")</f>
        <v>0.4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93">
        <v>4607111038487</v>
      </c>
      <c r="E196" s="294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3"/>
      <c r="R196" s="283"/>
      <c r="S196" s="283"/>
      <c r="T196" s="284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283</v>
      </c>
      <c r="B197" s="54" t="s">
        <v>284</v>
      </c>
      <c r="C197" s="31">
        <v>4301132243</v>
      </c>
      <c r="D197" s="293">
        <v>4620207491195</v>
      </c>
      <c r="E197" s="294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3"/>
      <c r="R197" s="283"/>
      <c r="S197" s="283"/>
      <c r="T197" s="284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8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9"/>
      <c r="P198" s="289" t="s">
        <v>87</v>
      </c>
      <c r="Q198" s="290"/>
      <c r="R198" s="290"/>
      <c r="S198" s="290"/>
      <c r="T198" s="290"/>
      <c r="U198" s="290"/>
      <c r="V198" s="291"/>
      <c r="W198" s="37" t="s">
        <v>68</v>
      </c>
      <c r="X198" s="280">
        <f>IFERROR(SUM(X194:X197),"0")</f>
        <v>98</v>
      </c>
      <c r="Y198" s="280">
        <f>IFERROR(SUM(Y194:Y197),"0")</f>
        <v>98</v>
      </c>
      <c r="Z198" s="280">
        <f>IFERROR(IF(Z194="",0,Z194),"0")+IFERROR(IF(Z195="",0,Z195),"0")+IFERROR(IF(Z196="",0,Z196),"0")+IFERROR(IF(Z197="",0,Z197),"0")</f>
        <v>1.75224</v>
      </c>
      <c r="AA198" s="281"/>
      <c r="AB198" s="281"/>
      <c r="AC198" s="281"/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9"/>
      <c r="P199" s="289" t="s">
        <v>87</v>
      </c>
      <c r="Q199" s="290"/>
      <c r="R199" s="290"/>
      <c r="S199" s="290"/>
      <c r="T199" s="290"/>
      <c r="U199" s="290"/>
      <c r="V199" s="291"/>
      <c r="W199" s="37" t="s">
        <v>88</v>
      </c>
      <c r="X199" s="280">
        <f>IFERROR(SUMPRODUCT(X194:X197*H194:H197),"0")</f>
        <v>294</v>
      </c>
      <c r="Y199" s="280">
        <f>IFERROR(SUMPRODUCT(Y194:Y197*H194:H197),"0")</f>
        <v>294</v>
      </c>
      <c r="Z199" s="37"/>
      <c r="AA199" s="281"/>
      <c r="AB199" s="281"/>
      <c r="AC199" s="281"/>
    </row>
    <row r="200" spans="1:68" ht="27.75" customHeight="1" x14ac:dyDescent="0.2">
      <c r="A200" s="305" t="s">
        <v>286</v>
      </c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48"/>
      <c r="AB200" s="48"/>
      <c r="AC200" s="48"/>
    </row>
    <row r="201" spans="1:68" ht="16.5" customHeight="1" x14ac:dyDescent="0.25">
      <c r="A201" s="300" t="s">
        <v>287</v>
      </c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73"/>
      <c r="AB201" s="273"/>
      <c r="AC201" s="273"/>
    </row>
    <row r="202" spans="1:68" ht="14.25" customHeight="1" x14ac:dyDescent="0.25">
      <c r="A202" s="295" t="s">
        <v>97</v>
      </c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93">
        <v>4620207491133</v>
      </c>
      <c r="E203" s="294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x14ac:dyDescent="0.2">
      <c r="A204" s="298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9"/>
      <c r="P204" s="289" t="s">
        <v>87</v>
      </c>
      <c r="Q204" s="290"/>
      <c r="R204" s="290"/>
      <c r="S204" s="290"/>
      <c r="T204" s="290"/>
      <c r="U204" s="290"/>
      <c r="V204" s="291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9"/>
      <c r="P205" s="289" t="s">
        <v>87</v>
      </c>
      <c r="Q205" s="290"/>
      <c r="R205" s="290"/>
      <c r="S205" s="290"/>
      <c r="T205" s="290"/>
      <c r="U205" s="290"/>
      <c r="V205" s="291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customHeight="1" x14ac:dyDescent="0.25">
      <c r="A206" s="295" t="s">
        <v>141</v>
      </c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293">
        <v>4620207491188</v>
      </c>
      <c r="E207" s="294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3"/>
      <c r="R207" s="283"/>
      <c r="S207" s="283"/>
      <c r="T207" s="284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294</v>
      </c>
      <c r="B208" s="54" t="s">
        <v>295</v>
      </c>
      <c r="C208" s="31">
        <v>4301135829</v>
      </c>
      <c r="D208" s="293">
        <v>4620207490235</v>
      </c>
      <c r="E208" s="294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7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297</v>
      </c>
      <c r="B209" s="54" t="s">
        <v>298</v>
      </c>
      <c r="C209" s="31">
        <v>4301135697</v>
      </c>
      <c r="D209" s="293">
        <v>4620207490259</v>
      </c>
      <c r="E209" s="294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1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98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9"/>
      <c r="P210" s="289" t="s">
        <v>87</v>
      </c>
      <c r="Q210" s="290"/>
      <c r="R210" s="290"/>
      <c r="S210" s="290"/>
      <c r="T210" s="290"/>
      <c r="U210" s="290"/>
      <c r="V210" s="291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9"/>
      <c r="P211" s="289" t="s">
        <v>87</v>
      </c>
      <c r="Q211" s="290"/>
      <c r="R211" s="290"/>
      <c r="S211" s="290"/>
      <c r="T211" s="290"/>
      <c r="U211" s="290"/>
      <c r="V211" s="291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customHeight="1" x14ac:dyDescent="0.25">
      <c r="A212" s="300" t="s">
        <v>300</v>
      </c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73"/>
      <c r="AB212" s="273"/>
      <c r="AC212" s="273"/>
    </row>
    <row r="213" spans="1:68" ht="14.25" customHeight="1" x14ac:dyDescent="0.25">
      <c r="A213" s="295" t="s">
        <v>141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4"/>
      <c r="AB213" s="274"/>
      <c r="AC213" s="274"/>
    </row>
    <row r="214" spans="1:68" ht="27" customHeight="1" x14ac:dyDescent="0.25">
      <c r="A214" s="54" t="s">
        <v>301</v>
      </c>
      <c r="B214" s="54" t="s">
        <v>302</v>
      </c>
      <c r="C214" s="31">
        <v>4301135854</v>
      </c>
      <c r="D214" s="293">
        <v>4620207491706</v>
      </c>
      <c r="E214" s="294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304</v>
      </c>
      <c r="B215" s="54" t="s">
        <v>305</v>
      </c>
      <c r="C215" s="31">
        <v>4301135895</v>
      </c>
      <c r="D215" s="293">
        <v>4620207491522</v>
      </c>
      <c r="E215" s="294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0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8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9"/>
      <c r="P216" s="289" t="s">
        <v>87</v>
      </c>
      <c r="Q216" s="290"/>
      <c r="R216" s="290"/>
      <c r="S216" s="290"/>
      <c r="T216" s="290"/>
      <c r="U216" s="290"/>
      <c r="V216" s="291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9"/>
      <c r="P217" s="289" t="s">
        <v>87</v>
      </c>
      <c r="Q217" s="290"/>
      <c r="R217" s="290"/>
      <c r="S217" s="290"/>
      <c r="T217" s="290"/>
      <c r="U217" s="290"/>
      <c r="V217" s="291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customHeight="1" x14ac:dyDescent="0.25">
      <c r="A218" s="300" t="s">
        <v>307</v>
      </c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73"/>
      <c r="AB218" s="273"/>
      <c r="AC218" s="273"/>
    </row>
    <row r="219" spans="1:68" ht="14.25" customHeight="1" x14ac:dyDescent="0.25">
      <c r="A219" s="295" t="s">
        <v>62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93">
        <v>4620207491096</v>
      </c>
      <c r="E220" s="294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8">
        <v>0</v>
      </c>
      <c r="Y220" s="279">
        <f>IFERROR(IF(X220="","",X220),"")</f>
        <v>0</v>
      </c>
      <c r="Z220" s="36">
        <f>IFERROR(IF(X220="","",X220*0.0155),"")</f>
        <v>0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98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9"/>
      <c r="P221" s="289" t="s">
        <v>87</v>
      </c>
      <c r="Q221" s="290"/>
      <c r="R221" s="290"/>
      <c r="S221" s="290"/>
      <c r="T221" s="290"/>
      <c r="U221" s="290"/>
      <c r="V221" s="291"/>
      <c r="W221" s="37" t="s">
        <v>68</v>
      </c>
      <c r="X221" s="280">
        <f>IFERROR(SUM(X220:X220),"0")</f>
        <v>0</v>
      </c>
      <c r="Y221" s="280">
        <f>IFERROR(SUM(Y220:Y220),"0")</f>
        <v>0</v>
      </c>
      <c r="Z221" s="280">
        <f>IFERROR(IF(Z220="",0,Z220),"0")</f>
        <v>0</v>
      </c>
      <c r="AA221" s="281"/>
      <c r="AB221" s="281"/>
      <c r="AC221" s="281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9"/>
      <c r="P222" s="289" t="s">
        <v>87</v>
      </c>
      <c r="Q222" s="290"/>
      <c r="R222" s="290"/>
      <c r="S222" s="290"/>
      <c r="T222" s="290"/>
      <c r="U222" s="290"/>
      <c r="V222" s="291"/>
      <c r="W222" s="37" t="s">
        <v>88</v>
      </c>
      <c r="X222" s="280">
        <f>IFERROR(SUMPRODUCT(X220:X220*H220:H220),"0")</f>
        <v>0</v>
      </c>
      <c r="Y222" s="280">
        <f>IFERROR(SUMPRODUCT(Y220:Y220*H220:H220),"0")</f>
        <v>0</v>
      </c>
      <c r="Z222" s="37"/>
      <c r="AA222" s="281"/>
      <c r="AB222" s="281"/>
      <c r="AC222" s="281"/>
    </row>
    <row r="223" spans="1:68" ht="16.5" customHeight="1" x14ac:dyDescent="0.25">
      <c r="A223" s="300" t="s">
        <v>311</v>
      </c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73"/>
      <c r="AB223" s="273"/>
      <c r="AC223" s="273"/>
    </row>
    <row r="224" spans="1:68" ht="14.25" customHeight="1" x14ac:dyDescent="0.25">
      <c r="A224" s="295" t="s">
        <v>141</v>
      </c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74"/>
      <c r="AB224" s="274"/>
      <c r="AC224" s="274"/>
    </row>
    <row r="225" spans="1:68" ht="27" customHeight="1" x14ac:dyDescent="0.25">
      <c r="A225" s="54" t="s">
        <v>312</v>
      </c>
      <c r="B225" s="54" t="s">
        <v>313</v>
      </c>
      <c r="C225" s="31">
        <v>4301135694</v>
      </c>
      <c r="D225" s="293">
        <v>4620207490501</v>
      </c>
      <c r="E225" s="294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3"/>
      <c r="R225" s="283"/>
      <c r="S225" s="283"/>
      <c r="T225" s="284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x14ac:dyDescent="0.2">
      <c r="A226" s="298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9"/>
      <c r="P226" s="289" t="s">
        <v>87</v>
      </c>
      <c r="Q226" s="290"/>
      <c r="R226" s="290"/>
      <c r="S226" s="290"/>
      <c r="T226" s="290"/>
      <c r="U226" s="290"/>
      <c r="V226" s="291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9"/>
      <c r="P227" s="289" t="s">
        <v>87</v>
      </c>
      <c r="Q227" s="290"/>
      <c r="R227" s="290"/>
      <c r="S227" s="290"/>
      <c r="T227" s="290"/>
      <c r="U227" s="290"/>
      <c r="V227" s="291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customHeight="1" x14ac:dyDescent="0.2">
      <c r="A228" s="305" t="s">
        <v>315</v>
      </c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48"/>
      <c r="AB228" s="48"/>
      <c r="AC228" s="48"/>
    </row>
    <row r="229" spans="1:68" ht="16.5" customHeight="1" x14ac:dyDescent="0.25">
      <c r="A229" s="300" t="s">
        <v>316</v>
      </c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73"/>
      <c r="AB229" s="273"/>
      <c r="AC229" s="273"/>
    </row>
    <row r="230" spans="1:68" ht="14.25" customHeight="1" x14ac:dyDescent="0.25">
      <c r="A230" s="295" t="s">
        <v>62</v>
      </c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74"/>
      <c r="AB230" s="274"/>
      <c r="AC230" s="274"/>
    </row>
    <row r="231" spans="1:68" ht="27" customHeight="1" x14ac:dyDescent="0.25">
      <c r="A231" s="54" t="s">
        <v>317</v>
      </c>
      <c r="B231" s="54" t="s">
        <v>318</v>
      </c>
      <c r="C231" s="31">
        <v>4301071036</v>
      </c>
      <c r="D231" s="293">
        <v>4607111036162</v>
      </c>
      <c r="E231" s="294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2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8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9"/>
      <c r="P232" s="289" t="s">
        <v>87</v>
      </c>
      <c r="Q232" s="290"/>
      <c r="R232" s="290"/>
      <c r="S232" s="290"/>
      <c r="T232" s="290"/>
      <c r="U232" s="290"/>
      <c r="V232" s="291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9"/>
      <c r="P233" s="289" t="s">
        <v>87</v>
      </c>
      <c r="Q233" s="290"/>
      <c r="R233" s="290"/>
      <c r="S233" s="290"/>
      <c r="T233" s="290"/>
      <c r="U233" s="290"/>
      <c r="V233" s="291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customHeight="1" x14ac:dyDescent="0.2">
      <c r="A234" s="305" t="s">
        <v>320</v>
      </c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48"/>
      <c r="AB234" s="48"/>
      <c r="AC234" s="48"/>
    </row>
    <row r="235" spans="1:68" ht="16.5" customHeight="1" x14ac:dyDescent="0.25">
      <c r="A235" s="300" t="s">
        <v>321</v>
      </c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73"/>
      <c r="AB235" s="273"/>
      <c r="AC235" s="273"/>
    </row>
    <row r="236" spans="1:68" ht="14.25" customHeight="1" x14ac:dyDescent="0.25">
      <c r="A236" s="295" t="s">
        <v>322</v>
      </c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74"/>
      <c r="AB236" s="274"/>
      <c r="AC236" s="274"/>
    </row>
    <row r="237" spans="1:68" ht="27" customHeight="1" x14ac:dyDescent="0.25">
      <c r="A237" s="54" t="s">
        <v>323</v>
      </c>
      <c r="B237" s="54" t="s">
        <v>324</v>
      </c>
      <c r="C237" s="31">
        <v>4301133004</v>
      </c>
      <c r="D237" s="293">
        <v>4607111039774</v>
      </c>
      <c r="E237" s="294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8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9"/>
      <c r="P238" s="289" t="s">
        <v>87</v>
      </c>
      <c r="Q238" s="290"/>
      <c r="R238" s="290"/>
      <c r="S238" s="290"/>
      <c r="T238" s="290"/>
      <c r="U238" s="290"/>
      <c r="V238" s="291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9"/>
      <c r="P239" s="289" t="s">
        <v>87</v>
      </c>
      <c r="Q239" s="290"/>
      <c r="R239" s="290"/>
      <c r="S239" s="290"/>
      <c r="T239" s="290"/>
      <c r="U239" s="290"/>
      <c r="V239" s="291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customHeight="1" x14ac:dyDescent="0.25">
      <c r="A240" s="295" t="s">
        <v>141</v>
      </c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74"/>
      <c r="AB240" s="274"/>
      <c r="AC240" s="274"/>
    </row>
    <row r="241" spans="1:68" ht="37.5" customHeight="1" x14ac:dyDescent="0.25">
      <c r="A241" s="54" t="s">
        <v>326</v>
      </c>
      <c r="B241" s="54" t="s">
        <v>327</v>
      </c>
      <c r="C241" s="31">
        <v>4301135400</v>
      </c>
      <c r="D241" s="293">
        <v>4607111039361</v>
      </c>
      <c r="E241" s="294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98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9"/>
      <c r="P242" s="289" t="s">
        <v>87</v>
      </c>
      <c r="Q242" s="290"/>
      <c r="R242" s="290"/>
      <c r="S242" s="290"/>
      <c r="T242" s="290"/>
      <c r="U242" s="290"/>
      <c r="V242" s="291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9"/>
      <c r="P243" s="289" t="s">
        <v>87</v>
      </c>
      <c r="Q243" s="290"/>
      <c r="R243" s="290"/>
      <c r="S243" s="290"/>
      <c r="T243" s="290"/>
      <c r="U243" s="290"/>
      <c r="V243" s="291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customHeight="1" x14ac:dyDescent="0.2">
      <c r="A244" s="305" t="s">
        <v>328</v>
      </c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48"/>
      <c r="AB244" s="48"/>
      <c r="AC244" s="48"/>
    </row>
    <row r="245" spans="1:68" ht="16.5" customHeight="1" x14ac:dyDescent="0.25">
      <c r="A245" s="300" t="s">
        <v>328</v>
      </c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73"/>
      <c r="AB245" s="273"/>
      <c r="AC245" s="273"/>
    </row>
    <row r="246" spans="1:68" ht="14.25" customHeight="1" x14ac:dyDescent="0.25">
      <c r="A246" s="295" t="s">
        <v>135</v>
      </c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74"/>
      <c r="AB246" s="274"/>
      <c r="AC246" s="274"/>
    </row>
    <row r="247" spans="1:68" ht="27" customHeight="1" x14ac:dyDescent="0.25">
      <c r="A247" s="54" t="s">
        <v>329</v>
      </c>
      <c r="B247" s="54" t="s">
        <v>330</v>
      </c>
      <c r="C247" s="31">
        <v>4301136098</v>
      </c>
      <c r="D247" s="293">
        <v>4640242181943</v>
      </c>
      <c r="E247" s="294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8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9"/>
      <c r="P248" s="289" t="s">
        <v>87</v>
      </c>
      <c r="Q248" s="290"/>
      <c r="R248" s="290"/>
      <c r="S248" s="290"/>
      <c r="T248" s="290"/>
      <c r="U248" s="290"/>
      <c r="V248" s="291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9"/>
      <c r="P249" s="289" t="s">
        <v>87</v>
      </c>
      <c r="Q249" s="290"/>
      <c r="R249" s="290"/>
      <c r="S249" s="290"/>
      <c r="T249" s="290"/>
      <c r="U249" s="290"/>
      <c r="V249" s="291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customHeight="1" x14ac:dyDescent="0.2">
      <c r="A250" s="305" t="s">
        <v>332</v>
      </c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48"/>
      <c r="AB250" s="48"/>
      <c r="AC250" s="48"/>
    </row>
    <row r="251" spans="1:68" ht="16.5" customHeight="1" x14ac:dyDescent="0.25">
      <c r="A251" s="300" t="s">
        <v>332</v>
      </c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73"/>
      <c r="AB251" s="273"/>
      <c r="AC251" s="273"/>
    </row>
    <row r="252" spans="1:68" ht="14.25" customHeight="1" x14ac:dyDescent="0.25">
      <c r="A252" s="295" t="s">
        <v>62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4"/>
      <c r="AB252" s="274"/>
      <c r="AC252" s="274"/>
    </row>
    <row r="253" spans="1:68" ht="27" customHeight="1" x14ac:dyDescent="0.25">
      <c r="A253" s="54" t="s">
        <v>333</v>
      </c>
      <c r="B253" s="54" t="s">
        <v>334</v>
      </c>
      <c r="C253" s="31">
        <v>4301071014</v>
      </c>
      <c r="D253" s="293">
        <v>4640242181264</v>
      </c>
      <c r="E253" s="294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93">
        <v>4640242181325</v>
      </c>
      <c r="E254" s="294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8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9"/>
      <c r="P255" s="289" t="s">
        <v>87</v>
      </c>
      <c r="Q255" s="290"/>
      <c r="R255" s="290"/>
      <c r="S255" s="290"/>
      <c r="T255" s="290"/>
      <c r="U255" s="290"/>
      <c r="V255" s="291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9"/>
      <c r="P256" s="289" t="s">
        <v>87</v>
      </c>
      <c r="Q256" s="290"/>
      <c r="R256" s="290"/>
      <c r="S256" s="290"/>
      <c r="T256" s="290"/>
      <c r="U256" s="290"/>
      <c r="V256" s="291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customHeight="1" x14ac:dyDescent="0.25">
      <c r="A257" s="295" t="s">
        <v>97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93">
        <v>4640242180397</v>
      </c>
      <c r="E258" s="294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98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9"/>
      <c r="P259" s="289" t="s">
        <v>87</v>
      </c>
      <c r="Q259" s="290"/>
      <c r="R259" s="290"/>
      <c r="S259" s="290"/>
      <c r="T259" s="290"/>
      <c r="U259" s="290"/>
      <c r="V259" s="291"/>
      <c r="W259" s="37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x14ac:dyDescent="0.2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9"/>
      <c r="P260" s="289" t="s">
        <v>87</v>
      </c>
      <c r="Q260" s="290"/>
      <c r="R260" s="290"/>
      <c r="S260" s="290"/>
      <c r="T260" s="290"/>
      <c r="U260" s="290"/>
      <c r="V260" s="291"/>
      <c r="W260" s="37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7"/>
      <c r="AA260" s="281"/>
      <c r="AB260" s="281"/>
      <c r="AC260" s="281"/>
    </row>
    <row r="261" spans="1:68" ht="14.25" customHeight="1" x14ac:dyDescent="0.25">
      <c r="A261" s="295" t="s">
        <v>135</v>
      </c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93">
        <v>4640242180304</v>
      </c>
      <c r="E262" s="294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5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93">
        <v>4640242180236</v>
      </c>
      <c r="E263" s="294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4"/>
      <c r="V263" s="34"/>
      <c r="W263" s="35" t="s">
        <v>68</v>
      </c>
      <c r="X263" s="278">
        <v>96</v>
      </c>
      <c r="Y263" s="279">
        <f>IFERROR(IF(X263="","",X263),"")</f>
        <v>96</v>
      </c>
      <c r="Z263" s="36">
        <f>IFERROR(IF(X263="","",X263*0.0155),"")</f>
        <v>1.488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502.56000000000006</v>
      </c>
      <c r="BN263" s="67">
        <f>IFERROR(Y263*I263,"0")</f>
        <v>502.56000000000006</v>
      </c>
      <c r="BO263" s="67">
        <f>IFERROR(X263/J263,"0")</f>
        <v>1.1428571428571428</v>
      </c>
      <c r="BP263" s="67">
        <f>IFERROR(Y263/J263,"0")</f>
        <v>1.1428571428571428</v>
      </c>
    </row>
    <row r="264" spans="1:68" ht="27" customHeight="1" x14ac:dyDescent="0.25">
      <c r="A264" s="54" t="s">
        <v>346</v>
      </c>
      <c r="B264" s="54" t="s">
        <v>347</v>
      </c>
      <c r="C264" s="31">
        <v>4301136052</v>
      </c>
      <c r="D264" s="293">
        <v>4640242180410</v>
      </c>
      <c r="E264" s="294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9"/>
      <c r="P265" s="289" t="s">
        <v>87</v>
      </c>
      <c r="Q265" s="290"/>
      <c r="R265" s="290"/>
      <c r="S265" s="290"/>
      <c r="T265" s="290"/>
      <c r="U265" s="290"/>
      <c r="V265" s="291"/>
      <c r="W265" s="37" t="s">
        <v>68</v>
      </c>
      <c r="X265" s="280">
        <f>IFERROR(SUM(X262:X264),"0")</f>
        <v>96</v>
      </c>
      <c r="Y265" s="280">
        <f>IFERROR(SUM(Y262:Y264),"0")</f>
        <v>96</v>
      </c>
      <c r="Z265" s="280">
        <f>IFERROR(IF(Z262="",0,Z262),"0")+IFERROR(IF(Z263="",0,Z263),"0")+IFERROR(IF(Z264="",0,Z264),"0")</f>
        <v>1.488</v>
      </c>
      <c r="AA265" s="281"/>
      <c r="AB265" s="281"/>
      <c r="AC265" s="281"/>
    </row>
    <row r="266" spans="1:68" x14ac:dyDescent="0.2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9"/>
      <c r="P266" s="289" t="s">
        <v>87</v>
      </c>
      <c r="Q266" s="290"/>
      <c r="R266" s="290"/>
      <c r="S266" s="290"/>
      <c r="T266" s="290"/>
      <c r="U266" s="290"/>
      <c r="V266" s="291"/>
      <c r="W266" s="37" t="s">
        <v>88</v>
      </c>
      <c r="X266" s="280">
        <f>IFERROR(SUMPRODUCT(X262:X264*H262:H264),"0")</f>
        <v>480</v>
      </c>
      <c r="Y266" s="280">
        <f>IFERROR(SUMPRODUCT(Y262:Y264*H262:H264),"0")</f>
        <v>480</v>
      </c>
      <c r="Z266" s="37"/>
      <c r="AA266" s="281"/>
      <c r="AB266" s="281"/>
      <c r="AC266" s="281"/>
    </row>
    <row r="267" spans="1:68" ht="14.25" customHeight="1" x14ac:dyDescent="0.25">
      <c r="A267" s="295" t="s">
        <v>141</v>
      </c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74"/>
      <c r="AB267" s="274"/>
      <c r="AC267" s="274"/>
    </row>
    <row r="268" spans="1:68" ht="37.5" customHeight="1" x14ac:dyDescent="0.25">
      <c r="A268" s="54" t="s">
        <v>348</v>
      </c>
      <c r="B268" s="54" t="s">
        <v>349</v>
      </c>
      <c r="C268" s="31">
        <v>4301135504</v>
      </c>
      <c r="D268" s="293">
        <v>4640242181554</v>
      </c>
      <c r="E268" s="294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93">
        <v>4640242182087</v>
      </c>
      <c r="E269" s="294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3"/>
      <c r="R269" s="283"/>
      <c r="S269" s="283"/>
      <c r="T269" s="284"/>
      <c r="U269" s="34"/>
      <c r="V269" s="34"/>
      <c r="W269" s="35" t="s">
        <v>68</v>
      </c>
      <c r="X269" s="278">
        <v>48</v>
      </c>
      <c r="Y269" s="279">
        <f t="shared" si="18"/>
        <v>48</v>
      </c>
      <c r="Z269" s="36">
        <f>IFERROR(IF(X269="","",X269*0.0155),"")</f>
        <v>0.74399999999999999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251.04000000000002</v>
      </c>
      <c r="BN269" s="67">
        <f t="shared" si="20"/>
        <v>251.04000000000002</v>
      </c>
      <c r="BO269" s="67">
        <f t="shared" si="21"/>
        <v>0.5714285714285714</v>
      </c>
      <c r="BP269" s="67">
        <f t="shared" si="22"/>
        <v>0.5714285714285714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93">
        <v>4640242181424</v>
      </c>
      <c r="E270" s="294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4"/>
      <c r="V270" s="34"/>
      <c r="W270" s="35" t="s">
        <v>68</v>
      </c>
      <c r="X270" s="278">
        <v>0</v>
      </c>
      <c r="Y270" s="279">
        <f t="shared" si="18"/>
        <v>0</v>
      </c>
      <c r="Z270" s="36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93">
        <v>4640242181523</v>
      </c>
      <c r="E271" s="294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93">
        <v>4640242181486</v>
      </c>
      <c r="E272" s="294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360</v>
      </c>
      <c r="B273" s="54" t="s">
        <v>361</v>
      </c>
      <c r="C273" s="31">
        <v>4301135402</v>
      </c>
      <c r="D273" s="293">
        <v>4640242181493</v>
      </c>
      <c r="E273" s="294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362</v>
      </c>
      <c r="B274" s="54" t="s">
        <v>363</v>
      </c>
      <c r="C274" s="31">
        <v>4301135403</v>
      </c>
      <c r="D274" s="293">
        <v>4640242181509</v>
      </c>
      <c r="E274" s="294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364</v>
      </c>
      <c r="B275" s="54" t="s">
        <v>365</v>
      </c>
      <c r="C275" s="31">
        <v>4301135304</v>
      </c>
      <c r="D275" s="293">
        <v>4640242181240</v>
      </c>
      <c r="E275" s="294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366</v>
      </c>
      <c r="B276" s="54" t="s">
        <v>367</v>
      </c>
      <c r="C276" s="31">
        <v>4301135610</v>
      </c>
      <c r="D276" s="293">
        <v>4640242181318</v>
      </c>
      <c r="E276" s="294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368</v>
      </c>
      <c r="B277" s="54" t="s">
        <v>369</v>
      </c>
      <c r="C277" s="31">
        <v>4301135306</v>
      </c>
      <c r="D277" s="293">
        <v>4640242181387</v>
      </c>
      <c r="E277" s="294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9"/>
      <c r="P278" s="289" t="s">
        <v>87</v>
      </c>
      <c r="Q278" s="290"/>
      <c r="R278" s="290"/>
      <c r="S278" s="290"/>
      <c r="T278" s="290"/>
      <c r="U278" s="290"/>
      <c r="V278" s="291"/>
      <c r="W278" s="37" t="s">
        <v>68</v>
      </c>
      <c r="X278" s="280">
        <f>IFERROR(SUM(X268:X277),"0")</f>
        <v>48</v>
      </c>
      <c r="Y278" s="280">
        <f>IFERROR(SUM(Y268:Y277),"0")</f>
        <v>48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0.74399999999999999</v>
      </c>
      <c r="AA278" s="281"/>
      <c r="AB278" s="281"/>
      <c r="AC278" s="281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9"/>
      <c r="P279" s="289" t="s">
        <v>87</v>
      </c>
      <c r="Q279" s="290"/>
      <c r="R279" s="290"/>
      <c r="S279" s="290"/>
      <c r="T279" s="290"/>
      <c r="U279" s="290"/>
      <c r="V279" s="291"/>
      <c r="W279" s="37" t="s">
        <v>88</v>
      </c>
      <c r="X279" s="280">
        <f>IFERROR(SUMPRODUCT(X268:X277*H268:H277),"0")</f>
        <v>240</v>
      </c>
      <c r="Y279" s="280">
        <f>IFERROR(SUMPRODUCT(Y268:Y277*H268:H277),"0")</f>
        <v>240</v>
      </c>
      <c r="Z279" s="37"/>
      <c r="AA279" s="281"/>
      <c r="AB279" s="281"/>
      <c r="AC279" s="281"/>
    </row>
    <row r="280" spans="1:68" ht="15" customHeight="1" x14ac:dyDescent="0.2">
      <c r="A280" s="458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84"/>
      <c r="P280" s="330" t="s">
        <v>370</v>
      </c>
      <c r="Q280" s="331"/>
      <c r="R280" s="331"/>
      <c r="S280" s="331"/>
      <c r="T280" s="331"/>
      <c r="U280" s="331"/>
      <c r="V280" s="332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9308.8799999999992</v>
      </c>
      <c r="Y280" s="280">
        <f>IFERROR(Y31+Y37+Y44+Y51+Y59+Y64+Y68+Y73+Y79+Y85+Y90+Y96+Y106+Y112+Y123+Y127+Y131+Y139+Y145+Y151+Y157+Y163+Y168+Y173+Y178+Y185+Y190+Y199+Y205+Y211+Y217+Y222+Y227+Y233+Y239+Y243+Y249+Y256+Y260+Y266+Y279,"0")</f>
        <v>9308.8799999999992</v>
      </c>
      <c r="Z280" s="37"/>
      <c r="AA280" s="281"/>
      <c r="AB280" s="281"/>
      <c r="AC280" s="281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84"/>
      <c r="P281" s="330" t="s">
        <v>371</v>
      </c>
      <c r="Q281" s="331"/>
      <c r="R281" s="331"/>
      <c r="S281" s="331"/>
      <c r="T281" s="331"/>
      <c r="U281" s="331"/>
      <c r="V281" s="332"/>
      <c r="W281" s="37" t="s">
        <v>88</v>
      </c>
      <c r="X281" s="280">
        <f>IFERROR(SUM(BM22:BM277),"0")</f>
        <v>10338.9048</v>
      </c>
      <c r="Y281" s="280">
        <f>IFERROR(SUM(BN22:BN277),"0")</f>
        <v>10338.9048</v>
      </c>
      <c r="Z281" s="37"/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84"/>
      <c r="P282" s="330" t="s">
        <v>372</v>
      </c>
      <c r="Q282" s="331"/>
      <c r="R282" s="331"/>
      <c r="S282" s="331"/>
      <c r="T282" s="331"/>
      <c r="U282" s="331"/>
      <c r="V282" s="332"/>
      <c r="W282" s="37" t="s">
        <v>373</v>
      </c>
      <c r="X282" s="38">
        <f>ROUNDUP(SUM(BO22:BO277),0)</f>
        <v>27</v>
      </c>
      <c r="Y282" s="38">
        <f>ROUNDUP(SUM(BP22:BP277),0)</f>
        <v>27</v>
      </c>
      <c r="Z282" s="37"/>
      <c r="AA282" s="281"/>
      <c r="AB282" s="281"/>
      <c r="AC282" s="281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84"/>
      <c r="P283" s="330" t="s">
        <v>374</v>
      </c>
      <c r="Q283" s="331"/>
      <c r="R283" s="331"/>
      <c r="S283" s="331"/>
      <c r="T283" s="331"/>
      <c r="U283" s="331"/>
      <c r="V283" s="332"/>
      <c r="W283" s="37" t="s">
        <v>88</v>
      </c>
      <c r="X283" s="280">
        <f>GrossWeightTotal+PalletQtyTotal*25</f>
        <v>11013.9048</v>
      </c>
      <c r="Y283" s="280">
        <f>GrossWeightTotalR+PalletQtyTotalR*25</f>
        <v>11013.9048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84"/>
      <c r="P284" s="330" t="s">
        <v>375</v>
      </c>
      <c r="Q284" s="331"/>
      <c r="R284" s="331"/>
      <c r="S284" s="331"/>
      <c r="T284" s="331"/>
      <c r="U284" s="331"/>
      <c r="V284" s="332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2310</v>
      </c>
      <c r="Y284" s="280">
        <f>IFERROR(Y30+Y36+Y43+Y50+Y58+Y63+Y67+Y72+Y78+Y84+Y89+Y95+Y105+Y111+Y122+Y126+Y130+Y138+Y144+Y150+Y156+Y162+Y167+Y172+Y177+Y184+Y189+Y198+Y204+Y210+Y216+Y221+Y226+Y232+Y238+Y242+Y248+Y255+Y259+Y265+Y278,"0")</f>
        <v>2310</v>
      </c>
      <c r="Z284" s="37"/>
      <c r="AA284" s="281"/>
      <c r="AB284" s="281"/>
      <c r="AC284" s="281"/>
    </row>
    <row r="285" spans="1:68" ht="14.25" customHeight="1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84"/>
      <c r="P285" s="330" t="s">
        <v>376</v>
      </c>
      <c r="Q285" s="331"/>
      <c r="R285" s="331"/>
      <c r="S285" s="331"/>
      <c r="T285" s="331"/>
      <c r="U285" s="331"/>
      <c r="V285" s="332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34.387380000000007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5" t="s">
        <v>61</v>
      </c>
      <c r="C287" s="314"/>
      <c r="D287" s="285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14"/>
      <c r="V287" s="285" t="s">
        <v>261</v>
      </c>
      <c r="W287" s="314"/>
      <c r="X287" s="275" t="s">
        <v>272</v>
      </c>
      <c r="Y287" s="285" t="s">
        <v>286</v>
      </c>
      <c r="Z287" s="381"/>
      <c r="AA287" s="381"/>
      <c r="AB287" s="314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35" t="s">
        <v>379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117</v>
      </c>
      <c r="G288" s="285" t="s">
        <v>128</v>
      </c>
      <c r="H288" s="285" t="s">
        <v>149</v>
      </c>
      <c r="I288" s="285" t="s">
        <v>156</v>
      </c>
      <c r="J288" s="285" t="s">
        <v>160</v>
      </c>
      <c r="K288" s="285" t="s">
        <v>168</v>
      </c>
      <c r="L288" s="285" t="s">
        <v>183</v>
      </c>
      <c r="M288" s="285" t="s">
        <v>189</v>
      </c>
      <c r="N288" s="276"/>
      <c r="O288" s="285" t="s">
        <v>214</v>
      </c>
      <c r="P288" s="285" t="s">
        <v>232</v>
      </c>
      <c r="Q288" s="285" t="s">
        <v>238</v>
      </c>
      <c r="R288" s="285" t="s">
        <v>245</v>
      </c>
      <c r="S288" s="285" t="s">
        <v>250</v>
      </c>
      <c r="T288" s="285" t="s">
        <v>254</v>
      </c>
      <c r="U288" s="285" t="s">
        <v>257</v>
      </c>
      <c r="V288" s="285" t="s">
        <v>262</v>
      </c>
      <c r="W288" s="285" t="s">
        <v>269</v>
      </c>
      <c r="X288" s="285" t="s">
        <v>273</v>
      </c>
      <c r="Y288" s="285" t="s">
        <v>287</v>
      </c>
      <c r="Z288" s="285" t="s">
        <v>300</v>
      </c>
      <c r="AA288" s="285" t="s">
        <v>307</v>
      </c>
      <c r="AB288" s="285" t="s">
        <v>311</v>
      </c>
      <c r="AC288" s="285" t="s">
        <v>316</v>
      </c>
      <c r="AD288" s="285" t="s">
        <v>321</v>
      </c>
      <c r="AE288" s="285" t="s">
        <v>328</v>
      </c>
      <c r="AF288" s="285" t="s">
        <v>332</v>
      </c>
    </row>
    <row r="289" spans="1:32" ht="13.5" customHeight="1" thickBot="1" x14ac:dyDescent="0.25">
      <c r="A289" s="33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172.8</v>
      </c>
      <c r="C290" s="46">
        <f>IFERROR(X34*H34,"0")+IFERROR(X35*H35,"0")</f>
        <v>0</v>
      </c>
      <c r="D290" s="46">
        <f>IFERROR(X41*H41,"0")+IFERROR(X42*H42,"0")</f>
        <v>252</v>
      </c>
      <c r="E290" s="46">
        <f>IFERROR(X47*H47,"0")+IFERROR(X48*H48,"0")+IFERROR(X49*H49,"0")</f>
        <v>134.39999999999998</v>
      </c>
      <c r="F290" s="46">
        <f>IFERROR(X54*H54,"0")+IFERROR(X55*H55,"0")+IFERROR(X56*H56,"0")+IFERROR(X57*H57,"0")</f>
        <v>840</v>
      </c>
      <c r="G290" s="46">
        <f>IFERROR(X62*H62,"0")+IFERROR(X66*H66,"0")+IFERROR(X70*H70,"0")+IFERROR(X71*H71,"0")+IFERROR(X75*H75,"0")+IFERROR(X76*H76,"0")+IFERROR(X77*H77,"0")</f>
        <v>33.6</v>
      </c>
      <c r="H290" s="46">
        <f>IFERROR(X82*H82,"0")+IFERROR(X83*H83,"0")</f>
        <v>1020</v>
      </c>
      <c r="I290" s="46">
        <f>IFERROR(X88*H88,"0")</f>
        <v>50.4</v>
      </c>
      <c r="J290" s="46">
        <f>IFERROR(X93*H93,"0")+IFERROR(X94*H94,"0")</f>
        <v>403.2</v>
      </c>
      <c r="K290" s="46">
        <f>IFERROR(X99*H99,"0")+IFERROR(X100*H100,"0")+IFERROR(X101*H101,"0")+IFERROR(X102*H102,"0")+IFERROR(X103*H103,"0")+IFERROR(X104*H104,"0")</f>
        <v>816.48</v>
      </c>
      <c r="L290" s="46">
        <f>IFERROR(X109*H109,"0")+IFERROR(X110*H110,"0")</f>
        <v>80.64</v>
      </c>
      <c r="M290" s="46">
        <f>IFERROR(X115*H115,"0")+IFERROR(X116*H116,"0")+IFERROR(X117*H117,"0")+IFERROR(X118*H118,"0")+IFERROR(X119*H119,"0")+IFERROR(X120*H120,"0")+IFERROR(X121*H121,"0")+IFERROR(X125*H125,"0")+IFERROR(X129*H129,"0")</f>
        <v>2791.2</v>
      </c>
      <c r="N290" s="276"/>
      <c r="O290" s="46">
        <f>IFERROR(X134*H134,"0")+IFERROR(X135*H135,"0")+IFERROR(X136*H136,"0")+IFERROR(X137*H137,"0")+IFERROR(X141*H141,"0")+IFERROR(X142*H142,"0")+IFERROR(X143*H143,"0")</f>
        <v>92.4</v>
      </c>
      <c r="P290" s="46">
        <f>IFERROR(X148*H148,"0")+IFERROR(X149*H149,"0")</f>
        <v>756</v>
      </c>
      <c r="Q290" s="46">
        <f>IFERROR(X154*H154,"0")+IFERROR(X155*H155,"0")</f>
        <v>378</v>
      </c>
      <c r="R290" s="46">
        <f>IFERROR(X160*H160,"0")+IFERROR(X161*H161,"0")</f>
        <v>201.6</v>
      </c>
      <c r="S290" s="46">
        <f>IFERROR(X166*H166,"0")</f>
        <v>84</v>
      </c>
      <c r="T290" s="46">
        <f>IFERROR(X171*H171,"0")</f>
        <v>0</v>
      </c>
      <c r="U290" s="46">
        <f>IFERROR(X176*H176,"0")</f>
        <v>188.16</v>
      </c>
      <c r="V290" s="46">
        <f>IFERROR(X182*H182,"0")+IFERROR(X183*H183,"0")</f>
        <v>0</v>
      </c>
      <c r="W290" s="46">
        <f>IFERROR(X188*H188,"0")</f>
        <v>0</v>
      </c>
      <c r="X290" s="46">
        <f>IFERROR(X194*H194,"0")+IFERROR(X195*H195,"0")+IFERROR(X196*H196,"0")+IFERROR(X197*H197,"0")</f>
        <v>294</v>
      </c>
      <c r="Y290" s="46">
        <f>IFERROR(X203*H203,"0")+IFERROR(X207*H207,"0")+IFERROR(X208*H208,"0")+IFERROR(X209*H209,"0")</f>
        <v>0</v>
      </c>
      <c r="Z290" s="46">
        <f>IFERROR(X214*H214,"0")+IFERROR(X215*H215,"0")</f>
        <v>0</v>
      </c>
      <c r="AA290" s="46">
        <f>IFERROR(X220*H220,"0")</f>
        <v>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720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4958.3999999999996</v>
      </c>
      <c r="B293" s="60">
        <f>SUMPRODUCT(--(BB:BB="ПГП"),--(W:W="кор"),H:H,Y:Y)+SUMPRODUCT(--(BB:BB="ПГП"),--(W:W="кг"),Y:Y)</f>
        <v>4350.4799999999996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P71:T71"/>
    <mergeCell ref="A52:Z52"/>
    <mergeCell ref="D110:E110"/>
    <mergeCell ref="P216:V216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D17:E18"/>
    <mergeCell ref="X17:X18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D116:E116"/>
    <mergeCell ref="P23:T23"/>
    <mergeCell ref="A164:Z164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53:Z53"/>
    <mergeCell ref="A180:Z180"/>
    <mergeCell ref="A240:Z240"/>
    <mergeCell ref="P243:V243"/>
    <mergeCell ref="D182:E182"/>
    <mergeCell ref="D109:E109"/>
    <mergeCell ref="I288:I289"/>
    <mergeCell ref="P24:T24"/>
    <mergeCell ref="P88:T88"/>
    <mergeCell ref="A156:O157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W288:W289"/>
    <mergeCell ref="P96:V96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A113:Z113"/>
    <mergeCell ref="D195:E195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Q11:R11"/>
    <mergeCell ref="P238:V238"/>
    <mergeCell ref="A210:O211"/>
    <mergeCell ref="P264:T264"/>
    <mergeCell ref="D70:E70"/>
    <mergeCell ref="D263:E263"/>
    <mergeCell ref="A65:Z65"/>
    <mergeCell ref="P220:T220"/>
    <mergeCell ref="A216:O217"/>
    <mergeCell ref="A80:Z80"/>
    <mergeCell ref="D134:E13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P248:V248"/>
    <mergeCell ref="D258:E258"/>
    <mergeCell ref="A60:Z60"/>
    <mergeCell ref="P56:T56"/>
    <mergeCell ref="P231:T231"/>
    <mergeCell ref="O288:O289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2026-07-31T11:07:26Z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