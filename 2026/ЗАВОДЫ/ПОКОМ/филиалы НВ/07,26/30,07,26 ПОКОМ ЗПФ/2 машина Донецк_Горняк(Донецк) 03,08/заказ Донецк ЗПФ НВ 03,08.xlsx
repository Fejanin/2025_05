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C77699D3-D7DB-4871-9184-9DD4815660E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Y279" i="1" s="1"/>
  <c r="P269" i="1"/>
  <c r="BP268" i="1"/>
  <c r="BO268" i="1"/>
  <c r="BN268" i="1"/>
  <c r="BM268" i="1"/>
  <c r="Z268" i="1"/>
  <c r="Z278" i="1" s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Y266" i="1" s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Y249" i="1"/>
  <c r="X249" i="1"/>
  <c r="Z248" i="1"/>
  <c r="X248" i="1"/>
  <c r="BO247" i="1"/>
  <c r="BM247" i="1"/>
  <c r="Z247" i="1"/>
  <c r="Y247" i="1"/>
  <c r="P247" i="1"/>
  <c r="X243" i="1"/>
  <c r="Z242" i="1"/>
  <c r="X242" i="1"/>
  <c r="BO241" i="1"/>
  <c r="BM241" i="1"/>
  <c r="Z241" i="1"/>
  <c r="Y241" i="1"/>
  <c r="Y243" i="1" s="1"/>
  <c r="P241" i="1"/>
  <c r="Y239" i="1"/>
  <c r="X239" i="1"/>
  <c r="Z238" i="1"/>
  <c r="X238" i="1"/>
  <c r="BO237" i="1"/>
  <c r="BM237" i="1"/>
  <c r="Z237" i="1"/>
  <c r="Y237" i="1"/>
  <c r="P237" i="1"/>
  <c r="X233" i="1"/>
  <c r="Z232" i="1"/>
  <c r="X232" i="1"/>
  <c r="BO231" i="1"/>
  <c r="BM231" i="1"/>
  <c r="Z231" i="1"/>
  <c r="Y231" i="1"/>
  <c r="Y233" i="1" s="1"/>
  <c r="P231" i="1"/>
  <c r="Y227" i="1"/>
  <c r="X227" i="1"/>
  <c r="Z226" i="1"/>
  <c r="X226" i="1"/>
  <c r="BO225" i="1"/>
  <c r="BM225" i="1"/>
  <c r="Z225" i="1"/>
  <c r="Y225" i="1"/>
  <c r="P225" i="1"/>
  <c r="X222" i="1"/>
  <c r="Z221" i="1"/>
  <c r="X221" i="1"/>
  <c r="BO220" i="1"/>
  <c r="BM220" i="1"/>
  <c r="Z220" i="1"/>
  <c r="Y220" i="1"/>
  <c r="Y222" i="1" s="1"/>
  <c r="P220" i="1"/>
  <c r="Y217" i="1"/>
  <c r="X217" i="1"/>
  <c r="Z216" i="1"/>
  <c r="X216" i="1"/>
  <c r="BO215" i="1"/>
  <c r="BM215" i="1"/>
  <c r="Z215" i="1"/>
  <c r="Y215" i="1"/>
  <c r="P215" i="1"/>
  <c r="BP214" i="1"/>
  <c r="BO214" i="1"/>
  <c r="BN214" i="1"/>
  <c r="BM214" i="1"/>
  <c r="Z214" i="1"/>
  <c r="Y214" i="1"/>
  <c r="Y216" i="1" s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Y211" i="1" s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2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6" i="1" s="1"/>
  <c r="P93" i="1"/>
  <c r="X90" i="1"/>
  <c r="Z89" i="1"/>
  <c r="X89" i="1"/>
  <c r="BO88" i="1"/>
  <c r="BM88" i="1"/>
  <c r="Z88" i="1"/>
  <c r="Y88" i="1"/>
  <c r="Y89" i="1" s="1"/>
  <c r="P88" i="1"/>
  <c r="X85" i="1"/>
  <c r="X84" i="1"/>
  <c r="BO83" i="1"/>
  <c r="BM83" i="1"/>
  <c r="Z83" i="1"/>
  <c r="Y83" i="1"/>
  <c r="BP83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BP76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3" i="1" s="1"/>
  <c r="P70" i="1"/>
  <c r="X68" i="1"/>
  <c r="Z67" i="1"/>
  <c r="X67" i="1"/>
  <c r="BO66" i="1"/>
  <c r="BM66" i="1"/>
  <c r="Z66" i="1"/>
  <c r="Y66" i="1"/>
  <c r="Y67" i="1" s="1"/>
  <c r="P66" i="1"/>
  <c r="X64" i="1"/>
  <c r="Z63" i="1"/>
  <c r="X63" i="1"/>
  <c r="BO62" i="1"/>
  <c r="BM62" i="1"/>
  <c r="Z62" i="1"/>
  <c r="Y62" i="1"/>
  <c r="Y63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8" i="1" s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Z50" i="1" s="1"/>
  <c r="Y47" i="1"/>
  <c r="Y51" i="1" s="1"/>
  <c r="P47" i="1"/>
  <c r="X44" i="1"/>
  <c r="X43" i="1"/>
  <c r="BP42" i="1"/>
  <c r="BO42" i="1"/>
  <c r="BN42" i="1"/>
  <c r="BM42" i="1"/>
  <c r="Z42" i="1"/>
  <c r="Y42" i="1"/>
  <c r="P42" i="1"/>
  <c r="BO41" i="1"/>
  <c r="BN41" i="1"/>
  <c r="BM41" i="1"/>
  <c r="Z41" i="1"/>
  <c r="Z43" i="1" s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6" i="1" s="1"/>
  <c r="P34" i="1"/>
  <c r="X31" i="1"/>
  <c r="X280" i="1" s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1" i="1" s="1"/>
  <c r="P22" i="1"/>
  <c r="H10" i="1"/>
  <c r="A9" i="1"/>
  <c r="F10" i="1" s="1"/>
  <c r="D7" i="1"/>
  <c r="Q6" i="1"/>
  <c r="P2" i="1"/>
  <c r="H9" i="1" l="1"/>
  <c r="A10" i="1"/>
  <c r="X281" i="1"/>
  <c r="X283" i="1" s="1"/>
  <c r="X282" i="1"/>
  <c r="BN23" i="1"/>
  <c r="BN25" i="1"/>
  <c r="BN27" i="1"/>
  <c r="BN29" i="1"/>
  <c r="Y30" i="1"/>
  <c r="BN34" i="1"/>
  <c r="BP34" i="1"/>
  <c r="Y282" i="1" s="1"/>
  <c r="Y37" i="1"/>
  <c r="Y44" i="1"/>
  <c r="Y280" i="1" s="1"/>
  <c r="BP41" i="1"/>
  <c r="F9" i="1"/>
  <c r="J9" i="1"/>
  <c r="Y43" i="1"/>
  <c r="BP48" i="1"/>
  <c r="BN48" i="1"/>
  <c r="Y281" i="1" s="1"/>
  <c r="Y283" i="1" s="1"/>
  <c r="Y50" i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55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Z285" i="1" s="1"/>
  <c r="Y184" i="1"/>
  <c r="Y185" i="1"/>
  <c r="Y189" i="1"/>
  <c r="BP188" i="1"/>
  <c r="BN188" i="1"/>
  <c r="Z198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C293" i="1" l="1"/>
  <c r="Y284" i="1"/>
  <c r="A293" i="1" s="1"/>
  <c r="B293" i="1" l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<sst xmlns="http://schemas.openxmlformats.org/spreadsheetml/2006/main" count="1292" uniqueCount="417">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</sst>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7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7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2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6"/>
      <c r="U7" s="384"/>
      <c r="V7" s="408"/>
      <c r="W7" s="409"/>
      <c r="AB7" s="51"/>
      <c r="AC7" s="51"/>
      <c r="AD7" s="51"/>
      <c r="AE7" s="51"/>
    </row>
    <row r="8" spans="1:32" s="272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6"/>
      <c r="U8" s="384"/>
      <c r="V8" s="408"/>
      <c r="W8" s="409"/>
      <c r="AB8" s="51"/>
      <c r="AC8" s="51"/>
      <c r="AD8" s="51"/>
      <c r="AE8" s="51"/>
    </row>
    <row r="9" spans="1:32" s="272" customFormat="1" ht="39.950000000000003" customHeight="1" x14ac:dyDescent="0.2">
      <c r="A9" s="3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71"/>
      <c r="E9" s="288"/>
      <c r="F9" s="3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5"/>
      <c r="R9" s="356"/>
      <c r="T9" s="296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71"/>
      <c r="E10" s="288"/>
      <c r="F10" s="3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05" t="str">
        <f>IFERROR(VLOOKUP($D$10,Proxy,2,FALSE),"")</f>
        <v/>
      </c>
      <c r="I10" s="296"/>
      <c r="J10" s="296"/>
      <c r="K10" s="296"/>
      <c r="L10" s="296"/>
      <c r="M10" s="296"/>
      <c r="N10" s="271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6"/>
      <c r="AB12" s="51"/>
      <c r="AC12" s="51"/>
      <c r="AD12" s="51"/>
      <c r="AE12" s="51"/>
    </row>
    <row r="13" spans="1:32" s="272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6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7"/>
      <c r="Q16" s="377"/>
      <c r="R16" s="377"/>
      <c r="S16" s="377"/>
      <c r="T16" s="3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4"/>
      <c r="AB18" s="404"/>
      <c r="AC18" s="404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customHeight="1" x14ac:dyDescent="0.25">
      <c r="A21" s="295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customHeight="1" x14ac:dyDescent="0.25">
      <c r="A33" s="295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customHeight="1" x14ac:dyDescent="0.25">
      <c r="A40" s="295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140</v>
      </c>
      <c r="Y41" s="279">
        <f>IFERROR(IF(X41="","",X41),"")</f>
        <v>140</v>
      </c>
      <c r="Z41" s="36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8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140</v>
      </c>
      <c r="Y43" s="280">
        <f>IFERROR(SUM(Y41:Y42),"0")</f>
        <v>140</v>
      </c>
      <c r="Z43" s="280">
        <f>IFERROR(IF(Z41="",0,Z41),"0")+IFERROR(IF(Z42="",0,Z42),"0")</f>
        <v>1.3173999999999999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210</v>
      </c>
      <c r="Y44" s="280">
        <f>IFERROR(SUMPRODUCT(Y41:Y42*H41:H42),"0")</f>
        <v>210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customHeight="1" x14ac:dyDescent="0.25">
      <c r="A46" s="295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9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x14ac:dyDescent="0.2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3"/>
      <c r="AB52" s="273"/>
      <c r="AC52" s="273"/>
    </row>
    <row r="53" spans="1:68" ht="14.25" customHeight="1" x14ac:dyDescent="0.25">
      <c r="A53" s="295" t="s">
        <v>62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29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0</v>
      </c>
      <c r="Y58" s="280">
        <f>IFERROR(SUM(Y54:Y57),"0")</f>
        <v>0</v>
      </c>
      <c r="Z58" s="280">
        <f>IFERROR(IF(Z54="",0,Z54),"0")+IFERROR(IF(Z55="",0,Z55),"0")+IFERROR(IF(Z56="",0,Z56),"0")+IFERROR(IF(Z57="",0,Z57),"0")</f>
        <v>0</v>
      </c>
      <c r="AA58" s="281"/>
      <c r="AB58" s="281"/>
      <c r="AC58" s="281"/>
    </row>
    <row r="59" spans="1:68" x14ac:dyDescent="0.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0</v>
      </c>
      <c r="Y59" s="280">
        <f>IFERROR(SUMPRODUCT(Y54:Y57*H54:H57),"0")</f>
        <v>0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3"/>
      <c r="AB60" s="273"/>
      <c r="AC60" s="273"/>
    </row>
    <row r="61" spans="1:68" ht="14.25" customHeight="1" x14ac:dyDescent="0.25">
      <c r="A61" s="295" t="s">
        <v>62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5" t="s">
        <v>97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5" t="s">
        <v>135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298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customHeight="1" x14ac:dyDescent="0.25">
      <c r="A81" s="295" t="s">
        <v>62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144</v>
      </c>
      <c r="Y83" s="279">
        <f>IFERROR(IF(X83="","",X83),"")</f>
        <v>144</v>
      </c>
      <c r="Z83" s="36">
        <f>IFERROR(IF(X83="","",X83*0.00866),"")</f>
        <v>1.2470399999999999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750.70079999999996</v>
      </c>
      <c r="BN83" s="67">
        <f>IFERROR(Y83*I83,"0")</f>
        <v>750.70079999999996</v>
      </c>
      <c r="BO83" s="67">
        <f>IFERROR(X83/J83,"0")</f>
        <v>1</v>
      </c>
      <c r="BP83" s="67">
        <f>IFERROR(Y83/J83,"0")</f>
        <v>1</v>
      </c>
    </row>
    <row r="84" spans="1:68" x14ac:dyDescent="0.2">
      <c r="A84" s="298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144</v>
      </c>
      <c r="Y84" s="280">
        <f>IFERROR(SUM(Y82:Y83),"0")</f>
        <v>144</v>
      </c>
      <c r="Z84" s="280">
        <f>IFERROR(IF(Z82="",0,Z82),"0")+IFERROR(IF(Z83="",0,Z83),"0")</f>
        <v>1.2470399999999999</v>
      </c>
      <c r="AA84" s="281"/>
      <c r="AB84" s="281"/>
      <c r="AC84" s="281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720</v>
      </c>
      <c r="Y85" s="280">
        <f>IFERROR(SUMPRODUCT(Y82:Y83*H82:H83),"0")</f>
        <v>720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3"/>
      <c r="AB86" s="273"/>
      <c r="AC86" s="273"/>
    </row>
    <row r="87" spans="1:68" ht="14.25" customHeight="1" x14ac:dyDescent="0.25">
      <c r="A87" s="295" t="s">
        <v>141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8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customHeight="1" x14ac:dyDescent="0.25">
      <c r="A92" s="295" t="s">
        <v>161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x14ac:dyDescent="0.2">
      <c r="A95" s="298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x14ac:dyDescent="0.2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73"/>
      <c r="AB97" s="273"/>
      <c r="AC97" s="273"/>
    </row>
    <row r="98" spans="1:68" ht="14.25" customHeight="1" x14ac:dyDescent="0.25">
      <c r="A98" s="295" t="s">
        <v>141</v>
      </c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0</v>
      </c>
      <c r="Y99" s="279">
        <f t="shared" ref="Y99:Y104" si="6">IFERROR(IF(X99="","",X99),"")</f>
        <v>0</v>
      </c>
      <c r="Z99" s="36">
        <f t="shared" ref="Z99:Z104" si="7">IFERROR(IF(X99="","",X99*0.01788),"")</f>
        <v>0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0</v>
      </c>
      <c r="BN99" s="67">
        <f t="shared" ref="BN99:BN104" si="9">IFERROR(Y99*I99,"0")</f>
        <v>0</v>
      </c>
      <c r="BO99" s="67">
        <f t="shared" ref="BO99:BO104" si="10">IFERROR(X99/J99,"0")</f>
        <v>0</v>
      </c>
      <c r="BP99" s="67">
        <f t="shared" ref="BP99:BP104" si="11">IFERROR(Y99/J99,"0")</f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70</v>
      </c>
      <c r="Y100" s="279">
        <f t="shared" si="6"/>
        <v>70</v>
      </c>
      <c r="Z100" s="36">
        <f t="shared" si="7"/>
        <v>1.2516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70</v>
      </c>
      <c r="Y101" s="279">
        <f t="shared" si="6"/>
        <v>70</v>
      </c>
      <c r="Z101" s="36">
        <f t="shared" si="7"/>
        <v>1.2516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250.852</v>
      </c>
      <c r="BN101" s="67">
        <f t="shared" si="9"/>
        <v>250.852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70</v>
      </c>
      <c r="Y102" s="279">
        <f t="shared" si="6"/>
        <v>70</v>
      </c>
      <c r="Z102" s="36">
        <f t="shared" si="7"/>
        <v>1.2516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250.852</v>
      </c>
      <c r="BN102" s="67">
        <f t="shared" si="9"/>
        <v>250.852</v>
      </c>
      <c r="BO102" s="67">
        <f t="shared" si="10"/>
        <v>1</v>
      </c>
      <c r="BP102" s="67">
        <f t="shared" si="11"/>
        <v>1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98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210</v>
      </c>
      <c r="Y105" s="280">
        <f>IFERROR(SUM(Y99:Y104),"0")</f>
        <v>210</v>
      </c>
      <c r="Z105" s="280">
        <f>IFERROR(IF(Z99="",0,Z99),"0")+IFERROR(IF(Z100="",0,Z100),"0")+IFERROR(IF(Z101="",0,Z101),"0")+IFERROR(IF(Z102="",0,Z102),"0")+IFERROR(IF(Z103="",0,Z103),"0")+IFERROR(IF(Z104="",0,Z104),"0")</f>
        <v>3.7548000000000004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604.79999999999995</v>
      </c>
      <c r="Y106" s="280">
        <f>IFERROR(SUMPRODUCT(Y99:Y104*H99:H104),"0")</f>
        <v>604.79999999999995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customHeight="1" x14ac:dyDescent="0.25">
      <c r="A108" s="295" t="s">
        <v>135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98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0</v>
      </c>
      <c r="Y111" s="280">
        <f>IFERROR(SUM(Y109:Y110),"0")</f>
        <v>0</v>
      </c>
      <c r="Z111" s="280">
        <f>IFERROR(IF(Z109="",0,Z109),"0")+IFERROR(IF(Z110="",0,Z110),"0")</f>
        <v>0</v>
      </c>
      <c r="AA111" s="281"/>
      <c r="AB111" s="281"/>
      <c r="AC111" s="281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0</v>
      </c>
      <c r="Y112" s="280">
        <f>IFERROR(SUMPRODUCT(Y109:Y110*H109:H110),"0")</f>
        <v>0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73"/>
      <c r="AB113" s="273"/>
      <c r="AC113" s="273"/>
    </row>
    <row r="114" spans="1:68" ht="14.25" customHeight="1" x14ac:dyDescent="0.25">
      <c r="A114" s="295" t="s">
        <v>62</v>
      </c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84</v>
      </c>
      <c r="Y115" s="279">
        <f t="shared" ref="Y115:Y121" si="12">IFERROR(IF(X115="","",X115),"")</f>
        <v>84</v>
      </c>
      <c r="Z115" s="36">
        <f t="shared" ref="Z115:Z121" si="13">IFERROR(IF(X115="","",X115*0.0155),"")</f>
        <v>1.302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611.52</v>
      </c>
      <c r="BN115" s="67">
        <f t="shared" ref="BN115:BN121" si="15">IFERROR(Y115*I115,"0")</f>
        <v>611.52</v>
      </c>
      <c r="BO115" s="67">
        <f t="shared" ref="BO115:BO121" si="16">IFERROR(X115/J115,"0")</f>
        <v>1</v>
      </c>
      <c r="BP115" s="67">
        <f t="shared" ref="BP115:BP121" si="17">IFERROR(Y115/J115,"0")</f>
        <v>1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156</v>
      </c>
      <c r="Y118" s="279">
        <f t="shared" si="12"/>
        <v>156</v>
      </c>
      <c r="Z118" s="36">
        <f t="shared" si="13"/>
        <v>2.4180000000000001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1138.8</v>
      </c>
      <c r="BN118" s="67">
        <f t="shared" si="15"/>
        <v>1138.8</v>
      </c>
      <c r="BO118" s="67">
        <f t="shared" si="16"/>
        <v>1.8571428571428572</v>
      </c>
      <c r="BP118" s="67">
        <f t="shared" si="17"/>
        <v>1.8571428571428572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168</v>
      </c>
      <c r="Y121" s="279">
        <f t="shared" si="12"/>
        <v>168</v>
      </c>
      <c r="Z121" s="36">
        <f t="shared" si="13"/>
        <v>2.6040000000000001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1226.3999999999999</v>
      </c>
      <c r="BN121" s="67">
        <f t="shared" si="15"/>
        <v>1226.3999999999999</v>
      </c>
      <c r="BO121" s="67">
        <f t="shared" si="16"/>
        <v>2</v>
      </c>
      <c r="BP121" s="67">
        <f t="shared" si="17"/>
        <v>2</v>
      </c>
    </row>
    <row r="122" spans="1:68" x14ac:dyDescent="0.2">
      <c r="A122" s="298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408</v>
      </c>
      <c r="Y122" s="280">
        <f>IFERROR(SUM(Y115:Y121),"0")</f>
        <v>408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6.3239999999999998</v>
      </c>
      <c r="AA122" s="281"/>
      <c r="AB122" s="281"/>
      <c r="AC122" s="281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2856</v>
      </c>
      <c r="Y123" s="280">
        <f>IFERROR(SUMPRODUCT(Y115:Y121*H115:H121),"0")</f>
        <v>2856</v>
      </c>
      <c r="Z123" s="37"/>
      <c r="AA123" s="281"/>
      <c r="AB123" s="281"/>
      <c r="AC123" s="281"/>
    </row>
    <row r="124" spans="1:68" ht="14.25" customHeight="1" x14ac:dyDescent="0.25">
      <c r="A124" s="295" t="s">
        <v>141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8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5" t="s">
        <v>210</v>
      </c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73"/>
      <c r="AB132" s="273"/>
      <c r="AC132" s="273"/>
    </row>
    <row r="133" spans="1:68" ht="14.25" customHeight="1" x14ac:dyDescent="0.25">
      <c r="A133" s="295" t="s">
        <v>141</v>
      </c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298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0</v>
      </c>
      <c r="Y138" s="280">
        <f>IFERROR(SUM(Y134:Y137),"0")</f>
        <v>0</v>
      </c>
      <c r="Z138" s="280">
        <f>IFERROR(IF(Z134="",0,Z134),"0")+IFERROR(IF(Z135="",0,Z135),"0")+IFERROR(IF(Z136="",0,Z136),"0")+IFERROR(IF(Z137="",0,Z137),"0")</f>
        <v>0</v>
      </c>
      <c r="AA138" s="281"/>
      <c r="AB138" s="281"/>
      <c r="AC138" s="281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0</v>
      </c>
      <c r="Y139" s="280">
        <f>IFERROR(SUMPRODUCT(Y134:Y137*H134:H137),"0")</f>
        <v>0</v>
      </c>
      <c r="Z139" s="37"/>
      <c r="AA139" s="281"/>
      <c r="AB139" s="281"/>
      <c r="AC139" s="281"/>
    </row>
    <row r="140" spans="1:68" ht="14.25" customHeight="1" x14ac:dyDescent="0.25">
      <c r="A140" s="295" t="s">
        <v>224</v>
      </c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73"/>
      <c r="AB146" s="273"/>
      <c r="AC146" s="273"/>
    </row>
    <row r="147" spans="1:68" ht="14.25" customHeight="1" x14ac:dyDescent="0.25">
      <c r="A147" s="295" t="s">
        <v>141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0</v>
      </c>
      <c r="Y148" s="279">
        <f>IFERROR(IF(X148="","",X148),"")</f>
        <v>0</v>
      </c>
      <c r="Z148" s="36">
        <f>IFERROR(IF(X148="","",X148*0.01788),"")</f>
        <v>0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0</v>
      </c>
      <c r="Y149" s="279">
        <f>IFERROR(IF(X149="","",X149),"")</f>
        <v>0</v>
      </c>
      <c r="Z149" s="36">
        <f>IFERROR(IF(X149="","",X149*0.01788),"")</f>
        <v>0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98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0</v>
      </c>
      <c r="Y150" s="280">
        <f>IFERROR(SUM(Y148:Y149),"0")</f>
        <v>0</v>
      </c>
      <c r="Z150" s="280">
        <f>IFERROR(IF(Z148="",0,Z148),"0")+IFERROR(IF(Z149="",0,Z149),"0")</f>
        <v>0</v>
      </c>
      <c r="AA150" s="281"/>
      <c r="AB150" s="281"/>
      <c r="AC150" s="281"/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0</v>
      </c>
      <c r="Y151" s="280">
        <f>IFERROR(SUMPRODUCT(Y148:Y149*H148:H149),"0")</f>
        <v>0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73"/>
      <c r="AB152" s="273"/>
      <c r="AC152" s="273"/>
    </row>
    <row r="153" spans="1:68" ht="14.25" customHeight="1" x14ac:dyDescent="0.25">
      <c r="A153" s="295" t="s">
        <v>141</v>
      </c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98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0</v>
      </c>
      <c r="Y156" s="280">
        <f>IFERROR(SUM(Y154:Y155),"0")</f>
        <v>0</v>
      </c>
      <c r="Z156" s="280">
        <f>IFERROR(IF(Z154="",0,Z154),"0")+IFERROR(IF(Z155="",0,Z155),"0")</f>
        <v>0</v>
      </c>
      <c r="AA156" s="281"/>
      <c r="AB156" s="281"/>
      <c r="AC156" s="281"/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0</v>
      </c>
      <c r="Y157" s="280">
        <f>IFERROR(SUMPRODUCT(Y154:Y155*H154:H155),"0")</f>
        <v>0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73"/>
      <c r="AB158" s="273"/>
      <c r="AC158" s="273"/>
    </row>
    <row r="159" spans="1:68" ht="14.25" customHeight="1" x14ac:dyDescent="0.25">
      <c r="A159" s="295" t="s">
        <v>141</v>
      </c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70</v>
      </c>
      <c r="Y161" s="279">
        <f>IFERROR(IF(X161="","",X161),"")</f>
        <v>70</v>
      </c>
      <c r="Z161" s="36">
        <f>IFERROR(IF(X161="","",X161*0.01788),"")</f>
        <v>1.2516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187.60000000000002</v>
      </c>
      <c r="BN161" s="67">
        <f>IFERROR(Y161*I161,"0")</f>
        <v>187.60000000000002</v>
      </c>
      <c r="BO161" s="67">
        <f>IFERROR(X161/J161,"0")</f>
        <v>1</v>
      </c>
      <c r="BP161" s="67">
        <f>IFERROR(Y161/J161,"0")</f>
        <v>1</v>
      </c>
    </row>
    <row r="162" spans="1:68" x14ac:dyDescent="0.2">
      <c r="A162" s="298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70</v>
      </c>
      <c r="Y162" s="280">
        <f>IFERROR(SUM(Y160:Y161),"0")</f>
        <v>70</v>
      </c>
      <c r="Z162" s="280">
        <f>IFERROR(IF(Z160="",0,Z160),"0")+IFERROR(IF(Z161="",0,Z161),"0")</f>
        <v>1.2516</v>
      </c>
      <c r="AA162" s="281"/>
      <c r="AB162" s="281"/>
      <c r="AC162" s="281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168</v>
      </c>
      <c r="Y163" s="280">
        <f>IFERROR(SUMPRODUCT(Y160:Y161*H160:H161),"0")</f>
        <v>168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73"/>
      <c r="AB164" s="273"/>
      <c r="AC164" s="273"/>
    </row>
    <row r="165" spans="1:68" ht="14.25" customHeight="1" x14ac:dyDescent="0.25">
      <c r="A165" s="295" t="s">
        <v>141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98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73"/>
      <c r="AB169" s="273"/>
      <c r="AC169" s="273"/>
    </row>
    <row r="170" spans="1:68" ht="14.25" customHeight="1" x14ac:dyDescent="0.25">
      <c r="A170" s="295" t="s">
        <v>141</v>
      </c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298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73"/>
      <c r="AB174" s="273"/>
      <c r="AC174" s="273"/>
    </row>
    <row r="175" spans="1:68" ht="14.25" customHeight="1" x14ac:dyDescent="0.25">
      <c r="A175" s="295" t="s">
        <v>141</v>
      </c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140</v>
      </c>
      <c r="Y176" s="279">
        <f>IFERROR(IF(X176="","",X176),"")</f>
        <v>140</v>
      </c>
      <c r="Z176" s="36">
        <f>IFERROR(IF(X176="","",X176*0.00941),"")</f>
        <v>1.3173999999999999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294.25200000000001</v>
      </c>
      <c r="BN176" s="67">
        <f>IFERROR(Y176*I176,"0")</f>
        <v>294.25200000000001</v>
      </c>
      <c r="BO176" s="67">
        <f>IFERROR(X176/J176,"0")</f>
        <v>1</v>
      </c>
      <c r="BP176" s="67">
        <f>IFERROR(Y176/J176,"0")</f>
        <v>1</v>
      </c>
    </row>
    <row r="177" spans="1:68" x14ac:dyDescent="0.2">
      <c r="A177" s="298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140</v>
      </c>
      <c r="Y177" s="280">
        <f>IFERROR(SUM(Y176:Y176),"0")</f>
        <v>140</v>
      </c>
      <c r="Z177" s="280">
        <f>IFERROR(IF(Z176="",0,Z176),"0")</f>
        <v>1.3173999999999999</v>
      </c>
      <c r="AA177" s="281"/>
      <c r="AB177" s="281"/>
      <c r="AC177" s="281"/>
    </row>
    <row r="178" spans="1:68" x14ac:dyDescent="0.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235.2</v>
      </c>
      <c r="Y178" s="280">
        <f>IFERROR(SUMPRODUCT(Y176:Y176*H176:H176),"0")</f>
        <v>235.2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73"/>
      <c r="AB180" s="273"/>
      <c r="AC180" s="273"/>
    </row>
    <row r="181" spans="1:68" ht="14.25" customHeight="1" x14ac:dyDescent="0.25">
      <c r="A181" s="295" t="s">
        <v>62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74"/>
      <c r="AB181" s="274"/>
      <c r="AC181" s="274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0</v>
      </c>
      <c r="Y183" s="279">
        <f>IFERROR(IF(X183="","",X183),"")</f>
        <v>0</v>
      </c>
      <c r="Z183" s="36">
        <f>IFERROR(IF(X183="","",X183*0.00866),"")</f>
        <v>0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98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0</v>
      </c>
      <c r="Y184" s="280">
        <f>IFERROR(SUM(Y182:Y183),"0")</f>
        <v>0</v>
      </c>
      <c r="Z184" s="280">
        <f>IFERROR(IF(Z182="",0,Z182),"0")+IFERROR(IF(Z183="",0,Z183),"0")</f>
        <v>0</v>
      </c>
      <c r="AA184" s="281"/>
      <c r="AB184" s="281"/>
      <c r="AC184" s="281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0</v>
      </c>
      <c r="Y185" s="280">
        <f>IFERROR(SUMPRODUCT(Y182:Y183*H182:H183),"0")</f>
        <v>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73"/>
      <c r="AB186" s="273"/>
      <c r="AC186" s="273"/>
    </row>
    <row r="187" spans="1:68" ht="14.25" customHeight="1" x14ac:dyDescent="0.25">
      <c r="A187" s="295" t="s">
        <v>62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x14ac:dyDescent="0.2">
      <c r="A189" s="298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x14ac:dyDescent="0.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73"/>
      <c r="AB192" s="273"/>
      <c r="AC192" s="273"/>
    </row>
    <row r="193" spans="1:68" ht="14.25" customHeight="1" x14ac:dyDescent="0.25">
      <c r="A193" s="295" t="s">
        <v>97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140</v>
      </c>
      <c r="Y194" s="279">
        <f>IFERROR(IF(X194="","",X194),"")</f>
        <v>140</v>
      </c>
      <c r="Z194" s="36">
        <f>IFERROR(IF(X194="","",X194*0.01788),"")</f>
        <v>2.5032000000000001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474.32</v>
      </c>
      <c r="BN194" s="67">
        <f>IFERROR(Y194*I194,"0")</f>
        <v>474.32</v>
      </c>
      <c r="BO194" s="67">
        <f>IFERROR(X194/J194,"0")</f>
        <v>2</v>
      </c>
      <c r="BP194" s="67">
        <f>IFERROR(Y194/J194,"0")</f>
        <v>2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140</v>
      </c>
      <c r="Y195" s="279">
        <f>IFERROR(IF(X195="","",X195),"")</f>
        <v>140</v>
      </c>
      <c r="Z195" s="36">
        <f>IFERROR(IF(X195="","",X195*0.01788),"")</f>
        <v>2.5032000000000001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474.32</v>
      </c>
      <c r="BN195" s="67">
        <f>IFERROR(Y195*I195,"0")</f>
        <v>474.32</v>
      </c>
      <c r="BO195" s="67">
        <f>IFERROR(X195/J195,"0")</f>
        <v>2</v>
      </c>
      <c r="BP195" s="67">
        <f>IFERROR(Y195/J195,"0")</f>
        <v>2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280</v>
      </c>
      <c r="Y198" s="280">
        <f>IFERROR(SUM(Y194:Y197),"0")</f>
        <v>280</v>
      </c>
      <c r="Z198" s="280">
        <f>IFERROR(IF(Z194="",0,Z194),"0")+IFERROR(IF(Z195="",0,Z195),"0")+IFERROR(IF(Z196="",0,Z196),"0")+IFERROR(IF(Z197="",0,Z197),"0")</f>
        <v>5.0064000000000002</v>
      </c>
      <c r="AA198" s="281"/>
      <c r="AB198" s="281"/>
      <c r="AC198" s="281"/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840</v>
      </c>
      <c r="Y199" s="280">
        <f>IFERROR(SUMPRODUCT(Y194:Y197*H194:H197),"0")</f>
        <v>840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73"/>
      <c r="AB201" s="273"/>
      <c r="AC201" s="273"/>
    </row>
    <row r="202" spans="1:68" ht="14.25" customHeight="1" x14ac:dyDescent="0.25">
      <c r="A202" s="295" t="s">
        <v>97</v>
      </c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x14ac:dyDescent="0.2">
      <c r="A204" s="298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customHeight="1" x14ac:dyDescent="0.25">
      <c r="A206" s="295" t="s">
        <v>141</v>
      </c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73"/>
      <c r="AB212" s="273"/>
      <c r="AC212" s="273"/>
    </row>
    <row r="213" spans="1:68" ht="14.25" customHeight="1" x14ac:dyDescent="0.25">
      <c r="A213" s="295" t="s">
        <v>141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4"/>
      <c r="AB213" s="274"/>
      <c r="AC213" s="274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73"/>
      <c r="AB218" s="273"/>
      <c r="AC218" s="273"/>
    </row>
    <row r="219" spans="1:68" ht="14.25" customHeight="1" x14ac:dyDescent="0.25">
      <c r="A219" s="295" t="s">
        <v>62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156</v>
      </c>
      <c r="Y220" s="279">
        <f>IFERROR(IF(X220="","",X220),"")</f>
        <v>156</v>
      </c>
      <c r="Z220" s="36">
        <f>IFERROR(IF(X220="","",X220*0.0155),"")</f>
        <v>2.4180000000000001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815.88000000000011</v>
      </c>
      <c r="BN220" s="67">
        <f>IFERROR(Y220*I220,"0")</f>
        <v>815.88000000000011</v>
      </c>
      <c r="BO220" s="67">
        <f>IFERROR(X220/J220,"0")</f>
        <v>1.8571428571428572</v>
      </c>
      <c r="BP220" s="67">
        <f>IFERROR(Y220/J220,"0")</f>
        <v>1.8571428571428572</v>
      </c>
    </row>
    <row r="221" spans="1:68" x14ac:dyDescent="0.2">
      <c r="A221" s="298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156</v>
      </c>
      <c r="Y221" s="280">
        <f>IFERROR(SUM(Y220:Y220),"0")</f>
        <v>156</v>
      </c>
      <c r="Z221" s="280">
        <f>IFERROR(IF(Z220="",0,Z220),"0")</f>
        <v>2.4180000000000001</v>
      </c>
      <c r="AA221" s="281"/>
      <c r="AB221" s="281"/>
      <c r="AC221" s="281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780</v>
      </c>
      <c r="Y222" s="280">
        <f>IFERROR(SUMPRODUCT(Y220:Y220*H220:H220),"0")</f>
        <v>780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73"/>
      <c r="AB223" s="273"/>
      <c r="AC223" s="273"/>
    </row>
    <row r="224" spans="1:68" ht="14.25" customHeight="1" x14ac:dyDescent="0.25">
      <c r="A224" s="295" t="s">
        <v>141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74"/>
      <c r="AB224" s="274"/>
      <c r="AC224" s="274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73"/>
      <c r="AB229" s="273"/>
      <c r="AC229" s="273"/>
    </row>
    <row r="230" spans="1:68" ht="14.25" customHeight="1" x14ac:dyDescent="0.25">
      <c r="A230" s="295" t="s">
        <v>62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74"/>
      <c r="AB230" s="274"/>
      <c r="AC230" s="274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73"/>
      <c r="AB235" s="273"/>
      <c r="AC235" s="273"/>
    </row>
    <row r="236" spans="1:68" ht="14.25" customHeight="1" x14ac:dyDescent="0.25">
      <c r="A236" s="295" t="s">
        <v>322</v>
      </c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74"/>
      <c r="AB236" s="274"/>
      <c r="AC236" s="274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5" t="s">
        <v>141</v>
      </c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74"/>
      <c r="AB240" s="274"/>
      <c r="AC240" s="274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73"/>
      <c r="AB245" s="273"/>
      <c r="AC245" s="273"/>
    </row>
    <row r="246" spans="1:68" ht="14.25" customHeight="1" x14ac:dyDescent="0.25">
      <c r="A246" s="295" t="s">
        <v>135</v>
      </c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74"/>
      <c r="AB246" s="274"/>
      <c r="AC246" s="274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73"/>
      <c r="AB251" s="273"/>
      <c r="AC251" s="273"/>
    </row>
    <row r="252" spans="1:68" ht="14.25" customHeight="1" x14ac:dyDescent="0.25">
      <c r="A252" s="295" t="s">
        <v>62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4"/>
      <c r="AB252" s="274"/>
      <c r="AC252" s="274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8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customHeight="1" x14ac:dyDescent="0.25">
      <c r="A257" s="295" t="s">
        <v>97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98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x14ac:dyDescent="0.2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7"/>
      <c r="AA260" s="281"/>
      <c r="AB260" s="281"/>
      <c r="AC260" s="281"/>
    </row>
    <row r="261" spans="1:68" ht="14.25" customHeight="1" x14ac:dyDescent="0.25">
      <c r="A261" s="295" t="s">
        <v>135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x14ac:dyDescent="0.2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7"/>
      <c r="AA266" s="281"/>
      <c r="AB266" s="281"/>
      <c r="AC266" s="281"/>
    </row>
    <row r="267" spans="1:68" ht="14.25" customHeight="1" x14ac:dyDescent="0.25">
      <c r="A267" s="295" t="s">
        <v>141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74"/>
      <c r="AB267" s="274"/>
      <c r="AC267" s="274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0</v>
      </c>
      <c r="Y269" s="279">
        <f t="shared" si="18"/>
        <v>0</v>
      </c>
      <c r="Z269" s="36">
        <f>IFERROR(IF(X269="","",X269*0.0155),"")</f>
        <v>0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0</v>
      </c>
      <c r="Y270" s="279">
        <f t="shared" si="18"/>
        <v>0</v>
      </c>
      <c r="Z270" s="36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0</v>
      </c>
      <c r="Y278" s="280">
        <f>IFERROR(SUM(Y268:Y277),"0")</f>
        <v>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281"/>
      <c r="AB278" s="281"/>
      <c r="AC278" s="281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0</v>
      </c>
      <c r="Y279" s="280">
        <f>IFERROR(SUMPRODUCT(Y268:Y277*H268:H277),"0")</f>
        <v>0</v>
      </c>
      <c r="Z279" s="37"/>
      <c r="AA279" s="281"/>
      <c r="AB279" s="281"/>
      <c r="AC279" s="281"/>
    </row>
    <row r="280" spans="1:68" ht="15" customHeight="1" x14ac:dyDescent="0.2">
      <c r="A280" s="458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6414</v>
      </c>
      <c r="Y280" s="280">
        <f>IFERROR(Y31+Y37+Y44+Y51+Y59+Y64+Y68+Y73+Y79+Y85+Y90+Y96+Y106+Y112+Y123+Y127+Y131+Y139+Y145+Y151+Y157+Y163+Y168+Y173+Y178+Y185+Y190+Y199+Y205+Y211+Y217+Y222+Y227+Y233+Y239+Y243+Y249+Y256+Y260+Y266+Y279,"0")</f>
        <v>6414</v>
      </c>
      <c r="Z280" s="37"/>
      <c r="AA280" s="281"/>
      <c r="AB280" s="281"/>
      <c r="AC280" s="281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6995.4008000000003</v>
      </c>
      <c r="Y281" s="280">
        <f>IFERROR(SUM(BN22:BN277),"0")</f>
        <v>6995.4008000000003</v>
      </c>
      <c r="Z281" s="37"/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18</v>
      </c>
      <c r="Y282" s="38">
        <f>ROUNDUP(SUM(BP22:BP277),0)</f>
        <v>18</v>
      </c>
      <c r="Z282" s="37"/>
      <c r="AA282" s="281"/>
      <c r="AB282" s="281"/>
      <c r="AC282" s="281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7445.4008000000003</v>
      </c>
      <c r="Y283" s="280">
        <f>GrossWeightTotalR+PalletQtyTotalR*25</f>
        <v>7445.4008000000003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1548</v>
      </c>
      <c r="Y284" s="280">
        <f>IFERROR(Y30+Y36+Y43+Y50+Y58+Y63+Y67+Y72+Y78+Y84+Y89+Y95+Y105+Y111+Y122+Y126+Y130+Y138+Y144+Y150+Y156+Y162+Y167+Y172+Y177+Y184+Y189+Y198+Y204+Y210+Y216+Y221+Y226+Y232+Y238+Y242+Y248+Y255+Y259+Y265+Y278,"0")</f>
        <v>1548</v>
      </c>
      <c r="Z284" s="37"/>
      <c r="AA284" s="281"/>
      <c r="AB284" s="281"/>
      <c r="AC284" s="281"/>
    </row>
    <row r="285" spans="1:68" ht="14.25" customHeight="1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22.63664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5" t="s">
        <v>272</v>
      </c>
      <c r="Y287" s="285" t="s">
        <v>286</v>
      </c>
      <c r="Z287" s="381"/>
      <c r="AA287" s="381"/>
      <c r="AB287" s="314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6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0</v>
      </c>
      <c r="C290" s="46">
        <f>IFERROR(X34*H34,"0")+IFERROR(X35*H35,"0")</f>
        <v>0</v>
      </c>
      <c r="D290" s="46">
        <f>IFERROR(X41*H41,"0")+IFERROR(X42*H42,"0")</f>
        <v>210</v>
      </c>
      <c r="E290" s="46">
        <f>IFERROR(X47*H47,"0")+IFERROR(X48*H48,"0")+IFERROR(X49*H49,"0")</f>
        <v>0</v>
      </c>
      <c r="F290" s="46">
        <f>IFERROR(X54*H54,"0")+IFERROR(X55*H55,"0")+IFERROR(X56*H56,"0")+IFERROR(X57*H57,"0")</f>
        <v>0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720</v>
      </c>
      <c r="I290" s="46">
        <f>IFERROR(X88*H88,"0")</f>
        <v>0</v>
      </c>
      <c r="J290" s="46">
        <f>IFERROR(X93*H93,"0")+IFERROR(X94*H94,"0")</f>
        <v>0</v>
      </c>
      <c r="K290" s="46">
        <f>IFERROR(X99*H99,"0")+IFERROR(X100*H100,"0")+IFERROR(X101*H101,"0")+IFERROR(X102*H102,"0")+IFERROR(X103*H103,"0")+IFERROR(X104*H104,"0")</f>
        <v>604.79999999999995</v>
      </c>
      <c r="L290" s="46">
        <f>IFERROR(X109*H109,"0")+IFERROR(X110*H110,"0")</f>
        <v>0</v>
      </c>
      <c r="M290" s="46">
        <f>IFERROR(X115*H115,"0")+IFERROR(X116*H116,"0")+IFERROR(X117*H117,"0")+IFERROR(X118*H118,"0")+IFERROR(X119*H119,"0")+IFERROR(X120*H120,"0")+IFERROR(X121*H121,"0")+IFERROR(X125*H125,"0")+IFERROR(X129*H129,"0")</f>
        <v>2856</v>
      </c>
      <c r="N290" s="276"/>
      <c r="O290" s="46">
        <f>IFERROR(X134*H134,"0")+IFERROR(X135*H135,"0")+IFERROR(X136*H136,"0")+IFERROR(X137*H137,"0")+IFERROR(X141*H141,"0")+IFERROR(X142*H142,"0")+IFERROR(X143*H143,"0")</f>
        <v>0</v>
      </c>
      <c r="P290" s="46">
        <f>IFERROR(X148*H148,"0")+IFERROR(X149*H149,"0")</f>
        <v>0</v>
      </c>
      <c r="Q290" s="46">
        <f>IFERROR(X154*H154,"0")+IFERROR(X155*H155,"0")</f>
        <v>0</v>
      </c>
      <c r="R290" s="46">
        <f>IFERROR(X160*H160,"0")+IFERROR(X161*H161,"0")</f>
        <v>168</v>
      </c>
      <c r="S290" s="46">
        <f>IFERROR(X166*H166,"0")</f>
        <v>0</v>
      </c>
      <c r="T290" s="46">
        <f>IFERROR(X171*H171,"0")</f>
        <v>0</v>
      </c>
      <c r="U290" s="46">
        <f>IFERROR(X176*H176,"0")</f>
        <v>235.2</v>
      </c>
      <c r="V290" s="46">
        <f>IFERROR(X182*H182,"0")+IFERROR(X183*H183,"0")</f>
        <v>0</v>
      </c>
      <c r="W290" s="46">
        <f>IFERROR(X188*H188,"0")</f>
        <v>0</v>
      </c>
      <c r="X290" s="46">
        <f>IFERROR(X194*H194,"0")+IFERROR(X195*H195,"0")+IFERROR(X196*H196,"0")+IFERROR(X197*H197,"0")</f>
        <v>840</v>
      </c>
      <c r="Y290" s="46">
        <f>IFERROR(X203*H203,"0")+IFERROR(X207*H207,"0")+IFERROR(X208*H208,"0")+IFERROR(X209*H209,"0")</f>
        <v>0</v>
      </c>
      <c r="Z290" s="46">
        <f>IFERROR(X214*H214,"0")+IFERROR(X215*H215,"0")</f>
        <v>0</v>
      </c>
      <c r="AA290" s="46">
        <f>IFERROR(X220*H220,"0")</f>
        <v>780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4356</v>
      </c>
      <c r="B293" s="60">
        <f>SUMPRODUCT(--(BB:BB="ПГП"),--(W:W="кор"),H:H,Y:Y)+SUMPRODUCT(--(BB:BB="ПГП"),--(W:W="кг"),Y:Y)</f>
        <v>2058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80:Z180"/>
    <mergeCell ref="A240:Z240"/>
    <mergeCell ref="P243:V243"/>
    <mergeCell ref="D182:E182"/>
    <mergeCell ref="D109:E109"/>
    <mergeCell ref="I288:I289"/>
    <mergeCell ref="P24:T24"/>
    <mergeCell ref="P88:T88"/>
    <mergeCell ref="A156:O157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113:Z113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2026-07-31T11:04:55Z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