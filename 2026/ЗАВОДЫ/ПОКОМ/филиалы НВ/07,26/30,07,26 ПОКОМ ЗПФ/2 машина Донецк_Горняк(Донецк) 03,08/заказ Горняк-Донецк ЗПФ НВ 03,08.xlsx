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7,07 Горняк-Донецк ЗПФ НВ на погрузку с филиалами 03,07,26\"/>
    </mc:Choice>
  </mc:AlternateContent>
  <xr:revisionPtr revIDLastSave="0" documentId="13_ncr:1_{EE4B67F2-C8EB-4D05-9533-B06F59AA82F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<sst xmlns="http://schemas.openxmlformats.org/spreadsheetml/2006/main" count="1701" uniqueCount="398">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</sst>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Q10" sqref="Q10:R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6" t="s">
        <v>26</v>
      </c>
      <c r="E1" s="456"/>
      <c r="F1" s="456"/>
      <c r="G1" s="14" t="s">
        <v>70</v>
      </c>
      <c r="H1" s="456" t="s">
        <v>47</v>
      </c>
      <c r="I1" s="456"/>
      <c r="J1" s="456"/>
      <c r="K1" s="456"/>
      <c r="L1" s="456"/>
      <c r="M1" s="456"/>
      <c r="N1" s="456"/>
      <c r="O1" s="456"/>
      <c r="P1" s="456"/>
      <c r="Q1" s="456"/>
      <c r="R1" s="457" t="s">
        <v>71</v>
      </c>
      <c r="S1" s="458"/>
      <c r="T1" s="4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9"/>
      <c r="R2" s="459"/>
      <c r="S2" s="459"/>
      <c r="T2" s="459"/>
      <c r="U2" s="459"/>
      <c r="V2" s="459"/>
      <c r="W2" s="4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9"/>
      <c r="Q3" s="459"/>
      <c r="R3" s="459"/>
      <c r="S3" s="459"/>
      <c r="T3" s="459"/>
      <c r="U3" s="459"/>
      <c r="V3" s="459"/>
      <c r="W3" s="4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0"/>
      <c r="E5" s="460"/>
      <c r="F5" s="461" t="s">
        <v>14</v>
      </c>
      <c r="G5" s="461"/>
      <c r="H5" s="460"/>
      <c r="I5" s="460"/>
      <c r="J5" s="460"/>
      <c r="K5" s="460"/>
      <c r="L5" s="460"/>
      <c r="M5" s="460"/>
      <c r="N5" s="75"/>
      <c r="P5" s="27" t="s">
        <v>4</v>
      </c>
      <c r="Q5" s="462"/>
      <c r="R5" s="462"/>
      <c r="T5" s="463" t="s">
        <v>3</v>
      </c>
      <c r="U5" s="464"/>
      <c r="V5" s="465" t="s">
        <v>383</v>
      </c>
      <c r="W5" s="466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 xml:space="preserve"> 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/>
      <c r="R8" s="436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4" t="str">
        <f>IF(AND($A$9="Тип доверенности/получателя при получении в адресе перегруза:",$D$9="Разовая доверенность"),"Введите ФИО","")</f>
        <v/>
      </c>
      <c r="I9" s="454"/>
      <c r="J9" s="4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4"/>
      <c r="L9" s="454"/>
      <c r="M9" s="454"/>
      <c r="N9" s="73"/>
      <c r="P9" s="31" t="s">
        <v>15</v>
      </c>
      <c r="Q9" s="455">
        <v>46240</v>
      </c>
      <c r="R9" s="455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56</v>
      </c>
      <c r="Y41" s="55">
        <f>IFERROR(IF(X41="","",X41),"")</f>
        <v>56</v>
      </c>
      <c r="Z41" s="41">
        <f>IFERROR(IF(X41="","",X41*0.00941),"")</f>
        <v>0.52695999999999998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107.6208</v>
      </c>
      <c r="BN41" s="81">
        <f>IFERROR(Y41*I41,"0")</f>
        <v>107.6208</v>
      </c>
      <c r="BO41" s="81">
        <f>IFERROR(X41/J41,"0")</f>
        <v>0.4</v>
      </c>
      <c r="BP41" s="81">
        <f>IFERROR(Y41/J41,"0")</f>
        <v>0.4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84</v>
      </c>
      <c r="Y42" s="55">
        <f>IFERROR(IF(X42="","",X42),"")</f>
        <v>84</v>
      </c>
      <c r="Z42" s="41">
        <f>IFERROR(IF(X42="","",X42*0.00941),"")</f>
        <v>0.79044000000000003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161.43119999999999</v>
      </c>
      <c r="BN42" s="81">
        <f>IFERROR(Y42*I42,"0")</f>
        <v>161.43119999999999</v>
      </c>
      <c r="BO42" s="81">
        <f>IFERROR(X42/J42,"0")</f>
        <v>0.6</v>
      </c>
      <c r="BP42" s="81">
        <f>IFERROR(Y42/J42,"0")</f>
        <v>0.6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1.3174000000000001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>
        <v>12</v>
      </c>
      <c r="Y57" s="55">
        <f>IFERROR(IF(X57="","",X57),"")</f>
        <v>12</v>
      </c>
      <c r="Z57" s="41">
        <f>IFERROR(IF(X57="","",X57*0.0155),"")</f>
        <v>0.186</v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87.6</v>
      </c>
      <c r="BN57" s="81">
        <f>IFERROR(Y57*I57,"0")</f>
        <v>87.6</v>
      </c>
      <c r="BO57" s="81">
        <f>IFERROR(X57/J57,"0")</f>
        <v>0.14285714285714285</v>
      </c>
      <c r="BP57" s="81">
        <f>IFERROR(Y57/J57,"0")</f>
        <v>0.14285714285714285</v>
      </c>
    </row>
    <row r="58" spans="1:68" ht="12.75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12</v>
      </c>
      <c r="Y58" s="43">
        <f>IFERROR(SUM(Y54:Y57),"0")</f>
        <v>12</v>
      </c>
      <c r="Z58" s="43">
        <f>IFERROR(IF(Z54="",0,Z54),"0")+IFERROR(IF(Z55="",0,Z55),"0")+IFERROR(IF(Z56="",0,Z56),"0")+IFERROR(IF(Z57="",0,Z57),"0")</f>
        <v>0.186</v>
      </c>
      <c r="AA58" s="67"/>
      <c r="AB58" s="67"/>
      <c r="AC58" s="67"/>
    </row>
    <row r="59" spans="1:68" ht="12.75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84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12.75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42</v>
      </c>
      <c r="Y89" s="43">
        <f>IFERROR(SUM(Y88:Y88),"0")</f>
        <v>42</v>
      </c>
      <c r="Z89" s="43">
        <f>IFERROR(IF(Z88="",0,Z88),"0")</f>
        <v>0.75095999999999996</v>
      </c>
      <c r="AA89" s="67"/>
      <c r="AB89" s="67"/>
      <c r="AC89" s="67"/>
    </row>
    <row r="90" spans="1:68" ht="12.75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151.20000000000002</v>
      </c>
      <c r="Y90" s="43">
        <f>IFERROR(SUMPRODUCT(Y88:Y88*H88:H88),"0")</f>
        <v>151.20000000000002</v>
      </c>
      <c r="Z90" s="42"/>
      <c r="AA90" s="67"/>
      <c r="AB90" s="67"/>
      <c r="AC90" s="67"/>
    </row>
    <row r="91" spans="1:68" ht="16.5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70</v>
      </c>
      <c r="Y93" s="55">
        <f>IFERROR(IF(X93="","",X93),"")</f>
        <v>70</v>
      </c>
      <c r="Z93" s="41">
        <f>IFERROR(IF(X93="","",X93*0.01788),"")</f>
        <v>1.2516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301.25200000000001</v>
      </c>
      <c r="BN93" s="81">
        <f>IFERROR(Y93*I93,"0")</f>
        <v>301.25200000000001</v>
      </c>
      <c r="BO93" s="81">
        <f>IFERROR(X93/J93,"0")</f>
        <v>1</v>
      </c>
      <c r="BP93" s="81">
        <f>IFERROR(Y93/J93,"0")</f>
        <v>1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126</v>
      </c>
      <c r="Y95" s="43">
        <f>IFERROR(SUM(Y93:Y94),"0")</f>
        <v>126</v>
      </c>
      <c r="Z95" s="43">
        <f>IFERROR(IF(Z93="",0,Z93),"0")+IFERROR(IF(Z94="",0,Z94),"0")</f>
        <v>2.2528800000000002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453.6</v>
      </c>
      <c r="Y96" s="43">
        <f>IFERROR(SUMPRODUCT(Y93:Y94*H93:H94),"0")</f>
        <v>453.6</v>
      </c>
      <c r="Z96" s="42"/>
      <c r="AA96" s="67"/>
      <c r="AB96" s="67"/>
      <c r="AC96" s="67"/>
    </row>
    <row r="97" spans="1:68" ht="16.5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56</v>
      </c>
      <c r="Y100" s="55">
        <f t="shared" si="6"/>
        <v>56</v>
      </c>
      <c r="Z100" s="41">
        <f t="shared" si="7"/>
        <v>1.0012799999999999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200.6816</v>
      </c>
      <c r="BN100" s="81">
        <f t="shared" si="9"/>
        <v>200.6816</v>
      </c>
      <c r="BO100" s="81">
        <f t="shared" si="10"/>
        <v>0.8</v>
      </c>
      <c r="BP100" s="81">
        <f t="shared" si="11"/>
        <v>0.8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42</v>
      </c>
      <c r="Y101" s="55">
        <f t="shared" si="6"/>
        <v>42</v>
      </c>
      <c r="Z101" s="41">
        <f t="shared" si="7"/>
        <v>0.75095999999999996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150.5112</v>
      </c>
      <c r="BN101" s="81">
        <f t="shared" si="9"/>
        <v>150.5112</v>
      </c>
      <c r="BO101" s="81">
        <f t="shared" si="10"/>
        <v>0.6</v>
      </c>
      <c r="BP101" s="81">
        <f t="shared" si="11"/>
        <v>0.6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210</v>
      </c>
      <c r="Y105" s="43">
        <f>IFERROR(SUM(Y99:Y104),"0")</f>
        <v>210</v>
      </c>
      <c r="Z105" s="43">
        <f>IFERROR(IF(Z99="",0,Z99),"0")+IFERROR(IF(Z100="",0,Z100),"0")+IFERROR(IF(Z101="",0,Z101),"0")+IFERROR(IF(Z102="",0,Z102),"0")+IFERROR(IF(Z103="",0,Z103),"0")+IFERROR(IF(Z104="",0,Z104),"0")</f>
        <v>3.7548000000000004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631.67999999999995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>
        <v>12</v>
      </c>
      <c r="Y118" s="55">
        <f t="shared" si="12"/>
        <v>12</v>
      </c>
      <c r="Z118" s="41">
        <f t="shared" si="13"/>
        <v>0.186</v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87.6</v>
      </c>
      <c r="BN118" s="81">
        <f t="shared" si="15"/>
        <v>87.6</v>
      </c>
      <c r="BO118" s="81">
        <f t="shared" si="16"/>
        <v>0.14285714285714285</v>
      </c>
      <c r="BP118" s="81">
        <f t="shared" si="17"/>
        <v>0.14285714285714285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>
        <v>12</v>
      </c>
      <c r="Y120" s="55">
        <f t="shared" si="12"/>
        <v>12</v>
      </c>
      <c r="Z120" s="41">
        <f t="shared" si="13"/>
        <v>0.186</v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80.635199999999998</v>
      </c>
      <c r="BN120" s="81">
        <f t="shared" si="15"/>
        <v>80.635199999999998</v>
      </c>
      <c r="BO120" s="81">
        <f t="shared" si="16"/>
        <v>0.14285714285714285</v>
      </c>
      <c r="BP120" s="81">
        <f t="shared" si="17"/>
        <v>0.14285714285714285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24</v>
      </c>
      <c r="Y122" s="43">
        <f>IFERROR(SUM(Y115:Y121),"0")</f>
        <v>24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7"/>
      <c r="AB122" s="67"/>
      <c r="AC122" s="67"/>
    </row>
    <row r="123" spans="1:68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160.80000000000001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98</v>
      </c>
      <c r="Y140" s="55">
        <f>IFERROR(IF(X140="","",X140),"")</f>
        <v>98</v>
      </c>
      <c r="Z140" s="41">
        <f>IFERROR(IF(X140="","",X140*0.01788),"")</f>
        <v>1.75224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362.95279999999997</v>
      </c>
      <c r="BN140" s="81">
        <f>IFERROR(Y140*I140,"0")</f>
        <v>362.95279999999997</v>
      </c>
      <c r="BO140" s="81">
        <f>IFERROR(X140/J140,"0")</f>
        <v>1.4</v>
      </c>
      <c r="BP140" s="81">
        <f>IFERROR(Y140/J140,"0")</f>
        <v>1.4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112</v>
      </c>
      <c r="Y141" s="55">
        <f>IFERROR(IF(X141="","",X141),"")</f>
        <v>112</v>
      </c>
      <c r="Z141" s="41">
        <f>IFERROR(IF(X141="","",X141*0.01788),"")</f>
        <v>2.0025599999999999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414.80319999999995</v>
      </c>
      <c r="BN141" s="81">
        <f>IFERROR(Y141*I141,"0")</f>
        <v>414.80319999999995</v>
      </c>
      <c r="BO141" s="81">
        <f>IFERROR(X141/J141,"0")</f>
        <v>1.6</v>
      </c>
      <c r="BP141" s="81">
        <f>IFERROR(Y141/J141,"0")</f>
        <v>1.6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210</v>
      </c>
      <c r="Y142" s="43">
        <f>IFERROR(SUM(Y139:Y141),"0")</f>
        <v>210</v>
      </c>
      <c r="Z142" s="43">
        <f>IFERROR(IF(Z139="",0,Z139),"0")+IFERROR(IF(Z140="",0,Z140),"0")+IFERROR(IF(Z141="",0,Z141),"0")</f>
        <v>3.7547999999999999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630</v>
      </c>
      <c r="Y143" s="43">
        <f>IFERROR(SUMPRODUCT(Y139:Y141*H139:H141),"0")</f>
        <v>630</v>
      </c>
      <c r="Z143" s="42"/>
      <c r="AA143" s="67"/>
      <c r="AB143" s="67"/>
      <c r="AC143" s="67"/>
    </row>
    <row r="144" spans="1:68" ht="16.5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56</v>
      </c>
      <c r="Y149" s="43">
        <f>IFERROR(SUM(Y146:Y148),"0")</f>
        <v>56</v>
      </c>
      <c r="Z149" s="43">
        <f>IFERROR(IF(Z146="",0,Z146),"0")+IFERROR(IF(Z147="",0,Z147),"0")+IFERROR(IF(Z148="",0,Z148),"0")</f>
        <v>1.0012799999999999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168</v>
      </c>
      <c r="Y150" s="43">
        <f>IFERROR(SUMPRODUCT(Y146:Y148*H146:H148),"0")</f>
        <v>168</v>
      </c>
      <c r="Z150" s="42"/>
      <c r="AA150" s="67"/>
      <c r="AB150" s="67"/>
      <c r="AC150" s="67"/>
    </row>
    <row r="151" spans="1:68" ht="16.5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>
        <v>42</v>
      </c>
      <c r="Y154" s="55">
        <f>IFERROR(IF(X154="","",X154),"")</f>
        <v>42</v>
      </c>
      <c r="Z154" s="41">
        <f>IFERROR(IF(X154="","",X154*0.01788),"")</f>
        <v>0.75095999999999996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112.56</v>
      </c>
      <c r="BN154" s="81">
        <f>IFERROR(Y154*I154,"0")</f>
        <v>112.56</v>
      </c>
      <c r="BO154" s="81">
        <f>IFERROR(X154/J154,"0")</f>
        <v>0.6</v>
      </c>
      <c r="BP154" s="81">
        <f>IFERROR(Y154/J154,"0")</f>
        <v>0.6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84</v>
      </c>
      <c r="Y155" s="43">
        <f>IFERROR(SUM(Y153:Y154),"0")</f>
        <v>84</v>
      </c>
      <c r="Z155" s="43">
        <f>IFERROR(IF(Z153="",0,Z153),"0")+IFERROR(IF(Z154="",0,Z154),"0")</f>
        <v>1.5019199999999999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201.6</v>
      </c>
      <c r="Y156" s="43">
        <f>IFERROR(SUMPRODUCT(Y153:Y154*H153:H154),"0")</f>
        <v>201.6</v>
      </c>
      <c r="Z156" s="42"/>
      <c r="AA156" s="67"/>
      <c r="AB156" s="67"/>
      <c r="AC156" s="67"/>
    </row>
    <row r="157" spans="1:68" ht="16.5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>
        <v>28</v>
      </c>
      <c r="Y159" s="55">
        <f>IFERROR(IF(X159="","",X159),"")</f>
        <v>28</v>
      </c>
      <c r="Z159" s="41">
        <f>IFERROR(IF(X159="","",X159*0.01788),"")</f>
        <v>0.50063999999999997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103.70079999999999</v>
      </c>
      <c r="BN159" s="81">
        <f>IFERROR(Y159*I159,"0")</f>
        <v>103.70079999999999</v>
      </c>
      <c r="BO159" s="81">
        <f>IFERROR(X159/J159,"0")</f>
        <v>0.4</v>
      </c>
      <c r="BP159" s="81">
        <f>IFERROR(Y159/J159,"0")</f>
        <v>0.4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28</v>
      </c>
      <c r="Y160" s="43">
        <f>IFERROR(SUM(Y159:Y159),"0")</f>
        <v>28</v>
      </c>
      <c r="Z160" s="43">
        <f>IFERROR(IF(Z159="",0,Z159),"0")</f>
        <v>0.50063999999999997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84</v>
      </c>
      <c r="Y161" s="43">
        <f>IFERROR(SUMPRODUCT(Y159:Y159*H159:H159),"0")</f>
        <v>84</v>
      </c>
      <c r="Z161" s="42"/>
      <c r="AA161" s="67"/>
      <c r="AB161" s="67"/>
      <c r="AC161" s="67"/>
    </row>
    <row r="162" spans="1:68" ht="16.5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28</v>
      </c>
      <c r="Y174" s="55">
        <f>IFERROR(IF(X174="","",X174),"")</f>
        <v>28</v>
      </c>
      <c r="Z174" s="41">
        <f>IFERROR(IF(X174="","",X174*0.00941),"")</f>
        <v>0.26347999999999999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58.850399999999993</v>
      </c>
      <c r="BN174" s="81">
        <f>IFERROR(Y174*I174,"0")</f>
        <v>58.850399999999993</v>
      </c>
      <c r="BO174" s="81">
        <f>IFERROR(X174/J174,"0")</f>
        <v>0.2</v>
      </c>
      <c r="BP174" s="81">
        <f>IFERROR(Y174/J174,"0")</f>
        <v>0.2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28</v>
      </c>
      <c r="Y175" s="43">
        <f>IFERROR(SUM(Y174:Y174),"0")</f>
        <v>28</v>
      </c>
      <c r="Z175" s="43">
        <f>IFERROR(IF(Z174="",0,Z174),"0")</f>
        <v>0.26347999999999999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47.04</v>
      </c>
      <c r="Y176" s="43">
        <f>IFERROR(SUMPRODUCT(Y174:Y174*H174:H174),"0")</f>
        <v>47.04</v>
      </c>
      <c r="Z176" s="42"/>
      <c r="AA176" s="67"/>
      <c r="AB176" s="67"/>
      <c r="AC176" s="67"/>
    </row>
    <row r="177" spans="1:68" ht="27.75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56</v>
      </c>
      <c r="Y192" s="55">
        <f>IFERROR(IF(X192="","",X192),"")</f>
        <v>56</v>
      </c>
      <c r="Z192" s="41">
        <f>IFERROR(IF(X192="","",X192*0.01788),"")</f>
        <v>1.0012799999999999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189.72800000000001</v>
      </c>
      <c r="BN192" s="81">
        <f>IFERROR(Y192*I192,"0")</f>
        <v>189.72800000000001</v>
      </c>
      <c r="BO192" s="81">
        <f>IFERROR(X192/J192,"0")</f>
        <v>0.8</v>
      </c>
      <c r="BP192" s="81">
        <f>IFERROR(Y192/J192,"0")</f>
        <v>0.8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112</v>
      </c>
      <c r="Y196" s="43">
        <f>IFERROR(SUM(Y192:Y195),"0")</f>
        <v>112</v>
      </c>
      <c r="Z196" s="43">
        <f>IFERROR(IF(Z192="",0,Z192),"0")+IFERROR(IF(Z193="",0,Z193),"0")+IFERROR(IF(Z194="",0,Z194),"0")+IFERROR(IF(Z195="",0,Z195),"0")</f>
        <v>2.0025599999999999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336</v>
      </c>
      <c r="Y197" s="43">
        <f>IFERROR(SUMPRODUCT(Y192:Y195*H192:H195),"0")</f>
        <v>336</v>
      </c>
      <c r="Z197" s="42"/>
      <c r="AA197" s="67"/>
      <c r="AB197" s="67"/>
      <c r="AC197" s="67"/>
    </row>
    <row r="198" spans="1:68" ht="27.75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180</v>
      </c>
      <c r="Y252" s="55">
        <f>IFERROR(IF(X252="","",X252),"")</f>
        <v>180</v>
      </c>
      <c r="Z252" s="41">
        <f>IFERROR(IF(X252="","",X252*0.0155),"")</f>
        <v>2.79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1126.8</v>
      </c>
      <c r="BN252" s="81">
        <f>IFERROR(Y252*I252,"0")</f>
        <v>1126.8</v>
      </c>
      <c r="BO252" s="81">
        <f>IFERROR(X252/J252,"0")</f>
        <v>2.1428571428571428</v>
      </c>
      <c r="BP252" s="81">
        <f>IFERROR(Y252/J252,"0")</f>
        <v>2.1428571428571428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180</v>
      </c>
      <c r="Y253" s="43">
        <f>IFERROR(SUM(Y252:Y252),"0")</f>
        <v>180</v>
      </c>
      <c r="Z253" s="43">
        <f>IFERROR(IF(Z252="",0,Z252),"0")</f>
        <v>2.79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1080</v>
      </c>
      <c r="Y254" s="43">
        <f>IFERROR(SUMPRODUCT(Y252:Y252*H252:H252),"0")</f>
        <v>1080</v>
      </c>
      <c r="Z254" s="42"/>
      <c r="AA254" s="67"/>
      <c r="AB254" s="67"/>
      <c r="AC254" s="67"/>
    </row>
    <row r="255" spans="1:68" ht="14.25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216</v>
      </c>
      <c r="Y264" s="55">
        <f t="shared" si="18"/>
        <v>216</v>
      </c>
      <c r="Z264" s="41">
        <f>IFERROR(IF(X264="","",X264*0.0155),"")</f>
        <v>3.3479999999999999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1238.76</v>
      </c>
      <c r="BN264" s="81">
        <f t="shared" si="20"/>
        <v>1238.76</v>
      </c>
      <c r="BO264" s="81">
        <f t="shared" si="21"/>
        <v>2.5714285714285716</v>
      </c>
      <c r="BP264" s="81">
        <f t="shared" si="22"/>
        <v>2.5714285714285716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98</v>
      </c>
      <c r="Y265" s="55">
        <f t="shared" si="18"/>
        <v>98</v>
      </c>
      <c r="Z265" s="41">
        <f t="shared" ref="Z265:Z270" si="23">IFERROR(IF(X265="","",X265*0.00936),"")</f>
        <v>0.91727999999999998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312.81600000000003</v>
      </c>
      <c r="BN265" s="81">
        <f t="shared" si="20"/>
        <v>312.81600000000003</v>
      </c>
      <c r="BO265" s="81">
        <f t="shared" si="21"/>
        <v>0.77777777777777779</v>
      </c>
      <c r="BP265" s="81">
        <f t="shared" si="22"/>
        <v>0.77777777777777779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>
        <v>126</v>
      </c>
      <c r="Y266" s="55">
        <f t="shared" si="18"/>
        <v>126</v>
      </c>
      <c r="Z266" s="41">
        <f t="shared" si="23"/>
        <v>1.17936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490.392</v>
      </c>
      <c r="BN266" s="81">
        <f t="shared" si="20"/>
        <v>490.392</v>
      </c>
      <c r="BO266" s="81">
        <f t="shared" si="21"/>
        <v>1</v>
      </c>
      <c r="BP266" s="81">
        <f t="shared" si="22"/>
        <v>1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si="23"/>
        <v>0.26207999999999998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108.976</v>
      </c>
      <c r="BN267" s="81">
        <f t="shared" si="20"/>
        <v>108.976</v>
      </c>
      <c r="BO267" s="81">
        <f t="shared" si="21"/>
        <v>0.22222222222222221</v>
      </c>
      <c r="BP267" s="81">
        <f t="shared" si="22"/>
        <v>0.22222222222222221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636</v>
      </c>
      <c r="Y272" s="43">
        <f>IFERROR(SUM(Y262:Y271),"0")</f>
        <v>636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8.3107199999999981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2891.7999999999997</v>
      </c>
      <c r="Y273" s="43">
        <f>IFERROR(SUMPRODUCT(Y262:Y271*H262:H271),"0")</f>
        <v>2891.7999999999997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7129.7199999999993</v>
      </c>
      <c r="Y274" s="43">
        <f>IFERROR(Y31+Y37+Y44+Y51+Y59+Y64+Y68+Y73+Y79+Y85+Y90+Y96+Y106+Y112+Y123+Y127+Y131+Y136+Y143+Y150+Y156+Y161+Y166+Y171+Y176+Y183+Y188+Y197+Y203+Y210+Y215+Y221+Y227+Y233+Y239+Y243+Y250+Y254+Y260+Y273,"0")</f>
        <v>6253.24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7933.3423999999995</v>
      </c>
      <c r="Y275" s="43">
        <f>IFERROR(SUM(BN22:BN271),"0")</f>
        <v>7933.3423999999995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23</v>
      </c>
      <c r="Y276" s="44">
        <f>ROUNDUP(SUM(BP22:BP271),0)</f>
        <v>23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8508.3423999999995</v>
      </c>
      <c r="Y277" s="43">
        <f>GrossWeightTotalR+PalletQtyTotalR*25</f>
        <v>8508.3423999999995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1888</v>
      </c>
      <c r="Y278" s="43">
        <f>IFERROR(Y30+Y36+Y43+Y50+Y58+Y63+Y67+Y72+Y78+Y84+Y89+Y95+Y105+Y111+Y122+Y126+Y130+Y135+Y142+Y149+Y155+Y160+Y165+Y170+Y175+Y182+Y187+Y196+Y202+Y209+Y214+Y220+Y226+Y232+Y238+Y242+Y249+Y253+Y259+Y272,"0")</f>
        <v>1888</v>
      </c>
      <c r="Z278" s="42"/>
      <c r="AA278" s="67"/>
      <c r="AB278" s="67"/>
      <c r="AC278" s="67"/>
    </row>
    <row r="279" spans="1:32" ht="14.25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28.759439999999998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210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84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151.20000000000002</v>
      </c>
      <c r="J284" s="52">
        <f>IFERROR(X93*H93,"0")+IFERROR(X94*H94,"0")</f>
        <v>453.6</v>
      </c>
      <c r="K284" s="52">
        <f>IFERROR(X99*H99,"0")+IFERROR(X100*H100,"0")+IFERROR(X101*H101,"0")+IFERROR(X102*H102,"0")+IFERROR(X103*H103,"0")+IFERROR(X104*H104,"0")</f>
        <v>631.67999999999995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160.80000000000001</v>
      </c>
      <c r="N284" s="1"/>
      <c r="O284" s="52">
        <f>IFERROR(X134*H134,"0")</f>
        <v>0</v>
      </c>
      <c r="P284" s="52">
        <f>IFERROR(X139*H139,"0")+IFERROR(X140*H140,"0")+IFERROR(X141*H141,"0")</f>
        <v>630</v>
      </c>
      <c r="Q284" s="52">
        <f>IFERROR(X146*H146,"0")+IFERROR(X147*H147,"0")+IFERROR(X148*H148,"0")</f>
        <v>168</v>
      </c>
      <c r="R284" s="52">
        <f>IFERROR(X153*H153,"0")+IFERROR(X154*H154,"0")</f>
        <v>201.6</v>
      </c>
      <c r="S284" s="52">
        <f>IFERROR(X159*H159,"0")</f>
        <v>84</v>
      </c>
      <c r="T284" s="52">
        <f>IFERROR(X164*H164,"0")</f>
        <v>0</v>
      </c>
      <c r="U284" s="52">
        <f>IFERROR(X169*H169,"0")</f>
        <v>0</v>
      </c>
      <c r="V284" s="52">
        <f>IFERROR(X174*H174,"0")</f>
        <v>47.04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336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3971.7999999999997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244.8</v>
      </c>
      <c r="B287" s="72">
        <f>SUMPRODUCT(--(BB:BB="ПГП"),--(W:W="кор"),H:H,Y:Y)+SUMPRODUCT(--(BB:BB="ПГП"),--(W:W="кг"),Y:Y)</f>
        <v>6884.920000000001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2026-07-31T10:17:40Z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