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F29D2FCD-6C6A-4D98-B148-F5326FFB92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Y279" i="1" s="1"/>
  <c r="P269" i="1"/>
  <c r="BP268" i="1"/>
  <c r="BO268" i="1"/>
  <c r="BN268" i="1"/>
  <c r="BM268" i="1"/>
  <c r="Z268" i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Y266" i="1" s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Z255" i="1" s="1"/>
  <c r="Y253" i="1"/>
  <c r="P253" i="1"/>
  <c r="X249" i="1"/>
  <c r="Z248" i="1"/>
  <c r="X248" i="1"/>
  <c r="BO247" i="1"/>
  <c r="BM247" i="1"/>
  <c r="Z247" i="1"/>
  <c r="Y247" i="1"/>
  <c r="P247" i="1"/>
  <c r="Y243" i="1"/>
  <c r="X243" i="1"/>
  <c r="Z242" i="1"/>
  <c r="X242" i="1"/>
  <c r="BO241" i="1"/>
  <c r="BM241" i="1"/>
  <c r="Z241" i="1"/>
  <c r="Y241" i="1"/>
  <c r="P241" i="1"/>
  <c r="X239" i="1"/>
  <c r="Z238" i="1"/>
  <c r="X238" i="1"/>
  <c r="BO237" i="1"/>
  <c r="BM237" i="1"/>
  <c r="Z237" i="1"/>
  <c r="Y237" i="1"/>
  <c r="P237" i="1"/>
  <c r="Y233" i="1"/>
  <c r="X233" i="1"/>
  <c r="Z232" i="1"/>
  <c r="X232" i="1"/>
  <c r="BO231" i="1"/>
  <c r="BM231" i="1"/>
  <c r="Z231" i="1"/>
  <c r="Y231" i="1"/>
  <c r="P231" i="1"/>
  <c r="X227" i="1"/>
  <c r="Z226" i="1"/>
  <c r="X226" i="1"/>
  <c r="BO225" i="1"/>
  <c r="BM225" i="1"/>
  <c r="Z225" i="1"/>
  <c r="Y225" i="1"/>
  <c r="P225" i="1"/>
  <c r="Y222" i="1"/>
  <c r="X222" i="1"/>
  <c r="Z221" i="1"/>
  <c r="X221" i="1"/>
  <c r="BO220" i="1"/>
  <c r="BM220" i="1"/>
  <c r="Z220" i="1"/>
  <c r="Y220" i="1"/>
  <c r="P220" i="1"/>
  <c r="X217" i="1"/>
  <c r="X216" i="1"/>
  <c r="BO215" i="1"/>
  <c r="BM215" i="1"/>
  <c r="Z215" i="1"/>
  <c r="Y215" i="1"/>
  <c r="P215" i="1"/>
  <c r="BP214" i="1"/>
  <c r="BO214" i="1"/>
  <c r="BN214" i="1"/>
  <c r="BM214" i="1"/>
  <c r="Z214" i="1"/>
  <c r="Z216" i="1" s="1"/>
  <c r="Y214" i="1"/>
  <c r="Y216" i="1" s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O115" i="1"/>
  <c r="BM115" i="1"/>
  <c r="Z115" i="1"/>
  <c r="Z122" i="1" s="1"/>
  <c r="Y115" i="1"/>
  <c r="Y123" i="1" s="1"/>
  <c r="P115" i="1"/>
  <c r="X112" i="1"/>
  <c r="X111" i="1"/>
  <c r="BO110" i="1"/>
  <c r="BM110" i="1"/>
  <c r="Z110" i="1"/>
  <c r="Y110" i="1"/>
  <c r="Y112" i="1" s="1"/>
  <c r="P110" i="1"/>
  <c r="BP109" i="1"/>
  <c r="BO109" i="1"/>
  <c r="BN109" i="1"/>
  <c r="BM109" i="1"/>
  <c r="Z109" i="1"/>
  <c r="Z111" i="1" s="1"/>
  <c r="Y109" i="1"/>
  <c r="Y111" i="1" s="1"/>
  <c r="P109" i="1"/>
  <c r="X106" i="1"/>
  <c r="X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Z105" i="1" s="1"/>
  <c r="Y99" i="1"/>
  <c r="Y105" i="1" s="1"/>
  <c r="P99" i="1"/>
  <c r="X96" i="1"/>
  <c r="X95" i="1"/>
  <c r="BO94" i="1"/>
  <c r="BM94" i="1"/>
  <c r="Z94" i="1"/>
  <c r="Y94" i="1"/>
  <c r="Y96" i="1" s="1"/>
  <c r="P94" i="1"/>
  <c r="BP93" i="1"/>
  <c r="BO93" i="1"/>
  <c r="BN93" i="1"/>
  <c r="BM93" i="1"/>
  <c r="Z93" i="1"/>
  <c r="Z95" i="1" s="1"/>
  <c r="Y93" i="1"/>
  <c r="Y95" i="1" s="1"/>
  <c r="P93" i="1"/>
  <c r="X90" i="1"/>
  <c r="X89" i="1"/>
  <c r="BO88" i="1"/>
  <c r="BM88" i="1"/>
  <c r="Z88" i="1"/>
  <c r="Z89" i="1" s="1"/>
  <c r="Y88" i="1"/>
  <c r="P88" i="1"/>
  <c r="Y85" i="1"/>
  <c r="X85" i="1"/>
  <c r="Z84" i="1"/>
  <c r="X84" i="1"/>
  <c r="BO83" i="1"/>
  <c r="BM83" i="1"/>
  <c r="Z83" i="1"/>
  <c r="Y83" i="1"/>
  <c r="P83" i="1"/>
  <c r="BP82" i="1"/>
  <c r="BO82" i="1"/>
  <c r="BN82" i="1"/>
  <c r="BM82" i="1"/>
  <c r="Z82" i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P70" i="1"/>
  <c r="X68" i="1"/>
  <c r="Z67" i="1"/>
  <c r="X67" i="1"/>
  <c r="BO66" i="1"/>
  <c r="BM66" i="1"/>
  <c r="Z66" i="1"/>
  <c r="Y66" i="1"/>
  <c r="Y68" i="1" s="1"/>
  <c r="P66" i="1"/>
  <c r="Y64" i="1"/>
  <c r="X64" i="1"/>
  <c r="Z63" i="1"/>
  <c r="X63" i="1"/>
  <c r="BO62" i="1"/>
  <c r="BM62" i="1"/>
  <c r="Z62" i="1"/>
  <c r="Y62" i="1"/>
  <c r="P62" i="1"/>
  <c r="X59" i="1"/>
  <c r="X58" i="1"/>
  <c r="BO57" i="1"/>
  <c r="BM57" i="1"/>
  <c r="Z57" i="1"/>
  <c r="Y57" i="1"/>
  <c r="P57" i="1"/>
  <c r="BP56" i="1"/>
  <c r="BO56" i="1"/>
  <c r="BN56" i="1"/>
  <c r="BM56" i="1"/>
  <c r="Z56" i="1"/>
  <c r="Y56" i="1"/>
  <c r="P56" i="1"/>
  <c r="BO55" i="1"/>
  <c r="BM55" i="1"/>
  <c r="Z55" i="1"/>
  <c r="Y55" i="1"/>
  <c r="Y59" i="1" s="1"/>
  <c r="P55" i="1"/>
  <c r="BP54" i="1"/>
  <c r="BO54" i="1"/>
  <c r="BN54" i="1"/>
  <c r="BM54" i="1"/>
  <c r="Z54" i="1"/>
  <c r="Z58" i="1" s="1"/>
  <c r="Y54" i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Z50" i="1" s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P41" i="1"/>
  <c r="X37" i="1"/>
  <c r="X36" i="1"/>
  <c r="BO35" i="1"/>
  <c r="BM35" i="1"/>
  <c r="Z35" i="1"/>
  <c r="Z36" i="1" s="1"/>
  <c r="Y35" i="1"/>
  <c r="P35" i="1"/>
  <c r="BO34" i="1"/>
  <c r="BM34" i="1"/>
  <c r="Z34" i="1"/>
  <c r="Y34" i="1"/>
  <c r="Y36" i="1" s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31" i="1" s="1"/>
  <c r="P23" i="1"/>
  <c r="BP22" i="1"/>
  <c r="BO22" i="1"/>
  <c r="BN22" i="1"/>
  <c r="BM22" i="1"/>
  <c r="Z22" i="1"/>
  <c r="Z30" i="1" s="1"/>
  <c r="Y22" i="1"/>
  <c r="Y30" i="1" s="1"/>
  <c r="P22" i="1"/>
  <c r="H10" i="1"/>
  <c r="A9" i="1"/>
  <c r="F10" i="1" s="1"/>
  <c r="D7" i="1"/>
  <c r="Q6" i="1"/>
  <c r="P2" i="1"/>
  <c r="H9" i="1" l="1"/>
  <c r="A10" i="1"/>
  <c r="X281" i="1"/>
  <c r="X282" i="1"/>
  <c r="BN23" i="1"/>
  <c r="BP23" i="1"/>
  <c r="BN25" i="1"/>
  <c r="BN27" i="1"/>
  <c r="BN29" i="1"/>
  <c r="X280" i="1"/>
  <c r="BN34" i="1"/>
  <c r="BP34" i="1"/>
  <c r="Y282" i="1" s="1"/>
  <c r="BP35" i="1"/>
  <c r="BN35" i="1"/>
  <c r="Z43" i="1"/>
  <c r="Z285" i="1" s="1"/>
  <c r="Y51" i="1"/>
  <c r="Y58" i="1"/>
  <c r="Y63" i="1"/>
  <c r="BP62" i="1"/>
  <c r="BN62" i="1"/>
  <c r="Y73" i="1"/>
  <c r="BP70" i="1"/>
  <c r="BN70" i="1"/>
  <c r="Y72" i="1"/>
  <c r="BP76" i="1"/>
  <c r="BN76" i="1"/>
  <c r="Y78" i="1"/>
  <c r="BP83" i="1"/>
  <c r="BN83" i="1"/>
  <c r="F9" i="1"/>
  <c r="J9" i="1"/>
  <c r="Y37" i="1"/>
  <c r="Y280" i="1" s="1"/>
  <c r="B293" i="1" s="1"/>
  <c r="Y44" i="1"/>
  <c r="BP41" i="1"/>
  <c r="BN41" i="1"/>
  <c r="Y43" i="1"/>
  <c r="Y284" i="1" s="1"/>
  <c r="BP48" i="1"/>
  <c r="BN48" i="1"/>
  <c r="Y281" i="1" s="1"/>
  <c r="Y283" i="1" s="1"/>
  <c r="Y50" i="1"/>
  <c r="BP55" i="1"/>
  <c r="BN55" i="1"/>
  <c r="BP57" i="1"/>
  <c r="BN57" i="1"/>
  <c r="Y67" i="1"/>
  <c r="BP66" i="1"/>
  <c r="BN66" i="1"/>
  <c r="Y89" i="1"/>
  <c r="BP88" i="1"/>
  <c r="BN88" i="1"/>
  <c r="Y90" i="1"/>
  <c r="BN94" i="1"/>
  <c r="BP94" i="1"/>
  <c r="BN99" i="1"/>
  <c r="BP99" i="1"/>
  <c r="BN101" i="1"/>
  <c r="BN103" i="1"/>
  <c r="Y106" i="1"/>
  <c r="BN110" i="1"/>
  <c r="BP110" i="1"/>
  <c r="BN115" i="1"/>
  <c r="BP115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BN116" i="1"/>
  <c r="BN118" i="1"/>
  <c r="BN120" i="1"/>
  <c r="BN135" i="1"/>
  <c r="BN137" i="1"/>
  <c r="BN141" i="1"/>
  <c r="BP141" i="1"/>
  <c r="BN143" i="1"/>
  <c r="Y145" i="1"/>
  <c r="C293" i="1" s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11" i="1"/>
  <c r="Y217" i="1"/>
  <c r="Y221" i="1"/>
  <c r="BP220" i="1"/>
  <c r="BN220" i="1"/>
  <c r="Y227" i="1"/>
  <c r="Y232" i="1"/>
  <c r="BP231" i="1"/>
  <c r="BN231" i="1"/>
  <c r="Y239" i="1"/>
  <c r="Y242" i="1"/>
  <c r="BP241" i="1"/>
  <c r="BN241" i="1"/>
  <c r="Y249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A293" i="1" l="1"/>
  <c r="X283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<sst xmlns="http://schemas.openxmlformats.org/spreadsheetml/2006/main" count="1292" uniqueCount="417">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</sst>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7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7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2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6"/>
      <c r="U7" s="384"/>
      <c r="V7" s="408"/>
      <c r="W7" s="409"/>
      <c r="AB7" s="51"/>
      <c r="AC7" s="51"/>
      <c r="AD7" s="51"/>
      <c r="AE7" s="51"/>
    </row>
    <row r="8" spans="1:32" s="272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6"/>
      <c r="U8" s="384"/>
      <c r="V8" s="408"/>
      <c r="W8" s="409"/>
      <c r="AB8" s="51"/>
      <c r="AC8" s="51"/>
      <c r="AD8" s="51"/>
      <c r="AE8" s="51"/>
    </row>
    <row r="9" spans="1:32" s="272" customFormat="1" ht="39.950000000000003" customHeight="1" x14ac:dyDescent="0.2">
      <c r="A9" s="3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71"/>
      <c r="E9" s="288"/>
      <c r="F9" s="3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5"/>
      <c r="R9" s="356"/>
      <c r="T9" s="296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71"/>
      <c r="E10" s="288"/>
      <c r="F10" s="3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05" t="str">
        <f>IFERROR(VLOOKUP($D$10,Proxy,2,FALSE),"")</f>
        <v/>
      </c>
      <c r="I10" s="296"/>
      <c r="J10" s="296"/>
      <c r="K10" s="296"/>
      <c r="L10" s="296"/>
      <c r="M10" s="296"/>
      <c r="N10" s="271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6"/>
      <c r="AB12" s="51"/>
      <c r="AC12" s="51"/>
      <c r="AD12" s="51"/>
      <c r="AE12" s="51"/>
    </row>
    <row r="13" spans="1:32" s="272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6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7"/>
      <c r="Q16" s="377"/>
      <c r="R16" s="377"/>
      <c r="S16" s="377"/>
      <c r="T16" s="3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4"/>
      <c r="AB18" s="404"/>
      <c r="AC18" s="404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customHeight="1" x14ac:dyDescent="0.25">
      <c r="A21" s="295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36</v>
      </c>
      <c r="Y27" s="279">
        <f t="shared" si="0"/>
        <v>36</v>
      </c>
      <c r="Z27" s="36">
        <f t="shared" si="1"/>
        <v>0.55800000000000005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8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72</v>
      </c>
      <c r="Y30" s="280">
        <f>IFERROR(SUM(Y22:Y29),"0")</f>
        <v>72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1.1160000000000001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499.20000000000005</v>
      </c>
      <c r="Y31" s="280">
        <f>IFERROR(SUMPRODUCT(Y22:Y29*H22:H29),"0")</f>
        <v>499.20000000000005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customHeight="1" x14ac:dyDescent="0.25">
      <c r="A33" s="295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customHeight="1" x14ac:dyDescent="0.25">
      <c r="A40" s="295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84</v>
      </c>
      <c r="Y41" s="279">
        <f>IFERROR(IF(X41="","",X41),"")</f>
        <v>84</v>
      </c>
      <c r="Z41" s="36">
        <f>IFERROR(IF(X41="","",X41*0.00941),"")</f>
        <v>0.79044000000000003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161.43119999999999</v>
      </c>
      <c r="BN41" s="67">
        <f>IFERROR(Y41*I41,"0")</f>
        <v>161.43119999999999</v>
      </c>
      <c r="BO41" s="67">
        <f>IFERROR(X41/J41,"0")</f>
        <v>0.6</v>
      </c>
      <c r="BP41" s="67">
        <f>IFERROR(Y41/J41,"0")</f>
        <v>0.6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70</v>
      </c>
      <c r="Y42" s="279">
        <f>IFERROR(IF(X42="","",X42),"")</f>
        <v>70</v>
      </c>
      <c r="Z42" s="36">
        <f>IFERROR(IF(X42="","",X42*0.00941),"")</f>
        <v>0.65869999999999995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134.52600000000001</v>
      </c>
      <c r="BN42" s="67">
        <f>IFERROR(Y42*I42,"0")</f>
        <v>134.52600000000001</v>
      </c>
      <c r="BO42" s="67">
        <f>IFERROR(X42/J42,"0")</f>
        <v>0.5</v>
      </c>
      <c r="BP42" s="67">
        <f>IFERROR(Y42/J42,"0")</f>
        <v>0.5</v>
      </c>
    </row>
    <row r="43" spans="1:68" x14ac:dyDescent="0.2">
      <c r="A43" s="298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154</v>
      </c>
      <c r="Y43" s="280">
        <f>IFERROR(SUM(Y41:Y42),"0")</f>
        <v>154</v>
      </c>
      <c r="Z43" s="280">
        <f>IFERROR(IF(Z41="",0,Z41),"0")+IFERROR(IF(Z42="",0,Z42),"0")</f>
        <v>1.4491399999999999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231</v>
      </c>
      <c r="Y44" s="280">
        <f>IFERROR(SUMPRODUCT(Y41:Y42*H41:H42),"0")</f>
        <v>231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customHeight="1" x14ac:dyDescent="0.25">
      <c r="A46" s="295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36</v>
      </c>
      <c r="Y49" s="279">
        <f>IFERROR(IF(X49="","",X49),"")</f>
        <v>36</v>
      </c>
      <c r="Z49" s="36">
        <f>IFERROR(IF(X49="","",X49*0.0155),"")</f>
        <v>0.55800000000000005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211.32</v>
      </c>
      <c r="BN49" s="67">
        <f>IFERROR(Y49*I49,"0")</f>
        <v>211.32</v>
      </c>
      <c r="BO49" s="67">
        <f>IFERROR(X49/J49,"0")</f>
        <v>0.42857142857142855</v>
      </c>
      <c r="BP49" s="67">
        <f>IFERROR(Y49/J49,"0")</f>
        <v>0.42857142857142855</v>
      </c>
    </row>
    <row r="50" spans="1:68" x14ac:dyDescent="0.2">
      <c r="A50" s="29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84</v>
      </c>
      <c r="Y50" s="280">
        <f>IFERROR(SUM(Y47:Y49),"0")</f>
        <v>84</v>
      </c>
      <c r="Z50" s="280">
        <f>IFERROR(IF(Z47="",0,Z47),"0")+IFERROR(IF(Z48="",0,Z48),"0")+IFERROR(IF(Z49="",0,Z49),"0")</f>
        <v>1.302</v>
      </c>
      <c r="AA50" s="281"/>
      <c r="AB50" s="281"/>
      <c r="AC50" s="281"/>
    </row>
    <row r="51" spans="1:68" x14ac:dyDescent="0.2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470.4</v>
      </c>
      <c r="Y51" s="280">
        <f>IFERROR(SUMPRODUCT(Y47:Y49*H47:H49),"0")</f>
        <v>470.4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3"/>
      <c r="AB52" s="273"/>
      <c r="AC52" s="273"/>
    </row>
    <row r="53" spans="1:68" ht="14.25" customHeight="1" x14ac:dyDescent="0.25">
      <c r="A53" s="295" t="s">
        <v>62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12</v>
      </c>
      <c r="Y55" s="27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87.431999999999988</v>
      </c>
      <c r="BN55" s="67">
        <f>IFERROR(Y55*I55,"0")</f>
        <v>87.431999999999988</v>
      </c>
      <c r="BO55" s="67">
        <f>IFERROR(X55/J55,"0")</f>
        <v>0.14285714285714285</v>
      </c>
      <c r="BP55" s="67">
        <f>IFERROR(Y55/J55,"0")</f>
        <v>0.14285714285714285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29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36</v>
      </c>
      <c r="Y58" s="280">
        <f>IFERROR(SUM(Y54:Y57),"0")</f>
        <v>36</v>
      </c>
      <c r="Z58" s="280">
        <f>IFERROR(IF(Z54="",0,Z54),"0")+IFERROR(IF(Z55="",0,Z55),"0")+IFERROR(IF(Z56="",0,Z56),"0")+IFERROR(IF(Z57="",0,Z57),"0")</f>
        <v>0.55800000000000005</v>
      </c>
      <c r="AA58" s="281"/>
      <c r="AB58" s="281"/>
      <c r="AC58" s="281"/>
    </row>
    <row r="59" spans="1:68" x14ac:dyDescent="0.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252</v>
      </c>
      <c r="Y59" s="280">
        <f>IFERROR(SUMPRODUCT(Y54:Y57*H54:H57),"0")</f>
        <v>252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3"/>
      <c r="AB60" s="273"/>
      <c r="AC60" s="273"/>
    </row>
    <row r="61" spans="1:68" ht="14.25" customHeight="1" x14ac:dyDescent="0.25">
      <c r="A61" s="295" t="s">
        <v>62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5" t="s">
        <v>97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5" t="s">
        <v>135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298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customHeight="1" x14ac:dyDescent="0.25">
      <c r="A81" s="295" t="s">
        <v>62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84</v>
      </c>
      <c r="Y83" s="279">
        <f>IFERROR(IF(X83="","",X83),"")</f>
        <v>84</v>
      </c>
      <c r="Z83" s="36">
        <f>IFERROR(IF(X83="","",X83*0.00866),"")</f>
        <v>0.72743999999999998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437.90879999999999</v>
      </c>
      <c r="BN83" s="67">
        <f>IFERROR(Y83*I83,"0")</f>
        <v>437.90879999999999</v>
      </c>
      <c r="BO83" s="67">
        <f>IFERROR(X83/J83,"0")</f>
        <v>0.58333333333333337</v>
      </c>
      <c r="BP83" s="67">
        <f>IFERROR(Y83/J83,"0")</f>
        <v>0.58333333333333337</v>
      </c>
    </row>
    <row r="84" spans="1:68" x14ac:dyDescent="0.2">
      <c r="A84" s="298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84</v>
      </c>
      <c r="Y84" s="280">
        <f>IFERROR(SUM(Y82:Y83),"0")</f>
        <v>84</v>
      </c>
      <c r="Z84" s="280">
        <f>IFERROR(IF(Z82="",0,Z82),"0")+IFERROR(IF(Z83="",0,Z83),"0")</f>
        <v>0.72743999999999998</v>
      </c>
      <c r="AA84" s="281"/>
      <c r="AB84" s="281"/>
      <c r="AC84" s="281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420</v>
      </c>
      <c r="Y85" s="280">
        <f>IFERROR(SUMPRODUCT(Y82:Y83*H82:H83),"0")</f>
        <v>420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3"/>
      <c r="AB86" s="273"/>
      <c r="AC86" s="273"/>
    </row>
    <row r="87" spans="1:68" ht="14.25" customHeight="1" x14ac:dyDescent="0.25">
      <c r="A87" s="295" t="s">
        <v>141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98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customHeight="1" x14ac:dyDescent="0.25">
      <c r="A92" s="295" t="s">
        <v>161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168</v>
      </c>
      <c r="Y93" s="279">
        <f>IFERROR(IF(X93="","",X93),"")</f>
        <v>168</v>
      </c>
      <c r="Z93" s="36">
        <f>IFERROR(IF(X93="","",X93*0.01788),"")</f>
        <v>3.0038399999999998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723.00480000000005</v>
      </c>
      <c r="BN93" s="67">
        <f>IFERROR(Y93*I93,"0")</f>
        <v>723.00480000000005</v>
      </c>
      <c r="BO93" s="67">
        <f>IFERROR(X93/J93,"0")</f>
        <v>2.4</v>
      </c>
      <c r="BP93" s="67">
        <f>IFERROR(Y93/J93,"0")</f>
        <v>2.4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70</v>
      </c>
      <c r="Y94" s="279">
        <f>IFERROR(IF(X94="","",X94),"")</f>
        <v>70</v>
      </c>
      <c r="Z94" s="36">
        <f>IFERROR(IF(X94="","",X94*0.01788),"")</f>
        <v>1.2516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x14ac:dyDescent="0.2">
      <c r="A95" s="298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238</v>
      </c>
      <c r="Y95" s="280">
        <f>IFERROR(SUM(Y93:Y94),"0")</f>
        <v>238</v>
      </c>
      <c r="Z95" s="280">
        <f>IFERROR(IF(Z93="",0,Z93),"0")+IFERROR(IF(Z94="",0,Z94),"0")</f>
        <v>4.2554400000000001</v>
      </c>
      <c r="AA95" s="281"/>
      <c r="AB95" s="281"/>
      <c r="AC95" s="281"/>
    </row>
    <row r="96" spans="1:68" x14ac:dyDescent="0.2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856.80000000000007</v>
      </c>
      <c r="Y96" s="280">
        <f>IFERROR(SUMPRODUCT(Y93:Y94*H93:H94),"0")</f>
        <v>856.80000000000007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73"/>
      <c r="AB97" s="273"/>
      <c r="AC97" s="273"/>
    </row>
    <row r="98" spans="1:68" ht="14.25" customHeight="1" x14ac:dyDescent="0.25">
      <c r="A98" s="295" t="s">
        <v>141</v>
      </c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28</v>
      </c>
      <c r="Y99" s="279">
        <f t="shared" ref="Y99:Y104" si="6">IFERROR(IF(X99="","",X99),"")</f>
        <v>28</v>
      </c>
      <c r="Z99" s="36">
        <f t="shared" ref="Z99:Z104" si="7">IFERROR(IF(X99="","",X99*0.01788),"")</f>
        <v>0.50063999999999997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100.3408</v>
      </c>
      <c r="BN99" s="67">
        <f t="shared" ref="BN99:BN104" si="9">IFERROR(Y99*I99,"0")</f>
        <v>100.3408</v>
      </c>
      <c r="BO99" s="67">
        <f t="shared" ref="BO99:BO104" si="10">IFERROR(X99/J99,"0")</f>
        <v>0.4</v>
      </c>
      <c r="BP99" s="67">
        <f t="shared" ref="BP99:BP104" si="11">IFERROR(Y99/J99,"0")</f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168</v>
      </c>
      <c r="Y100" s="279">
        <f t="shared" si="6"/>
        <v>168</v>
      </c>
      <c r="Z100" s="36">
        <f t="shared" si="7"/>
        <v>3.0038399999999998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602.04480000000001</v>
      </c>
      <c r="BN100" s="67">
        <f t="shared" si="9"/>
        <v>602.04480000000001</v>
      </c>
      <c r="BO100" s="67">
        <f t="shared" si="10"/>
        <v>2.4</v>
      </c>
      <c r="BP100" s="67">
        <f t="shared" si="11"/>
        <v>2.4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84</v>
      </c>
      <c r="Y101" s="279">
        <f t="shared" si="6"/>
        <v>84</v>
      </c>
      <c r="Z101" s="36">
        <f t="shared" si="7"/>
        <v>1.5019199999999999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301.0224</v>
      </c>
      <c r="BN101" s="67">
        <f t="shared" si="9"/>
        <v>301.0224</v>
      </c>
      <c r="BO101" s="67">
        <f t="shared" si="10"/>
        <v>1.2</v>
      </c>
      <c r="BP101" s="67">
        <f t="shared" si="11"/>
        <v>1.2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168</v>
      </c>
      <c r="Y102" s="279">
        <f t="shared" si="6"/>
        <v>168</v>
      </c>
      <c r="Z102" s="36">
        <f t="shared" si="7"/>
        <v>3.0038399999999998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602.04480000000001</v>
      </c>
      <c r="BN102" s="67">
        <f t="shared" si="9"/>
        <v>602.04480000000001</v>
      </c>
      <c r="BO102" s="67">
        <f t="shared" si="10"/>
        <v>2.4</v>
      </c>
      <c r="BP102" s="67">
        <f t="shared" si="11"/>
        <v>2.4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28</v>
      </c>
      <c r="Y103" s="279">
        <f t="shared" si="6"/>
        <v>28</v>
      </c>
      <c r="Z103" s="36">
        <f t="shared" si="7"/>
        <v>0.50063999999999997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124.56640000000002</v>
      </c>
      <c r="BN103" s="67">
        <f t="shared" si="9"/>
        <v>124.56640000000002</v>
      </c>
      <c r="BO103" s="67">
        <f t="shared" si="10"/>
        <v>0.4</v>
      </c>
      <c r="BP103" s="67">
        <f t="shared" si="11"/>
        <v>0.4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98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476</v>
      </c>
      <c r="Y105" s="280">
        <f>IFERROR(SUM(Y99:Y104),"0")</f>
        <v>476</v>
      </c>
      <c r="Z105" s="280">
        <f>IFERROR(IF(Z99="",0,Z99),"0")+IFERROR(IF(Z100="",0,Z100),"0")+IFERROR(IF(Z101="",0,Z101),"0")+IFERROR(IF(Z102="",0,Z102),"0")+IFERROR(IF(Z103="",0,Z103),"0")+IFERROR(IF(Z104="",0,Z104),"0")</f>
        <v>8.5108800000000002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1397.76</v>
      </c>
      <c r="Y106" s="280">
        <f>IFERROR(SUMPRODUCT(Y99:Y104*H99:H104),"0")</f>
        <v>1397.76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customHeight="1" x14ac:dyDescent="0.25">
      <c r="A108" s="295" t="s">
        <v>135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14</v>
      </c>
      <c r="Y109" s="279">
        <f>IFERROR(IF(X109="","",X109),"")</f>
        <v>14</v>
      </c>
      <c r="Z109" s="36">
        <f>IFERROR(IF(X109="","",X109*0.00936),"")</f>
        <v>0.13103999999999999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34.876800000000003</v>
      </c>
      <c r="BN109" s="67">
        <f>IFERROR(Y109*I109,"0")</f>
        <v>34.876800000000003</v>
      </c>
      <c r="BO109" s="67">
        <f>IFERROR(X109/J109,"0")</f>
        <v>0.1111111111111111</v>
      </c>
      <c r="BP109" s="67">
        <f>IFERROR(Y109/J109,"0")</f>
        <v>0.1111111111111111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84</v>
      </c>
      <c r="Y110" s="279">
        <f>IFERROR(IF(X110="","",X110),"")</f>
        <v>84</v>
      </c>
      <c r="Z110" s="36">
        <f>IFERROR(IF(X110="","",X110*0.01788),"")</f>
        <v>1.5019199999999999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356.49599999999998</v>
      </c>
      <c r="BN110" s="67">
        <f>IFERROR(Y110*I110,"0")</f>
        <v>356.49599999999998</v>
      </c>
      <c r="BO110" s="67">
        <f>IFERROR(X110/J110,"0")</f>
        <v>1.2</v>
      </c>
      <c r="BP110" s="67">
        <f>IFERROR(Y110/J110,"0")</f>
        <v>1.2</v>
      </c>
    </row>
    <row r="111" spans="1:68" x14ac:dyDescent="0.2">
      <c r="A111" s="298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98</v>
      </c>
      <c r="Y111" s="280">
        <f>IFERROR(SUM(Y109:Y110),"0")</f>
        <v>98</v>
      </c>
      <c r="Z111" s="280">
        <f>IFERROR(IF(Z109="",0,Z109),"0")+IFERROR(IF(Z110="",0,Z110),"0")</f>
        <v>1.63296</v>
      </c>
      <c r="AA111" s="281"/>
      <c r="AB111" s="281"/>
      <c r="AC111" s="281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332.64000000000004</v>
      </c>
      <c r="Y112" s="280">
        <f>IFERROR(SUMPRODUCT(Y109:Y110*H109:H110),"0")</f>
        <v>332.64000000000004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73"/>
      <c r="AB113" s="273"/>
      <c r="AC113" s="273"/>
    </row>
    <row r="114" spans="1:68" ht="14.25" customHeight="1" x14ac:dyDescent="0.25">
      <c r="A114" s="295" t="s">
        <v>62</v>
      </c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12</v>
      </c>
      <c r="Y115" s="279">
        <f t="shared" ref="Y115:Y121" si="12">IFERROR(IF(X115="","",X115),"")</f>
        <v>12</v>
      </c>
      <c r="Z115" s="36">
        <f t="shared" ref="Z115:Z121" si="13">IFERROR(IF(X115="","",X115*0.0155),"")</f>
        <v>0.186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87.36</v>
      </c>
      <c r="BN115" s="67">
        <f t="shared" ref="BN115:BN121" si="15">IFERROR(Y115*I115,"0")</f>
        <v>87.36</v>
      </c>
      <c r="BO115" s="67">
        <f t="shared" ref="BO115:BO121" si="16">IFERROR(X115/J115,"0")</f>
        <v>0.14285714285714285</v>
      </c>
      <c r="BP115" s="67">
        <f t="shared" ref="BP115:BP121" si="17">IFERROR(Y115/J115,"0")</f>
        <v>0.14285714285714285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36</v>
      </c>
      <c r="Y118" s="279">
        <f t="shared" si="12"/>
        <v>36</v>
      </c>
      <c r="Z118" s="36">
        <f t="shared" si="13"/>
        <v>0.55800000000000005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262.8</v>
      </c>
      <c r="BN118" s="67">
        <f t="shared" si="15"/>
        <v>262.8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120</v>
      </c>
      <c r="Y121" s="279">
        <f t="shared" si="12"/>
        <v>120</v>
      </c>
      <c r="Z121" s="36">
        <f t="shared" si="13"/>
        <v>1.8599999999999999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876</v>
      </c>
      <c r="BN121" s="67">
        <f t="shared" si="15"/>
        <v>876</v>
      </c>
      <c r="BO121" s="67">
        <f t="shared" si="16"/>
        <v>1.4285714285714286</v>
      </c>
      <c r="BP121" s="67">
        <f t="shared" si="17"/>
        <v>1.4285714285714286</v>
      </c>
    </row>
    <row r="122" spans="1:68" x14ac:dyDescent="0.2">
      <c r="A122" s="298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168</v>
      </c>
      <c r="Y122" s="280">
        <f>IFERROR(SUM(Y115:Y121),"0")</f>
        <v>168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2.6040000000000001</v>
      </c>
      <c r="AA122" s="281"/>
      <c r="AB122" s="281"/>
      <c r="AC122" s="281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1176</v>
      </c>
      <c r="Y123" s="280">
        <f>IFERROR(SUMPRODUCT(Y115:Y121*H115:H121),"0")</f>
        <v>1176</v>
      </c>
      <c r="Z123" s="37"/>
      <c r="AA123" s="281"/>
      <c r="AB123" s="281"/>
      <c r="AC123" s="281"/>
    </row>
    <row r="124" spans="1:68" ht="14.25" customHeight="1" x14ac:dyDescent="0.25">
      <c r="A124" s="295" t="s">
        <v>141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8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5" t="s">
        <v>210</v>
      </c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73"/>
      <c r="AB132" s="273"/>
      <c r="AC132" s="273"/>
    </row>
    <row r="133" spans="1:68" ht="14.25" customHeight="1" x14ac:dyDescent="0.25">
      <c r="A133" s="295" t="s">
        <v>141</v>
      </c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84</v>
      </c>
      <c r="Y137" s="279">
        <f>IFERROR(IF(X137="","",X137),"")</f>
        <v>84</v>
      </c>
      <c r="Z137" s="36">
        <f>IFERROR(IF(X137="","",X137*0.00941),"")</f>
        <v>0.79044000000000003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151.20000000000002</v>
      </c>
      <c r="BN137" s="67">
        <f>IFERROR(Y137*I137,"0")</f>
        <v>151.20000000000002</v>
      </c>
      <c r="BO137" s="67">
        <f>IFERROR(X137/J137,"0")</f>
        <v>0.6</v>
      </c>
      <c r="BP137" s="67">
        <f>IFERROR(Y137/J137,"0")</f>
        <v>0.6</v>
      </c>
    </row>
    <row r="138" spans="1:68" x14ac:dyDescent="0.2">
      <c r="A138" s="298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112</v>
      </c>
      <c r="Y138" s="280">
        <f>IFERROR(SUM(Y134:Y137),"0")</f>
        <v>112</v>
      </c>
      <c r="Z138" s="280">
        <f>IFERROR(IF(Z134="",0,Z134),"0")+IFERROR(IF(Z135="",0,Z135),"0")+IFERROR(IF(Z136="",0,Z136),"0")+IFERROR(IF(Z137="",0,Z137),"0")</f>
        <v>1.05392</v>
      </c>
      <c r="AA138" s="281"/>
      <c r="AB138" s="281"/>
      <c r="AC138" s="281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154.56</v>
      </c>
      <c r="Y139" s="280">
        <f>IFERROR(SUMPRODUCT(Y134:Y137*H134:H137),"0")</f>
        <v>154.56</v>
      </c>
      <c r="Z139" s="37"/>
      <c r="AA139" s="281"/>
      <c r="AB139" s="281"/>
      <c r="AC139" s="281"/>
    </row>
    <row r="140" spans="1:68" ht="14.25" customHeight="1" x14ac:dyDescent="0.25">
      <c r="A140" s="295" t="s">
        <v>224</v>
      </c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73"/>
      <c r="AB146" s="273"/>
      <c r="AC146" s="273"/>
    </row>
    <row r="147" spans="1:68" ht="14.25" customHeight="1" x14ac:dyDescent="0.25">
      <c r="A147" s="295" t="s">
        <v>141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294</v>
      </c>
      <c r="Y148" s="279">
        <f>IFERROR(IF(X148="","",X148),"")</f>
        <v>294</v>
      </c>
      <c r="Z148" s="36">
        <f>IFERROR(IF(X148="","",X148*0.01788),"")</f>
        <v>5.2567199999999996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1088.8583999999998</v>
      </c>
      <c r="BN148" s="67">
        <f>IFERROR(Y148*I148,"0")</f>
        <v>1088.8583999999998</v>
      </c>
      <c r="BO148" s="67">
        <f>IFERROR(X148/J148,"0")</f>
        <v>4.2</v>
      </c>
      <c r="BP148" s="67">
        <f>IFERROR(Y148/J148,"0")</f>
        <v>4.2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294</v>
      </c>
      <c r="Y149" s="279">
        <f>IFERROR(IF(X149="","",X149),"")</f>
        <v>294</v>
      </c>
      <c r="Z149" s="36">
        <f>IFERROR(IF(X149="","",X149*0.01788),"")</f>
        <v>5.2567199999999996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1088.8583999999998</v>
      </c>
      <c r="BN149" s="67">
        <f>IFERROR(Y149*I149,"0")</f>
        <v>1088.8583999999998</v>
      </c>
      <c r="BO149" s="67">
        <f>IFERROR(X149/J149,"0")</f>
        <v>4.2</v>
      </c>
      <c r="BP149" s="67">
        <f>IFERROR(Y149/J149,"0")</f>
        <v>4.2</v>
      </c>
    </row>
    <row r="150" spans="1:68" x14ac:dyDescent="0.2">
      <c r="A150" s="298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588</v>
      </c>
      <c r="Y150" s="280">
        <f>IFERROR(SUM(Y148:Y149),"0")</f>
        <v>588</v>
      </c>
      <c r="Z150" s="280">
        <f>IFERROR(IF(Z148="",0,Z148),"0")+IFERROR(IF(Z149="",0,Z149),"0")</f>
        <v>10.513439999999999</v>
      </c>
      <c r="AA150" s="281"/>
      <c r="AB150" s="281"/>
      <c r="AC150" s="281"/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1764</v>
      </c>
      <c r="Y151" s="280">
        <f>IFERROR(SUMPRODUCT(Y148:Y149*H148:H149),"0")</f>
        <v>1764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73"/>
      <c r="AB152" s="273"/>
      <c r="AC152" s="273"/>
    </row>
    <row r="153" spans="1:68" ht="14.25" customHeight="1" x14ac:dyDescent="0.25">
      <c r="A153" s="295" t="s">
        <v>141</v>
      </c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14</v>
      </c>
      <c r="Y154" s="279">
        <f>IFERROR(IF(X154="","",X154),"")</f>
        <v>14</v>
      </c>
      <c r="Z154" s="36">
        <f>IFERROR(IF(X154="","",X154*0.01788),"")</f>
        <v>0.25031999999999999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52.472000000000001</v>
      </c>
      <c r="BN154" s="67">
        <f>IFERROR(Y154*I154,"0")</f>
        <v>52.472000000000001</v>
      </c>
      <c r="BO154" s="67">
        <f>IFERROR(X154/J154,"0")</f>
        <v>0.2</v>
      </c>
      <c r="BP154" s="67">
        <f>IFERROR(Y154/J154,"0")</f>
        <v>0.2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140</v>
      </c>
      <c r="Y155" s="279">
        <f>IFERROR(IF(X155="","",X155),"")</f>
        <v>140</v>
      </c>
      <c r="Z155" s="36">
        <f>IFERROR(IF(X155="","",X155*0.01788),"")</f>
        <v>2.5032000000000001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518.50400000000002</v>
      </c>
      <c r="BN155" s="67">
        <f>IFERROR(Y155*I155,"0")</f>
        <v>518.50400000000002</v>
      </c>
      <c r="BO155" s="67">
        <f>IFERROR(X155/J155,"0")</f>
        <v>2</v>
      </c>
      <c r="BP155" s="67">
        <f>IFERROR(Y155/J155,"0")</f>
        <v>2</v>
      </c>
    </row>
    <row r="156" spans="1:68" x14ac:dyDescent="0.2">
      <c r="A156" s="298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154</v>
      </c>
      <c r="Y156" s="280">
        <f>IFERROR(SUM(Y154:Y155),"0")</f>
        <v>154</v>
      </c>
      <c r="Z156" s="280">
        <f>IFERROR(IF(Z154="",0,Z154),"0")+IFERROR(IF(Z155="",0,Z155),"0")</f>
        <v>2.75352</v>
      </c>
      <c r="AA156" s="281"/>
      <c r="AB156" s="281"/>
      <c r="AC156" s="281"/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462</v>
      </c>
      <c r="Y157" s="280">
        <f>IFERROR(SUMPRODUCT(Y154:Y155*H154:H155),"0")</f>
        <v>462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73"/>
      <c r="AB158" s="273"/>
      <c r="AC158" s="273"/>
    </row>
    <row r="159" spans="1:68" ht="14.25" customHeight="1" x14ac:dyDescent="0.25">
      <c r="A159" s="295" t="s">
        <v>141</v>
      </c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70</v>
      </c>
      <c r="Y161" s="279">
        <f>IFERROR(IF(X161="","",X161),"")</f>
        <v>70</v>
      </c>
      <c r="Z161" s="36">
        <f>IFERROR(IF(X161="","",X161*0.01788),"")</f>
        <v>1.2516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187.60000000000002</v>
      </c>
      <c r="BN161" s="67">
        <f>IFERROR(Y161*I161,"0")</f>
        <v>187.60000000000002</v>
      </c>
      <c r="BO161" s="67">
        <f>IFERROR(X161/J161,"0")</f>
        <v>1</v>
      </c>
      <c r="BP161" s="67">
        <f>IFERROR(Y161/J161,"0")</f>
        <v>1</v>
      </c>
    </row>
    <row r="162" spans="1:68" x14ac:dyDescent="0.2">
      <c r="A162" s="298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70</v>
      </c>
      <c r="Y162" s="280">
        <f>IFERROR(SUM(Y160:Y161),"0")</f>
        <v>70</v>
      </c>
      <c r="Z162" s="280">
        <f>IFERROR(IF(Z160="",0,Z160),"0")+IFERROR(IF(Z161="",0,Z161),"0")</f>
        <v>1.2516</v>
      </c>
      <c r="AA162" s="281"/>
      <c r="AB162" s="281"/>
      <c r="AC162" s="281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168</v>
      </c>
      <c r="Y163" s="280">
        <f>IFERROR(SUMPRODUCT(Y160:Y161*H160:H161),"0")</f>
        <v>168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73"/>
      <c r="AB164" s="273"/>
      <c r="AC164" s="273"/>
    </row>
    <row r="165" spans="1:68" ht="14.25" customHeight="1" x14ac:dyDescent="0.25">
      <c r="A165" s="295" t="s">
        <v>141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14</v>
      </c>
      <c r="Y166" s="279">
        <f>IFERROR(IF(X166="","",X166),"")</f>
        <v>14</v>
      </c>
      <c r="Z166" s="36">
        <f>IFERROR(IF(X166="","",X166*0.01788),"")</f>
        <v>0.25031999999999999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51.850399999999993</v>
      </c>
      <c r="BN166" s="67">
        <f>IFERROR(Y166*I166,"0")</f>
        <v>51.850399999999993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98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14</v>
      </c>
      <c r="Y167" s="280">
        <f>IFERROR(SUM(Y166:Y166),"0")</f>
        <v>14</v>
      </c>
      <c r="Z167" s="280">
        <f>IFERROR(IF(Z166="",0,Z166),"0")</f>
        <v>0.25031999999999999</v>
      </c>
      <c r="AA167" s="281"/>
      <c r="AB167" s="281"/>
      <c r="AC167" s="281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42</v>
      </c>
      <c r="Y168" s="280">
        <f>IFERROR(SUMPRODUCT(Y166:Y166*H166:H166),"0")</f>
        <v>42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73"/>
      <c r="AB169" s="273"/>
      <c r="AC169" s="273"/>
    </row>
    <row r="170" spans="1:68" ht="14.25" customHeight="1" x14ac:dyDescent="0.25">
      <c r="A170" s="295" t="s">
        <v>141</v>
      </c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14</v>
      </c>
      <c r="Y171" s="279">
        <f>IFERROR(IF(X171="","",X171),"")</f>
        <v>14</v>
      </c>
      <c r="Z171" s="36">
        <f>IFERROR(IF(X171="","",X171*0.00936),"")</f>
        <v>0.13103999999999999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43.26</v>
      </c>
      <c r="BN171" s="67">
        <f>IFERROR(Y171*I171,"0")</f>
        <v>43.26</v>
      </c>
      <c r="BO171" s="67">
        <f>IFERROR(X171/J171,"0")</f>
        <v>0.1111111111111111</v>
      </c>
      <c r="BP171" s="67">
        <f>IFERROR(Y171/J171,"0")</f>
        <v>0.1111111111111111</v>
      </c>
    </row>
    <row r="172" spans="1:68" x14ac:dyDescent="0.2">
      <c r="A172" s="298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14</v>
      </c>
      <c r="Y172" s="280">
        <f>IFERROR(SUM(Y171:Y171),"0")</f>
        <v>14</v>
      </c>
      <c r="Z172" s="280">
        <f>IFERROR(IF(Z171="",0,Z171),"0")</f>
        <v>0.13103999999999999</v>
      </c>
      <c r="AA172" s="281"/>
      <c r="AB172" s="281"/>
      <c r="AC172" s="281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37.800000000000004</v>
      </c>
      <c r="Y173" s="280">
        <f>IFERROR(SUMPRODUCT(Y171:Y171*H171:H171),"0")</f>
        <v>37.800000000000004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73"/>
      <c r="AB174" s="273"/>
      <c r="AC174" s="273"/>
    </row>
    <row r="175" spans="1:68" ht="14.25" customHeight="1" x14ac:dyDescent="0.25">
      <c r="A175" s="295" t="s">
        <v>141</v>
      </c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224</v>
      </c>
      <c r="Y176" s="279">
        <f>IFERROR(IF(X176="","",X176),"")</f>
        <v>224</v>
      </c>
      <c r="Z176" s="36">
        <f>IFERROR(IF(X176="","",X176*0.00941),"")</f>
        <v>2.1078399999999999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470.80319999999995</v>
      </c>
      <c r="BN176" s="67">
        <f>IFERROR(Y176*I176,"0")</f>
        <v>470.80319999999995</v>
      </c>
      <c r="BO176" s="67">
        <f>IFERROR(X176/J176,"0")</f>
        <v>1.6</v>
      </c>
      <c r="BP176" s="67">
        <f>IFERROR(Y176/J176,"0")</f>
        <v>1.6</v>
      </c>
    </row>
    <row r="177" spans="1:68" x14ac:dyDescent="0.2">
      <c r="A177" s="298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224</v>
      </c>
      <c r="Y177" s="280">
        <f>IFERROR(SUM(Y176:Y176),"0")</f>
        <v>224</v>
      </c>
      <c r="Z177" s="280">
        <f>IFERROR(IF(Z176="",0,Z176),"0")</f>
        <v>2.1078399999999999</v>
      </c>
      <c r="AA177" s="281"/>
      <c r="AB177" s="281"/>
      <c r="AC177" s="281"/>
    </row>
    <row r="178" spans="1:68" x14ac:dyDescent="0.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376.32</v>
      </c>
      <c r="Y178" s="280">
        <f>IFERROR(SUMPRODUCT(Y176:Y176*H176:H176),"0")</f>
        <v>376.32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73"/>
      <c r="AB180" s="273"/>
      <c r="AC180" s="273"/>
    </row>
    <row r="181" spans="1:68" ht="14.25" customHeight="1" x14ac:dyDescent="0.25">
      <c r="A181" s="295" t="s">
        <v>62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74"/>
      <c r="AB181" s="274"/>
      <c r="AC181" s="274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48</v>
      </c>
      <c r="Y183" s="279">
        <f>IFERROR(IF(X183="","",X183),"")</f>
        <v>48</v>
      </c>
      <c r="Z183" s="36">
        <f>IFERROR(IF(X183="","",X183*0.00866),"")</f>
        <v>0.41567999999999994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250.23359999999997</v>
      </c>
      <c r="BN183" s="67">
        <f>IFERROR(Y183*I183,"0")</f>
        <v>250.23359999999997</v>
      </c>
      <c r="BO183" s="67">
        <f>IFERROR(X183/J183,"0")</f>
        <v>0.33333333333333331</v>
      </c>
      <c r="BP183" s="67">
        <f>IFERROR(Y183/J183,"0")</f>
        <v>0.33333333333333331</v>
      </c>
    </row>
    <row r="184" spans="1:68" x14ac:dyDescent="0.2">
      <c r="A184" s="298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48</v>
      </c>
      <c r="Y184" s="280">
        <f>IFERROR(SUM(Y182:Y183),"0")</f>
        <v>48</v>
      </c>
      <c r="Z184" s="280">
        <f>IFERROR(IF(Z182="",0,Z182),"0")+IFERROR(IF(Z183="",0,Z183),"0")</f>
        <v>0.41567999999999994</v>
      </c>
      <c r="AA184" s="281"/>
      <c r="AB184" s="281"/>
      <c r="AC184" s="281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240</v>
      </c>
      <c r="Y185" s="280">
        <f>IFERROR(SUMPRODUCT(Y182:Y183*H182:H183),"0")</f>
        <v>240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73"/>
      <c r="AB186" s="273"/>
      <c r="AC186" s="273"/>
    </row>
    <row r="187" spans="1:68" ht="14.25" customHeight="1" x14ac:dyDescent="0.25">
      <c r="A187" s="295" t="s">
        <v>62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x14ac:dyDescent="0.2">
      <c r="A189" s="298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x14ac:dyDescent="0.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73"/>
      <c r="AB192" s="273"/>
      <c r="AC192" s="273"/>
    </row>
    <row r="193" spans="1:68" ht="14.25" customHeight="1" x14ac:dyDescent="0.25">
      <c r="A193" s="295" t="s">
        <v>97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84</v>
      </c>
      <c r="Y194" s="279">
        <f>IFERROR(IF(X194="","",X194),"")</f>
        <v>84</v>
      </c>
      <c r="Z194" s="36">
        <f>IFERROR(IF(X194="","",X194*0.01788),"")</f>
        <v>1.5019199999999999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284.59199999999998</v>
      </c>
      <c r="BN194" s="67">
        <f>IFERROR(Y194*I194,"0")</f>
        <v>284.59199999999998</v>
      </c>
      <c r="BO194" s="67">
        <f>IFERROR(X194/J194,"0")</f>
        <v>1.2</v>
      </c>
      <c r="BP194" s="67">
        <f>IFERROR(Y194/J194,"0")</f>
        <v>1.2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84</v>
      </c>
      <c r="Y195" s="279">
        <f>IFERROR(IF(X195="","",X195),"")</f>
        <v>84</v>
      </c>
      <c r="Z195" s="36">
        <f>IFERROR(IF(X195="","",X195*0.01788),"")</f>
        <v>1.5019199999999999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284.59199999999998</v>
      </c>
      <c r="BN195" s="67">
        <f>IFERROR(Y195*I195,"0")</f>
        <v>284.59199999999998</v>
      </c>
      <c r="BO195" s="67">
        <f>IFERROR(X195/J195,"0")</f>
        <v>1.2</v>
      </c>
      <c r="BP195" s="67">
        <f>IFERROR(Y195/J195,"0")</f>
        <v>1.2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28</v>
      </c>
      <c r="Y196" s="279">
        <f>IFERROR(IF(X196="","",X196),"")</f>
        <v>28</v>
      </c>
      <c r="Z196" s="36">
        <f>IFERROR(IF(X196="","",X196*0.01788),"")</f>
        <v>0.50063999999999997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104.608</v>
      </c>
      <c r="BN196" s="67">
        <f>IFERROR(Y196*I196,"0")</f>
        <v>104.608</v>
      </c>
      <c r="BO196" s="67">
        <f>IFERROR(X196/J196,"0")</f>
        <v>0.4</v>
      </c>
      <c r="BP196" s="67">
        <f>IFERROR(Y196/J196,"0")</f>
        <v>0.4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196</v>
      </c>
      <c r="Y198" s="280">
        <f>IFERROR(SUM(Y194:Y197),"0")</f>
        <v>196</v>
      </c>
      <c r="Z198" s="280">
        <f>IFERROR(IF(Z194="",0,Z194),"0")+IFERROR(IF(Z195="",0,Z195),"0")+IFERROR(IF(Z196="",0,Z196),"0")+IFERROR(IF(Z197="",0,Z197),"0")</f>
        <v>3.50448</v>
      </c>
      <c r="AA198" s="281"/>
      <c r="AB198" s="281"/>
      <c r="AC198" s="281"/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588</v>
      </c>
      <c r="Y199" s="280">
        <f>IFERROR(SUMPRODUCT(Y194:Y197*H194:H197),"0")</f>
        <v>588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73"/>
      <c r="AB201" s="273"/>
      <c r="AC201" s="273"/>
    </row>
    <row r="202" spans="1:68" ht="14.25" customHeight="1" x14ac:dyDescent="0.25">
      <c r="A202" s="295" t="s">
        <v>97</v>
      </c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41.72</v>
      </c>
      <c r="BN203" s="67">
        <f>IFERROR(Y203*I203,"0")</f>
        <v>41.72</v>
      </c>
      <c r="BO203" s="67">
        <f>IFERROR(X203/J203,"0")</f>
        <v>0.2</v>
      </c>
      <c r="BP203" s="67">
        <f>IFERROR(Y203/J203,"0")</f>
        <v>0.2</v>
      </c>
    </row>
    <row r="204" spans="1:68" x14ac:dyDescent="0.2">
      <c r="A204" s="298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14</v>
      </c>
      <c r="Y204" s="280">
        <f>IFERROR(SUM(Y203:Y203),"0")</f>
        <v>14</v>
      </c>
      <c r="Z204" s="280">
        <f>IFERROR(IF(Z203="",0,Z203),"0")</f>
        <v>0.25031999999999999</v>
      </c>
      <c r="AA204" s="281"/>
      <c r="AB204" s="281"/>
      <c r="AC204" s="281"/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38.64</v>
      </c>
      <c r="Y205" s="280">
        <f>IFERROR(SUMPRODUCT(Y203:Y203*H203:H203),"0")</f>
        <v>38.64</v>
      </c>
      <c r="Z205" s="37"/>
      <c r="AA205" s="281"/>
      <c r="AB205" s="281"/>
      <c r="AC205" s="281"/>
    </row>
    <row r="206" spans="1:68" ht="14.25" customHeight="1" x14ac:dyDescent="0.25">
      <c r="A206" s="295" t="s">
        <v>141</v>
      </c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73"/>
      <c r="AB212" s="273"/>
      <c r="AC212" s="273"/>
    </row>
    <row r="213" spans="1:68" ht="14.25" customHeight="1" x14ac:dyDescent="0.25">
      <c r="A213" s="295" t="s">
        <v>141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4"/>
      <c r="AB213" s="274"/>
      <c r="AC213" s="274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73"/>
      <c r="AB218" s="273"/>
      <c r="AC218" s="273"/>
    </row>
    <row r="219" spans="1:68" ht="14.25" customHeight="1" x14ac:dyDescent="0.25">
      <c r="A219" s="295" t="s">
        <v>62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168</v>
      </c>
      <c r="Y220" s="279">
        <f>IFERROR(IF(X220="","",X220),"")</f>
        <v>168</v>
      </c>
      <c r="Z220" s="36">
        <f>IFERROR(IF(X220="","",X220*0.0155),"")</f>
        <v>2.6040000000000001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878.6400000000001</v>
      </c>
      <c r="BN220" s="67">
        <f>IFERROR(Y220*I220,"0")</f>
        <v>878.6400000000001</v>
      </c>
      <c r="BO220" s="67">
        <f>IFERROR(X220/J220,"0")</f>
        <v>2</v>
      </c>
      <c r="BP220" s="67">
        <f>IFERROR(Y220/J220,"0")</f>
        <v>2</v>
      </c>
    </row>
    <row r="221" spans="1:68" x14ac:dyDescent="0.2">
      <c r="A221" s="298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168</v>
      </c>
      <c r="Y221" s="280">
        <f>IFERROR(SUM(Y220:Y220),"0")</f>
        <v>168</v>
      </c>
      <c r="Z221" s="280">
        <f>IFERROR(IF(Z220="",0,Z220),"0")</f>
        <v>2.6040000000000001</v>
      </c>
      <c r="AA221" s="281"/>
      <c r="AB221" s="281"/>
      <c r="AC221" s="281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840</v>
      </c>
      <c r="Y222" s="280">
        <f>IFERROR(SUMPRODUCT(Y220:Y220*H220:H220),"0")</f>
        <v>840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73"/>
      <c r="AB223" s="273"/>
      <c r="AC223" s="273"/>
    </row>
    <row r="224" spans="1:68" ht="14.25" customHeight="1" x14ac:dyDescent="0.25">
      <c r="A224" s="295" t="s">
        <v>141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74"/>
      <c r="AB224" s="274"/>
      <c r="AC224" s="274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73"/>
      <c r="AB229" s="273"/>
      <c r="AC229" s="273"/>
    </row>
    <row r="230" spans="1:68" ht="14.25" customHeight="1" x14ac:dyDescent="0.25">
      <c r="A230" s="295" t="s">
        <v>62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74"/>
      <c r="AB230" s="274"/>
      <c r="AC230" s="274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73"/>
      <c r="AB235" s="273"/>
      <c r="AC235" s="273"/>
    </row>
    <row r="236" spans="1:68" ht="14.25" customHeight="1" x14ac:dyDescent="0.25">
      <c r="A236" s="295" t="s">
        <v>322</v>
      </c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74"/>
      <c r="AB236" s="274"/>
      <c r="AC236" s="274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5" t="s">
        <v>141</v>
      </c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74"/>
      <c r="AB240" s="274"/>
      <c r="AC240" s="274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73"/>
      <c r="AB245" s="273"/>
      <c r="AC245" s="273"/>
    </row>
    <row r="246" spans="1:68" ht="14.25" customHeight="1" x14ac:dyDescent="0.25">
      <c r="A246" s="295" t="s">
        <v>135</v>
      </c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74"/>
      <c r="AB246" s="274"/>
      <c r="AC246" s="274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73"/>
      <c r="AB251" s="273"/>
      <c r="AC251" s="273"/>
    </row>
    <row r="252" spans="1:68" ht="14.25" customHeight="1" x14ac:dyDescent="0.25">
      <c r="A252" s="295" t="s">
        <v>62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4"/>
      <c r="AB252" s="274"/>
      <c r="AC252" s="274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24</v>
      </c>
      <c r="Y254" s="279">
        <f>IFERROR(IF(X254="","",X254),"")</f>
        <v>24</v>
      </c>
      <c r="Z254" s="36">
        <f>IFERROR(IF(X254="","",X254*0.0155),"")</f>
        <v>0.372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174.72</v>
      </c>
      <c r="BN254" s="67">
        <f>IFERROR(Y254*I254,"0")</f>
        <v>174.72</v>
      </c>
      <c r="BO254" s="67">
        <f>IFERROR(X254/J254,"0")</f>
        <v>0.2857142857142857</v>
      </c>
      <c r="BP254" s="67">
        <f>IFERROR(Y254/J254,"0")</f>
        <v>0.2857142857142857</v>
      </c>
    </row>
    <row r="255" spans="1:68" x14ac:dyDescent="0.2">
      <c r="A255" s="298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24</v>
      </c>
      <c r="Y255" s="280">
        <f>IFERROR(SUM(Y253:Y254),"0")</f>
        <v>24</v>
      </c>
      <c r="Z255" s="280">
        <f>IFERROR(IF(Z253="",0,Z253),"0")+IFERROR(IF(Z254="",0,Z254),"0")</f>
        <v>0.372</v>
      </c>
      <c r="AA255" s="281"/>
      <c r="AB255" s="281"/>
      <c r="AC255" s="281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168</v>
      </c>
      <c r="Y256" s="280">
        <f>IFERROR(SUMPRODUCT(Y253:Y254*H253:H254),"0")</f>
        <v>168</v>
      </c>
      <c r="Z256" s="37"/>
      <c r="AA256" s="281"/>
      <c r="AB256" s="281"/>
      <c r="AC256" s="281"/>
    </row>
    <row r="257" spans="1:68" ht="14.25" customHeight="1" x14ac:dyDescent="0.25">
      <c r="A257" s="295" t="s">
        <v>97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36</v>
      </c>
      <c r="Y258" s="279">
        <f>IFERROR(IF(X258="","",X258),"")</f>
        <v>36</v>
      </c>
      <c r="Z258" s="36">
        <f>IFERROR(IF(X258="","",X258*0.0155),"")</f>
        <v>0.55800000000000005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225.35999999999999</v>
      </c>
      <c r="BN258" s="67">
        <f>IFERROR(Y258*I258,"0")</f>
        <v>225.35999999999999</v>
      </c>
      <c r="BO258" s="67">
        <f>IFERROR(X258/J258,"0")</f>
        <v>0.42857142857142855</v>
      </c>
      <c r="BP258" s="67">
        <f>IFERROR(Y258/J258,"0")</f>
        <v>0.42857142857142855</v>
      </c>
    </row>
    <row r="259" spans="1:68" x14ac:dyDescent="0.2">
      <c r="A259" s="298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36</v>
      </c>
      <c r="Y259" s="280">
        <f>IFERROR(SUM(Y258:Y258),"0")</f>
        <v>36</v>
      </c>
      <c r="Z259" s="280">
        <f>IFERROR(IF(Z258="",0,Z258),"0")</f>
        <v>0.55800000000000005</v>
      </c>
      <c r="AA259" s="281"/>
      <c r="AB259" s="281"/>
      <c r="AC259" s="281"/>
    </row>
    <row r="260" spans="1:68" x14ac:dyDescent="0.2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216</v>
      </c>
      <c r="Y260" s="280">
        <f>IFERROR(SUMPRODUCT(Y258:Y258*H258:H258),"0")</f>
        <v>216</v>
      </c>
      <c r="Z260" s="37"/>
      <c r="AA260" s="281"/>
      <c r="AB260" s="281"/>
      <c r="AC260" s="281"/>
    </row>
    <row r="261" spans="1:68" ht="14.25" customHeight="1" x14ac:dyDescent="0.25">
      <c r="A261" s="295" t="s">
        <v>135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84</v>
      </c>
      <c r="Y262" s="279">
        <f>IFERROR(IF(X262="","",X262),"")</f>
        <v>84</v>
      </c>
      <c r="Z262" s="36">
        <f>IFERROR(IF(X262="","",X262*0.00936),"")</f>
        <v>0.78624000000000005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242.81040000000002</v>
      </c>
      <c r="BN262" s="67">
        <f>IFERROR(Y262*I262,"0")</f>
        <v>242.81040000000002</v>
      </c>
      <c r="BO262" s="67">
        <f>IFERROR(X262/J262,"0")</f>
        <v>0.66666666666666663</v>
      </c>
      <c r="BP262" s="67">
        <f>IFERROR(Y262/J262,"0")</f>
        <v>0.66666666666666663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192</v>
      </c>
      <c r="Y263" s="279">
        <f>IFERROR(IF(X263="","",X263),"")</f>
        <v>192</v>
      </c>
      <c r="Z263" s="36">
        <f>IFERROR(IF(X263="","",X263*0.0155),"")</f>
        <v>2.976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1005.1200000000001</v>
      </c>
      <c r="BN263" s="67">
        <f>IFERROR(Y263*I263,"0")</f>
        <v>1005.1200000000001</v>
      </c>
      <c r="BO263" s="67">
        <f>IFERROR(X263/J263,"0")</f>
        <v>2.2857142857142856</v>
      </c>
      <c r="BP263" s="67">
        <f>IFERROR(Y263/J263,"0")</f>
        <v>2.2857142857142856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276</v>
      </c>
      <c r="Y265" s="280">
        <f>IFERROR(SUM(Y262:Y264),"0")</f>
        <v>276</v>
      </c>
      <c r="Z265" s="280">
        <f>IFERROR(IF(Z262="",0,Z262),"0")+IFERROR(IF(Z263="",0,Z263),"0")+IFERROR(IF(Z264="",0,Z264),"0")</f>
        <v>3.7622400000000003</v>
      </c>
      <c r="AA265" s="281"/>
      <c r="AB265" s="281"/>
      <c r="AC265" s="281"/>
    </row>
    <row r="266" spans="1:68" x14ac:dyDescent="0.2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1186.8</v>
      </c>
      <c r="Y266" s="280">
        <f>IFERROR(SUMPRODUCT(Y262:Y264*H262:H264),"0")</f>
        <v>1186.8</v>
      </c>
      <c r="Z266" s="37"/>
      <c r="AA266" s="281"/>
      <c r="AB266" s="281"/>
      <c r="AC266" s="281"/>
    </row>
    <row r="267" spans="1:68" ht="14.25" customHeight="1" x14ac:dyDescent="0.25">
      <c r="A267" s="295" t="s">
        <v>141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74"/>
      <c r="AB267" s="274"/>
      <c r="AC267" s="274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0</v>
      </c>
      <c r="Y269" s="279">
        <f t="shared" si="18"/>
        <v>0</v>
      </c>
      <c r="Z269" s="36">
        <f>IFERROR(IF(X269="","",X269*0.0155),"")</f>
        <v>0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12</v>
      </c>
      <c r="Y270" s="279">
        <f t="shared" si="18"/>
        <v>12</v>
      </c>
      <c r="Z270" s="36">
        <f>IFERROR(IF(X270="","",X270*0.0155),"")</f>
        <v>0.186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28</v>
      </c>
      <c r="Y271" s="279">
        <f t="shared" si="18"/>
        <v>28</v>
      </c>
      <c r="Z271" s="36">
        <f t="shared" ref="Z271:Z276" si="23">IFERROR(IF(X271="","",X271*0.00936),"")</f>
        <v>0.26207999999999998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89.376000000000005</v>
      </c>
      <c r="BN271" s="67">
        <f t="shared" si="20"/>
        <v>89.376000000000005</v>
      </c>
      <c r="BO271" s="67">
        <f t="shared" si="21"/>
        <v>0.22222222222222221</v>
      </c>
      <c r="BP271" s="67">
        <f t="shared" si="22"/>
        <v>0.22222222222222221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56</v>
      </c>
      <c r="Y272" s="279">
        <f t="shared" si="18"/>
        <v>56</v>
      </c>
      <c r="Z272" s="36">
        <f t="shared" si="23"/>
        <v>0.52415999999999996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217.952</v>
      </c>
      <c r="BN272" s="67">
        <f t="shared" si="20"/>
        <v>217.952</v>
      </c>
      <c r="BO272" s="67">
        <f t="shared" si="21"/>
        <v>0.44444444444444442</v>
      </c>
      <c r="BP272" s="67">
        <f t="shared" si="22"/>
        <v>0.44444444444444442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96</v>
      </c>
      <c r="Y278" s="280">
        <f>IFERROR(SUM(Y268:Y277),"0")</f>
        <v>96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0.97223999999999999</v>
      </c>
      <c r="AA278" s="281"/>
      <c r="AB278" s="281"/>
      <c r="AC278" s="281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357.20000000000005</v>
      </c>
      <c r="Y279" s="280">
        <f>IFERROR(SUMPRODUCT(Y268:Y277*H268:H277),"0")</f>
        <v>357.20000000000005</v>
      </c>
      <c r="Z279" s="37"/>
      <c r="AA279" s="281"/>
      <c r="AB279" s="281"/>
      <c r="AC279" s="281"/>
    </row>
    <row r="280" spans="1:68" ht="15" customHeight="1" x14ac:dyDescent="0.2">
      <c r="A280" s="458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12325.52</v>
      </c>
      <c r="Y280" s="280">
        <f>IFERROR(Y31+Y37+Y44+Y51+Y59+Y64+Y68+Y73+Y79+Y85+Y90+Y96+Y106+Y112+Y123+Y127+Y131+Y139+Y145+Y151+Y157+Y163+Y168+Y173+Y178+Y185+Y190+Y199+Y205+Y211+Y217+Y222+Y227+Y233+Y239+Y243+Y249+Y256+Y260+Y266+Y279,"0")</f>
        <v>12325.52</v>
      </c>
      <c r="Z280" s="37"/>
      <c r="AA280" s="281"/>
      <c r="AB280" s="281"/>
      <c r="AC280" s="281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14011.667599999999</v>
      </c>
      <c r="Y281" s="280">
        <f>IFERROR(SUM(BN22:BN277),"0")</f>
        <v>14011.667599999999</v>
      </c>
      <c r="Z281" s="37"/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42</v>
      </c>
      <c r="Y282" s="38">
        <f>ROUNDUP(SUM(BP22:BP277),0)</f>
        <v>42</v>
      </c>
      <c r="Z282" s="37"/>
      <c r="AA282" s="281"/>
      <c r="AB282" s="281"/>
      <c r="AC282" s="281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15061.667599999999</v>
      </c>
      <c r="Y283" s="280">
        <f>GrossWeightTotalR+PalletQtyTotalR*25</f>
        <v>15061.667599999999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3458</v>
      </c>
      <c r="Y284" s="280">
        <f>IFERROR(Y30+Y36+Y43+Y50+Y58+Y63+Y67+Y72+Y78+Y84+Y89+Y95+Y105+Y111+Y122+Y126+Y130+Y138+Y144+Y150+Y156+Y162+Y167+Y172+Y177+Y184+Y189+Y198+Y204+Y210+Y216+Y221+Y226+Y232+Y238+Y242+Y248+Y255+Y259+Y265+Y278,"0")</f>
        <v>3458</v>
      </c>
      <c r="Z284" s="37"/>
      <c r="AA284" s="281"/>
      <c r="AB284" s="281"/>
      <c r="AC284" s="281"/>
    </row>
    <row r="285" spans="1:68" ht="14.25" customHeight="1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52.90682000000001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5" t="s">
        <v>272</v>
      </c>
      <c r="Y287" s="285" t="s">
        <v>286</v>
      </c>
      <c r="Z287" s="381"/>
      <c r="AA287" s="381"/>
      <c r="AB287" s="314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6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499.20000000000005</v>
      </c>
      <c r="C290" s="46">
        <f>IFERROR(X34*H34,"0")+IFERROR(X35*H35,"0")</f>
        <v>0</v>
      </c>
      <c r="D290" s="46">
        <f>IFERROR(X41*H41,"0")+IFERROR(X42*H42,"0")</f>
        <v>231</v>
      </c>
      <c r="E290" s="46">
        <f>IFERROR(X47*H47,"0")+IFERROR(X48*H48,"0")+IFERROR(X49*H49,"0")</f>
        <v>470.4</v>
      </c>
      <c r="F290" s="46">
        <f>IFERROR(X54*H54,"0")+IFERROR(X55*H55,"0")+IFERROR(X56*H56,"0")+IFERROR(X57*H57,"0")</f>
        <v>252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420</v>
      </c>
      <c r="I290" s="46">
        <f>IFERROR(X88*H88,"0")</f>
        <v>50.4</v>
      </c>
      <c r="J290" s="46">
        <f>IFERROR(X93*H93,"0")+IFERROR(X94*H94,"0")</f>
        <v>856.80000000000007</v>
      </c>
      <c r="K290" s="46">
        <f>IFERROR(X99*H99,"0")+IFERROR(X100*H100,"0")+IFERROR(X101*H101,"0")+IFERROR(X102*H102,"0")+IFERROR(X103*H103,"0")+IFERROR(X104*H104,"0")</f>
        <v>1397.76</v>
      </c>
      <c r="L290" s="46">
        <f>IFERROR(X109*H109,"0")+IFERROR(X110*H110,"0")</f>
        <v>332.64000000000004</v>
      </c>
      <c r="M290" s="46">
        <f>IFERROR(X115*H115,"0")+IFERROR(X116*H116,"0")+IFERROR(X117*H117,"0")+IFERROR(X118*H118,"0")+IFERROR(X119*H119,"0")+IFERROR(X120*H120,"0")+IFERROR(X121*H121,"0")+IFERROR(X125*H125,"0")+IFERROR(X129*H129,"0")</f>
        <v>1176</v>
      </c>
      <c r="N290" s="276"/>
      <c r="O290" s="46">
        <f>IFERROR(X134*H134,"0")+IFERROR(X135*H135,"0")+IFERROR(X136*H136,"0")+IFERROR(X137*H137,"0")+IFERROR(X141*H141,"0")+IFERROR(X142*H142,"0")+IFERROR(X143*H143,"0")</f>
        <v>154.56</v>
      </c>
      <c r="P290" s="46">
        <f>IFERROR(X148*H148,"0")+IFERROR(X149*H149,"0")</f>
        <v>1764</v>
      </c>
      <c r="Q290" s="46">
        <f>IFERROR(X154*H154,"0")+IFERROR(X155*H155,"0")</f>
        <v>462</v>
      </c>
      <c r="R290" s="46">
        <f>IFERROR(X160*H160,"0")+IFERROR(X161*H161,"0")</f>
        <v>168</v>
      </c>
      <c r="S290" s="46">
        <f>IFERROR(X166*H166,"0")</f>
        <v>42</v>
      </c>
      <c r="T290" s="46">
        <f>IFERROR(X171*H171,"0")</f>
        <v>37.800000000000004</v>
      </c>
      <c r="U290" s="46">
        <f>IFERROR(X176*H176,"0")</f>
        <v>376.32</v>
      </c>
      <c r="V290" s="46">
        <f>IFERROR(X182*H182,"0")+IFERROR(X183*H183,"0")</f>
        <v>240</v>
      </c>
      <c r="W290" s="46">
        <f>IFERROR(X188*H188,"0")</f>
        <v>0</v>
      </c>
      <c r="X290" s="46">
        <f>IFERROR(X194*H194,"0")+IFERROR(X195*H195,"0")+IFERROR(X196*H196,"0")+IFERROR(X197*H197,"0")</f>
        <v>588</v>
      </c>
      <c r="Y290" s="46">
        <f>IFERROR(X203*H203,"0")+IFERROR(X207*H207,"0")+IFERROR(X208*H208,"0")+IFERROR(X209*H209,"0")</f>
        <v>38.64</v>
      </c>
      <c r="Z290" s="46">
        <f>IFERROR(X214*H214,"0")+IFERROR(X215*H215,"0")</f>
        <v>0</v>
      </c>
      <c r="AA290" s="46">
        <f>IFERROR(X220*H220,"0")</f>
        <v>840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1928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4065.6</v>
      </c>
      <c r="B293" s="60">
        <f>SUMPRODUCT(--(BB:BB="ПГП"),--(W:W="кор"),H:H,Y:Y)+SUMPRODUCT(--(BB:BB="ПГП"),--(W:W="кг"),Y:Y)</f>
        <v>8259.92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80:Z180"/>
    <mergeCell ref="A240:Z240"/>
    <mergeCell ref="P243:V243"/>
    <mergeCell ref="D182:E182"/>
    <mergeCell ref="D109:E109"/>
    <mergeCell ref="I288:I289"/>
    <mergeCell ref="P24:T24"/>
    <mergeCell ref="P88:T88"/>
    <mergeCell ref="A156:O157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113:Z113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2026-07-31T11:00:55Z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