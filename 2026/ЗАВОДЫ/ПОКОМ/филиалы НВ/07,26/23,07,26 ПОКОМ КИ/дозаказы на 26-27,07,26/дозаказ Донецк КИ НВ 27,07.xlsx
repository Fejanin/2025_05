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3,07,26 ПОКОМ КИ\дозаказы на 26-27,07,26\"/>
    </mc:Choice>
  </mc:AlternateContent>
  <xr:revisionPtr revIDLastSave="0" documentId="13_ncr:1_{A6C040AC-C9DA-4665-B1A9-C5E515372C2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<sst xmlns="http://schemas.openxmlformats.org/spreadsheetml/2006/main" count="4219" uniqueCount="908">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</sst>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67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68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/>
      <c r="I5" s="991"/>
      <c r="J5" s="991"/>
      <c r="K5" s="991"/>
      <c r="L5" s="991"/>
      <c r="M5" s="991"/>
      <c r="N5" s="72"/>
      <c r="P5" s="27" t="s">
        <v>4</v>
      </c>
      <c r="Q5" s="993">
        <v>46230</v>
      </c>
      <c r="R5" s="993"/>
      <c r="T5" s="994" t="s">
        <v>3</v>
      </c>
      <c r="U5" s="995"/>
      <c r="V5" s="996" t="s">
        <v>868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971"/>
      <c r="T6" s="972" t="s">
        <v>5</v>
      </c>
      <c r="U6" s="973"/>
      <c r="V6" s="974" t="s">
        <v>70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>
        <f>IFERROR(VLOOKUP(DeliveryAddress,Table,3,0),1)</f>
        <v>1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58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0.41666666666666669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71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55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72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73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74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75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61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59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66</v>
      </c>
      <c r="L17" s="930" t="s">
        <v>64</v>
      </c>
      <c r="M17" s="930" t="s">
        <v>2</v>
      </c>
      <c r="N17" s="930" t="s">
        <v>63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56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60</v>
      </c>
      <c r="AB17" s="936" t="s">
        <v>19</v>
      </c>
      <c r="AC17" s="936" t="s">
        <v>65</v>
      </c>
      <c r="AD17" s="938" t="s">
        <v>57</v>
      </c>
      <c r="AE17" s="939"/>
      <c r="AF17" s="940"/>
      <c r="AG17" s="82"/>
      <c r="BD17" s="81" t="s">
        <v>62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customHeight="1" x14ac:dyDescent="0.2">
      <c r="A19" s="660" t="s">
        <v>76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customHeight="1" x14ac:dyDescent="0.25">
      <c r="A20" s="653" t="s">
        <v>76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customHeight="1" x14ac:dyDescent="0.25">
      <c r="A21" s="654" t="s">
        <v>77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4" t="s">
        <v>86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4" t="s">
        <v>104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customHeight="1" x14ac:dyDescent="0.25">
      <c r="A39" s="653" t="s">
        <v>110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customHeight="1" x14ac:dyDescent="0.25">
      <c r="A40" s="654" t="s">
        <v>86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0" t="s">
        <v>126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customHeight="1" x14ac:dyDescent="0.25">
      <c r="A49" s="653" t="s">
        <v>127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customHeight="1" x14ac:dyDescent="0.25">
      <c r="A50" s="654" t="s">
        <v>128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3" t="s">
        <v>143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customHeight="1" x14ac:dyDescent="0.25">
      <c r="A58" s="654" t="s">
        <v>128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4" t="s">
        <v>164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4" t="s">
        <v>86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4" t="s">
        <v>181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3" t="s">
        <v>188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customHeight="1" x14ac:dyDescent="0.25">
      <c r="A87" s="654" t="s">
        <v>128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4" t="s">
        <v>86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3" t="s">
        <v>209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customHeight="1" x14ac:dyDescent="0.25">
      <c r="A102" s="654" t="s">
        <v>128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4" t="s">
        <v>164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4" t="s">
        <v>86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4" t="s">
        <v>181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3" t="s">
        <v>248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customHeight="1" x14ac:dyDescent="0.25">
      <c r="A131" s="654" t="s">
        <v>128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4" t="s">
        <v>77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4" t="s">
        <v>86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3" t="s">
        <v>276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customHeight="1" x14ac:dyDescent="0.25">
      <c r="A153" s="654" t="s">
        <v>86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4" t="s">
        <v>104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3" t="s">
        <v>126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customHeight="1" x14ac:dyDescent="0.25">
      <c r="A165" s="654" t="s">
        <v>128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4" t="s">
        <v>164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4" t="s">
        <v>305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4" t="s">
        <v>77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4" t="s">
        <v>86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4" t="s">
        <v>104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4" t="s">
        <v>354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0" t="s">
        <v>358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customHeight="1" x14ac:dyDescent="0.25">
      <c r="A206" s="653" t="s">
        <v>359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customHeight="1" x14ac:dyDescent="0.25">
      <c r="A207" s="654" t="s">
        <v>128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3" t="s">
        <v>380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customHeight="1" x14ac:dyDescent="0.25">
      <c r="A218" s="654" t="s">
        <v>164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4" t="s">
        <v>77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4" t="s">
        <v>86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4" t="s">
        <v>104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4" t="s">
        <v>444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3" t="s">
        <v>447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customHeight="1" x14ac:dyDescent="0.25">
      <c r="A258" s="654" t="s">
        <v>128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4" t="s">
        <v>164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4" t="s">
        <v>77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4" t="s">
        <v>86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4" t="s">
        <v>181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3" t="s">
        <v>515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customHeight="1" x14ac:dyDescent="0.25">
      <c r="A300" s="654" t="s">
        <v>128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4" t="s">
        <v>164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4" t="s">
        <v>537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4" t="s">
        <v>354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3" t="s">
        <v>548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customHeight="1" x14ac:dyDescent="0.25">
      <c r="A325" s="654" t="s">
        <v>128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3" t="s">
        <v>564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customHeight="1" x14ac:dyDescent="0.25">
      <c r="A334" s="654" t="s">
        <v>86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3" t="s">
        <v>573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customHeight="1" x14ac:dyDescent="0.25">
      <c r="A341" s="654" t="s">
        <v>77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4" t="s">
        <v>86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3" t="s">
        <v>594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customHeight="1" x14ac:dyDescent="0.25">
      <c r="A355" s="654" t="s">
        <v>128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3" t="s">
        <v>603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customHeight="1" x14ac:dyDescent="0.25">
      <c r="A362" s="654" t="s">
        <v>128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654" t="s">
        <v>77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4" t="s">
        <v>86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54" t="s">
        <v>181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654" t="s">
        <v>104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654" t="s">
        <v>666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654" t="s">
        <v>675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653" t="s">
        <v>684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customHeight="1" x14ac:dyDescent="0.25">
      <c r="A413" s="654" t="s">
        <v>86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660" t="s">
        <v>694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customHeight="1" x14ac:dyDescent="0.25">
      <c r="A420" s="653" t="s">
        <v>695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customHeight="1" x14ac:dyDescent="0.25">
      <c r="A421" s="654" t="s">
        <v>128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1000</v>
      </c>
      <c r="Y423" s="55">
        <f t="shared" si="47"/>
        <v>1005</v>
      </c>
      <c r="Z423" s="41">
        <f>IFERROR(IF(Y423=0,"",ROUNDUP(Y423/H423,0)*0.02175),"")</f>
        <v>1.4572499999999999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1031.3333333333333</v>
      </c>
      <c r="BN423" s="78">
        <f t="shared" si="49"/>
        <v>1036.49</v>
      </c>
      <c r="BO423" s="78">
        <f t="shared" si="50"/>
        <v>1.3888888888888888</v>
      </c>
      <c r="BP423" s="78">
        <f t="shared" si="51"/>
        <v>1.3958333333333333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1400</v>
      </c>
      <c r="Y425" s="55">
        <f t="shared" si="47"/>
        <v>1410</v>
      </c>
      <c r="Z425" s="41">
        <f>IFERROR(IF(Y425=0,"",ROUNDUP(Y425/H425,0)*0.02175),"")</f>
        <v>2.0444999999999998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1443.8666666666666</v>
      </c>
      <c r="BN425" s="78">
        <f t="shared" si="49"/>
        <v>1454.18</v>
      </c>
      <c r="BO425" s="78">
        <f t="shared" si="50"/>
        <v>1.9444444444444442</v>
      </c>
      <c r="BP425" s="78">
        <f t="shared" si="51"/>
        <v>1.9583333333333333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47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0</v>
      </c>
      <c r="BN426" s="78">
        <f t="shared" si="49"/>
        <v>0</v>
      </c>
      <c r="BO426" s="78">
        <f t="shared" si="50"/>
        <v>0</v>
      </c>
      <c r="BP426" s="78">
        <f t="shared" si="51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160</v>
      </c>
      <c r="Y430" s="43">
        <f>IFERROR(Y422/H422,"0")+IFERROR(Y423/H423,"0")+IFERROR(Y424/H424,"0")+IFERROR(Y425/H425,"0")+IFERROR(Y426/H426,"0")+IFERROR(Y427/H427,"0")+IFERROR(Y428/H428,"0")+IFERROR(Y429/H429,"0")</f>
        <v>161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3.5017499999999995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2400</v>
      </c>
      <c r="Y431" s="43">
        <f>IFERROR(SUM(Y422:Y429),"0")</f>
        <v>2415</v>
      </c>
      <c r="Z431" s="42"/>
      <c r="AA431" s="67"/>
      <c r="AB431" s="67"/>
      <c r="AC431" s="67"/>
    </row>
    <row r="432" spans="1:68" ht="14.25" customHeight="1" x14ac:dyDescent="0.25">
      <c r="A432" s="654" t="s">
        <v>164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654" t="s">
        <v>86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654" t="s">
        <v>181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53" t="s">
        <v>744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customHeight="1" x14ac:dyDescent="0.25">
      <c r="A450" s="654" t="s">
        <v>128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54" t="s">
        <v>77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54" t="s">
        <v>86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660" t="s">
        <v>760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customHeight="1" x14ac:dyDescent="0.25">
      <c r="A466" s="653" t="s">
        <v>761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customHeight="1" x14ac:dyDescent="0.25">
      <c r="A467" s="654" t="s">
        <v>77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654" t="s">
        <v>86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53" t="s">
        <v>784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customHeight="1" x14ac:dyDescent="0.25">
      <c r="A482" s="654" t="s">
        <v>164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54" t="s">
        <v>77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660" t="s">
        <v>796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customHeight="1" x14ac:dyDescent="0.25">
      <c r="A493" s="653" t="s">
        <v>796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customHeight="1" x14ac:dyDescent="0.25">
      <c r="A494" s="654" t="s">
        <v>128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654" t="s">
        <v>164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654" t="s">
        <v>77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660" t="s">
        <v>843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customHeight="1" x14ac:dyDescent="0.25">
      <c r="A523" s="653" t="s">
        <v>843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customHeight="1" x14ac:dyDescent="0.25">
      <c r="A524" s="654" t="s">
        <v>128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54" t="s">
        <v>164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4" t="s">
        <v>77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4" t="s">
        <v>86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4" t="s">
        <v>181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653" t="s">
        <v>862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customHeight="1" x14ac:dyDescent="0.25">
      <c r="A546" s="654" t="s">
        <v>164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2400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2415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2475.1999999999998</v>
      </c>
      <c r="Y551" s="43">
        <f>IFERROR(SUM(BN22:BN547),"0")</f>
        <v>2490.67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4</v>
      </c>
      <c r="Y552" s="44">
        <f>ROUNDUP(SUM(BP22:BP547),0)</f>
        <v>4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2575.1999999999998</v>
      </c>
      <c r="Y553" s="43">
        <f>GrossWeightTotalR+PalletQtyTotalR*25</f>
        <v>2590.67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160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161</v>
      </c>
      <c r="Z554" s="42"/>
      <c r="AA554" s="67"/>
      <c r="AB554" s="67"/>
      <c r="AC554" s="67"/>
    </row>
    <row r="555" spans="1:68" ht="14.25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3.5017499999999995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636" t="s">
        <v>126</v>
      </c>
      <c r="E557" s="636" t="s">
        <v>126</v>
      </c>
      <c r="F557" s="636" t="s">
        <v>126</v>
      </c>
      <c r="G557" s="636" t="s">
        <v>126</v>
      </c>
      <c r="H557" s="636" t="s">
        <v>126</v>
      </c>
      <c r="I557" s="636" t="s">
        <v>126</v>
      </c>
      <c r="J557" s="636" t="s">
        <v>126</v>
      </c>
      <c r="K557" s="636" t="s">
        <v>358</v>
      </c>
      <c r="L557" s="636" t="s">
        <v>358</v>
      </c>
      <c r="M557" s="636" t="s">
        <v>358</v>
      </c>
      <c r="N557" s="637"/>
      <c r="O557" s="636" t="s">
        <v>358</v>
      </c>
      <c r="P557" s="636" t="s">
        <v>358</v>
      </c>
      <c r="Q557" s="636" t="s">
        <v>358</v>
      </c>
      <c r="R557" s="636" t="s">
        <v>358</v>
      </c>
      <c r="S557" s="636" t="s">
        <v>358</v>
      </c>
      <c r="T557" s="636" t="s">
        <v>358</v>
      </c>
      <c r="U557" s="636" t="s">
        <v>358</v>
      </c>
      <c r="V557" s="636" t="s">
        <v>694</v>
      </c>
      <c r="W557" s="636" t="s">
        <v>694</v>
      </c>
      <c r="X557" s="636" t="s">
        <v>760</v>
      </c>
      <c r="Y557" s="636" t="s">
        <v>760</v>
      </c>
      <c r="Z557" s="85" t="s">
        <v>796</v>
      </c>
      <c r="AA557" s="636" t="s">
        <v>843</v>
      </c>
      <c r="AB557" s="636" t="s">
        <v>843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76</v>
      </c>
      <c r="C558" s="636" t="s">
        <v>110</v>
      </c>
      <c r="D558" s="636" t="s">
        <v>127</v>
      </c>
      <c r="E558" s="636" t="s">
        <v>143</v>
      </c>
      <c r="F558" s="636" t="s">
        <v>188</v>
      </c>
      <c r="G558" s="636" t="s">
        <v>209</v>
      </c>
      <c r="H558" s="636" t="s">
        <v>248</v>
      </c>
      <c r="I558" s="636" t="s">
        <v>276</v>
      </c>
      <c r="J558" s="636" t="s">
        <v>126</v>
      </c>
      <c r="K558" s="636" t="s">
        <v>359</v>
      </c>
      <c r="L558" s="636" t="s">
        <v>380</v>
      </c>
      <c r="M558" s="636" t="s">
        <v>447</v>
      </c>
      <c r="N558" s="1"/>
      <c r="O558" s="636" t="s">
        <v>515</v>
      </c>
      <c r="P558" s="636" t="s">
        <v>548</v>
      </c>
      <c r="Q558" s="636" t="s">
        <v>564</v>
      </c>
      <c r="R558" s="636" t="s">
        <v>573</v>
      </c>
      <c r="S558" s="636" t="s">
        <v>594</v>
      </c>
      <c r="T558" s="636" t="s">
        <v>603</v>
      </c>
      <c r="U558" s="636" t="s">
        <v>684</v>
      </c>
      <c r="V558" s="636" t="s">
        <v>695</v>
      </c>
      <c r="W558" s="636" t="s">
        <v>744</v>
      </c>
      <c r="X558" s="636" t="s">
        <v>761</v>
      </c>
      <c r="Y558" s="636" t="s">
        <v>784</v>
      </c>
      <c r="Z558" s="636" t="s">
        <v>796</v>
      </c>
      <c r="AA558" s="636" t="s">
        <v>843</v>
      </c>
      <c r="AB558" s="636" t="s">
        <v>862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2415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2026-07-27T07:06:07Z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