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DC3725C-0926-4C71-9434-A35C8FFEA1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Y463" i="1" s="1"/>
  <c r="P461" i="1"/>
  <c r="BP460" i="1"/>
  <c r="BO460" i="1"/>
  <c r="BN460" i="1"/>
  <c r="BM460" i="1"/>
  <c r="Z460" i="1"/>
  <c r="Y460" i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Y442" i="1" s="1"/>
  <c r="P440" i="1"/>
  <c r="BP439" i="1"/>
  <c r="BO439" i="1"/>
  <c r="BN439" i="1"/>
  <c r="BM439" i="1"/>
  <c r="Z439" i="1"/>
  <c r="Y439" i="1"/>
  <c r="P439" i="1"/>
  <c r="X437" i="1"/>
  <c r="Y436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Y437" i="1" s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Y405" i="1" s="1"/>
  <c r="P401" i="1"/>
  <c r="X399" i="1"/>
  <c r="X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Y398" i="1" s="1"/>
  <c r="P394" i="1"/>
  <c r="X392" i="1"/>
  <c r="X391" i="1"/>
  <c r="BO390" i="1"/>
  <c r="BN390" i="1"/>
  <c r="BM390" i="1"/>
  <c r="Z390" i="1"/>
  <c r="Y390" i="1"/>
  <c r="BP390" i="1" s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Y391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5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9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T560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S560" i="1" s="1"/>
  <c r="P356" i="1"/>
  <c r="X353" i="1"/>
  <c r="X352" i="1"/>
  <c r="BO351" i="1"/>
  <c r="BM351" i="1"/>
  <c r="Y351" i="1"/>
  <c r="Y353" i="1" s="1"/>
  <c r="P351" i="1"/>
  <c r="BP350" i="1"/>
  <c r="BO350" i="1"/>
  <c r="BN350" i="1"/>
  <c r="BM350" i="1"/>
  <c r="Z350" i="1"/>
  <c r="Y350" i="1"/>
  <c r="Y352" i="1" s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BP326" i="1"/>
  <c r="BO326" i="1"/>
  <c r="BN326" i="1"/>
  <c r="BM326" i="1"/>
  <c r="Z326" i="1"/>
  <c r="Y326" i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Y322" i="1" s="1"/>
  <c r="P320" i="1"/>
  <c r="BP319" i="1"/>
  <c r="BO319" i="1"/>
  <c r="BN319" i="1"/>
  <c r="BM319" i="1"/>
  <c r="Z319" i="1"/>
  <c r="Y319" i="1"/>
  <c r="Y323" i="1" s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X298" i="1"/>
  <c r="Y297" i="1"/>
  <c r="X297" i="1"/>
  <c r="BP296" i="1"/>
  <c r="BO296" i="1"/>
  <c r="BN296" i="1"/>
  <c r="BM296" i="1"/>
  <c r="Z296" i="1"/>
  <c r="Y296" i="1"/>
  <c r="P296" i="1"/>
  <c r="BO295" i="1"/>
  <c r="BM295" i="1"/>
  <c r="Y295" i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Y293" i="1" s="1"/>
  <c r="P281" i="1"/>
  <c r="BP280" i="1"/>
  <c r="BO280" i="1"/>
  <c r="BN280" i="1"/>
  <c r="BM280" i="1"/>
  <c r="Z280" i="1"/>
  <c r="Y280" i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8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Y215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Y175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Y144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Z266" i="1" l="1"/>
  <c r="Z84" i="1"/>
  <c r="F9" i="1"/>
  <c r="J9" i="1"/>
  <c r="F10" i="1"/>
  <c r="Z22" i="1"/>
  <c r="Z24" i="1" s="1"/>
  <c r="BN22" i="1"/>
  <c r="BP22" i="1"/>
  <c r="X554" i="1"/>
  <c r="Y25" i="1"/>
  <c r="Z28" i="1"/>
  <c r="BN28" i="1"/>
  <c r="BP28" i="1"/>
  <c r="Z30" i="1"/>
  <c r="Z32" i="1" s="1"/>
  <c r="BN30" i="1"/>
  <c r="C560" i="1"/>
  <c r="Z42" i="1"/>
  <c r="Z46" i="1" s="1"/>
  <c r="BN42" i="1"/>
  <c r="BP42" i="1"/>
  <c r="Z44" i="1"/>
  <c r="BN44" i="1"/>
  <c r="Y47" i="1"/>
  <c r="D560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BP132" i="1"/>
  <c r="Z134" i="1"/>
  <c r="BN134" i="1"/>
  <c r="Y137" i="1"/>
  <c r="Z140" i="1"/>
  <c r="Z143" i="1" s="1"/>
  <c r="BN140" i="1"/>
  <c r="BP140" i="1"/>
  <c r="Z142" i="1"/>
  <c r="BN142" i="1"/>
  <c r="Z146" i="1"/>
  <c r="Z150" i="1" s="1"/>
  <c r="BN146" i="1"/>
  <c r="BP146" i="1"/>
  <c r="Z148" i="1"/>
  <c r="BN148" i="1"/>
  <c r="Y151" i="1"/>
  <c r="I560" i="1"/>
  <c r="Z155" i="1"/>
  <c r="BN155" i="1"/>
  <c r="BP155" i="1"/>
  <c r="Z157" i="1"/>
  <c r="Z158" i="1" s="1"/>
  <c r="BN157" i="1"/>
  <c r="Y158" i="1"/>
  <c r="Z161" i="1"/>
  <c r="Z162" i="1" s="1"/>
  <c r="BN161" i="1"/>
  <c r="BP161" i="1"/>
  <c r="Y162" i="1"/>
  <c r="Z166" i="1"/>
  <c r="BN166" i="1"/>
  <c r="BP166" i="1"/>
  <c r="Z168" i="1"/>
  <c r="BN168" i="1"/>
  <c r="Y169" i="1"/>
  <c r="Z173" i="1"/>
  <c r="Z174" i="1" s="1"/>
  <c r="BN173" i="1"/>
  <c r="BP173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Z194" i="1" s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BN209" i="1"/>
  <c r="BP209" i="1"/>
  <c r="Z211" i="1"/>
  <c r="Z215" i="1" s="1"/>
  <c r="BN211" i="1"/>
  <c r="Z213" i="1"/>
  <c r="BN213" i="1"/>
  <c r="Y216" i="1"/>
  <c r="L560" i="1"/>
  <c r="Y221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Z245" i="1" s="1"/>
  <c r="BN240" i="1"/>
  <c r="BP240" i="1"/>
  <c r="Z242" i="1"/>
  <c r="BN242" i="1"/>
  <c r="Z244" i="1"/>
  <c r="BN244" i="1"/>
  <c r="Y245" i="1"/>
  <c r="Z248" i="1"/>
  <c r="Z251" i="1" s="1"/>
  <c r="BN248" i="1"/>
  <c r="BP248" i="1"/>
  <c r="Z250" i="1"/>
  <c r="BN250" i="1"/>
  <c r="Y252" i="1"/>
  <c r="Y255" i="1"/>
  <c r="BP254" i="1"/>
  <c r="BN254" i="1"/>
  <c r="Z254" i="1"/>
  <c r="Z255" i="1" s="1"/>
  <c r="Y256" i="1"/>
  <c r="M560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Y292" i="1"/>
  <c r="BP283" i="1"/>
  <c r="BN283" i="1"/>
  <c r="Z283" i="1"/>
  <c r="Z292" i="1" s="1"/>
  <c r="BP287" i="1"/>
  <c r="BN287" i="1"/>
  <c r="Z287" i="1"/>
  <c r="BP291" i="1"/>
  <c r="BN291" i="1"/>
  <c r="Z291" i="1"/>
  <c r="Y298" i="1"/>
  <c r="BP295" i="1"/>
  <c r="BN295" i="1"/>
  <c r="Z295" i="1"/>
  <c r="Z297" i="1" s="1"/>
  <c r="O560" i="1"/>
  <c r="H9" i="1"/>
  <c r="Y24" i="1"/>
  <c r="Y67" i="1"/>
  <c r="Y92" i="1"/>
  <c r="Y109" i="1"/>
  <c r="Y136" i="1"/>
  <c r="Y170" i="1"/>
  <c r="BP265" i="1"/>
  <c r="BN265" i="1"/>
  <c r="Z265" i="1"/>
  <c r="Y267" i="1"/>
  <c r="Y278" i="1"/>
  <c r="BP269" i="1"/>
  <c r="BN269" i="1"/>
  <c r="Z269" i="1"/>
  <c r="Z277" i="1" s="1"/>
  <c r="BP273" i="1"/>
  <c r="BN273" i="1"/>
  <c r="Z273" i="1"/>
  <c r="Y277" i="1"/>
  <c r="BP281" i="1"/>
  <c r="BN281" i="1"/>
  <c r="Z281" i="1"/>
  <c r="BP285" i="1"/>
  <c r="BN285" i="1"/>
  <c r="Z285" i="1"/>
  <c r="BP289" i="1"/>
  <c r="BN289" i="1"/>
  <c r="Z289" i="1"/>
  <c r="Y308" i="1"/>
  <c r="BP302" i="1"/>
  <c r="BN302" i="1"/>
  <c r="Z302" i="1"/>
  <c r="Z308" i="1" s="1"/>
  <c r="Z304" i="1"/>
  <c r="BN304" i="1"/>
  <c r="Z306" i="1"/>
  <c r="BN306" i="1"/>
  <c r="Y309" i="1"/>
  <c r="Z320" i="1"/>
  <c r="Z322" i="1" s="1"/>
  <c r="BN320" i="1"/>
  <c r="BP320" i="1"/>
  <c r="P560" i="1"/>
  <c r="Z327" i="1"/>
  <c r="BN327" i="1"/>
  <c r="BP327" i="1"/>
  <c r="Z329" i="1"/>
  <c r="Z331" i="1" s="1"/>
  <c r="BN329" i="1"/>
  <c r="Y332" i="1"/>
  <c r="Q560" i="1"/>
  <c r="Z336" i="1"/>
  <c r="Z338" i="1" s="1"/>
  <c r="BN336" i="1"/>
  <c r="BP336" i="1"/>
  <c r="Y339" i="1"/>
  <c r="R560" i="1"/>
  <c r="Z343" i="1"/>
  <c r="Z347" i="1" s="1"/>
  <c r="BN343" i="1"/>
  <c r="BP343" i="1"/>
  <c r="Z345" i="1"/>
  <c r="BN345" i="1"/>
  <c r="Y348" i="1"/>
  <c r="Z351" i="1"/>
  <c r="Z352" i="1" s="1"/>
  <c r="BN351" i="1"/>
  <c r="BP351" i="1"/>
  <c r="Z356" i="1"/>
  <c r="Z359" i="1" s="1"/>
  <c r="BN356" i="1"/>
  <c r="BP356" i="1"/>
  <c r="Z358" i="1"/>
  <c r="BN358" i="1"/>
  <c r="Y359" i="1"/>
  <c r="Z363" i="1"/>
  <c r="Z368" i="1" s="1"/>
  <c r="BN363" i="1"/>
  <c r="BP363" i="1"/>
  <c r="Z365" i="1"/>
  <c r="BN365" i="1"/>
  <c r="Z367" i="1"/>
  <c r="BN367" i="1"/>
  <c r="Y368" i="1"/>
  <c r="Z371" i="1"/>
  <c r="Z378" i="1" s="1"/>
  <c r="BN371" i="1"/>
  <c r="BP371" i="1"/>
  <c r="Z373" i="1"/>
  <c r="BN373" i="1"/>
  <c r="Z375" i="1"/>
  <c r="BN375" i="1"/>
  <c r="Z377" i="1"/>
  <c r="BN377" i="1"/>
  <c r="Y378" i="1"/>
  <c r="Z381" i="1"/>
  <c r="Z385" i="1" s="1"/>
  <c r="BN381" i="1"/>
  <c r="BP381" i="1"/>
  <c r="Z383" i="1"/>
  <c r="BN383" i="1"/>
  <c r="Y386" i="1"/>
  <c r="Z389" i="1"/>
  <c r="Z391" i="1" s="1"/>
  <c r="BN389" i="1"/>
  <c r="Y392" i="1"/>
  <c r="BP403" i="1"/>
  <c r="BN403" i="1"/>
  <c r="Z403" i="1"/>
  <c r="Y410" i="1"/>
  <c r="BP407" i="1"/>
  <c r="BN407" i="1"/>
  <c r="Z407" i="1"/>
  <c r="BP416" i="1"/>
  <c r="BN416" i="1"/>
  <c r="Z416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43" i="1"/>
  <c r="BP446" i="1"/>
  <c r="BN446" i="1"/>
  <c r="Z446" i="1"/>
  <c r="Z447" i="1" s="1"/>
  <c r="Y448" i="1"/>
  <c r="Y454" i="1"/>
  <c r="BP451" i="1"/>
  <c r="BN451" i="1"/>
  <c r="Z451" i="1"/>
  <c r="Z453" i="1" s="1"/>
  <c r="Y464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W560" i="1"/>
  <c r="Y360" i="1"/>
  <c r="Y369" i="1"/>
  <c r="Z394" i="1"/>
  <c r="BN394" i="1"/>
  <c r="BP394" i="1"/>
  <c r="Z396" i="1"/>
  <c r="BN396" i="1"/>
  <c r="BP397" i="1"/>
  <c r="BN397" i="1"/>
  <c r="Z397" i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BP440" i="1"/>
  <c r="BN440" i="1"/>
  <c r="Z440" i="1"/>
  <c r="Z442" i="1" s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AA56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Y550" i="1" l="1"/>
  <c r="Y552" i="1"/>
  <c r="Z398" i="1"/>
  <c r="Z430" i="1"/>
  <c r="Z410" i="1"/>
  <c r="Y554" i="1"/>
  <c r="Z169" i="1"/>
  <c r="Z136" i="1"/>
  <c r="Z555" i="1" s="1"/>
  <c r="Z109" i="1"/>
  <c r="Y551" i="1"/>
  <c r="Y553" i="1" s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<sst xmlns="http://schemas.openxmlformats.org/spreadsheetml/2006/main" count="2500" uniqueCount="907">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</sst>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2</v>
      </c>
      <c r="Y30" s="628">
        <f>IFERROR(IF(X30="",0,CEILING((X30/$H30),1)*$H30),"")</f>
        <v>3.6</v>
      </c>
      <c r="Z30" s="36">
        <f>IFERROR(IF(Y30=0,"",ROUNDUP(Y30/H30,0)*0.00651),"")</f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3.5333333333333332</v>
      </c>
      <c r="BN30" s="64">
        <f>IFERROR(Y30*I30/H30,"0")</f>
        <v>6.36</v>
      </c>
      <c r="BO30" s="64">
        <f>IFERROR(1/J30*(X30/H30),"0")</f>
        <v>6.1050061050061059E-3</v>
      </c>
      <c r="BP30" s="64">
        <f>IFERROR(1/J30*(Y30/H30),"0")</f>
        <v>1.098901098901099E-2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1.1111111111111112</v>
      </c>
      <c r="Y32" s="629">
        <f>IFERROR(Y27/H27,"0")+IFERROR(Y28/H28,"0")+IFERROR(Y29/H29,"0")+IFERROR(Y30/H30,"0")+IFERROR(Y31/H31,"0")</f>
        <v>2</v>
      </c>
      <c r="Z32" s="629">
        <f>IFERROR(IF(Z27="",0,Z27),"0")+IFERROR(IF(Z28="",0,Z28),"0")+IFERROR(IF(Z29="",0,Z29),"0")+IFERROR(IF(Z30="",0,Z30),"0")+IFERROR(IF(Z31="",0,Z31),"0")</f>
        <v>1.302E-2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2</v>
      </c>
      <c r="Y33" s="629">
        <f>IFERROR(SUM(Y27:Y31),"0")</f>
        <v>3.6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17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17.622321428571428</v>
      </c>
      <c r="BN59" s="64">
        <f t="shared" ref="BN59:BN66" si="2">IFERROR(Y59*I59/H59,"0")</f>
        <v>23.22</v>
      </c>
      <c r="BO59" s="64">
        <f t="shared" ref="BO59:BO66" si="3">IFERROR(1/J59*(X59/H59),"0")</f>
        <v>2.371651785714286E-2</v>
      </c>
      <c r="BP59" s="64">
        <f t="shared" ref="BP59:BP66" si="4">IFERROR(1/J59*(Y59/H59),"0")</f>
        <v>3.125E-2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158</v>
      </c>
      <c r="Y61" s="628">
        <f t="shared" si="0"/>
        <v>162</v>
      </c>
      <c r="Z61" s="36">
        <f>IFERROR(IF(Y61=0,"",ROUNDUP(Y61/H61,0)*0.01898),"")</f>
        <v>0.28470000000000001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163.99814814814815</v>
      </c>
      <c r="BN61" s="64">
        <f t="shared" si="2"/>
        <v>168.15</v>
      </c>
      <c r="BO61" s="64">
        <f t="shared" si="3"/>
        <v>0.22858796296296294</v>
      </c>
      <c r="BP61" s="64">
        <f t="shared" si="4"/>
        <v>0.23437499999999997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7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32</v>
      </c>
      <c r="Y66" s="628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33.351111111111116</v>
      </c>
      <c r="BN66" s="64">
        <f t="shared" si="2"/>
        <v>37.520000000000003</v>
      </c>
      <c r="BO66" s="64">
        <f t="shared" si="3"/>
        <v>5.387205387205387E-2</v>
      </c>
      <c r="BP66" s="64">
        <f t="shared" si="4"/>
        <v>6.0606060606060608E-2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25.008597883597883</v>
      </c>
      <c r="Y67" s="629">
        <f>IFERROR(Y59/H59,"0")+IFERROR(Y60/H60,"0")+IFERROR(Y61/H61,"0")+IFERROR(Y62/H62,"0")+IFERROR(Y63/H63,"0")+IFERROR(Y64/H64,"0")+IFERROR(Y65/H65,"0")+IFERROR(Y66/H66,"0")</f>
        <v>27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0.41286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214</v>
      </c>
      <c r="Y68" s="629">
        <f>IFERROR(SUM(Y59:Y66),"0")</f>
        <v>228.4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81</v>
      </c>
      <c r="Y70" s="628">
        <f>IFERROR(IF(X70="",0,CEILING((X70/$H70),1)*$H70),"")</f>
        <v>86.4</v>
      </c>
      <c r="Z70" s="36">
        <f>IFERROR(IF(Y70=0,"",ROUNDUP(Y70/H70,0)*0.01898),"")</f>
        <v>0.15184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84.075000000000003</v>
      </c>
      <c r="BN70" s="64">
        <f>IFERROR(Y70*I70/H70,"0")</f>
        <v>89.68</v>
      </c>
      <c r="BO70" s="64">
        <f>IFERROR(1/J70*(X70/H70),"0")</f>
        <v>0.11718749999999999</v>
      </c>
      <c r="BP70" s="64">
        <f>IFERROR(1/J70*(Y70/H70),"0")</f>
        <v>0.125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7.4999999999999991</v>
      </c>
      <c r="Y74" s="629">
        <f>IFERROR(Y70/H70,"0")+IFERROR(Y71/H71,"0")+IFERROR(Y72/H72,"0")+IFERROR(Y73/H73,"0")</f>
        <v>8</v>
      </c>
      <c r="Z74" s="629">
        <f>IFERROR(IF(Z70="",0,Z70),"0")+IFERROR(IF(Z71="",0,Z71),"0")+IFERROR(IF(Z72="",0,Z72),"0")+IFERROR(IF(Z73="",0,Z73),"0")</f>
        <v>0.15184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81</v>
      </c>
      <c r="Y75" s="629">
        <f>IFERROR(SUM(Y70:Y73),"0")</f>
        <v>86.4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24</v>
      </c>
      <c r="Y77" s="628">
        <f>IFERROR(IF(X77="",0,CEILING((X77/$H77),1)*$H77),"")</f>
        <v>25.2</v>
      </c>
      <c r="Z77" s="36">
        <f>IFERROR(IF(Y77=0,"",ROUNDUP(Y77/H77,0)*0.00651),"")</f>
        <v>9.1139999999999999E-2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27.279999999999998</v>
      </c>
      <c r="BN77" s="64">
        <f>IFERROR(Y77*I77/H77,"0")</f>
        <v>28.643999999999998</v>
      </c>
      <c r="BO77" s="64">
        <f>IFERROR(1/J77*(X77/H77),"0")</f>
        <v>7.3260073260073263E-2</v>
      </c>
      <c r="BP77" s="64">
        <f>IFERROR(1/J77*(Y77/H77),"0")</f>
        <v>7.6923076923076927E-2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13.333333333333332</v>
      </c>
      <c r="Y79" s="629">
        <f>IFERROR(Y77/H77,"0")+IFERROR(Y78/H78,"0")</f>
        <v>14</v>
      </c>
      <c r="Z79" s="629">
        <f>IFERROR(IF(Z77="",0,Z77),"0")+IFERROR(IF(Z78="",0,Z78),"0")</f>
        <v>9.1139999999999999E-2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24</v>
      </c>
      <c r="Y80" s="629">
        <f>IFERROR(SUM(Y77:Y78),"0")</f>
        <v>25.2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5</v>
      </c>
      <c r="Y91" s="628">
        <f>IFERROR(IF(X91="",0,CEILING((X91/$H91),1)*$H91),"")</f>
        <v>9</v>
      </c>
      <c r="Z91" s="36">
        <f>IFERROR(IF(Y91=0,"",ROUNDUP(Y91/H91,0)*0.00902),"")</f>
        <v>1.804E-2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5.2111111111111121</v>
      </c>
      <c r="BN91" s="64">
        <f>IFERROR(Y91*I91/H91,"0")</f>
        <v>9.3800000000000008</v>
      </c>
      <c r="BO91" s="64">
        <f>IFERROR(1/J91*(X91/H91),"0")</f>
        <v>8.4175084175084174E-3</v>
      </c>
      <c r="BP91" s="64">
        <f>IFERROR(1/J91*(Y91/H91),"0")</f>
        <v>1.5151515151515152E-2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1.1111111111111112</v>
      </c>
      <c r="Y92" s="629">
        <f>IFERROR(Y88/H88,"0")+IFERROR(Y89/H89,"0")+IFERROR(Y90/H90,"0")+IFERROR(Y91/H91,"0")</f>
        <v>2</v>
      </c>
      <c r="Z92" s="629">
        <f>IFERROR(IF(Z88="",0,Z88),"0")+IFERROR(IF(Z89="",0,Z89),"0")+IFERROR(IF(Z90="",0,Z90),"0")+IFERROR(IF(Z91="",0,Z91),"0")</f>
        <v>1.804E-2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5</v>
      </c>
      <c r="Y93" s="629">
        <f>IFERROR(SUM(Y88:Y91),"0")</f>
        <v>9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270</v>
      </c>
      <c r="Y95" s="628">
        <f>IFERROR(IF(X95="",0,CEILING((X95/$H95),1)*$H95),"")</f>
        <v>275.39999999999998</v>
      </c>
      <c r="Z95" s="36">
        <f>IFERROR(IF(Y95=0,"",ROUNDUP(Y95/H95,0)*0.01898),"")</f>
        <v>0.64532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286.46666666666664</v>
      </c>
      <c r="BN95" s="64">
        <f>IFERROR(Y95*I95/H95,"0")</f>
        <v>292.19599999999997</v>
      </c>
      <c r="BO95" s="64">
        <f>IFERROR(1/J95*(X95/H95),"0")</f>
        <v>0.52083333333333337</v>
      </c>
      <c r="BP95" s="64">
        <f>IFERROR(1/J95*(Y95/H95),"0")</f>
        <v>0.53125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47</v>
      </c>
      <c r="Y97" s="628">
        <f>IFERROR(IF(X97="",0,CEILING((X97/$H97),1)*$H97),"")</f>
        <v>48.6</v>
      </c>
      <c r="Z97" s="36">
        <f>IFERROR(IF(Y97=0,"",ROUNDUP(Y97/H97,0)*0.00651),"")</f>
        <v>0.11718000000000001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51.386666666666663</v>
      </c>
      <c r="BN97" s="64">
        <f>IFERROR(Y97*I97/H97,"0")</f>
        <v>53.135999999999996</v>
      </c>
      <c r="BO97" s="64">
        <f>IFERROR(1/J97*(X97/H97),"0")</f>
        <v>9.5645095645095643E-2</v>
      </c>
      <c r="BP97" s="64">
        <f>IFERROR(1/J97*(Y97/H97),"0")</f>
        <v>9.8901098901098911E-2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50.74074074074074</v>
      </c>
      <c r="Y99" s="629">
        <f>IFERROR(Y95/H95,"0")+IFERROR(Y96/H96,"0")+IFERROR(Y97/H97,"0")+IFERROR(Y98/H98,"0")</f>
        <v>52</v>
      </c>
      <c r="Z99" s="629">
        <f>IFERROR(IF(Z95="",0,Z95),"0")+IFERROR(IF(Z96="",0,Z96),"0")+IFERROR(IF(Z97="",0,Z97),"0")+IFERROR(IF(Z98="",0,Z98),"0")</f>
        <v>0.76249999999999996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317</v>
      </c>
      <c r="Y100" s="629">
        <f>IFERROR(SUM(Y95:Y98),"0")</f>
        <v>324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62</v>
      </c>
      <c r="Y103" s="628">
        <f t="shared" ref="Y103:Y108" si="5">IFERROR(IF(X103="",0,CEILING((X103/$H103),1)*$H103),"")</f>
        <v>64.800000000000011</v>
      </c>
      <c r="Z103" s="36">
        <f>IFERROR(IF(Y103=0,"",ROUNDUP(Y103/H103,0)*0.01898),"")</f>
        <v>0.11388000000000001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64.353703703703715</v>
      </c>
      <c r="BN103" s="64">
        <f t="shared" ref="BN103:BN108" si="7">IFERROR(Y103*I103/H103,"0")</f>
        <v>67.260000000000005</v>
      </c>
      <c r="BO103" s="64">
        <f t="shared" ref="BO103:BO108" si="8">IFERROR(1/J103*(X103/H103),"0")</f>
        <v>8.969907407407407E-2</v>
      </c>
      <c r="BP103" s="64">
        <f t="shared" ref="BP103:BP108" si="9">IFERROR(1/J103*(Y103/H103),"0")</f>
        <v>9.3750000000000014E-2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5.7407407407407405</v>
      </c>
      <c r="Y109" s="629">
        <f>IFERROR(Y103/H103,"0")+IFERROR(Y104/H104,"0")+IFERROR(Y105/H105,"0")+IFERROR(Y106/H106,"0")+IFERROR(Y107/H107,"0")+IFERROR(Y108/H108,"0")</f>
        <v>6.0000000000000009</v>
      </c>
      <c r="Z109" s="629">
        <f>IFERROR(IF(Z103="",0,Z103),"0")+IFERROR(IF(Z104="",0,Z104),"0")+IFERROR(IF(Z105="",0,Z105),"0")+IFERROR(IF(Z106="",0,Z106),"0")+IFERROR(IF(Z107="",0,Z107),"0")+IFERROR(IF(Z108="",0,Z108),"0")</f>
        <v>0.11388000000000001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62</v>
      </c>
      <c r="Y110" s="629">
        <f>IFERROR(SUM(Y103:Y108),"0")</f>
        <v>64.800000000000011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4</v>
      </c>
      <c r="Y181" s="628">
        <f t="shared" si="10"/>
        <v>4.5</v>
      </c>
      <c r="Z181" s="36">
        <f>IFERROR(IF(Y181=0,"",ROUNDUP(Y181/H181,0)*0.00417),"")</f>
        <v>2.085E-2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4.9333333333333336</v>
      </c>
      <c r="BN181" s="64">
        <f t="shared" si="12"/>
        <v>5.55</v>
      </c>
      <c r="BO181" s="64">
        <f t="shared" si="13"/>
        <v>1.3227513227513227E-2</v>
      </c>
      <c r="BP181" s="64">
        <f t="shared" si="14"/>
        <v>1.488095238095238E-2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13</v>
      </c>
      <c r="Y182" s="628">
        <f t="shared" si="10"/>
        <v>13.44</v>
      </c>
      <c r="Z182" s="36">
        <f>IFERROR(IF(Y182=0,"",ROUNDUP(Y182/H182,0)*0.00502),"")</f>
        <v>4.0160000000000001E-2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13.773809523809526</v>
      </c>
      <c r="BN182" s="64">
        <f t="shared" si="12"/>
        <v>14.239999999999998</v>
      </c>
      <c r="BO182" s="64">
        <f t="shared" si="13"/>
        <v>3.3068783068783074E-2</v>
      </c>
      <c r="BP182" s="64">
        <f t="shared" si="14"/>
        <v>3.4188034188034191E-2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5</v>
      </c>
      <c r="Y185" s="628">
        <f t="shared" si="10"/>
        <v>5.04</v>
      </c>
      <c r="Z185" s="36">
        <f>IFERROR(IF(Y185=0,"",ROUNDUP(Y185/H185,0)*0.00502),"")</f>
        <v>1.506E-2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5.2976190476190483</v>
      </c>
      <c r="BN185" s="64">
        <f t="shared" si="12"/>
        <v>5.34</v>
      </c>
      <c r="BO185" s="64">
        <f t="shared" si="13"/>
        <v>1.2718762718762721E-2</v>
      </c>
      <c r="BP185" s="64">
        <f t="shared" si="14"/>
        <v>1.2820512820512822E-2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4</v>
      </c>
      <c r="Y186" s="628">
        <f t="shared" si="10"/>
        <v>4.5</v>
      </c>
      <c r="Z186" s="36">
        <f>IFERROR(IF(Y186=0,"",ROUNDUP(Y186/H186,0)*0.00417),"")</f>
        <v>2.085E-2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4.4444444444444446</v>
      </c>
      <c r="BN186" s="64">
        <f t="shared" si="12"/>
        <v>5</v>
      </c>
      <c r="BO186" s="64">
        <f t="shared" si="13"/>
        <v>1.3227513227513227E-2</v>
      </c>
      <c r="BP186" s="64">
        <f t="shared" si="14"/>
        <v>1.488095238095238E-2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47</v>
      </c>
      <c r="Y187" s="628">
        <f t="shared" si="10"/>
        <v>47.04</v>
      </c>
      <c r="Z187" s="36">
        <f>IFERROR(IF(Y187=0,"",ROUNDUP(Y187/H187,0)*0.00502),"")</f>
        <v>0.14056000000000002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49.797619047619044</v>
      </c>
      <c r="BN187" s="64">
        <f t="shared" si="12"/>
        <v>49.84</v>
      </c>
      <c r="BO187" s="64">
        <f t="shared" si="13"/>
        <v>0.11955636955636957</v>
      </c>
      <c r="BP187" s="64">
        <f t="shared" si="14"/>
        <v>0.11965811965811968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47.579365079365083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49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0.23748000000000002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73</v>
      </c>
      <c r="Y189" s="629">
        <f>IFERROR(SUM(Y177:Y187),"0")</f>
        <v>74.52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16</v>
      </c>
      <c r="Y223" s="628">
        <f t="shared" ref="Y223:Y236" si="21">IFERROR(IF(X223="",0,CEILING((X223/$H223),1)*$H223),"")</f>
        <v>16.8</v>
      </c>
      <c r="Z223" s="36">
        <f>IFERROR(IF(Y223=0,"",ROUNDUP(Y223/H223,0)*0.00902),"")</f>
        <v>3.6080000000000001E-2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16.952380952380953</v>
      </c>
      <c r="BN223" s="64">
        <f t="shared" ref="BN223:BN236" si="23">IFERROR(Y223*I223/H223,"0")</f>
        <v>17.8</v>
      </c>
      <c r="BO223" s="64">
        <f t="shared" ref="BO223:BO236" si="24">IFERROR(1/J223*(X223/H223),"0")</f>
        <v>2.886002886002886E-2</v>
      </c>
      <c r="BP223" s="64">
        <f t="shared" ref="BP223:BP236" si="25">IFERROR(1/J223*(Y223/H223),"0")</f>
        <v>3.0303030303030304E-2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6</v>
      </c>
      <c r="Y232" s="628">
        <f t="shared" si="21"/>
        <v>7.2</v>
      </c>
      <c r="Z232" s="36">
        <f t="shared" si="26"/>
        <v>2.0080000000000001E-2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6.4333333333333336</v>
      </c>
      <c r="BN232" s="64">
        <f t="shared" si="23"/>
        <v>7.7199999999999989</v>
      </c>
      <c r="BO232" s="64">
        <f t="shared" si="24"/>
        <v>1.4245014245014245E-2</v>
      </c>
      <c r="BP232" s="64">
        <f t="shared" si="25"/>
        <v>1.7094017094017096E-2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25</v>
      </c>
      <c r="Y234" s="628">
        <f t="shared" si="21"/>
        <v>25.200000000000003</v>
      </c>
      <c r="Z234" s="36">
        <f>IFERROR(IF(Y234=0,"",ROUNDUP(Y234/H234,0)*0.00502),"")</f>
        <v>6.0240000000000002E-2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26.190476190476193</v>
      </c>
      <c r="BN234" s="64">
        <f t="shared" si="23"/>
        <v>26.400000000000006</v>
      </c>
      <c r="BO234" s="64">
        <f t="shared" si="24"/>
        <v>5.0875050875050884E-2</v>
      </c>
      <c r="BP234" s="64">
        <f t="shared" si="25"/>
        <v>5.1282051282051287E-2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19.047619047619047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0.1164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47</v>
      </c>
      <c r="Y238" s="629">
        <f>IFERROR(SUM(Y223:Y236),"0")</f>
        <v>49.2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1</v>
      </c>
      <c r="Y254" s="628">
        <f>IFERROR(IF(X254="",0,CEILING((X254/$H254),1)*$H254),"")</f>
        <v>1.26</v>
      </c>
      <c r="Z254" s="36">
        <f>IFERROR(IF(Y254=0,"",ROUNDUP(Y254/H254,0)*0.0059),"")</f>
        <v>5.8999999999999999E-3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1.1507936507936507</v>
      </c>
      <c r="BN254" s="64">
        <f>IFERROR(Y254*I254/H254,"0")</f>
        <v>1.45</v>
      </c>
      <c r="BO254" s="64">
        <f>IFERROR(1/J254*(X254/H254),"0")</f>
        <v>3.6743092298647849E-3</v>
      </c>
      <c r="BP254" s="64">
        <f>IFERROR(1/J254*(Y254/H254),"0")</f>
        <v>4.6296296296296294E-3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0.79365079365079361</v>
      </c>
      <c r="Y255" s="629">
        <f>IFERROR(Y254/H254,"0")</f>
        <v>1</v>
      </c>
      <c r="Z255" s="629">
        <f>IFERROR(IF(Z254="",0,Z254),"0")</f>
        <v>5.8999999999999999E-3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1</v>
      </c>
      <c r="Y256" s="629">
        <f>IFERROR(SUM(Y254:Y254),"0")</f>
        <v>1.26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5</v>
      </c>
      <c r="Y270" s="628">
        <f t="shared" si="27"/>
        <v>5.4</v>
      </c>
      <c r="Z270" s="36">
        <f>IFERROR(IF(Y270=0,"",ROUNDUP(Y270/H270,0)*0.00902),"")</f>
        <v>9.0200000000000002E-3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5.1759259259259256</v>
      </c>
      <c r="BN270" s="64">
        <f t="shared" si="29"/>
        <v>5.59</v>
      </c>
      <c r="BO270" s="64">
        <f t="shared" si="30"/>
        <v>7.0145903479236806E-3</v>
      </c>
      <c r="BP270" s="64">
        <f t="shared" si="31"/>
        <v>7.575757575757576E-3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50</v>
      </c>
      <c r="Y271" s="628">
        <f t="shared" si="27"/>
        <v>54</v>
      </c>
      <c r="Z271" s="36">
        <f>IFERROR(IF(Y271=0,"",ROUNDUP(Y271/H271,0)*0.00902),"")</f>
        <v>9.0200000000000002E-2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51.759259259259252</v>
      </c>
      <c r="BN271" s="64">
        <f t="shared" si="29"/>
        <v>55.9</v>
      </c>
      <c r="BO271" s="64">
        <f t="shared" si="30"/>
        <v>7.0145903479236812E-2</v>
      </c>
      <c r="BP271" s="64">
        <f t="shared" si="31"/>
        <v>7.575757575757576E-2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24</v>
      </c>
      <c r="Y273" s="628">
        <f t="shared" si="27"/>
        <v>25.2</v>
      </c>
      <c r="Z273" s="36">
        <f>IFERROR(IF(Y273=0,"",ROUNDUP(Y273/H273,0)*0.00502),"")</f>
        <v>7.0280000000000009E-2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25.733333333333334</v>
      </c>
      <c r="BN273" s="64">
        <f t="shared" si="29"/>
        <v>27.019999999999996</v>
      </c>
      <c r="BO273" s="64">
        <f t="shared" si="30"/>
        <v>5.6980056980056981E-2</v>
      </c>
      <c r="BP273" s="64">
        <f t="shared" si="31"/>
        <v>5.9829059829059839E-2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11</v>
      </c>
      <c r="Y274" s="628">
        <f t="shared" si="27"/>
        <v>12.6</v>
      </c>
      <c r="Z274" s="36">
        <f>IFERROR(IF(Y274=0,"",ROUNDUP(Y274/H274,0)*0.00502),"")</f>
        <v>3.5140000000000005E-2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11.611111111111111</v>
      </c>
      <c r="BN274" s="64">
        <f t="shared" si="29"/>
        <v>13.299999999999999</v>
      </c>
      <c r="BO274" s="64">
        <f t="shared" si="30"/>
        <v>2.6115859449192782E-2</v>
      </c>
      <c r="BP274" s="64">
        <f t="shared" si="31"/>
        <v>2.9914529914529919E-2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29.62962962962963</v>
      </c>
      <c r="Y277" s="629">
        <f>IFERROR(Y269/H269,"0")+IFERROR(Y270/H270,"0")+IFERROR(Y271/H271,"0")+IFERROR(Y272/H272,"0")+IFERROR(Y273/H273,"0")+IFERROR(Y274/H274,"0")+IFERROR(Y275/H275,"0")+IFERROR(Y276/H276,"0")</f>
        <v>32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0.20464000000000002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90</v>
      </c>
      <c r="Y278" s="629">
        <f>IFERROR(SUM(Y269:Y276),"0")</f>
        <v>97.199999999999989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44</v>
      </c>
      <c r="Y281" s="628">
        <f t="shared" si="32"/>
        <v>48.599999999999994</v>
      </c>
      <c r="Z281" s="36">
        <f>IFERROR(IF(Y281=0,"",ROUNDUP(Y281/H281,0)*0.01898),"")</f>
        <v>0.11388000000000001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46.585679012345686</v>
      </c>
      <c r="BN281" s="64">
        <f t="shared" si="34"/>
        <v>51.455999999999996</v>
      </c>
      <c r="BO281" s="64">
        <f t="shared" si="35"/>
        <v>8.4876543209876545E-2</v>
      </c>
      <c r="BP281" s="64">
        <f t="shared" si="36"/>
        <v>9.375E-2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241</v>
      </c>
      <c r="Y283" s="628">
        <f t="shared" si="32"/>
        <v>242.39999999999998</v>
      </c>
      <c r="Z283" s="36">
        <f>IFERROR(IF(Y283=0,"",ROUNDUP(Y283/H283,0)*0.00651),"")</f>
        <v>0.65751000000000004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268.11250000000001</v>
      </c>
      <c r="BN283" s="64">
        <f t="shared" si="34"/>
        <v>269.67</v>
      </c>
      <c r="BO283" s="64">
        <f t="shared" si="35"/>
        <v>0.55173992673992678</v>
      </c>
      <c r="BP283" s="64">
        <f t="shared" si="36"/>
        <v>0.55494505494505497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557</v>
      </c>
      <c r="Y286" s="628">
        <f t="shared" si="32"/>
        <v>559.19999999999993</v>
      </c>
      <c r="Z286" s="36">
        <f>IFERROR(IF(Y286=0,"",ROUNDUP(Y286/H286,0)*0.00651),"")</f>
        <v>1.5168300000000001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615.48500000000001</v>
      </c>
      <c r="BN286" s="64">
        <f t="shared" si="34"/>
        <v>617.91600000000005</v>
      </c>
      <c r="BO286" s="64">
        <f t="shared" si="35"/>
        <v>1.2751831501831503</v>
      </c>
      <c r="BP286" s="64">
        <f t="shared" si="36"/>
        <v>1.2802197802197801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438</v>
      </c>
      <c r="Y288" s="628">
        <f t="shared" si="32"/>
        <v>439.2</v>
      </c>
      <c r="Z288" s="36">
        <f>IFERROR(IF(Y288=0,"",ROUNDUP(Y288/H288,0)*0.00651),"")</f>
        <v>1.19133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483.99</v>
      </c>
      <c r="BN288" s="64">
        <f t="shared" si="34"/>
        <v>485.31599999999997</v>
      </c>
      <c r="BO288" s="64">
        <f t="shared" si="35"/>
        <v>1.0027472527472527</v>
      </c>
      <c r="BP288" s="64">
        <f t="shared" si="36"/>
        <v>1.0054945054945055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83</v>
      </c>
      <c r="Y290" s="628">
        <f t="shared" si="32"/>
        <v>84</v>
      </c>
      <c r="Z290" s="36">
        <f>IFERROR(IF(Y290=0,"",ROUNDUP(Y290/H290,0)*0.00651),"")</f>
        <v>0.22785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91.922499999999999</v>
      </c>
      <c r="BN290" s="64">
        <f t="shared" si="34"/>
        <v>93.03</v>
      </c>
      <c r="BO290" s="64">
        <f t="shared" si="35"/>
        <v>0.19001831501831504</v>
      </c>
      <c r="BP290" s="64">
        <f t="shared" si="36"/>
        <v>0.19230769230769232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555.01543209876547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558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3.7073999999999998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1363</v>
      </c>
      <c r="Y293" s="629">
        <f>IFERROR(SUM(Y280:Y291),"0")</f>
        <v>1373.3999999999999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6</v>
      </c>
      <c r="Y315" s="628">
        <f>IFERROR(IF(X315="",0,CEILING((X315/$H315),1)*$H315),"")</f>
        <v>7.2</v>
      </c>
      <c r="Z315" s="36">
        <f>IFERROR(IF(Y315=0,"",ROUNDUP(Y315/H315,0)*0.0059),"")</f>
        <v>2.3599999999999999E-2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6.5833333333333339</v>
      </c>
      <c r="BN315" s="64">
        <f>IFERROR(Y315*I315/H315,"0")</f>
        <v>7.9</v>
      </c>
      <c r="BO315" s="64">
        <f>IFERROR(1/J315*(X315/H315),"0")</f>
        <v>1.5432098765432096E-2</v>
      </c>
      <c r="BP315" s="64">
        <f>IFERROR(1/J315*(Y315/H315),"0")</f>
        <v>1.8518518518518517E-2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3.333333333333333</v>
      </c>
      <c r="Y316" s="629">
        <f>IFERROR(Y315/H315,"0")</f>
        <v>4</v>
      </c>
      <c r="Z316" s="629">
        <f>IFERROR(IF(Z315="",0,Z315),"0")</f>
        <v>2.3599999999999999E-2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6</v>
      </c>
      <c r="Y317" s="629">
        <f>IFERROR(SUM(Y315:Y315),"0")</f>
        <v>7.2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120</v>
      </c>
      <c r="Y336" s="628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132.60000000000002</v>
      </c>
      <c r="BN336" s="64">
        <f>IFERROR(Y336*I336/H336,"0")</f>
        <v>132.60000000000002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50</v>
      </c>
      <c r="Y338" s="629">
        <f>IFERROR(Y335/H335,"0")+IFERROR(Y336/H336,"0")+IFERROR(Y337/H337,"0")</f>
        <v>50</v>
      </c>
      <c r="Z338" s="629">
        <f>IFERROR(IF(Z335="",0,Z335),"0")+IFERROR(IF(Z336="",0,Z336),"0")+IFERROR(IF(Z337="",0,Z337),"0")</f>
        <v>0.32550000000000001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120</v>
      </c>
      <c r="Y339" s="629">
        <f>IFERROR(SUM(Y335:Y337),"0")</f>
        <v>120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68</v>
      </c>
      <c r="Y356" s="628">
        <f>IFERROR(IF(X356="",0,CEILING((X356/$H356),1)*$H356),"")</f>
        <v>70.2</v>
      </c>
      <c r="Z356" s="36">
        <f>IFERROR(IF(Y356=0,"",ROUNDUP(Y356/H356,0)*0.01898),"")</f>
        <v>0.17082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71.574358974358987</v>
      </c>
      <c r="BN356" s="64">
        <f>IFERROR(Y356*I356/H356,"0")</f>
        <v>73.890000000000015</v>
      </c>
      <c r="BO356" s="64">
        <f>IFERROR(1/J356*(X356/H356),"0")</f>
        <v>0.13621794871794873</v>
      </c>
      <c r="BP356" s="64">
        <f>IFERROR(1/J356*(Y356/H356),"0")</f>
        <v>0.140625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85</v>
      </c>
      <c r="Y357" s="628">
        <f>IFERROR(IF(X357="",0,CEILING((X357/$H357),1)*$H357),"")</f>
        <v>85.8</v>
      </c>
      <c r="Z357" s="36">
        <f>IFERROR(IF(Y357=0,"",ROUNDUP(Y357/H357,0)*0.01898),"")</f>
        <v>0.20877999999999999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89.46794871794873</v>
      </c>
      <c r="BN357" s="64">
        <f>IFERROR(Y357*I357/H357,"0")</f>
        <v>90.31</v>
      </c>
      <c r="BO357" s="64">
        <f>IFERROR(1/J357*(X357/H357),"0")</f>
        <v>0.1702724358974359</v>
      </c>
      <c r="BP357" s="64">
        <f>IFERROR(1/J357*(Y357/H357),"0")</f>
        <v>0.171875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19.615384615384617</v>
      </c>
      <c r="Y359" s="629">
        <f>IFERROR(Y356/H356,"0")+IFERROR(Y357/H357,"0")+IFERROR(Y358/H358,"0")</f>
        <v>20</v>
      </c>
      <c r="Z359" s="629">
        <f>IFERROR(IF(Z356="",0,Z356),"0")+IFERROR(IF(Z357="",0,Z357),"0")+IFERROR(IF(Z358="",0,Z358),"0")</f>
        <v>0.37959999999999999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153</v>
      </c>
      <c r="Y360" s="629">
        <f>IFERROR(SUM(Y356:Y358),"0")</f>
        <v>156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1202</v>
      </c>
      <c r="Y389" s="628">
        <f>IFERROR(IF(X389="",0,CEILING((X389/$H389),1)*$H389),"")</f>
        <v>1209</v>
      </c>
      <c r="Z389" s="36">
        <f>IFERROR(IF(Y389=0,"",ROUNDUP(Y389/H389,0)*0.01898),"")</f>
        <v>2.9419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1278.1266666666668</v>
      </c>
      <c r="BN389" s="64">
        <f>IFERROR(Y389*I389/H389,"0")</f>
        <v>1285.57</v>
      </c>
      <c r="BO389" s="64">
        <f>IFERROR(1/J389*(X389/H389),"0")</f>
        <v>2.4078525641025643</v>
      </c>
      <c r="BP389" s="64">
        <f>IFERROR(1/J389*(Y389/H389),"0")</f>
        <v>2.421875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154.10256410256412</v>
      </c>
      <c r="Y391" s="629">
        <f>IFERROR(Y388/H388,"0")+IFERROR(Y389/H389,"0")+IFERROR(Y390/H390,"0")</f>
        <v>155</v>
      </c>
      <c r="Z391" s="629">
        <f>IFERROR(IF(Z388="",0,Z388),"0")+IFERROR(IF(Z389="",0,Z389),"0")+IFERROR(IF(Z390="",0,Z390),"0")</f>
        <v>2.9419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1202</v>
      </c>
      <c r="Y392" s="629">
        <f>IFERROR(SUM(Y388:Y390),"0")</f>
        <v>1209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137</v>
      </c>
      <c r="Y415" s="628">
        <f>IFERROR(IF(X415="",0,CEILING((X415/$H415),1)*$H415),"")</f>
        <v>138.6</v>
      </c>
      <c r="Z415" s="36">
        <f>IFERROR(IF(Y415=0,"",ROUNDUP(Y415/H415,0)*0.00651),"")</f>
        <v>0.42965999999999999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153.44</v>
      </c>
      <c r="BN415" s="64">
        <f>IFERROR(Y415*I415/H415,"0")</f>
        <v>155.23199999999997</v>
      </c>
      <c r="BO415" s="64">
        <f>IFERROR(1/J415*(X415/H415),"0")</f>
        <v>0.35845107273678706</v>
      </c>
      <c r="BP415" s="64">
        <f>IFERROR(1/J415*(Y415/H415),"0")</f>
        <v>0.36263736263736268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6</v>
      </c>
      <c r="Y416" s="628">
        <f>IFERROR(IF(X416="",0,CEILING((X416/$H416),1)*$H416),"")</f>
        <v>6.3000000000000007</v>
      </c>
      <c r="Z416" s="36">
        <f>IFERROR(IF(Y416=0,"",ROUNDUP(Y416/H416,0)*0.00651),"")</f>
        <v>1.9529999999999999E-2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6.6857142857142851</v>
      </c>
      <c r="BN416" s="64">
        <f>IFERROR(Y416*I416/H416,"0")</f>
        <v>7.0200000000000005</v>
      </c>
      <c r="BO416" s="64">
        <f>IFERROR(1/J416*(X416/H416),"0")</f>
        <v>1.5698587127158558E-2</v>
      </c>
      <c r="BP416" s="64">
        <f>IFERROR(1/J416*(Y416/H416),"0")</f>
        <v>1.6483516483516484E-2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68.095238095238102</v>
      </c>
      <c r="Y417" s="629">
        <f>IFERROR(Y414/H414,"0")+IFERROR(Y415/H415,"0")+IFERROR(Y416/H416,"0")</f>
        <v>69</v>
      </c>
      <c r="Z417" s="629">
        <f>IFERROR(IF(Z414="",0,Z414),"0")+IFERROR(IF(Z415="",0,Z415),"0")+IFERROR(IF(Z416="",0,Z416),"0")</f>
        <v>0.44918999999999998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143</v>
      </c>
      <c r="Y418" s="629">
        <f>IFERROR(SUM(Y414:Y416),"0")</f>
        <v>144.9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355</v>
      </c>
      <c r="Y424" s="628">
        <f t="shared" si="47"/>
        <v>360</v>
      </c>
      <c r="Z424" s="36">
        <f>IFERROR(IF(Y424=0,"",ROUNDUP(Y424/H424,0)*0.02175),"")</f>
        <v>0.52200000000000002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366.12333333333333</v>
      </c>
      <c r="BN424" s="64">
        <f t="shared" si="49"/>
        <v>371.28</v>
      </c>
      <c r="BO424" s="64">
        <f t="shared" si="50"/>
        <v>0.49305555555555558</v>
      </c>
      <c r="BP424" s="64">
        <f t="shared" si="51"/>
        <v>0.5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23.666666666666668</v>
      </c>
      <c r="Y430" s="629">
        <f>IFERROR(Y422/H422,"0")+IFERROR(Y423/H423,"0")+IFERROR(Y424/H424,"0")+IFERROR(Y425/H425,"0")+IFERROR(Y426/H426,"0")+IFERROR(Y427/H427,"0")+IFERROR(Y428/H428,"0")+IFERROR(Y429/H429,"0")</f>
        <v>24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0.52200000000000002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355</v>
      </c>
      <c r="Y431" s="629">
        <f>IFERROR(SUM(Y422:Y429),"0")</f>
        <v>360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30</v>
      </c>
      <c r="Y434" s="628">
        <f>IFERROR(IF(X434="",0,CEILING((X434/$H434),1)*$H434),"")</f>
        <v>30</v>
      </c>
      <c r="Z434" s="36">
        <f>IFERROR(IF(Y434=0,"",ROUNDUP(Y434/H434,0)*0.02175),"")</f>
        <v>4.3499999999999997E-2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30.94</v>
      </c>
      <c r="BN434" s="64">
        <f>IFERROR(Y434*I434/H434,"0")</f>
        <v>30.94</v>
      </c>
      <c r="BO434" s="64">
        <f>IFERROR(1/J434*(X434/H434),"0")</f>
        <v>4.1666666666666664E-2</v>
      </c>
      <c r="BP434" s="64">
        <f>IFERROR(1/J434*(Y434/H434),"0")</f>
        <v>4.1666666666666664E-2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2</v>
      </c>
      <c r="Y436" s="629">
        <f>IFERROR(Y433/H433,"0")+IFERROR(Y434/H434,"0")+IFERROR(Y435/H435,"0")</f>
        <v>2</v>
      </c>
      <c r="Z436" s="629">
        <f>IFERROR(IF(Z433="",0,Z433),"0")+IFERROR(IF(Z434="",0,Z434),"0")+IFERROR(IF(Z435="",0,Z435),"0")</f>
        <v>4.3499999999999997E-2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30</v>
      </c>
      <c r="Y437" s="629">
        <f>IFERROR(SUM(Y433:Y435),"0")</f>
        <v>30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2275</v>
      </c>
      <c r="Y460" s="628">
        <f>IFERROR(IF(X460="",0,CEILING((X460/$H460),1)*$H460),"")</f>
        <v>2277</v>
      </c>
      <c r="Z460" s="36">
        <f>IFERROR(IF(Y460=0,"",ROUNDUP(Y460/H460,0)*0.01898),"")</f>
        <v>4.8019400000000001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2399.8722222222223</v>
      </c>
      <c r="BN460" s="64">
        <f>IFERROR(Y460*I460/H460,"0")</f>
        <v>2401.982</v>
      </c>
      <c r="BO460" s="64">
        <f>IFERROR(1/J460*(X460/H460),"0")</f>
        <v>3.9496527777777777</v>
      </c>
      <c r="BP460" s="64">
        <f>IFERROR(1/J460*(Y460/H460),"0")</f>
        <v>3.953125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121</v>
      </c>
      <c r="Y461" s="628">
        <f>IFERROR(IF(X461="",0,CEILING((X461/$H461),1)*$H461),"")</f>
        <v>122.39999999999999</v>
      </c>
      <c r="Z461" s="36">
        <f>IFERROR(IF(Y461=0,"",ROUNDUP(Y461/H461,0)*0.00651),"")</f>
        <v>0.33201000000000003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134.31</v>
      </c>
      <c r="BN461" s="64">
        <f>IFERROR(Y461*I461/H461,"0")</f>
        <v>135.864</v>
      </c>
      <c r="BO461" s="64">
        <f>IFERROR(1/J461*(X461/H461),"0")</f>
        <v>0.27701465201465209</v>
      </c>
      <c r="BP461" s="64">
        <f>IFERROR(1/J461*(Y461/H461),"0")</f>
        <v>0.28021978021978022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303.19444444444446</v>
      </c>
      <c r="Y463" s="629">
        <f>IFERROR(Y460/H460,"0")+IFERROR(Y461/H461,"0")+IFERROR(Y462/H462,"0")</f>
        <v>304</v>
      </c>
      <c r="Z463" s="629">
        <f>IFERROR(IF(Z460="",0,Z460),"0")+IFERROR(IF(Z461="",0,Z461),"0")+IFERROR(IF(Z462="",0,Z462),"0")</f>
        <v>5.1339500000000005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2396</v>
      </c>
      <c r="Y464" s="629">
        <f>IFERROR(SUM(Y460:Y462),"0")</f>
        <v>2399.4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127</v>
      </c>
      <c r="Y495" s="628">
        <f t="shared" ref="Y495:Y503" si="57">IFERROR(IF(X495="",0,CEILING((X495/$H495),1)*$H495),"")</f>
        <v>132</v>
      </c>
      <c r="Z495" s="36">
        <f t="shared" ref="Z495:Z500" si="58">IFERROR(IF(Y495=0,"",ROUNDUP(Y495/H495,0)*0.01196),"")</f>
        <v>0.29899999999999999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135.41856060606059</v>
      </c>
      <c r="BN495" s="64">
        <f t="shared" ref="BN495:BN503" si="60">IFERROR(Y495*I495/H495,"0")</f>
        <v>140.75</v>
      </c>
      <c r="BO495" s="64">
        <f t="shared" ref="BO495:BO503" si="61">IFERROR(1/J495*(X495/H495),"0")</f>
        <v>0.23127913752913754</v>
      </c>
      <c r="BP495" s="64">
        <f t="shared" ref="BP495:BP503" si="62">IFERROR(1/J495*(Y495/H495),"0")</f>
        <v>0.24038461538461539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1015</v>
      </c>
      <c r="Y498" s="628">
        <f t="shared" si="57"/>
        <v>1019.0400000000001</v>
      </c>
      <c r="Z498" s="36">
        <f t="shared" si="58"/>
        <v>2.3082799999999999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1082.282196969697</v>
      </c>
      <c r="BN498" s="64">
        <f t="shared" si="60"/>
        <v>1086.5899999999999</v>
      </c>
      <c r="BO498" s="64">
        <f t="shared" si="61"/>
        <v>1.8484120046620047</v>
      </c>
      <c r="BP498" s="64">
        <f t="shared" si="62"/>
        <v>1.8557692307692308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96</v>
      </c>
      <c r="Y503" s="628">
        <f t="shared" si="57"/>
        <v>96</v>
      </c>
      <c r="Z503" s="36">
        <f>IFERROR(IF(Y503=0,"",ROUNDUP(Y503/H503,0)*0.00902),"")</f>
        <v>0.1804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138.20000000000002</v>
      </c>
      <c r="BN503" s="64">
        <f t="shared" si="60"/>
        <v>138.20000000000002</v>
      </c>
      <c r="BO503" s="64">
        <f t="shared" si="61"/>
        <v>0.15151515151515152</v>
      </c>
      <c r="BP503" s="64">
        <f t="shared" si="62"/>
        <v>0.15151515151515152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236.28787878787878</v>
      </c>
      <c r="Y504" s="629">
        <f>IFERROR(Y495/H495,"0")+IFERROR(Y496/H496,"0")+IFERROR(Y497/H497,"0")+IFERROR(Y498/H498,"0")+IFERROR(Y499/H499,"0")+IFERROR(Y500/H500,"0")+IFERROR(Y501/H501,"0")+IFERROR(Y502/H502,"0")+IFERROR(Y503/H503,"0")</f>
        <v>238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2.7876799999999999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1238</v>
      </c>
      <c r="Y505" s="629">
        <f>IFERROR(SUM(Y495:Y503),"0")</f>
        <v>1247.04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7922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8010.5199999999995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8499.584015444434</v>
      </c>
      <c r="Y551" s="629">
        <f>IFERROR(SUM(BN22:BN547),"0")</f>
        <v>8594.5919999999987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16</v>
      </c>
      <c r="Y552" s="38">
        <f>ROUNDUP(SUM(BP22:BP547),0)</f>
        <v>16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8899.584015444434</v>
      </c>
      <c r="Y553" s="629">
        <f>GrossWeightTotalR+PalletQtyTotalR*25</f>
        <v>8994.5919999999987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1616.9068416151752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1637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18.442019999999999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3.6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340</v>
      </c>
      <c r="F560" s="46">
        <f>IFERROR(Y88*1,"0")+IFERROR(Y89*1,"0")+IFERROR(Y90*1,"0")+IFERROR(Y91*1,"0")+IFERROR(Y95*1,"0")+IFERROR(Y96*1,"0")+IFERROR(Y97*1,"0")+IFERROR(Y98*1,"0")</f>
        <v>333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64.800000000000011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74.52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50.46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1470.6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120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156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1209</v>
      </c>
      <c r="U560" s="46">
        <f>IFERROR(Y414*1,"0")+IFERROR(Y415*1,"0")+IFERROR(Y416*1,"0")</f>
        <v>144.9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390</v>
      </c>
      <c r="W560" s="46">
        <f>IFERROR(Y451*1,"0")+IFERROR(Y452*1,"0")+IFERROR(Y456*1,"0")+IFERROR(Y460*1,"0")+IFERROR(Y461*1,"0")+IFERROR(Y462*1,"0")</f>
        <v>2399.4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1247.04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